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oob-my.sharepoint.com/personal/paulo_fonteles_sicoob_com_br/Documents/Renda Variável/Multifatorial 3.0/Rebalanceamentos/monitor/data/dev/20260420/"/>
    </mc:Choice>
  </mc:AlternateContent>
  <xr:revisionPtr revIDLastSave="1167" documentId="13_ncr:10000001_{0FE00555-C17E-47F7-AECB-3EABAA971752}" xr6:coauthVersionLast="47" xr6:coauthVersionMax="47" xr10:uidLastSave="{77A33E86-2B15-44A2-A7C2-B5CD92C4C5F8}"/>
  <bookViews>
    <workbookView xWindow="28680" yWindow="-120" windowWidth="29040" windowHeight="15720" tabRatio="730" xr2:uid="{3AEC99F5-4E21-4FB3-810C-649CE4EF3B12}"/>
  </bookViews>
  <sheets>
    <sheet name="pesos VGBLs" sheetId="16" r:id="rId1"/>
    <sheet name="pesos FIA" sheetId="1" r:id="rId2"/>
    <sheet name="pesos vgbl30" sheetId="4" state="hidden" r:id="rId3"/>
    <sheet name="pesos vgbl65" sheetId="5" state="hidden" r:id="rId4"/>
    <sheet name="pesos smal" sheetId="6" r:id="rId5"/>
    <sheet name="pesos dividendos" sheetId="7" r:id="rId6"/>
    <sheet name="pesos ASG" sheetId="8" r:id="rId7"/>
    <sheet name="pesos PREVI" sheetId="3" r:id="rId8"/>
    <sheet name="pesos 501" sheetId="9" state="hidden" r:id="rId9"/>
  </sheets>
  <externalReferences>
    <externalReference r:id="rId10"/>
    <externalReference r:id="rId11"/>
    <externalReference r:id="rId12"/>
  </externalReferences>
  <definedNames>
    <definedName name="_xlnm._FilterDatabase" localSheetId="1" hidden="1">'pesos FIA'!$A$1:$B$217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" l="1"/>
  <c r="C1" i="16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J3" i="7"/>
  <c r="J4" i="7"/>
  <c r="J5" i="7"/>
  <c r="J6" i="7"/>
  <c r="J7" i="7"/>
  <c r="J8" i="7"/>
  <c r="J9" i="7"/>
  <c r="J10" i="7"/>
  <c r="J11" i="7"/>
  <c r="J2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2" i="6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2" i="1"/>
  <c r="I67" i="3"/>
  <c r="J67" i="3"/>
  <c r="I68" i="3"/>
  <c r="J68" i="3"/>
  <c r="I69" i="3"/>
  <c r="J69" i="3"/>
  <c r="I70" i="3"/>
  <c r="J70" i="3"/>
  <c r="I71" i="3"/>
  <c r="J71" i="3"/>
  <c r="E67" i="3"/>
  <c r="F67" i="3"/>
  <c r="E68" i="3"/>
  <c r="F68" i="3"/>
  <c r="E69" i="3"/>
  <c r="F69" i="3"/>
  <c r="E70" i="3"/>
  <c r="F70" i="3"/>
  <c r="E71" i="3"/>
  <c r="F71" i="3"/>
  <c r="E67" i="16"/>
  <c r="F67" i="16"/>
  <c r="E68" i="16"/>
  <c r="F68" i="16"/>
  <c r="E69" i="16"/>
  <c r="F69" i="16"/>
  <c r="E70" i="16"/>
  <c r="F70" i="16"/>
  <c r="E71" i="16"/>
  <c r="F71" i="16"/>
  <c r="E39" i="8"/>
  <c r="F39" i="8"/>
  <c r="E3" i="7"/>
  <c r="F3" i="7"/>
  <c r="E4" i="7"/>
  <c r="F4" i="7"/>
  <c r="E5" i="7"/>
  <c r="F5" i="7"/>
  <c r="E6" i="7"/>
  <c r="F6" i="7"/>
  <c r="E7" i="7"/>
  <c r="F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39" i="7"/>
  <c r="F39" i="7"/>
  <c r="E40" i="7"/>
  <c r="F40" i="7"/>
  <c r="E41" i="7"/>
  <c r="F41" i="7"/>
  <c r="E42" i="7"/>
  <c r="F42" i="7"/>
  <c r="E43" i="7"/>
  <c r="F43" i="7"/>
  <c r="E44" i="7"/>
  <c r="F44" i="7"/>
  <c r="E45" i="7"/>
  <c r="F45" i="7"/>
  <c r="E46" i="7"/>
  <c r="F46" i="7"/>
  <c r="E47" i="7"/>
  <c r="F47" i="7"/>
  <c r="E48" i="7"/>
  <c r="F48" i="7"/>
  <c r="E49" i="7"/>
  <c r="F49" i="7"/>
  <c r="E50" i="7"/>
  <c r="F50" i="7"/>
  <c r="E51" i="7"/>
  <c r="F51" i="7"/>
  <c r="E52" i="7"/>
  <c r="F52" i="7"/>
  <c r="E53" i="7"/>
  <c r="F53" i="7"/>
  <c r="E54" i="7"/>
  <c r="F54" i="7"/>
  <c r="E55" i="7"/>
  <c r="F55" i="7"/>
  <c r="E56" i="7"/>
  <c r="F56" i="7"/>
  <c r="E57" i="7"/>
  <c r="F57" i="7"/>
  <c r="E58" i="7"/>
  <c r="F58" i="7"/>
  <c r="E59" i="7"/>
  <c r="F59" i="7"/>
  <c r="E60" i="7"/>
  <c r="F60" i="7"/>
  <c r="E61" i="7"/>
  <c r="F61" i="7"/>
  <c r="E62" i="7"/>
  <c r="F62" i="7"/>
  <c r="E63" i="7"/>
  <c r="F63" i="7"/>
  <c r="E64" i="7"/>
  <c r="F64" i="7"/>
  <c r="E65" i="7"/>
  <c r="F65" i="7"/>
  <c r="E66" i="7"/>
  <c r="F66" i="7"/>
  <c r="E67" i="7"/>
  <c r="F67" i="7"/>
  <c r="E68" i="7"/>
  <c r="F68" i="7"/>
  <c r="E69" i="7"/>
  <c r="F69" i="7"/>
  <c r="E70" i="7"/>
  <c r="F70" i="7"/>
  <c r="E71" i="7"/>
  <c r="F71" i="7"/>
  <c r="E72" i="7"/>
  <c r="F72" i="7"/>
  <c r="E3" i="6"/>
  <c r="F3" i="6"/>
  <c r="E4" i="6"/>
  <c r="F4" i="6"/>
  <c r="E5" i="6"/>
  <c r="F5" i="6"/>
  <c r="E6" i="6"/>
  <c r="F6" i="6"/>
  <c r="E7" i="6"/>
  <c r="F7" i="6"/>
  <c r="E8" i="6"/>
  <c r="F8" i="6"/>
  <c r="E9" i="6"/>
  <c r="F9" i="6"/>
  <c r="E10" i="6"/>
  <c r="F10" i="6"/>
  <c r="E11" i="6"/>
  <c r="F11" i="6"/>
  <c r="E12" i="6"/>
  <c r="F12" i="6"/>
  <c r="E13" i="6"/>
  <c r="F13" i="6"/>
  <c r="E14" i="6"/>
  <c r="F14" i="6"/>
  <c r="E15" i="6"/>
  <c r="F15" i="6"/>
  <c r="E16" i="6"/>
  <c r="F16" i="6"/>
  <c r="E17" i="6"/>
  <c r="F17" i="6"/>
  <c r="E18" i="6"/>
  <c r="F18" i="6"/>
  <c r="E19" i="6"/>
  <c r="F19" i="6"/>
  <c r="E20" i="6"/>
  <c r="F20" i="6"/>
  <c r="E21" i="6"/>
  <c r="F21" i="6"/>
  <c r="E22" i="6"/>
  <c r="F22" i="6"/>
  <c r="E23" i="6"/>
  <c r="F23" i="6"/>
  <c r="E24" i="6"/>
  <c r="F24" i="6"/>
  <c r="E25" i="6"/>
  <c r="F25" i="6"/>
  <c r="E26" i="6"/>
  <c r="F26" i="6"/>
  <c r="E27" i="6"/>
  <c r="F27" i="6"/>
  <c r="E28" i="6"/>
  <c r="F28" i="6"/>
  <c r="E29" i="6"/>
  <c r="F29" i="6"/>
  <c r="E30" i="6"/>
  <c r="F30" i="6"/>
  <c r="E31" i="6"/>
  <c r="F31" i="6"/>
  <c r="E32" i="6"/>
  <c r="F32" i="6"/>
  <c r="E33" i="6"/>
  <c r="F33" i="6"/>
  <c r="E34" i="6"/>
  <c r="F34" i="6"/>
  <c r="E35" i="6"/>
  <c r="F35" i="6"/>
  <c r="E36" i="6"/>
  <c r="F36" i="6"/>
  <c r="E37" i="6"/>
  <c r="F37" i="6"/>
  <c r="E38" i="6"/>
  <c r="F38" i="6"/>
  <c r="E39" i="6"/>
  <c r="F39" i="6"/>
  <c r="E40" i="6"/>
  <c r="F40" i="6"/>
  <c r="E41" i="6"/>
  <c r="F41" i="6"/>
  <c r="E42" i="6"/>
  <c r="F42" i="6"/>
  <c r="E43" i="6"/>
  <c r="F43" i="6"/>
  <c r="E44" i="6"/>
  <c r="F44" i="6"/>
  <c r="E45" i="6"/>
  <c r="F45" i="6"/>
  <c r="E46" i="6"/>
  <c r="F46" i="6"/>
  <c r="E47" i="6"/>
  <c r="F47" i="6"/>
  <c r="E48" i="6"/>
  <c r="F48" i="6"/>
  <c r="E49" i="6"/>
  <c r="F49" i="6"/>
  <c r="E50" i="6"/>
  <c r="F50" i="6"/>
  <c r="E51" i="6"/>
  <c r="F51" i="6"/>
  <c r="E52" i="6"/>
  <c r="F52" i="6"/>
  <c r="E53" i="6"/>
  <c r="F53" i="6"/>
  <c r="E54" i="6"/>
  <c r="F54" i="6"/>
  <c r="E55" i="6"/>
  <c r="F55" i="6"/>
  <c r="E56" i="6"/>
  <c r="F56" i="6"/>
  <c r="E57" i="6"/>
  <c r="F57" i="6"/>
  <c r="E58" i="6"/>
  <c r="F58" i="6"/>
  <c r="E59" i="6"/>
  <c r="F59" i="6"/>
  <c r="E60" i="6"/>
  <c r="F60" i="6"/>
  <c r="E61" i="6"/>
  <c r="F61" i="6"/>
  <c r="E62" i="6"/>
  <c r="F62" i="6"/>
  <c r="E63" i="6"/>
  <c r="F63" i="6"/>
  <c r="E64" i="6"/>
  <c r="F64" i="6"/>
  <c r="I71" i="1"/>
  <c r="J71" i="1" s="1"/>
  <c r="I69" i="1"/>
  <c r="I67" i="1"/>
  <c r="I66" i="1"/>
  <c r="J66" i="1" s="1"/>
  <c r="I65" i="1"/>
  <c r="J65" i="1" s="1"/>
  <c r="I60" i="1"/>
  <c r="J60" i="1" s="1"/>
  <c r="I53" i="1"/>
  <c r="I51" i="1"/>
  <c r="I50" i="1"/>
  <c r="J50" i="1" s="1"/>
  <c r="I49" i="1"/>
  <c r="J49" i="1" s="1"/>
  <c r="I47" i="1"/>
  <c r="J47" i="1" s="1"/>
  <c r="I46" i="1"/>
  <c r="J46" i="1" s="1"/>
  <c r="I43" i="1"/>
  <c r="J43" i="1" s="1"/>
  <c r="I33" i="1"/>
  <c r="J33" i="1" s="1"/>
  <c r="I32" i="1"/>
  <c r="J32" i="1" s="1"/>
  <c r="I28" i="1"/>
  <c r="J28" i="1" s="1"/>
  <c r="I21" i="1"/>
  <c r="J21" i="1" s="1"/>
  <c r="I19" i="1"/>
  <c r="I12" i="1"/>
  <c r="J12" i="1" s="1"/>
  <c r="I7" i="1"/>
  <c r="J7" i="1" s="1"/>
  <c r="E67" i="1"/>
  <c r="F67" i="1"/>
  <c r="E68" i="1"/>
  <c r="F68" i="1"/>
  <c r="E69" i="1"/>
  <c r="F69" i="1"/>
  <c r="E70" i="1"/>
  <c r="F70" i="1"/>
  <c r="E71" i="1"/>
  <c r="F71" i="1"/>
  <c r="J39" i="8" l="1"/>
  <c r="J35" i="8"/>
  <c r="J33" i="8"/>
  <c r="J31" i="8"/>
  <c r="J29" i="8"/>
  <c r="J28" i="8"/>
  <c r="J26" i="8"/>
  <c r="J23" i="8"/>
  <c r="J20" i="8"/>
  <c r="J17" i="8"/>
  <c r="J15" i="8"/>
  <c r="J12" i="8"/>
  <c r="J11" i="8"/>
  <c r="J10" i="8"/>
  <c r="J7" i="8"/>
  <c r="J4" i="8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2" i="6"/>
  <c r="J38" i="8"/>
  <c r="J34" i="8"/>
  <c r="J32" i="8"/>
  <c r="J27" i="8"/>
  <c r="J24" i="8"/>
  <c r="J22" i="8"/>
  <c r="J19" i="8"/>
  <c r="J14" i="8"/>
  <c r="J9" i="8"/>
  <c r="J3" i="8"/>
  <c r="J17" i="7"/>
  <c r="J21" i="7"/>
  <c r="J27" i="7"/>
  <c r="J36" i="7"/>
  <c r="J43" i="7"/>
  <c r="J49" i="7"/>
  <c r="J55" i="7"/>
  <c r="J60" i="7"/>
  <c r="J65" i="7"/>
  <c r="J37" i="8"/>
  <c r="J16" i="8"/>
  <c r="J5" i="8"/>
  <c r="J16" i="7"/>
  <c r="J20" i="7"/>
  <c r="J32" i="7"/>
  <c r="J37" i="7"/>
  <c r="J48" i="7"/>
  <c r="J51" i="7"/>
  <c r="J57" i="7"/>
  <c r="J62" i="7"/>
  <c r="J66" i="7"/>
  <c r="J70" i="7"/>
  <c r="J12" i="7"/>
  <c r="J19" i="7"/>
  <c r="J22" i="7"/>
  <c r="J29" i="7"/>
  <c r="J38" i="7"/>
  <c r="J40" i="7"/>
  <c r="J59" i="7"/>
  <c r="J15" i="7"/>
  <c r="J24" i="7"/>
  <c r="J34" i="7"/>
  <c r="J42" i="7"/>
  <c r="J63" i="7"/>
  <c r="J68" i="7"/>
  <c r="J71" i="7"/>
  <c r="J36" i="8"/>
  <c r="J30" i="8"/>
  <c r="J25" i="8"/>
  <c r="J21" i="8"/>
  <c r="J18" i="8"/>
  <c r="J13" i="8"/>
  <c r="J8" i="8"/>
  <c r="J6" i="8"/>
  <c r="J2" i="8"/>
  <c r="J14" i="7"/>
  <c r="J18" i="7"/>
  <c r="J25" i="7"/>
  <c r="J30" i="7"/>
  <c r="J33" i="7"/>
  <c r="J35" i="7"/>
  <c r="J39" i="7"/>
  <c r="J46" i="7"/>
  <c r="J50" i="7"/>
  <c r="J53" i="7"/>
  <c r="J58" i="7"/>
  <c r="J64" i="7"/>
  <c r="J69" i="7"/>
  <c r="J13" i="7"/>
  <c r="J23" i="7"/>
  <c r="J26" i="7"/>
  <c r="J28" i="7"/>
  <c r="J31" i="7"/>
  <c r="J41" i="7"/>
  <c r="J44" i="7"/>
  <c r="J45" i="7"/>
  <c r="J47" i="7"/>
  <c r="J52" i="7"/>
  <c r="J54" i="7"/>
  <c r="J56" i="7"/>
  <c r="J61" i="7"/>
  <c r="J67" i="7"/>
  <c r="J72" i="7"/>
  <c r="L51" i="1"/>
  <c r="L67" i="1"/>
  <c r="L19" i="1"/>
  <c r="L53" i="1"/>
  <c r="J53" i="1"/>
  <c r="J51" i="1"/>
  <c r="L47" i="1"/>
  <c r="L32" i="1"/>
  <c r="J19" i="1"/>
  <c r="L46" i="1"/>
  <c r="L66" i="1"/>
  <c r="L69" i="1"/>
  <c r="L65" i="1"/>
  <c r="L21" i="1"/>
  <c r="L50" i="1"/>
  <c r="J69" i="1"/>
  <c r="L49" i="1"/>
  <c r="J67" i="1"/>
  <c r="L33" i="1"/>
  <c r="L60" i="1"/>
  <c r="L28" i="1"/>
  <c r="L12" i="1"/>
  <c r="L43" i="1"/>
  <c r="L71" i="1"/>
  <c r="L7" i="1"/>
  <c r="O5" i="16" l="1"/>
  <c r="O18" i="16"/>
  <c r="O50" i="16"/>
  <c r="O51" i="16"/>
  <c r="O68" i="16"/>
  <c r="O69" i="16"/>
  <c r="N69" i="16"/>
  <c r="N68" i="16"/>
  <c r="N67" i="16"/>
  <c r="O67" i="16" s="1"/>
  <c r="N66" i="16"/>
  <c r="O66" i="16" s="1"/>
  <c r="N65" i="16"/>
  <c r="O65" i="16" s="1"/>
  <c r="N64" i="16"/>
  <c r="O64" i="16" s="1"/>
  <c r="N63" i="16"/>
  <c r="O63" i="16" s="1"/>
  <c r="N62" i="16"/>
  <c r="O62" i="16" s="1"/>
  <c r="N61" i="16"/>
  <c r="O61" i="16" s="1"/>
  <c r="N60" i="16"/>
  <c r="O60" i="16" s="1"/>
  <c r="N59" i="16"/>
  <c r="O59" i="16" s="1"/>
  <c r="N58" i="16"/>
  <c r="O58" i="16" s="1"/>
  <c r="N57" i="16"/>
  <c r="O57" i="16" s="1"/>
  <c r="N56" i="16"/>
  <c r="O56" i="16" s="1"/>
  <c r="N55" i="16"/>
  <c r="O55" i="16" s="1"/>
  <c r="N54" i="16"/>
  <c r="O54" i="16" s="1"/>
  <c r="N53" i="16"/>
  <c r="O53" i="16" s="1"/>
  <c r="N52" i="16"/>
  <c r="O52" i="16" s="1"/>
  <c r="N51" i="16"/>
  <c r="N50" i="16"/>
  <c r="N49" i="16"/>
  <c r="O49" i="16" s="1"/>
  <c r="N48" i="16"/>
  <c r="O48" i="16" s="1"/>
  <c r="N47" i="16"/>
  <c r="O47" i="16" s="1"/>
  <c r="N46" i="16"/>
  <c r="O46" i="16" s="1"/>
  <c r="N45" i="16"/>
  <c r="O45" i="16" s="1"/>
  <c r="N44" i="16"/>
  <c r="O44" i="16" s="1"/>
  <c r="N43" i="16"/>
  <c r="O43" i="16" s="1"/>
  <c r="N42" i="16"/>
  <c r="O42" i="16" s="1"/>
  <c r="N41" i="16"/>
  <c r="O41" i="16" s="1"/>
  <c r="N40" i="16"/>
  <c r="O40" i="16" s="1"/>
  <c r="N39" i="16"/>
  <c r="O39" i="16" s="1"/>
  <c r="N38" i="16"/>
  <c r="O38" i="16" s="1"/>
  <c r="N37" i="16"/>
  <c r="O37" i="16" s="1"/>
  <c r="N36" i="16"/>
  <c r="O36" i="16" s="1"/>
  <c r="N35" i="16"/>
  <c r="O35" i="16" s="1"/>
  <c r="N34" i="16"/>
  <c r="O34" i="16" s="1"/>
  <c r="N33" i="16"/>
  <c r="O33" i="16" s="1"/>
  <c r="N32" i="16"/>
  <c r="O32" i="16" s="1"/>
  <c r="N31" i="16"/>
  <c r="O31" i="16" s="1"/>
  <c r="N30" i="16"/>
  <c r="O30" i="16" s="1"/>
  <c r="N29" i="16"/>
  <c r="O29" i="16" s="1"/>
  <c r="N28" i="16"/>
  <c r="O28" i="16" s="1"/>
  <c r="N27" i="16"/>
  <c r="O27" i="16" s="1"/>
  <c r="N26" i="16"/>
  <c r="O26" i="16" s="1"/>
  <c r="N25" i="16"/>
  <c r="O25" i="16" s="1"/>
  <c r="N24" i="16"/>
  <c r="O24" i="16" s="1"/>
  <c r="N23" i="16"/>
  <c r="O23" i="16" s="1"/>
  <c r="N22" i="16"/>
  <c r="O22" i="16" s="1"/>
  <c r="N21" i="16"/>
  <c r="O21" i="16" s="1"/>
  <c r="N20" i="16"/>
  <c r="O20" i="16" s="1"/>
  <c r="N19" i="16"/>
  <c r="O19" i="16" s="1"/>
  <c r="N18" i="16"/>
  <c r="N17" i="16"/>
  <c r="O17" i="16" s="1"/>
  <c r="N16" i="16"/>
  <c r="O16" i="16" s="1"/>
  <c r="N15" i="16"/>
  <c r="O15" i="16" s="1"/>
  <c r="N14" i="16"/>
  <c r="O14" i="16" s="1"/>
  <c r="N13" i="16"/>
  <c r="O13" i="16" s="1"/>
  <c r="N12" i="16"/>
  <c r="O12" i="16" s="1"/>
  <c r="N11" i="16"/>
  <c r="O11" i="16" s="1"/>
  <c r="N10" i="16"/>
  <c r="O10" i="16" s="1"/>
  <c r="N9" i="16"/>
  <c r="O9" i="16" s="1"/>
  <c r="N8" i="16"/>
  <c r="O8" i="16" s="1"/>
  <c r="N7" i="16"/>
  <c r="O7" i="16" s="1"/>
  <c r="N6" i="16"/>
  <c r="O6" i="16" s="1"/>
  <c r="N5" i="16"/>
  <c r="N4" i="16"/>
  <c r="O4" i="16" s="1"/>
  <c r="N3" i="16"/>
  <c r="O3" i="16" s="1"/>
  <c r="N2" i="16"/>
  <c r="O2" i="16" s="1"/>
  <c r="F3" i="16" l="1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2" i="16"/>
  <c r="F12" i="8" l="1"/>
  <c r="F24" i="8"/>
  <c r="F8" i="8"/>
  <c r="F5" i="8"/>
  <c r="F27" i="8"/>
  <c r="F9" i="8"/>
  <c r="F4" i="8"/>
  <c r="F35" i="8"/>
  <c r="F25" i="8"/>
  <c r="F7" i="8"/>
  <c r="F18" i="8"/>
  <c r="F21" i="8"/>
  <c r="F26" i="8"/>
  <c r="F2" i="8"/>
  <c r="F22" i="8"/>
  <c r="F36" i="8"/>
  <c r="F33" i="8"/>
  <c r="F16" i="8"/>
  <c r="F11" i="8"/>
  <c r="F38" i="8"/>
  <c r="F19" i="8"/>
  <c r="F15" i="8"/>
  <c r="F28" i="8"/>
  <c r="F23" i="8"/>
  <c r="F37" i="8"/>
  <c r="F3" i="8"/>
  <c r="F14" i="8"/>
  <c r="F10" i="8"/>
  <c r="F6" i="8"/>
  <c r="F20" i="8"/>
  <c r="F34" i="8"/>
  <c r="F17" i="8"/>
  <c r="F32" i="8"/>
  <c r="F31" i="8"/>
  <c r="F30" i="8"/>
  <c r="F29" i="8"/>
  <c r="F13" i="8"/>
  <c r="F2" i="7" l="1"/>
  <c r="F2" i="6" l="1"/>
  <c r="F60" i="1" l="1"/>
  <c r="F43" i="1"/>
  <c r="F10" i="1"/>
  <c r="F38" i="1"/>
  <c r="F22" i="1"/>
  <c r="F6" i="1"/>
  <c r="F44" i="1"/>
  <c r="F42" i="1"/>
  <c r="F53" i="1"/>
  <c r="F21" i="1"/>
  <c r="F5" i="1"/>
  <c r="F54" i="1"/>
  <c r="F20" i="1"/>
  <c r="F4" i="1"/>
  <c r="F11" i="1"/>
  <c r="F35" i="1"/>
  <c r="F19" i="1"/>
  <c r="F3" i="1"/>
  <c r="F40" i="1"/>
  <c r="F23" i="1"/>
  <c r="F18" i="1"/>
  <c r="F12" i="1"/>
  <c r="F9" i="1"/>
  <c r="F7" i="1"/>
  <c r="F51" i="1"/>
  <c r="F49" i="1"/>
  <c r="F33" i="1"/>
  <c r="F17" i="1"/>
  <c r="F25" i="1"/>
  <c r="F56" i="1"/>
  <c r="F55" i="1"/>
  <c r="F37" i="1"/>
  <c r="F2" i="1"/>
  <c r="F64" i="1"/>
  <c r="F32" i="1"/>
  <c r="F16" i="1"/>
  <c r="F57" i="1"/>
  <c r="F24" i="1"/>
  <c r="F39" i="1"/>
  <c r="F52" i="1"/>
  <c r="F65" i="1"/>
  <c r="F47" i="1"/>
  <c r="F31" i="1"/>
  <c r="F15" i="1"/>
  <c r="F28" i="1"/>
  <c r="F59" i="1"/>
  <c r="F27" i="1"/>
  <c r="F58" i="1"/>
  <c r="F41" i="1"/>
  <c r="F36" i="1"/>
  <c r="F50" i="1"/>
  <c r="F63" i="1"/>
  <c r="F62" i="1"/>
  <c r="F46" i="1"/>
  <c r="F30" i="1"/>
  <c r="F14" i="1"/>
  <c r="F26" i="1"/>
  <c r="F8" i="1"/>
  <c r="F66" i="1"/>
  <c r="F34" i="1"/>
  <c r="F48" i="1"/>
  <c r="F61" i="1"/>
  <c r="F45" i="1"/>
  <c r="F29" i="1"/>
  <c r="F13" i="1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J74" i="3"/>
  <c r="G1" i="16" l="1"/>
  <c r="G1" i="6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J69" i="9" l="1"/>
  <c r="I69" i="9"/>
  <c r="J68" i="9"/>
  <c r="I68" i="9"/>
  <c r="J67" i="9"/>
  <c r="I67" i="9"/>
  <c r="J66" i="9"/>
  <c r="I66" i="9"/>
  <c r="F66" i="9"/>
  <c r="E66" i="9"/>
  <c r="J65" i="9"/>
  <c r="I65" i="9"/>
  <c r="F65" i="9"/>
  <c r="E65" i="9"/>
  <c r="J64" i="9"/>
  <c r="I64" i="9"/>
  <c r="F64" i="9"/>
  <c r="E64" i="9"/>
  <c r="J63" i="9"/>
  <c r="I63" i="9"/>
  <c r="F63" i="9"/>
  <c r="E63" i="9"/>
  <c r="J62" i="9"/>
  <c r="I62" i="9"/>
  <c r="F62" i="9"/>
  <c r="E62" i="9"/>
  <c r="J61" i="9"/>
  <c r="I61" i="9"/>
  <c r="F61" i="9"/>
  <c r="E61" i="9"/>
  <c r="J60" i="9"/>
  <c r="I60" i="9"/>
  <c r="F60" i="9"/>
  <c r="E60" i="9"/>
  <c r="J59" i="9"/>
  <c r="I59" i="9"/>
  <c r="F59" i="9"/>
  <c r="E59" i="9"/>
  <c r="J58" i="9"/>
  <c r="I58" i="9"/>
  <c r="F58" i="9"/>
  <c r="E58" i="9"/>
  <c r="J57" i="9"/>
  <c r="I57" i="9"/>
  <c r="F57" i="9"/>
  <c r="E57" i="9"/>
  <c r="J56" i="9"/>
  <c r="I56" i="9"/>
  <c r="F56" i="9"/>
  <c r="E56" i="9"/>
  <c r="J55" i="9"/>
  <c r="I55" i="9"/>
  <c r="F55" i="9"/>
  <c r="E55" i="9"/>
  <c r="J54" i="9"/>
  <c r="I54" i="9"/>
  <c r="F54" i="9"/>
  <c r="E54" i="9"/>
  <c r="J53" i="9"/>
  <c r="I53" i="9"/>
  <c r="F53" i="9"/>
  <c r="E53" i="9"/>
  <c r="J52" i="9"/>
  <c r="I52" i="9"/>
  <c r="F52" i="9"/>
  <c r="E52" i="9"/>
  <c r="J51" i="9"/>
  <c r="I51" i="9"/>
  <c r="F51" i="9"/>
  <c r="E51" i="9"/>
  <c r="J50" i="9"/>
  <c r="I50" i="9"/>
  <c r="F50" i="9"/>
  <c r="E50" i="9"/>
  <c r="J49" i="9"/>
  <c r="I49" i="9"/>
  <c r="F49" i="9"/>
  <c r="E49" i="9"/>
  <c r="J48" i="9"/>
  <c r="I48" i="9"/>
  <c r="F48" i="9"/>
  <c r="E48" i="9"/>
  <c r="J47" i="9"/>
  <c r="I47" i="9"/>
  <c r="F47" i="9"/>
  <c r="E47" i="9"/>
  <c r="J46" i="9"/>
  <c r="I46" i="9"/>
  <c r="F46" i="9"/>
  <c r="E46" i="9"/>
  <c r="J45" i="9"/>
  <c r="I45" i="9"/>
  <c r="F45" i="9"/>
  <c r="E45" i="9"/>
  <c r="J44" i="9"/>
  <c r="I44" i="9"/>
  <c r="F44" i="9"/>
  <c r="E44" i="9"/>
  <c r="J43" i="9"/>
  <c r="I43" i="9"/>
  <c r="F43" i="9"/>
  <c r="E43" i="9"/>
  <c r="J42" i="9"/>
  <c r="I42" i="9"/>
  <c r="F42" i="9"/>
  <c r="E42" i="9"/>
  <c r="J41" i="9"/>
  <c r="I41" i="9"/>
  <c r="F41" i="9"/>
  <c r="E41" i="9"/>
  <c r="J40" i="9"/>
  <c r="I40" i="9"/>
  <c r="F40" i="9"/>
  <c r="E40" i="9"/>
  <c r="J39" i="9"/>
  <c r="I39" i="9"/>
  <c r="F39" i="9"/>
  <c r="E39" i="9"/>
  <c r="J38" i="9"/>
  <c r="I38" i="9"/>
  <c r="F38" i="9"/>
  <c r="E38" i="9"/>
  <c r="J37" i="9"/>
  <c r="I37" i="9"/>
  <c r="F37" i="9"/>
  <c r="E37" i="9"/>
  <c r="J36" i="9"/>
  <c r="I36" i="9"/>
  <c r="F36" i="9"/>
  <c r="E36" i="9"/>
  <c r="J35" i="9"/>
  <c r="I35" i="9"/>
  <c r="F35" i="9"/>
  <c r="E35" i="9"/>
  <c r="J34" i="9"/>
  <c r="I34" i="9"/>
  <c r="F34" i="9"/>
  <c r="E34" i="9"/>
  <c r="J33" i="9"/>
  <c r="I33" i="9"/>
  <c r="F33" i="9"/>
  <c r="E33" i="9"/>
  <c r="J32" i="9"/>
  <c r="I32" i="9"/>
  <c r="F32" i="9"/>
  <c r="E32" i="9"/>
  <c r="J31" i="9"/>
  <c r="I31" i="9"/>
  <c r="F31" i="9"/>
  <c r="E31" i="9"/>
  <c r="J30" i="9"/>
  <c r="I30" i="9"/>
  <c r="F30" i="9"/>
  <c r="E30" i="9"/>
  <c r="J29" i="9"/>
  <c r="I29" i="9"/>
  <c r="F29" i="9"/>
  <c r="E29" i="9"/>
  <c r="J28" i="9"/>
  <c r="I28" i="9"/>
  <c r="F28" i="9"/>
  <c r="E28" i="9"/>
  <c r="J27" i="9"/>
  <c r="I27" i="9"/>
  <c r="F27" i="9"/>
  <c r="E27" i="9"/>
  <c r="J26" i="9"/>
  <c r="I26" i="9"/>
  <c r="F26" i="9"/>
  <c r="E26" i="9"/>
  <c r="J25" i="9"/>
  <c r="I25" i="9"/>
  <c r="F25" i="9"/>
  <c r="E25" i="9"/>
  <c r="J24" i="9"/>
  <c r="I24" i="9"/>
  <c r="F24" i="9"/>
  <c r="E24" i="9"/>
  <c r="J23" i="9"/>
  <c r="I23" i="9"/>
  <c r="F23" i="9"/>
  <c r="E23" i="9"/>
  <c r="J22" i="9"/>
  <c r="I22" i="9"/>
  <c r="F22" i="9"/>
  <c r="E22" i="9"/>
  <c r="J21" i="9"/>
  <c r="I21" i="9"/>
  <c r="F21" i="9"/>
  <c r="E21" i="9"/>
  <c r="J20" i="9"/>
  <c r="I20" i="9"/>
  <c r="F20" i="9"/>
  <c r="E20" i="9"/>
  <c r="J19" i="9"/>
  <c r="I19" i="9"/>
  <c r="F19" i="9"/>
  <c r="E19" i="9"/>
  <c r="J18" i="9"/>
  <c r="I18" i="9"/>
  <c r="F18" i="9"/>
  <c r="E18" i="9"/>
  <c r="J17" i="9"/>
  <c r="I17" i="9"/>
  <c r="F17" i="9"/>
  <c r="E17" i="9"/>
  <c r="J16" i="9"/>
  <c r="I16" i="9"/>
  <c r="F16" i="9"/>
  <c r="E16" i="9"/>
  <c r="J15" i="9"/>
  <c r="I15" i="9"/>
  <c r="F15" i="9"/>
  <c r="E15" i="9"/>
  <c r="J14" i="9"/>
  <c r="I14" i="9"/>
  <c r="F14" i="9"/>
  <c r="E14" i="9"/>
  <c r="J13" i="9"/>
  <c r="I13" i="9"/>
  <c r="F13" i="9"/>
  <c r="E13" i="9"/>
  <c r="J12" i="9"/>
  <c r="I12" i="9"/>
  <c r="F12" i="9"/>
  <c r="E12" i="9"/>
  <c r="J11" i="9"/>
  <c r="I11" i="9"/>
  <c r="F11" i="9"/>
  <c r="E11" i="9"/>
  <c r="J10" i="9"/>
  <c r="I10" i="9"/>
  <c r="F10" i="9"/>
  <c r="E10" i="9"/>
  <c r="J9" i="9"/>
  <c r="I9" i="9"/>
  <c r="F9" i="9"/>
  <c r="E9" i="9"/>
  <c r="J8" i="9"/>
  <c r="I8" i="9"/>
  <c r="F8" i="9"/>
  <c r="E8" i="9"/>
  <c r="J7" i="9"/>
  <c r="I7" i="9"/>
  <c r="F7" i="9"/>
  <c r="E7" i="9"/>
  <c r="J6" i="9"/>
  <c r="I6" i="9"/>
  <c r="F6" i="9"/>
  <c r="E6" i="9"/>
  <c r="J5" i="9"/>
  <c r="I5" i="9"/>
  <c r="F5" i="9"/>
  <c r="E5" i="9"/>
  <c r="J4" i="9"/>
  <c r="I4" i="9"/>
  <c r="F4" i="9"/>
  <c r="E4" i="9"/>
  <c r="J3" i="9"/>
  <c r="I3" i="9"/>
  <c r="F3" i="9"/>
  <c r="E3" i="9"/>
  <c r="J2" i="9"/>
  <c r="I2" i="9"/>
  <c r="F2" i="9"/>
  <c r="E2" i="9"/>
  <c r="K1" i="9"/>
  <c r="G1" i="9"/>
  <c r="C1" i="9"/>
  <c r="I74" i="3"/>
  <c r="I73" i="3"/>
  <c r="I72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G1" i="3"/>
  <c r="E2" i="3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G1" i="8"/>
  <c r="E3" i="8"/>
  <c r="E2" i="8"/>
  <c r="C1" i="8"/>
  <c r="G1" i="7"/>
  <c r="E2" i="7"/>
  <c r="C1" i="7"/>
  <c r="E2" i="6"/>
  <c r="C1" i="6"/>
  <c r="I68" i="5"/>
  <c r="H68" i="5"/>
  <c r="I67" i="5"/>
  <c r="H67" i="5"/>
  <c r="I66" i="5"/>
  <c r="H66" i="5"/>
  <c r="F66" i="5"/>
  <c r="E66" i="5"/>
  <c r="I65" i="5"/>
  <c r="H65" i="5"/>
  <c r="F65" i="5"/>
  <c r="E65" i="5"/>
  <c r="I64" i="5"/>
  <c r="H64" i="5"/>
  <c r="F64" i="5"/>
  <c r="E64" i="5"/>
  <c r="I63" i="5"/>
  <c r="H63" i="5"/>
  <c r="F63" i="5"/>
  <c r="E63" i="5"/>
  <c r="I62" i="5"/>
  <c r="H62" i="5"/>
  <c r="F62" i="5"/>
  <c r="E62" i="5"/>
  <c r="I61" i="5"/>
  <c r="H61" i="5"/>
  <c r="F61" i="5"/>
  <c r="E61" i="5"/>
  <c r="I60" i="5"/>
  <c r="H60" i="5"/>
  <c r="F60" i="5"/>
  <c r="E60" i="5"/>
  <c r="I59" i="5"/>
  <c r="H59" i="5"/>
  <c r="F59" i="5"/>
  <c r="E59" i="5"/>
  <c r="I58" i="5"/>
  <c r="H58" i="5"/>
  <c r="F58" i="5"/>
  <c r="E58" i="5"/>
  <c r="I57" i="5"/>
  <c r="H57" i="5"/>
  <c r="F57" i="5"/>
  <c r="E57" i="5"/>
  <c r="I56" i="5"/>
  <c r="H56" i="5"/>
  <c r="F56" i="5"/>
  <c r="E56" i="5"/>
  <c r="I55" i="5"/>
  <c r="H55" i="5"/>
  <c r="F55" i="5"/>
  <c r="E55" i="5"/>
  <c r="I54" i="5"/>
  <c r="H54" i="5"/>
  <c r="F54" i="5"/>
  <c r="E54" i="5"/>
  <c r="I53" i="5"/>
  <c r="H53" i="5"/>
  <c r="F53" i="5"/>
  <c r="E53" i="5"/>
  <c r="I52" i="5"/>
  <c r="H52" i="5"/>
  <c r="F52" i="5"/>
  <c r="E52" i="5"/>
  <c r="I51" i="5"/>
  <c r="H51" i="5"/>
  <c r="F51" i="5"/>
  <c r="E51" i="5"/>
  <c r="I50" i="5"/>
  <c r="H50" i="5"/>
  <c r="F50" i="5"/>
  <c r="E50" i="5"/>
  <c r="I49" i="5"/>
  <c r="H49" i="5"/>
  <c r="F49" i="5"/>
  <c r="E49" i="5"/>
  <c r="I48" i="5"/>
  <c r="H48" i="5"/>
  <c r="F48" i="5"/>
  <c r="E48" i="5"/>
  <c r="I47" i="5"/>
  <c r="H47" i="5"/>
  <c r="F47" i="5"/>
  <c r="E47" i="5"/>
  <c r="I46" i="5"/>
  <c r="H46" i="5"/>
  <c r="F46" i="5"/>
  <c r="E46" i="5"/>
  <c r="I45" i="5"/>
  <c r="H45" i="5"/>
  <c r="F45" i="5"/>
  <c r="E45" i="5"/>
  <c r="I44" i="5"/>
  <c r="H44" i="5"/>
  <c r="F44" i="5"/>
  <c r="E44" i="5"/>
  <c r="I43" i="5"/>
  <c r="H43" i="5"/>
  <c r="F43" i="5"/>
  <c r="E43" i="5"/>
  <c r="I42" i="5"/>
  <c r="H42" i="5"/>
  <c r="F42" i="5"/>
  <c r="E42" i="5"/>
  <c r="I41" i="5"/>
  <c r="H41" i="5"/>
  <c r="F41" i="5"/>
  <c r="E41" i="5"/>
  <c r="I40" i="5"/>
  <c r="H40" i="5"/>
  <c r="F40" i="5"/>
  <c r="E40" i="5"/>
  <c r="I39" i="5"/>
  <c r="H39" i="5"/>
  <c r="F39" i="5"/>
  <c r="E39" i="5"/>
  <c r="I38" i="5"/>
  <c r="H38" i="5"/>
  <c r="F38" i="5"/>
  <c r="E38" i="5"/>
  <c r="I37" i="5"/>
  <c r="H37" i="5"/>
  <c r="F37" i="5"/>
  <c r="E37" i="5"/>
  <c r="I36" i="5"/>
  <c r="H36" i="5"/>
  <c r="F36" i="5"/>
  <c r="E36" i="5"/>
  <c r="I35" i="5"/>
  <c r="H35" i="5"/>
  <c r="F35" i="5"/>
  <c r="E35" i="5"/>
  <c r="I34" i="5"/>
  <c r="H34" i="5"/>
  <c r="F34" i="5"/>
  <c r="E34" i="5"/>
  <c r="I33" i="5"/>
  <c r="H33" i="5"/>
  <c r="F33" i="5"/>
  <c r="E33" i="5"/>
  <c r="I32" i="5"/>
  <c r="H32" i="5"/>
  <c r="F32" i="5"/>
  <c r="E32" i="5"/>
  <c r="I31" i="5"/>
  <c r="H31" i="5"/>
  <c r="F31" i="5"/>
  <c r="E31" i="5"/>
  <c r="I30" i="5"/>
  <c r="H30" i="5"/>
  <c r="F30" i="5"/>
  <c r="E30" i="5"/>
  <c r="I29" i="5"/>
  <c r="H29" i="5"/>
  <c r="F29" i="5"/>
  <c r="E29" i="5"/>
  <c r="I28" i="5"/>
  <c r="H28" i="5"/>
  <c r="F28" i="5"/>
  <c r="E28" i="5"/>
  <c r="I27" i="5"/>
  <c r="H27" i="5"/>
  <c r="F27" i="5"/>
  <c r="E27" i="5"/>
  <c r="I26" i="5"/>
  <c r="H26" i="5"/>
  <c r="F26" i="5"/>
  <c r="E26" i="5"/>
  <c r="I25" i="5"/>
  <c r="H25" i="5"/>
  <c r="F25" i="5"/>
  <c r="E25" i="5"/>
  <c r="I24" i="5"/>
  <c r="H24" i="5"/>
  <c r="F24" i="5"/>
  <c r="E24" i="5"/>
  <c r="I23" i="5"/>
  <c r="H23" i="5"/>
  <c r="F23" i="5"/>
  <c r="E23" i="5"/>
  <c r="I22" i="5"/>
  <c r="H22" i="5"/>
  <c r="F22" i="5"/>
  <c r="E22" i="5"/>
  <c r="I21" i="5"/>
  <c r="H21" i="5"/>
  <c r="F21" i="5"/>
  <c r="E21" i="5"/>
  <c r="I20" i="5"/>
  <c r="H20" i="5"/>
  <c r="F20" i="5"/>
  <c r="E20" i="5"/>
  <c r="I19" i="5"/>
  <c r="H19" i="5"/>
  <c r="F19" i="5"/>
  <c r="E19" i="5"/>
  <c r="I18" i="5"/>
  <c r="H18" i="5"/>
  <c r="F18" i="5"/>
  <c r="E18" i="5"/>
  <c r="I17" i="5"/>
  <c r="H17" i="5"/>
  <c r="F17" i="5"/>
  <c r="E17" i="5"/>
  <c r="I16" i="5"/>
  <c r="H16" i="5"/>
  <c r="F16" i="5"/>
  <c r="E16" i="5"/>
  <c r="I15" i="5"/>
  <c r="H15" i="5"/>
  <c r="F15" i="5"/>
  <c r="E15" i="5"/>
  <c r="I14" i="5"/>
  <c r="H14" i="5"/>
  <c r="F14" i="5"/>
  <c r="E14" i="5"/>
  <c r="I13" i="5"/>
  <c r="H13" i="5"/>
  <c r="F13" i="5"/>
  <c r="E13" i="5"/>
  <c r="I12" i="5"/>
  <c r="H12" i="5"/>
  <c r="F12" i="5"/>
  <c r="E12" i="5"/>
  <c r="I11" i="5"/>
  <c r="H11" i="5"/>
  <c r="F11" i="5"/>
  <c r="E11" i="5"/>
  <c r="I10" i="5"/>
  <c r="H10" i="5"/>
  <c r="F10" i="5"/>
  <c r="E10" i="5"/>
  <c r="I9" i="5"/>
  <c r="H9" i="5"/>
  <c r="F9" i="5"/>
  <c r="E9" i="5"/>
  <c r="I8" i="5"/>
  <c r="H8" i="5"/>
  <c r="F8" i="5"/>
  <c r="E8" i="5"/>
  <c r="I7" i="5"/>
  <c r="H7" i="5"/>
  <c r="F7" i="5"/>
  <c r="E7" i="5"/>
  <c r="I6" i="5"/>
  <c r="H6" i="5"/>
  <c r="F6" i="5"/>
  <c r="E6" i="5"/>
  <c r="I5" i="5"/>
  <c r="H5" i="5"/>
  <c r="F5" i="5"/>
  <c r="E5" i="5"/>
  <c r="I4" i="5"/>
  <c r="H4" i="5"/>
  <c r="F4" i="5"/>
  <c r="E4" i="5"/>
  <c r="I3" i="5"/>
  <c r="H3" i="5"/>
  <c r="F3" i="5"/>
  <c r="E3" i="5"/>
  <c r="I2" i="5"/>
  <c r="H2" i="5"/>
  <c r="F2" i="5"/>
  <c r="E2" i="5"/>
  <c r="C1" i="5"/>
  <c r="Q66" i="4"/>
  <c r="P66" i="4"/>
  <c r="O66" i="4"/>
  <c r="M66" i="4"/>
  <c r="L66" i="4"/>
  <c r="F66" i="4"/>
  <c r="E66" i="4"/>
  <c r="Q65" i="4"/>
  <c r="P65" i="4"/>
  <c r="O65" i="4"/>
  <c r="M65" i="4"/>
  <c r="L65" i="4"/>
  <c r="F65" i="4"/>
  <c r="E65" i="4"/>
  <c r="Q64" i="4"/>
  <c r="P64" i="4"/>
  <c r="O64" i="4"/>
  <c r="M64" i="4"/>
  <c r="L64" i="4"/>
  <c r="F64" i="4"/>
  <c r="E64" i="4"/>
  <c r="Q63" i="4"/>
  <c r="P63" i="4"/>
  <c r="O63" i="4"/>
  <c r="M63" i="4"/>
  <c r="L63" i="4"/>
  <c r="F63" i="4"/>
  <c r="E63" i="4"/>
  <c r="Q62" i="4"/>
  <c r="P62" i="4"/>
  <c r="O62" i="4"/>
  <c r="M62" i="4"/>
  <c r="L62" i="4"/>
  <c r="F62" i="4"/>
  <c r="E62" i="4"/>
  <c r="Q61" i="4"/>
  <c r="P61" i="4"/>
  <c r="O61" i="4"/>
  <c r="M61" i="4"/>
  <c r="L61" i="4"/>
  <c r="F61" i="4"/>
  <c r="E61" i="4"/>
  <c r="Q60" i="4"/>
  <c r="P60" i="4"/>
  <c r="O60" i="4"/>
  <c r="M60" i="4"/>
  <c r="L60" i="4"/>
  <c r="F60" i="4"/>
  <c r="E60" i="4"/>
  <c r="Q59" i="4"/>
  <c r="P59" i="4"/>
  <c r="O59" i="4"/>
  <c r="M59" i="4"/>
  <c r="L59" i="4"/>
  <c r="F59" i="4"/>
  <c r="E59" i="4"/>
  <c r="Q58" i="4"/>
  <c r="P58" i="4"/>
  <c r="O58" i="4"/>
  <c r="M58" i="4"/>
  <c r="L58" i="4"/>
  <c r="F58" i="4"/>
  <c r="E58" i="4"/>
  <c r="Q57" i="4"/>
  <c r="P57" i="4"/>
  <c r="O57" i="4"/>
  <c r="M57" i="4"/>
  <c r="L57" i="4"/>
  <c r="F57" i="4"/>
  <c r="E57" i="4"/>
  <c r="Q56" i="4"/>
  <c r="P56" i="4"/>
  <c r="O56" i="4"/>
  <c r="M56" i="4"/>
  <c r="L56" i="4"/>
  <c r="F56" i="4"/>
  <c r="E56" i="4"/>
  <c r="Q55" i="4"/>
  <c r="P55" i="4"/>
  <c r="O55" i="4"/>
  <c r="M55" i="4"/>
  <c r="L55" i="4"/>
  <c r="F55" i="4"/>
  <c r="E55" i="4"/>
  <c r="Q54" i="4"/>
  <c r="P54" i="4"/>
  <c r="O54" i="4"/>
  <c r="M54" i="4"/>
  <c r="L54" i="4"/>
  <c r="F54" i="4"/>
  <c r="E54" i="4"/>
  <c r="Q53" i="4"/>
  <c r="P53" i="4"/>
  <c r="O53" i="4"/>
  <c r="M53" i="4"/>
  <c r="L53" i="4"/>
  <c r="F53" i="4"/>
  <c r="E53" i="4"/>
  <c r="Q52" i="4"/>
  <c r="P52" i="4"/>
  <c r="O52" i="4"/>
  <c r="M52" i="4"/>
  <c r="L52" i="4"/>
  <c r="F52" i="4"/>
  <c r="E52" i="4"/>
  <c r="Q51" i="4"/>
  <c r="P51" i="4"/>
  <c r="O51" i="4"/>
  <c r="M51" i="4"/>
  <c r="L51" i="4"/>
  <c r="F51" i="4"/>
  <c r="E51" i="4"/>
  <c r="Q50" i="4"/>
  <c r="P50" i="4"/>
  <c r="O50" i="4"/>
  <c r="M50" i="4"/>
  <c r="L50" i="4"/>
  <c r="F50" i="4"/>
  <c r="E50" i="4"/>
  <c r="Q49" i="4"/>
  <c r="P49" i="4"/>
  <c r="O49" i="4"/>
  <c r="M49" i="4"/>
  <c r="L49" i="4"/>
  <c r="F49" i="4"/>
  <c r="E49" i="4"/>
  <c r="Q48" i="4"/>
  <c r="P48" i="4"/>
  <c r="O48" i="4"/>
  <c r="M48" i="4"/>
  <c r="L48" i="4"/>
  <c r="F48" i="4"/>
  <c r="E48" i="4"/>
  <c r="Q47" i="4"/>
  <c r="P47" i="4"/>
  <c r="O47" i="4"/>
  <c r="M47" i="4"/>
  <c r="L47" i="4"/>
  <c r="F47" i="4"/>
  <c r="E47" i="4"/>
  <c r="Q46" i="4"/>
  <c r="P46" i="4"/>
  <c r="O46" i="4"/>
  <c r="M46" i="4"/>
  <c r="L46" i="4"/>
  <c r="F46" i="4"/>
  <c r="E46" i="4"/>
  <c r="Q45" i="4"/>
  <c r="P45" i="4"/>
  <c r="O45" i="4"/>
  <c r="M45" i="4"/>
  <c r="L45" i="4"/>
  <c r="F45" i="4"/>
  <c r="E45" i="4"/>
  <c r="Q44" i="4"/>
  <c r="P44" i="4"/>
  <c r="O44" i="4"/>
  <c r="M44" i="4"/>
  <c r="L44" i="4"/>
  <c r="F44" i="4"/>
  <c r="E44" i="4"/>
  <c r="Q43" i="4"/>
  <c r="P43" i="4"/>
  <c r="O43" i="4"/>
  <c r="M43" i="4"/>
  <c r="L43" i="4"/>
  <c r="F43" i="4"/>
  <c r="E43" i="4"/>
  <c r="Q42" i="4"/>
  <c r="P42" i="4"/>
  <c r="O42" i="4"/>
  <c r="M42" i="4"/>
  <c r="L42" i="4"/>
  <c r="F42" i="4"/>
  <c r="E42" i="4"/>
  <c r="Q41" i="4"/>
  <c r="P41" i="4"/>
  <c r="O41" i="4"/>
  <c r="M41" i="4"/>
  <c r="L41" i="4"/>
  <c r="F41" i="4"/>
  <c r="E41" i="4"/>
  <c r="Q40" i="4"/>
  <c r="P40" i="4"/>
  <c r="O40" i="4"/>
  <c r="M40" i="4"/>
  <c r="L40" i="4"/>
  <c r="F40" i="4"/>
  <c r="E40" i="4"/>
  <c r="Q39" i="4"/>
  <c r="P39" i="4"/>
  <c r="O39" i="4"/>
  <c r="M39" i="4"/>
  <c r="L39" i="4"/>
  <c r="F39" i="4"/>
  <c r="E39" i="4"/>
  <c r="Q38" i="4"/>
  <c r="P38" i="4"/>
  <c r="O38" i="4"/>
  <c r="M38" i="4"/>
  <c r="L38" i="4"/>
  <c r="F38" i="4"/>
  <c r="E38" i="4"/>
  <c r="Q37" i="4"/>
  <c r="P37" i="4"/>
  <c r="O37" i="4"/>
  <c r="M37" i="4"/>
  <c r="L37" i="4"/>
  <c r="F37" i="4"/>
  <c r="E37" i="4"/>
  <c r="Q36" i="4"/>
  <c r="P36" i="4"/>
  <c r="O36" i="4"/>
  <c r="M36" i="4"/>
  <c r="L36" i="4"/>
  <c r="F36" i="4"/>
  <c r="E36" i="4"/>
  <c r="Q35" i="4"/>
  <c r="P35" i="4"/>
  <c r="O35" i="4"/>
  <c r="M35" i="4"/>
  <c r="L35" i="4"/>
  <c r="F35" i="4"/>
  <c r="E35" i="4"/>
  <c r="Q34" i="4"/>
  <c r="P34" i="4"/>
  <c r="O34" i="4"/>
  <c r="M34" i="4"/>
  <c r="L34" i="4"/>
  <c r="F34" i="4"/>
  <c r="E34" i="4"/>
  <c r="Q33" i="4"/>
  <c r="P33" i="4"/>
  <c r="O33" i="4"/>
  <c r="M33" i="4"/>
  <c r="L33" i="4"/>
  <c r="F33" i="4"/>
  <c r="E33" i="4"/>
  <c r="Q32" i="4"/>
  <c r="P32" i="4"/>
  <c r="O32" i="4"/>
  <c r="M32" i="4"/>
  <c r="L32" i="4"/>
  <c r="F32" i="4"/>
  <c r="E32" i="4"/>
  <c r="Q31" i="4"/>
  <c r="P31" i="4"/>
  <c r="O31" i="4"/>
  <c r="M31" i="4"/>
  <c r="L31" i="4"/>
  <c r="F31" i="4"/>
  <c r="E31" i="4"/>
  <c r="Q30" i="4"/>
  <c r="P30" i="4"/>
  <c r="O30" i="4"/>
  <c r="M30" i="4"/>
  <c r="L30" i="4"/>
  <c r="F30" i="4"/>
  <c r="E30" i="4"/>
  <c r="Q29" i="4"/>
  <c r="P29" i="4"/>
  <c r="O29" i="4"/>
  <c r="M29" i="4"/>
  <c r="L29" i="4"/>
  <c r="F29" i="4"/>
  <c r="E29" i="4"/>
  <c r="Q28" i="4"/>
  <c r="P28" i="4"/>
  <c r="O28" i="4"/>
  <c r="M28" i="4"/>
  <c r="L28" i="4"/>
  <c r="F28" i="4"/>
  <c r="E28" i="4"/>
  <c r="Q27" i="4"/>
  <c r="P27" i="4"/>
  <c r="O27" i="4"/>
  <c r="M27" i="4"/>
  <c r="L27" i="4"/>
  <c r="F27" i="4"/>
  <c r="E27" i="4"/>
  <c r="Q26" i="4"/>
  <c r="P26" i="4"/>
  <c r="O26" i="4"/>
  <c r="M26" i="4"/>
  <c r="L26" i="4"/>
  <c r="F26" i="4"/>
  <c r="E26" i="4"/>
  <c r="Q25" i="4"/>
  <c r="P25" i="4"/>
  <c r="O25" i="4"/>
  <c r="M25" i="4"/>
  <c r="L25" i="4"/>
  <c r="F25" i="4"/>
  <c r="E25" i="4"/>
  <c r="Q24" i="4"/>
  <c r="P24" i="4"/>
  <c r="O24" i="4"/>
  <c r="M24" i="4"/>
  <c r="L24" i="4"/>
  <c r="F24" i="4"/>
  <c r="E24" i="4"/>
  <c r="Q23" i="4"/>
  <c r="P23" i="4"/>
  <c r="O23" i="4"/>
  <c r="M23" i="4"/>
  <c r="L23" i="4"/>
  <c r="F23" i="4"/>
  <c r="E23" i="4"/>
  <c r="Q22" i="4"/>
  <c r="P22" i="4"/>
  <c r="O22" i="4"/>
  <c r="M22" i="4"/>
  <c r="L22" i="4"/>
  <c r="F22" i="4"/>
  <c r="E22" i="4"/>
  <c r="Q21" i="4"/>
  <c r="P21" i="4"/>
  <c r="O21" i="4"/>
  <c r="M21" i="4"/>
  <c r="L21" i="4"/>
  <c r="F21" i="4"/>
  <c r="E21" i="4"/>
  <c r="Q20" i="4"/>
  <c r="P20" i="4"/>
  <c r="O20" i="4"/>
  <c r="M20" i="4"/>
  <c r="L20" i="4"/>
  <c r="F20" i="4"/>
  <c r="E20" i="4"/>
  <c r="Q19" i="4"/>
  <c r="P19" i="4"/>
  <c r="O19" i="4"/>
  <c r="M19" i="4"/>
  <c r="L19" i="4"/>
  <c r="F19" i="4"/>
  <c r="E19" i="4"/>
  <c r="Q18" i="4"/>
  <c r="P18" i="4"/>
  <c r="O18" i="4"/>
  <c r="M18" i="4"/>
  <c r="L18" i="4"/>
  <c r="F18" i="4"/>
  <c r="E18" i="4"/>
  <c r="Q17" i="4"/>
  <c r="P17" i="4"/>
  <c r="O17" i="4"/>
  <c r="M17" i="4"/>
  <c r="L17" i="4"/>
  <c r="F17" i="4"/>
  <c r="E17" i="4"/>
  <c r="Q16" i="4"/>
  <c r="P16" i="4"/>
  <c r="O16" i="4"/>
  <c r="M16" i="4"/>
  <c r="L16" i="4"/>
  <c r="F16" i="4"/>
  <c r="E16" i="4"/>
  <c r="Q15" i="4"/>
  <c r="P15" i="4"/>
  <c r="O15" i="4"/>
  <c r="M15" i="4"/>
  <c r="L15" i="4"/>
  <c r="F15" i="4"/>
  <c r="E15" i="4"/>
  <c r="Q14" i="4"/>
  <c r="P14" i="4"/>
  <c r="O14" i="4"/>
  <c r="M14" i="4"/>
  <c r="L14" i="4"/>
  <c r="F14" i="4"/>
  <c r="E14" i="4"/>
  <c r="Q13" i="4"/>
  <c r="P13" i="4"/>
  <c r="O13" i="4"/>
  <c r="M13" i="4"/>
  <c r="L13" i="4"/>
  <c r="F13" i="4"/>
  <c r="E13" i="4"/>
  <c r="Q12" i="4"/>
  <c r="P12" i="4"/>
  <c r="O12" i="4"/>
  <c r="M12" i="4"/>
  <c r="L12" i="4"/>
  <c r="F12" i="4"/>
  <c r="E12" i="4"/>
  <c r="Q11" i="4"/>
  <c r="P11" i="4"/>
  <c r="O11" i="4"/>
  <c r="M11" i="4"/>
  <c r="L11" i="4"/>
  <c r="F11" i="4"/>
  <c r="E11" i="4"/>
  <c r="Q10" i="4"/>
  <c r="P10" i="4"/>
  <c r="O10" i="4"/>
  <c r="M10" i="4"/>
  <c r="L10" i="4"/>
  <c r="F10" i="4"/>
  <c r="E10" i="4"/>
  <c r="Q9" i="4"/>
  <c r="P9" i="4"/>
  <c r="O9" i="4"/>
  <c r="M9" i="4"/>
  <c r="L9" i="4"/>
  <c r="F9" i="4"/>
  <c r="E9" i="4"/>
  <c r="Q8" i="4"/>
  <c r="P8" i="4"/>
  <c r="O8" i="4"/>
  <c r="M8" i="4"/>
  <c r="L8" i="4"/>
  <c r="F8" i="4"/>
  <c r="E8" i="4"/>
  <c r="Q7" i="4"/>
  <c r="P7" i="4"/>
  <c r="O7" i="4"/>
  <c r="M7" i="4"/>
  <c r="L7" i="4"/>
  <c r="F7" i="4"/>
  <c r="E7" i="4"/>
  <c r="Q6" i="4"/>
  <c r="P6" i="4"/>
  <c r="O6" i="4"/>
  <c r="M6" i="4"/>
  <c r="L6" i="4"/>
  <c r="F6" i="4"/>
  <c r="E6" i="4"/>
  <c r="Q5" i="4"/>
  <c r="P5" i="4"/>
  <c r="O5" i="4"/>
  <c r="M5" i="4"/>
  <c r="L5" i="4"/>
  <c r="F5" i="4"/>
  <c r="E5" i="4"/>
  <c r="Q4" i="4"/>
  <c r="P4" i="4"/>
  <c r="O4" i="4"/>
  <c r="M4" i="4"/>
  <c r="L4" i="4"/>
  <c r="F4" i="4"/>
  <c r="E4" i="4"/>
  <c r="Q3" i="4"/>
  <c r="P3" i="4"/>
  <c r="O3" i="4"/>
  <c r="M3" i="4"/>
  <c r="L3" i="4"/>
  <c r="F3" i="4"/>
  <c r="E3" i="4"/>
  <c r="Q2" i="4"/>
  <c r="P2" i="4"/>
  <c r="O2" i="4"/>
  <c r="M2" i="4"/>
  <c r="L2" i="4"/>
  <c r="F2" i="4"/>
  <c r="E2" i="4"/>
  <c r="L1" i="4"/>
  <c r="K1" i="4"/>
  <c r="G1" i="4"/>
  <c r="C1" i="4"/>
  <c r="G1" i="1"/>
  <c r="E2" i="1"/>
  <c r="C1" i="1"/>
  <c r="I4" i="3" l="1"/>
  <c r="I37" i="3"/>
  <c r="I6" i="3"/>
  <c r="I22" i="3"/>
  <c r="I38" i="3"/>
  <c r="I54" i="3"/>
  <c r="I3" i="3"/>
  <c r="I52" i="3"/>
  <c r="I21" i="3"/>
  <c r="I7" i="3"/>
  <c r="I23" i="3"/>
  <c r="I39" i="3"/>
  <c r="I55" i="3"/>
  <c r="I36" i="3"/>
  <c r="I53" i="3"/>
  <c r="I8" i="3"/>
  <c r="I24" i="3"/>
  <c r="I40" i="3"/>
  <c r="I56" i="3"/>
  <c r="I20" i="3"/>
  <c r="I5" i="3"/>
  <c r="I9" i="3"/>
  <c r="I25" i="3"/>
  <c r="I41" i="3"/>
  <c r="I57" i="3"/>
  <c r="I58" i="3"/>
  <c r="I11" i="3"/>
  <c r="I27" i="3"/>
  <c r="I43" i="3"/>
  <c r="I59" i="3"/>
  <c r="I12" i="3"/>
  <c r="I28" i="3"/>
  <c r="I44" i="3"/>
  <c r="I60" i="3"/>
  <c r="I35" i="3"/>
  <c r="I10" i="3"/>
  <c r="I62" i="3"/>
  <c r="I19" i="3"/>
  <c r="I26" i="3"/>
  <c r="I13" i="3"/>
  <c r="I45" i="3"/>
  <c r="I46" i="3"/>
  <c r="I15" i="3"/>
  <c r="I31" i="3"/>
  <c r="I47" i="3"/>
  <c r="I63" i="3"/>
  <c r="I51" i="3"/>
  <c r="I29" i="3"/>
  <c r="I30" i="3"/>
  <c r="I16" i="3"/>
  <c r="I32" i="3"/>
  <c r="I48" i="3"/>
  <c r="I64" i="3"/>
  <c r="I42" i="3"/>
  <c r="I61" i="3"/>
  <c r="I14" i="3"/>
  <c r="I2" i="3"/>
  <c r="I17" i="3"/>
  <c r="I33" i="3"/>
  <c r="I49" i="3"/>
  <c r="I65" i="3"/>
  <c r="I18" i="3"/>
  <c r="I34" i="3"/>
  <c r="I50" i="3"/>
  <c r="I66" i="3"/>
  <c r="J72" i="3"/>
  <c r="J21" i="3"/>
  <c r="J30" i="3"/>
  <c r="J73" i="3"/>
  <c r="J37" i="3"/>
  <c r="J46" i="3"/>
  <c r="J7" i="3"/>
  <c r="J53" i="3"/>
  <c r="J62" i="3"/>
  <c r="J5" i="3"/>
  <c r="J14" i="3"/>
  <c r="J16" i="3"/>
  <c r="J23" i="3"/>
  <c r="J32" i="3"/>
  <c r="J39" i="3"/>
  <c r="J48" i="3"/>
  <c r="J55" i="3"/>
  <c r="J64" i="3"/>
  <c r="J3" i="3"/>
  <c r="J12" i="3"/>
  <c r="J19" i="3"/>
  <c r="J28" i="3"/>
  <c r="J35" i="3"/>
  <c r="J44" i="3"/>
  <c r="J51" i="3"/>
  <c r="J60" i="3"/>
  <c r="J10" i="3"/>
  <c r="J17" i="3"/>
  <c r="J26" i="3"/>
  <c r="J33" i="3"/>
  <c r="J42" i="3"/>
  <c r="J49" i="3"/>
  <c r="J58" i="3"/>
  <c r="J65" i="3"/>
  <c r="J8" i="3"/>
  <c r="J15" i="3"/>
  <c r="J24" i="3"/>
  <c r="J31" i="3"/>
  <c r="J40" i="3"/>
  <c r="J47" i="3"/>
  <c r="J56" i="3"/>
  <c r="J63" i="3"/>
  <c r="J6" i="3"/>
  <c r="J13" i="3"/>
  <c r="J22" i="3"/>
  <c r="J29" i="3"/>
  <c r="J38" i="3"/>
  <c r="J45" i="3"/>
  <c r="J54" i="3"/>
  <c r="J61" i="3"/>
  <c r="J4" i="3"/>
  <c r="J11" i="3"/>
  <c r="J20" i="3"/>
  <c r="J27" i="3"/>
  <c r="J36" i="3"/>
  <c r="J43" i="3"/>
  <c r="J52" i="3"/>
  <c r="J59" i="3"/>
  <c r="J2" i="3"/>
  <c r="J9" i="3"/>
  <c r="J18" i="3"/>
  <c r="J25" i="3"/>
  <c r="J34" i="3"/>
  <c r="J41" i="3"/>
  <c r="J50" i="3"/>
  <c r="J57" i="3"/>
  <c r="M69" i="9"/>
  <c r="J66" i="3"/>
  <c r="M68" i="9" l="1"/>
  <c r="M67" i="9"/>
  <c r="M34" i="9"/>
  <c r="M42" i="9"/>
  <c r="M27" i="9"/>
  <c r="M33" i="9"/>
  <c r="M41" i="9"/>
  <c r="M43" i="9"/>
  <c r="M45" i="9"/>
  <c r="M47" i="9"/>
  <c r="M49" i="9"/>
  <c r="M44" i="9"/>
  <c r="M48" i="9"/>
  <c r="M53" i="9"/>
  <c r="M40" i="9"/>
  <c r="M39" i="9"/>
  <c r="M29" i="9"/>
  <c r="M28" i="9"/>
  <c r="M32" i="9"/>
  <c r="M18" i="9"/>
  <c r="M20" i="9"/>
  <c r="M22" i="9"/>
  <c r="M24" i="9"/>
  <c r="M26" i="9"/>
  <c r="M19" i="9"/>
  <c r="M23" i="9"/>
  <c r="M37" i="9"/>
  <c r="M38" i="9"/>
  <c r="M7" i="9"/>
  <c r="M15" i="9"/>
  <c r="M36" i="9"/>
  <c r="M35" i="9"/>
  <c r="M25" i="9"/>
  <c r="M9" i="9"/>
  <c r="M11" i="9"/>
  <c r="M13" i="9"/>
  <c r="M17" i="9"/>
  <c r="M12" i="9"/>
  <c r="M16" i="9"/>
  <c r="M2" i="9"/>
  <c r="M4" i="9"/>
  <c r="M6" i="9"/>
  <c r="M8" i="9"/>
  <c r="M10" i="9"/>
  <c r="M3" i="9"/>
  <c r="M14" i="9"/>
  <c r="M30" i="9"/>
  <c r="M57" i="9"/>
  <c r="M59" i="9"/>
  <c r="M61" i="9"/>
  <c r="M63" i="9"/>
  <c r="M65" i="9"/>
  <c r="M60" i="9"/>
  <c r="M64" i="9"/>
  <c r="M5" i="9"/>
  <c r="M21" i="9"/>
  <c r="M31" i="9"/>
  <c r="M46" i="9"/>
  <c r="M50" i="9"/>
  <c r="M52" i="9"/>
  <c r="M54" i="9"/>
  <c r="M56" i="9"/>
  <c r="M58" i="9"/>
  <c r="M51" i="9"/>
  <c r="M55" i="9"/>
  <c r="M62" i="9"/>
  <c r="M66" i="9"/>
  <c r="K1" i="3"/>
  <c r="I3" i="1"/>
  <c r="I18" i="1"/>
  <c r="I34" i="1"/>
  <c r="I64" i="1"/>
  <c r="I38" i="1" l="1"/>
  <c r="I22" i="1"/>
  <c r="I4" i="1"/>
  <c r="I2" i="1"/>
  <c r="I68" i="1"/>
  <c r="I37" i="1"/>
  <c r="I20" i="1"/>
  <c r="L3" i="1"/>
  <c r="J3" i="1"/>
  <c r="I62" i="1"/>
  <c r="I44" i="1"/>
  <c r="I35" i="1"/>
  <c r="I17" i="1"/>
  <c r="I10" i="1"/>
  <c r="L34" i="1"/>
  <c r="J34" i="1"/>
  <c r="I16" i="1"/>
  <c r="I27" i="1"/>
  <c r="L18" i="1"/>
  <c r="J18" i="1"/>
  <c r="L64" i="1"/>
  <c r="J64" i="1"/>
  <c r="I15" i="1"/>
  <c r="I13" i="1"/>
  <c r="I52" i="1"/>
  <c r="I36" i="1"/>
  <c r="I63" i="1"/>
  <c r="I48" i="1"/>
  <c r="I14" i="1"/>
  <c r="I61" i="1"/>
  <c r="I30" i="1"/>
  <c r="I70" i="1"/>
  <c r="I45" i="1"/>
  <c r="I29" i="1"/>
  <c r="I11" i="1"/>
  <c r="I57" i="1"/>
  <c r="I42" i="1"/>
  <c r="I26" i="1"/>
  <c r="I8" i="1"/>
  <c r="I56" i="1"/>
  <c r="I41" i="1"/>
  <c r="I25" i="1"/>
  <c r="I59" i="1"/>
  <c r="I55" i="1"/>
  <c r="I40" i="1"/>
  <c r="I24" i="1"/>
  <c r="I6" i="1"/>
  <c r="I31" i="1"/>
  <c r="I58" i="1"/>
  <c r="I9" i="1"/>
  <c r="I54" i="1"/>
  <c r="I39" i="1"/>
  <c r="I23" i="1"/>
  <c r="I5" i="1"/>
  <c r="J39" i="1" l="1"/>
  <c r="L39" i="1"/>
  <c r="J55" i="1"/>
  <c r="L55" i="1"/>
  <c r="J57" i="1"/>
  <c r="L57" i="1"/>
  <c r="J48" i="1"/>
  <c r="L48" i="1"/>
  <c r="J27" i="1"/>
  <c r="L27" i="1"/>
  <c r="J8" i="1"/>
  <c r="L8" i="1"/>
  <c r="L6" i="1"/>
  <c r="J6" i="1"/>
  <c r="L54" i="1"/>
  <c r="J54" i="1"/>
  <c r="J63" i="1"/>
  <c r="L63" i="1"/>
  <c r="L16" i="1"/>
  <c r="J16" i="1"/>
  <c r="J9" i="1"/>
  <c r="L9" i="1"/>
  <c r="J25" i="1"/>
  <c r="L25" i="1"/>
  <c r="J29" i="1"/>
  <c r="L29" i="1"/>
  <c r="L36" i="1"/>
  <c r="J36" i="1"/>
  <c r="L37" i="1"/>
  <c r="J37" i="1"/>
  <c r="J15" i="1"/>
  <c r="L15" i="1"/>
  <c r="J59" i="1"/>
  <c r="L59" i="1"/>
  <c r="J11" i="1"/>
  <c r="L11" i="1"/>
  <c r="L20" i="1"/>
  <c r="J20" i="1"/>
  <c r="J30" i="1"/>
  <c r="L30" i="1"/>
  <c r="L58" i="1"/>
  <c r="J58" i="1"/>
  <c r="J41" i="1"/>
  <c r="L41" i="1"/>
  <c r="J45" i="1"/>
  <c r="L45" i="1"/>
  <c r="L52" i="1"/>
  <c r="J52" i="1"/>
  <c r="J10" i="1"/>
  <c r="L10" i="1"/>
  <c r="L68" i="1"/>
  <c r="J68" i="1"/>
  <c r="J31" i="1"/>
  <c r="L31" i="1"/>
  <c r="J56" i="1"/>
  <c r="L56" i="1"/>
  <c r="L70" i="1"/>
  <c r="J70" i="1"/>
  <c r="J13" i="1"/>
  <c r="L13" i="1"/>
  <c r="L17" i="1"/>
  <c r="J17" i="1"/>
  <c r="J2" i="1"/>
  <c r="L2" i="1"/>
  <c r="L35" i="1"/>
  <c r="J35" i="1"/>
  <c r="L5" i="1"/>
  <c r="J5" i="1"/>
  <c r="J24" i="1"/>
  <c r="L24" i="1"/>
  <c r="L26" i="1"/>
  <c r="J26" i="1"/>
  <c r="J61" i="1"/>
  <c r="L61" i="1"/>
  <c r="J44" i="1"/>
  <c r="L44" i="1"/>
  <c r="L22" i="1"/>
  <c r="J22" i="1"/>
  <c r="J23" i="1"/>
  <c r="L23" i="1"/>
  <c r="J40" i="1"/>
  <c r="L40" i="1"/>
  <c r="J42" i="1"/>
  <c r="L42" i="1"/>
  <c r="J14" i="1"/>
  <c r="L14" i="1"/>
  <c r="J62" i="1"/>
  <c r="L62" i="1"/>
  <c r="L38" i="1"/>
  <c r="J38" i="1"/>
  <c r="L4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Dieggo Henrique da Silva Araujo</author>
  </authors>
  <commentList>
    <comment ref="A135" authorId="0" shapeId="0" xr:uid="{B9AC9879-4F51-43AC-88E0-4B4C504AF250}">
      <text>
        <r>
          <rPr>
            <b/>
            <sz val="9"/>
            <color indexed="81"/>
            <rFont val="Segoe UI"/>
            <family val="2"/>
          </rPr>
          <t>Dieggo Henrique da Silva Araujo:</t>
        </r>
        <r>
          <rPr>
            <sz val="9"/>
            <color indexed="81"/>
            <rFont val="Segoe UI"/>
            <family val="2"/>
          </rPr>
          <t xml:space="preserve">
25.10 - ALSO3 virou ALSO3.</t>
        </r>
      </text>
    </comment>
  </commentList>
</comments>
</file>

<file path=xl/sharedStrings.xml><?xml version="1.0" encoding="utf-8"?>
<sst xmlns="http://schemas.openxmlformats.org/spreadsheetml/2006/main" count="709" uniqueCount="136">
  <si>
    <t>Ativo</t>
  </si>
  <si>
    <t>Peso - Port</t>
  </si>
  <si>
    <t>VALE3</t>
  </si>
  <si>
    <t>PETR4</t>
  </si>
  <si>
    <t>BBAS3</t>
  </si>
  <si>
    <t>PETR3</t>
  </si>
  <si>
    <t>JBSS3</t>
  </si>
  <si>
    <t>BBDC4</t>
  </si>
  <si>
    <t>BBSE3</t>
  </si>
  <si>
    <t>ELET3</t>
  </si>
  <si>
    <t>SBSP3</t>
  </si>
  <si>
    <t>GGBR4</t>
  </si>
  <si>
    <t>BBDC3</t>
  </si>
  <si>
    <t>VIVT3</t>
  </si>
  <si>
    <t>CSNA3</t>
  </si>
  <si>
    <t>CMIN3</t>
  </si>
  <si>
    <t>POMO4</t>
  </si>
  <si>
    <t>CPFE3</t>
  </si>
  <si>
    <t>CXSE3</t>
  </si>
  <si>
    <t>MRFG3</t>
  </si>
  <si>
    <t>CMIG3</t>
  </si>
  <si>
    <t>CMIG4</t>
  </si>
  <si>
    <t>GOAU4</t>
  </si>
  <si>
    <t>TIMS3</t>
  </si>
  <si>
    <t>TGMA3</t>
  </si>
  <si>
    <t>BEEF3</t>
  </si>
  <si>
    <t>BRSR6</t>
  </si>
  <si>
    <t>BRAP4</t>
  </si>
  <si>
    <t>LEVE3</t>
  </si>
  <si>
    <t>SYNE3</t>
  </si>
  <si>
    <t>CURY3</t>
  </si>
  <si>
    <t>PSSA3</t>
  </si>
  <si>
    <t>CSMG3</t>
  </si>
  <si>
    <t>ELET6</t>
  </si>
  <si>
    <t>ECOR3</t>
  </si>
  <si>
    <t>AURE3</t>
  </si>
  <si>
    <t>VBBR3</t>
  </si>
  <si>
    <t>ISAE4</t>
  </si>
  <si>
    <t>LAVV3</t>
  </si>
  <si>
    <t>PLPL3</t>
  </si>
  <si>
    <t>UNIP6</t>
  </si>
  <si>
    <t>ANIM3</t>
  </si>
  <si>
    <t>VLID3</t>
  </si>
  <si>
    <t>COGN3</t>
  </si>
  <si>
    <t>MULT3</t>
  </si>
  <si>
    <t>ALOS3</t>
  </si>
  <si>
    <t>WIZC3</t>
  </si>
  <si>
    <t>SAPR4</t>
  </si>
  <si>
    <t>JHSF3</t>
  </si>
  <si>
    <t>FRAS3</t>
  </si>
  <si>
    <t>MTRE3</t>
  </si>
  <si>
    <t>BHIA3</t>
  </si>
  <si>
    <t>AGRO3</t>
  </si>
  <si>
    <t>TRIS3</t>
  </si>
  <si>
    <t>LIGT3</t>
  </si>
  <si>
    <t>MYPK3</t>
  </si>
  <si>
    <t>DIRR3</t>
  </si>
  <si>
    <t>TEND3</t>
  </si>
  <si>
    <t>YDUQ3</t>
  </si>
  <si>
    <t>RECV3</t>
  </si>
  <si>
    <t>CEAB3</t>
  </si>
  <si>
    <t>RANI3</t>
  </si>
  <si>
    <t>GRND3</t>
  </si>
  <si>
    <t>TAEE11</t>
  </si>
  <si>
    <t>BMGB4</t>
  </si>
  <si>
    <t>BRBI11</t>
  </si>
  <si>
    <t>ABEV3</t>
  </si>
  <si>
    <t>CYRE3</t>
  </si>
  <si>
    <t>ITSA4</t>
  </si>
  <si>
    <t>ONCO3</t>
  </si>
  <si>
    <t>ORVR3</t>
  </si>
  <si>
    <t>BOVA11</t>
  </si>
  <si>
    <t>BOVV11</t>
  </si>
  <si>
    <t>BMOB3</t>
  </si>
  <si>
    <t>ITUB4</t>
  </si>
  <si>
    <t>MDNE3</t>
  </si>
  <si>
    <t>MGLU3</t>
  </si>
  <si>
    <t>PRIO3</t>
  </si>
  <si>
    <t>SAPR11</t>
  </si>
  <si>
    <t>Port</t>
  </si>
  <si>
    <t>Peso BBG</t>
  </si>
  <si>
    <t>DIVO11</t>
  </si>
  <si>
    <t>SMAL11</t>
  </si>
  <si>
    <t>ISUS11</t>
  </si>
  <si>
    <t>Alvo</t>
  </si>
  <si>
    <t>BRL Curncy</t>
  </si>
  <si>
    <t>Peso Carteira</t>
  </si>
  <si>
    <t>CSED3</t>
  </si>
  <si>
    <t>CPLE3</t>
  </si>
  <si>
    <t>POMO3</t>
  </si>
  <si>
    <t>ABCB4</t>
  </si>
  <si>
    <t>ALUP11</t>
  </si>
  <si>
    <t>FLRY3</t>
  </si>
  <si>
    <t>IGTI11</t>
  </si>
  <si>
    <t>ITUB3</t>
  </si>
  <si>
    <t>OPCT3</t>
  </si>
  <si>
    <t>VULC3</t>
  </si>
  <si>
    <t>FIQE3</t>
  </si>
  <si>
    <t>ALLD3</t>
  </si>
  <si>
    <t>TAEE4</t>
  </si>
  <si>
    <t>PINE4</t>
  </si>
  <si>
    <t>Novos Fundos</t>
  </si>
  <si>
    <t>AXIA3</t>
  </si>
  <si>
    <t>AXIA6</t>
  </si>
  <si>
    <t>BMEB4</t>
  </si>
  <si>
    <t>RIAA3</t>
  </si>
  <si>
    <t>MELK3</t>
  </si>
  <si>
    <t>ALPA4</t>
  </si>
  <si>
    <t>PNVL3</t>
  </si>
  <si>
    <t>CAML3</t>
  </si>
  <si>
    <t>JSLG3</t>
  </si>
  <si>
    <t>tickers</t>
  </si>
  <si>
    <t>SHUL4</t>
  </si>
  <si>
    <t>PFRM3</t>
  </si>
  <si>
    <t>DEXP3</t>
  </si>
  <si>
    <t>LOGG3</t>
  </si>
  <si>
    <t>ODPV3</t>
  </si>
  <si>
    <t>EVEN3</t>
  </si>
  <si>
    <t>ITSA3</t>
  </si>
  <si>
    <t>INTB3</t>
  </si>
  <si>
    <t>MLAS3</t>
  </si>
  <si>
    <t>POSI3</t>
  </si>
  <si>
    <t>VVEO3</t>
  </si>
  <si>
    <t>SEER3</t>
  </si>
  <si>
    <t>HBRE3</t>
  </si>
  <si>
    <t>TAEE3</t>
  </si>
  <si>
    <t>AZZA3</t>
  </si>
  <si>
    <t>FESA4</t>
  </si>
  <si>
    <t>LREN3</t>
  </si>
  <si>
    <t>meta</t>
  </si>
  <si>
    <t>BRAP3</t>
  </si>
  <si>
    <t>SAPR3</t>
  </si>
  <si>
    <t>SLCE3</t>
  </si>
  <si>
    <t>MDIA3</t>
  </si>
  <si>
    <t>KLBN11</t>
  </si>
  <si>
    <t>HYPE3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</si>
</sst>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0%"/>
    <numFmt numFmtId="165" formatCode="0.0%"/>
    <numFmt numFmtId="166" formatCode="0.00000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7" fillId="0" borderId="0" applyNumberFormat="0" applyFill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8" borderId="8" applyNumberFormat="0" applyAlignment="0" applyProtection="0"/>
    <xf numFmtId="0" fontId="11" fillId="9" borderId="9" applyNumberFormat="0" applyAlignment="0" applyProtection="0"/>
    <xf numFmtId="0" fontId="12" fillId="9" borderId="8" applyNumberFormat="0" applyAlignment="0" applyProtection="0"/>
    <xf numFmtId="0" fontId="13" fillId="0" borderId="10" applyNumberFormat="0" applyFill="0" applyAlignment="0" applyProtection="0"/>
    <xf numFmtId="0" fontId="14" fillId="10" borderId="11" applyNumberFormat="0" applyAlignment="0" applyProtection="0"/>
    <xf numFmtId="0" fontId="15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7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7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7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8" fillId="0" borderId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35" borderId="0" applyNumberFormat="0" applyBorder="0" applyAlignment="0" applyProtection="0"/>
    <xf numFmtId="0" fontId="19" fillId="36" borderId="0"/>
    <xf numFmtId="0" fontId="21" fillId="7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/>
    </xf>
    <xf numFmtId="10" fontId="2" fillId="2" borderId="2" xfId="1" applyNumberFormat="1" applyFont="1" applyFill="1" applyBorder="1" applyAlignment="1">
      <alignment horizontal="center"/>
    </xf>
    <xf numFmtId="10" fontId="0" fillId="0" borderId="0" xfId="1" applyNumberFormat="1" applyFont="1"/>
    <xf numFmtId="10" fontId="2" fillId="0" borderId="0" xfId="1" applyNumberFormat="1" applyFont="1" applyAlignment="1">
      <alignment horizontal="center"/>
    </xf>
    <xf numFmtId="10" fontId="2" fillId="0" borderId="0" xfId="1" applyNumberFormat="1" applyFont="1"/>
    <xf numFmtId="10" fontId="0" fillId="0" borderId="0" xfId="0" applyNumberFormat="1"/>
    <xf numFmtId="10" fontId="0" fillId="0" borderId="0" xfId="1" applyNumberFormat="1" applyFont="1" applyAlignment="1">
      <alignment horizontal="center"/>
    </xf>
    <xf numFmtId="0" fontId="2" fillId="0" borderId="0" xfId="0" applyFont="1"/>
    <xf numFmtId="0" fontId="0" fillId="3" borderId="0" xfId="0" applyFill="1"/>
    <xf numFmtId="0" fontId="2" fillId="4" borderId="3" xfId="0" applyFont="1" applyFill="1" applyBorder="1" applyAlignment="1">
      <alignment horizontal="center"/>
    </xf>
    <xf numFmtId="10" fontId="2" fillId="4" borderId="3" xfId="1" applyNumberFormat="1" applyFont="1" applyFill="1" applyBorder="1" applyAlignment="1">
      <alignment horizontal="center"/>
    </xf>
    <xf numFmtId="9" fontId="2" fillId="0" borderId="0" xfId="0" applyNumberFormat="1" applyFont="1"/>
    <xf numFmtId="10" fontId="2" fillId="0" borderId="0" xfId="0" applyNumberFormat="1" applyFont="1"/>
    <xf numFmtId="0" fontId="2" fillId="4" borderId="4" xfId="0" applyFont="1" applyFill="1" applyBorder="1" applyAlignment="1">
      <alignment horizontal="center"/>
    </xf>
    <xf numFmtId="164" fontId="0" fillId="0" borderId="0" xfId="0" applyNumberFormat="1"/>
    <xf numFmtId="165" fontId="2" fillId="0" borderId="0" xfId="1" applyNumberFormat="1" applyFont="1" applyAlignment="1">
      <alignment horizontal="center"/>
    </xf>
    <xf numFmtId="10" fontId="2" fillId="37" borderId="0" xfId="1" applyNumberFormat="1" applyFont="1" applyFill="1"/>
    <xf numFmtId="10" fontId="2" fillId="3" borderId="0" xfId="0" applyNumberFormat="1" applyFont="1" applyFill="1"/>
    <xf numFmtId="0" fontId="2" fillId="37" borderId="0" xfId="0" applyFont="1" applyFill="1"/>
    <xf numFmtId="10" fontId="2" fillId="3" borderId="0" xfId="1" applyNumberFormat="1" applyFont="1" applyFill="1"/>
    <xf numFmtId="166" fontId="0" fillId="0" borderId="0" xfId="0" applyNumberFormat="1"/>
  </cellXfs>
  <cellStyles count="45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36" xr:uid="{2AB53629-6BAE-449D-9FFB-5415D35060E4}"/>
    <cellStyle name="60% - Ênfase2 2" xfId="37" xr:uid="{0F1520F7-2C3A-41D3-A61B-624F7CF94E86}"/>
    <cellStyle name="60% - Ênfase3 2" xfId="38" xr:uid="{5BCACD53-8A8C-42F1-B8DE-A1058F9BC7AB}"/>
    <cellStyle name="60% - Ênfase4 2" xfId="39" xr:uid="{23E2DD00-EBCB-4A55-8C39-9A0273A31D16}"/>
    <cellStyle name="60% - Ênfase5 2" xfId="40" xr:uid="{DE45EFC0-9B8E-4DEE-AC3A-774F42185354}"/>
    <cellStyle name="60% - Ênfase6 2" xfId="41" xr:uid="{39754401-0DCC-478E-9988-6670E5CB916D}"/>
    <cellStyle name="blp_column_header" xfId="42" xr:uid="{5CA7160A-31C7-4EBC-A207-F09B6973FF7A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Neutro 2" xfId="43" xr:uid="{C443A6E1-356E-4165-A8C2-8D1A51BD9499}"/>
    <cellStyle name="Normal" xfId="0" builtinId="0"/>
    <cellStyle name="Normal 2" xfId="35" xr:uid="{1A8D833F-000B-4160-833D-FF142F4BCDA5}"/>
    <cellStyle name="Nota" xfId="14" builtinId="10" customBuiltin="1"/>
    <cellStyle name="Porcentagem" xfId="1" builtinId="5"/>
    <cellStyle name="Ruim" xfId="7" builtinId="27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5" xfId="44" xr:uid="{36165201-0AA7-4C92-992C-4A4638CD6113}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coob-my.sharepoint.com/personal/paulo_fonteles_sicoob_com_br/Documents/Renda%20Vari&#225;vel/Multifatorial%203.0/Rebalanceamentos/4T25/4T25.xlsx" TargetMode="External"/><Relationship Id="rId1" Type="http://schemas.openxmlformats.org/officeDocument/2006/relationships/externalLinkPath" Target="4T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coob-my.sharepoint.com/personal/paulo_fonteles_sicoob_com_br/Documents/Renda%20Vari&#225;vel/Multifatorial%202.0/Resultados/Portf&#243;lios/Portfolio%20Construction%20-%204T25%20Temp.xlsx" TargetMode="External"/><Relationship Id="rId1" Type="http://schemas.openxmlformats.org/officeDocument/2006/relationships/externalLinkPath" Target="Portfolio%20Construction%20-%204T25%20Temp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4T25.xlsx" TargetMode="External"/><Relationship Id="rId2" Type="http://schemas.openxmlformats.org/officeDocument/2006/relationships/externalLinkPath" Target="https://sicoob-my.sharepoint.com/personal/paulo_fonteles_sicoob_com_br/Documents/Renda%20Vari&#225;vel/Multifatorial%203.0/Rebalanceamentos/4T25.xlsx" TargetMode="External"/><Relationship Id="rId1" Type="http://schemas.openxmlformats.org/officeDocument/2006/relationships/externalLinkPath" Target="/personal/paulo_fonteles_sicoob_com_br/Documents/Renda%20Vari&#225;vel/Multifatorial%203.0/Rebalanceamentos/4T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9 - FIA"/>
      <sheetName val="29"/>
      <sheetName val="35 - SMLL"/>
      <sheetName val="36 - LP"/>
      <sheetName val="37 - ISEE"/>
      <sheetName val="Planilha6"/>
      <sheetName val="Mandato Ibov"/>
      <sheetName val="Mandato Smll"/>
      <sheetName val="Mandato LP"/>
      <sheetName val="Mandato ISEE"/>
    </sheetNames>
    <sheetDataSet>
      <sheetData sheetId="0">
        <row r="9">
          <cell r="A9" t="str">
            <v>WIZC3</v>
          </cell>
          <cell r="B9">
            <v>1.4E-2</v>
          </cell>
          <cell r="C9">
            <v>1.4E-2</v>
          </cell>
          <cell r="D9">
            <v>0</v>
          </cell>
          <cell r="E9">
            <v>0</v>
          </cell>
          <cell r="F9">
            <v>3.2610000000000001</v>
          </cell>
          <cell r="G9">
            <v>3.444</v>
          </cell>
          <cell r="H9" t="str">
            <v>defensives</v>
          </cell>
          <cell r="I9" t="str">
            <v>financial_services</v>
          </cell>
          <cell r="J9" t="str">
            <v>low_beta</v>
          </cell>
          <cell r="K9">
            <v>1.4E-2</v>
          </cell>
        </row>
        <row r="10">
          <cell r="A10" t="str">
            <v>JHSF3</v>
          </cell>
          <cell r="B10">
            <v>1.0999999999999999E-2</v>
          </cell>
          <cell r="C10">
            <v>1.0999999999999999E-2</v>
          </cell>
          <cell r="D10">
            <v>0</v>
          </cell>
          <cell r="E10">
            <v>0</v>
          </cell>
          <cell r="F10">
            <v>3.2610000000000001</v>
          </cell>
          <cell r="G10">
            <v>3.1579999999999999</v>
          </cell>
          <cell r="H10" t="str">
            <v>pro_cyclicals</v>
          </cell>
          <cell r="I10" t="str">
            <v>homebuilders</v>
          </cell>
          <cell r="J10" t="str">
            <v>very_high_beta</v>
          </cell>
          <cell r="K10">
            <v>1.0999999999999999E-2</v>
          </cell>
        </row>
        <row r="11">
          <cell r="A11" t="str">
            <v>BMGB4</v>
          </cell>
          <cell r="B11">
            <v>0.01</v>
          </cell>
          <cell r="C11">
            <v>0.01</v>
          </cell>
          <cell r="D11">
            <v>0</v>
          </cell>
          <cell r="E11">
            <v>0</v>
          </cell>
          <cell r="F11">
            <v>3.2610000000000001</v>
          </cell>
          <cell r="G11">
            <v>3.335</v>
          </cell>
          <cell r="H11" t="str">
            <v>pro_cyclicals</v>
          </cell>
          <cell r="I11" t="str">
            <v>banks</v>
          </cell>
          <cell r="J11" t="str">
            <v>high_beta</v>
          </cell>
          <cell r="K11">
            <v>0.01</v>
          </cell>
        </row>
        <row r="12">
          <cell r="A12" t="str">
            <v>RIAA3</v>
          </cell>
          <cell r="B12">
            <v>8.9999999999999993E-3</v>
          </cell>
          <cell r="C12">
            <v>8.9999999999999993E-3</v>
          </cell>
          <cell r="D12">
            <v>0</v>
          </cell>
          <cell r="E12">
            <v>0</v>
          </cell>
          <cell r="F12">
            <v>3.2610000000000001</v>
          </cell>
          <cell r="G12">
            <v>2.528</v>
          </cell>
          <cell r="H12" t="str">
            <v>pro_cyclicals</v>
          </cell>
          <cell r="I12" t="str">
            <v>apparel</v>
          </cell>
          <cell r="J12" t="str">
            <v>very_high_beta</v>
          </cell>
          <cell r="K12">
            <v>8.9999999999999993E-3</v>
          </cell>
        </row>
        <row r="13">
          <cell r="A13" t="str">
            <v>CSED3</v>
          </cell>
          <cell r="B13">
            <v>8.9999999999999993E-3</v>
          </cell>
          <cell r="C13">
            <v>8.9999999999999993E-3</v>
          </cell>
          <cell r="D13">
            <v>0</v>
          </cell>
          <cell r="E13">
            <v>0</v>
          </cell>
          <cell r="F13">
            <v>3.2610000000000001</v>
          </cell>
          <cell r="G13">
            <v>2.5739999999999998</v>
          </cell>
          <cell r="H13" t="str">
            <v>pro_cyclicals</v>
          </cell>
          <cell r="I13" t="str">
            <v>education</v>
          </cell>
          <cell r="J13" t="str">
            <v>high_beta</v>
          </cell>
          <cell r="K13">
            <v>8.9999999999999993E-3</v>
          </cell>
        </row>
        <row r="14">
          <cell r="A14" t="str">
            <v>ALLD3</v>
          </cell>
          <cell r="B14">
            <v>8.9999999999999993E-3</v>
          </cell>
          <cell r="C14">
            <v>8.9999999999999993E-3</v>
          </cell>
          <cell r="D14">
            <v>9.9999999999999915E-4</v>
          </cell>
          <cell r="E14">
            <v>0</v>
          </cell>
          <cell r="F14">
            <v>3.2610000000000001</v>
          </cell>
          <cell r="G14">
            <v>2.528</v>
          </cell>
          <cell r="H14" t="str">
            <v>pro_cyclicals</v>
          </cell>
          <cell r="I14" t="str">
            <v>consumer_durables</v>
          </cell>
          <cell r="J14" t="str">
            <v>very_low_beta</v>
          </cell>
          <cell r="K14">
            <v>8.0000000000000002E-3</v>
          </cell>
        </row>
        <row r="15">
          <cell r="A15" t="str">
            <v>SYNE3</v>
          </cell>
          <cell r="B15">
            <v>8.0000000000000002E-3</v>
          </cell>
          <cell r="C15">
            <v>8.0000000000000002E-3</v>
          </cell>
          <cell r="D15">
            <v>0</v>
          </cell>
          <cell r="E15">
            <v>0</v>
          </cell>
          <cell r="F15">
            <v>3.2570000000000001</v>
          </cell>
          <cell r="G15">
            <v>2.5369999999999999</v>
          </cell>
          <cell r="H15" t="str">
            <v>bond_proxies</v>
          </cell>
          <cell r="I15" t="str">
            <v>real_estate</v>
          </cell>
          <cell r="J15" t="str">
            <v>neutral_beta</v>
          </cell>
          <cell r="K15">
            <v>8.0000000000000002E-3</v>
          </cell>
        </row>
        <row r="16">
          <cell r="A16" t="str">
            <v>POMO3</v>
          </cell>
          <cell r="B16">
            <v>8.9999999999999993E-3</v>
          </cell>
          <cell r="C16">
            <v>8.9999999999999993E-3</v>
          </cell>
          <cell r="D16">
            <v>0</v>
          </cell>
          <cell r="E16">
            <v>0</v>
          </cell>
          <cell r="F16">
            <v>3.2280000000000002</v>
          </cell>
          <cell r="G16">
            <v>2.9489999999999998</v>
          </cell>
          <cell r="H16" t="str">
            <v>industrials</v>
          </cell>
          <cell r="I16" t="str">
            <v>capital_goods</v>
          </cell>
          <cell r="J16" t="str">
            <v>neutral_beta</v>
          </cell>
          <cell r="K16">
            <v>8.9999999999999993E-3</v>
          </cell>
        </row>
        <row r="17">
          <cell r="A17" t="str">
            <v>SHUL4</v>
          </cell>
          <cell r="B17">
            <v>1.2E-2</v>
          </cell>
          <cell r="C17">
            <v>1.2E-2</v>
          </cell>
          <cell r="D17">
            <v>0</v>
          </cell>
          <cell r="E17">
            <v>0</v>
          </cell>
          <cell r="F17">
            <v>3.1320000000000001</v>
          </cell>
          <cell r="G17">
            <v>3.8759999999999999</v>
          </cell>
          <cell r="H17" t="str">
            <v>industrials</v>
          </cell>
          <cell r="I17" t="str">
            <v>capital_goods</v>
          </cell>
          <cell r="J17" t="str">
            <v>low_beta</v>
          </cell>
          <cell r="K17">
            <v>1.2E-2</v>
          </cell>
        </row>
        <row r="18">
          <cell r="A18" t="str">
            <v>FIQE3</v>
          </cell>
          <cell r="B18">
            <v>1.2E-2</v>
          </cell>
          <cell r="C18">
            <v>1.2E-2</v>
          </cell>
          <cell r="D18">
            <v>0</v>
          </cell>
          <cell r="E18">
            <v>0</v>
          </cell>
          <cell r="F18">
            <v>3.0819999999999999</v>
          </cell>
          <cell r="G18">
            <v>3.1739999999999999</v>
          </cell>
          <cell r="H18" t="str">
            <v>bond_proxies</v>
          </cell>
          <cell r="I18" t="str">
            <v>telecom</v>
          </cell>
          <cell r="J18" t="str">
            <v>low_beta</v>
          </cell>
          <cell r="K18">
            <v>1.2E-2</v>
          </cell>
        </row>
        <row r="19">
          <cell r="A19" t="str">
            <v>MTRE3</v>
          </cell>
          <cell r="B19">
            <v>1.4E-2</v>
          </cell>
          <cell r="C19">
            <v>1.4E-2</v>
          </cell>
          <cell r="D19">
            <v>-9.9999999999999915E-4</v>
          </cell>
          <cell r="E19">
            <v>0</v>
          </cell>
          <cell r="F19">
            <v>3.077</v>
          </cell>
          <cell r="G19">
            <v>3.0960000000000001</v>
          </cell>
          <cell r="H19" t="str">
            <v>pro_cyclicals</v>
          </cell>
          <cell r="I19" t="str">
            <v>homebuilders</v>
          </cell>
          <cell r="J19" t="str">
            <v>neutral_beta</v>
          </cell>
          <cell r="K19">
            <v>1.4999999999999999E-2</v>
          </cell>
        </row>
        <row r="20">
          <cell r="A20" t="str">
            <v>BRSR6</v>
          </cell>
          <cell r="B20">
            <v>1.2E-2</v>
          </cell>
          <cell r="C20">
            <v>1.2E-2</v>
          </cell>
          <cell r="D20">
            <v>0</v>
          </cell>
          <cell r="E20">
            <v>0</v>
          </cell>
          <cell r="F20">
            <v>3.0529999999999999</v>
          </cell>
          <cell r="G20">
            <v>3.2589999999999999</v>
          </cell>
          <cell r="H20" t="str">
            <v>pro_cyclicals</v>
          </cell>
          <cell r="I20" t="str">
            <v>banks</v>
          </cell>
          <cell r="J20" t="str">
            <v>high_beta</v>
          </cell>
          <cell r="K20">
            <v>1.2E-2</v>
          </cell>
        </row>
        <row r="21">
          <cell r="A21" t="str">
            <v>GRND3</v>
          </cell>
          <cell r="B21">
            <v>8.9999999999999993E-3</v>
          </cell>
          <cell r="C21">
            <v>8.9999999999999993E-3</v>
          </cell>
          <cell r="D21">
            <v>0</v>
          </cell>
          <cell r="E21">
            <v>0</v>
          </cell>
          <cell r="F21">
            <v>3.0070000000000001</v>
          </cell>
          <cell r="G21">
            <v>3.0760000000000001</v>
          </cell>
          <cell r="H21" t="str">
            <v>pro_cyclicals</v>
          </cell>
          <cell r="I21" t="str">
            <v>apparel</v>
          </cell>
          <cell r="J21" t="str">
            <v>very_low_beta</v>
          </cell>
          <cell r="K21">
            <v>8.9999999999999993E-3</v>
          </cell>
        </row>
        <row r="22">
          <cell r="A22" t="str">
            <v>TIMS3</v>
          </cell>
          <cell r="B22">
            <v>1.9E-2</v>
          </cell>
          <cell r="C22">
            <v>1.0999999999999999E-2</v>
          </cell>
          <cell r="D22">
            <v>0</v>
          </cell>
          <cell r="E22">
            <v>8.0000000000000002E-3</v>
          </cell>
          <cell r="F22">
            <v>2.9980000000000002</v>
          </cell>
          <cell r="G22">
            <v>4.5839999999999996</v>
          </cell>
          <cell r="H22" t="str">
            <v>bond_proxies</v>
          </cell>
          <cell r="I22" t="str">
            <v>telecom</v>
          </cell>
          <cell r="J22" t="str">
            <v>very_low_beta</v>
          </cell>
          <cell r="K22">
            <v>1.9E-2</v>
          </cell>
        </row>
        <row r="23">
          <cell r="A23" t="str">
            <v>SAPR4</v>
          </cell>
          <cell r="B23">
            <v>1.0999999999999999E-2</v>
          </cell>
          <cell r="C23">
            <v>1.0999999999999999E-2</v>
          </cell>
          <cell r="D23">
            <v>0</v>
          </cell>
          <cell r="E23">
            <v>0</v>
          </cell>
          <cell r="F23">
            <v>2.9329999999999998</v>
          </cell>
          <cell r="G23">
            <v>3.1629999999999998</v>
          </cell>
          <cell r="H23" t="str">
            <v>bond_proxies</v>
          </cell>
          <cell r="I23" t="str">
            <v>utilities</v>
          </cell>
          <cell r="J23" t="str">
            <v>low_beta</v>
          </cell>
          <cell r="K23">
            <v>1.0999999999999999E-2</v>
          </cell>
        </row>
        <row r="24">
          <cell r="A24" t="str">
            <v>PFRM3</v>
          </cell>
          <cell r="B24">
            <v>8.0000000000000002E-3</v>
          </cell>
          <cell r="C24">
            <v>8.0000000000000002E-3</v>
          </cell>
          <cell r="D24">
            <v>0</v>
          </cell>
          <cell r="E24">
            <v>0</v>
          </cell>
          <cell r="F24">
            <v>2.887</v>
          </cell>
          <cell r="G24">
            <v>2.3029999999999999</v>
          </cell>
          <cell r="H24" t="str">
            <v>defensives</v>
          </cell>
          <cell r="I24" t="str">
            <v>healthcare</v>
          </cell>
          <cell r="J24" t="str">
            <v>high_beta</v>
          </cell>
          <cell r="K24">
            <v>8.0000000000000002E-3</v>
          </cell>
        </row>
        <row r="25">
          <cell r="A25" t="str">
            <v>SAPR3</v>
          </cell>
          <cell r="B25">
            <v>0</v>
          </cell>
          <cell r="C25">
            <v>0</v>
          </cell>
          <cell r="D25">
            <v>-8.9999999999999993E-3</v>
          </cell>
          <cell r="E25">
            <v>0</v>
          </cell>
          <cell r="F25">
            <v>2.85</v>
          </cell>
          <cell r="G25">
            <v>2.4540000000000002</v>
          </cell>
          <cell r="H25" t="str">
            <v>bond_proxies</v>
          </cell>
          <cell r="I25" t="str">
            <v>utilities</v>
          </cell>
          <cell r="J25" t="str">
            <v>high_beta</v>
          </cell>
          <cell r="K25">
            <v>8.9999999999999993E-3</v>
          </cell>
        </row>
        <row r="26">
          <cell r="A26" t="str">
            <v>DEXP3</v>
          </cell>
          <cell r="B26">
            <v>1.0999999999999999E-2</v>
          </cell>
          <cell r="C26">
            <v>1.0999999999999999E-2</v>
          </cell>
          <cell r="D26">
            <v>0</v>
          </cell>
          <cell r="E26">
            <v>0</v>
          </cell>
          <cell r="F26">
            <v>2.8290000000000002</v>
          </cell>
          <cell r="G26">
            <v>2.69</v>
          </cell>
          <cell r="H26" t="str">
            <v>industrials</v>
          </cell>
          <cell r="I26" t="str">
            <v>chemicals</v>
          </cell>
          <cell r="J26" t="str">
            <v>very_low_beta</v>
          </cell>
          <cell r="K26">
            <v>1.0999999999999999E-2</v>
          </cell>
        </row>
        <row r="27">
          <cell r="A27" t="str">
            <v>PETR4</v>
          </cell>
          <cell r="B27">
            <v>5.5E-2</v>
          </cell>
          <cell r="C27">
            <v>-1.7999999999999995E-2</v>
          </cell>
          <cell r="D27">
            <v>2.8000000000000001E-2</v>
          </cell>
          <cell r="E27">
            <v>7.2999999999999995E-2</v>
          </cell>
          <cell r="F27">
            <v>2.806</v>
          </cell>
          <cell r="G27">
            <v>5.734</v>
          </cell>
          <cell r="H27" t="str">
            <v>commodities</v>
          </cell>
          <cell r="I27" t="str">
            <v>crude_oil</v>
          </cell>
          <cell r="J27" t="str">
            <v>very_low_beta</v>
          </cell>
          <cell r="K27">
            <v>2.7E-2</v>
          </cell>
        </row>
        <row r="28">
          <cell r="A28" t="str">
            <v>LEVE3</v>
          </cell>
          <cell r="B28">
            <v>1.0999999999999999E-2</v>
          </cell>
          <cell r="C28">
            <v>1.0999999999999999E-2</v>
          </cell>
          <cell r="D28">
            <v>0</v>
          </cell>
          <cell r="E28">
            <v>0</v>
          </cell>
          <cell r="F28">
            <v>2.6960000000000002</v>
          </cell>
          <cell r="G28">
            <v>3.1960000000000002</v>
          </cell>
          <cell r="H28" t="str">
            <v>industrials</v>
          </cell>
          <cell r="I28" t="str">
            <v>capital_goods</v>
          </cell>
          <cell r="J28" t="str">
            <v>very_low_beta</v>
          </cell>
          <cell r="K28">
            <v>1.0999999999999999E-2</v>
          </cell>
        </row>
        <row r="29">
          <cell r="A29" t="str">
            <v>PETR3</v>
          </cell>
          <cell r="B29">
            <v>0.05</v>
          </cell>
          <cell r="C29">
            <v>-3.9999999999999966E-3</v>
          </cell>
          <cell r="D29">
            <v>2.3000000000000003E-2</v>
          </cell>
          <cell r="E29">
            <v>5.3999999999999999E-2</v>
          </cell>
          <cell r="F29">
            <v>2.6859999999999999</v>
          </cell>
          <cell r="G29">
            <v>5.1319999999999997</v>
          </cell>
          <cell r="H29" t="str">
            <v>commodities</v>
          </cell>
          <cell r="I29" t="str">
            <v>crude_oil</v>
          </cell>
          <cell r="J29" t="str">
            <v>very_low_beta</v>
          </cell>
          <cell r="K29">
            <v>2.7E-2</v>
          </cell>
        </row>
        <row r="30">
          <cell r="A30" t="str">
            <v>ABCB4</v>
          </cell>
          <cell r="B30">
            <v>1.4999999999999999E-2</v>
          </cell>
          <cell r="C30">
            <v>1.4999999999999999E-2</v>
          </cell>
          <cell r="D30">
            <v>0</v>
          </cell>
          <cell r="E30">
            <v>0</v>
          </cell>
          <cell r="F30">
            <v>2.6669999999999998</v>
          </cell>
          <cell r="G30">
            <v>3.4529999999999998</v>
          </cell>
          <cell r="H30" t="str">
            <v>pro_cyclicals</v>
          </cell>
          <cell r="I30" t="str">
            <v>banks</v>
          </cell>
          <cell r="J30" t="str">
            <v>neutral_beta</v>
          </cell>
          <cell r="K30">
            <v>1.4999999999999999E-2</v>
          </cell>
        </row>
        <row r="31">
          <cell r="A31" t="str">
            <v>ALPA4</v>
          </cell>
          <cell r="B31">
            <v>8.9999999999999993E-3</v>
          </cell>
          <cell r="C31">
            <v>8.9999999999999993E-3</v>
          </cell>
          <cell r="D31">
            <v>0</v>
          </cell>
          <cell r="E31">
            <v>0</v>
          </cell>
          <cell r="F31">
            <v>2.6120000000000001</v>
          </cell>
          <cell r="G31">
            <v>2.1760000000000002</v>
          </cell>
          <cell r="H31" t="str">
            <v>pro_cyclicals</v>
          </cell>
          <cell r="I31" t="str">
            <v>apparel</v>
          </cell>
          <cell r="J31" t="str">
            <v>high_beta</v>
          </cell>
          <cell r="K31">
            <v>8.9999999999999993E-3</v>
          </cell>
        </row>
        <row r="32">
          <cell r="A32" t="str">
            <v>SAPR11</v>
          </cell>
          <cell r="B32">
            <v>1.0999999999999999E-2</v>
          </cell>
          <cell r="C32">
            <v>1.0999999999999999E-2</v>
          </cell>
          <cell r="D32">
            <v>0</v>
          </cell>
          <cell r="E32">
            <v>0</v>
          </cell>
          <cell r="F32">
            <v>2.581</v>
          </cell>
          <cell r="G32">
            <v>2.7650000000000001</v>
          </cell>
          <cell r="H32" t="str">
            <v>bond_proxies</v>
          </cell>
          <cell r="I32" t="str">
            <v>utilities</v>
          </cell>
          <cell r="J32" t="str">
            <v>neutral_beta</v>
          </cell>
          <cell r="K32">
            <v>1.0999999999999999E-2</v>
          </cell>
        </row>
        <row r="33">
          <cell r="A33" t="str">
            <v>POMO4</v>
          </cell>
          <cell r="B33">
            <v>0.01</v>
          </cell>
          <cell r="C33">
            <v>8.0000000000000002E-3</v>
          </cell>
          <cell r="D33">
            <v>0</v>
          </cell>
          <cell r="E33">
            <v>2E-3</v>
          </cell>
          <cell r="F33">
            <v>2.5640000000000001</v>
          </cell>
          <cell r="G33">
            <v>2.46</v>
          </cell>
          <cell r="H33" t="str">
            <v>industrials</v>
          </cell>
          <cell r="I33" t="str">
            <v>capital_goods</v>
          </cell>
          <cell r="J33" t="str">
            <v>high_beta</v>
          </cell>
          <cell r="K33">
            <v>0.01</v>
          </cell>
        </row>
        <row r="34">
          <cell r="A34" t="str">
            <v>LOGG3</v>
          </cell>
          <cell r="B34">
            <v>0.01</v>
          </cell>
          <cell r="C34">
            <v>0.01</v>
          </cell>
          <cell r="D34">
            <v>0</v>
          </cell>
          <cell r="E34">
            <v>0</v>
          </cell>
          <cell r="F34">
            <v>2.512</v>
          </cell>
          <cell r="G34">
            <v>2.7240000000000002</v>
          </cell>
          <cell r="H34" t="str">
            <v>bond_proxies</v>
          </cell>
          <cell r="I34" t="str">
            <v>real_estate</v>
          </cell>
          <cell r="J34" t="str">
            <v>low_beta</v>
          </cell>
          <cell r="K34">
            <v>0.01</v>
          </cell>
        </row>
        <row r="35">
          <cell r="A35" t="str">
            <v>ODPV3</v>
          </cell>
          <cell r="B35">
            <v>0.01</v>
          </cell>
          <cell r="C35">
            <v>0.01</v>
          </cell>
          <cell r="D35">
            <v>0</v>
          </cell>
          <cell r="E35">
            <v>0</v>
          </cell>
          <cell r="F35">
            <v>2.4740000000000002</v>
          </cell>
          <cell r="G35">
            <v>2.2610000000000001</v>
          </cell>
          <cell r="H35" t="str">
            <v>defensives</v>
          </cell>
          <cell r="I35" t="str">
            <v>healthcare</v>
          </cell>
          <cell r="J35" t="str">
            <v>very_low_beta</v>
          </cell>
          <cell r="K35">
            <v>0.01</v>
          </cell>
        </row>
        <row r="36">
          <cell r="A36" t="str">
            <v>EVEN3</v>
          </cell>
          <cell r="B36">
            <v>1.0999999999999999E-2</v>
          </cell>
          <cell r="C36">
            <v>1.0999999999999999E-2</v>
          </cell>
          <cell r="D36">
            <v>-1.0000000000000009E-3</v>
          </cell>
          <cell r="E36">
            <v>0</v>
          </cell>
          <cell r="F36">
            <v>2.3519999999999999</v>
          </cell>
          <cell r="G36">
            <v>2.419</v>
          </cell>
          <cell r="H36" t="str">
            <v>pro_cyclicals</v>
          </cell>
          <cell r="I36" t="str">
            <v>homebuilders</v>
          </cell>
          <cell r="J36" t="str">
            <v>high_beta</v>
          </cell>
          <cell r="K36">
            <v>1.2E-2</v>
          </cell>
        </row>
        <row r="37">
          <cell r="A37" t="str">
            <v>CURY3</v>
          </cell>
          <cell r="B37">
            <v>1.0999999999999999E-2</v>
          </cell>
          <cell r="C37">
            <v>8.9999999999999993E-3</v>
          </cell>
          <cell r="D37">
            <v>0</v>
          </cell>
          <cell r="E37">
            <v>2E-3</v>
          </cell>
          <cell r="F37">
            <v>2.3519999999999999</v>
          </cell>
          <cell r="G37">
            <v>2.4940000000000002</v>
          </cell>
          <cell r="H37" t="str">
            <v>pro_cyclicals</v>
          </cell>
          <cell r="I37" t="str">
            <v>homebuilders</v>
          </cell>
          <cell r="J37" t="str">
            <v>low_beta</v>
          </cell>
          <cell r="K37">
            <v>1.0999999999999999E-2</v>
          </cell>
        </row>
        <row r="38">
          <cell r="A38" t="str">
            <v>ALOS3</v>
          </cell>
          <cell r="B38">
            <v>1.6E-2</v>
          </cell>
          <cell r="C38">
            <v>0.01</v>
          </cell>
          <cell r="D38">
            <v>0</v>
          </cell>
          <cell r="E38">
            <v>6.0000000000000001E-3</v>
          </cell>
          <cell r="F38">
            <v>2.3479999999999999</v>
          </cell>
          <cell r="G38">
            <v>3.8740000000000001</v>
          </cell>
          <cell r="H38" t="str">
            <v>bond_proxies</v>
          </cell>
          <cell r="I38" t="str">
            <v>real_estate</v>
          </cell>
          <cell r="J38" t="str">
            <v>high_beta</v>
          </cell>
          <cell r="K38">
            <v>1.6E-2</v>
          </cell>
        </row>
        <row r="39">
          <cell r="A39" t="str">
            <v>ITSA3</v>
          </cell>
          <cell r="B39">
            <v>2.1000000000000001E-2</v>
          </cell>
          <cell r="C39">
            <v>2.1000000000000001E-2</v>
          </cell>
          <cell r="D39">
            <v>0</v>
          </cell>
          <cell r="E39">
            <v>0</v>
          </cell>
          <cell r="F39">
            <v>2.3340000000000001</v>
          </cell>
          <cell r="G39">
            <v>3.14</v>
          </cell>
          <cell r="H39" t="str">
            <v>pro_cyclicals</v>
          </cell>
          <cell r="I39" t="str">
            <v>banks</v>
          </cell>
          <cell r="J39" t="str">
            <v>neutral_beta</v>
          </cell>
          <cell r="K39">
            <v>2.1000000000000001E-2</v>
          </cell>
        </row>
        <row r="40">
          <cell r="A40" t="str">
            <v>MELK3</v>
          </cell>
          <cell r="B40">
            <v>1.15E-2</v>
          </cell>
          <cell r="C40">
            <v>1.15E-2</v>
          </cell>
          <cell r="D40">
            <v>-1.4999999999999996E-3</v>
          </cell>
          <cell r="E40">
            <v>0</v>
          </cell>
          <cell r="F40">
            <v>2.3149999999999999</v>
          </cell>
          <cell r="G40">
            <v>2.5390000000000001</v>
          </cell>
          <cell r="H40" t="str">
            <v>pro_cyclicals</v>
          </cell>
          <cell r="I40" t="str">
            <v>homebuilders</v>
          </cell>
          <cell r="J40" t="str">
            <v>neutral_beta</v>
          </cell>
          <cell r="K40">
            <v>1.2999999999999999E-2</v>
          </cell>
        </row>
        <row r="41">
          <cell r="A41" t="str">
            <v>VLID3</v>
          </cell>
          <cell r="B41">
            <v>1.2500000000000001E-2</v>
          </cell>
          <cell r="C41">
            <v>1.2500000000000001E-2</v>
          </cell>
          <cell r="D41">
            <v>-1.4999999999999996E-3</v>
          </cell>
          <cell r="E41">
            <v>0</v>
          </cell>
          <cell r="F41">
            <v>2.2770000000000001</v>
          </cell>
          <cell r="G41">
            <v>2.2930000000000001</v>
          </cell>
          <cell r="H41" t="str">
            <v>pro_cyclicals</v>
          </cell>
          <cell r="I41" t="str">
            <v>tech</v>
          </cell>
          <cell r="J41" t="str">
            <v>low_beta</v>
          </cell>
          <cell r="K41">
            <v>1.4E-2</v>
          </cell>
        </row>
        <row r="42">
          <cell r="A42" t="str">
            <v>TRIS3</v>
          </cell>
          <cell r="B42">
            <v>5.0000000000000001E-3</v>
          </cell>
          <cell r="C42">
            <v>5.0000000000000001E-3</v>
          </cell>
          <cell r="D42">
            <v>0</v>
          </cell>
          <cell r="E42">
            <v>0</v>
          </cell>
          <cell r="F42">
            <v>2.2280000000000002</v>
          </cell>
          <cell r="G42">
            <v>1.6439999999999999</v>
          </cell>
          <cell r="H42" t="str">
            <v>pro_cyclicals</v>
          </cell>
          <cell r="I42" t="str">
            <v>homebuilders</v>
          </cell>
          <cell r="J42" t="str">
            <v>high_beta</v>
          </cell>
          <cell r="K42">
            <v>5.0000000000000001E-3</v>
          </cell>
        </row>
        <row r="43">
          <cell r="A43" t="str">
            <v>VULC3</v>
          </cell>
          <cell r="B43">
            <v>1.2E-2</v>
          </cell>
          <cell r="C43">
            <v>1.2E-2</v>
          </cell>
          <cell r="D43">
            <v>0</v>
          </cell>
          <cell r="E43">
            <v>0</v>
          </cell>
          <cell r="F43">
            <v>2.2240000000000002</v>
          </cell>
          <cell r="G43">
            <v>2.4630000000000001</v>
          </cell>
          <cell r="H43" t="str">
            <v>pro_cyclicals</v>
          </cell>
          <cell r="I43" t="str">
            <v>apparel</v>
          </cell>
          <cell r="J43" t="str">
            <v>low_beta</v>
          </cell>
          <cell r="K43">
            <v>1.2E-2</v>
          </cell>
        </row>
        <row r="44">
          <cell r="A44" t="str">
            <v>INTB3</v>
          </cell>
          <cell r="B44">
            <v>1.0999999999999999E-2</v>
          </cell>
          <cell r="C44">
            <v>1.0999999999999999E-2</v>
          </cell>
          <cell r="D44">
            <v>0</v>
          </cell>
          <cell r="E44">
            <v>0</v>
          </cell>
          <cell r="F44">
            <v>2.2210000000000001</v>
          </cell>
          <cell r="G44">
            <v>2.1160000000000001</v>
          </cell>
          <cell r="H44" t="str">
            <v>pro_cyclicals</v>
          </cell>
          <cell r="I44" t="str">
            <v>tech</v>
          </cell>
          <cell r="J44" t="str">
            <v>high_beta</v>
          </cell>
          <cell r="K44">
            <v>1.0999999999999999E-2</v>
          </cell>
        </row>
        <row r="45">
          <cell r="A45" t="str">
            <v>BMEB4</v>
          </cell>
          <cell r="B45">
            <v>8.0000000000000002E-3</v>
          </cell>
          <cell r="C45">
            <v>8.0000000000000002E-3</v>
          </cell>
          <cell r="D45">
            <v>0</v>
          </cell>
          <cell r="E45">
            <v>0</v>
          </cell>
          <cell r="F45">
            <v>2.1819999999999999</v>
          </cell>
          <cell r="G45">
            <v>1.6180000000000001</v>
          </cell>
          <cell r="H45" t="str">
            <v>pro_cyclicals</v>
          </cell>
          <cell r="I45" t="str">
            <v>banks</v>
          </cell>
          <cell r="J45" t="str">
            <v>high_beta</v>
          </cell>
          <cell r="K45">
            <v>8.0000000000000002E-3</v>
          </cell>
        </row>
        <row r="46">
          <cell r="A46" t="str">
            <v>MLAS3</v>
          </cell>
          <cell r="B46">
            <v>7.0000000000000001E-3</v>
          </cell>
          <cell r="C46">
            <v>7.0000000000000001E-3</v>
          </cell>
          <cell r="D46">
            <v>0</v>
          </cell>
          <cell r="E46">
            <v>0</v>
          </cell>
          <cell r="F46">
            <v>2.15</v>
          </cell>
          <cell r="G46">
            <v>1.6220000000000001</v>
          </cell>
          <cell r="H46" t="str">
            <v>pro_cyclicals</v>
          </cell>
          <cell r="I46" t="str">
            <v>tech</v>
          </cell>
          <cell r="J46" t="str">
            <v>neutral_beta</v>
          </cell>
          <cell r="K46">
            <v>7.0000000000000001E-3</v>
          </cell>
        </row>
        <row r="47">
          <cell r="A47" t="str">
            <v>ALUP11</v>
          </cell>
          <cell r="B47">
            <v>0.02</v>
          </cell>
          <cell r="C47">
            <v>0.02</v>
          </cell>
          <cell r="D47">
            <v>0</v>
          </cell>
          <cell r="E47">
            <v>0</v>
          </cell>
          <cell r="F47">
            <v>2.081</v>
          </cell>
          <cell r="G47">
            <v>2.7989999999999999</v>
          </cell>
          <cell r="H47" t="str">
            <v>bond_proxies</v>
          </cell>
          <cell r="I47" t="str">
            <v>utilities</v>
          </cell>
          <cell r="J47" t="str">
            <v>very_low_beta</v>
          </cell>
          <cell r="K47">
            <v>0.02</v>
          </cell>
        </row>
        <row r="48">
          <cell r="A48" t="str">
            <v>PNVL3</v>
          </cell>
          <cell r="B48">
            <v>1.2E-2</v>
          </cell>
          <cell r="C48">
            <v>1.2E-2</v>
          </cell>
          <cell r="D48">
            <v>0</v>
          </cell>
          <cell r="E48">
            <v>0</v>
          </cell>
          <cell r="F48">
            <v>2.0649999999999999</v>
          </cell>
          <cell r="G48">
            <v>2.254</v>
          </cell>
          <cell r="H48" t="str">
            <v>defensives</v>
          </cell>
          <cell r="I48" t="str">
            <v>healthcare</v>
          </cell>
          <cell r="J48" t="str">
            <v>neutral_beta</v>
          </cell>
          <cell r="K48">
            <v>1.2E-2</v>
          </cell>
        </row>
        <row r="49">
          <cell r="A49" t="str">
            <v>RECV3</v>
          </cell>
          <cell r="B49">
            <v>1.4999999999999999E-2</v>
          </cell>
          <cell r="C49">
            <v>1.4E-2</v>
          </cell>
          <cell r="D49">
            <v>0</v>
          </cell>
          <cell r="E49">
            <v>9.9999999999999915E-4</v>
          </cell>
          <cell r="F49">
            <v>2.0209999999999999</v>
          </cell>
          <cell r="G49">
            <v>2.02</v>
          </cell>
          <cell r="H49" t="str">
            <v>commodities</v>
          </cell>
          <cell r="I49" t="str">
            <v>crude_oil</v>
          </cell>
          <cell r="J49" t="str">
            <v>very_low_beta</v>
          </cell>
          <cell r="K49">
            <v>1.4999999999999999E-2</v>
          </cell>
        </row>
        <row r="50">
          <cell r="A50" t="str">
            <v>OPCT3</v>
          </cell>
          <cell r="B50">
            <v>1.4E-2</v>
          </cell>
          <cell r="C50">
            <v>1.4E-2</v>
          </cell>
          <cell r="D50">
            <v>0</v>
          </cell>
          <cell r="E50">
            <v>0</v>
          </cell>
          <cell r="F50">
            <v>1.992</v>
          </cell>
          <cell r="G50">
            <v>2.149</v>
          </cell>
          <cell r="H50" t="str">
            <v>commodities</v>
          </cell>
          <cell r="I50" t="str">
            <v>crude_oil</v>
          </cell>
          <cell r="J50" t="str">
            <v>very_low_beta</v>
          </cell>
          <cell r="K50">
            <v>1.4E-2</v>
          </cell>
        </row>
        <row r="51">
          <cell r="A51" t="str">
            <v>LAVV3</v>
          </cell>
          <cell r="B51">
            <v>1.0999999999999999E-2</v>
          </cell>
          <cell r="C51">
            <v>1.0999999999999999E-2</v>
          </cell>
          <cell r="D51">
            <v>-3.0000000000000009E-3</v>
          </cell>
          <cell r="E51">
            <v>0</v>
          </cell>
          <cell r="F51">
            <v>1.9830000000000001</v>
          </cell>
          <cell r="G51">
            <v>2.2890000000000001</v>
          </cell>
          <cell r="H51" t="str">
            <v>pro_cyclicals</v>
          </cell>
          <cell r="I51" t="str">
            <v>homebuilders</v>
          </cell>
          <cell r="J51" t="str">
            <v>high_beta</v>
          </cell>
          <cell r="K51">
            <v>1.4E-2</v>
          </cell>
        </row>
        <row r="52">
          <cell r="A52" t="str">
            <v>VIVT3</v>
          </cell>
          <cell r="B52">
            <v>1.6E-2</v>
          </cell>
          <cell r="C52">
            <v>6.0000000000000001E-3</v>
          </cell>
          <cell r="D52">
            <v>0</v>
          </cell>
          <cell r="E52">
            <v>0.01</v>
          </cell>
          <cell r="F52">
            <v>1.978</v>
          </cell>
          <cell r="G52">
            <v>3.4750000000000001</v>
          </cell>
          <cell r="H52" t="str">
            <v>bond_proxies</v>
          </cell>
          <cell r="I52" t="str">
            <v>telecom</v>
          </cell>
          <cell r="J52" t="str">
            <v>very_low_beta</v>
          </cell>
          <cell r="K52">
            <v>1.6E-2</v>
          </cell>
        </row>
        <row r="53">
          <cell r="A53" t="str">
            <v>PINE4</v>
          </cell>
          <cell r="B53">
            <v>8.9999999999999993E-3</v>
          </cell>
          <cell r="C53">
            <v>8.9999999999999993E-3</v>
          </cell>
          <cell r="D53">
            <v>0</v>
          </cell>
          <cell r="E53">
            <v>0</v>
          </cell>
          <cell r="F53">
            <v>1.9630000000000001</v>
          </cell>
          <cell r="G53">
            <v>1.5229999999999999</v>
          </cell>
          <cell r="H53" t="str">
            <v>pro_cyclicals</v>
          </cell>
          <cell r="I53" t="str">
            <v>banks</v>
          </cell>
          <cell r="J53" t="str">
            <v>neutral_beta</v>
          </cell>
          <cell r="K53">
            <v>8.9999999999999993E-3</v>
          </cell>
        </row>
        <row r="54">
          <cell r="A54" t="str">
            <v>BMOB3</v>
          </cell>
          <cell r="B54">
            <v>0.01</v>
          </cell>
          <cell r="C54">
            <v>0.01</v>
          </cell>
          <cell r="D54">
            <v>-2E-3</v>
          </cell>
          <cell r="E54">
            <v>0</v>
          </cell>
          <cell r="F54">
            <v>1.913</v>
          </cell>
          <cell r="G54">
            <v>1.879</v>
          </cell>
          <cell r="H54" t="str">
            <v>pro_cyclicals</v>
          </cell>
          <cell r="I54" t="str">
            <v>tech</v>
          </cell>
          <cell r="J54" t="str">
            <v>high_beta</v>
          </cell>
          <cell r="K54">
            <v>1.2E-2</v>
          </cell>
        </row>
        <row r="55">
          <cell r="A55" t="str">
            <v>POSI3</v>
          </cell>
          <cell r="B55">
            <v>0.01</v>
          </cell>
          <cell r="C55">
            <v>0.01</v>
          </cell>
          <cell r="D55">
            <v>-4.0000000000000001E-3</v>
          </cell>
          <cell r="E55">
            <v>0</v>
          </cell>
          <cell r="F55">
            <v>1.847</v>
          </cell>
          <cell r="G55">
            <v>1.5680000000000001</v>
          </cell>
          <cell r="H55" t="str">
            <v>pro_cyclicals</v>
          </cell>
          <cell r="I55" t="str">
            <v>tech</v>
          </cell>
          <cell r="J55" t="str">
            <v>low_beta</v>
          </cell>
          <cell r="K55">
            <v>1.4E-2</v>
          </cell>
        </row>
        <row r="56">
          <cell r="A56" t="str">
            <v>ITSA4</v>
          </cell>
          <cell r="B56">
            <v>2.5000000000000001E-2</v>
          </cell>
          <cell r="C56">
            <v>-5.9999999999999984E-3</v>
          </cell>
          <cell r="D56">
            <v>0</v>
          </cell>
          <cell r="E56">
            <v>3.1E-2</v>
          </cell>
          <cell r="F56">
            <v>1.845</v>
          </cell>
          <cell r="G56">
            <v>4.0359999999999996</v>
          </cell>
          <cell r="H56" t="str">
            <v>pro_cyclicals</v>
          </cell>
          <cell r="I56" t="str">
            <v>banks</v>
          </cell>
          <cell r="J56" t="str">
            <v>neutral_beta</v>
          </cell>
          <cell r="K56">
            <v>2.5000000000000001E-2</v>
          </cell>
        </row>
        <row r="57">
          <cell r="A57" t="str">
            <v>ABEV3</v>
          </cell>
          <cell r="B57">
            <v>1.7000000000000001E-2</v>
          </cell>
          <cell r="C57">
            <v>-5.9999999999999984E-3</v>
          </cell>
          <cell r="D57">
            <v>2.0000000000000018E-3</v>
          </cell>
          <cell r="E57">
            <v>2.3E-2</v>
          </cell>
          <cell r="F57">
            <v>1.8420000000000001</v>
          </cell>
          <cell r="G57">
            <v>4.0289999999999999</v>
          </cell>
          <cell r="H57" t="str">
            <v>defensives</v>
          </cell>
          <cell r="I57" t="str">
            <v>consumer_staples</v>
          </cell>
          <cell r="J57" t="str">
            <v>very_low_beta</v>
          </cell>
          <cell r="K57">
            <v>1.4999999999999999E-2</v>
          </cell>
        </row>
        <row r="58">
          <cell r="A58" t="str">
            <v>VVEO3</v>
          </cell>
          <cell r="B58">
            <v>4.0000000000000001E-3</v>
          </cell>
          <cell r="C58">
            <v>4.0000000000000001E-3</v>
          </cell>
          <cell r="D58">
            <v>0</v>
          </cell>
          <cell r="E58">
            <v>0</v>
          </cell>
          <cell r="F58">
            <v>1.84</v>
          </cell>
          <cell r="G58">
            <v>1.292</v>
          </cell>
          <cell r="H58" t="str">
            <v>defensives</v>
          </cell>
          <cell r="I58" t="str">
            <v>healthcare</v>
          </cell>
          <cell r="J58" t="str">
            <v>high_beta</v>
          </cell>
          <cell r="K58">
            <v>4.0000000000000001E-3</v>
          </cell>
        </row>
        <row r="59">
          <cell r="A59" t="str">
            <v>BRAP3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1.794</v>
          </cell>
          <cell r="G59">
            <v>2.2879999999999998</v>
          </cell>
          <cell r="H59" t="str">
            <v>commodities</v>
          </cell>
          <cell r="I59" t="str">
            <v>basic_materials</v>
          </cell>
          <cell r="J59" t="str">
            <v>low_beta</v>
          </cell>
          <cell r="K59">
            <v>0</v>
          </cell>
        </row>
        <row r="60">
          <cell r="A60" t="str">
            <v>MDNE3</v>
          </cell>
          <cell r="B60">
            <v>7.0000000000000001E-3</v>
          </cell>
          <cell r="C60">
            <v>7.0000000000000001E-3</v>
          </cell>
          <cell r="D60">
            <v>-1.9999999999999992E-3</v>
          </cell>
          <cell r="E60">
            <v>0</v>
          </cell>
          <cell r="F60">
            <v>1.792</v>
          </cell>
          <cell r="G60">
            <v>1.4059999999999999</v>
          </cell>
          <cell r="H60" t="str">
            <v>pro_cyclicals</v>
          </cell>
          <cell r="I60" t="str">
            <v>homebuilders</v>
          </cell>
          <cell r="J60" t="str">
            <v>very_high_beta</v>
          </cell>
          <cell r="K60">
            <v>8.9999999999999993E-3</v>
          </cell>
        </row>
        <row r="61">
          <cell r="A61" t="str">
            <v>PSSA3</v>
          </cell>
          <cell r="B61">
            <v>1.2999999999999999E-2</v>
          </cell>
          <cell r="C61">
            <v>8.9999999999999993E-3</v>
          </cell>
          <cell r="D61">
            <v>0</v>
          </cell>
          <cell r="E61">
            <v>4.0000000000000001E-3</v>
          </cell>
          <cell r="F61">
            <v>1.7889999999999999</v>
          </cell>
          <cell r="G61">
            <v>2.3010000000000002</v>
          </cell>
          <cell r="H61" t="str">
            <v>defensives</v>
          </cell>
          <cell r="I61" t="str">
            <v>float_financials</v>
          </cell>
          <cell r="J61" t="str">
            <v>very_low_beta</v>
          </cell>
          <cell r="K61">
            <v>1.2999999999999999E-2</v>
          </cell>
        </row>
        <row r="62">
          <cell r="A62" t="str">
            <v>NEOE3</v>
          </cell>
          <cell r="B62">
            <v>0</v>
          </cell>
          <cell r="C62">
            <v>0</v>
          </cell>
          <cell r="D62">
            <v>-1.4E-2</v>
          </cell>
          <cell r="E62">
            <v>0</v>
          </cell>
          <cell r="F62">
            <v>1.7529999999999999</v>
          </cell>
          <cell r="G62">
            <v>2.1259999999999999</v>
          </cell>
          <cell r="H62" t="str">
            <v>bond_proxies</v>
          </cell>
          <cell r="I62" t="str">
            <v>utilities</v>
          </cell>
          <cell r="J62" t="str">
            <v>very_low_beta</v>
          </cell>
          <cell r="K62">
            <v>1.4E-2</v>
          </cell>
        </row>
        <row r="63">
          <cell r="A63" t="str">
            <v>SEER3</v>
          </cell>
          <cell r="B63">
            <v>6.0000000000000001E-3</v>
          </cell>
          <cell r="C63">
            <v>6.0000000000000001E-3</v>
          </cell>
          <cell r="D63">
            <v>-1E-3</v>
          </cell>
          <cell r="E63">
            <v>0</v>
          </cell>
          <cell r="F63">
            <v>1.7250000000000001</v>
          </cell>
          <cell r="G63">
            <v>1.248</v>
          </cell>
          <cell r="H63" t="str">
            <v>pro_cyclicals</v>
          </cell>
          <cell r="I63" t="str">
            <v>education</v>
          </cell>
          <cell r="J63" t="str">
            <v>neutral_beta</v>
          </cell>
          <cell r="K63">
            <v>7.0000000000000001E-3</v>
          </cell>
        </row>
        <row r="64">
          <cell r="A64" t="str">
            <v>CAML3</v>
          </cell>
          <cell r="B64">
            <v>0.01</v>
          </cell>
          <cell r="C64">
            <v>0.01</v>
          </cell>
          <cell r="D64">
            <v>0</v>
          </cell>
          <cell r="E64">
            <v>0</v>
          </cell>
          <cell r="F64">
            <v>1.641</v>
          </cell>
          <cell r="G64">
            <v>1.5569999999999999</v>
          </cell>
          <cell r="H64" t="str">
            <v>defensives</v>
          </cell>
          <cell r="I64" t="str">
            <v>consumer_staples</v>
          </cell>
          <cell r="J64" t="str">
            <v>very_high_beta</v>
          </cell>
          <cell r="K64">
            <v>0.01</v>
          </cell>
        </row>
        <row r="65">
          <cell r="A65" t="str">
            <v>HBRE3</v>
          </cell>
          <cell r="B65">
            <v>8.0000000000000002E-3</v>
          </cell>
          <cell r="C65">
            <v>8.0000000000000002E-3</v>
          </cell>
          <cell r="D65">
            <v>0</v>
          </cell>
          <cell r="E65">
            <v>0</v>
          </cell>
          <cell r="F65">
            <v>1.6180000000000001</v>
          </cell>
          <cell r="G65">
            <v>1.25</v>
          </cell>
          <cell r="H65" t="str">
            <v>bond_proxies</v>
          </cell>
          <cell r="I65" t="str">
            <v>real_estate</v>
          </cell>
          <cell r="J65" t="str">
            <v>very_high_beta</v>
          </cell>
          <cell r="K65">
            <v>8.0000000000000002E-3</v>
          </cell>
        </row>
        <row r="66">
          <cell r="A66" t="str">
            <v>ITUB3</v>
          </cell>
          <cell r="B66">
            <v>2.3E-2</v>
          </cell>
          <cell r="C66">
            <v>2.3E-2</v>
          </cell>
          <cell r="D66">
            <v>0</v>
          </cell>
          <cell r="E66">
            <v>0</v>
          </cell>
          <cell r="F66">
            <v>1.5840000000000001</v>
          </cell>
          <cell r="G66">
            <v>2.13</v>
          </cell>
          <cell r="H66" t="str">
            <v>pro_cyclicals</v>
          </cell>
          <cell r="I66" t="str">
            <v>banks</v>
          </cell>
          <cell r="J66" t="str">
            <v>neutral_beta</v>
          </cell>
          <cell r="K66">
            <v>2.3E-2</v>
          </cell>
        </row>
        <row r="67">
          <cell r="A67" t="str">
            <v>BBSE3</v>
          </cell>
          <cell r="B67">
            <v>0.02</v>
          </cell>
          <cell r="C67">
            <v>1.2999999999999999E-2</v>
          </cell>
          <cell r="D67">
            <v>0</v>
          </cell>
          <cell r="E67">
            <v>7.000000000000001E-3</v>
          </cell>
          <cell r="F67">
            <v>1.5409999999999999</v>
          </cell>
          <cell r="G67">
            <v>2.6040000000000001</v>
          </cell>
          <cell r="H67" t="str">
            <v>defensives</v>
          </cell>
          <cell r="I67" t="str">
            <v>float_financials</v>
          </cell>
          <cell r="J67" t="str">
            <v>very_low_beta</v>
          </cell>
          <cell r="K67">
            <v>0.02</v>
          </cell>
        </row>
        <row r="68">
          <cell r="A68" t="str">
            <v>TAEE3</v>
          </cell>
          <cell r="B68">
            <v>1.7999999999999999E-2</v>
          </cell>
          <cell r="C68">
            <v>1.7999999999999999E-2</v>
          </cell>
          <cell r="D68">
            <v>0</v>
          </cell>
          <cell r="E68">
            <v>0</v>
          </cell>
          <cell r="F68">
            <v>1.478</v>
          </cell>
          <cell r="G68">
            <v>1.9690000000000001</v>
          </cell>
          <cell r="H68" t="str">
            <v>bond_proxies</v>
          </cell>
          <cell r="I68" t="str">
            <v>utilities</v>
          </cell>
          <cell r="J68" t="str">
            <v>low_beta</v>
          </cell>
          <cell r="K68">
            <v>1.7999999999999999E-2</v>
          </cell>
        </row>
        <row r="69">
          <cell r="A69" t="str">
            <v>TAEE4</v>
          </cell>
          <cell r="B69">
            <v>1.7000000000000001E-2</v>
          </cell>
          <cell r="C69">
            <v>1.7000000000000001E-2</v>
          </cell>
          <cell r="D69">
            <v>0</v>
          </cell>
          <cell r="E69">
            <v>0</v>
          </cell>
          <cell r="F69">
            <v>1.4590000000000001</v>
          </cell>
          <cell r="G69">
            <v>1.9630000000000001</v>
          </cell>
          <cell r="H69" t="str">
            <v>bond_proxies</v>
          </cell>
          <cell r="I69" t="str">
            <v>utilities</v>
          </cell>
          <cell r="J69" t="str">
            <v>low_beta</v>
          </cell>
          <cell r="K69">
            <v>1.7000000000000001E-2</v>
          </cell>
        </row>
        <row r="70">
          <cell r="A70" t="str">
            <v>AZZA3</v>
          </cell>
          <cell r="B70">
            <v>6.0000000000000001E-3</v>
          </cell>
          <cell r="C70">
            <v>5.000000000000001E-3</v>
          </cell>
          <cell r="D70">
            <v>-2.9999999999999992E-3</v>
          </cell>
          <cell r="E70">
            <v>9.9999999999999915E-4</v>
          </cell>
          <cell r="F70">
            <v>1.4379999999999999</v>
          </cell>
          <cell r="G70">
            <v>1.117</v>
          </cell>
          <cell r="H70" t="str">
            <v>pro_cyclicals</v>
          </cell>
          <cell r="I70" t="str">
            <v>apparel</v>
          </cell>
          <cell r="J70" t="str">
            <v>neutral_beta</v>
          </cell>
          <cell r="K70">
            <v>8.9999999999999993E-3</v>
          </cell>
        </row>
        <row r="71">
          <cell r="A71" t="str">
            <v>AXIA6</v>
          </cell>
          <cell r="B71">
            <v>2.3E-2</v>
          </cell>
          <cell r="C71">
            <v>1.7000000000000001E-2</v>
          </cell>
          <cell r="D71">
            <v>0</v>
          </cell>
          <cell r="E71">
            <v>5.9999999999999984E-3</v>
          </cell>
          <cell r="F71">
            <v>1.4339999999999999</v>
          </cell>
          <cell r="G71">
            <v>2.3239999999999998</v>
          </cell>
          <cell r="H71" t="str">
            <v>bond_proxies</v>
          </cell>
          <cell r="I71" t="str">
            <v>utilities</v>
          </cell>
          <cell r="J71" t="str">
            <v>high_beta</v>
          </cell>
          <cell r="K71">
            <v>2.3E-2</v>
          </cell>
        </row>
        <row r="72">
          <cell r="A72" t="str">
            <v>BBDC3</v>
          </cell>
          <cell r="B72">
            <v>2.3E-2</v>
          </cell>
          <cell r="C72">
            <v>1.2999999999999999E-2</v>
          </cell>
          <cell r="D72">
            <v>0</v>
          </cell>
          <cell r="E72">
            <v>0.01</v>
          </cell>
          <cell r="F72">
            <v>1.429</v>
          </cell>
          <cell r="G72">
            <v>2.5430000000000001</v>
          </cell>
          <cell r="H72" t="str">
            <v>pro_cyclicals</v>
          </cell>
          <cell r="I72" t="str">
            <v>banks</v>
          </cell>
          <cell r="J72" t="str">
            <v>neutral_beta</v>
          </cell>
          <cell r="K72">
            <v>2.3E-2</v>
          </cell>
        </row>
        <row r="73">
          <cell r="A73" t="str">
            <v>BRBI11</v>
          </cell>
          <cell r="B73">
            <v>1.0999999999999999E-2</v>
          </cell>
          <cell r="C73">
            <v>1.0999999999999999E-2</v>
          </cell>
          <cell r="D73">
            <v>0</v>
          </cell>
          <cell r="E73">
            <v>0</v>
          </cell>
          <cell r="F73">
            <v>1.37</v>
          </cell>
          <cell r="G73">
            <v>1.343</v>
          </cell>
          <cell r="H73" t="str">
            <v>pro_cyclicals</v>
          </cell>
          <cell r="I73" t="str">
            <v>banks</v>
          </cell>
          <cell r="J73" t="str">
            <v>very_low_beta</v>
          </cell>
          <cell r="K73">
            <v>1.0999999999999999E-2</v>
          </cell>
        </row>
        <row r="74">
          <cell r="A74" t="str">
            <v>CPLE3</v>
          </cell>
          <cell r="B74">
            <v>2.1999999999999999E-2</v>
          </cell>
          <cell r="C74">
            <v>1.0999999999999999E-2</v>
          </cell>
          <cell r="D74">
            <v>0</v>
          </cell>
          <cell r="E74">
            <v>1.0999999999999999E-2</v>
          </cell>
          <cell r="F74">
            <v>1.355</v>
          </cell>
          <cell r="G74">
            <v>2.4950000000000001</v>
          </cell>
          <cell r="H74" t="str">
            <v>bond_proxies</v>
          </cell>
          <cell r="I74" t="str">
            <v>utilities</v>
          </cell>
          <cell r="J74" t="str">
            <v>neutral_beta</v>
          </cell>
          <cell r="K74">
            <v>2.1999999999999999E-2</v>
          </cell>
        </row>
        <row r="75">
          <cell r="A75" t="str">
            <v>BRAP4</v>
          </cell>
          <cell r="B75">
            <v>5.0000000000000001E-3</v>
          </cell>
          <cell r="C75">
            <v>3.0000000000000001E-3</v>
          </cell>
          <cell r="D75">
            <v>5.0000000000000001E-3</v>
          </cell>
          <cell r="E75">
            <v>2E-3</v>
          </cell>
          <cell r="F75">
            <v>1.349</v>
          </cell>
          <cell r="G75">
            <v>1.8320000000000001</v>
          </cell>
          <cell r="H75" t="str">
            <v>commodities</v>
          </cell>
          <cell r="I75" t="str">
            <v>basic_materials</v>
          </cell>
          <cell r="J75" t="str">
            <v>high_beta</v>
          </cell>
          <cell r="K75">
            <v>0</v>
          </cell>
        </row>
        <row r="76">
          <cell r="A76" t="str">
            <v>DIRR3</v>
          </cell>
          <cell r="B76">
            <v>7.4999999999999997E-3</v>
          </cell>
          <cell r="C76">
            <v>5.4999999999999997E-3</v>
          </cell>
          <cell r="D76">
            <v>-3.4999999999999996E-3</v>
          </cell>
          <cell r="E76">
            <v>2E-3</v>
          </cell>
          <cell r="F76">
            <v>1.3340000000000001</v>
          </cell>
          <cell r="G76">
            <v>1.377</v>
          </cell>
          <cell r="H76" t="str">
            <v>pro_cyclicals</v>
          </cell>
          <cell r="I76" t="str">
            <v>homebuilders</v>
          </cell>
          <cell r="J76" t="str">
            <v>high_beta</v>
          </cell>
          <cell r="K76">
            <v>1.0999999999999999E-2</v>
          </cell>
        </row>
        <row r="77">
          <cell r="A77" t="str">
            <v>CMIG4</v>
          </cell>
          <cell r="B77">
            <v>1.7500000000000002E-2</v>
          </cell>
          <cell r="C77">
            <v>8.5000000000000006E-3</v>
          </cell>
          <cell r="D77">
            <v>-3.4999999999999996E-3</v>
          </cell>
          <cell r="E77">
            <v>9.0000000000000011E-3</v>
          </cell>
          <cell r="F77">
            <v>1.3129999999999999</v>
          </cell>
          <cell r="G77">
            <v>2.359</v>
          </cell>
          <cell r="H77" t="str">
            <v>bond_proxies</v>
          </cell>
          <cell r="I77" t="str">
            <v>utilities</v>
          </cell>
          <cell r="J77" t="str">
            <v>low_beta</v>
          </cell>
          <cell r="K77">
            <v>2.1000000000000001E-2</v>
          </cell>
        </row>
        <row r="78">
          <cell r="A78" t="str">
            <v>FESA4</v>
          </cell>
          <cell r="B78">
            <v>8.0000000000000002E-3</v>
          </cell>
          <cell r="C78">
            <v>8.0000000000000002E-3</v>
          </cell>
          <cell r="D78">
            <v>0</v>
          </cell>
          <cell r="E78">
            <v>0</v>
          </cell>
          <cell r="F78">
            <v>1.292</v>
          </cell>
          <cell r="G78">
            <v>1.3320000000000001</v>
          </cell>
          <cell r="H78" t="str">
            <v>commodities</v>
          </cell>
          <cell r="I78" t="str">
            <v>basic_materials</v>
          </cell>
          <cell r="J78" t="str">
            <v>low_beta</v>
          </cell>
          <cell r="K78">
            <v>8.0000000000000002E-3</v>
          </cell>
        </row>
        <row r="79">
          <cell r="A79" t="str">
            <v>LREN3</v>
          </cell>
          <cell r="B79">
            <v>0.01</v>
          </cell>
          <cell r="C79">
            <v>4.0000000000000001E-3</v>
          </cell>
          <cell r="D79">
            <v>-4.9999999999999992E-3</v>
          </cell>
          <cell r="E79">
            <v>6.0000000000000001E-3</v>
          </cell>
          <cell r="F79">
            <v>1.278</v>
          </cell>
          <cell r="G79">
            <v>1.579</v>
          </cell>
          <cell r="H79" t="str">
            <v>pro_cyclicals</v>
          </cell>
          <cell r="I79" t="str">
            <v>apparel</v>
          </cell>
          <cell r="J79" t="str">
            <v>neutral_beta</v>
          </cell>
          <cell r="K79">
            <v>1.4999999999999999E-2</v>
          </cell>
        </row>
        <row r="80">
          <cell r="A80" t="str">
            <v>RANI3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1.268</v>
          </cell>
          <cell r="G80">
            <v>1.4950000000000001</v>
          </cell>
          <cell r="H80" t="str">
            <v>defensives</v>
          </cell>
          <cell r="I80" t="str">
            <v>consumer_staples</v>
          </cell>
          <cell r="J80" t="str">
            <v>low_beta</v>
          </cell>
          <cell r="K80">
            <v>0</v>
          </cell>
        </row>
        <row r="81">
          <cell r="A81" t="str">
            <v>CSMG3</v>
          </cell>
          <cell r="B81">
            <v>0</v>
          </cell>
          <cell r="C81">
            <v>-4.0000000000000001E-3</v>
          </cell>
          <cell r="D81">
            <v>0</v>
          </cell>
          <cell r="E81">
            <v>4.0000000000000001E-3</v>
          </cell>
          <cell r="F81">
            <v>1.2310000000000001</v>
          </cell>
          <cell r="G81">
            <v>1.5549999999999999</v>
          </cell>
          <cell r="H81" t="str">
            <v>bond_proxies</v>
          </cell>
          <cell r="I81" t="str">
            <v>utilities</v>
          </cell>
          <cell r="J81" t="str">
            <v>low_beta</v>
          </cell>
          <cell r="K81">
            <v>0</v>
          </cell>
        </row>
        <row r="82">
          <cell r="A82" t="str">
            <v>IGTI11</v>
          </cell>
          <cell r="B82">
            <v>0</v>
          </cell>
          <cell r="C82">
            <v>-2E-3</v>
          </cell>
          <cell r="D82">
            <v>0</v>
          </cell>
          <cell r="E82">
            <v>2E-3</v>
          </cell>
          <cell r="F82">
            <v>1.1499999999999999</v>
          </cell>
          <cell r="G82">
            <v>1.619</v>
          </cell>
          <cell r="H82" t="str">
            <v>bond_proxies</v>
          </cell>
          <cell r="I82" t="str">
            <v>real_estate</v>
          </cell>
          <cell r="J82" t="str">
            <v>high_beta</v>
          </cell>
          <cell r="K82">
            <v>0</v>
          </cell>
        </row>
        <row r="83">
          <cell r="A83" t="str">
            <v>CMIG3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1.105</v>
          </cell>
          <cell r="G83">
            <v>1.194</v>
          </cell>
          <cell r="H83" t="str">
            <v>bond_proxies</v>
          </cell>
          <cell r="I83" t="str">
            <v>utilities</v>
          </cell>
          <cell r="J83" t="str">
            <v>very_low_beta</v>
          </cell>
          <cell r="K83">
            <v>0</v>
          </cell>
        </row>
        <row r="84">
          <cell r="A84" t="str">
            <v>TAEE11</v>
          </cell>
          <cell r="B84">
            <v>0</v>
          </cell>
          <cell r="C84">
            <v>-3.0000000000000001E-3</v>
          </cell>
          <cell r="D84">
            <v>0</v>
          </cell>
          <cell r="E84">
            <v>3.0000000000000001E-3</v>
          </cell>
          <cell r="F84">
            <v>1.101</v>
          </cell>
          <cell r="G84">
            <v>1.6839999999999999</v>
          </cell>
          <cell r="H84" t="str">
            <v>bond_proxies</v>
          </cell>
          <cell r="I84" t="str">
            <v>utilities</v>
          </cell>
          <cell r="J84" t="str">
            <v>low_beta</v>
          </cell>
          <cell r="K84">
            <v>0</v>
          </cell>
        </row>
        <row r="85">
          <cell r="A85" t="str">
            <v>MILS3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1.0900000000000001</v>
          </cell>
          <cell r="G85">
            <v>1.3680000000000001</v>
          </cell>
          <cell r="H85" t="str">
            <v>industrials</v>
          </cell>
          <cell r="I85" t="str">
            <v>building_materials</v>
          </cell>
          <cell r="J85" t="str">
            <v>neutral_beta</v>
          </cell>
          <cell r="K85">
            <v>0</v>
          </cell>
        </row>
        <row r="86">
          <cell r="A86" t="str">
            <v>ITUB4</v>
          </cell>
          <cell r="B86">
            <v>3.1E-2</v>
          </cell>
          <cell r="C86">
            <v>-0.05</v>
          </cell>
          <cell r="D86">
            <v>0</v>
          </cell>
          <cell r="E86">
            <v>8.1000000000000003E-2</v>
          </cell>
          <cell r="F86">
            <v>1.046</v>
          </cell>
          <cell r="G86">
            <v>2.2890000000000001</v>
          </cell>
          <cell r="H86" t="str">
            <v>pro_cyclicals</v>
          </cell>
          <cell r="I86" t="str">
            <v>banks</v>
          </cell>
          <cell r="J86" t="str">
            <v>neutral_beta</v>
          </cell>
          <cell r="K86">
            <v>3.1E-2</v>
          </cell>
        </row>
        <row r="87">
          <cell r="A87" t="str">
            <v>FLRY3</v>
          </cell>
          <cell r="B87">
            <v>0</v>
          </cell>
          <cell r="C87">
            <v>-3.0000000000000001E-3</v>
          </cell>
          <cell r="D87">
            <v>0</v>
          </cell>
          <cell r="E87">
            <v>3.0000000000000001E-3</v>
          </cell>
          <cell r="F87">
            <v>1.0289999999999999</v>
          </cell>
          <cell r="G87">
            <v>1.262</v>
          </cell>
          <cell r="H87" t="str">
            <v>defensives</v>
          </cell>
          <cell r="I87" t="str">
            <v>healthcare</v>
          </cell>
          <cell r="J87" t="str">
            <v>low_beta</v>
          </cell>
          <cell r="K87">
            <v>0</v>
          </cell>
        </row>
        <row r="88">
          <cell r="A88" t="str">
            <v>EZTC3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1.018</v>
          </cell>
          <cell r="G88">
            <v>0.98899999999999999</v>
          </cell>
          <cell r="H88" t="str">
            <v>pro_cyclicals</v>
          </cell>
          <cell r="I88" t="str">
            <v>homebuilders</v>
          </cell>
          <cell r="J88" t="str">
            <v>high_beta</v>
          </cell>
          <cell r="K88">
            <v>0</v>
          </cell>
        </row>
        <row r="89">
          <cell r="A89" t="str">
            <v>MULT3</v>
          </cell>
          <cell r="B89">
            <v>0</v>
          </cell>
          <cell r="C89">
            <v>-4.0000000000000001E-3</v>
          </cell>
          <cell r="D89">
            <v>0</v>
          </cell>
          <cell r="E89">
            <v>4.0000000000000001E-3</v>
          </cell>
          <cell r="F89">
            <v>1.0149999999999999</v>
          </cell>
          <cell r="G89">
            <v>1.577</v>
          </cell>
          <cell r="H89" t="str">
            <v>bond_proxies</v>
          </cell>
          <cell r="I89" t="str">
            <v>real_estate</v>
          </cell>
          <cell r="J89" t="str">
            <v>high_beta</v>
          </cell>
          <cell r="K89">
            <v>0</v>
          </cell>
        </row>
        <row r="90">
          <cell r="A90" t="str">
            <v>KLBN3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1.0069999999999999</v>
          </cell>
          <cell r="G90">
            <v>1.2290000000000001</v>
          </cell>
          <cell r="H90" t="str">
            <v>commodities</v>
          </cell>
          <cell r="I90" t="str">
            <v>basic_materials</v>
          </cell>
          <cell r="J90" t="str">
            <v>very_low_beta</v>
          </cell>
          <cell r="K90">
            <v>0</v>
          </cell>
        </row>
        <row r="91">
          <cell r="A91" t="str">
            <v>KLBN4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1.0049999999999999</v>
          </cell>
          <cell r="G91">
            <v>1.2629999999999999</v>
          </cell>
          <cell r="H91" t="str">
            <v>commodities</v>
          </cell>
          <cell r="I91" t="str">
            <v>basic_materials</v>
          </cell>
          <cell r="J91" t="str">
            <v>low_beta</v>
          </cell>
          <cell r="K91">
            <v>0</v>
          </cell>
        </row>
        <row r="92">
          <cell r="A92" t="str">
            <v>ANIM3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0.99099999999999999</v>
          </cell>
          <cell r="G92">
            <v>0.71399999999999997</v>
          </cell>
          <cell r="H92" t="str">
            <v>pro_cyclicals</v>
          </cell>
          <cell r="I92" t="str">
            <v>education</v>
          </cell>
          <cell r="J92" t="str">
            <v>very_high_beta</v>
          </cell>
          <cell r="K92">
            <v>0</v>
          </cell>
        </row>
        <row r="93">
          <cell r="A93" t="str">
            <v>SLCE3</v>
          </cell>
          <cell r="B93">
            <v>0</v>
          </cell>
          <cell r="C93">
            <v>-1E-3</v>
          </cell>
          <cell r="D93">
            <v>0</v>
          </cell>
          <cell r="E93">
            <v>1E-3</v>
          </cell>
          <cell r="F93">
            <v>0.98099999999999998</v>
          </cell>
          <cell r="G93">
            <v>1.254</v>
          </cell>
          <cell r="H93" t="str">
            <v>commodities</v>
          </cell>
          <cell r="I93" t="str">
            <v>food</v>
          </cell>
          <cell r="J93" t="str">
            <v>very_low_beta</v>
          </cell>
          <cell r="K93">
            <v>0</v>
          </cell>
        </row>
        <row r="94">
          <cell r="A94" t="str">
            <v>TGMA3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0.97099999999999997</v>
          </cell>
          <cell r="G94">
            <v>1.085</v>
          </cell>
          <cell r="H94" t="str">
            <v>pro_cyclicals</v>
          </cell>
          <cell r="I94" t="str">
            <v>transportation</v>
          </cell>
          <cell r="J94" t="str">
            <v>neutral_beta</v>
          </cell>
          <cell r="K94">
            <v>0</v>
          </cell>
        </row>
        <row r="95">
          <cell r="A95" t="str">
            <v>MDIA3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0.96699999999999997</v>
          </cell>
          <cell r="G95">
            <v>0.85899999999999999</v>
          </cell>
          <cell r="H95" t="str">
            <v>defensives</v>
          </cell>
          <cell r="I95" t="str">
            <v>consumer_staples</v>
          </cell>
          <cell r="J95" t="str">
            <v>low_beta</v>
          </cell>
          <cell r="K95">
            <v>0</v>
          </cell>
        </row>
        <row r="96">
          <cell r="A96" t="str">
            <v>BBDC4</v>
          </cell>
          <cell r="B96">
            <v>0</v>
          </cell>
          <cell r="C96">
            <v>-3.6999999999999998E-2</v>
          </cell>
          <cell r="D96">
            <v>0</v>
          </cell>
          <cell r="E96">
            <v>3.6999999999999998E-2</v>
          </cell>
          <cell r="F96">
            <v>0.96199999999999997</v>
          </cell>
          <cell r="G96">
            <v>2.0990000000000002</v>
          </cell>
          <cell r="H96" t="str">
            <v>pro_cyclicals</v>
          </cell>
          <cell r="I96" t="str">
            <v>banks</v>
          </cell>
          <cell r="J96" t="str">
            <v>neutral_beta</v>
          </cell>
          <cell r="K96">
            <v>0</v>
          </cell>
        </row>
        <row r="97">
          <cell r="A97" t="str">
            <v>CXSE3</v>
          </cell>
          <cell r="B97">
            <v>0</v>
          </cell>
          <cell r="C97">
            <v>-4.0000000000000001E-3</v>
          </cell>
          <cell r="D97">
            <v>0</v>
          </cell>
          <cell r="E97">
            <v>4.0000000000000001E-3</v>
          </cell>
          <cell r="F97">
            <v>0.95599999999999996</v>
          </cell>
          <cell r="G97">
            <v>1.415</v>
          </cell>
          <cell r="H97" t="str">
            <v>defensives</v>
          </cell>
          <cell r="I97" t="str">
            <v>float_financials</v>
          </cell>
          <cell r="J97" t="str">
            <v>very_low_beta</v>
          </cell>
          <cell r="K97">
            <v>0</v>
          </cell>
        </row>
        <row r="98">
          <cell r="A98" t="str">
            <v>TEND3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0.95399999999999996</v>
          </cell>
          <cell r="G98">
            <v>0.72599999999999998</v>
          </cell>
          <cell r="H98" t="str">
            <v>pro_cyclicals</v>
          </cell>
          <cell r="I98" t="str">
            <v>homebuilders</v>
          </cell>
          <cell r="J98" t="str">
            <v>neutral_beta</v>
          </cell>
          <cell r="K98">
            <v>0</v>
          </cell>
        </row>
        <row r="99">
          <cell r="A99" t="str">
            <v>PGMN3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0.93300000000000005</v>
          </cell>
          <cell r="G99">
            <v>0.76200000000000001</v>
          </cell>
          <cell r="H99" t="str">
            <v>defensives</v>
          </cell>
          <cell r="I99" t="str">
            <v>healthcare</v>
          </cell>
          <cell r="J99" t="str">
            <v>high_beta</v>
          </cell>
          <cell r="K99">
            <v>0</v>
          </cell>
        </row>
        <row r="100">
          <cell r="A100" t="str">
            <v>KLBN11</v>
          </cell>
          <cell r="B100">
            <v>0</v>
          </cell>
          <cell r="C100">
            <v>-5.0000000000000001E-3</v>
          </cell>
          <cell r="D100">
            <v>0</v>
          </cell>
          <cell r="E100">
            <v>5.0000000000000001E-3</v>
          </cell>
          <cell r="F100">
            <v>0.92600000000000005</v>
          </cell>
          <cell r="G100">
            <v>1.4019999999999999</v>
          </cell>
          <cell r="H100" t="str">
            <v>commodities</v>
          </cell>
          <cell r="I100" t="str">
            <v>basic_materials</v>
          </cell>
          <cell r="J100" t="str">
            <v>low_beta</v>
          </cell>
          <cell r="K100">
            <v>0</v>
          </cell>
        </row>
        <row r="101">
          <cell r="A101" t="str">
            <v>HYPE3</v>
          </cell>
          <cell r="B101">
            <v>0</v>
          </cell>
          <cell r="C101">
            <v>-3.0000000000000001E-3</v>
          </cell>
          <cell r="D101">
            <v>0</v>
          </cell>
          <cell r="E101">
            <v>3.0000000000000001E-3</v>
          </cell>
          <cell r="F101">
            <v>0.91</v>
          </cell>
          <cell r="G101">
            <v>0.99</v>
          </cell>
          <cell r="H101" t="str">
            <v>defensives</v>
          </cell>
          <cell r="I101" t="str">
            <v>healthcare</v>
          </cell>
          <cell r="J101" t="str">
            <v>low_beta</v>
          </cell>
          <cell r="K101">
            <v>0</v>
          </cell>
        </row>
        <row r="102">
          <cell r="A102" t="str">
            <v>AXIA3</v>
          </cell>
          <cell r="B102">
            <v>0</v>
          </cell>
          <cell r="C102">
            <v>-4.4999999999999998E-2</v>
          </cell>
          <cell r="D102">
            <v>0</v>
          </cell>
          <cell r="E102">
            <v>4.4999999999999998E-2</v>
          </cell>
          <cell r="F102">
            <v>0.89</v>
          </cell>
          <cell r="G102">
            <v>1.946</v>
          </cell>
          <cell r="H102" t="str">
            <v>bond_proxies</v>
          </cell>
          <cell r="I102" t="str">
            <v>utilities</v>
          </cell>
          <cell r="J102" t="str">
            <v>high_beta</v>
          </cell>
          <cell r="K102">
            <v>0</v>
          </cell>
        </row>
        <row r="103">
          <cell r="A103" t="str">
            <v>CPFE3</v>
          </cell>
          <cell r="B103">
            <v>0</v>
          </cell>
          <cell r="C103">
            <v>-4.0000000000000001E-3</v>
          </cell>
          <cell r="D103">
            <v>0</v>
          </cell>
          <cell r="E103">
            <v>4.0000000000000001E-3</v>
          </cell>
          <cell r="F103">
            <v>0.872</v>
          </cell>
          <cell r="G103">
            <v>1.264</v>
          </cell>
          <cell r="H103" t="str">
            <v>bond_proxies</v>
          </cell>
          <cell r="I103" t="str">
            <v>utilities</v>
          </cell>
          <cell r="J103" t="str">
            <v>low_beta</v>
          </cell>
          <cell r="K103">
            <v>0</v>
          </cell>
        </row>
        <row r="104">
          <cell r="A104" t="str">
            <v>ISAE4</v>
          </cell>
          <cell r="B104">
            <v>0</v>
          </cell>
          <cell r="C104">
            <v>-4.0000000000000001E-3</v>
          </cell>
          <cell r="D104">
            <v>0</v>
          </cell>
          <cell r="E104">
            <v>4.0000000000000001E-3</v>
          </cell>
          <cell r="F104">
            <v>0.83399999999999996</v>
          </cell>
          <cell r="G104">
            <v>1.3240000000000001</v>
          </cell>
          <cell r="H104" t="str">
            <v>bond_proxies</v>
          </cell>
          <cell r="I104" t="str">
            <v>utilities</v>
          </cell>
          <cell r="J104" t="str">
            <v>low_beta</v>
          </cell>
          <cell r="K104">
            <v>0</v>
          </cell>
        </row>
        <row r="105">
          <cell r="A105" t="str">
            <v>VTRU3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0.83</v>
          </cell>
          <cell r="G105">
            <v>0.63900000000000001</v>
          </cell>
          <cell r="H105" t="str">
            <v>pro_cyclicals</v>
          </cell>
          <cell r="I105" t="str">
            <v>education</v>
          </cell>
          <cell r="J105" t="str">
            <v>low_beta</v>
          </cell>
          <cell r="K105">
            <v>0</v>
          </cell>
        </row>
        <row r="106">
          <cell r="A106" t="str">
            <v>VBBR3</v>
          </cell>
          <cell r="B106">
            <v>0</v>
          </cell>
          <cell r="C106">
            <v>-1.4E-2</v>
          </cell>
          <cell r="D106">
            <v>0</v>
          </cell>
          <cell r="E106">
            <v>1.4E-2</v>
          </cell>
          <cell r="F106">
            <v>0.82799999999999996</v>
          </cell>
          <cell r="G106">
            <v>1.494</v>
          </cell>
          <cell r="H106" t="str">
            <v>pro_cyclicals</v>
          </cell>
          <cell r="I106" t="str">
            <v>consumer_services</v>
          </cell>
          <cell r="J106" t="str">
            <v>low_beta</v>
          </cell>
          <cell r="K106">
            <v>0</v>
          </cell>
        </row>
        <row r="107">
          <cell r="A107" t="str">
            <v>JSLG3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0.82699999999999996</v>
          </cell>
          <cell r="G107">
            <v>0.61599999999999999</v>
          </cell>
          <cell r="H107" t="str">
            <v>pro_cyclicals</v>
          </cell>
          <cell r="I107" t="str">
            <v>transportation</v>
          </cell>
          <cell r="J107" t="str">
            <v>very_high_beta</v>
          </cell>
          <cell r="K107">
            <v>0</v>
          </cell>
        </row>
        <row r="108">
          <cell r="A108" t="str">
            <v>SANB3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0.81399999999999995</v>
          </cell>
          <cell r="G108">
            <v>0.94799999999999995</v>
          </cell>
          <cell r="H108" t="str">
            <v>pro_cyclicals</v>
          </cell>
          <cell r="I108" t="str">
            <v>banks</v>
          </cell>
          <cell r="J108" t="str">
            <v>high_beta</v>
          </cell>
          <cell r="K108">
            <v>0</v>
          </cell>
        </row>
        <row r="109">
          <cell r="A109" t="str">
            <v>JALL3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0.79700000000000004</v>
          </cell>
          <cell r="G109">
            <v>0.626</v>
          </cell>
          <cell r="H109" t="str">
            <v>commodities</v>
          </cell>
          <cell r="I109" t="str">
            <v>food</v>
          </cell>
          <cell r="J109" t="str">
            <v>very_low_beta</v>
          </cell>
          <cell r="K109">
            <v>0</v>
          </cell>
        </row>
        <row r="110">
          <cell r="A110" t="str">
            <v>SANB4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0.78300000000000003</v>
          </cell>
          <cell r="G110">
            <v>0.94399999999999995</v>
          </cell>
          <cell r="H110" t="str">
            <v>pro_cyclicals</v>
          </cell>
          <cell r="I110" t="str">
            <v>banks</v>
          </cell>
          <cell r="J110" t="str">
            <v>neutral_beta</v>
          </cell>
          <cell r="K110">
            <v>0</v>
          </cell>
        </row>
        <row r="111">
          <cell r="A111" t="str">
            <v>TFCO4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0.77200000000000002</v>
          </cell>
          <cell r="G111">
            <v>0.86199999999999999</v>
          </cell>
          <cell r="H111" t="str">
            <v>pro_cyclicals</v>
          </cell>
          <cell r="I111" t="str">
            <v>apparel</v>
          </cell>
          <cell r="J111" t="str">
            <v>high_beta</v>
          </cell>
          <cell r="K111">
            <v>0</v>
          </cell>
        </row>
        <row r="112">
          <cell r="A112" t="str">
            <v>CEAB3</v>
          </cell>
          <cell r="B112">
            <v>0</v>
          </cell>
          <cell r="C112">
            <v>-1E-3</v>
          </cell>
          <cell r="D112">
            <v>0</v>
          </cell>
          <cell r="E112">
            <v>1E-3</v>
          </cell>
          <cell r="F112">
            <v>0.76</v>
          </cell>
          <cell r="G112">
            <v>0.57299999999999995</v>
          </cell>
          <cell r="H112" t="str">
            <v>pro_cyclicals</v>
          </cell>
          <cell r="I112" t="str">
            <v>apparel</v>
          </cell>
          <cell r="J112" t="str">
            <v>very_high_beta</v>
          </cell>
          <cell r="K112">
            <v>0</v>
          </cell>
        </row>
        <row r="113">
          <cell r="A113" t="str">
            <v>BLAU3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0.75700000000000001</v>
          </cell>
          <cell r="G113">
            <v>0.63400000000000001</v>
          </cell>
          <cell r="H113" t="str">
            <v>defensives</v>
          </cell>
          <cell r="I113" t="str">
            <v>healthcare</v>
          </cell>
          <cell r="J113" t="str">
            <v>neutral_beta</v>
          </cell>
          <cell r="K113">
            <v>0</v>
          </cell>
        </row>
        <row r="114">
          <cell r="A114" t="str">
            <v>ORVR3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0.748</v>
          </cell>
          <cell r="G114">
            <v>0.88200000000000001</v>
          </cell>
          <cell r="H114" t="str">
            <v>bond_proxies</v>
          </cell>
          <cell r="I114" t="str">
            <v>utilities</v>
          </cell>
          <cell r="J114" t="str">
            <v>high_beta</v>
          </cell>
          <cell r="K114">
            <v>0</v>
          </cell>
        </row>
        <row r="115">
          <cell r="A115" t="str">
            <v>AMOB3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0.74099999999999999</v>
          </cell>
          <cell r="G115">
            <v>0.56399999999999995</v>
          </cell>
          <cell r="H115" t="str">
            <v>industrials</v>
          </cell>
          <cell r="I115" t="str">
            <v>capital_goods</v>
          </cell>
          <cell r="J115" t="str">
            <v>very_low_beta</v>
          </cell>
          <cell r="K115">
            <v>0</v>
          </cell>
        </row>
        <row r="116">
          <cell r="A116" t="str">
            <v>IRBR3</v>
          </cell>
          <cell r="B116">
            <v>0</v>
          </cell>
          <cell r="C116">
            <v>-2E-3</v>
          </cell>
          <cell r="D116">
            <v>0</v>
          </cell>
          <cell r="E116">
            <v>2E-3</v>
          </cell>
          <cell r="F116">
            <v>0.73799999999999999</v>
          </cell>
          <cell r="G116">
            <v>0.77600000000000002</v>
          </cell>
          <cell r="H116" t="str">
            <v>defensives</v>
          </cell>
          <cell r="I116" t="str">
            <v>float_financials</v>
          </cell>
          <cell r="J116" t="str">
            <v>low_beta</v>
          </cell>
          <cell r="K116">
            <v>0</v>
          </cell>
        </row>
        <row r="117">
          <cell r="A117" t="str">
            <v>AXIA7</v>
          </cell>
          <cell r="B117">
            <v>0</v>
          </cell>
          <cell r="C117">
            <v>-1.2999999999999999E-2</v>
          </cell>
          <cell r="D117">
            <v>0</v>
          </cell>
          <cell r="E117">
            <v>1.2999999999999999E-2</v>
          </cell>
          <cell r="F117">
            <v>0.73499999999999999</v>
          </cell>
          <cell r="G117">
            <v>1.387</v>
          </cell>
          <cell r="H117" t="str">
            <v>bond_proxies</v>
          </cell>
          <cell r="I117" t="str">
            <v>utilities</v>
          </cell>
          <cell r="J117" t="str">
            <v>high_beta</v>
          </cell>
          <cell r="K117">
            <v>0</v>
          </cell>
        </row>
        <row r="118">
          <cell r="A118" t="str">
            <v>COGN3</v>
          </cell>
          <cell r="B118">
            <v>0</v>
          </cell>
          <cell r="C118">
            <v>-2E-3</v>
          </cell>
          <cell r="D118">
            <v>0</v>
          </cell>
          <cell r="E118">
            <v>2E-3</v>
          </cell>
          <cell r="F118">
            <v>0.72899999999999998</v>
          </cell>
          <cell r="G118">
            <v>0.57899999999999996</v>
          </cell>
          <cell r="H118" t="str">
            <v>pro_cyclicals</v>
          </cell>
          <cell r="I118" t="str">
            <v>education</v>
          </cell>
          <cell r="J118" t="str">
            <v>high_beta</v>
          </cell>
          <cell r="K118">
            <v>0</v>
          </cell>
        </row>
        <row r="119">
          <cell r="A119" t="str">
            <v>SANB11</v>
          </cell>
          <cell r="B119">
            <v>0</v>
          </cell>
          <cell r="C119">
            <v>-4.0000000000000001E-3</v>
          </cell>
          <cell r="D119">
            <v>0</v>
          </cell>
          <cell r="E119">
            <v>4.0000000000000001E-3</v>
          </cell>
          <cell r="F119">
            <v>0.71</v>
          </cell>
          <cell r="G119">
            <v>1.04</v>
          </cell>
          <cell r="H119" t="str">
            <v>pro_cyclicals</v>
          </cell>
          <cell r="I119" t="str">
            <v>banks</v>
          </cell>
          <cell r="J119" t="str">
            <v>neutral_beta</v>
          </cell>
          <cell r="K119">
            <v>0</v>
          </cell>
        </row>
        <row r="120">
          <cell r="A120" t="str">
            <v>GOAU4</v>
          </cell>
          <cell r="B120">
            <v>0</v>
          </cell>
          <cell r="C120">
            <v>-3.0000000000000001E-3</v>
          </cell>
          <cell r="D120">
            <v>0</v>
          </cell>
          <cell r="E120">
            <v>3.0000000000000001E-3</v>
          </cell>
          <cell r="F120">
            <v>0.7</v>
          </cell>
          <cell r="G120">
            <v>0.90500000000000003</v>
          </cell>
          <cell r="H120" t="str">
            <v>commodities</v>
          </cell>
          <cell r="I120" t="str">
            <v>basic_materials</v>
          </cell>
          <cell r="J120" t="str">
            <v>neutral_beta</v>
          </cell>
          <cell r="K120">
            <v>0</v>
          </cell>
        </row>
        <row r="121">
          <cell r="A121" t="str">
            <v>EGIE3</v>
          </cell>
          <cell r="B121">
            <v>0</v>
          </cell>
          <cell r="C121">
            <v>-5.0000000000000001E-3</v>
          </cell>
          <cell r="D121">
            <v>0</v>
          </cell>
          <cell r="E121">
            <v>5.0000000000000001E-3</v>
          </cell>
          <cell r="F121">
            <v>0.68400000000000005</v>
          </cell>
          <cell r="G121">
            <v>0.98699999999999999</v>
          </cell>
          <cell r="H121" t="str">
            <v>bond_proxies</v>
          </cell>
          <cell r="I121" t="str">
            <v>utilities</v>
          </cell>
          <cell r="J121" t="str">
            <v>low_beta</v>
          </cell>
          <cell r="K121">
            <v>0</v>
          </cell>
        </row>
        <row r="122">
          <cell r="A122" t="str">
            <v>BPAC11</v>
          </cell>
          <cell r="B122">
            <v>0</v>
          </cell>
          <cell r="C122">
            <v>-3.1E-2</v>
          </cell>
          <cell r="D122">
            <v>0</v>
          </cell>
          <cell r="E122">
            <v>3.1E-2</v>
          </cell>
          <cell r="F122">
            <v>0.68300000000000005</v>
          </cell>
          <cell r="G122">
            <v>1.4430000000000001</v>
          </cell>
          <cell r="H122" t="str">
            <v>pro_cyclicals</v>
          </cell>
          <cell r="I122" t="str">
            <v>banks</v>
          </cell>
          <cell r="J122" t="str">
            <v>very_high_beta</v>
          </cell>
          <cell r="K122">
            <v>0</v>
          </cell>
        </row>
        <row r="123">
          <cell r="A123" t="str">
            <v>ROMI3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0.67600000000000005</v>
          </cell>
          <cell r="G123">
            <v>0.82199999999999995</v>
          </cell>
          <cell r="H123" t="str">
            <v>industrials</v>
          </cell>
          <cell r="I123" t="str">
            <v>capital_goods</v>
          </cell>
          <cell r="J123" t="str">
            <v>very_low_beta</v>
          </cell>
          <cell r="K123">
            <v>0</v>
          </cell>
        </row>
        <row r="124">
          <cell r="A124" t="str">
            <v>SBSP3</v>
          </cell>
          <cell r="B124">
            <v>0</v>
          </cell>
          <cell r="C124">
            <v>-3.6999999999999998E-2</v>
          </cell>
          <cell r="D124">
            <v>0</v>
          </cell>
          <cell r="E124">
            <v>3.6999999999999998E-2</v>
          </cell>
          <cell r="F124">
            <v>0.65500000000000003</v>
          </cell>
          <cell r="G124">
            <v>1.4330000000000001</v>
          </cell>
          <cell r="H124" t="str">
            <v>bond_proxies</v>
          </cell>
          <cell r="I124" t="str">
            <v>utilities</v>
          </cell>
          <cell r="J124" t="str">
            <v>low_beta</v>
          </cell>
          <cell r="K124">
            <v>0</v>
          </cell>
        </row>
        <row r="125">
          <cell r="A125" t="str">
            <v>UNIP6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0.65400000000000003</v>
          </cell>
          <cell r="G125">
            <v>0.60599999999999998</v>
          </cell>
          <cell r="H125" t="str">
            <v>industrials</v>
          </cell>
          <cell r="I125" t="str">
            <v>chemicals</v>
          </cell>
          <cell r="J125" t="str">
            <v>neutral_beta</v>
          </cell>
          <cell r="K125">
            <v>0</v>
          </cell>
        </row>
        <row r="126">
          <cell r="A126" t="str">
            <v>BBAS3</v>
          </cell>
          <cell r="B126">
            <v>0</v>
          </cell>
          <cell r="C126">
            <v>-2.5000000000000001E-2</v>
          </cell>
          <cell r="D126">
            <v>0</v>
          </cell>
          <cell r="E126">
            <v>2.5000000000000001E-2</v>
          </cell>
          <cell r="F126">
            <v>0.64900000000000002</v>
          </cell>
          <cell r="G126">
            <v>1.248</v>
          </cell>
          <cell r="H126" t="str">
            <v>pro_cyclicals</v>
          </cell>
          <cell r="I126" t="str">
            <v>banks</v>
          </cell>
          <cell r="J126" t="str">
            <v>high_beta</v>
          </cell>
          <cell r="K126">
            <v>0</v>
          </cell>
        </row>
        <row r="127">
          <cell r="A127" t="str">
            <v>WEGE3</v>
          </cell>
          <cell r="B127">
            <v>0</v>
          </cell>
          <cell r="C127">
            <v>-2.7E-2</v>
          </cell>
          <cell r="D127">
            <v>0</v>
          </cell>
          <cell r="E127">
            <v>2.7E-2</v>
          </cell>
          <cell r="F127">
            <v>0.64900000000000002</v>
          </cell>
          <cell r="G127">
            <v>1.121</v>
          </cell>
          <cell r="H127" t="str">
            <v>industrials</v>
          </cell>
          <cell r="I127" t="str">
            <v>capital_goods</v>
          </cell>
          <cell r="J127" t="str">
            <v>low_beta</v>
          </cell>
          <cell r="K127">
            <v>0</v>
          </cell>
        </row>
        <row r="128">
          <cell r="A128" t="str">
            <v>PAGS34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0.64500000000000002</v>
          </cell>
          <cell r="G128">
            <v>0.49099999999999999</v>
          </cell>
          <cell r="H128" t="str">
            <v>pro_cyclicals</v>
          </cell>
          <cell r="I128" t="str">
            <v>financial_services</v>
          </cell>
          <cell r="J128" t="str">
            <v>low_beta</v>
          </cell>
          <cell r="K128">
            <v>0</v>
          </cell>
        </row>
        <row r="129">
          <cell r="A129" t="str">
            <v>LIGT3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0.64400000000000002</v>
          </cell>
          <cell r="G129">
            <v>0.46899999999999997</v>
          </cell>
          <cell r="H129" t="str">
            <v>bond_proxies</v>
          </cell>
          <cell r="I129" t="str">
            <v>utilities</v>
          </cell>
          <cell r="J129" t="str">
            <v>low_beta</v>
          </cell>
          <cell r="K129">
            <v>0</v>
          </cell>
        </row>
        <row r="130">
          <cell r="A130" t="str">
            <v>B3SA3</v>
          </cell>
          <cell r="B130">
            <v>0</v>
          </cell>
          <cell r="C130">
            <v>-3.5999999999999997E-2</v>
          </cell>
          <cell r="D130">
            <v>0</v>
          </cell>
          <cell r="E130">
            <v>3.5999999999999997E-2</v>
          </cell>
          <cell r="F130">
            <v>0.64200000000000002</v>
          </cell>
          <cell r="G130">
            <v>1.3340000000000001</v>
          </cell>
          <cell r="H130" t="str">
            <v>pro_cyclicals</v>
          </cell>
          <cell r="I130" t="str">
            <v>financial_services</v>
          </cell>
          <cell r="J130" t="str">
            <v>very_high_beta</v>
          </cell>
          <cell r="K130">
            <v>0</v>
          </cell>
        </row>
        <row r="131">
          <cell r="A131" t="str">
            <v>USIM3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0.63900000000000001</v>
          </cell>
          <cell r="G131">
            <v>0.49399999999999999</v>
          </cell>
          <cell r="H131" t="str">
            <v>commodities</v>
          </cell>
          <cell r="I131" t="str">
            <v>basic_materials</v>
          </cell>
          <cell r="J131" t="str">
            <v>neutral_beta</v>
          </cell>
          <cell r="K131">
            <v>0</v>
          </cell>
        </row>
        <row r="132">
          <cell r="A132" t="str">
            <v>MYPK3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0.63600000000000001</v>
          </cell>
          <cell r="G132">
            <v>0.68600000000000005</v>
          </cell>
          <cell r="H132" t="str">
            <v>industrials</v>
          </cell>
          <cell r="I132" t="str">
            <v>capital_goods</v>
          </cell>
          <cell r="J132" t="str">
            <v>low_beta</v>
          </cell>
          <cell r="K132">
            <v>0</v>
          </cell>
        </row>
        <row r="133">
          <cell r="A133" t="str">
            <v>VALE3</v>
          </cell>
          <cell r="B133">
            <v>5.7000000000000002E-2</v>
          </cell>
          <cell r="C133">
            <v>-5.6000000000000001E-2</v>
          </cell>
          <cell r="D133">
            <v>-5.9999999999999984E-3</v>
          </cell>
          <cell r="E133">
            <v>0.113</v>
          </cell>
          <cell r="F133">
            <v>0.627</v>
          </cell>
          <cell r="G133">
            <v>1.355</v>
          </cell>
          <cell r="H133" t="str">
            <v>commodities</v>
          </cell>
          <cell r="I133" t="str">
            <v>basic_materials</v>
          </cell>
          <cell r="J133" t="str">
            <v>neutral_beta</v>
          </cell>
          <cell r="K133">
            <v>6.3E-2</v>
          </cell>
        </row>
        <row r="134">
          <cell r="A134" t="str">
            <v>BRAV3</v>
          </cell>
          <cell r="B134">
            <v>0</v>
          </cell>
          <cell r="C134">
            <v>-3.0000000000000001E-3</v>
          </cell>
          <cell r="D134">
            <v>0</v>
          </cell>
          <cell r="E134">
            <v>3.0000000000000001E-3</v>
          </cell>
          <cell r="F134">
            <v>0.62</v>
          </cell>
          <cell r="G134">
            <v>0.52300000000000002</v>
          </cell>
          <cell r="H134" t="str">
            <v>commodities</v>
          </cell>
          <cell r="I134" t="str">
            <v>crude_oil</v>
          </cell>
          <cell r="J134" t="str">
            <v>very_low_beta</v>
          </cell>
          <cell r="K134">
            <v>0</v>
          </cell>
        </row>
        <row r="135">
          <cell r="A135" t="str">
            <v>XPBR31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0.62</v>
          </cell>
          <cell r="G135">
            <v>0.60099999999999998</v>
          </cell>
          <cell r="H135" t="str">
            <v>pro_cyclicals</v>
          </cell>
          <cell r="I135" t="str">
            <v>financial_services</v>
          </cell>
          <cell r="J135" t="str">
            <v>very_high_beta</v>
          </cell>
          <cell r="K135">
            <v>0</v>
          </cell>
        </row>
        <row r="136">
          <cell r="A136" t="str">
            <v>AURA33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0.61799999999999999</v>
          </cell>
          <cell r="G136">
            <v>0.443</v>
          </cell>
          <cell r="H136" t="str">
            <v>commodities</v>
          </cell>
          <cell r="I136" t="str">
            <v>basic_materials</v>
          </cell>
          <cell r="J136" t="str">
            <v>very_high_beta</v>
          </cell>
          <cell r="K136">
            <v>0</v>
          </cell>
        </row>
        <row r="137">
          <cell r="A137" t="str">
            <v>CBAV3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0.61699999999999999</v>
          </cell>
          <cell r="G137">
            <v>0.45300000000000001</v>
          </cell>
          <cell r="H137" t="str">
            <v>commodities</v>
          </cell>
          <cell r="I137" t="str">
            <v>basic_materials</v>
          </cell>
          <cell r="J137" t="str">
            <v>very_low_beta</v>
          </cell>
          <cell r="K137">
            <v>0</v>
          </cell>
        </row>
        <row r="138">
          <cell r="A138" t="str">
            <v>CYRE3</v>
          </cell>
          <cell r="B138">
            <v>0</v>
          </cell>
          <cell r="C138">
            <v>-2E-3</v>
          </cell>
          <cell r="D138">
            <v>0</v>
          </cell>
          <cell r="E138">
            <v>2E-3</v>
          </cell>
          <cell r="F138">
            <v>0.61599999999999999</v>
          </cell>
          <cell r="G138">
            <v>0.70199999999999996</v>
          </cell>
          <cell r="H138" t="str">
            <v>pro_cyclicals</v>
          </cell>
          <cell r="I138" t="str">
            <v>homebuilders</v>
          </cell>
          <cell r="J138" t="str">
            <v>very_high_beta</v>
          </cell>
          <cell r="K138">
            <v>0</v>
          </cell>
        </row>
        <row r="139">
          <cell r="A139" t="str">
            <v>UGPA3</v>
          </cell>
          <cell r="B139">
            <v>0</v>
          </cell>
          <cell r="C139">
            <v>-1.0999999999999999E-2</v>
          </cell>
          <cell r="D139">
            <v>0</v>
          </cell>
          <cell r="E139">
            <v>1.0999999999999999E-2</v>
          </cell>
          <cell r="F139">
            <v>0.61499999999999999</v>
          </cell>
          <cell r="G139">
            <v>0.94</v>
          </cell>
          <cell r="H139" t="str">
            <v>pro_cyclicals</v>
          </cell>
          <cell r="I139" t="str">
            <v>consumer_services</v>
          </cell>
          <cell r="J139" t="str">
            <v>very_low_beta</v>
          </cell>
          <cell r="K139">
            <v>0</v>
          </cell>
        </row>
        <row r="140">
          <cell r="A140" t="str">
            <v>SUZB3</v>
          </cell>
          <cell r="B140">
            <v>0</v>
          </cell>
          <cell r="C140">
            <v>-0.01</v>
          </cell>
          <cell r="D140">
            <v>0</v>
          </cell>
          <cell r="E140">
            <v>0.01</v>
          </cell>
          <cell r="F140">
            <v>0.61199999999999999</v>
          </cell>
          <cell r="G140">
            <v>0.91300000000000003</v>
          </cell>
          <cell r="H140" t="str">
            <v>commodities</v>
          </cell>
          <cell r="I140" t="str">
            <v>basic_materials</v>
          </cell>
          <cell r="J140" t="str">
            <v>very_low_beta</v>
          </cell>
          <cell r="K140">
            <v>0</v>
          </cell>
        </row>
        <row r="141">
          <cell r="A141" t="str">
            <v>USIM5</v>
          </cell>
          <cell r="B141">
            <v>0</v>
          </cell>
          <cell r="C141">
            <v>-1E-3</v>
          </cell>
          <cell r="D141">
            <v>0</v>
          </cell>
          <cell r="E141">
            <v>1E-3</v>
          </cell>
          <cell r="F141">
            <v>0.61</v>
          </cell>
          <cell r="G141">
            <v>0.49399999999999999</v>
          </cell>
          <cell r="H141" t="str">
            <v>commodities</v>
          </cell>
          <cell r="I141" t="str">
            <v>basic_materials</v>
          </cell>
          <cell r="J141" t="str">
            <v>neutral_beta</v>
          </cell>
          <cell r="K141">
            <v>0</v>
          </cell>
        </row>
        <row r="142">
          <cell r="A142" t="str">
            <v>ARML3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0.60699999999999998</v>
          </cell>
          <cell r="G142">
            <v>0.438</v>
          </cell>
          <cell r="H142" t="str">
            <v>industrials</v>
          </cell>
          <cell r="I142" t="str">
            <v>capital_goods</v>
          </cell>
          <cell r="J142" t="str">
            <v>very_high_beta</v>
          </cell>
          <cell r="K142">
            <v>0</v>
          </cell>
        </row>
        <row r="143">
          <cell r="A143" t="str">
            <v>YDUQ3</v>
          </cell>
          <cell r="B143">
            <v>0</v>
          </cell>
          <cell r="C143">
            <v>-1E-3</v>
          </cell>
          <cell r="D143">
            <v>0</v>
          </cell>
          <cell r="E143">
            <v>1E-3</v>
          </cell>
          <cell r="F143">
            <v>0.60399999999999998</v>
          </cell>
          <cell r="G143">
            <v>0.46700000000000003</v>
          </cell>
          <cell r="H143" t="str">
            <v>pro_cyclicals</v>
          </cell>
          <cell r="I143" t="str">
            <v>education</v>
          </cell>
          <cell r="J143" t="str">
            <v>high_beta</v>
          </cell>
          <cell r="K143">
            <v>0</v>
          </cell>
        </row>
        <row r="144">
          <cell r="A144" t="str">
            <v>ENGI11</v>
          </cell>
          <cell r="B144">
            <v>0</v>
          </cell>
          <cell r="C144">
            <v>-7.0000000000000001E-3</v>
          </cell>
          <cell r="D144">
            <v>0</v>
          </cell>
          <cell r="E144">
            <v>7.0000000000000001E-3</v>
          </cell>
          <cell r="F144">
            <v>0.60299999999999998</v>
          </cell>
          <cell r="G144">
            <v>1.052</v>
          </cell>
          <cell r="H144" t="str">
            <v>bond_proxies</v>
          </cell>
          <cell r="I144" t="str">
            <v>utilities</v>
          </cell>
          <cell r="J144" t="str">
            <v>neutral_beta</v>
          </cell>
          <cell r="K144">
            <v>0</v>
          </cell>
        </row>
        <row r="145">
          <cell r="A145" t="str">
            <v>AURE3</v>
          </cell>
          <cell r="B145">
            <v>0</v>
          </cell>
          <cell r="C145">
            <v>-2E-3</v>
          </cell>
          <cell r="D145">
            <v>0</v>
          </cell>
          <cell r="E145">
            <v>2E-3</v>
          </cell>
          <cell r="F145">
            <v>0.6</v>
          </cell>
          <cell r="G145">
            <v>0.626</v>
          </cell>
          <cell r="H145" t="str">
            <v>bond_proxies</v>
          </cell>
          <cell r="I145" t="str">
            <v>utilities</v>
          </cell>
          <cell r="J145" t="str">
            <v>neutral_beta</v>
          </cell>
          <cell r="K145">
            <v>0</v>
          </cell>
        </row>
        <row r="146">
          <cell r="A146" t="str">
            <v>MOTV3</v>
          </cell>
          <cell r="B146">
            <v>0</v>
          </cell>
          <cell r="C146">
            <v>-6.0000000000000001E-3</v>
          </cell>
          <cell r="D146">
            <v>0</v>
          </cell>
          <cell r="E146">
            <v>6.0000000000000001E-3</v>
          </cell>
          <cell r="F146">
            <v>0.59799999999999998</v>
          </cell>
          <cell r="G146">
            <v>0.95699999999999996</v>
          </cell>
          <cell r="H146" t="str">
            <v>bond_proxies</v>
          </cell>
          <cell r="I146" t="str">
            <v>transportation</v>
          </cell>
          <cell r="J146" t="str">
            <v>high_beta</v>
          </cell>
          <cell r="K146">
            <v>0</v>
          </cell>
        </row>
        <row r="147">
          <cell r="A147" t="str">
            <v>MOVI3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0.59499999999999997</v>
          </cell>
          <cell r="G147">
            <v>0.42899999999999999</v>
          </cell>
          <cell r="H147" t="str">
            <v>pro_cyclicals</v>
          </cell>
          <cell r="I147" t="str">
            <v>consumer_services</v>
          </cell>
          <cell r="J147" t="str">
            <v>very_high_beta</v>
          </cell>
          <cell r="K147">
            <v>0</v>
          </cell>
        </row>
        <row r="148">
          <cell r="A148" t="str">
            <v>BRST3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0.58899999999999997</v>
          </cell>
          <cell r="G148">
            <v>0.54400000000000004</v>
          </cell>
          <cell r="H148" t="str">
            <v>bond_proxies</v>
          </cell>
          <cell r="I148" t="str">
            <v>telecom</v>
          </cell>
          <cell r="J148" t="str">
            <v>low_beta</v>
          </cell>
          <cell r="K148">
            <v>0</v>
          </cell>
        </row>
        <row r="149">
          <cell r="A149" t="str">
            <v>KEPL3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0.58899999999999997</v>
          </cell>
          <cell r="G149">
            <v>0.53100000000000003</v>
          </cell>
          <cell r="H149" t="str">
            <v>industrials</v>
          </cell>
          <cell r="I149" t="str">
            <v>capital_goods</v>
          </cell>
          <cell r="J149" t="str">
            <v>high_beta</v>
          </cell>
          <cell r="K149">
            <v>0</v>
          </cell>
        </row>
        <row r="150">
          <cell r="A150" t="str">
            <v>MGLU3</v>
          </cell>
          <cell r="B150">
            <v>0</v>
          </cell>
          <cell r="C150">
            <v>-1E-3</v>
          </cell>
          <cell r="D150">
            <v>0</v>
          </cell>
          <cell r="E150">
            <v>1E-3</v>
          </cell>
          <cell r="F150">
            <v>0.58799999999999997</v>
          </cell>
          <cell r="G150">
            <v>0.44</v>
          </cell>
          <cell r="H150" t="str">
            <v>pro_cyclicals</v>
          </cell>
          <cell r="I150" t="str">
            <v>consumer_durables</v>
          </cell>
          <cell r="J150" t="str">
            <v>very_high_beta</v>
          </cell>
          <cell r="K150">
            <v>0</v>
          </cell>
        </row>
        <row r="151">
          <cell r="A151" t="str">
            <v>AGRO3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0.58699999999999997</v>
          </cell>
          <cell r="G151">
            <v>0.69599999999999995</v>
          </cell>
          <cell r="H151" t="str">
            <v>commodities</v>
          </cell>
          <cell r="I151" t="str">
            <v>food</v>
          </cell>
          <cell r="J151" t="str">
            <v>very_low_beta</v>
          </cell>
          <cell r="K151">
            <v>0</v>
          </cell>
        </row>
        <row r="152">
          <cell r="A152" t="str">
            <v>RAIL3</v>
          </cell>
          <cell r="B152">
            <v>0</v>
          </cell>
          <cell r="C152">
            <v>-7.0000000000000001E-3</v>
          </cell>
          <cell r="D152">
            <v>0</v>
          </cell>
          <cell r="E152">
            <v>7.0000000000000001E-3</v>
          </cell>
          <cell r="F152">
            <v>0.58599999999999997</v>
          </cell>
          <cell r="G152">
            <v>0.73499999999999999</v>
          </cell>
          <cell r="H152" t="str">
            <v>pro_cyclicals</v>
          </cell>
          <cell r="I152" t="str">
            <v>transportation</v>
          </cell>
          <cell r="J152" t="str">
            <v>low_beta</v>
          </cell>
          <cell r="K152">
            <v>0</v>
          </cell>
        </row>
        <row r="153">
          <cell r="A153" t="str">
            <v>CVCB3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0.58299999999999996</v>
          </cell>
          <cell r="G153">
            <v>0.42399999999999999</v>
          </cell>
          <cell r="H153" t="str">
            <v>pro_cyclicals</v>
          </cell>
          <cell r="I153" t="str">
            <v>consumer_services</v>
          </cell>
          <cell r="J153" t="str">
            <v>neutral_beta</v>
          </cell>
          <cell r="K153">
            <v>0</v>
          </cell>
        </row>
        <row r="154">
          <cell r="A154" t="str">
            <v>VIVA3</v>
          </cell>
          <cell r="B154">
            <v>0</v>
          </cell>
          <cell r="C154">
            <v>-1E-3</v>
          </cell>
          <cell r="D154">
            <v>0</v>
          </cell>
          <cell r="E154">
            <v>1E-3</v>
          </cell>
          <cell r="F154">
            <v>0.57899999999999996</v>
          </cell>
          <cell r="G154">
            <v>0.52200000000000002</v>
          </cell>
          <cell r="H154" t="str">
            <v>pro_cyclicals</v>
          </cell>
          <cell r="I154" t="str">
            <v>apparel</v>
          </cell>
          <cell r="J154" t="str">
            <v>low_beta</v>
          </cell>
          <cell r="K154">
            <v>0</v>
          </cell>
        </row>
        <row r="155">
          <cell r="A155" t="str">
            <v>AMER3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0.57799999999999996</v>
          </cell>
          <cell r="G155">
            <v>0.41399999999999998</v>
          </cell>
          <cell r="H155" t="str">
            <v>pro_cyclicals</v>
          </cell>
          <cell r="I155" t="str">
            <v>consumer_durables</v>
          </cell>
          <cell r="J155" t="str">
            <v>high_beta</v>
          </cell>
          <cell r="K155">
            <v>0</v>
          </cell>
        </row>
        <row r="156">
          <cell r="A156" t="str">
            <v>EQTL3</v>
          </cell>
          <cell r="B156">
            <v>0</v>
          </cell>
          <cell r="C156">
            <v>-0.02</v>
          </cell>
          <cell r="D156">
            <v>0</v>
          </cell>
          <cell r="E156">
            <v>0.02</v>
          </cell>
          <cell r="F156">
            <v>0.57299999999999995</v>
          </cell>
          <cell r="G156">
            <v>1.252</v>
          </cell>
          <cell r="H156" t="str">
            <v>bond_proxies</v>
          </cell>
          <cell r="I156" t="str">
            <v>utilities</v>
          </cell>
          <cell r="J156" t="str">
            <v>neutral_beta</v>
          </cell>
          <cell r="K156">
            <v>0</v>
          </cell>
        </row>
        <row r="157">
          <cell r="A157" t="str">
            <v>CMIN3</v>
          </cell>
          <cell r="B157">
            <v>0</v>
          </cell>
          <cell r="C157">
            <v>-3.0000000000000001E-3</v>
          </cell>
          <cell r="D157">
            <v>0</v>
          </cell>
          <cell r="E157">
            <v>3.0000000000000001E-3</v>
          </cell>
          <cell r="F157">
            <v>0.57199999999999995</v>
          </cell>
          <cell r="G157">
            <v>0.68300000000000005</v>
          </cell>
          <cell r="H157" t="str">
            <v>commodities</v>
          </cell>
          <cell r="I157" t="str">
            <v>basic_materials</v>
          </cell>
          <cell r="J157" t="str">
            <v>high_beta</v>
          </cell>
          <cell r="K157">
            <v>0</v>
          </cell>
        </row>
        <row r="158">
          <cell r="A158" t="str">
            <v>RDOR3</v>
          </cell>
          <cell r="B158">
            <v>0</v>
          </cell>
          <cell r="C158">
            <v>-1.6E-2</v>
          </cell>
          <cell r="D158">
            <v>0</v>
          </cell>
          <cell r="E158">
            <v>1.6E-2</v>
          </cell>
          <cell r="F158">
            <v>0.57099999999999995</v>
          </cell>
          <cell r="G158">
            <v>1.0369999999999999</v>
          </cell>
          <cell r="H158" t="str">
            <v>defensives</v>
          </cell>
          <cell r="I158" t="str">
            <v>healthcare</v>
          </cell>
          <cell r="J158" t="str">
            <v>low_beta</v>
          </cell>
          <cell r="K158">
            <v>0</v>
          </cell>
        </row>
        <row r="159">
          <cell r="A159" t="str">
            <v>ENEV3</v>
          </cell>
          <cell r="B159">
            <v>0</v>
          </cell>
          <cell r="C159">
            <v>-1.7999999999999999E-2</v>
          </cell>
          <cell r="D159">
            <v>0</v>
          </cell>
          <cell r="E159">
            <v>1.7999999999999999E-2</v>
          </cell>
          <cell r="F159">
            <v>0.56999999999999995</v>
          </cell>
          <cell r="G159">
            <v>0.89700000000000002</v>
          </cell>
          <cell r="H159" t="str">
            <v>bond_proxies</v>
          </cell>
          <cell r="I159" t="str">
            <v>utilities</v>
          </cell>
          <cell r="J159" t="str">
            <v>neutral_beta</v>
          </cell>
          <cell r="K159">
            <v>0</v>
          </cell>
        </row>
        <row r="160">
          <cell r="A160" t="str">
            <v>ECOR3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0.56799999999999995</v>
          </cell>
          <cell r="G160">
            <v>0.53100000000000003</v>
          </cell>
          <cell r="H160" t="str">
            <v>bond_proxies</v>
          </cell>
          <cell r="I160" t="str">
            <v>transportation</v>
          </cell>
          <cell r="J160" t="str">
            <v>very_high_beta</v>
          </cell>
          <cell r="K160">
            <v>0</v>
          </cell>
        </row>
        <row r="161">
          <cell r="A161" t="str">
            <v>SMTO3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0.56699999999999995</v>
          </cell>
          <cell r="G161">
            <v>0.439</v>
          </cell>
          <cell r="H161" t="str">
            <v>commodities</v>
          </cell>
          <cell r="I161" t="str">
            <v>food</v>
          </cell>
          <cell r="J161" t="str">
            <v>very_low_beta</v>
          </cell>
          <cell r="K161">
            <v>0</v>
          </cell>
        </row>
        <row r="162">
          <cell r="A162" t="str">
            <v>SBFG3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0.56599999999999995</v>
          </cell>
          <cell r="G162">
            <v>0.48799999999999999</v>
          </cell>
          <cell r="H162" t="str">
            <v>pro_cyclicals</v>
          </cell>
          <cell r="I162" t="str">
            <v>consumer_durables</v>
          </cell>
          <cell r="J162" t="str">
            <v>high_beta</v>
          </cell>
          <cell r="K162">
            <v>0</v>
          </cell>
        </row>
        <row r="163">
          <cell r="A163" t="str">
            <v>LWSA3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0.56599999999999995</v>
          </cell>
          <cell r="G163">
            <v>0.436</v>
          </cell>
          <cell r="H163" t="str">
            <v>pro_cyclicals</v>
          </cell>
          <cell r="I163" t="str">
            <v>tech</v>
          </cell>
          <cell r="J163" t="str">
            <v>very_high_beta</v>
          </cell>
          <cell r="K163">
            <v>0</v>
          </cell>
        </row>
        <row r="164">
          <cell r="A164" t="str">
            <v>HBSA3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0.56299999999999994</v>
          </cell>
          <cell r="G164">
            <v>0.45200000000000001</v>
          </cell>
          <cell r="H164" t="str">
            <v>pro_cyclicals</v>
          </cell>
          <cell r="I164" t="str">
            <v>transportation</v>
          </cell>
          <cell r="J164" t="str">
            <v>low_beta</v>
          </cell>
          <cell r="K164">
            <v>0</v>
          </cell>
        </row>
        <row r="165">
          <cell r="A165" t="str">
            <v>RENT3</v>
          </cell>
          <cell r="B165">
            <v>0</v>
          </cell>
          <cell r="C165">
            <v>-1.7000000000000001E-2</v>
          </cell>
          <cell r="D165">
            <v>0</v>
          </cell>
          <cell r="E165">
            <v>1.7000000000000001E-2</v>
          </cell>
          <cell r="F165">
            <v>0.55900000000000005</v>
          </cell>
          <cell r="G165">
            <v>0.95499999999999996</v>
          </cell>
          <cell r="H165" t="str">
            <v>pro_cyclicals</v>
          </cell>
          <cell r="I165" t="str">
            <v>consumer_services</v>
          </cell>
          <cell r="J165" t="str">
            <v>very_high_beta</v>
          </cell>
          <cell r="K165">
            <v>0</v>
          </cell>
        </row>
        <row r="166">
          <cell r="A166" t="str">
            <v>MBRF3</v>
          </cell>
          <cell r="B166">
            <v>0</v>
          </cell>
          <cell r="C166">
            <v>-6.0000000000000001E-3</v>
          </cell>
          <cell r="D166">
            <v>0</v>
          </cell>
          <cell r="E166">
            <v>6.0000000000000001E-3</v>
          </cell>
          <cell r="F166">
            <v>0.55600000000000005</v>
          </cell>
          <cell r="G166">
            <v>0.41599999999999998</v>
          </cell>
          <cell r="H166" t="str">
            <v>commodities</v>
          </cell>
          <cell r="I166" t="str">
            <v>food</v>
          </cell>
          <cell r="J166" t="str">
            <v>very_low_beta</v>
          </cell>
          <cell r="K166">
            <v>0</v>
          </cell>
        </row>
        <row r="167">
          <cell r="A167" t="str">
            <v>CYRE4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0.55300000000000005</v>
          </cell>
          <cell r="G167">
            <v>0.53500000000000003</v>
          </cell>
          <cell r="H167" t="str">
            <v>pro_cyclicals</v>
          </cell>
          <cell r="I167" t="str">
            <v>homebuilders</v>
          </cell>
          <cell r="J167" t="str">
            <v>very_high_beta</v>
          </cell>
          <cell r="K167">
            <v>0</v>
          </cell>
        </row>
        <row r="168">
          <cell r="A168" t="str">
            <v>TOTS3</v>
          </cell>
          <cell r="B168">
            <v>0</v>
          </cell>
          <cell r="C168">
            <v>-6.0000000000000001E-3</v>
          </cell>
          <cell r="D168">
            <v>0</v>
          </cell>
          <cell r="E168">
            <v>6.0000000000000001E-3</v>
          </cell>
          <cell r="F168">
            <v>0.55000000000000004</v>
          </cell>
          <cell r="G168">
            <v>0.74399999999999999</v>
          </cell>
          <cell r="H168" t="str">
            <v>pro_cyclicals</v>
          </cell>
          <cell r="I168" t="str">
            <v>tech</v>
          </cell>
          <cell r="J168" t="str">
            <v>neutral_beta</v>
          </cell>
          <cell r="K168">
            <v>0</v>
          </cell>
        </row>
        <row r="169">
          <cell r="A169" t="str">
            <v>GGPS3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0.54900000000000004</v>
          </cell>
          <cell r="G169">
            <v>0.63300000000000001</v>
          </cell>
          <cell r="H169" t="str">
            <v>industrials</v>
          </cell>
          <cell r="I169" t="str">
            <v>capital_goods</v>
          </cell>
          <cell r="J169" t="str">
            <v>low_beta</v>
          </cell>
          <cell r="K169">
            <v>0</v>
          </cell>
        </row>
        <row r="170">
          <cell r="A170" t="str">
            <v>AUAU3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0.54800000000000004</v>
          </cell>
          <cell r="G170">
            <v>0.43</v>
          </cell>
          <cell r="H170" t="str">
            <v>pro_cyclicals</v>
          </cell>
          <cell r="I170" t="str">
            <v>consumer_durables</v>
          </cell>
          <cell r="J170" t="str">
            <v>high_beta</v>
          </cell>
          <cell r="K170">
            <v>0</v>
          </cell>
        </row>
        <row r="171">
          <cell r="A171" t="str">
            <v>INBR32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0.54800000000000004</v>
          </cell>
          <cell r="G171">
            <v>0.498</v>
          </cell>
          <cell r="H171" t="str">
            <v>pro_cyclicals</v>
          </cell>
          <cell r="I171" t="str">
            <v>banks</v>
          </cell>
          <cell r="J171" t="str">
            <v>neutral_beta</v>
          </cell>
          <cell r="K171">
            <v>0</v>
          </cell>
        </row>
        <row r="172">
          <cell r="A172" t="str">
            <v>BEEF3</v>
          </cell>
          <cell r="B172">
            <v>0</v>
          </cell>
          <cell r="C172">
            <v>-1E-3</v>
          </cell>
          <cell r="D172">
            <v>0</v>
          </cell>
          <cell r="E172">
            <v>1E-3</v>
          </cell>
          <cell r="F172">
            <v>0.54700000000000004</v>
          </cell>
          <cell r="G172">
            <v>0.41099999999999998</v>
          </cell>
          <cell r="H172" t="str">
            <v>commodities</v>
          </cell>
          <cell r="I172" t="str">
            <v>food</v>
          </cell>
          <cell r="J172" t="str">
            <v>high_beta</v>
          </cell>
          <cell r="K172">
            <v>0</v>
          </cell>
        </row>
        <row r="173">
          <cell r="A173" t="str">
            <v>RENT4</v>
          </cell>
          <cell r="B173">
            <v>0</v>
          </cell>
          <cell r="C173">
            <v>-1E-3</v>
          </cell>
          <cell r="D173">
            <v>0</v>
          </cell>
          <cell r="E173">
            <v>1E-3</v>
          </cell>
          <cell r="F173">
            <v>0.54500000000000004</v>
          </cell>
          <cell r="G173">
            <v>0.50800000000000001</v>
          </cell>
          <cell r="H173" t="str">
            <v>pro_cyclicals</v>
          </cell>
          <cell r="I173" t="str">
            <v>consumer_services</v>
          </cell>
          <cell r="J173" t="str">
            <v>very_high_beta</v>
          </cell>
          <cell r="K173">
            <v>0</v>
          </cell>
        </row>
        <row r="174">
          <cell r="A174" t="str">
            <v>FRAS3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0.54500000000000004</v>
          </cell>
          <cell r="G174">
            <v>0.64500000000000002</v>
          </cell>
          <cell r="H174" t="str">
            <v>industrials</v>
          </cell>
          <cell r="I174" t="str">
            <v>capital_goods</v>
          </cell>
          <cell r="J174" t="str">
            <v>neutral_beta</v>
          </cell>
          <cell r="K174">
            <v>0</v>
          </cell>
        </row>
        <row r="175">
          <cell r="A175" t="str">
            <v>JBSS32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0.54100000000000004</v>
          </cell>
          <cell r="G175">
            <v>0.46100000000000002</v>
          </cell>
          <cell r="H175" t="str">
            <v>commodities</v>
          </cell>
          <cell r="I175" t="str">
            <v>food</v>
          </cell>
          <cell r="J175" t="str">
            <v>very_low_beta</v>
          </cell>
          <cell r="K175">
            <v>0</v>
          </cell>
        </row>
        <row r="176">
          <cell r="A176" t="str">
            <v>PLPL3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0.53900000000000003</v>
          </cell>
          <cell r="G176">
            <v>0.42399999999999999</v>
          </cell>
          <cell r="H176" t="str">
            <v>pro_cyclicals</v>
          </cell>
          <cell r="I176" t="str">
            <v>homebuilders</v>
          </cell>
          <cell r="J176" t="str">
            <v>low_beta</v>
          </cell>
          <cell r="K176">
            <v>0</v>
          </cell>
        </row>
        <row r="177">
          <cell r="A177" t="str">
            <v>GGBR4</v>
          </cell>
          <cell r="B177">
            <v>0</v>
          </cell>
          <cell r="C177">
            <v>-8.9999999999999993E-3</v>
          </cell>
          <cell r="D177">
            <v>0</v>
          </cell>
          <cell r="E177">
            <v>8.9999999999999993E-3</v>
          </cell>
          <cell r="F177">
            <v>0.53900000000000003</v>
          </cell>
          <cell r="G177">
            <v>0.87</v>
          </cell>
          <cell r="H177" t="str">
            <v>commodities</v>
          </cell>
          <cell r="I177" t="str">
            <v>basic_materials</v>
          </cell>
          <cell r="J177" t="str">
            <v>neutral_beta</v>
          </cell>
          <cell r="K177">
            <v>0</v>
          </cell>
        </row>
        <row r="178">
          <cell r="A178" t="str">
            <v>SMFT3</v>
          </cell>
          <cell r="B178">
            <v>0</v>
          </cell>
          <cell r="C178">
            <v>-3.0000000000000001E-3</v>
          </cell>
          <cell r="D178">
            <v>0</v>
          </cell>
          <cell r="E178">
            <v>3.0000000000000001E-3</v>
          </cell>
          <cell r="F178">
            <v>0.53500000000000003</v>
          </cell>
          <cell r="G178">
            <v>0.66</v>
          </cell>
          <cell r="H178" t="str">
            <v>pro_cyclicals</v>
          </cell>
          <cell r="I178" t="str">
            <v>consumer_services</v>
          </cell>
          <cell r="J178" t="str">
            <v>neutral_beta</v>
          </cell>
          <cell r="K178">
            <v>0</v>
          </cell>
        </row>
        <row r="179">
          <cell r="A179" t="str">
            <v>RADL3</v>
          </cell>
          <cell r="B179">
            <v>0</v>
          </cell>
          <cell r="C179">
            <v>-1.0999999999999999E-2</v>
          </cell>
          <cell r="D179">
            <v>0</v>
          </cell>
          <cell r="E179">
            <v>1.0999999999999999E-2</v>
          </cell>
          <cell r="F179">
            <v>0.53400000000000003</v>
          </cell>
          <cell r="G179">
            <v>0.48799999999999999</v>
          </cell>
          <cell r="H179" t="str">
            <v>defensives</v>
          </cell>
          <cell r="I179" t="str">
            <v>healthcare</v>
          </cell>
          <cell r="J179" t="str">
            <v>very_low_beta</v>
          </cell>
          <cell r="K179">
            <v>0</v>
          </cell>
        </row>
        <row r="180">
          <cell r="A180" t="str">
            <v>GMAT3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0.53300000000000003</v>
          </cell>
          <cell r="G180">
            <v>0.50700000000000001</v>
          </cell>
          <cell r="H180" t="str">
            <v>defensives</v>
          </cell>
          <cell r="I180" t="str">
            <v>consumer_staples</v>
          </cell>
          <cell r="J180" t="str">
            <v>low_beta</v>
          </cell>
          <cell r="K180">
            <v>0</v>
          </cell>
        </row>
        <row r="181">
          <cell r="A181" t="str">
            <v>TASA4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0.53300000000000003</v>
          </cell>
          <cell r="G181">
            <v>0.42</v>
          </cell>
          <cell r="H181" t="str">
            <v>industrials</v>
          </cell>
          <cell r="I181" t="str">
            <v>capital_goods</v>
          </cell>
          <cell r="J181" t="str">
            <v>very_low_beta</v>
          </cell>
          <cell r="K181">
            <v>0</v>
          </cell>
        </row>
        <row r="182">
          <cell r="A182" t="str">
            <v>HBOR3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0.53200000000000003</v>
          </cell>
          <cell r="G182">
            <v>0.374</v>
          </cell>
          <cell r="H182" t="str">
            <v>pro_cyclicals</v>
          </cell>
          <cell r="I182" t="str">
            <v>homebuilders</v>
          </cell>
          <cell r="J182" t="str">
            <v>very_high_beta</v>
          </cell>
          <cell r="K182">
            <v>0</v>
          </cell>
        </row>
        <row r="183">
          <cell r="A183" t="str">
            <v>RAPT4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0.53</v>
          </cell>
          <cell r="G183">
            <v>0.441</v>
          </cell>
          <cell r="H183" t="str">
            <v>industrials</v>
          </cell>
          <cell r="I183" t="str">
            <v>capital_goods</v>
          </cell>
          <cell r="J183" t="str">
            <v>very_high_beta</v>
          </cell>
          <cell r="K183">
            <v>0</v>
          </cell>
        </row>
        <row r="184">
          <cell r="A184" t="str">
            <v>PRIO3</v>
          </cell>
          <cell r="B184">
            <v>0</v>
          </cell>
          <cell r="C184">
            <v>-1.7000000000000001E-2</v>
          </cell>
          <cell r="D184">
            <v>0</v>
          </cell>
          <cell r="E184">
            <v>1.7000000000000001E-2</v>
          </cell>
          <cell r="F184">
            <v>0.53</v>
          </cell>
          <cell r="G184">
            <v>0.70199999999999996</v>
          </cell>
          <cell r="H184" t="str">
            <v>commodities</v>
          </cell>
          <cell r="I184" t="str">
            <v>crude_oil</v>
          </cell>
          <cell r="J184" t="str">
            <v>very_low_beta</v>
          </cell>
          <cell r="K184">
            <v>0</v>
          </cell>
        </row>
        <row r="185">
          <cell r="A185" t="str">
            <v>ROXO34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0.53</v>
          </cell>
          <cell r="G185">
            <v>0.48099999999999998</v>
          </cell>
          <cell r="H185" t="str">
            <v>pro_cyclicals</v>
          </cell>
          <cell r="I185" t="str">
            <v>banks</v>
          </cell>
          <cell r="J185" t="str">
            <v>very_low_beta</v>
          </cell>
          <cell r="K185">
            <v>0</v>
          </cell>
        </row>
        <row r="186">
          <cell r="A186" t="str">
            <v>DESK3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0.52900000000000003</v>
          </cell>
          <cell r="G186">
            <v>0.376</v>
          </cell>
          <cell r="H186" t="str">
            <v>bond_proxies</v>
          </cell>
          <cell r="I186" t="str">
            <v>telecom</v>
          </cell>
          <cell r="J186" t="str">
            <v>very_low_beta</v>
          </cell>
          <cell r="K186">
            <v>0</v>
          </cell>
        </row>
        <row r="187">
          <cell r="A187" t="str">
            <v>DXCO3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0.52700000000000002</v>
          </cell>
          <cell r="G187">
            <v>0.52</v>
          </cell>
          <cell r="H187" t="str">
            <v>industrials</v>
          </cell>
          <cell r="I187" t="str">
            <v>building_materials</v>
          </cell>
          <cell r="J187" t="str">
            <v>very_high_beta</v>
          </cell>
          <cell r="K187">
            <v>0</v>
          </cell>
        </row>
        <row r="188">
          <cell r="A188" t="str">
            <v>SIMH3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0.52600000000000002</v>
          </cell>
          <cell r="G188">
            <v>0.39300000000000002</v>
          </cell>
          <cell r="H188" t="str">
            <v>pro_cyclicals</v>
          </cell>
          <cell r="I188" t="str">
            <v>consumer_services</v>
          </cell>
          <cell r="J188" t="str">
            <v>very_high_beta</v>
          </cell>
          <cell r="K188">
            <v>0</v>
          </cell>
        </row>
        <row r="189">
          <cell r="A189" t="str">
            <v>TTEN3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0.52600000000000002</v>
          </cell>
          <cell r="G189">
            <v>0.52</v>
          </cell>
          <cell r="H189" t="str">
            <v>commodities</v>
          </cell>
          <cell r="I189" t="str">
            <v>food</v>
          </cell>
          <cell r="J189" t="str">
            <v>low_beta</v>
          </cell>
          <cell r="K189">
            <v>0</v>
          </cell>
        </row>
        <row r="190">
          <cell r="A190" t="str">
            <v>MRVE3</v>
          </cell>
          <cell r="B190">
            <v>0</v>
          </cell>
          <cell r="C190">
            <v>-1E-3</v>
          </cell>
          <cell r="D190">
            <v>0</v>
          </cell>
          <cell r="E190">
            <v>1E-3</v>
          </cell>
          <cell r="F190">
            <v>0.52500000000000002</v>
          </cell>
          <cell r="G190">
            <v>0.40699999999999997</v>
          </cell>
          <cell r="H190" t="str">
            <v>pro_cyclicals</v>
          </cell>
          <cell r="I190" t="str">
            <v>homebuilders</v>
          </cell>
          <cell r="J190" t="str">
            <v>very_high_beta</v>
          </cell>
          <cell r="K190">
            <v>0</v>
          </cell>
        </row>
        <row r="191">
          <cell r="A191" t="str">
            <v>EMBJ3</v>
          </cell>
          <cell r="B191">
            <v>0</v>
          </cell>
          <cell r="C191">
            <v>-2.1999999999999999E-2</v>
          </cell>
          <cell r="D191">
            <v>0</v>
          </cell>
          <cell r="E191">
            <v>2.1999999999999999E-2</v>
          </cell>
          <cell r="F191">
            <v>0.52400000000000002</v>
          </cell>
          <cell r="G191">
            <v>0.69099999999999995</v>
          </cell>
          <cell r="H191" t="str">
            <v>industrials</v>
          </cell>
          <cell r="I191" t="str">
            <v>capital_goods</v>
          </cell>
          <cell r="J191" t="str">
            <v>very_high_beta</v>
          </cell>
          <cell r="K191">
            <v>0</v>
          </cell>
        </row>
        <row r="192">
          <cell r="A192" t="str">
            <v>PRNR3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0.52400000000000002</v>
          </cell>
          <cell r="G192">
            <v>0.58799999999999997</v>
          </cell>
          <cell r="H192" t="str">
            <v>industrials</v>
          </cell>
          <cell r="I192" t="str">
            <v>capital_goods</v>
          </cell>
          <cell r="J192" t="str">
            <v>high_beta</v>
          </cell>
          <cell r="K192">
            <v>0</v>
          </cell>
        </row>
        <row r="193">
          <cell r="A193" t="str">
            <v>QUAL3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0.51900000000000002</v>
          </cell>
          <cell r="G193">
            <v>0.38800000000000001</v>
          </cell>
          <cell r="H193" t="str">
            <v>defensives</v>
          </cell>
          <cell r="I193" t="str">
            <v>healthcare</v>
          </cell>
          <cell r="J193" t="str">
            <v>very_high_beta</v>
          </cell>
          <cell r="K193">
            <v>0</v>
          </cell>
        </row>
        <row r="194">
          <cell r="A194" t="str">
            <v>NATU3</v>
          </cell>
          <cell r="B194">
            <v>0</v>
          </cell>
          <cell r="C194">
            <v>-3.0000000000000001E-3</v>
          </cell>
          <cell r="D194">
            <v>0</v>
          </cell>
          <cell r="E194">
            <v>3.0000000000000001E-3</v>
          </cell>
          <cell r="F194">
            <v>0.51600000000000001</v>
          </cell>
          <cell r="G194">
            <v>0.53200000000000003</v>
          </cell>
          <cell r="H194" t="str">
            <v>defensives</v>
          </cell>
          <cell r="I194" t="str">
            <v>consumer_staples</v>
          </cell>
          <cell r="J194" t="str">
            <v>high_beta</v>
          </cell>
          <cell r="K194">
            <v>0</v>
          </cell>
        </row>
        <row r="195">
          <cell r="A195" t="str">
            <v>SOJA3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0.51600000000000001</v>
          </cell>
          <cell r="G195">
            <v>0.42599999999999999</v>
          </cell>
          <cell r="H195" t="str">
            <v>commodities</v>
          </cell>
          <cell r="I195" t="str">
            <v>food</v>
          </cell>
          <cell r="J195" t="str">
            <v>very_low_beta</v>
          </cell>
          <cell r="K195">
            <v>0</v>
          </cell>
        </row>
        <row r="196">
          <cell r="A196" t="str">
            <v>ASAI3</v>
          </cell>
          <cell r="B196">
            <v>0</v>
          </cell>
          <cell r="C196">
            <v>-5.0000000000000001E-3</v>
          </cell>
          <cell r="D196">
            <v>0</v>
          </cell>
          <cell r="E196">
            <v>5.0000000000000001E-3</v>
          </cell>
          <cell r="F196">
            <v>0.51400000000000001</v>
          </cell>
          <cell r="G196">
            <v>0.45200000000000001</v>
          </cell>
          <cell r="H196" t="str">
            <v>defensives</v>
          </cell>
          <cell r="I196" t="str">
            <v>consumer_staples</v>
          </cell>
          <cell r="J196" t="str">
            <v>very_high_beta</v>
          </cell>
          <cell r="K196">
            <v>0</v>
          </cell>
        </row>
        <row r="197">
          <cell r="A197" t="str">
            <v>VITT3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0.51400000000000001</v>
          </cell>
          <cell r="G197">
            <v>0.36099999999999999</v>
          </cell>
          <cell r="H197" t="str">
            <v>industrials</v>
          </cell>
          <cell r="I197" t="str">
            <v>chemicals</v>
          </cell>
          <cell r="J197" t="str">
            <v>very_high_beta</v>
          </cell>
          <cell r="K197">
            <v>0</v>
          </cell>
        </row>
        <row r="198">
          <cell r="A198" t="str">
            <v>STOC34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0.51400000000000001</v>
          </cell>
          <cell r="G198">
            <v>0.39200000000000002</v>
          </cell>
          <cell r="H198" t="str">
            <v>pro_cyclicals</v>
          </cell>
          <cell r="I198" t="str">
            <v>financial_services</v>
          </cell>
          <cell r="J198" t="str">
            <v>neutral_beta</v>
          </cell>
          <cell r="K198">
            <v>0</v>
          </cell>
        </row>
        <row r="199">
          <cell r="A199" t="str">
            <v>VAMO3</v>
          </cell>
          <cell r="B199">
            <v>0</v>
          </cell>
          <cell r="C199">
            <v>-1E-3</v>
          </cell>
          <cell r="D199">
            <v>0</v>
          </cell>
          <cell r="E199">
            <v>1E-3</v>
          </cell>
          <cell r="F199">
            <v>0.51200000000000001</v>
          </cell>
          <cell r="G199">
            <v>0.38400000000000001</v>
          </cell>
          <cell r="H199" t="str">
            <v>pro_cyclicals</v>
          </cell>
          <cell r="I199" t="str">
            <v>transportation</v>
          </cell>
          <cell r="J199" t="str">
            <v>very_high_beta</v>
          </cell>
          <cell r="K199">
            <v>0</v>
          </cell>
        </row>
        <row r="200">
          <cell r="A200" t="str">
            <v>CSAN3</v>
          </cell>
          <cell r="B200">
            <v>0</v>
          </cell>
          <cell r="C200">
            <v>-3.0000000000000001E-3</v>
          </cell>
          <cell r="D200">
            <v>0</v>
          </cell>
          <cell r="E200">
            <v>3.0000000000000001E-3</v>
          </cell>
          <cell r="F200">
            <v>0.50900000000000001</v>
          </cell>
          <cell r="G200">
            <v>0.42699999999999999</v>
          </cell>
          <cell r="H200" t="str">
            <v>pro_cyclicals</v>
          </cell>
          <cell r="I200" t="str">
            <v>consumer_services</v>
          </cell>
          <cell r="J200" t="str">
            <v>very_high_beta</v>
          </cell>
          <cell r="K200">
            <v>0</v>
          </cell>
        </row>
        <row r="201">
          <cell r="A201" t="str">
            <v>TUPY3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0.50900000000000001</v>
          </cell>
          <cell r="G201">
            <v>0.42199999999999999</v>
          </cell>
          <cell r="H201" t="str">
            <v>industrials</v>
          </cell>
          <cell r="I201" t="str">
            <v>capital_goods</v>
          </cell>
          <cell r="J201" t="str">
            <v>high_beta</v>
          </cell>
          <cell r="K201">
            <v>0</v>
          </cell>
        </row>
        <row r="202">
          <cell r="A202" t="str">
            <v>BHIA3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0.505</v>
          </cell>
          <cell r="G202">
            <v>0.35499999999999998</v>
          </cell>
          <cell r="H202" t="str">
            <v>pro_cyclicals</v>
          </cell>
          <cell r="I202" t="str">
            <v>consumer_durables</v>
          </cell>
          <cell r="J202" t="str">
            <v>very_high_beta</v>
          </cell>
          <cell r="K202">
            <v>0</v>
          </cell>
        </row>
        <row r="203">
          <cell r="A203" t="str">
            <v>DASA3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0.499</v>
          </cell>
          <cell r="G203">
            <v>0.35099999999999998</v>
          </cell>
          <cell r="H203" t="str">
            <v>defensives</v>
          </cell>
          <cell r="I203" t="str">
            <v>healthcare</v>
          </cell>
          <cell r="J203" t="str">
            <v>very_high_beta</v>
          </cell>
          <cell r="K203">
            <v>0</v>
          </cell>
        </row>
        <row r="204">
          <cell r="A204" t="str">
            <v>PCAR3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0.495</v>
          </cell>
          <cell r="G204">
            <v>0.35099999999999998</v>
          </cell>
          <cell r="H204" t="str">
            <v>defensives</v>
          </cell>
          <cell r="I204" t="str">
            <v>consumer_staples</v>
          </cell>
          <cell r="J204" t="str">
            <v>very_high_beta</v>
          </cell>
          <cell r="K204">
            <v>0</v>
          </cell>
        </row>
        <row r="205">
          <cell r="A205" t="str">
            <v>CASH3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0.49399999999999999</v>
          </cell>
          <cell r="G205">
            <v>0.34699999999999998</v>
          </cell>
          <cell r="H205" t="str">
            <v>pro_cyclicals</v>
          </cell>
          <cell r="I205" t="str">
            <v>tech</v>
          </cell>
          <cell r="J205" t="str">
            <v>high_beta</v>
          </cell>
          <cell r="K205">
            <v>0</v>
          </cell>
        </row>
        <row r="206">
          <cell r="A206" t="str">
            <v>CSNA3</v>
          </cell>
          <cell r="B206">
            <v>0</v>
          </cell>
          <cell r="C206">
            <v>-2E-3</v>
          </cell>
          <cell r="D206">
            <v>0</v>
          </cell>
          <cell r="E206">
            <v>2E-3</v>
          </cell>
          <cell r="F206">
            <v>0.49299999999999999</v>
          </cell>
          <cell r="G206">
            <v>0.38500000000000001</v>
          </cell>
          <cell r="H206" t="str">
            <v>commodities</v>
          </cell>
          <cell r="I206" t="str">
            <v>basic_materials</v>
          </cell>
          <cell r="J206" t="str">
            <v>very_high_beta</v>
          </cell>
          <cell r="K206">
            <v>0</v>
          </cell>
        </row>
        <row r="207">
          <cell r="A207" t="str">
            <v>S2GM34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0.49</v>
          </cell>
          <cell r="G207">
            <v>0.34399999999999997</v>
          </cell>
          <cell r="H207" t="str">
            <v>commodities</v>
          </cell>
          <cell r="I207" t="str">
            <v>basic_materials</v>
          </cell>
          <cell r="J207" t="str">
            <v>very_high_beta</v>
          </cell>
          <cell r="K207">
            <v>0</v>
          </cell>
        </row>
        <row r="208">
          <cell r="A208" t="str">
            <v>AMBP3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0.48699999999999999</v>
          </cell>
          <cell r="G208">
            <v>0.34200000000000003</v>
          </cell>
          <cell r="H208" t="str">
            <v>bond_proxies</v>
          </cell>
          <cell r="I208" t="str">
            <v>utilities</v>
          </cell>
          <cell r="J208" t="str">
            <v>neutral_beta</v>
          </cell>
          <cell r="K208">
            <v>0</v>
          </cell>
        </row>
        <row r="209">
          <cell r="A209" t="str">
            <v>HAPV3</v>
          </cell>
          <cell r="B209">
            <v>0</v>
          </cell>
          <cell r="C209">
            <v>-1E-3</v>
          </cell>
          <cell r="D209">
            <v>0</v>
          </cell>
          <cell r="E209">
            <v>1E-3</v>
          </cell>
          <cell r="F209">
            <v>0.48499999999999999</v>
          </cell>
          <cell r="G209">
            <v>0.34599999999999997</v>
          </cell>
          <cell r="H209" t="str">
            <v>defensives</v>
          </cell>
          <cell r="I209" t="str">
            <v>healthcare</v>
          </cell>
          <cell r="J209" t="str">
            <v>very_high_beta</v>
          </cell>
          <cell r="K209">
            <v>0</v>
          </cell>
        </row>
        <row r="210">
          <cell r="A210" t="str">
            <v>PTBL3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0.48099999999999998</v>
          </cell>
          <cell r="G210">
            <v>0.36199999999999999</v>
          </cell>
          <cell r="H210" t="str">
            <v>industrials</v>
          </cell>
          <cell r="I210" t="str">
            <v>building_materials</v>
          </cell>
          <cell r="J210" t="str">
            <v>very_low_beta</v>
          </cell>
          <cell r="K210">
            <v>0</v>
          </cell>
        </row>
        <row r="211">
          <cell r="A211" t="str">
            <v>LJQQ3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0.48</v>
          </cell>
          <cell r="G211">
            <v>0.35499999999999998</v>
          </cell>
          <cell r="H211" t="str">
            <v>pro_cyclicals</v>
          </cell>
          <cell r="I211" t="str">
            <v>consumer_durables</v>
          </cell>
          <cell r="J211" t="str">
            <v>very_high_beta</v>
          </cell>
          <cell r="K211">
            <v>0</v>
          </cell>
        </row>
        <row r="212">
          <cell r="A212" t="str">
            <v>RCSL3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0.47499999999999998</v>
          </cell>
          <cell r="G212">
            <v>0.33300000000000002</v>
          </cell>
          <cell r="H212" t="str">
            <v>industrials</v>
          </cell>
          <cell r="I212" t="str">
            <v>capital_goods</v>
          </cell>
          <cell r="J212" t="str">
            <v>very_low_beta</v>
          </cell>
          <cell r="K212">
            <v>0</v>
          </cell>
        </row>
        <row r="213">
          <cell r="A213" t="str">
            <v>BRKM5</v>
          </cell>
          <cell r="B213">
            <v>0</v>
          </cell>
          <cell r="C213">
            <v>-1E-3</v>
          </cell>
          <cell r="D213">
            <v>0</v>
          </cell>
          <cell r="E213">
            <v>1E-3</v>
          </cell>
          <cell r="F213">
            <v>0.47499999999999998</v>
          </cell>
          <cell r="G213">
            <v>0.33900000000000002</v>
          </cell>
          <cell r="H213" t="str">
            <v>industrials</v>
          </cell>
          <cell r="I213" t="str">
            <v>chemicals</v>
          </cell>
          <cell r="J213" t="str">
            <v>very_low_beta</v>
          </cell>
          <cell r="K213">
            <v>0</v>
          </cell>
        </row>
        <row r="214">
          <cell r="A214" t="str">
            <v>OBTC3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0.47299999999999998</v>
          </cell>
          <cell r="G214">
            <v>0.374</v>
          </cell>
          <cell r="H214" t="str">
            <v>pro_cyclicals</v>
          </cell>
          <cell r="I214" t="str">
            <v>education</v>
          </cell>
          <cell r="J214" t="str">
            <v>low_beta</v>
          </cell>
          <cell r="K214">
            <v>0</v>
          </cell>
        </row>
        <row r="215">
          <cell r="A215" t="str">
            <v>AZEV4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0.47</v>
          </cell>
          <cell r="G215">
            <v>0.33</v>
          </cell>
          <cell r="H215" t="str">
            <v>industrials</v>
          </cell>
          <cell r="I215" t="str">
            <v>building_materials</v>
          </cell>
          <cell r="J215" t="str">
            <v>neutral_beta</v>
          </cell>
          <cell r="K215">
            <v>0</v>
          </cell>
        </row>
        <row r="216">
          <cell r="A216" t="str">
            <v>GFSA3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0.46899999999999997</v>
          </cell>
          <cell r="G216">
            <v>0.33</v>
          </cell>
          <cell r="H216" t="str">
            <v>pro_cyclicals</v>
          </cell>
          <cell r="I216" t="str">
            <v>homebuilders</v>
          </cell>
          <cell r="J216" t="str">
            <v>high_beta</v>
          </cell>
          <cell r="K216">
            <v>0</v>
          </cell>
        </row>
        <row r="217">
          <cell r="A217" t="str">
            <v>RCSL4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0.46800000000000003</v>
          </cell>
          <cell r="G217">
            <v>0.32900000000000001</v>
          </cell>
          <cell r="H217" t="str">
            <v>industrials</v>
          </cell>
          <cell r="I217" t="str">
            <v>capital_goods</v>
          </cell>
          <cell r="J217" t="str">
            <v>very_low_beta</v>
          </cell>
          <cell r="K217">
            <v>0</v>
          </cell>
        </row>
        <row r="218">
          <cell r="A218" t="str">
            <v>AZUL53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0.46800000000000003</v>
          </cell>
          <cell r="G218">
            <v>0.33200000000000002</v>
          </cell>
          <cell r="H218" t="str">
            <v>pro_cyclicals</v>
          </cell>
          <cell r="I218" t="str">
            <v>consumer_services</v>
          </cell>
          <cell r="J218" t="str">
            <v>very_high_beta</v>
          </cell>
          <cell r="K218">
            <v>0</v>
          </cell>
        </row>
        <row r="219">
          <cell r="A219" t="str">
            <v>AERI3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0.46800000000000003</v>
          </cell>
          <cell r="G219">
            <v>0.35399999999999998</v>
          </cell>
          <cell r="H219" t="str">
            <v>industrials</v>
          </cell>
          <cell r="I219" t="str">
            <v>capital_goods</v>
          </cell>
          <cell r="J219" t="str">
            <v>very_low_beta</v>
          </cell>
          <cell r="K219">
            <v>0</v>
          </cell>
        </row>
        <row r="220">
          <cell r="A220" t="str">
            <v>RAIZ4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0.46800000000000003</v>
          </cell>
          <cell r="G220">
            <v>0.33100000000000002</v>
          </cell>
          <cell r="H220" t="str">
            <v>pro_cyclicals</v>
          </cell>
          <cell r="I220" t="str">
            <v>consumer_services</v>
          </cell>
          <cell r="J220" t="str">
            <v>very_high_beta</v>
          </cell>
          <cell r="K220">
            <v>0</v>
          </cell>
        </row>
        <row r="221">
          <cell r="A221" t="str">
            <v>ONCO3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0.46800000000000003</v>
          </cell>
          <cell r="G221">
            <v>0.32900000000000001</v>
          </cell>
          <cell r="H221" t="str">
            <v>defensives</v>
          </cell>
          <cell r="I221" t="str">
            <v>healthcare</v>
          </cell>
          <cell r="J221" t="str">
            <v>high_beta</v>
          </cell>
          <cell r="K221">
            <v>0</v>
          </cell>
        </row>
        <row r="222">
          <cell r="A222" t="str">
            <v>PMAM3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0.46800000000000003</v>
          </cell>
          <cell r="G222">
            <v>0.32900000000000001</v>
          </cell>
          <cell r="H222" t="str">
            <v>commodities</v>
          </cell>
          <cell r="I222" t="str">
            <v>basic_materials</v>
          </cell>
          <cell r="J222" t="str">
            <v>very_high_beta</v>
          </cell>
          <cell r="K222">
            <v>0</v>
          </cell>
        </row>
      </sheetData>
      <sheetData sheetId="1"/>
      <sheetData sheetId="2">
        <row r="9">
          <cell r="A9" t="str">
            <v>JHSF3</v>
          </cell>
          <cell r="B9">
            <v>2.2499999999999999E-2</v>
          </cell>
          <cell r="C9">
            <v>1.2500000000000001E-2</v>
          </cell>
          <cell r="D9">
            <v>4.5000000000000005E-3</v>
          </cell>
          <cell r="E9">
            <v>9.9999999999999985E-3</v>
          </cell>
          <cell r="F9">
            <v>3.2610000000000001</v>
          </cell>
          <cell r="G9">
            <v>4.6310000000000002</v>
          </cell>
          <cell r="H9" t="str">
            <v>pro_cyclicals</v>
          </cell>
          <cell r="I9" t="str">
            <v>homebuilders</v>
          </cell>
          <cell r="J9" t="str">
            <v>very_high_beta</v>
          </cell>
          <cell r="K9">
            <v>1.7999999999999999E-2</v>
          </cell>
        </row>
        <row r="10">
          <cell r="A10" t="str">
            <v>WIZC3</v>
          </cell>
          <cell r="B10">
            <v>1.6E-2</v>
          </cell>
          <cell r="C10">
            <v>1.6E-2</v>
          </cell>
          <cell r="D10">
            <v>0</v>
          </cell>
          <cell r="E10">
            <v>0</v>
          </cell>
          <cell r="F10">
            <v>3.2610000000000001</v>
          </cell>
          <cell r="G10">
            <v>3.3809999999999998</v>
          </cell>
          <cell r="H10" t="str">
            <v>defensives</v>
          </cell>
          <cell r="I10" t="str">
            <v>financial_services</v>
          </cell>
          <cell r="J10" t="str">
            <v>low_beta</v>
          </cell>
          <cell r="K10">
            <v>1.6E-2</v>
          </cell>
        </row>
        <row r="11">
          <cell r="A11" t="str">
            <v>CSED3</v>
          </cell>
          <cell r="B11">
            <v>1.4E-2</v>
          </cell>
          <cell r="C11">
            <v>1.4E-2</v>
          </cell>
          <cell r="D11">
            <v>0</v>
          </cell>
          <cell r="E11">
            <v>0</v>
          </cell>
          <cell r="F11">
            <v>3.2610000000000001</v>
          </cell>
          <cell r="G11">
            <v>2.5049999999999999</v>
          </cell>
          <cell r="H11" t="str">
            <v>pro_cyclicals</v>
          </cell>
          <cell r="I11" t="str">
            <v>education</v>
          </cell>
          <cell r="J11" t="str">
            <v>high_beta</v>
          </cell>
          <cell r="K11">
            <v>1.4E-2</v>
          </cell>
        </row>
        <row r="12">
          <cell r="A12" t="str">
            <v>RIAA3</v>
          </cell>
          <cell r="B12">
            <v>1.2999999999999999E-2</v>
          </cell>
          <cell r="C12">
            <v>1.0999999999999999E-2</v>
          </cell>
          <cell r="D12">
            <v>0</v>
          </cell>
          <cell r="E12">
            <v>2E-3</v>
          </cell>
          <cell r="F12">
            <v>3.2610000000000001</v>
          </cell>
          <cell r="G12">
            <v>2.5219999999999998</v>
          </cell>
          <cell r="H12" t="str">
            <v>pro_cyclicals</v>
          </cell>
          <cell r="I12" t="str">
            <v>apparel</v>
          </cell>
          <cell r="J12" t="str">
            <v>very_high_beta</v>
          </cell>
          <cell r="K12">
            <v>1.2999999999999999E-2</v>
          </cell>
        </row>
        <row r="13">
          <cell r="A13" t="str">
            <v>BMGB4</v>
          </cell>
          <cell r="B13">
            <v>1.2E-2</v>
          </cell>
          <cell r="C13">
            <v>1.2E-2</v>
          </cell>
          <cell r="D13">
            <v>0</v>
          </cell>
          <cell r="E13">
            <v>0</v>
          </cell>
          <cell r="F13">
            <v>3.2610000000000001</v>
          </cell>
          <cell r="G13">
            <v>3.2589999999999999</v>
          </cell>
          <cell r="H13" t="str">
            <v>pro_cyclicals</v>
          </cell>
          <cell r="I13" t="str">
            <v>banks</v>
          </cell>
          <cell r="J13" t="str">
            <v>high_beta</v>
          </cell>
          <cell r="K13">
            <v>1.2E-2</v>
          </cell>
        </row>
        <row r="14">
          <cell r="A14" t="str">
            <v>ALLD3</v>
          </cell>
          <cell r="B14">
            <v>7.0000000000000001E-3</v>
          </cell>
          <cell r="C14">
            <v>7.0000000000000001E-3</v>
          </cell>
          <cell r="D14">
            <v>0</v>
          </cell>
          <cell r="E14">
            <v>0</v>
          </cell>
          <cell r="F14">
            <v>3.2610000000000001</v>
          </cell>
          <cell r="G14">
            <v>2.46</v>
          </cell>
          <cell r="H14" t="str">
            <v>pro_cyclicals</v>
          </cell>
          <cell r="I14" t="str">
            <v>consumer_durables</v>
          </cell>
          <cell r="J14" t="str">
            <v>very_low_beta</v>
          </cell>
          <cell r="K14">
            <v>7.0000000000000001E-3</v>
          </cell>
        </row>
        <row r="15">
          <cell r="A15" t="str">
            <v>SYNE3</v>
          </cell>
          <cell r="B15">
            <v>1.2E-2</v>
          </cell>
          <cell r="C15">
            <v>1.2E-2</v>
          </cell>
          <cell r="D15">
            <v>0</v>
          </cell>
          <cell r="E15">
            <v>0</v>
          </cell>
          <cell r="F15">
            <v>3.2570000000000001</v>
          </cell>
          <cell r="G15">
            <v>2.484</v>
          </cell>
          <cell r="H15" t="str">
            <v>bond_proxies</v>
          </cell>
          <cell r="I15" t="str">
            <v>real_estate</v>
          </cell>
          <cell r="J15" t="str">
            <v>neutral_beta</v>
          </cell>
          <cell r="K15">
            <v>1.2E-2</v>
          </cell>
        </row>
        <row r="16">
          <cell r="A16" t="str">
            <v>POMO3</v>
          </cell>
          <cell r="B16">
            <v>1.2999999999999999E-2</v>
          </cell>
          <cell r="C16">
            <v>1.2999999999999999E-2</v>
          </cell>
          <cell r="D16">
            <v>0</v>
          </cell>
          <cell r="E16">
            <v>0</v>
          </cell>
          <cell r="F16">
            <v>3.2280000000000002</v>
          </cell>
          <cell r="G16">
            <v>2.8690000000000002</v>
          </cell>
          <cell r="H16" t="str">
            <v>industrials</v>
          </cell>
          <cell r="I16" t="str">
            <v>capital_goods</v>
          </cell>
          <cell r="J16" t="str">
            <v>neutral_beta</v>
          </cell>
          <cell r="K16">
            <v>1.2999999999999999E-2</v>
          </cell>
        </row>
        <row r="17">
          <cell r="A17" t="str">
            <v>SHUL4</v>
          </cell>
          <cell r="B17">
            <v>1.2999999999999999E-2</v>
          </cell>
          <cell r="C17">
            <v>1.2999999999999999E-2</v>
          </cell>
          <cell r="D17">
            <v>0</v>
          </cell>
          <cell r="E17">
            <v>0</v>
          </cell>
          <cell r="F17">
            <v>3.1320000000000001</v>
          </cell>
          <cell r="G17">
            <v>3.8820000000000001</v>
          </cell>
          <cell r="H17" t="str">
            <v>industrials</v>
          </cell>
          <cell r="I17" t="str">
            <v>capital_goods</v>
          </cell>
          <cell r="J17" t="str">
            <v>low_beta</v>
          </cell>
          <cell r="K17">
            <v>1.2999999999999999E-2</v>
          </cell>
        </row>
        <row r="18">
          <cell r="A18" t="str">
            <v>FIQE3</v>
          </cell>
          <cell r="B18">
            <v>1.4E-2</v>
          </cell>
          <cell r="C18">
            <v>1.4E-2</v>
          </cell>
          <cell r="D18">
            <v>0</v>
          </cell>
          <cell r="E18">
            <v>0</v>
          </cell>
          <cell r="F18">
            <v>3.0819999999999999</v>
          </cell>
          <cell r="G18">
            <v>3.1040000000000001</v>
          </cell>
          <cell r="H18" t="str">
            <v>bond_proxies</v>
          </cell>
          <cell r="I18" t="str">
            <v>telecom</v>
          </cell>
          <cell r="J18" t="str">
            <v>low_beta</v>
          </cell>
          <cell r="K18">
            <v>1.4E-2</v>
          </cell>
        </row>
        <row r="19">
          <cell r="A19" t="str">
            <v>MTRE3</v>
          </cell>
          <cell r="B19">
            <v>1.9E-2</v>
          </cell>
          <cell r="C19">
            <v>1.9E-2</v>
          </cell>
          <cell r="D19">
            <v>0</v>
          </cell>
          <cell r="E19">
            <v>0</v>
          </cell>
          <cell r="F19">
            <v>3.077</v>
          </cell>
          <cell r="G19">
            <v>3.02</v>
          </cell>
          <cell r="H19" t="str">
            <v>pro_cyclicals</v>
          </cell>
          <cell r="I19" t="str">
            <v>homebuilders</v>
          </cell>
          <cell r="J19" t="str">
            <v>neutral_beta</v>
          </cell>
          <cell r="K19">
            <v>1.9E-2</v>
          </cell>
        </row>
        <row r="20">
          <cell r="A20" t="str">
            <v>BRSR6</v>
          </cell>
          <cell r="B20">
            <v>0.02</v>
          </cell>
          <cell r="C20">
            <v>0.01</v>
          </cell>
          <cell r="D20">
            <v>6.0000000000000001E-3</v>
          </cell>
          <cell r="E20">
            <v>0.01</v>
          </cell>
          <cell r="F20">
            <v>3.0529999999999999</v>
          </cell>
          <cell r="G20">
            <v>4.7220000000000004</v>
          </cell>
          <cell r="H20" t="str">
            <v>pro_cyclicals</v>
          </cell>
          <cell r="I20" t="str">
            <v>banks</v>
          </cell>
          <cell r="J20" t="str">
            <v>high_beta</v>
          </cell>
          <cell r="K20">
            <v>1.4E-2</v>
          </cell>
        </row>
        <row r="21">
          <cell r="A21" t="str">
            <v>GRND3</v>
          </cell>
          <cell r="B21">
            <v>1.2E-2</v>
          </cell>
          <cell r="C21">
            <v>8.9999999999999993E-3</v>
          </cell>
          <cell r="D21">
            <v>0</v>
          </cell>
          <cell r="E21">
            <v>3.0000000000000009E-3</v>
          </cell>
          <cell r="F21">
            <v>3.0070000000000001</v>
          </cell>
          <cell r="G21">
            <v>3.452</v>
          </cell>
          <cell r="H21" t="str">
            <v>pro_cyclicals</v>
          </cell>
          <cell r="I21" t="str">
            <v>apparel</v>
          </cell>
          <cell r="J21" t="str">
            <v>very_low_beta</v>
          </cell>
          <cell r="K21">
            <v>1.2E-2</v>
          </cell>
        </row>
        <row r="22">
          <cell r="A22" t="str">
            <v>TIMS3</v>
          </cell>
          <cell r="B22">
            <v>1.4999999999999999E-2</v>
          </cell>
          <cell r="C22">
            <v>1.4999999999999999E-2</v>
          </cell>
          <cell r="D22">
            <v>0</v>
          </cell>
          <cell r="E22">
            <v>0</v>
          </cell>
          <cell r="F22">
            <v>2.9980000000000002</v>
          </cell>
          <cell r="G22">
            <v>3.4420000000000002</v>
          </cell>
          <cell r="H22" t="str">
            <v>bond_proxies</v>
          </cell>
          <cell r="I22" t="str">
            <v>telecom</v>
          </cell>
          <cell r="J22" t="str">
            <v>very_low_beta</v>
          </cell>
          <cell r="K22">
            <v>1.4999999999999999E-2</v>
          </cell>
        </row>
        <row r="23">
          <cell r="A23" t="str">
            <v>SAPR4</v>
          </cell>
          <cell r="B23">
            <v>1.4E-2</v>
          </cell>
          <cell r="C23">
            <v>1.4E-2</v>
          </cell>
          <cell r="D23">
            <v>0</v>
          </cell>
          <cell r="E23">
            <v>0</v>
          </cell>
          <cell r="F23">
            <v>2.9329999999999998</v>
          </cell>
          <cell r="G23">
            <v>3.113</v>
          </cell>
          <cell r="H23" t="str">
            <v>bond_proxies</v>
          </cell>
          <cell r="I23" t="str">
            <v>utilities</v>
          </cell>
          <cell r="J23" t="str">
            <v>low_beta</v>
          </cell>
          <cell r="K23">
            <v>1.4E-2</v>
          </cell>
        </row>
        <row r="24">
          <cell r="A24" t="str">
            <v>PFRM3</v>
          </cell>
          <cell r="B24">
            <v>1.2E-2</v>
          </cell>
          <cell r="C24">
            <v>1.2E-2</v>
          </cell>
          <cell r="D24">
            <v>0</v>
          </cell>
          <cell r="E24">
            <v>0</v>
          </cell>
          <cell r="F24">
            <v>2.887</v>
          </cell>
          <cell r="G24">
            <v>2.2410000000000001</v>
          </cell>
          <cell r="H24" t="str">
            <v>defensives</v>
          </cell>
          <cell r="I24" t="str">
            <v>healthcare</v>
          </cell>
          <cell r="J24" t="str">
            <v>high_beta</v>
          </cell>
          <cell r="K24">
            <v>1.2E-2</v>
          </cell>
        </row>
        <row r="25">
          <cell r="A25" t="str">
            <v>SAPR3</v>
          </cell>
          <cell r="B25">
            <v>0</v>
          </cell>
          <cell r="C25">
            <v>0</v>
          </cell>
          <cell r="D25">
            <v>-1.0999999999999999E-2</v>
          </cell>
          <cell r="E25">
            <v>0</v>
          </cell>
          <cell r="F25">
            <v>2.85</v>
          </cell>
          <cell r="G25">
            <v>2.3860000000000001</v>
          </cell>
          <cell r="H25" t="str">
            <v>bond_proxies</v>
          </cell>
          <cell r="I25" t="str">
            <v>utilities</v>
          </cell>
          <cell r="J25" t="str">
            <v>high_beta</v>
          </cell>
          <cell r="K25">
            <v>1.0999999999999999E-2</v>
          </cell>
        </row>
        <row r="26">
          <cell r="A26" t="str">
            <v>DEXP3</v>
          </cell>
          <cell r="B26">
            <v>1.2999999999999999E-2</v>
          </cell>
          <cell r="C26">
            <v>1.2999999999999999E-2</v>
          </cell>
          <cell r="D26">
            <v>0</v>
          </cell>
          <cell r="E26">
            <v>0</v>
          </cell>
          <cell r="F26">
            <v>2.8290000000000002</v>
          </cell>
          <cell r="G26">
            <v>2.62</v>
          </cell>
          <cell r="H26" t="str">
            <v>industrials</v>
          </cell>
          <cell r="I26" t="str">
            <v>chemicals</v>
          </cell>
          <cell r="J26" t="str">
            <v>very_low_beta</v>
          </cell>
          <cell r="K26">
            <v>1.2999999999999999E-2</v>
          </cell>
        </row>
        <row r="27">
          <cell r="A27" t="str">
            <v>PETR4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2.806</v>
          </cell>
          <cell r="G27">
            <v>3.222</v>
          </cell>
          <cell r="H27" t="str">
            <v>commodities</v>
          </cell>
          <cell r="I27" t="str">
            <v>crude_oil</v>
          </cell>
          <cell r="J27" t="str">
            <v>very_low_beta</v>
          </cell>
          <cell r="K27">
            <v>0</v>
          </cell>
        </row>
        <row r="28">
          <cell r="A28" t="str">
            <v>LEVE3</v>
          </cell>
          <cell r="B28">
            <v>1.2E-2</v>
          </cell>
          <cell r="C28">
            <v>7.0000000000000001E-3</v>
          </cell>
          <cell r="D28">
            <v>0</v>
          </cell>
          <cell r="E28">
            <v>5.0000000000000001E-3</v>
          </cell>
          <cell r="F28">
            <v>2.6960000000000002</v>
          </cell>
          <cell r="G28">
            <v>4.0380000000000003</v>
          </cell>
          <cell r="H28" t="str">
            <v>industrials</v>
          </cell>
          <cell r="I28" t="str">
            <v>capital_goods</v>
          </cell>
          <cell r="J28" t="str">
            <v>very_low_beta</v>
          </cell>
          <cell r="K28">
            <v>1.2E-2</v>
          </cell>
        </row>
        <row r="29">
          <cell r="A29" t="str">
            <v>PETR3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2.6859999999999999</v>
          </cell>
          <cell r="G29">
            <v>2.8330000000000002</v>
          </cell>
          <cell r="H29" t="str">
            <v>commodities</v>
          </cell>
          <cell r="I29" t="str">
            <v>crude_oil</v>
          </cell>
          <cell r="J29" t="str">
            <v>very_low_beta</v>
          </cell>
          <cell r="K29">
            <v>0</v>
          </cell>
        </row>
        <row r="30">
          <cell r="A30" t="str">
            <v>ABCB4</v>
          </cell>
          <cell r="B30">
            <v>1.7000000000000001E-2</v>
          </cell>
          <cell r="C30">
            <v>1.0999999999999999E-2</v>
          </cell>
          <cell r="D30">
            <v>0</v>
          </cell>
          <cell r="E30">
            <v>6.0000000000000019E-3</v>
          </cell>
          <cell r="F30">
            <v>2.6669999999999998</v>
          </cell>
          <cell r="G30">
            <v>4.5030000000000001</v>
          </cell>
          <cell r="H30" t="str">
            <v>pro_cyclicals</v>
          </cell>
          <cell r="I30" t="str">
            <v>banks</v>
          </cell>
          <cell r="J30" t="str">
            <v>neutral_beta</v>
          </cell>
          <cell r="K30">
            <v>1.7000000000000001E-2</v>
          </cell>
        </row>
        <row r="31">
          <cell r="A31" t="str">
            <v>ALPA4</v>
          </cell>
          <cell r="B31">
            <v>1.2E-2</v>
          </cell>
          <cell r="C31">
            <v>8.0000000000000002E-3</v>
          </cell>
          <cell r="D31">
            <v>0</v>
          </cell>
          <cell r="E31">
            <v>4.0000000000000001E-3</v>
          </cell>
          <cell r="F31">
            <v>2.6120000000000001</v>
          </cell>
          <cell r="G31">
            <v>2.3660000000000001</v>
          </cell>
          <cell r="H31" t="str">
            <v>pro_cyclicals</v>
          </cell>
          <cell r="I31" t="str">
            <v>apparel</v>
          </cell>
          <cell r="J31" t="str">
            <v>high_beta</v>
          </cell>
          <cell r="K31">
            <v>1.2E-2</v>
          </cell>
        </row>
        <row r="32">
          <cell r="A32" t="str">
            <v>SAPR11</v>
          </cell>
          <cell r="B32">
            <v>3.5000000000000003E-2</v>
          </cell>
          <cell r="C32">
            <v>1.1000000000000003E-2</v>
          </cell>
          <cell r="D32">
            <v>2.1000000000000005E-2</v>
          </cell>
          <cell r="E32">
            <v>2.4E-2</v>
          </cell>
          <cell r="F32">
            <v>2.581</v>
          </cell>
          <cell r="G32">
            <v>5.1230000000000002</v>
          </cell>
          <cell r="H32" t="str">
            <v>bond_proxies</v>
          </cell>
          <cell r="I32" t="str">
            <v>utilities</v>
          </cell>
          <cell r="J32" t="str">
            <v>neutral_beta</v>
          </cell>
          <cell r="K32">
            <v>1.4E-2</v>
          </cell>
        </row>
        <row r="33">
          <cell r="A33" t="str">
            <v>POMO4</v>
          </cell>
          <cell r="B33">
            <v>2.5000000000000001E-2</v>
          </cell>
          <cell r="C33">
            <v>1.1000000000000001E-2</v>
          </cell>
          <cell r="D33">
            <v>1.1000000000000001E-2</v>
          </cell>
          <cell r="E33">
            <v>1.4E-2</v>
          </cell>
          <cell r="F33">
            <v>2.5640000000000001</v>
          </cell>
          <cell r="G33">
            <v>3.7229999999999999</v>
          </cell>
          <cell r="H33" t="str">
            <v>industrials</v>
          </cell>
          <cell r="I33" t="str">
            <v>capital_goods</v>
          </cell>
          <cell r="J33" t="str">
            <v>high_beta</v>
          </cell>
          <cell r="K33">
            <v>1.4E-2</v>
          </cell>
        </row>
        <row r="34">
          <cell r="A34" t="str">
            <v>LOGG3</v>
          </cell>
          <cell r="B34">
            <v>1.4E-2</v>
          </cell>
          <cell r="C34">
            <v>0.01</v>
          </cell>
          <cell r="D34">
            <v>0</v>
          </cell>
          <cell r="E34">
            <v>4.0000000000000001E-3</v>
          </cell>
          <cell r="F34">
            <v>2.512</v>
          </cell>
          <cell r="G34">
            <v>3.1869999999999998</v>
          </cell>
          <cell r="H34" t="str">
            <v>bond_proxies</v>
          </cell>
          <cell r="I34" t="str">
            <v>real_estate</v>
          </cell>
          <cell r="J34" t="str">
            <v>low_beta</v>
          </cell>
          <cell r="K34">
            <v>1.4E-2</v>
          </cell>
        </row>
        <row r="35">
          <cell r="A35" t="str">
            <v>ODPV3</v>
          </cell>
          <cell r="B35">
            <v>0.02</v>
          </cell>
          <cell r="C35">
            <v>9.0000000000000011E-3</v>
          </cell>
          <cell r="D35">
            <v>0.01</v>
          </cell>
          <cell r="E35">
            <v>1.0999999999999999E-2</v>
          </cell>
          <cell r="F35">
            <v>2.4740000000000002</v>
          </cell>
          <cell r="G35">
            <v>3.3610000000000002</v>
          </cell>
          <cell r="H35" t="str">
            <v>defensives</v>
          </cell>
          <cell r="I35" t="str">
            <v>healthcare</v>
          </cell>
          <cell r="J35" t="str">
            <v>very_low_beta</v>
          </cell>
          <cell r="K35">
            <v>0.01</v>
          </cell>
        </row>
        <row r="36">
          <cell r="A36" t="str">
            <v>EVEN3</v>
          </cell>
          <cell r="B36">
            <v>1.7999999999999999E-2</v>
          </cell>
          <cell r="C36">
            <v>1.4E-2</v>
          </cell>
          <cell r="D36">
            <v>0</v>
          </cell>
          <cell r="E36">
            <v>3.9999999999999983E-3</v>
          </cell>
          <cell r="F36">
            <v>2.3519999999999999</v>
          </cell>
          <cell r="G36">
            <v>2.766</v>
          </cell>
          <cell r="H36" t="str">
            <v>pro_cyclicals</v>
          </cell>
          <cell r="I36" t="str">
            <v>homebuilders</v>
          </cell>
          <cell r="J36" t="str">
            <v>high_beta</v>
          </cell>
          <cell r="K36">
            <v>1.7999999999999999E-2</v>
          </cell>
        </row>
        <row r="37">
          <cell r="A37" t="str">
            <v>CURY3</v>
          </cell>
          <cell r="B37">
            <v>0.02</v>
          </cell>
          <cell r="C37">
            <v>4.0000000000000001E-3</v>
          </cell>
          <cell r="D37">
            <v>4.0000000000000001E-3</v>
          </cell>
          <cell r="E37">
            <v>1.6E-2</v>
          </cell>
          <cell r="F37">
            <v>2.3519999999999999</v>
          </cell>
          <cell r="G37">
            <v>3.91</v>
          </cell>
          <cell r="H37" t="str">
            <v>pro_cyclicals</v>
          </cell>
          <cell r="I37" t="str">
            <v>homebuilders</v>
          </cell>
          <cell r="J37" t="str">
            <v>low_beta</v>
          </cell>
          <cell r="K37">
            <v>1.6E-2</v>
          </cell>
        </row>
        <row r="38">
          <cell r="A38" t="str">
            <v>ALOS3</v>
          </cell>
          <cell r="B38">
            <v>0.04</v>
          </cell>
          <cell r="C38">
            <v>-2.9999999999999957E-3</v>
          </cell>
          <cell r="D38">
            <v>1.4999999999999999E-2</v>
          </cell>
          <cell r="E38">
            <v>4.2999999999999997E-2</v>
          </cell>
          <cell r="F38">
            <v>2.3479999999999999</v>
          </cell>
          <cell r="G38">
            <v>5.0590000000000002</v>
          </cell>
          <cell r="H38" t="str">
            <v>bond_proxies</v>
          </cell>
          <cell r="I38" t="str">
            <v>real_estate</v>
          </cell>
          <cell r="J38" t="str">
            <v>high_beta</v>
          </cell>
          <cell r="K38">
            <v>2.5000000000000001E-2</v>
          </cell>
        </row>
        <row r="39">
          <cell r="A39" t="str">
            <v>ITSA3</v>
          </cell>
          <cell r="B39">
            <v>0.02</v>
          </cell>
          <cell r="C39">
            <v>0.02</v>
          </cell>
          <cell r="D39">
            <v>0</v>
          </cell>
          <cell r="E39">
            <v>0</v>
          </cell>
          <cell r="F39">
            <v>2.3340000000000001</v>
          </cell>
          <cell r="G39">
            <v>3.173</v>
          </cell>
          <cell r="H39" t="str">
            <v>pro_cyclicals</v>
          </cell>
          <cell r="I39" t="str">
            <v>banks</v>
          </cell>
          <cell r="J39" t="str">
            <v>neutral_beta</v>
          </cell>
          <cell r="K39">
            <v>0.02</v>
          </cell>
        </row>
        <row r="40">
          <cell r="A40" t="str">
            <v>MELK3</v>
          </cell>
          <cell r="B40">
            <v>1.4E-2</v>
          </cell>
          <cell r="C40">
            <v>1.4E-2</v>
          </cell>
          <cell r="D40">
            <v>0</v>
          </cell>
          <cell r="E40">
            <v>0</v>
          </cell>
          <cell r="F40">
            <v>2.3149999999999999</v>
          </cell>
          <cell r="G40">
            <v>2.504</v>
          </cell>
          <cell r="H40" t="str">
            <v>pro_cyclicals</v>
          </cell>
          <cell r="I40" t="str">
            <v>homebuilders</v>
          </cell>
          <cell r="J40" t="str">
            <v>neutral_beta</v>
          </cell>
          <cell r="K40">
            <v>1.4E-2</v>
          </cell>
        </row>
        <row r="41">
          <cell r="A41" t="str">
            <v>VLID3</v>
          </cell>
          <cell r="B41">
            <v>1.7000000000000001E-2</v>
          </cell>
          <cell r="C41">
            <v>1.2E-2</v>
          </cell>
          <cell r="D41">
            <v>0</v>
          </cell>
          <cell r="E41">
            <v>5.000000000000001E-3</v>
          </cell>
          <cell r="F41">
            <v>2.2770000000000001</v>
          </cell>
          <cell r="G41">
            <v>2.73</v>
          </cell>
          <cell r="H41" t="str">
            <v>pro_cyclicals</v>
          </cell>
          <cell r="I41" t="str">
            <v>tech</v>
          </cell>
          <cell r="J41" t="str">
            <v>low_beta</v>
          </cell>
          <cell r="K41">
            <v>1.7000000000000001E-2</v>
          </cell>
        </row>
        <row r="42">
          <cell r="A42" t="str">
            <v>TRIS3</v>
          </cell>
          <cell r="B42">
            <v>7.0000000000000001E-3</v>
          </cell>
          <cell r="C42">
            <v>7.0000000000000001E-3</v>
          </cell>
          <cell r="D42">
            <v>0</v>
          </cell>
          <cell r="E42">
            <v>0</v>
          </cell>
          <cell r="F42">
            <v>2.2280000000000002</v>
          </cell>
          <cell r="G42">
            <v>1.6020000000000001</v>
          </cell>
          <cell r="H42" t="str">
            <v>pro_cyclicals</v>
          </cell>
          <cell r="I42" t="str">
            <v>homebuilders</v>
          </cell>
          <cell r="J42" t="str">
            <v>high_beta</v>
          </cell>
          <cell r="K42">
            <v>7.0000000000000001E-3</v>
          </cell>
        </row>
        <row r="43">
          <cell r="A43" t="str">
            <v>VULC3</v>
          </cell>
          <cell r="B43">
            <v>1.9E-2</v>
          </cell>
          <cell r="C43">
            <v>1.2999999999999999E-2</v>
          </cell>
          <cell r="D43">
            <v>0</v>
          </cell>
          <cell r="E43">
            <v>6.0000000000000001E-3</v>
          </cell>
          <cell r="F43">
            <v>2.2240000000000002</v>
          </cell>
          <cell r="G43">
            <v>3.0830000000000002</v>
          </cell>
          <cell r="H43" t="str">
            <v>pro_cyclicals</v>
          </cell>
          <cell r="I43" t="str">
            <v>apparel</v>
          </cell>
          <cell r="J43" t="str">
            <v>low_beta</v>
          </cell>
          <cell r="K43">
            <v>1.9E-2</v>
          </cell>
        </row>
        <row r="44">
          <cell r="A44" t="str">
            <v>INTB3</v>
          </cell>
          <cell r="B44">
            <v>1.7000000000000001E-2</v>
          </cell>
          <cell r="C44">
            <v>1.2E-2</v>
          </cell>
          <cell r="D44">
            <v>0</v>
          </cell>
          <cell r="E44">
            <v>5.000000000000001E-3</v>
          </cell>
          <cell r="F44">
            <v>2.2210000000000001</v>
          </cell>
          <cell r="G44">
            <v>2.5089999999999999</v>
          </cell>
          <cell r="H44" t="str">
            <v>pro_cyclicals</v>
          </cell>
          <cell r="I44" t="str">
            <v>tech</v>
          </cell>
          <cell r="J44" t="str">
            <v>high_beta</v>
          </cell>
          <cell r="K44">
            <v>1.7000000000000001E-2</v>
          </cell>
        </row>
        <row r="45">
          <cell r="A45" t="str">
            <v>BMEB4</v>
          </cell>
          <cell r="B45">
            <v>7.0000000000000001E-3</v>
          </cell>
          <cell r="C45">
            <v>7.0000000000000001E-3</v>
          </cell>
          <cell r="D45">
            <v>0</v>
          </cell>
          <cell r="E45">
            <v>0</v>
          </cell>
          <cell r="F45">
            <v>2.1819999999999999</v>
          </cell>
          <cell r="G45">
            <v>1.577</v>
          </cell>
          <cell r="H45" t="str">
            <v>pro_cyclicals</v>
          </cell>
          <cell r="I45" t="str">
            <v>banks</v>
          </cell>
          <cell r="J45" t="str">
            <v>high_beta</v>
          </cell>
          <cell r="K45">
            <v>7.0000000000000001E-3</v>
          </cell>
        </row>
        <row r="46">
          <cell r="A46" t="str">
            <v>MLAS3</v>
          </cell>
          <cell r="B46">
            <v>1.2E-2</v>
          </cell>
          <cell r="C46">
            <v>1.2E-2</v>
          </cell>
          <cell r="D46">
            <v>0</v>
          </cell>
          <cell r="E46">
            <v>0</v>
          </cell>
          <cell r="F46">
            <v>2.15</v>
          </cell>
          <cell r="G46">
            <v>1.579</v>
          </cell>
          <cell r="H46" t="str">
            <v>pro_cyclicals</v>
          </cell>
          <cell r="I46" t="str">
            <v>tech</v>
          </cell>
          <cell r="J46" t="str">
            <v>neutral_beta</v>
          </cell>
          <cell r="K46">
            <v>1.2E-2</v>
          </cell>
        </row>
        <row r="47">
          <cell r="A47" t="str">
            <v>ALUP11</v>
          </cell>
          <cell r="B47">
            <v>1.6E-2</v>
          </cell>
          <cell r="C47">
            <v>0</v>
          </cell>
          <cell r="D47">
            <v>0</v>
          </cell>
          <cell r="E47">
            <v>1.6E-2</v>
          </cell>
          <cell r="F47">
            <v>2.081</v>
          </cell>
          <cell r="G47">
            <v>4.4820000000000002</v>
          </cell>
          <cell r="H47" t="str">
            <v>bond_proxies</v>
          </cell>
          <cell r="I47" t="str">
            <v>utilities</v>
          </cell>
          <cell r="J47" t="str">
            <v>very_low_beta</v>
          </cell>
          <cell r="K47">
            <v>1.6E-2</v>
          </cell>
        </row>
        <row r="48">
          <cell r="A48" t="str">
            <v>PNVL3</v>
          </cell>
          <cell r="B48">
            <v>1.9E-2</v>
          </cell>
          <cell r="C48">
            <v>1.6E-2</v>
          </cell>
          <cell r="D48">
            <v>0</v>
          </cell>
          <cell r="E48">
            <v>2.9999999999999992E-3</v>
          </cell>
          <cell r="F48">
            <v>2.0649999999999999</v>
          </cell>
          <cell r="G48">
            <v>2.5019999999999998</v>
          </cell>
          <cell r="H48" t="str">
            <v>defensives</v>
          </cell>
          <cell r="I48" t="str">
            <v>healthcare</v>
          </cell>
          <cell r="J48" t="str">
            <v>neutral_beta</v>
          </cell>
          <cell r="K48">
            <v>1.9E-2</v>
          </cell>
        </row>
        <row r="49">
          <cell r="A49" t="str">
            <v>RECV3</v>
          </cell>
          <cell r="B49">
            <v>0.02</v>
          </cell>
          <cell r="C49">
            <v>9.0000000000000011E-3</v>
          </cell>
          <cell r="D49">
            <v>8.0000000000000002E-3</v>
          </cell>
          <cell r="E49">
            <v>1.0999999999999999E-2</v>
          </cell>
          <cell r="F49">
            <v>2.0209999999999999</v>
          </cell>
          <cell r="G49">
            <v>2.867</v>
          </cell>
          <cell r="H49" t="str">
            <v>commodities</v>
          </cell>
          <cell r="I49" t="str">
            <v>crude_oil</v>
          </cell>
          <cell r="J49" t="str">
            <v>very_low_beta</v>
          </cell>
          <cell r="K49">
            <v>1.2E-2</v>
          </cell>
        </row>
        <row r="50">
          <cell r="A50" t="str">
            <v>OPCT3</v>
          </cell>
          <cell r="B50">
            <v>1.2999999999999999E-2</v>
          </cell>
          <cell r="C50">
            <v>1.2999999999999999E-2</v>
          </cell>
          <cell r="D50">
            <v>0</v>
          </cell>
          <cell r="E50">
            <v>0</v>
          </cell>
          <cell r="F50">
            <v>1.992</v>
          </cell>
          <cell r="G50">
            <v>2.1150000000000002</v>
          </cell>
          <cell r="H50" t="str">
            <v>commodities</v>
          </cell>
          <cell r="I50" t="str">
            <v>crude_oil</v>
          </cell>
          <cell r="J50" t="str">
            <v>very_low_beta</v>
          </cell>
          <cell r="K50">
            <v>1.2999999999999999E-2</v>
          </cell>
        </row>
        <row r="51">
          <cell r="A51" t="str">
            <v>LAVV3</v>
          </cell>
          <cell r="B51">
            <v>0.02</v>
          </cell>
          <cell r="C51">
            <v>1.6E-2</v>
          </cell>
          <cell r="D51">
            <v>0</v>
          </cell>
          <cell r="E51">
            <v>4.0000000000000001E-3</v>
          </cell>
          <cell r="F51">
            <v>1.9830000000000001</v>
          </cell>
          <cell r="G51">
            <v>2.58</v>
          </cell>
          <cell r="H51" t="str">
            <v>pro_cyclicals</v>
          </cell>
          <cell r="I51" t="str">
            <v>homebuilders</v>
          </cell>
          <cell r="J51" t="str">
            <v>high_beta</v>
          </cell>
          <cell r="K51">
            <v>0.02</v>
          </cell>
        </row>
        <row r="52">
          <cell r="A52" t="str">
            <v>VIVT3</v>
          </cell>
          <cell r="B52">
            <v>1.4E-2</v>
          </cell>
          <cell r="C52">
            <v>1.4E-2</v>
          </cell>
          <cell r="D52">
            <v>0</v>
          </cell>
          <cell r="E52">
            <v>0</v>
          </cell>
          <cell r="F52">
            <v>1.978</v>
          </cell>
          <cell r="G52">
            <v>2.4569999999999999</v>
          </cell>
          <cell r="H52" t="str">
            <v>bond_proxies</v>
          </cell>
          <cell r="I52" t="str">
            <v>telecom</v>
          </cell>
          <cell r="J52" t="str">
            <v>very_low_beta</v>
          </cell>
          <cell r="K52">
            <v>1.4E-2</v>
          </cell>
        </row>
        <row r="53">
          <cell r="A53" t="str">
            <v>PINE4</v>
          </cell>
          <cell r="B53">
            <v>1.2E-2</v>
          </cell>
          <cell r="C53">
            <v>1.2E-2</v>
          </cell>
          <cell r="D53">
            <v>0</v>
          </cell>
          <cell r="E53">
            <v>0</v>
          </cell>
          <cell r="F53">
            <v>1.9630000000000001</v>
          </cell>
          <cell r="G53">
            <v>1.482</v>
          </cell>
          <cell r="H53" t="str">
            <v>pro_cyclicals</v>
          </cell>
          <cell r="I53" t="str">
            <v>banks</v>
          </cell>
          <cell r="J53" t="str">
            <v>neutral_beta</v>
          </cell>
          <cell r="K53">
            <v>1.2E-2</v>
          </cell>
        </row>
        <row r="54">
          <cell r="A54" t="str">
            <v>BMOB3</v>
          </cell>
          <cell r="B54">
            <v>1.6E-2</v>
          </cell>
          <cell r="C54">
            <v>0.01</v>
          </cell>
          <cell r="D54">
            <v>0</v>
          </cell>
          <cell r="E54">
            <v>6.0000000000000001E-3</v>
          </cell>
          <cell r="F54">
            <v>1.913</v>
          </cell>
          <cell r="G54">
            <v>2.4209999999999998</v>
          </cell>
          <cell r="H54" t="str">
            <v>pro_cyclicals</v>
          </cell>
          <cell r="I54" t="str">
            <v>tech</v>
          </cell>
          <cell r="J54" t="str">
            <v>high_beta</v>
          </cell>
          <cell r="K54">
            <v>1.6E-2</v>
          </cell>
        </row>
        <row r="55">
          <cell r="A55" t="str">
            <v>POSI3</v>
          </cell>
          <cell r="B55">
            <v>1.4999999999999999E-2</v>
          </cell>
          <cell r="C55">
            <v>1.4E-2</v>
          </cell>
          <cell r="D55">
            <v>0</v>
          </cell>
          <cell r="E55">
            <v>9.9999999999999915E-4</v>
          </cell>
          <cell r="F55">
            <v>1.847</v>
          </cell>
          <cell r="G55">
            <v>1.548</v>
          </cell>
          <cell r="H55" t="str">
            <v>pro_cyclicals</v>
          </cell>
          <cell r="I55" t="str">
            <v>tech</v>
          </cell>
          <cell r="J55" t="str">
            <v>low_beta</v>
          </cell>
          <cell r="K55">
            <v>1.4999999999999999E-2</v>
          </cell>
        </row>
        <row r="56">
          <cell r="A56" t="str">
            <v>ITSA4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1.845</v>
          </cell>
          <cell r="G56">
            <v>2.5089999999999999</v>
          </cell>
          <cell r="H56" t="str">
            <v>pro_cyclicals</v>
          </cell>
          <cell r="I56" t="str">
            <v>banks</v>
          </cell>
          <cell r="J56" t="str">
            <v>neutral_beta</v>
          </cell>
          <cell r="K56">
            <v>0</v>
          </cell>
        </row>
        <row r="57">
          <cell r="A57" t="str">
            <v>ABEV3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1.8420000000000001</v>
          </cell>
          <cell r="G57">
            <v>2.395</v>
          </cell>
          <cell r="H57" t="str">
            <v>defensives</v>
          </cell>
          <cell r="I57" t="str">
            <v>consumer_staples</v>
          </cell>
          <cell r="J57" t="str">
            <v>very_low_beta</v>
          </cell>
          <cell r="K57">
            <v>0</v>
          </cell>
        </row>
        <row r="58">
          <cell r="A58" t="str">
            <v>VVEO3</v>
          </cell>
          <cell r="B58">
            <v>6.0000000000000001E-3</v>
          </cell>
          <cell r="C58">
            <v>6.0000000000000001E-3</v>
          </cell>
          <cell r="D58">
            <v>0</v>
          </cell>
          <cell r="E58">
            <v>0</v>
          </cell>
          <cell r="F58">
            <v>1.84</v>
          </cell>
          <cell r="G58">
            <v>1.2609999999999999</v>
          </cell>
          <cell r="H58" t="str">
            <v>defensives</v>
          </cell>
          <cell r="I58" t="str">
            <v>healthcare</v>
          </cell>
          <cell r="J58" t="str">
            <v>high_beta</v>
          </cell>
          <cell r="K58">
            <v>6.0000000000000001E-3</v>
          </cell>
        </row>
        <row r="59">
          <cell r="A59" t="str">
            <v>BRAP3</v>
          </cell>
          <cell r="B59">
            <v>1.4E-2</v>
          </cell>
          <cell r="C59">
            <v>1.4E-2</v>
          </cell>
          <cell r="D59">
            <v>0</v>
          </cell>
          <cell r="E59">
            <v>0</v>
          </cell>
          <cell r="F59">
            <v>1.794</v>
          </cell>
          <cell r="G59">
            <v>2.2989999999999999</v>
          </cell>
          <cell r="H59" t="str">
            <v>commodities</v>
          </cell>
          <cell r="I59" t="str">
            <v>basic_materials</v>
          </cell>
          <cell r="J59" t="str">
            <v>low_beta</v>
          </cell>
          <cell r="K59">
            <v>1.4E-2</v>
          </cell>
        </row>
        <row r="60">
          <cell r="A60" t="str">
            <v>MDNE3</v>
          </cell>
          <cell r="B60">
            <v>1.7000000000000001E-2</v>
          </cell>
          <cell r="C60">
            <v>1.0999999999999999E-2</v>
          </cell>
          <cell r="D60">
            <v>0</v>
          </cell>
          <cell r="E60">
            <v>6.0000000000000019E-3</v>
          </cell>
          <cell r="F60">
            <v>1.792</v>
          </cell>
          <cell r="G60">
            <v>1.504</v>
          </cell>
          <cell r="H60" t="str">
            <v>pro_cyclicals</v>
          </cell>
          <cell r="I60" t="str">
            <v>homebuilders</v>
          </cell>
          <cell r="J60" t="str">
            <v>very_high_beta</v>
          </cell>
          <cell r="K60">
            <v>1.7000000000000001E-2</v>
          </cell>
        </row>
        <row r="61">
          <cell r="A61" t="str">
            <v>PSSA3</v>
          </cell>
          <cell r="B61">
            <v>1.2E-2</v>
          </cell>
          <cell r="C61">
            <v>1.2E-2</v>
          </cell>
          <cell r="D61">
            <v>0</v>
          </cell>
          <cell r="E61">
            <v>0</v>
          </cell>
          <cell r="F61">
            <v>1.7889999999999999</v>
          </cell>
          <cell r="G61">
            <v>2.0099999999999998</v>
          </cell>
          <cell r="H61" t="str">
            <v>defensives</v>
          </cell>
          <cell r="I61" t="str">
            <v>float_financials</v>
          </cell>
          <cell r="J61" t="str">
            <v>very_low_beta</v>
          </cell>
          <cell r="K61">
            <v>1.2E-2</v>
          </cell>
        </row>
        <row r="62">
          <cell r="A62" t="str">
            <v>NEOE3</v>
          </cell>
          <cell r="B62">
            <v>0</v>
          </cell>
          <cell r="C62">
            <v>0</v>
          </cell>
          <cell r="D62">
            <v>-0.01</v>
          </cell>
          <cell r="E62">
            <v>0</v>
          </cell>
          <cell r="F62">
            <v>1.7529999999999999</v>
          </cell>
          <cell r="G62">
            <v>2.1240000000000001</v>
          </cell>
          <cell r="H62" t="str">
            <v>bond_proxies</v>
          </cell>
          <cell r="I62" t="str">
            <v>utilities</v>
          </cell>
          <cell r="J62" t="str">
            <v>very_low_beta</v>
          </cell>
          <cell r="K62">
            <v>0.01</v>
          </cell>
        </row>
        <row r="63">
          <cell r="A63" t="str">
            <v>SEER3</v>
          </cell>
          <cell r="B63">
            <v>1.2E-2</v>
          </cell>
          <cell r="C63">
            <v>0.01</v>
          </cell>
          <cell r="D63">
            <v>0</v>
          </cell>
          <cell r="E63">
            <v>2E-3</v>
          </cell>
          <cell r="F63">
            <v>1.7250000000000001</v>
          </cell>
          <cell r="G63">
            <v>1.2290000000000001</v>
          </cell>
          <cell r="H63" t="str">
            <v>pro_cyclicals</v>
          </cell>
          <cell r="I63" t="str">
            <v>education</v>
          </cell>
          <cell r="J63" t="str">
            <v>neutral_beta</v>
          </cell>
          <cell r="K63">
            <v>1.2E-2</v>
          </cell>
        </row>
        <row r="64">
          <cell r="A64" t="str">
            <v>CAML3</v>
          </cell>
          <cell r="B64">
            <v>1.7000000000000001E-2</v>
          </cell>
          <cell r="C64">
            <v>1.4999999999999999E-2</v>
          </cell>
          <cell r="D64">
            <v>0</v>
          </cell>
          <cell r="E64">
            <v>2.0000000000000018E-3</v>
          </cell>
          <cell r="F64">
            <v>1.641</v>
          </cell>
          <cell r="G64">
            <v>1.6140000000000001</v>
          </cell>
          <cell r="H64" t="str">
            <v>defensives</v>
          </cell>
          <cell r="I64" t="str">
            <v>consumer_staples</v>
          </cell>
          <cell r="J64" t="str">
            <v>very_high_beta</v>
          </cell>
          <cell r="K64">
            <v>1.7000000000000001E-2</v>
          </cell>
        </row>
        <row r="65">
          <cell r="A65" t="str">
            <v>HBRE3</v>
          </cell>
          <cell r="B65">
            <v>1.4E-2</v>
          </cell>
          <cell r="C65">
            <v>1.4E-2</v>
          </cell>
          <cell r="D65">
            <v>0</v>
          </cell>
          <cell r="E65">
            <v>0</v>
          </cell>
          <cell r="F65">
            <v>1.6180000000000001</v>
          </cell>
          <cell r="G65">
            <v>1.2170000000000001</v>
          </cell>
          <cell r="H65" t="str">
            <v>bond_proxies</v>
          </cell>
          <cell r="I65" t="str">
            <v>real_estate</v>
          </cell>
          <cell r="J65" t="str">
            <v>very_high_beta</v>
          </cell>
          <cell r="K65">
            <v>1.4E-2</v>
          </cell>
        </row>
        <row r="66">
          <cell r="A66" t="str">
            <v>ITUB3</v>
          </cell>
          <cell r="B66">
            <v>0</v>
          </cell>
          <cell r="C66">
            <v>0</v>
          </cell>
          <cell r="D66">
            <v>-2.1000000000000001E-2</v>
          </cell>
          <cell r="E66">
            <v>0</v>
          </cell>
          <cell r="F66">
            <v>1.5840000000000001</v>
          </cell>
          <cell r="G66">
            <v>2.153</v>
          </cell>
          <cell r="H66" t="str">
            <v>pro_cyclicals</v>
          </cell>
          <cell r="I66" t="str">
            <v>banks</v>
          </cell>
          <cell r="J66" t="str">
            <v>neutral_beta</v>
          </cell>
          <cell r="K66">
            <v>2.1000000000000001E-2</v>
          </cell>
        </row>
        <row r="67">
          <cell r="A67" t="str">
            <v>BBSE3</v>
          </cell>
          <cell r="B67">
            <v>1.2E-2</v>
          </cell>
          <cell r="C67">
            <v>1.2E-2</v>
          </cell>
          <cell r="D67">
            <v>0</v>
          </cell>
          <cell r="E67">
            <v>0</v>
          </cell>
          <cell r="F67">
            <v>1.5409999999999999</v>
          </cell>
          <cell r="G67">
            <v>1.9890000000000001</v>
          </cell>
          <cell r="H67" t="str">
            <v>defensives</v>
          </cell>
          <cell r="I67" t="str">
            <v>float_financials</v>
          </cell>
          <cell r="J67" t="str">
            <v>very_low_beta</v>
          </cell>
          <cell r="K67">
            <v>1.2E-2</v>
          </cell>
        </row>
        <row r="68">
          <cell r="A68" t="str">
            <v>TAEE3</v>
          </cell>
          <cell r="B68">
            <v>1.6E-2</v>
          </cell>
          <cell r="C68">
            <v>1.6E-2</v>
          </cell>
          <cell r="D68">
            <v>0</v>
          </cell>
          <cell r="E68">
            <v>0</v>
          </cell>
          <cell r="F68">
            <v>1.478</v>
          </cell>
          <cell r="G68">
            <v>1.988</v>
          </cell>
          <cell r="H68" t="str">
            <v>bond_proxies</v>
          </cell>
          <cell r="I68" t="str">
            <v>utilities</v>
          </cell>
          <cell r="J68" t="str">
            <v>low_beta</v>
          </cell>
          <cell r="K68">
            <v>1.6E-2</v>
          </cell>
        </row>
        <row r="69">
          <cell r="A69" t="str">
            <v>TAEE4</v>
          </cell>
          <cell r="B69">
            <v>1.6E-2</v>
          </cell>
          <cell r="C69">
            <v>1.6E-2</v>
          </cell>
          <cell r="D69">
            <v>0</v>
          </cell>
          <cell r="E69">
            <v>0</v>
          </cell>
          <cell r="F69">
            <v>1.4590000000000001</v>
          </cell>
          <cell r="G69">
            <v>1.984</v>
          </cell>
          <cell r="H69" t="str">
            <v>bond_proxies</v>
          </cell>
          <cell r="I69" t="str">
            <v>utilities</v>
          </cell>
          <cell r="J69" t="str">
            <v>low_beta</v>
          </cell>
          <cell r="K69">
            <v>1.6E-2</v>
          </cell>
        </row>
        <row r="70">
          <cell r="A70" t="str">
            <v>AZZA3</v>
          </cell>
          <cell r="B70">
            <v>1.4999999999999999E-2</v>
          </cell>
          <cell r="C70">
            <v>6.9999999999999993E-3</v>
          </cell>
          <cell r="D70">
            <v>0</v>
          </cell>
          <cell r="E70">
            <v>8.0000000000000002E-3</v>
          </cell>
          <cell r="F70">
            <v>1.4379999999999999</v>
          </cell>
          <cell r="G70">
            <v>1.218</v>
          </cell>
          <cell r="H70" t="str">
            <v>pro_cyclicals</v>
          </cell>
          <cell r="I70" t="str">
            <v>apparel</v>
          </cell>
          <cell r="J70" t="str">
            <v>neutral_beta</v>
          </cell>
          <cell r="K70">
            <v>1.4999999999999999E-2</v>
          </cell>
        </row>
        <row r="71">
          <cell r="A71" t="str">
            <v>AXIA6</v>
          </cell>
          <cell r="B71">
            <v>0</v>
          </cell>
          <cell r="C71">
            <v>0</v>
          </cell>
          <cell r="D71">
            <v>-2.5000000000000001E-2</v>
          </cell>
          <cell r="E71">
            <v>0</v>
          </cell>
          <cell r="F71">
            <v>1.4339999999999999</v>
          </cell>
          <cell r="G71">
            <v>1.806</v>
          </cell>
          <cell r="H71" t="str">
            <v>bond_proxies</v>
          </cell>
          <cell r="I71" t="str">
            <v>utilities</v>
          </cell>
          <cell r="J71" t="str">
            <v>high_beta</v>
          </cell>
          <cell r="K71">
            <v>2.5000000000000001E-2</v>
          </cell>
        </row>
        <row r="72">
          <cell r="A72" t="str">
            <v>BBDC3</v>
          </cell>
          <cell r="B72">
            <v>0</v>
          </cell>
          <cell r="C72">
            <v>0</v>
          </cell>
          <cell r="D72">
            <v>-2.1000000000000001E-2</v>
          </cell>
          <cell r="E72">
            <v>0</v>
          </cell>
          <cell r="F72">
            <v>1.429</v>
          </cell>
          <cell r="G72">
            <v>1.873</v>
          </cell>
          <cell r="H72" t="str">
            <v>pro_cyclicals</v>
          </cell>
          <cell r="I72" t="str">
            <v>banks</v>
          </cell>
          <cell r="J72" t="str">
            <v>neutral_beta</v>
          </cell>
          <cell r="K72">
            <v>2.1000000000000001E-2</v>
          </cell>
        </row>
        <row r="73">
          <cell r="A73" t="str">
            <v>BRBI11</v>
          </cell>
          <cell r="B73">
            <v>1.2999999999999999E-2</v>
          </cell>
          <cell r="C73">
            <v>0.01</v>
          </cell>
          <cell r="D73">
            <v>0</v>
          </cell>
          <cell r="E73">
            <v>2.9999999999999992E-3</v>
          </cell>
          <cell r="F73">
            <v>1.37</v>
          </cell>
          <cell r="G73">
            <v>1.456</v>
          </cell>
          <cell r="H73" t="str">
            <v>pro_cyclicals</v>
          </cell>
          <cell r="I73" t="str">
            <v>banks</v>
          </cell>
          <cell r="J73" t="str">
            <v>very_low_beta</v>
          </cell>
          <cell r="K73">
            <v>1.2999999999999999E-2</v>
          </cell>
        </row>
        <row r="74">
          <cell r="A74" t="str">
            <v>CPLE3</v>
          </cell>
          <cell r="B74">
            <v>2.1000000000000001E-2</v>
          </cell>
          <cell r="C74">
            <v>2.1000000000000001E-2</v>
          </cell>
          <cell r="D74">
            <v>0</v>
          </cell>
          <cell r="E74">
            <v>0</v>
          </cell>
          <cell r="F74">
            <v>1.355</v>
          </cell>
          <cell r="G74">
            <v>1.806</v>
          </cell>
          <cell r="H74" t="str">
            <v>bond_proxies</v>
          </cell>
          <cell r="I74" t="str">
            <v>utilities</v>
          </cell>
          <cell r="J74" t="str">
            <v>neutral_beta</v>
          </cell>
          <cell r="K74">
            <v>2.1000000000000001E-2</v>
          </cell>
        </row>
        <row r="75">
          <cell r="A75" t="str">
            <v>BRAP4</v>
          </cell>
          <cell r="B75">
            <v>1.4999999999999999E-2</v>
          </cell>
          <cell r="C75">
            <v>-2.9999999999999992E-3</v>
          </cell>
          <cell r="D75">
            <v>0</v>
          </cell>
          <cell r="E75">
            <v>1.7999999999999999E-2</v>
          </cell>
          <cell r="F75">
            <v>1.349</v>
          </cell>
          <cell r="G75">
            <v>2.9060000000000001</v>
          </cell>
          <cell r="H75" t="str">
            <v>commodities</v>
          </cell>
          <cell r="I75" t="str">
            <v>basic_materials</v>
          </cell>
          <cell r="J75" t="str">
            <v>high_beta</v>
          </cell>
          <cell r="K75">
            <v>1.4999999999999999E-2</v>
          </cell>
        </row>
        <row r="76">
          <cell r="A76" t="str">
            <v>DIRR3</v>
          </cell>
          <cell r="B76">
            <v>1.7999999999999999E-2</v>
          </cell>
          <cell r="C76">
            <v>4.0000000000000001E-3</v>
          </cell>
          <cell r="D76">
            <v>0</v>
          </cell>
          <cell r="E76">
            <v>1.3999999999999999E-2</v>
          </cell>
          <cell r="F76">
            <v>1.3340000000000001</v>
          </cell>
          <cell r="G76">
            <v>2.0670000000000002</v>
          </cell>
          <cell r="H76" t="str">
            <v>pro_cyclicals</v>
          </cell>
          <cell r="I76" t="str">
            <v>homebuilders</v>
          </cell>
          <cell r="J76" t="str">
            <v>high_beta</v>
          </cell>
          <cell r="K76">
            <v>1.7999999999999999E-2</v>
          </cell>
        </row>
        <row r="77">
          <cell r="A77" t="str">
            <v>CMIG4</v>
          </cell>
          <cell r="B77">
            <v>1.6E-2</v>
          </cell>
          <cell r="C77">
            <v>1.6E-2</v>
          </cell>
          <cell r="D77">
            <v>0</v>
          </cell>
          <cell r="E77">
            <v>0</v>
          </cell>
          <cell r="F77">
            <v>1.3129999999999999</v>
          </cell>
          <cell r="G77">
            <v>1.7470000000000001</v>
          </cell>
          <cell r="H77" t="str">
            <v>bond_proxies</v>
          </cell>
          <cell r="I77" t="str">
            <v>utilities</v>
          </cell>
          <cell r="J77" t="str">
            <v>low_beta</v>
          </cell>
          <cell r="K77">
            <v>1.6E-2</v>
          </cell>
        </row>
        <row r="78">
          <cell r="A78" t="str">
            <v>FESA4</v>
          </cell>
          <cell r="B78">
            <v>1.6E-2</v>
          </cell>
          <cell r="C78">
            <v>1.2E-2</v>
          </cell>
          <cell r="D78">
            <v>0</v>
          </cell>
          <cell r="E78">
            <v>4.0000000000000001E-3</v>
          </cell>
          <cell r="F78">
            <v>1.292</v>
          </cell>
          <cell r="G78">
            <v>1.5049999999999999</v>
          </cell>
          <cell r="H78" t="str">
            <v>commodities</v>
          </cell>
          <cell r="I78" t="str">
            <v>basic_materials</v>
          </cell>
          <cell r="J78" t="str">
            <v>low_beta</v>
          </cell>
          <cell r="K78">
            <v>1.6E-2</v>
          </cell>
        </row>
        <row r="79">
          <cell r="A79" t="str">
            <v>LREN3</v>
          </cell>
          <cell r="B79">
            <v>2.7E-2</v>
          </cell>
          <cell r="C79">
            <v>-1.5999999999999997E-2</v>
          </cell>
          <cell r="D79">
            <v>0</v>
          </cell>
          <cell r="E79">
            <v>4.2999999999999997E-2</v>
          </cell>
          <cell r="F79">
            <v>1.278</v>
          </cell>
          <cell r="G79">
            <v>2.3660000000000001</v>
          </cell>
          <cell r="H79" t="str">
            <v>pro_cyclicals</v>
          </cell>
          <cell r="I79" t="str">
            <v>apparel</v>
          </cell>
          <cell r="J79" t="str">
            <v>neutral_beta</v>
          </cell>
          <cell r="K79">
            <v>2.7E-2</v>
          </cell>
        </row>
        <row r="80">
          <cell r="A80" t="str">
            <v>RANI3</v>
          </cell>
          <cell r="B80">
            <v>0</v>
          </cell>
          <cell r="C80">
            <v>-3.0000000000000001E-3</v>
          </cell>
          <cell r="D80">
            <v>0</v>
          </cell>
          <cell r="E80">
            <v>3.0000000000000001E-3</v>
          </cell>
          <cell r="F80">
            <v>1.268</v>
          </cell>
          <cell r="G80">
            <v>1.6479999999999999</v>
          </cell>
          <cell r="H80" t="str">
            <v>defensives</v>
          </cell>
          <cell r="I80" t="str">
            <v>consumer_staples</v>
          </cell>
          <cell r="J80" t="str">
            <v>low_beta</v>
          </cell>
          <cell r="K80">
            <v>0</v>
          </cell>
        </row>
        <row r="81">
          <cell r="A81" t="str">
            <v>CSMG3</v>
          </cell>
          <cell r="B81">
            <v>0.01</v>
          </cell>
          <cell r="C81">
            <v>-1.9999999999999997E-2</v>
          </cell>
          <cell r="D81">
            <v>0.01</v>
          </cell>
          <cell r="E81">
            <v>0.03</v>
          </cell>
          <cell r="F81">
            <v>1.2310000000000001</v>
          </cell>
          <cell r="G81">
            <v>2.48</v>
          </cell>
          <cell r="H81" t="str">
            <v>bond_proxies</v>
          </cell>
          <cell r="I81" t="str">
            <v>utilities</v>
          </cell>
          <cell r="J81" t="str">
            <v>low_beta</v>
          </cell>
          <cell r="K81">
            <v>0</v>
          </cell>
        </row>
        <row r="82">
          <cell r="A82" t="str">
            <v>IGTI11</v>
          </cell>
          <cell r="B82">
            <v>0</v>
          </cell>
          <cell r="C82">
            <v>-1.7000000000000001E-2</v>
          </cell>
          <cell r="D82">
            <v>0</v>
          </cell>
          <cell r="E82">
            <v>1.7000000000000001E-2</v>
          </cell>
          <cell r="F82">
            <v>1.1499999999999999</v>
          </cell>
          <cell r="G82">
            <v>2.476</v>
          </cell>
          <cell r="H82" t="str">
            <v>bond_proxies</v>
          </cell>
          <cell r="I82" t="str">
            <v>real_estate</v>
          </cell>
          <cell r="J82" t="str">
            <v>high_beta</v>
          </cell>
          <cell r="K82">
            <v>0</v>
          </cell>
        </row>
        <row r="83">
          <cell r="A83" t="str">
            <v>CMIG3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1.105</v>
          </cell>
          <cell r="G83">
            <v>1.175</v>
          </cell>
          <cell r="H83" t="str">
            <v>bond_proxies</v>
          </cell>
          <cell r="I83" t="str">
            <v>utilities</v>
          </cell>
          <cell r="J83" t="str">
            <v>very_low_beta</v>
          </cell>
          <cell r="K83">
            <v>0</v>
          </cell>
        </row>
        <row r="84">
          <cell r="A84" t="str">
            <v>TAEE11</v>
          </cell>
          <cell r="B84">
            <v>0</v>
          </cell>
          <cell r="C84">
            <v>-2.8000000000000001E-2</v>
          </cell>
          <cell r="D84">
            <v>0</v>
          </cell>
          <cell r="E84">
            <v>2.8000000000000001E-2</v>
          </cell>
          <cell r="F84">
            <v>1.101</v>
          </cell>
          <cell r="G84">
            <v>2.371</v>
          </cell>
          <cell r="H84" t="str">
            <v>bond_proxies</v>
          </cell>
          <cell r="I84" t="str">
            <v>utilities</v>
          </cell>
          <cell r="J84" t="str">
            <v>low_beta</v>
          </cell>
          <cell r="K84">
            <v>0</v>
          </cell>
        </row>
        <row r="85">
          <cell r="A85" t="str">
            <v>MILS3</v>
          </cell>
          <cell r="B85">
            <v>0</v>
          </cell>
          <cell r="C85">
            <v>-4.0000000000000001E-3</v>
          </cell>
          <cell r="D85">
            <v>0</v>
          </cell>
          <cell r="E85">
            <v>4.0000000000000001E-3</v>
          </cell>
          <cell r="F85">
            <v>1.0900000000000001</v>
          </cell>
          <cell r="G85">
            <v>1.6479999999999999</v>
          </cell>
          <cell r="H85" t="str">
            <v>industrials</v>
          </cell>
          <cell r="I85" t="str">
            <v>building_materials</v>
          </cell>
          <cell r="J85" t="str">
            <v>neutral_beta</v>
          </cell>
          <cell r="K85">
            <v>0</v>
          </cell>
        </row>
        <row r="86">
          <cell r="A86" t="str">
            <v>ITUB4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1.046</v>
          </cell>
          <cell r="G86">
            <v>1.4219999999999999</v>
          </cell>
          <cell r="H86" t="str">
            <v>pro_cyclicals</v>
          </cell>
          <cell r="I86" t="str">
            <v>banks</v>
          </cell>
          <cell r="J86" t="str">
            <v>neutral_beta</v>
          </cell>
          <cell r="K86">
            <v>0</v>
          </cell>
        </row>
        <row r="87">
          <cell r="A87" t="str">
            <v>FLRY3</v>
          </cell>
          <cell r="B87">
            <v>0</v>
          </cell>
          <cell r="C87">
            <v>-2.1999999999999999E-2</v>
          </cell>
          <cell r="D87">
            <v>0</v>
          </cell>
          <cell r="E87">
            <v>2.1999999999999999E-2</v>
          </cell>
          <cell r="F87">
            <v>1.0289999999999999</v>
          </cell>
          <cell r="G87">
            <v>2.09</v>
          </cell>
          <cell r="H87" t="str">
            <v>defensives</v>
          </cell>
          <cell r="I87" t="str">
            <v>healthcare</v>
          </cell>
          <cell r="J87" t="str">
            <v>low_beta</v>
          </cell>
          <cell r="K87">
            <v>0</v>
          </cell>
        </row>
        <row r="88">
          <cell r="A88" t="str">
            <v>EZTC3</v>
          </cell>
          <cell r="B88">
            <v>0</v>
          </cell>
          <cell r="C88">
            <v>-5.0000000000000001E-3</v>
          </cell>
          <cell r="D88">
            <v>0</v>
          </cell>
          <cell r="E88">
            <v>5.0000000000000001E-3</v>
          </cell>
          <cell r="F88">
            <v>1.018</v>
          </cell>
          <cell r="G88">
            <v>1.2270000000000001</v>
          </cell>
          <cell r="H88" t="str">
            <v>pro_cyclicals</v>
          </cell>
          <cell r="I88" t="str">
            <v>homebuilders</v>
          </cell>
          <cell r="J88" t="str">
            <v>high_beta</v>
          </cell>
          <cell r="K88">
            <v>0</v>
          </cell>
        </row>
        <row r="89">
          <cell r="A89" t="str">
            <v>MULT3</v>
          </cell>
          <cell r="B89">
            <v>0</v>
          </cell>
          <cell r="C89">
            <v>-3.1E-2</v>
          </cell>
          <cell r="D89">
            <v>0</v>
          </cell>
          <cell r="E89">
            <v>3.1E-2</v>
          </cell>
          <cell r="F89">
            <v>1.0149999999999999</v>
          </cell>
          <cell r="G89">
            <v>2.1869999999999998</v>
          </cell>
          <cell r="H89" t="str">
            <v>bond_proxies</v>
          </cell>
          <cell r="I89" t="str">
            <v>real_estate</v>
          </cell>
          <cell r="J89" t="str">
            <v>high_beta</v>
          </cell>
          <cell r="K89">
            <v>0</v>
          </cell>
        </row>
        <row r="90">
          <cell r="A90" t="str">
            <v>KLBN3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1.0069999999999999</v>
          </cell>
          <cell r="G90">
            <v>1.2290000000000001</v>
          </cell>
          <cell r="H90" t="str">
            <v>commodities</v>
          </cell>
          <cell r="I90" t="str">
            <v>basic_materials</v>
          </cell>
          <cell r="J90" t="str">
            <v>very_low_beta</v>
          </cell>
          <cell r="K90">
            <v>0</v>
          </cell>
        </row>
        <row r="91">
          <cell r="A91" t="str">
            <v>KLBN4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1.0049999999999999</v>
          </cell>
          <cell r="G91">
            <v>1.2669999999999999</v>
          </cell>
          <cell r="H91" t="str">
            <v>commodities</v>
          </cell>
          <cell r="I91" t="str">
            <v>basic_materials</v>
          </cell>
          <cell r="J91" t="str">
            <v>low_beta</v>
          </cell>
          <cell r="K91">
            <v>0</v>
          </cell>
        </row>
        <row r="92">
          <cell r="A92" t="str">
            <v>ANIM3</v>
          </cell>
          <cell r="B92">
            <v>0</v>
          </cell>
          <cell r="C92">
            <v>-3.0000000000000001E-3</v>
          </cell>
          <cell r="D92">
            <v>0</v>
          </cell>
          <cell r="E92">
            <v>3.0000000000000001E-3</v>
          </cell>
          <cell r="F92">
            <v>0.99099999999999999</v>
          </cell>
          <cell r="G92">
            <v>0.70899999999999996</v>
          </cell>
          <cell r="H92" t="str">
            <v>pro_cyclicals</v>
          </cell>
          <cell r="I92" t="str">
            <v>education</v>
          </cell>
          <cell r="J92" t="str">
            <v>very_high_beta</v>
          </cell>
          <cell r="K92">
            <v>0</v>
          </cell>
        </row>
        <row r="93">
          <cell r="A93" t="str">
            <v>SLCE3</v>
          </cell>
          <cell r="B93">
            <v>0</v>
          </cell>
          <cell r="C93">
            <v>-1.2E-2</v>
          </cell>
          <cell r="D93">
            <v>0</v>
          </cell>
          <cell r="E93">
            <v>1.2E-2</v>
          </cell>
          <cell r="F93">
            <v>0.98099999999999998</v>
          </cell>
          <cell r="G93">
            <v>1.841</v>
          </cell>
          <cell r="H93" t="str">
            <v>commodities</v>
          </cell>
          <cell r="I93" t="str">
            <v>food</v>
          </cell>
          <cell r="J93" t="str">
            <v>very_low_beta</v>
          </cell>
          <cell r="K93">
            <v>0</v>
          </cell>
        </row>
        <row r="94">
          <cell r="A94" t="str">
            <v>TGMA3</v>
          </cell>
          <cell r="B94">
            <v>0</v>
          </cell>
          <cell r="C94">
            <v>-3.0000000000000001E-3</v>
          </cell>
          <cell r="D94">
            <v>0</v>
          </cell>
          <cell r="E94">
            <v>3.0000000000000001E-3</v>
          </cell>
          <cell r="F94">
            <v>0.97099999999999997</v>
          </cell>
          <cell r="G94">
            <v>1.2110000000000001</v>
          </cell>
          <cell r="H94" t="str">
            <v>pro_cyclicals</v>
          </cell>
          <cell r="I94" t="str">
            <v>transportation</v>
          </cell>
          <cell r="J94" t="str">
            <v>neutral_beta</v>
          </cell>
          <cell r="K94">
            <v>0</v>
          </cell>
        </row>
        <row r="95">
          <cell r="A95" t="str">
            <v>MDIA3</v>
          </cell>
          <cell r="B95">
            <v>0</v>
          </cell>
          <cell r="C95">
            <v>-4.0000000000000001E-3</v>
          </cell>
          <cell r="D95">
            <v>0</v>
          </cell>
          <cell r="E95">
            <v>4.0000000000000001E-3</v>
          </cell>
          <cell r="F95">
            <v>0.96699999999999997</v>
          </cell>
          <cell r="G95">
            <v>0.96299999999999997</v>
          </cell>
          <cell r="H95" t="str">
            <v>defensives</v>
          </cell>
          <cell r="I95" t="str">
            <v>consumer_staples</v>
          </cell>
          <cell r="J95" t="str">
            <v>low_beta</v>
          </cell>
          <cell r="K95">
            <v>0</v>
          </cell>
        </row>
        <row r="96">
          <cell r="A96" t="str">
            <v>BBDC4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0.96199999999999997</v>
          </cell>
          <cell r="G96">
            <v>1.198</v>
          </cell>
          <cell r="H96" t="str">
            <v>pro_cyclicals</v>
          </cell>
          <cell r="I96" t="str">
            <v>banks</v>
          </cell>
          <cell r="J96" t="str">
            <v>neutral_beta</v>
          </cell>
          <cell r="K96">
            <v>0</v>
          </cell>
        </row>
        <row r="97">
          <cell r="A97" t="str">
            <v>CXSE3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0.95599999999999996</v>
          </cell>
          <cell r="G97">
            <v>1.212</v>
          </cell>
          <cell r="H97" t="str">
            <v>defensives</v>
          </cell>
          <cell r="I97" t="str">
            <v>float_financials</v>
          </cell>
          <cell r="J97" t="str">
            <v>very_low_beta</v>
          </cell>
          <cell r="K97">
            <v>0</v>
          </cell>
        </row>
        <row r="98">
          <cell r="A98" t="str">
            <v>TEND3</v>
          </cell>
          <cell r="B98">
            <v>0</v>
          </cell>
          <cell r="C98">
            <v>-1.0999999999999999E-2</v>
          </cell>
          <cell r="D98">
            <v>0</v>
          </cell>
          <cell r="E98">
            <v>1.0999999999999999E-2</v>
          </cell>
          <cell r="F98">
            <v>0.95399999999999996</v>
          </cell>
          <cell r="G98">
            <v>0.82799999999999996</v>
          </cell>
          <cell r="H98" t="str">
            <v>pro_cyclicals</v>
          </cell>
          <cell r="I98" t="str">
            <v>homebuilders</v>
          </cell>
          <cell r="J98" t="str">
            <v>neutral_beta</v>
          </cell>
          <cell r="K98">
            <v>0</v>
          </cell>
        </row>
        <row r="99">
          <cell r="A99" t="str">
            <v>PGMN3</v>
          </cell>
          <cell r="B99">
            <v>0</v>
          </cell>
          <cell r="C99">
            <v>-4.0000000000000001E-3</v>
          </cell>
          <cell r="D99">
            <v>0</v>
          </cell>
          <cell r="E99">
            <v>4.0000000000000001E-3</v>
          </cell>
          <cell r="F99">
            <v>0.93300000000000005</v>
          </cell>
          <cell r="G99">
            <v>0.80900000000000005</v>
          </cell>
          <cell r="H99" t="str">
            <v>defensives</v>
          </cell>
          <cell r="I99" t="str">
            <v>healthcare</v>
          </cell>
          <cell r="J99" t="str">
            <v>high_beta</v>
          </cell>
          <cell r="K99">
            <v>0</v>
          </cell>
        </row>
        <row r="100">
          <cell r="A100" t="str">
            <v>KLBN11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0.92600000000000005</v>
          </cell>
          <cell r="G100">
            <v>1.141</v>
          </cell>
          <cell r="H100" t="str">
            <v>commodities</v>
          </cell>
          <cell r="I100" t="str">
            <v>basic_materials</v>
          </cell>
          <cell r="J100" t="str">
            <v>low_beta</v>
          </cell>
          <cell r="K100">
            <v>0</v>
          </cell>
        </row>
        <row r="101">
          <cell r="A101" t="str">
            <v>HYPE3</v>
          </cell>
          <cell r="B101">
            <v>0</v>
          </cell>
          <cell r="C101">
            <v>-2.1999999999999999E-2</v>
          </cell>
          <cell r="D101">
            <v>0</v>
          </cell>
          <cell r="E101">
            <v>2.1999999999999999E-2</v>
          </cell>
          <cell r="F101">
            <v>0.91</v>
          </cell>
          <cell r="G101">
            <v>1.639</v>
          </cell>
          <cell r="H101" t="str">
            <v>defensives</v>
          </cell>
          <cell r="I101" t="str">
            <v>healthcare</v>
          </cell>
          <cell r="J101" t="str">
            <v>low_beta</v>
          </cell>
          <cell r="K101">
            <v>0</v>
          </cell>
        </row>
        <row r="102">
          <cell r="A102" t="str">
            <v>AXIA3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0.89</v>
          </cell>
          <cell r="G102">
            <v>1.1259999999999999</v>
          </cell>
          <cell r="H102" t="str">
            <v>bond_proxies</v>
          </cell>
          <cell r="I102" t="str">
            <v>utilities</v>
          </cell>
          <cell r="J102" t="str">
            <v>high_beta</v>
          </cell>
          <cell r="K102">
            <v>0</v>
          </cell>
        </row>
        <row r="103">
          <cell r="A103" t="str">
            <v>CPFE3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0.872</v>
          </cell>
          <cell r="G103">
            <v>1.1040000000000001</v>
          </cell>
          <cell r="H103" t="str">
            <v>bond_proxies</v>
          </cell>
          <cell r="I103" t="str">
            <v>utilities</v>
          </cell>
          <cell r="J103" t="str">
            <v>low_beta</v>
          </cell>
          <cell r="K103">
            <v>0</v>
          </cell>
        </row>
        <row r="104">
          <cell r="A104" t="str">
            <v>ISAE4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0.83399999999999996</v>
          </cell>
          <cell r="G104">
            <v>1.1339999999999999</v>
          </cell>
          <cell r="H104" t="str">
            <v>bond_proxies</v>
          </cell>
          <cell r="I104" t="str">
            <v>utilities</v>
          </cell>
          <cell r="J104" t="str">
            <v>low_beta</v>
          </cell>
          <cell r="K104">
            <v>0</v>
          </cell>
        </row>
        <row r="105">
          <cell r="A105" t="str">
            <v>VTRU3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0.83</v>
          </cell>
          <cell r="G105">
            <v>0.622</v>
          </cell>
          <cell r="H105" t="str">
            <v>pro_cyclicals</v>
          </cell>
          <cell r="I105" t="str">
            <v>education</v>
          </cell>
          <cell r="J105" t="str">
            <v>low_beta</v>
          </cell>
          <cell r="K105">
            <v>0</v>
          </cell>
        </row>
        <row r="106">
          <cell r="A106" t="str">
            <v>VBBR3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0.82799999999999996</v>
          </cell>
          <cell r="G106">
            <v>0.98799999999999999</v>
          </cell>
          <cell r="H106" t="str">
            <v>pro_cyclicals</v>
          </cell>
          <cell r="I106" t="str">
            <v>consumer_services</v>
          </cell>
          <cell r="J106" t="str">
            <v>low_beta</v>
          </cell>
          <cell r="K106">
            <v>0</v>
          </cell>
        </row>
        <row r="107">
          <cell r="A107" t="str">
            <v>JSLG3</v>
          </cell>
          <cell r="B107">
            <v>0</v>
          </cell>
          <cell r="C107">
            <v>-1E-3</v>
          </cell>
          <cell r="D107">
            <v>0</v>
          </cell>
          <cell r="E107">
            <v>1E-3</v>
          </cell>
          <cell r="F107">
            <v>0.82699999999999996</v>
          </cell>
          <cell r="G107">
            <v>0.60599999999999998</v>
          </cell>
          <cell r="H107" t="str">
            <v>pro_cyclicals</v>
          </cell>
          <cell r="I107" t="str">
            <v>transportation</v>
          </cell>
          <cell r="J107" t="str">
            <v>very_high_beta</v>
          </cell>
          <cell r="K107">
            <v>0</v>
          </cell>
        </row>
        <row r="108">
          <cell r="A108" t="str">
            <v>SANB3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0.81399999999999995</v>
          </cell>
          <cell r="G108">
            <v>0.94299999999999995</v>
          </cell>
          <cell r="H108" t="str">
            <v>pro_cyclicals</v>
          </cell>
          <cell r="I108" t="str">
            <v>banks</v>
          </cell>
          <cell r="J108" t="str">
            <v>high_beta</v>
          </cell>
          <cell r="K108">
            <v>0</v>
          </cell>
        </row>
        <row r="109">
          <cell r="A109" t="str">
            <v>JALL3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0.79700000000000004</v>
          </cell>
          <cell r="G109">
            <v>0.60899999999999999</v>
          </cell>
          <cell r="H109" t="str">
            <v>commodities</v>
          </cell>
          <cell r="I109" t="str">
            <v>food</v>
          </cell>
          <cell r="J109" t="str">
            <v>very_low_beta</v>
          </cell>
          <cell r="K109">
            <v>0</v>
          </cell>
        </row>
        <row r="110">
          <cell r="A110" t="str">
            <v>SANB4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0.78300000000000003</v>
          </cell>
          <cell r="G110">
            <v>0.94199999999999995</v>
          </cell>
          <cell r="H110" t="str">
            <v>pro_cyclicals</v>
          </cell>
          <cell r="I110" t="str">
            <v>banks</v>
          </cell>
          <cell r="J110" t="str">
            <v>neutral_beta</v>
          </cell>
          <cell r="K110">
            <v>0</v>
          </cell>
        </row>
        <row r="111">
          <cell r="A111" t="str">
            <v>TFCO4</v>
          </cell>
          <cell r="B111">
            <v>0</v>
          </cell>
          <cell r="C111">
            <v>-2E-3</v>
          </cell>
          <cell r="D111">
            <v>0</v>
          </cell>
          <cell r="E111">
            <v>2E-3</v>
          </cell>
          <cell r="F111">
            <v>0.77200000000000002</v>
          </cell>
          <cell r="G111">
            <v>0.92500000000000004</v>
          </cell>
          <cell r="H111" t="str">
            <v>pro_cyclicals</v>
          </cell>
          <cell r="I111" t="str">
            <v>apparel</v>
          </cell>
          <cell r="J111" t="str">
            <v>high_beta</v>
          </cell>
          <cell r="K111">
            <v>0</v>
          </cell>
        </row>
        <row r="112">
          <cell r="A112" t="str">
            <v>CEAB3</v>
          </cell>
          <cell r="B112">
            <v>0</v>
          </cell>
          <cell r="C112">
            <v>-8.0000000000000002E-3</v>
          </cell>
          <cell r="D112">
            <v>0</v>
          </cell>
          <cell r="E112">
            <v>8.0000000000000002E-3</v>
          </cell>
          <cell r="F112">
            <v>0.76</v>
          </cell>
          <cell r="G112">
            <v>0.60399999999999998</v>
          </cell>
          <cell r="H112" t="str">
            <v>pro_cyclicals</v>
          </cell>
          <cell r="I112" t="str">
            <v>apparel</v>
          </cell>
          <cell r="J112" t="str">
            <v>very_high_beta</v>
          </cell>
          <cell r="K112">
            <v>0</v>
          </cell>
        </row>
        <row r="113">
          <cell r="A113" t="str">
            <v>BLAU3</v>
          </cell>
          <cell r="B113">
            <v>0</v>
          </cell>
          <cell r="C113">
            <v>-1E-3</v>
          </cell>
          <cell r="D113">
            <v>0</v>
          </cell>
          <cell r="E113">
            <v>1E-3</v>
          </cell>
          <cell r="F113">
            <v>0.75700000000000001</v>
          </cell>
          <cell r="G113">
            <v>0.628</v>
          </cell>
          <cell r="H113" t="str">
            <v>defensives</v>
          </cell>
          <cell r="I113" t="str">
            <v>healthcare</v>
          </cell>
          <cell r="J113" t="str">
            <v>neutral_beta</v>
          </cell>
          <cell r="K113">
            <v>0</v>
          </cell>
        </row>
        <row r="114">
          <cell r="A114" t="str">
            <v>ORVR3</v>
          </cell>
          <cell r="B114">
            <v>0</v>
          </cell>
          <cell r="C114">
            <v>-1.2999999999999999E-2</v>
          </cell>
          <cell r="D114">
            <v>0</v>
          </cell>
          <cell r="E114">
            <v>1.2999999999999999E-2</v>
          </cell>
          <cell r="F114">
            <v>0.748</v>
          </cell>
          <cell r="G114">
            <v>1.3819999999999999</v>
          </cell>
          <cell r="H114" t="str">
            <v>bond_proxies</v>
          </cell>
          <cell r="I114" t="str">
            <v>utilities</v>
          </cell>
          <cell r="J114" t="str">
            <v>high_beta</v>
          </cell>
          <cell r="K114">
            <v>0</v>
          </cell>
        </row>
        <row r="115">
          <cell r="A115" t="str">
            <v>AMOB3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0.74099999999999999</v>
          </cell>
          <cell r="G115">
            <v>0.55100000000000005</v>
          </cell>
          <cell r="H115" t="str">
            <v>industrials</v>
          </cell>
          <cell r="I115" t="str">
            <v>capital_goods</v>
          </cell>
          <cell r="J115" t="str">
            <v>very_low_beta</v>
          </cell>
          <cell r="K115">
            <v>0</v>
          </cell>
        </row>
        <row r="116">
          <cell r="A116" t="str">
            <v>IRBR3</v>
          </cell>
          <cell r="B116">
            <v>0</v>
          </cell>
          <cell r="C116">
            <v>-1.2999999999999999E-2</v>
          </cell>
          <cell r="D116">
            <v>0</v>
          </cell>
          <cell r="E116">
            <v>1.2999999999999999E-2</v>
          </cell>
          <cell r="F116">
            <v>0.73799999999999999</v>
          </cell>
          <cell r="G116">
            <v>1.161</v>
          </cell>
          <cell r="H116" t="str">
            <v>defensives</v>
          </cell>
          <cell r="I116" t="str">
            <v>float_financials</v>
          </cell>
          <cell r="J116" t="str">
            <v>low_beta</v>
          </cell>
          <cell r="K116">
            <v>0</v>
          </cell>
        </row>
        <row r="117">
          <cell r="A117" t="str">
            <v>AXIA7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0.73499999999999999</v>
          </cell>
          <cell r="G117">
            <v>0.93799999999999994</v>
          </cell>
          <cell r="H117" t="str">
            <v>bond_proxies</v>
          </cell>
          <cell r="I117" t="str">
            <v>utilities</v>
          </cell>
          <cell r="J117" t="str">
            <v>high_beta</v>
          </cell>
          <cell r="K117">
            <v>0</v>
          </cell>
        </row>
        <row r="118">
          <cell r="A118" t="str">
            <v>COGN3</v>
          </cell>
          <cell r="B118">
            <v>0</v>
          </cell>
          <cell r="C118">
            <v>-1.7999999999999999E-2</v>
          </cell>
          <cell r="D118">
            <v>0</v>
          </cell>
          <cell r="E118">
            <v>1.7999999999999999E-2</v>
          </cell>
          <cell r="F118">
            <v>0.72899999999999998</v>
          </cell>
          <cell r="G118">
            <v>0.76100000000000001</v>
          </cell>
          <cell r="H118" t="str">
            <v>pro_cyclicals</v>
          </cell>
          <cell r="I118" t="str">
            <v>education</v>
          </cell>
          <cell r="J118" t="str">
            <v>high_beta</v>
          </cell>
          <cell r="K118">
            <v>0</v>
          </cell>
        </row>
        <row r="119">
          <cell r="A119" t="str">
            <v>SANB11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0.71</v>
          </cell>
          <cell r="G119">
            <v>0.89300000000000002</v>
          </cell>
          <cell r="H119" t="str">
            <v>pro_cyclicals</v>
          </cell>
          <cell r="I119" t="str">
            <v>banks</v>
          </cell>
          <cell r="J119" t="str">
            <v>neutral_beta</v>
          </cell>
          <cell r="K119">
            <v>0</v>
          </cell>
        </row>
        <row r="120">
          <cell r="A120" t="str">
            <v>GOAU4</v>
          </cell>
          <cell r="B120">
            <v>0</v>
          </cell>
          <cell r="C120">
            <v>-2.1999999999999999E-2</v>
          </cell>
          <cell r="D120">
            <v>0</v>
          </cell>
          <cell r="E120">
            <v>2.1999999999999999E-2</v>
          </cell>
          <cell r="F120">
            <v>0.7</v>
          </cell>
          <cell r="G120">
            <v>1.4990000000000001</v>
          </cell>
          <cell r="H120" t="str">
            <v>commodities</v>
          </cell>
          <cell r="I120" t="str">
            <v>basic_materials</v>
          </cell>
          <cell r="J120" t="str">
            <v>neutral_beta</v>
          </cell>
          <cell r="K120">
            <v>0</v>
          </cell>
        </row>
        <row r="121">
          <cell r="A121" t="str">
            <v>EGIE3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0.68400000000000005</v>
          </cell>
          <cell r="G121">
            <v>0.82</v>
          </cell>
          <cell r="H121" t="str">
            <v>bond_proxies</v>
          </cell>
          <cell r="I121" t="str">
            <v>utilities</v>
          </cell>
          <cell r="J121" t="str">
            <v>low_beta</v>
          </cell>
          <cell r="K121">
            <v>0</v>
          </cell>
        </row>
        <row r="122">
          <cell r="A122" t="str">
            <v>BPAC11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0.68300000000000005</v>
          </cell>
          <cell r="G122">
            <v>0.81799999999999995</v>
          </cell>
          <cell r="H122" t="str">
            <v>pro_cyclicals</v>
          </cell>
          <cell r="I122" t="str">
            <v>banks</v>
          </cell>
          <cell r="J122" t="str">
            <v>very_high_beta</v>
          </cell>
          <cell r="K122">
            <v>0</v>
          </cell>
        </row>
        <row r="123">
          <cell r="A123" t="str">
            <v>ROMI3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0.67600000000000005</v>
          </cell>
          <cell r="G123">
            <v>0.82199999999999995</v>
          </cell>
          <cell r="H123" t="str">
            <v>industrials</v>
          </cell>
          <cell r="I123" t="str">
            <v>capital_goods</v>
          </cell>
          <cell r="J123" t="str">
            <v>very_low_beta</v>
          </cell>
          <cell r="K123">
            <v>0</v>
          </cell>
        </row>
        <row r="124">
          <cell r="A124" t="str">
            <v>SBSP3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0.65500000000000003</v>
          </cell>
          <cell r="G124">
            <v>0.82499999999999996</v>
          </cell>
          <cell r="H124" t="str">
            <v>bond_proxies</v>
          </cell>
          <cell r="I124" t="str">
            <v>utilities</v>
          </cell>
          <cell r="J124" t="str">
            <v>low_beta</v>
          </cell>
          <cell r="K124">
            <v>0</v>
          </cell>
        </row>
        <row r="125">
          <cell r="A125" t="str">
            <v>UNIP6</v>
          </cell>
          <cell r="B125">
            <v>0</v>
          </cell>
          <cell r="C125">
            <v>-8.9999999999999993E-3</v>
          </cell>
          <cell r="D125">
            <v>0</v>
          </cell>
          <cell r="E125">
            <v>8.9999999999999993E-3</v>
          </cell>
          <cell r="F125">
            <v>0.65400000000000003</v>
          </cell>
          <cell r="G125">
            <v>0.85</v>
          </cell>
          <cell r="H125" t="str">
            <v>industrials</v>
          </cell>
          <cell r="I125" t="str">
            <v>chemicals</v>
          </cell>
          <cell r="J125" t="str">
            <v>neutral_beta</v>
          </cell>
          <cell r="K125">
            <v>0</v>
          </cell>
        </row>
        <row r="126">
          <cell r="A126" t="str">
            <v>BBAS3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0.64900000000000002</v>
          </cell>
          <cell r="G126">
            <v>0.69599999999999995</v>
          </cell>
          <cell r="H126" t="str">
            <v>pro_cyclicals</v>
          </cell>
          <cell r="I126" t="str">
            <v>banks</v>
          </cell>
          <cell r="J126" t="str">
            <v>high_beta</v>
          </cell>
          <cell r="K126">
            <v>0</v>
          </cell>
        </row>
        <row r="127">
          <cell r="A127" t="str">
            <v>WEGE3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0.64900000000000002</v>
          </cell>
          <cell r="G127">
            <v>0.60699999999999998</v>
          </cell>
          <cell r="H127" t="str">
            <v>industrials</v>
          </cell>
          <cell r="I127" t="str">
            <v>capital_goods</v>
          </cell>
          <cell r="J127" t="str">
            <v>low_beta</v>
          </cell>
          <cell r="K127">
            <v>0</v>
          </cell>
        </row>
        <row r="128">
          <cell r="A128" t="str">
            <v>PAGS34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0.64500000000000002</v>
          </cell>
          <cell r="G128">
            <v>0.47799999999999998</v>
          </cell>
          <cell r="H128" t="str">
            <v>pro_cyclicals</v>
          </cell>
          <cell r="I128" t="str">
            <v>financial_services</v>
          </cell>
          <cell r="J128" t="str">
            <v>low_beta</v>
          </cell>
          <cell r="K128">
            <v>0</v>
          </cell>
        </row>
        <row r="129">
          <cell r="A129" t="str">
            <v>LIGT3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0.64400000000000002</v>
          </cell>
          <cell r="G129">
            <v>0.45700000000000002</v>
          </cell>
          <cell r="H129" t="str">
            <v>bond_proxies</v>
          </cell>
          <cell r="I129" t="str">
            <v>utilities</v>
          </cell>
          <cell r="J129" t="str">
            <v>low_beta</v>
          </cell>
          <cell r="K129">
            <v>0</v>
          </cell>
        </row>
        <row r="130">
          <cell r="A130" t="str">
            <v>B3SA3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0.64200000000000002</v>
          </cell>
          <cell r="G130">
            <v>0.752</v>
          </cell>
          <cell r="H130" t="str">
            <v>pro_cyclicals</v>
          </cell>
          <cell r="I130" t="str">
            <v>financial_services</v>
          </cell>
          <cell r="J130" t="str">
            <v>very_high_beta</v>
          </cell>
          <cell r="K130">
            <v>0</v>
          </cell>
        </row>
        <row r="131">
          <cell r="A131" t="str">
            <v>USIM3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0.63900000000000001</v>
          </cell>
          <cell r="G131">
            <v>0.48099999999999998</v>
          </cell>
          <cell r="H131" t="str">
            <v>commodities</v>
          </cell>
          <cell r="I131" t="str">
            <v>basic_materials</v>
          </cell>
          <cell r="J131" t="str">
            <v>neutral_beta</v>
          </cell>
          <cell r="K131">
            <v>0</v>
          </cell>
        </row>
        <row r="132">
          <cell r="A132" t="str">
            <v>MYPK3</v>
          </cell>
          <cell r="B132">
            <v>0</v>
          </cell>
          <cell r="C132">
            <v>-4.0000000000000001E-3</v>
          </cell>
          <cell r="D132">
            <v>0</v>
          </cell>
          <cell r="E132">
            <v>4.0000000000000001E-3</v>
          </cell>
          <cell r="F132">
            <v>0.63600000000000001</v>
          </cell>
          <cell r="G132">
            <v>0.79800000000000004</v>
          </cell>
          <cell r="H132" t="str">
            <v>industrials</v>
          </cell>
          <cell r="I132" t="str">
            <v>capital_goods</v>
          </cell>
          <cell r="J132" t="str">
            <v>low_beta</v>
          </cell>
          <cell r="K132">
            <v>0</v>
          </cell>
        </row>
        <row r="133">
          <cell r="A133" t="str">
            <v>VALE3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0.627</v>
          </cell>
          <cell r="G133">
            <v>0.77200000000000002</v>
          </cell>
          <cell r="H133" t="str">
            <v>commodities</v>
          </cell>
          <cell r="I133" t="str">
            <v>basic_materials</v>
          </cell>
          <cell r="J133" t="str">
            <v>neutral_beta</v>
          </cell>
          <cell r="K133">
            <v>0</v>
          </cell>
        </row>
        <row r="134">
          <cell r="A134" t="str">
            <v>BRAV3</v>
          </cell>
          <cell r="B134">
            <v>0</v>
          </cell>
          <cell r="C134">
            <v>-2.7E-2</v>
          </cell>
          <cell r="D134">
            <v>0</v>
          </cell>
          <cell r="E134">
            <v>2.7E-2</v>
          </cell>
          <cell r="F134">
            <v>0.62</v>
          </cell>
          <cell r="G134">
            <v>0.78200000000000003</v>
          </cell>
          <cell r="H134" t="str">
            <v>commodities</v>
          </cell>
          <cell r="I134" t="str">
            <v>crude_oil</v>
          </cell>
          <cell r="J134" t="str">
            <v>very_low_beta</v>
          </cell>
          <cell r="K134">
            <v>0</v>
          </cell>
        </row>
        <row r="135">
          <cell r="A135" t="str">
            <v>XPBR31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0.62</v>
          </cell>
          <cell r="G135">
            <v>0.58599999999999997</v>
          </cell>
          <cell r="H135" t="str">
            <v>pro_cyclicals</v>
          </cell>
          <cell r="I135" t="str">
            <v>financial_services</v>
          </cell>
          <cell r="J135" t="str">
            <v>very_high_beta</v>
          </cell>
          <cell r="K135">
            <v>0</v>
          </cell>
        </row>
        <row r="136">
          <cell r="A136" t="str">
            <v>AURA33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0.61799999999999999</v>
          </cell>
          <cell r="G136">
            <v>0.432</v>
          </cell>
          <cell r="H136" t="str">
            <v>commodities</v>
          </cell>
          <cell r="I136" t="str">
            <v>basic_materials</v>
          </cell>
          <cell r="J136" t="str">
            <v>very_high_beta</v>
          </cell>
          <cell r="K136">
            <v>0</v>
          </cell>
        </row>
        <row r="137">
          <cell r="A137" t="str">
            <v>CBAV3</v>
          </cell>
          <cell r="B137">
            <v>0</v>
          </cell>
          <cell r="C137">
            <v>-6.0000000000000001E-3</v>
          </cell>
          <cell r="D137">
            <v>0</v>
          </cell>
          <cell r="E137">
            <v>6.0000000000000001E-3</v>
          </cell>
          <cell r="F137">
            <v>0.61699999999999999</v>
          </cell>
          <cell r="G137">
            <v>0.46700000000000003</v>
          </cell>
          <cell r="H137" t="str">
            <v>commodities</v>
          </cell>
          <cell r="I137" t="str">
            <v>basic_materials</v>
          </cell>
          <cell r="J137" t="str">
            <v>very_low_beta</v>
          </cell>
          <cell r="K137">
            <v>0</v>
          </cell>
        </row>
        <row r="138">
          <cell r="A138" t="str">
            <v>CYRE3</v>
          </cell>
          <cell r="B138">
            <v>0</v>
          </cell>
          <cell r="C138">
            <v>-0.02</v>
          </cell>
          <cell r="D138">
            <v>0</v>
          </cell>
          <cell r="E138">
            <v>0.02</v>
          </cell>
          <cell r="F138">
            <v>0.61599999999999999</v>
          </cell>
          <cell r="G138">
            <v>1.1439999999999999</v>
          </cell>
          <cell r="H138" t="str">
            <v>pro_cyclicals</v>
          </cell>
          <cell r="I138" t="str">
            <v>homebuilders</v>
          </cell>
          <cell r="J138" t="str">
            <v>very_high_beta</v>
          </cell>
          <cell r="K138">
            <v>0</v>
          </cell>
        </row>
        <row r="139">
          <cell r="A139" t="str">
            <v>UGPA3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0.61499999999999999</v>
          </cell>
          <cell r="G139">
            <v>0.63500000000000001</v>
          </cell>
          <cell r="H139" t="str">
            <v>pro_cyclicals</v>
          </cell>
          <cell r="I139" t="str">
            <v>consumer_services</v>
          </cell>
          <cell r="J139" t="str">
            <v>very_low_beta</v>
          </cell>
          <cell r="K139">
            <v>0</v>
          </cell>
        </row>
        <row r="140">
          <cell r="A140" t="str">
            <v>SUZB3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0.61199999999999999</v>
          </cell>
          <cell r="G140">
            <v>0.628</v>
          </cell>
          <cell r="H140" t="str">
            <v>commodities</v>
          </cell>
          <cell r="I140" t="str">
            <v>basic_materials</v>
          </cell>
          <cell r="J140" t="str">
            <v>very_low_beta</v>
          </cell>
          <cell r="K140">
            <v>0</v>
          </cell>
        </row>
        <row r="141">
          <cell r="A141" t="str">
            <v>USIM5</v>
          </cell>
          <cell r="B141">
            <v>0</v>
          </cell>
          <cell r="C141">
            <v>-0.01</v>
          </cell>
          <cell r="D141">
            <v>0</v>
          </cell>
          <cell r="E141">
            <v>0.01</v>
          </cell>
          <cell r="F141">
            <v>0.61</v>
          </cell>
          <cell r="G141">
            <v>0.59</v>
          </cell>
          <cell r="H141" t="str">
            <v>commodities</v>
          </cell>
          <cell r="I141" t="str">
            <v>basic_materials</v>
          </cell>
          <cell r="J141" t="str">
            <v>neutral_beta</v>
          </cell>
          <cell r="K141">
            <v>0</v>
          </cell>
        </row>
        <row r="142">
          <cell r="A142" t="str">
            <v>ARML3</v>
          </cell>
          <cell r="B142">
            <v>0</v>
          </cell>
          <cell r="C142">
            <v>-3.0000000000000001E-3</v>
          </cell>
          <cell r="D142">
            <v>0</v>
          </cell>
          <cell r="E142">
            <v>3.0000000000000001E-3</v>
          </cell>
          <cell r="F142">
            <v>0.60699999999999998</v>
          </cell>
          <cell r="G142">
            <v>0.433</v>
          </cell>
          <cell r="H142" t="str">
            <v>industrials</v>
          </cell>
          <cell r="I142" t="str">
            <v>capital_goods</v>
          </cell>
          <cell r="J142" t="str">
            <v>very_high_beta</v>
          </cell>
          <cell r="K142">
            <v>0</v>
          </cell>
        </row>
        <row r="143">
          <cell r="A143" t="str">
            <v>YDUQ3</v>
          </cell>
          <cell r="B143">
            <v>0</v>
          </cell>
          <cell r="C143">
            <v>-8.9999999999999993E-3</v>
          </cell>
          <cell r="D143">
            <v>0</v>
          </cell>
          <cell r="E143">
            <v>8.9999999999999993E-3</v>
          </cell>
          <cell r="F143">
            <v>0.60399999999999998</v>
          </cell>
          <cell r="G143">
            <v>0.51200000000000001</v>
          </cell>
          <cell r="H143" t="str">
            <v>pro_cyclicals</v>
          </cell>
          <cell r="I143" t="str">
            <v>education</v>
          </cell>
          <cell r="J143" t="str">
            <v>high_beta</v>
          </cell>
          <cell r="K143">
            <v>0</v>
          </cell>
        </row>
        <row r="144">
          <cell r="A144" t="str">
            <v>ENGI11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0.60299999999999998</v>
          </cell>
          <cell r="G144">
            <v>0.81899999999999995</v>
          </cell>
          <cell r="H144" t="str">
            <v>bond_proxies</v>
          </cell>
          <cell r="I144" t="str">
            <v>utilities</v>
          </cell>
          <cell r="J144" t="str">
            <v>neutral_beta</v>
          </cell>
          <cell r="K144">
            <v>0</v>
          </cell>
        </row>
        <row r="145">
          <cell r="A145" t="str">
            <v>AURE3</v>
          </cell>
          <cell r="B145">
            <v>0</v>
          </cell>
          <cell r="C145">
            <v>-1.2E-2</v>
          </cell>
          <cell r="D145">
            <v>0</v>
          </cell>
          <cell r="E145">
            <v>1.2E-2</v>
          </cell>
          <cell r="F145">
            <v>0.6</v>
          </cell>
          <cell r="G145">
            <v>0.92400000000000004</v>
          </cell>
          <cell r="H145" t="str">
            <v>bond_proxies</v>
          </cell>
          <cell r="I145" t="str">
            <v>utilities</v>
          </cell>
          <cell r="J145" t="str">
            <v>neutral_beta</v>
          </cell>
          <cell r="K145">
            <v>0</v>
          </cell>
        </row>
        <row r="146">
          <cell r="A146" t="str">
            <v>MOTV3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0.59799999999999998</v>
          </cell>
          <cell r="G146">
            <v>0.76400000000000001</v>
          </cell>
          <cell r="H146" t="str">
            <v>bond_proxies</v>
          </cell>
          <cell r="I146" t="str">
            <v>transportation</v>
          </cell>
          <cell r="J146" t="str">
            <v>high_beta</v>
          </cell>
          <cell r="K146">
            <v>0</v>
          </cell>
        </row>
        <row r="147">
          <cell r="A147" t="str">
            <v>MOVI3</v>
          </cell>
          <cell r="B147">
            <v>0</v>
          </cell>
          <cell r="C147">
            <v>-5.0000000000000001E-3</v>
          </cell>
          <cell r="D147">
            <v>0</v>
          </cell>
          <cell r="E147">
            <v>5.0000000000000001E-3</v>
          </cell>
          <cell r="F147">
            <v>0.59499999999999997</v>
          </cell>
          <cell r="G147">
            <v>0.435</v>
          </cell>
          <cell r="H147" t="str">
            <v>pro_cyclicals</v>
          </cell>
          <cell r="I147" t="str">
            <v>consumer_services</v>
          </cell>
          <cell r="J147" t="str">
            <v>very_high_beta</v>
          </cell>
          <cell r="K147">
            <v>0</v>
          </cell>
        </row>
        <row r="148">
          <cell r="A148" t="str">
            <v>BRST3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0.58899999999999997</v>
          </cell>
          <cell r="G148">
            <v>0.53</v>
          </cell>
          <cell r="H148" t="str">
            <v>bond_proxies</v>
          </cell>
          <cell r="I148" t="str">
            <v>telecom</v>
          </cell>
          <cell r="J148" t="str">
            <v>low_beta</v>
          </cell>
          <cell r="K148">
            <v>0</v>
          </cell>
        </row>
        <row r="149">
          <cell r="A149" t="str">
            <v>KEPL3</v>
          </cell>
          <cell r="B149">
            <v>0</v>
          </cell>
          <cell r="C149">
            <v>-4.0000000000000001E-3</v>
          </cell>
          <cell r="D149">
            <v>0</v>
          </cell>
          <cell r="E149">
            <v>4.0000000000000001E-3</v>
          </cell>
          <cell r="F149">
            <v>0.58899999999999997</v>
          </cell>
          <cell r="G149">
            <v>0.59299999999999997</v>
          </cell>
          <cell r="H149" t="str">
            <v>industrials</v>
          </cell>
          <cell r="I149" t="str">
            <v>capital_goods</v>
          </cell>
          <cell r="J149" t="str">
            <v>high_beta</v>
          </cell>
          <cell r="K149">
            <v>0</v>
          </cell>
        </row>
        <row r="150">
          <cell r="A150" t="str">
            <v>MGLU3</v>
          </cell>
          <cell r="B150">
            <v>0</v>
          </cell>
          <cell r="C150">
            <v>-0.01</v>
          </cell>
          <cell r="D150">
            <v>0</v>
          </cell>
          <cell r="E150">
            <v>0.01</v>
          </cell>
          <cell r="F150">
            <v>0.58799999999999997</v>
          </cell>
          <cell r="G150">
            <v>0.47099999999999997</v>
          </cell>
          <cell r="H150" t="str">
            <v>pro_cyclicals</v>
          </cell>
          <cell r="I150" t="str">
            <v>consumer_durables</v>
          </cell>
          <cell r="J150" t="str">
            <v>very_high_beta</v>
          </cell>
          <cell r="K150">
            <v>0</v>
          </cell>
        </row>
        <row r="151">
          <cell r="A151" t="str">
            <v>AGRO3</v>
          </cell>
          <cell r="B151">
            <v>0</v>
          </cell>
          <cell r="C151">
            <v>-4.0000000000000001E-3</v>
          </cell>
          <cell r="D151">
            <v>0</v>
          </cell>
          <cell r="E151">
            <v>4.0000000000000001E-3</v>
          </cell>
          <cell r="F151">
            <v>0.58699999999999997</v>
          </cell>
          <cell r="G151">
            <v>0.80200000000000005</v>
          </cell>
          <cell r="H151" t="str">
            <v>commodities</v>
          </cell>
          <cell r="I151" t="str">
            <v>food</v>
          </cell>
          <cell r="J151" t="str">
            <v>very_low_beta</v>
          </cell>
          <cell r="K151">
            <v>0</v>
          </cell>
        </row>
        <row r="152">
          <cell r="A152" t="str">
            <v>RAIL3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0.58599999999999997</v>
          </cell>
          <cell r="G152">
            <v>0.54400000000000004</v>
          </cell>
          <cell r="H152" t="str">
            <v>pro_cyclicals</v>
          </cell>
          <cell r="I152" t="str">
            <v>transportation</v>
          </cell>
          <cell r="J152" t="str">
            <v>low_beta</v>
          </cell>
          <cell r="K152">
            <v>0</v>
          </cell>
        </row>
        <row r="153">
          <cell r="A153" t="str">
            <v>CVCB3</v>
          </cell>
          <cell r="B153">
            <v>0</v>
          </cell>
          <cell r="C153">
            <v>-2E-3</v>
          </cell>
          <cell r="D153">
            <v>0</v>
          </cell>
          <cell r="E153">
            <v>2E-3</v>
          </cell>
          <cell r="F153">
            <v>0.58299999999999996</v>
          </cell>
          <cell r="G153">
            <v>0.41899999999999998</v>
          </cell>
          <cell r="H153" t="str">
            <v>pro_cyclicals</v>
          </cell>
          <cell r="I153" t="str">
            <v>consumer_services</v>
          </cell>
          <cell r="J153" t="str">
            <v>neutral_beta</v>
          </cell>
          <cell r="K153">
            <v>0</v>
          </cell>
        </row>
        <row r="154">
          <cell r="A154" t="str">
            <v>VIVA3</v>
          </cell>
          <cell r="B154">
            <v>0</v>
          </cell>
          <cell r="C154">
            <v>-8.9999999999999993E-3</v>
          </cell>
          <cell r="D154">
            <v>0</v>
          </cell>
          <cell r="E154">
            <v>8.9999999999999993E-3</v>
          </cell>
          <cell r="F154">
            <v>0.57899999999999996</v>
          </cell>
          <cell r="G154">
            <v>0.69899999999999995</v>
          </cell>
          <cell r="H154" t="str">
            <v>pro_cyclicals</v>
          </cell>
          <cell r="I154" t="str">
            <v>apparel</v>
          </cell>
          <cell r="J154" t="str">
            <v>low_beta</v>
          </cell>
          <cell r="K154">
            <v>0</v>
          </cell>
        </row>
        <row r="155">
          <cell r="A155" t="str">
            <v>AMER3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0.57799999999999996</v>
          </cell>
          <cell r="G155">
            <v>0.40300000000000002</v>
          </cell>
          <cell r="H155" t="str">
            <v>pro_cyclicals</v>
          </cell>
          <cell r="I155" t="str">
            <v>consumer_durables</v>
          </cell>
          <cell r="J155" t="str">
            <v>high_beta</v>
          </cell>
          <cell r="K155">
            <v>0</v>
          </cell>
        </row>
        <row r="156">
          <cell r="A156" t="str">
            <v>EQTL3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0.57299999999999995</v>
          </cell>
          <cell r="G156">
            <v>0.77800000000000002</v>
          </cell>
          <cell r="H156" t="str">
            <v>bond_proxies</v>
          </cell>
          <cell r="I156" t="str">
            <v>utilities</v>
          </cell>
          <cell r="J156" t="str">
            <v>neutral_beta</v>
          </cell>
          <cell r="K156">
            <v>0</v>
          </cell>
        </row>
        <row r="157">
          <cell r="A157" t="str">
            <v>CMIN3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0.57199999999999995</v>
          </cell>
          <cell r="G157">
            <v>0.60199999999999998</v>
          </cell>
          <cell r="H157" t="str">
            <v>commodities</v>
          </cell>
          <cell r="I157" t="str">
            <v>basic_materials</v>
          </cell>
          <cell r="J157" t="str">
            <v>high_beta</v>
          </cell>
          <cell r="K157">
            <v>0</v>
          </cell>
        </row>
        <row r="158">
          <cell r="A158" t="str">
            <v>RDOR3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0.57099999999999995</v>
          </cell>
          <cell r="G158">
            <v>0.65600000000000003</v>
          </cell>
          <cell r="H158" t="str">
            <v>defensives</v>
          </cell>
          <cell r="I158" t="str">
            <v>healthcare</v>
          </cell>
          <cell r="J158" t="str">
            <v>low_beta</v>
          </cell>
          <cell r="K158">
            <v>0</v>
          </cell>
        </row>
        <row r="159">
          <cell r="A159" t="str">
            <v>ENEV3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0.56999999999999995</v>
          </cell>
          <cell r="G159">
            <v>0.53300000000000003</v>
          </cell>
          <cell r="H159" t="str">
            <v>bond_proxies</v>
          </cell>
          <cell r="I159" t="str">
            <v>utilities</v>
          </cell>
          <cell r="J159" t="str">
            <v>neutral_beta</v>
          </cell>
          <cell r="K159">
            <v>0</v>
          </cell>
        </row>
        <row r="160">
          <cell r="A160" t="str">
            <v>ECOR3</v>
          </cell>
          <cell r="B160">
            <v>0</v>
          </cell>
          <cell r="C160">
            <v>-8.9999999999999993E-3</v>
          </cell>
          <cell r="D160">
            <v>0</v>
          </cell>
          <cell r="E160">
            <v>8.9999999999999993E-3</v>
          </cell>
          <cell r="F160">
            <v>0.56799999999999995</v>
          </cell>
          <cell r="G160">
            <v>0.75800000000000001</v>
          </cell>
          <cell r="H160" t="str">
            <v>bond_proxies</v>
          </cell>
          <cell r="I160" t="str">
            <v>transportation</v>
          </cell>
          <cell r="J160" t="str">
            <v>very_high_beta</v>
          </cell>
          <cell r="K160">
            <v>0</v>
          </cell>
        </row>
        <row r="161">
          <cell r="A161" t="str">
            <v>SMTO3</v>
          </cell>
          <cell r="B161">
            <v>0</v>
          </cell>
          <cell r="C161">
            <v>-6.0000000000000001E-3</v>
          </cell>
          <cell r="D161">
            <v>0</v>
          </cell>
          <cell r="E161">
            <v>6.0000000000000001E-3</v>
          </cell>
          <cell r="F161">
            <v>0.56699999999999995</v>
          </cell>
          <cell r="G161">
            <v>0.47</v>
          </cell>
          <cell r="H161" t="str">
            <v>commodities</v>
          </cell>
          <cell r="I161" t="str">
            <v>food</v>
          </cell>
          <cell r="J161" t="str">
            <v>very_low_beta</v>
          </cell>
          <cell r="K161">
            <v>0</v>
          </cell>
        </row>
        <row r="162">
          <cell r="A162" t="str">
            <v>SBFG3</v>
          </cell>
          <cell r="B162">
            <v>0</v>
          </cell>
          <cell r="C162">
            <v>-5.0000000000000001E-3</v>
          </cell>
          <cell r="D162">
            <v>0</v>
          </cell>
          <cell r="E162">
            <v>5.0000000000000001E-3</v>
          </cell>
          <cell r="F162">
            <v>0.56599999999999995</v>
          </cell>
          <cell r="G162">
            <v>0.54200000000000004</v>
          </cell>
          <cell r="H162" t="str">
            <v>pro_cyclicals</v>
          </cell>
          <cell r="I162" t="str">
            <v>consumer_durables</v>
          </cell>
          <cell r="J162" t="str">
            <v>high_beta</v>
          </cell>
          <cell r="K162">
            <v>0</v>
          </cell>
        </row>
        <row r="163">
          <cell r="A163" t="str">
            <v>LWSA3</v>
          </cell>
          <cell r="B163">
            <v>0</v>
          </cell>
          <cell r="C163">
            <v>-4.0000000000000001E-3</v>
          </cell>
          <cell r="D163">
            <v>0</v>
          </cell>
          <cell r="E163">
            <v>4.0000000000000001E-3</v>
          </cell>
          <cell r="F163">
            <v>0.56599999999999995</v>
          </cell>
          <cell r="G163">
            <v>0.44600000000000001</v>
          </cell>
          <cell r="H163" t="str">
            <v>pro_cyclicals</v>
          </cell>
          <cell r="I163" t="str">
            <v>tech</v>
          </cell>
          <cell r="J163" t="str">
            <v>very_high_beta</v>
          </cell>
          <cell r="K163">
            <v>0</v>
          </cell>
        </row>
        <row r="164">
          <cell r="A164" t="str">
            <v>HBSA3</v>
          </cell>
          <cell r="B164">
            <v>0</v>
          </cell>
          <cell r="C164">
            <v>-7.0000000000000001E-3</v>
          </cell>
          <cell r="D164">
            <v>0</v>
          </cell>
          <cell r="E164">
            <v>7.0000000000000001E-3</v>
          </cell>
          <cell r="F164">
            <v>0.56299999999999994</v>
          </cell>
          <cell r="G164">
            <v>0.50900000000000001</v>
          </cell>
          <cell r="H164" t="str">
            <v>pro_cyclicals</v>
          </cell>
          <cell r="I164" t="str">
            <v>transportation</v>
          </cell>
          <cell r="J164" t="str">
            <v>low_beta</v>
          </cell>
          <cell r="K164">
            <v>0</v>
          </cell>
        </row>
        <row r="165">
          <cell r="A165" t="str">
            <v>RENT3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0.55900000000000005</v>
          </cell>
          <cell r="G165">
            <v>0.58199999999999996</v>
          </cell>
          <cell r="H165" t="str">
            <v>pro_cyclicals</v>
          </cell>
          <cell r="I165" t="str">
            <v>consumer_services</v>
          </cell>
          <cell r="J165" t="str">
            <v>very_high_beta</v>
          </cell>
          <cell r="K165">
            <v>0</v>
          </cell>
        </row>
        <row r="166">
          <cell r="A166" t="str">
            <v>MBRF3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0.55600000000000005</v>
          </cell>
          <cell r="G166">
            <v>0.38900000000000001</v>
          </cell>
          <cell r="H166" t="str">
            <v>commodities</v>
          </cell>
          <cell r="I166" t="str">
            <v>food</v>
          </cell>
          <cell r="J166" t="str">
            <v>very_low_beta</v>
          </cell>
          <cell r="K166">
            <v>0</v>
          </cell>
        </row>
        <row r="167">
          <cell r="A167" t="str">
            <v>CYRE4</v>
          </cell>
          <cell r="B167">
            <v>0</v>
          </cell>
          <cell r="C167">
            <v>-3.0000000000000001E-3</v>
          </cell>
          <cell r="D167">
            <v>0</v>
          </cell>
          <cell r="E167">
            <v>3.0000000000000001E-3</v>
          </cell>
          <cell r="F167">
            <v>0.55300000000000005</v>
          </cell>
          <cell r="G167">
            <v>0.59</v>
          </cell>
          <cell r="H167" t="str">
            <v>pro_cyclicals</v>
          </cell>
          <cell r="I167" t="str">
            <v>homebuilders</v>
          </cell>
          <cell r="J167" t="str">
            <v>very_high_beta</v>
          </cell>
          <cell r="K167">
            <v>0</v>
          </cell>
        </row>
        <row r="168">
          <cell r="A168" t="str">
            <v>TOTS3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0.55000000000000004</v>
          </cell>
          <cell r="G168">
            <v>0.56799999999999995</v>
          </cell>
          <cell r="H168" t="str">
            <v>pro_cyclicals</v>
          </cell>
          <cell r="I168" t="str">
            <v>tech</v>
          </cell>
          <cell r="J168" t="str">
            <v>neutral_beta</v>
          </cell>
          <cell r="K168">
            <v>0</v>
          </cell>
        </row>
        <row r="169">
          <cell r="A169" t="str">
            <v>GGPS3</v>
          </cell>
          <cell r="B169">
            <v>0</v>
          </cell>
          <cell r="C169">
            <v>-0.02</v>
          </cell>
          <cell r="D169">
            <v>0</v>
          </cell>
          <cell r="E169">
            <v>0.02</v>
          </cell>
          <cell r="F169">
            <v>0.54900000000000004</v>
          </cell>
          <cell r="G169">
            <v>1.1319999999999999</v>
          </cell>
          <cell r="H169" t="str">
            <v>industrials</v>
          </cell>
          <cell r="I169" t="str">
            <v>capital_goods</v>
          </cell>
          <cell r="J169" t="str">
            <v>low_beta</v>
          </cell>
          <cell r="K169">
            <v>0</v>
          </cell>
        </row>
        <row r="170">
          <cell r="A170" t="str">
            <v>AUAU3</v>
          </cell>
          <cell r="B170">
            <v>0</v>
          </cell>
          <cell r="C170">
            <v>-3.0000000000000001E-3</v>
          </cell>
          <cell r="D170">
            <v>0</v>
          </cell>
          <cell r="E170">
            <v>3.0000000000000001E-3</v>
          </cell>
          <cell r="F170">
            <v>0.54800000000000004</v>
          </cell>
          <cell r="G170">
            <v>0.435</v>
          </cell>
          <cell r="H170" t="str">
            <v>pro_cyclicals</v>
          </cell>
          <cell r="I170" t="str">
            <v>consumer_durables</v>
          </cell>
          <cell r="J170" t="str">
            <v>high_beta</v>
          </cell>
          <cell r="K170">
            <v>0</v>
          </cell>
        </row>
        <row r="171">
          <cell r="A171" t="str">
            <v>INBR32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0.54800000000000004</v>
          </cell>
          <cell r="G171">
            <v>0.48399999999999999</v>
          </cell>
          <cell r="H171" t="str">
            <v>pro_cyclicals</v>
          </cell>
          <cell r="I171" t="str">
            <v>banks</v>
          </cell>
          <cell r="J171" t="str">
            <v>neutral_beta</v>
          </cell>
          <cell r="K171">
            <v>0</v>
          </cell>
        </row>
        <row r="172">
          <cell r="A172" t="str">
            <v>BEEF3</v>
          </cell>
          <cell r="B172">
            <v>0</v>
          </cell>
          <cell r="C172">
            <v>-5.0000000000000001E-3</v>
          </cell>
          <cell r="D172">
            <v>0</v>
          </cell>
          <cell r="E172">
            <v>5.0000000000000001E-3</v>
          </cell>
          <cell r="F172">
            <v>0.54700000000000004</v>
          </cell>
          <cell r="G172">
            <v>0.42</v>
          </cell>
          <cell r="H172" t="str">
            <v>commodities</v>
          </cell>
          <cell r="I172" t="str">
            <v>food</v>
          </cell>
          <cell r="J172" t="str">
            <v>high_beta</v>
          </cell>
          <cell r="K172">
            <v>0</v>
          </cell>
        </row>
        <row r="173">
          <cell r="A173" t="str">
            <v>RENT4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0.54500000000000004</v>
          </cell>
          <cell r="G173">
            <v>0.48599999999999999</v>
          </cell>
          <cell r="H173" t="str">
            <v>pro_cyclicals</v>
          </cell>
          <cell r="I173" t="str">
            <v>consumer_services</v>
          </cell>
          <cell r="J173" t="str">
            <v>very_high_beta</v>
          </cell>
          <cell r="K173">
            <v>0</v>
          </cell>
        </row>
        <row r="174">
          <cell r="A174" t="str">
            <v>FRAS3</v>
          </cell>
          <cell r="B174">
            <v>0</v>
          </cell>
          <cell r="C174">
            <v>-7.0000000000000001E-3</v>
          </cell>
          <cell r="D174">
            <v>0</v>
          </cell>
          <cell r="E174">
            <v>7.0000000000000001E-3</v>
          </cell>
          <cell r="F174">
            <v>0.54500000000000004</v>
          </cell>
          <cell r="G174">
            <v>0.85499999999999998</v>
          </cell>
          <cell r="H174" t="str">
            <v>industrials</v>
          </cell>
          <cell r="I174" t="str">
            <v>capital_goods</v>
          </cell>
          <cell r="J174" t="str">
            <v>neutral_beta</v>
          </cell>
          <cell r="K174">
            <v>0</v>
          </cell>
        </row>
        <row r="175">
          <cell r="A175" t="str">
            <v>JBSS32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0.54100000000000004</v>
          </cell>
          <cell r="G175">
            <v>0.44800000000000001</v>
          </cell>
          <cell r="H175" t="str">
            <v>commodities</v>
          </cell>
          <cell r="I175" t="str">
            <v>food</v>
          </cell>
          <cell r="J175" t="str">
            <v>very_low_beta</v>
          </cell>
          <cell r="K175">
            <v>0</v>
          </cell>
        </row>
        <row r="176">
          <cell r="A176" t="str">
            <v>PLPL3</v>
          </cell>
          <cell r="B176">
            <v>0</v>
          </cell>
          <cell r="C176">
            <v>-2E-3</v>
          </cell>
          <cell r="D176">
            <v>0</v>
          </cell>
          <cell r="E176">
            <v>2E-3</v>
          </cell>
          <cell r="F176">
            <v>0.53900000000000003</v>
          </cell>
          <cell r="G176">
            <v>0.42299999999999999</v>
          </cell>
          <cell r="H176" t="str">
            <v>pro_cyclicals</v>
          </cell>
          <cell r="I176" t="str">
            <v>homebuilders</v>
          </cell>
          <cell r="J176" t="str">
            <v>low_beta</v>
          </cell>
          <cell r="K176">
            <v>0</v>
          </cell>
        </row>
        <row r="177">
          <cell r="A177" t="str">
            <v>GGBR4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0.53900000000000003</v>
          </cell>
          <cell r="G177">
            <v>0.624</v>
          </cell>
          <cell r="H177" t="str">
            <v>commodities</v>
          </cell>
          <cell r="I177" t="str">
            <v>basic_materials</v>
          </cell>
          <cell r="J177" t="str">
            <v>neutral_beta</v>
          </cell>
          <cell r="K177">
            <v>0</v>
          </cell>
        </row>
        <row r="178">
          <cell r="A178" t="str">
            <v>SMFT3</v>
          </cell>
          <cell r="B178">
            <v>0</v>
          </cell>
          <cell r="C178">
            <v>-2.5000000000000001E-2</v>
          </cell>
          <cell r="D178">
            <v>0</v>
          </cell>
          <cell r="E178">
            <v>2.5000000000000001E-2</v>
          </cell>
          <cell r="F178">
            <v>0.53500000000000003</v>
          </cell>
          <cell r="G178">
            <v>1.085</v>
          </cell>
          <cell r="H178" t="str">
            <v>pro_cyclicals</v>
          </cell>
          <cell r="I178" t="str">
            <v>consumer_services</v>
          </cell>
          <cell r="J178" t="str">
            <v>neutral_beta</v>
          </cell>
          <cell r="K178">
            <v>0</v>
          </cell>
        </row>
        <row r="179">
          <cell r="A179" t="str">
            <v>RADL3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0.53400000000000003</v>
          </cell>
          <cell r="G179">
            <v>0.40200000000000002</v>
          </cell>
          <cell r="H179" t="str">
            <v>defensives</v>
          </cell>
          <cell r="I179" t="str">
            <v>healthcare</v>
          </cell>
          <cell r="J179" t="str">
            <v>very_low_beta</v>
          </cell>
          <cell r="K179">
            <v>0</v>
          </cell>
        </row>
        <row r="180">
          <cell r="A180" t="str">
            <v>GMAT3</v>
          </cell>
          <cell r="B180">
            <v>0</v>
          </cell>
          <cell r="C180">
            <v>-6.0000000000000001E-3</v>
          </cell>
          <cell r="D180">
            <v>0</v>
          </cell>
          <cell r="E180">
            <v>6.0000000000000001E-3</v>
          </cell>
          <cell r="F180">
            <v>0.53300000000000003</v>
          </cell>
          <cell r="G180">
            <v>0.64900000000000002</v>
          </cell>
          <cell r="H180" t="str">
            <v>defensives</v>
          </cell>
          <cell r="I180" t="str">
            <v>consumer_staples</v>
          </cell>
          <cell r="J180" t="str">
            <v>low_beta</v>
          </cell>
          <cell r="K180">
            <v>0</v>
          </cell>
        </row>
        <row r="181">
          <cell r="A181" t="str">
            <v>TASA4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0.53300000000000003</v>
          </cell>
          <cell r="G181">
            <v>0.40799999999999997</v>
          </cell>
          <cell r="H181" t="str">
            <v>industrials</v>
          </cell>
          <cell r="I181" t="str">
            <v>capital_goods</v>
          </cell>
          <cell r="J181" t="str">
            <v>very_low_beta</v>
          </cell>
          <cell r="K181">
            <v>0</v>
          </cell>
        </row>
        <row r="182">
          <cell r="A182" t="str">
            <v>HBOR3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0.53200000000000003</v>
          </cell>
          <cell r="G182">
            <v>0.36599999999999999</v>
          </cell>
          <cell r="H182" t="str">
            <v>pro_cyclicals</v>
          </cell>
          <cell r="I182" t="str">
            <v>homebuilders</v>
          </cell>
          <cell r="J182" t="str">
            <v>very_high_beta</v>
          </cell>
          <cell r="K182">
            <v>0</v>
          </cell>
        </row>
        <row r="183">
          <cell r="A183" t="str">
            <v>RAPT4</v>
          </cell>
          <cell r="B183">
            <v>0</v>
          </cell>
          <cell r="C183">
            <v>-3.0000000000000001E-3</v>
          </cell>
          <cell r="D183">
            <v>0</v>
          </cell>
          <cell r="E183">
            <v>3.0000000000000001E-3</v>
          </cell>
          <cell r="F183">
            <v>0.53</v>
          </cell>
          <cell r="G183">
            <v>0.45</v>
          </cell>
          <cell r="H183" t="str">
            <v>industrials</v>
          </cell>
          <cell r="I183" t="str">
            <v>capital_goods</v>
          </cell>
          <cell r="J183" t="str">
            <v>very_high_beta</v>
          </cell>
          <cell r="K183">
            <v>0</v>
          </cell>
        </row>
        <row r="184">
          <cell r="A184" t="str">
            <v>PRIO3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0.53</v>
          </cell>
          <cell r="G184">
            <v>0.441</v>
          </cell>
          <cell r="H184" t="str">
            <v>commodities</v>
          </cell>
          <cell r="I184" t="str">
            <v>crude_oil</v>
          </cell>
          <cell r="J184" t="str">
            <v>very_low_beta</v>
          </cell>
          <cell r="K184">
            <v>0</v>
          </cell>
        </row>
        <row r="185">
          <cell r="A185" t="str">
            <v>ROXO34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0.53</v>
          </cell>
          <cell r="G185">
            <v>0.46800000000000003</v>
          </cell>
          <cell r="H185" t="str">
            <v>pro_cyclicals</v>
          </cell>
          <cell r="I185" t="str">
            <v>banks</v>
          </cell>
          <cell r="J185" t="str">
            <v>very_low_beta</v>
          </cell>
          <cell r="K185">
            <v>0</v>
          </cell>
        </row>
        <row r="186">
          <cell r="A186" t="str">
            <v>DESK3</v>
          </cell>
          <cell r="B186">
            <v>0</v>
          </cell>
          <cell r="C186">
            <v>-2E-3</v>
          </cell>
          <cell r="D186">
            <v>0</v>
          </cell>
          <cell r="E186">
            <v>2E-3</v>
          </cell>
          <cell r="F186">
            <v>0.52900000000000003</v>
          </cell>
          <cell r="G186">
            <v>0.37</v>
          </cell>
          <cell r="H186" t="str">
            <v>bond_proxies</v>
          </cell>
          <cell r="I186" t="str">
            <v>telecom</v>
          </cell>
          <cell r="J186" t="str">
            <v>very_low_beta</v>
          </cell>
          <cell r="K186">
            <v>0</v>
          </cell>
        </row>
        <row r="187">
          <cell r="A187" t="str">
            <v>DXCO3</v>
          </cell>
          <cell r="B187">
            <v>0</v>
          </cell>
          <cell r="C187">
            <v>-5.0000000000000001E-3</v>
          </cell>
          <cell r="D187">
            <v>0</v>
          </cell>
          <cell r="E187">
            <v>5.0000000000000001E-3</v>
          </cell>
          <cell r="F187">
            <v>0.52700000000000002</v>
          </cell>
          <cell r="G187">
            <v>0.64200000000000002</v>
          </cell>
          <cell r="H187" t="str">
            <v>industrials</v>
          </cell>
          <cell r="I187" t="str">
            <v>building_materials</v>
          </cell>
          <cell r="J187" t="str">
            <v>very_high_beta</v>
          </cell>
          <cell r="K187">
            <v>0</v>
          </cell>
        </row>
        <row r="188">
          <cell r="A188" t="str">
            <v>SIMH3</v>
          </cell>
          <cell r="B188">
            <v>0</v>
          </cell>
          <cell r="C188">
            <v>-5.0000000000000001E-3</v>
          </cell>
          <cell r="D188">
            <v>0</v>
          </cell>
          <cell r="E188">
            <v>5.0000000000000001E-3</v>
          </cell>
          <cell r="F188">
            <v>0.52600000000000002</v>
          </cell>
          <cell r="G188">
            <v>0.40200000000000002</v>
          </cell>
          <cell r="H188" t="str">
            <v>pro_cyclicals</v>
          </cell>
          <cell r="I188" t="str">
            <v>consumer_services</v>
          </cell>
          <cell r="J188" t="str">
            <v>very_high_beta</v>
          </cell>
          <cell r="K188">
            <v>0</v>
          </cell>
        </row>
        <row r="189">
          <cell r="A189" t="str">
            <v>TTEN3</v>
          </cell>
          <cell r="B189">
            <v>0</v>
          </cell>
          <cell r="C189">
            <v>-5.0000000000000001E-3</v>
          </cell>
          <cell r="D189">
            <v>0</v>
          </cell>
          <cell r="E189">
            <v>5.0000000000000001E-3</v>
          </cell>
          <cell r="F189">
            <v>0.52600000000000002</v>
          </cell>
          <cell r="G189">
            <v>0.64</v>
          </cell>
          <cell r="H189" t="str">
            <v>commodities</v>
          </cell>
          <cell r="I189" t="str">
            <v>food</v>
          </cell>
          <cell r="J189" t="str">
            <v>low_beta</v>
          </cell>
          <cell r="K189">
            <v>0</v>
          </cell>
        </row>
        <row r="190">
          <cell r="A190" t="str">
            <v>MRVE3</v>
          </cell>
          <cell r="B190">
            <v>0</v>
          </cell>
          <cell r="C190">
            <v>-8.0000000000000002E-3</v>
          </cell>
          <cell r="D190">
            <v>0</v>
          </cell>
          <cell r="E190">
            <v>8.0000000000000002E-3</v>
          </cell>
          <cell r="F190">
            <v>0.52500000000000002</v>
          </cell>
          <cell r="G190">
            <v>0.44400000000000001</v>
          </cell>
          <cell r="H190" t="str">
            <v>pro_cyclicals</v>
          </cell>
          <cell r="I190" t="str">
            <v>homebuilders</v>
          </cell>
          <cell r="J190" t="str">
            <v>very_high_beta</v>
          </cell>
          <cell r="K190">
            <v>0</v>
          </cell>
        </row>
        <row r="191">
          <cell r="A191" t="str">
            <v>EMBJ3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0.52400000000000002</v>
          </cell>
          <cell r="G191">
            <v>0.42199999999999999</v>
          </cell>
          <cell r="H191" t="str">
            <v>industrials</v>
          </cell>
          <cell r="I191" t="str">
            <v>capital_goods</v>
          </cell>
          <cell r="J191" t="str">
            <v>very_high_beta</v>
          </cell>
          <cell r="K191">
            <v>0</v>
          </cell>
        </row>
        <row r="192">
          <cell r="A192" t="str">
            <v>PRNR3</v>
          </cell>
          <cell r="B192">
            <v>0</v>
          </cell>
          <cell r="C192">
            <v>-3.0000000000000001E-3</v>
          </cell>
          <cell r="D192">
            <v>0</v>
          </cell>
          <cell r="E192">
            <v>3.0000000000000001E-3</v>
          </cell>
          <cell r="F192">
            <v>0.52400000000000002</v>
          </cell>
          <cell r="G192">
            <v>0.66600000000000004</v>
          </cell>
          <cell r="H192" t="str">
            <v>industrials</v>
          </cell>
          <cell r="I192" t="str">
            <v>capital_goods</v>
          </cell>
          <cell r="J192" t="str">
            <v>high_beta</v>
          </cell>
          <cell r="K192">
            <v>0</v>
          </cell>
        </row>
        <row r="193">
          <cell r="A193" t="str">
            <v>QUAL3</v>
          </cell>
          <cell r="B193">
            <v>0</v>
          </cell>
          <cell r="C193">
            <v>-2E-3</v>
          </cell>
          <cell r="D193">
            <v>0</v>
          </cell>
          <cell r="E193">
            <v>2E-3</v>
          </cell>
          <cell r="F193">
            <v>0.51900000000000002</v>
          </cell>
          <cell r="G193">
            <v>0.38300000000000001</v>
          </cell>
          <cell r="H193" t="str">
            <v>defensives</v>
          </cell>
          <cell r="I193" t="str">
            <v>healthcare</v>
          </cell>
          <cell r="J193" t="str">
            <v>very_high_beta</v>
          </cell>
          <cell r="K193">
            <v>0</v>
          </cell>
        </row>
        <row r="194">
          <cell r="A194" t="str">
            <v>NATU3</v>
          </cell>
          <cell r="B194">
            <v>0</v>
          </cell>
          <cell r="C194">
            <v>-2.4E-2</v>
          </cell>
          <cell r="D194">
            <v>0</v>
          </cell>
          <cell r="E194">
            <v>2.4E-2</v>
          </cell>
          <cell r="F194">
            <v>0.51600000000000001</v>
          </cell>
          <cell r="G194">
            <v>0.88</v>
          </cell>
          <cell r="H194" t="str">
            <v>defensives</v>
          </cell>
          <cell r="I194" t="str">
            <v>consumer_staples</v>
          </cell>
          <cell r="J194" t="str">
            <v>high_beta</v>
          </cell>
          <cell r="K194">
            <v>0</v>
          </cell>
        </row>
        <row r="195">
          <cell r="A195" t="str">
            <v>SOJA3</v>
          </cell>
          <cell r="B195">
            <v>0</v>
          </cell>
          <cell r="C195">
            <v>-1E-3</v>
          </cell>
          <cell r="D195">
            <v>0</v>
          </cell>
          <cell r="E195">
            <v>1E-3</v>
          </cell>
          <cell r="F195">
            <v>0.51600000000000001</v>
          </cell>
          <cell r="G195">
            <v>0.42199999999999999</v>
          </cell>
          <cell r="H195" t="str">
            <v>commodities</v>
          </cell>
          <cell r="I195" t="str">
            <v>food</v>
          </cell>
          <cell r="J195" t="str">
            <v>very_low_beta</v>
          </cell>
          <cell r="K195">
            <v>0</v>
          </cell>
        </row>
        <row r="196">
          <cell r="A196" t="str">
            <v>ASAI3</v>
          </cell>
          <cell r="B196">
            <v>0</v>
          </cell>
          <cell r="C196">
            <v>-3.7999999999999999E-2</v>
          </cell>
          <cell r="D196">
            <v>0</v>
          </cell>
          <cell r="E196">
            <v>3.7999999999999999E-2</v>
          </cell>
          <cell r="F196">
            <v>0.51400000000000001</v>
          </cell>
          <cell r="G196">
            <v>0.66500000000000004</v>
          </cell>
          <cell r="H196" t="str">
            <v>defensives</v>
          </cell>
          <cell r="I196" t="str">
            <v>consumer_staples</v>
          </cell>
          <cell r="J196" t="str">
            <v>very_high_beta</v>
          </cell>
          <cell r="K196">
            <v>0</v>
          </cell>
        </row>
        <row r="197">
          <cell r="A197" t="str">
            <v>VITT3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0.51400000000000001</v>
          </cell>
          <cell r="G197">
            <v>0.35199999999999998</v>
          </cell>
          <cell r="H197" t="str">
            <v>industrials</v>
          </cell>
          <cell r="I197" t="str">
            <v>chemicals</v>
          </cell>
          <cell r="J197" t="str">
            <v>very_high_beta</v>
          </cell>
          <cell r="K197">
            <v>0</v>
          </cell>
        </row>
        <row r="198">
          <cell r="A198" t="str">
            <v>STOC34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0.51400000000000001</v>
          </cell>
          <cell r="G198">
            <v>0.38200000000000001</v>
          </cell>
          <cell r="H198" t="str">
            <v>pro_cyclicals</v>
          </cell>
          <cell r="I198" t="str">
            <v>financial_services</v>
          </cell>
          <cell r="J198" t="str">
            <v>neutral_beta</v>
          </cell>
          <cell r="K198">
            <v>0</v>
          </cell>
        </row>
        <row r="199">
          <cell r="A199" t="str">
            <v>VAMO3</v>
          </cell>
          <cell r="B199">
            <v>0</v>
          </cell>
          <cell r="C199">
            <v>-5.0000000000000001E-3</v>
          </cell>
          <cell r="D199">
            <v>0</v>
          </cell>
          <cell r="E199">
            <v>5.0000000000000001E-3</v>
          </cell>
          <cell r="F199">
            <v>0.51200000000000001</v>
          </cell>
          <cell r="G199">
            <v>0.39300000000000002</v>
          </cell>
          <cell r="H199" t="str">
            <v>pro_cyclicals</v>
          </cell>
          <cell r="I199" t="str">
            <v>transportation</v>
          </cell>
          <cell r="J199" t="str">
            <v>very_high_beta</v>
          </cell>
          <cell r="K199">
            <v>0</v>
          </cell>
        </row>
        <row r="200">
          <cell r="A200" t="str">
            <v>CSAN3</v>
          </cell>
          <cell r="B200">
            <v>0</v>
          </cell>
          <cell r="C200">
            <v>-2.8000000000000001E-2</v>
          </cell>
          <cell r="D200">
            <v>0</v>
          </cell>
          <cell r="E200">
            <v>2.8000000000000001E-2</v>
          </cell>
          <cell r="F200">
            <v>0.50900000000000001</v>
          </cell>
          <cell r="G200">
            <v>0.63600000000000001</v>
          </cell>
          <cell r="H200" t="str">
            <v>pro_cyclicals</v>
          </cell>
          <cell r="I200" t="str">
            <v>consumer_services</v>
          </cell>
          <cell r="J200" t="str">
            <v>very_high_beta</v>
          </cell>
          <cell r="K200">
            <v>0</v>
          </cell>
        </row>
        <row r="201">
          <cell r="A201" t="str">
            <v>TUPY3</v>
          </cell>
          <cell r="B201">
            <v>0</v>
          </cell>
          <cell r="C201">
            <v>-6.0000000000000001E-3</v>
          </cell>
          <cell r="D201">
            <v>0</v>
          </cell>
          <cell r="E201">
            <v>6.0000000000000001E-3</v>
          </cell>
          <cell r="F201">
            <v>0.50900000000000001</v>
          </cell>
          <cell r="G201">
            <v>0.47299999999999998</v>
          </cell>
          <cell r="H201" t="str">
            <v>industrials</v>
          </cell>
          <cell r="I201" t="str">
            <v>capital_goods</v>
          </cell>
          <cell r="J201" t="str">
            <v>high_beta</v>
          </cell>
          <cell r="K201">
            <v>0</v>
          </cell>
        </row>
        <row r="202">
          <cell r="A202" t="str">
            <v>BHIA3</v>
          </cell>
          <cell r="B202">
            <v>0</v>
          </cell>
          <cell r="C202">
            <v>-1E-3</v>
          </cell>
          <cell r="D202">
            <v>0</v>
          </cell>
          <cell r="E202">
            <v>1E-3</v>
          </cell>
          <cell r="F202">
            <v>0.505</v>
          </cell>
          <cell r="G202">
            <v>0.34699999999999998</v>
          </cell>
          <cell r="H202" t="str">
            <v>pro_cyclicals</v>
          </cell>
          <cell r="I202" t="str">
            <v>consumer_durables</v>
          </cell>
          <cell r="J202" t="str">
            <v>very_high_beta</v>
          </cell>
          <cell r="K202">
            <v>0</v>
          </cell>
        </row>
        <row r="203">
          <cell r="A203" t="str">
            <v>DASA3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0.499</v>
          </cell>
          <cell r="G203">
            <v>0.34200000000000003</v>
          </cell>
          <cell r="H203" t="str">
            <v>defensives</v>
          </cell>
          <cell r="I203" t="str">
            <v>healthcare</v>
          </cell>
          <cell r="J203" t="str">
            <v>very_high_beta</v>
          </cell>
          <cell r="K203">
            <v>0</v>
          </cell>
        </row>
        <row r="204">
          <cell r="A204" t="str">
            <v>PCAR3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0.495</v>
          </cell>
          <cell r="G204">
            <v>0.34300000000000003</v>
          </cell>
          <cell r="H204" t="str">
            <v>defensives</v>
          </cell>
          <cell r="I204" t="str">
            <v>consumer_staples</v>
          </cell>
          <cell r="J204" t="str">
            <v>very_high_beta</v>
          </cell>
          <cell r="K204">
            <v>0</v>
          </cell>
        </row>
        <row r="205">
          <cell r="A205" t="str">
            <v>CASH3</v>
          </cell>
          <cell r="B205">
            <v>0</v>
          </cell>
          <cell r="C205">
            <v>-1E-3</v>
          </cell>
          <cell r="D205">
            <v>0</v>
          </cell>
          <cell r="E205">
            <v>1E-3</v>
          </cell>
          <cell r="F205">
            <v>0.49399999999999999</v>
          </cell>
          <cell r="G205">
            <v>0.34</v>
          </cell>
          <cell r="H205" t="str">
            <v>pro_cyclicals</v>
          </cell>
          <cell r="I205" t="str">
            <v>tech</v>
          </cell>
          <cell r="J205" t="str">
            <v>high_beta</v>
          </cell>
          <cell r="K205">
            <v>0</v>
          </cell>
        </row>
        <row r="206">
          <cell r="A206" t="str">
            <v>CSNA3</v>
          </cell>
          <cell r="B206">
            <v>0</v>
          </cell>
          <cell r="C206">
            <v>-1.2999999999999999E-2</v>
          </cell>
          <cell r="D206">
            <v>0</v>
          </cell>
          <cell r="E206">
            <v>1.2999999999999999E-2</v>
          </cell>
          <cell r="F206">
            <v>0.49299999999999999</v>
          </cell>
          <cell r="G206">
            <v>0.46</v>
          </cell>
          <cell r="H206" t="str">
            <v>commodities</v>
          </cell>
          <cell r="I206" t="str">
            <v>basic_materials</v>
          </cell>
          <cell r="J206" t="str">
            <v>very_high_beta</v>
          </cell>
          <cell r="K206">
            <v>0</v>
          </cell>
        </row>
        <row r="207">
          <cell r="A207" t="str">
            <v>S2GM34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0.49</v>
          </cell>
          <cell r="G207">
            <v>0.33600000000000002</v>
          </cell>
          <cell r="H207" t="str">
            <v>commodities</v>
          </cell>
          <cell r="I207" t="str">
            <v>basic_materials</v>
          </cell>
          <cell r="J207" t="str">
            <v>very_high_beta</v>
          </cell>
          <cell r="K207">
            <v>0</v>
          </cell>
        </row>
        <row r="208">
          <cell r="A208" t="str">
            <v>AMBP3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0.48699999999999999</v>
          </cell>
          <cell r="G208">
            <v>0.33400000000000002</v>
          </cell>
          <cell r="H208" t="str">
            <v>bond_proxies</v>
          </cell>
          <cell r="I208" t="str">
            <v>utilities</v>
          </cell>
          <cell r="J208" t="str">
            <v>neutral_beta</v>
          </cell>
          <cell r="K208">
            <v>0</v>
          </cell>
        </row>
        <row r="209">
          <cell r="A209" t="str">
            <v>HAPV3</v>
          </cell>
          <cell r="B209">
            <v>0</v>
          </cell>
          <cell r="C209">
            <v>-0.01</v>
          </cell>
          <cell r="D209">
            <v>0</v>
          </cell>
          <cell r="E209">
            <v>0.01</v>
          </cell>
          <cell r="F209">
            <v>0.48499999999999999</v>
          </cell>
          <cell r="G209">
            <v>0.35799999999999998</v>
          </cell>
          <cell r="H209" t="str">
            <v>defensives</v>
          </cell>
          <cell r="I209" t="str">
            <v>healthcare</v>
          </cell>
          <cell r="J209" t="str">
            <v>very_high_beta</v>
          </cell>
          <cell r="K209">
            <v>0</v>
          </cell>
        </row>
        <row r="210">
          <cell r="A210" t="str">
            <v>PTBL3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0.48099999999999998</v>
          </cell>
          <cell r="G210">
            <v>0.35199999999999998</v>
          </cell>
          <cell r="H210" t="str">
            <v>industrials</v>
          </cell>
          <cell r="I210" t="str">
            <v>building_materials</v>
          </cell>
          <cell r="J210" t="str">
            <v>very_low_beta</v>
          </cell>
          <cell r="K210">
            <v>0</v>
          </cell>
        </row>
        <row r="211">
          <cell r="A211" t="str">
            <v>LJQQ3</v>
          </cell>
          <cell r="B211">
            <v>0</v>
          </cell>
          <cell r="C211">
            <v>-1E-3</v>
          </cell>
          <cell r="D211">
            <v>0</v>
          </cell>
          <cell r="E211">
            <v>1E-3</v>
          </cell>
          <cell r="F211">
            <v>0.48</v>
          </cell>
          <cell r="G211">
            <v>0.34899999999999998</v>
          </cell>
          <cell r="H211" t="str">
            <v>pro_cyclicals</v>
          </cell>
          <cell r="I211" t="str">
            <v>consumer_durables</v>
          </cell>
          <cell r="J211" t="str">
            <v>very_high_beta</v>
          </cell>
          <cell r="K211">
            <v>0</v>
          </cell>
        </row>
        <row r="212">
          <cell r="A212" t="str">
            <v>RCSL3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0.47499999999999998</v>
          </cell>
          <cell r="G212">
            <v>0.32500000000000001</v>
          </cell>
          <cell r="H212" t="str">
            <v>industrials</v>
          </cell>
          <cell r="I212" t="str">
            <v>capital_goods</v>
          </cell>
          <cell r="J212" t="str">
            <v>very_low_beta</v>
          </cell>
          <cell r="K212">
            <v>0</v>
          </cell>
        </row>
        <row r="213">
          <cell r="A213" t="str">
            <v>BRKM5</v>
          </cell>
          <cell r="B213">
            <v>0</v>
          </cell>
          <cell r="C213">
            <v>-7.0000000000000001E-3</v>
          </cell>
          <cell r="D213">
            <v>0</v>
          </cell>
          <cell r="E213">
            <v>7.0000000000000001E-3</v>
          </cell>
          <cell r="F213">
            <v>0.47499999999999998</v>
          </cell>
          <cell r="G213">
            <v>0.34399999999999997</v>
          </cell>
          <cell r="H213" t="str">
            <v>industrials</v>
          </cell>
          <cell r="I213" t="str">
            <v>chemicals</v>
          </cell>
          <cell r="J213" t="str">
            <v>very_low_beta</v>
          </cell>
          <cell r="K213">
            <v>0</v>
          </cell>
        </row>
        <row r="214">
          <cell r="A214" t="str">
            <v>OBTC3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0.47299999999999998</v>
          </cell>
          <cell r="G214">
            <v>0.36399999999999999</v>
          </cell>
          <cell r="H214" t="str">
            <v>pro_cyclicals</v>
          </cell>
          <cell r="I214" t="str">
            <v>education</v>
          </cell>
          <cell r="J214" t="str">
            <v>low_beta</v>
          </cell>
          <cell r="K214">
            <v>0</v>
          </cell>
        </row>
        <row r="215">
          <cell r="A215" t="str">
            <v>AZEV4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0.47</v>
          </cell>
          <cell r="G215">
            <v>0.32200000000000001</v>
          </cell>
          <cell r="H215" t="str">
            <v>industrials</v>
          </cell>
          <cell r="I215" t="str">
            <v>building_materials</v>
          </cell>
          <cell r="J215" t="str">
            <v>neutral_beta</v>
          </cell>
          <cell r="K215">
            <v>0</v>
          </cell>
        </row>
        <row r="216">
          <cell r="A216" t="str">
            <v>GFSA3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0.46899999999999997</v>
          </cell>
          <cell r="G216">
            <v>0.32200000000000001</v>
          </cell>
          <cell r="H216" t="str">
            <v>pro_cyclicals</v>
          </cell>
          <cell r="I216" t="str">
            <v>homebuilders</v>
          </cell>
          <cell r="J216" t="str">
            <v>high_beta</v>
          </cell>
          <cell r="K216">
            <v>0</v>
          </cell>
        </row>
        <row r="217">
          <cell r="A217" t="str">
            <v>RCSL4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0.46800000000000003</v>
          </cell>
          <cell r="G217">
            <v>0.32100000000000001</v>
          </cell>
          <cell r="H217" t="str">
            <v>industrials</v>
          </cell>
          <cell r="I217" t="str">
            <v>capital_goods</v>
          </cell>
          <cell r="J217" t="str">
            <v>very_low_beta</v>
          </cell>
          <cell r="K217">
            <v>0</v>
          </cell>
        </row>
        <row r="218">
          <cell r="A218" t="str">
            <v>AZUL53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0.46800000000000003</v>
          </cell>
          <cell r="G218">
            <v>0.32400000000000001</v>
          </cell>
          <cell r="H218" t="str">
            <v>pro_cyclicals</v>
          </cell>
          <cell r="I218" t="str">
            <v>consumer_services</v>
          </cell>
          <cell r="J218" t="str">
            <v>very_high_beta</v>
          </cell>
          <cell r="K218">
            <v>0</v>
          </cell>
        </row>
        <row r="219">
          <cell r="A219" t="str">
            <v>AERI3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0.46800000000000003</v>
          </cell>
          <cell r="G219">
            <v>0.34499999999999997</v>
          </cell>
          <cell r="H219" t="str">
            <v>industrials</v>
          </cell>
          <cell r="I219" t="str">
            <v>capital_goods</v>
          </cell>
          <cell r="J219" t="str">
            <v>very_low_beta</v>
          </cell>
          <cell r="K219">
            <v>0</v>
          </cell>
        </row>
        <row r="220">
          <cell r="A220" t="str">
            <v>RAIZ4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0.46800000000000003</v>
          </cell>
          <cell r="G220">
            <v>0.32300000000000001</v>
          </cell>
          <cell r="H220" t="str">
            <v>pro_cyclicals</v>
          </cell>
          <cell r="I220" t="str">
            <v>consumer_services</v>
          </cell>
          <cell r="J220" t="str">
            <v>very_high_beta</v>
          </cell>
          <cell r="K220">
            <v>0</v>
          </cell>
        </row>
        <row r="221">
          <cell r="A221" t="str">
            <v>ONCO3</v>
          </cell>
          <cell r="B221">
            <v>0</v>
          </cell>
          <cell r="C221">
            <v>-4.0000000000000001E-3</v>
          </cell>
          <cell r="D221">
            <v>0</v>
          </cell>
          <cell r="E221">
            <v>4.0000000000000001E-3</v>
          </cell>
          <cell r="F221">
            <v>0.46800000000000003</v>
          </cell>
          <cell r="G221">
            <v>0.32600000000000001</v>
          </cell>
          <cell r="H221" t="str">
            <v>defensives</v>
          </cell>
          <cell r="I221" t="str">
            <v>healthcare</v>
          </cell>
          <cell r="J221" t="str">
            <v>high_beta</v>
          </cell>
          <cell r="K221">
            <v>0</v>
          </cell>
        </row>
        <row r="222">
          <cell r="A222" t="str">
            <v>PMAM3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0.46800000000000003</v>
          </cell>
          <cell r="G222">
            <v>0.32100000000000001</v>
          </cell>
          <cell r="H222" t="str">
            <v>commodities</v>
          </cell>
          <cell r="I222" t="str">
            <v>basic_materials</v>
          </cell>
          <cell r="J222" t="str">
            <v>very_high_beta</v>
          </cell>
          <cell r="K222">
            <v>0</v>
          </cell>
        </row>
      </sheetData>
      <sheetData sheetId="3">
        <row r="9">
          <cell r="A9" t="str">
            <v>WIZC3</v>
          </cell>
          <cell r="B9">
            <v>1.4E-2</v>
          </cell>
          <cell r="C9">
            <v>1.4E-2</v>
          </cell>
          <cell r="D9">
            <v>0</v>
          </cell>
          <cell r="E9">
            <v>0</v>
          </cell>
          <cell r="F9">
            <v>3.2610000000000001</v>
          </cell>
          <cell r="G9">
            <v>3.4220000000000002</v>
          </cell>
          <cell r="H9" t="str">
            <v>defensives</v>
          </cell>
          <cell r="I9" t="str">
            <v>financial_services</v>
          </cell>
          <cell r="J9" t="str">
            <v>low_beta</v>
          </cell>
          <cell r="K9">
            <v>1.4E-2</v>
          </cell>
        </row>
        <row r="10">
          <cell r="A10" t="str">
            <v>BMGB4</v>
          </cell>
          <cell r="B10">
            <v>0.01</v>
          </cell>
          <cell r="C10">
            <v>0.01</v>
          </cell>
          <cell r="D10">
            <v>0</v>
          </cell>
          <cell r="E10">
            <v>0</v>
          </cell>
          <cell r="F10">
            <v>3.2610000000000001</v>
          </cell>
          <cell r="G10">
            <v>3.3159999999999998</v>
          </cell>
          <cell r="H10" t="str">
            <v>pro_cyclicals</v>
          </cell>
          <cell r="I10" t="str">
            <v>banks</v>
          </cell>
          <cell r="J10" t="str">
            <v>high_beta</v>
          </cell>
          <cell r="K10">
            <v>0.01</v>
          </cell>
        </row>
        <row r="11">
          <cell r="A11" t="str">
            <v>JHSF3</v>
          </cell>
          <cell r="B11">
            <v>8.9999999999999993E-3</v>
          </cell>
          <cell r="C11">
            <v>4.1311099999999995E-3</v>
          </cell>
          <cell r="D11">
            <v>0</v>
          </cell>
          <cell r="E11">
            <v>4.8688899999999998E-3</v>
          </cell>
          <cell r="F11">
            <v>3.2610000000000001</v>
          </cell>
          <cell r="G11">
            <v>3.726</v>
          </cell>
          <cell r="H11" t="str">
            <v>pro_cyclicals</v>
          </cell>
          <cell r="I11" t="str">
            <v>homebuilders</v>
          </cell>
          <cell r="J11" t="str">
            <v>very_high_beta</v>
          </cell>
          <cell r="K11">
            <v>8.9999999999999993E-3</v>
          </cell>
        </row>
        <row r="12">
          <cell r="A12" t="str">
            <v>RIAA3</v>
          </cell>
          <cell r="B12">
            <v>8.0000000000000002E-3</v>
          </cell>
          <cell r="C12">
            <v>8.0000000000000002E-3</v>
          </cell>
          <cell r="D12">
            <v>0</v>
          </cell>
          <cell r="E12">
            <v>0</v>
          </cell>
          <cell r="F12">
            <v>3.2610000000000001</v>
          </cell>
          <cell r="G12">
            <v>2.5329999999999999</v>
          </cell>
          <cell r="H12" t="str">
            <v>pro_cyclicals</v>
          </cell>
          <cell r="I12" t="str">
            <v>apparel</v>
          </cell>
          <cell r="J12" t="str">
            <v>very_high_beta</v>
          </cell>
          <cell r="K12">
            <v>8.0000000000000002E-3</v>
          </cell>
        </row>
        <row r="13">
          <cell r="A13" t="str">
            <v>ALLD3</v>
          </cell>
          <cell r="B13">
            <v>7.0000000000000001E-3</v>
          </cell>
          <cell r="C13">
            <v>7.0000000000000001E-3</v>
          </cell>
          <cell r="D13">
            <v>0</v>
          </cell>
          <cell r="E13">
            <v>0</v>
          </cell>
          <cell r="F13">
            <v>3.2610000000000001</v>
          </cell>
          <cell r="G13">
            <v>2.5329999999999999</v>
          </cell>
          <cell r="H13" t="str">
            <v>pro_cyclicals</v>
          </cell>
          <cell r="I13" t="str">
            <v>consumer_durables</v>
          </cell>
          <cell r="J13" t="str">
            <v>very_low_beta</v>
          </cell>
          <cell r="K13">
            <v>7.0000000000000001E-3</v>
          </cell>
        </row>
        <row r="14">
          <cell r="A14" t="str">
            <v>CSED3</v>
          </cell>
          <cell r="B14">
            <v>7.0000000000000001E-3</v>
          </cell>
          <cell r="C14">
            <v>7.0000000000000001E-3</v>
          </cell>
          <cell r="D14">
            <v>0</v>
          </cell>
          <cell r="E14">
            <v>0</v>
          </cell>
          <cell r="F14">
            <v>3.2610000000000001</v>
          </cell>
          <cell r="G14">
            <v>2.5790000000000002</v>
          </cell>
          <cell r="H14" t="str">
            <v>pro_cyclicals</v>
          </cell>
          <cell r="I14" t="str">
            <v>education</v>
          </cell>
          <cell r="J14" t="str">
            <v>high_beta</v>
          </cell>
          <cell r="K14">
            <v>7.0000000000000001E-3</v>
          </cell>
        </row>
        <row r="15">
          <cell r="A15" t="str">
            <v>SYNE3</v>
          </cell>
          <cell r="B15">
            <v>8.0000000000000002E-3</v>
          </cell>
          <cell r="C15">
            <v>7.6609800000000004E-3</v>
          </cell>
          <cell r="D15">
            <v>0</v>
          </cell>
          <cell r="E15">
            <v>3.3901999999999999E-4</v>
          </cell>
          <cell r="F15">
            <v>3.2570000000000001</v>
          </cell>
          <cell r="G15">
            <v>2.5489999999999999</v>
          </cell>
          <cell r="H15" t="str">
            <v>bond_proxies</v>
          </cell>
          <cell r="I15" t="str">
            <v>real_estate</v>
          </cell>
          <cell r="J15" t="str">
            <v>neutral_beta</v>
          </cell>
          <cell r="K15">
            <v>8.0000000000000002E-3</v>
          </cell>
        </row>
        <row r="16">
          <cell r="A16" t="str">
            <v>POMO3</v>
          </cell>
          <cell r="B16">
            <v>8.9999999999999993E-3</v>
          </cell>
          <cell r="C16">
            <v>8.9999999999999993E-3</v>
          </cell>
          <cell r="D16">
            <v>0</v>
          </cell>
          <cell r="E16">
            <v>0</v>
          </cell>
          <cell r="F16">
            <v>3.2280000000000002</v>
          </cell>
          <cell r="G16">
            <v>2.9430000000000001</v>
          </cell>
          <cell r="H16" t="str">
            <v>industrials</v>
          </cell>
          <cell r="I16" t="str">
            <v>capital_goods</v>
          </cell>
          <cell r="J16" t="str">
            <v>neutral_beta</v>
          </cell>
          <cell r="K16">
            <v>8.9999999999999993E-3</v>
          </cell>
        </row>
        <row r="17">
          <cell r="A17" t="str">
            <v>SHUL4</v>
          </cell>
          <cell r="B17">
            <v>1.2999999999999999E-2</v>
          </cell>
          <cell r="C17">
            <v>1.2999999999999999E-2</v>
          </cell>
          <cell r="D17">
            <v>0</v>
          </cell>
          <cell r="E17">
            <v>0</v>
          </cell>
          <cell r="F17">
            <v>3.1320000000000001</v>
          </cell>
          <cell r="G17">
            <v>3.839</v>
          </cell>
          <cell r="H17" t="str">
            <v>industrials</v>
          </cell>
          <cell r="I17" t="str">
            <v>capital_goods</v>
          </cell>
          <cell r="J17" t="str">
            <v>low_beta</v>
          </cell>
          <cell r="K17">
            <v>1.2999999999999999E-2</v>
          </cell>
        </row>
        <row r="18">
          <cell r="A18" t="str">
            <v>FIQE3</v>
          </cell>
          <cell r="B18">
            <v>0.01</v>
          </cell>
          <cell r="C18">
            <v>0.01</v>
          </cell>
          <cell r="D18">
            <v>0</v>
          </cell>
          <cell r="E18">
            <v>0</v>
          </cell>
          <cell r="F18">
            <v>3.0819999999999999</v>
          </cell>
          <cell r="G18">
            <v>3.1539999999999999</v>
          </cell>
          <cell r="H18" t="str">
            <v>bond_proxies</v>
          </cell>
          <cell r="I18" t="str">
            <v>telecom</v>
          </cell>
          <cell r="J18" t="str">
            <v>low_beta</v>
          </cell>
          <cell r="K18">
            <v>0.01</v>
          </cell>
        </row>
        <row r="19">
          <cell r="A19" t="str">
            <v>MTRE3</v>
          </cell>
          <cell r="B19">
            <v>1.4E-2</v>
          </cell>
          <cell r="C19">
            <v>1.4E-2</v>
          </cell>
          <cell r="D19">
            <v>0</v>
          </cell>
          <cell r="E19">
            <v>0</v>
          </cell>
          <cell r="F19">
            <v>3.077</v>
          </cell>
          <cell r="G19">
            <v>3.0779999999999998</v>
          </cell>
          <cell r="H19" t="str">
            <v>pro_cyclicals</v>
          </cell>
          <cell r="I19" t="str">
            <v>homebuilders</v>
          </cell>
          <cell r="J19" t="str">
            <v>neutral_beta</v>
          </cell>
          <cell r="K19">
            <v>1.4E-2</v>
          </cell>
        </row>
        <row r="20">
          <cell r="A20" t="str">
            <v>BRSR6</v>
          </cell>
          <cell r="B20">
            <v>1.2E-2</v>
          </cell>
          <cell r="C20">
            <v>7.3877200000000004E-3</v>
          </cell>
          <cell r="D20">
            <v>0</v>
          </cell>
          <cell r="E20">
            <v>4.6122799999999999E-3</v>
          </cell>
          <cell r="F20">
            <v>3.0529999999999999</v>
          </cell>
          <cell r="G20">
            <v>3.7949999999999999</v>
          </cell>
          <cell r="H20" t="str">
            <v>pro_cyclicals</v>
          </cell>
          <cell r="I20" t="str">
            <v>banks</v>
          </cell>
          <cell r="J20" t="str">
            <v>high_beta</v>
          </cell>
          <cell r="K20">
            <v>1.2E-2</v>
          </cell>
        </row>
        <row r="21">
          <cell r="A21" t="str">
            <v>GRND3</v>
          </cell>
          <cell r="B21">
            <v>0.01</v>
          </cell>
          <cell r="C21">
            <v>8.3846300000000006E-3</v>
          </cell>
          <cell r="D21">
            <v>0</v>
          </cell>
          <cell r="E21">
            <v>1.6153700000000001E-3</v>
          </cell>
          <cell r="F21">
            <v>3.0070000000000001</v>
          </cell>
          <cell r="G21">
            <v>3.2109999999999999</v>
          </cell>
          <cell r="H21" t="str">
            <v>pro_cyclicals</v>
          </cell>
          <cell r="I21" t="str">
            <v>apparel</v>
          </cell>
          <cell r="J21" t="str">
            <v>very_low_beta</v>
          </cell>
          <cell r="K21">
            <v>0.01</v>
          </cell>
        </row>
        <row r="22">
          <cell r="A22" t="str">
            <v>TIMS3</v>
          </cell>
          <cell r="B22">
            <v>2.3E-2</v>
          </cell>
          <cell r="C22">
            <v>-3.5127000000000005E-3</v>
          </cell>
          <cell r="D22">
            <v>0</v>
          </cell>
          <cell r="E22">
            <v>2.65127E-2</v>
          </cell>
          <cell r="F22">
            <v>2.9980000000000002</v>
          </cell>
          <cell r="G22">
            <v>5.8970000000000002</v>
          </cell>
          <cell r="H22" t="str">
            <v>bond_proxies</v>
          </cell>
          <cell r="I22" t="str">
            <v>telecom</v>
          </cell>
          <cell r="J22" t="str">
            <v>very_low_beta</v>
          </cell>
          <cell r="K22">
            <v>2.3E-2</v>
          </cell>
        </row>
        <row r="23">
          <cell r="A23" t="str">
            <v>SAPR4</v>
          </cell>
          <cell r="B23">
            <v>1.0999999999999999E-2</v>
          </cell>
          <cell r="C23">
            <v>1.0999999999999999E-2</v>
          </cell>
          <cell r="D23">
            <v>0</v>
          </cell>
          <cell r="E23">
            <v>0</v>
          </cell>
          <cell r="F23">
            <v>2.9329999999999998</v>
          </cell>
          <cell r="G23">
            <v>3.141</v>
          </cell>
          <cell r="H23" t="str">
            <v>bond_proxies</v>
          </cell>
          <cell r="I23" t="str">
            <v>utilities</v>
          </cell>
          <cell r="J23" t="str">
            <v>low_beta</v>
          </cell>
          <cell r="K23">
            <v>1.0999999999999999E-2</v>
          </cell>
        </row>
        <row r="24">
          <cell r="A24" t="str">
            <v>PFRM3</v>
          </cell>
          <cell r="B24">
            <v>8.9999999999999993E-3</v>
          </cell>
          <cell r="C24">
            <v>8.9999999999999993E-3</v>
          </cell>
          <cell r="D24">
            <v>0</v>
          </cell>
          <cell r="E24">
            <v>0</v>
          </cell>
          <cell r="F24">
            <v>2.887</v>
          </cell>
          <cell r="G24">
            <v>2.3069999999999999</v>
          </cell>
          <cell r="H24" t="str">
            <v>defensives</v>
          </cell>
          <cell r="I24" t="str">
            <v>healthcare</v>
          </cell>
          <cell r="J24" t="str">
            <v>high_beta</v>
          </cell>
          <cell r="K24">
            <v>8.9999999999999993E-3</v>
          </cell>
        </row>
        <row r="25">
          <cell r="A25" t="str">
            <v>SAPR3</v>
          </cell>
          <cell r="B25">
            <v>8.0000000000000002E-3</v>
          </cell>
          <cell r="C25">
            <v>8.0000000000000002E-3</v>
          </cell>
          <cell r="D25">
            <v>0</v>
          </cell>
          <cell r="E25">
            <v>0</v>
          </cell>
          <cell r="F25">
            <v>2.85</v>
          </cell>
          <cell r="G25">
            <v>2.4540000000000002</v>
          </cell>
          <cell r="H25" t="str">
            <v>bond_proxies</v>
          </cell>
          <cell r="I25" t="str">
            <v>utilities</v>
          </cell>
          <cell r="J25" t="str">
            <v>high_beta</v>
          </cell>
          <cell r="K25">
            <v>8.0000000000000002E-3</v>
          </cell>
        </row>
        <row r="26">
          <cell r="A26" t="str">
            <v>DEXP3</v>
          </cell>
          <cell r="B26">
            <v>0.01</v>
          </cell>
          <cell r="C26">
            <v>0.01</v>
          </cell>
          <cell r="D26">
            <v>0</v>
          </cell>
          <cell r="E26">
            <v>0</v>
          </cell>
          <cell r="F26">
            <v>2.8290000000000002</v>
          </cell>
          <cell r="G26">
            <v>2.681</v>
          </cell>
          <cell r="H26" t="str">
            <v>industrials</v>
          </cell>
          <cell r="I26" t="str">
            <v>chemicals</v>
          </cell>
          <cell r="J26" t="str">
            <v>very_low_beta</v>
          </cell>
          <cell r="K26">
            <v>0.01</v>
          </cell>
        </row>
        <row r="27">
          <cell r="A27" t="str">
            <v>PETR4</v>
          </cell>
          <cell r="B27">
            <v>4.3999999999999997E-2</v>
          </cell>
          <cell r="C27">
            <v>-2.3948129999999998E-2</v>
          </cell>
          <cell r="D27">
            <v>9.999999999999995E-3</v>
          </cell>
          <cell r="E27">
            <v>6.7948129999999995E-2</v>
          </cell>
          <cell r="F27">
            <v>2.806</v>
          </cell>
          <cell r="G27">
            <v>5.6420000000000003</v>
          </cell>
          <cell r="H27" t="str">
            <v>commodities</v>
          </cell>
          <cell r="I27" t="str">
            <v>crude_oil</v>
          </cell>
          <cell r="J27" t="str">
            <v>very_low_beta</v>
          </cell>
          <cell r="K27">
            <v>3.4000000000000002E-2</v>
          </cell>
        </row>
        <row r="28">
          <cell r="A28" t="str">
            <v>LEVE3</v>
          </cell>
          <cell r="B28">
            <v>1.0999999999999999E-2</v>
          </cell>
          <cell r="C28">
            <v>8.3273699999999989E-3</v>
          </cell>
          <cell r="D28">
            <v>0</v>
          </cell>
          <cell r="E28">
            <v>2.6726300000000001E-3</v>
          </cell>
          <cell r="F28">
            <v>2.6960000000000002</v>
          </cell>
          <cell r="G28">
            <v>3.44</v>
          </cell>
          <cell r="H28" t="str">
            <v>industrials</v>
          </cell>
          <cell r="I28" t="str">
            <v>capital_goods</v>
          </cell>
          <cell r="J28" t="str">
            <v>very_low_beta</v>
          </cell>
          <cell r="K28">
            <v>1.0999999999999999E-2</v>
          </cell>
        </row>
        <row r="29">
          <cell r="A29" t="str">
            <v>PETR3</v>
          </cell>
          <cell r="B29">
            <v>0.04</v>
          </cell>
          <cell r="C29">
            <v>-2.0663389999999997E-2</v>
          </cell>
          <cell r="D29">
            <v>8.0000000000000002E-3</v>
          </cell>
          <cell r="E29">
            <v>6.0663389999999998E-2</v>
          </cell>
          <cell r="F29">
            <v>2.6859999999999999</v>
          </cell>
          <cell r="G29">
            <v>5.0529999999999999</v>
          </cell>
          <cell r="H29" t="str">
            <v>commodities</v>
          </cell>
          <cell r="I29" t="str">
            <v>crude_oil</v>
          </cell>
          <cell r="J29" t="str">
            <v>very_low_beta</v>
          </cell>
          <cell r="K29">
            <v>3.2000000000000001E-2</v>
          </cell>
        </row>
        <row r="30">
          <cell r="A30" t="str">
            <v>ABCB4</v>
          </cell>
          <cell r="B30">
            <v>1.4999999999999999E-2</v>
          </cell>
          <cell r="C30">
            <v>1.199572E-2</v>
          </cell>
          <cell r="D30">
            <v>0</v>
          </cell>
          <cell r="E30">
            <v>3.0042799999999998E-3</v>
          </cell>
          <cell r="F30">
            <v>2.6669999999999998</v>
          </cell>
          <cell r="G30">
            <v>3.7490000000000001</v>
          </cell>
          <cell r="H30" t="str">
            <v>pro_cyclicals</v>
          </cell>
          <cell r="I30" t="str">
            <v>banks</v>
          </cell>
          <cell r="J30" t="str">
            <v>neutral_beta</v>
          </cell>
          <cell r="K30">
            <v>1.4999999999999999E-2</v>
          </cell>
        </row>
        <row r="31">
          <cell r="A31" t="str">
            <v>ALPA4</v>
          </cell>
          <cell r="B31">
            <v>8.0000000000000002E-3</v>
          </cell>
          <cell r="C31">
            <v>8.0000000000000002E-3</v>
          </cell>
          <cell r="D31">
            <v>0</v>
          </cell>
          <cell r="E31">
            <v>0</v>
          </cell>
          <cell r="F31">
            <v>2.6120000000000001</v>
          </cell>
          <cell r="G31">
            <v>2.177</v>
          </cell>
          <cell r="H31" t="str">
            <v>pro_cyclicals</v>
          </cell>
          <cell r="I31" t="str">
            <v>apparel</v>
          </cell>
          <cell r="J31" t="str">
            <v>high_beta</v>
          </cell>
          <cell r="K31">
            <v>8.0000000000000002E-3</v>
          </cell>
        </row>
        <row r="32">
          <cell r="A32" t="str">
            <v>SAPR11</v>
          </cell>
          <cell r="B32">
            <v>1.0999999999999999E-2</v>
          </cell>
          <cell r="C32">
            <v>-5.7827000000000052E-4</v>
          </cell>
          <cell r="D32">
            <v>0</v>
          </cell>
          <cell r="E32">
            <v>1.157827E-2</v>
          </cell>
          <cell r="F32">
            <v>2.581</v>
          </cell>
          <cell r="G32">
            <v>3.8759999999999999</v>
          </cell>
          <cell r="H32" t="str">
            <v>bond_proxies</v>
          </cell>
          <cell r="I32" t="str">
            <v>utilities</v>
          </cell>
          <cell r="J32" t="str">
            <v>neutral_beta</v>
          </cell>
          <cell r="K32">
            <v>1.0999999999999999E-2</v>
          </cell>
        </row>
        <row r="33">
          <cell r="A33" t="str">
            <v>POMO4</v>
          </cell>
          <cell r="B33">
            <v>0.01</v>
          </cell>
          <cell r="C33">
            <v>2.8933700000000001E-3</v>
          </cell>
          <cell r="D33">
            <v>0</v>
          </cell>
          <cell r="E33">
            <v>7.1066300000000001E-3</v>
          </cell>
          <cell r="F33">
            <v>2.5640000000000001</v>
          </cell>
          <cell r="G33">
            <v>2.9369999999999998</v>
          </cell>
          <cell r="H33" t="str">
            <v>industrials</v>
          </cell>
          <cell r="I33" t="str">
            <v>capital_goods</v>
          </cell>
          <cell r="J33" t="str">
            <v>high_beta</v>
          </cell>
          <cell r="K33">
            <v>0.01</v>
          </cell>
        </row>
        <row r="34">
          <cell r="A34" t="str">
            <v>LOGG3</v>
          </cell>
          <cell r="B34">
            <v>8.9999999999999993E-3</v>
          </cell>
          <cell r="C34">
            <v>7.0322099999999988E-3</v>
          </cell>
          <cell r="D34">
            <v>0</v>
          </cell>
          <cell r="E34">
            <v>1.9677900000000001E-3</v>
          </cell>
          <cell r="F34">
            <v>2.512</v>
          </cell>
          <cell r="G34">
            <v>2.871</v>
          </cell>
          <cell r="H34" t="str">
            <v>bond_proxies</v>
          </cell>
          <cell r="I34" t="str">
            <v>real_estate</v>
          </cell>
          <cell r="J34" t="str">
            <v>low_beta</v>
          </cell>
          <cell r="K34">
            <v>8.9999999999999993E-3</v>
          </cell>
        </row>
        <row r="35">
          <cell r="A35" t="str">
            <v>ODPV3</v>
          </cell>
          <cell r="B35">
            <v>0.01</v>
          </cell>
          <cell r="C35">
            <v>4.5542400000000002E-3</v>
          </cell>
          <cell r="D35">
            <v>0</v>
          </cell>
          <cell r="E35">
            <v>5.44576E-3</v>
          </cell>
          <cell r="F35">
            <v>2.4740000000000002</v>
          </cell>
          <cell r="G35">
            <v>2.6880000000000002</v>
          </cell>
          <cell r="H35" t="str">
            <v>defensives</v>
          </cell>
          <cell r="I35" t="str">
            <v>healthcare</v>
          </cell>
          <cell r="J35" t="str">
            <v>very_low_beta</v>
          </cell>
          <cell r="K35">
            <v>0.01</v>
          </cell>
        </row>
        <row r="36">
          <cell r="A36" t="str">
            <v>EVEN3</v>
          </cell>
          <cell r="B36">
            <v>1.0999999999999999E-2</v>
          </cell>
          <cell r="C36">
            <v>9.2064099999999999E-3</v>
          </cell>
          <cell r="D36">
            <v>0</v>
          </cell>
          <cell r="E36">
            <v>1.7935900000000001E-3</v>
          </cell>
          <cell r="F36">
            <v>2.3519999999999999</v>
          </cell>
          <cell r="G36">
            <v>2.5390000000000001</v>
          </cell>
          <cell r="H36" t="str">
            <v>pro_cyclicals</v>
          </cell>
          <cell r="I36" t="str">
            <v>homebuilders</v>
          </cell>
          <cell r="J36" t="str">
            <v>high_beta</v>
          </cell>
          <cell r="K36">
            <v>1.0999999999999999E-2</v>
          </cell>
        </row>
        <row r="37">
          <cell r="A37" t="str">
            <v>CURY3</v>
          </cell>
          <cell r="B37">
            <v>8.9999999999999993E-3</v>
          </cell>
          <cell r="C37">
            <v>3.8761000000000004E-4</v>
          </cell>
          <cell r="D37">
            <v>0</v>
          </cell>
          <cell r="E37">
            <v>8.6123899999999993E-3</v>
          </cell>
          <cell r="F37">
            <v>2.3519999999999999</v>
          </cell>
          <cell r="G37">
            <v>3.0590000000000002</v>
          </cell>
          <cell r="H37" t="str">
            <v>pro_cyclicals</v>
          </cell>
          <cell r="I37" t="str">
            <v>homebuilders</v>
          </cell>
          <cell r="J37" t="str">
            <v>low_beta</v>
          </cell>
          <cell r="K37">
            <v>8.9999999999999993E-3</v>
          </cell>
        </row>
        <row r="38">
          <cell r="A38" t="str">
            <v>ALOS3</v>
          </cell>
          <cell r="B38">
            <v>1.4E-2</v>
          </cell>
          <cell r="C38">
            <v>-8.8190399999999985E-3</v>
          </cell>
          <cell r="D38">
            <v>0</v>
          </cell>
          <cell r="E38">
            <v>2.2819039999999999E-2</v>
          </cell>
          <cell r="F38">
            <v>2.3479999999999999</v>
          </cell>
          <cell r="G38">
            <v>5.0990000000000002</v>
          </cell>
          <cell r="H38" t="str">
            <v>bond_proxies</v>
          </cell>
          <cell r="I38" t="str">
            <v>real_estate</v>
          </cell>
          <cell r="J38" t="str">
            <v>high_beta</v>
          </cell>
          <cell r="K38">
            <v>1.4E-2</v>
          </cell>
        </row>
        <row r="39">
          <cell r="A39" t="str">
            <v>ITSA3</v>
          </cell>
          <cell r="B39">
            <v>2.1000000000000001E-2</v>
          </cell>
          <cell r="C39">
            <v>2.1000000000000001E-2</v>
          </cell>
          <cell r="D39">
            <v>0</v>
          </cell>
          <cell r="E39">
            <v>0</v>
          </cell>
          <cell r="F39">
            <v>2.3340000000000001</v>
          </cell>
          <cell r="G39">
            <v>3.1059999999999999</v>
          </cell>
          <cell r="H39" t="str">
            <v>pro_cyclicals</v>
          </cell>
          <cell r="I39" t="str">
            <v>banks</v>
          </cell>
          <cell r="J39" t="str">
            <v>neutral_beta</v>
          </cell>
          <cell r="K39">
            <v>2.1000000000000001E-2</v>
          </cell>
        </row>
        <row r="40">
          <cell r="A40" t="str">
            <v>MELK3</v>
          </cell>
          <cell r="B40">
            <v>1.2E-2</v>
          </cell>
          <cell r="C40">
            <v>1.2E-2</v>
          </cell>
          <cell r="D40">
            <v>0</v>
          </cell>
          <cell r="E40">
            <v>0</v>
          </cell>
          <cell r="F40">
            <v>2.3149999999999999</v>
          </cell>
          <cell r="G40">
            <v>2.52</v>
          </cell>
          <cell r="H40" t="str">
            <v>pro_cyclicals</v>
          </cell>
          <cell r="I40" t="str">
            <v>homebuilders</v>
          </cell>
          <cell r="J40" t="str">
            <v>neutral_beta</v>
          </cell>
          <cell r="K40">
            <v>1.2E-2</v>
          </cell>
        </row>
        <row r="41">
          <cell r="A41" t="str">
            <v>VLID3</v>
          </cell>
          <cell r="B41">
            <v>1.6E-2</v>
          </cell>
          <cell r="C41">
            <v>1.38292E-2</v>
          </cell>
          <cell r="D41">
            <v>0</v>
          </cell>
          <cell r="E41">
            <v>2.1708000000000001E-3</v>
          </cell>
          <cell r="F41">
            <v>2.2770000000000001</v>
          </cell>
          <cell r="G41">
            <v>2.44</v>
          </cell>
          <cell r="H41" t="str">
            <v>pro_cyclicals</v>
          </cell>
          <cell r="I41" t="str">
            <v>tech</v>
          </cell>
          <cell r="J41" t="str">
            <v>low_beta</v>
          </cell>
          <cell r="K41">
            <v>1.6E-2</v>
          </cell>
        </row>
        <row r="42">
          <cell r="A42" t="str">
            <v>TRIS3</v>
          </cell>
          <cell r="B42">
            <v>5.0000000000000001E-3</v>
          </cell>
          <cell r="C42">
            <v>5.0000000000000001E-3</v>
          </cell>
          <cell r="D42">
            <v>0</v>
          </cell>
          <cell r="E42">
            <v>0</v>
          </cell>
          <cell r="F42">
            <v>2.2280000000000002</v>
          </cell>
          <cell r="G42">
            <v>1.6479999999999999</v>
          </cell>
          <cell r="H42" t="str">
            <v>pro_cyclicals</v>
          </cell>
          <cell r="I42" t="str">
            <v>homebuilders</v>
          </cell>
          <cell r="J42" t="str">
            <v>high_beta</v>
          </cell>
          <cell r="K42">
            <v>5.0000000000000001E-3</v>
          </cell>
        </row>
        <row r="43">
          <cell r="A43" t="str">
            <v>VULC3</v>
          </cell>
          <cell r="B43">
            <v>1.2E-2</v>
          </cell>
          <cell r="C43">
            <v>9.3930300000000001E-3</v>
          </cell>
          <cell r="D43">
            <v>0</v>
          </cell>
          <cell r="E43">
            <v>2.6069700000000001E-3</v>
          </cell>
          <cell r="F43">
            <v>2.2240000000000002</v>
          </cell>
          <cell r="G43">
            <v>2.6520000000000001</v>
          </cell>
          <cell r="H43" t="str">
            <v>pro_cyclicals</v>
          </cell>
          <cell r="I43" t="str">
            <v>apparel</v>
          </cell>
          <cell r="J43" t="str">
            <v>low_beta</v>
          </cell>
          <cell r="K43">
            <v>1.2E-2</v>
          </cell>
        </row>
        <row r="44">
          <cell r="A44" t="str">
            <v>INTB3</v>
          </cell>
          <cell r="B44">
            <v>0.01</v>
          </cell>
          <cell r="C44">
            <v>0.01</v>
          </cell>
          <cell r="D44">
            <v>0</v>
          </cell>
          <cell r="E44">
            <v>0</v>
          </cell>
          <cell r="F44">
            <v>2.2210000000000001</v>
          </cell>
          <cell r="G44">
            <v>2.1080000000000001</v>
          </cell>
          <cell r="H44" t="str">
            <v>pro_cyclicals</v>
          </cell>
          <cell r="I44" t="str">
            <v>tech</v>
          </cell>
          <cell r="J44" t="str">
            <v>high_beta</v>
          </cell>
          <cell r="K44">
            <v>0.01</v>
          </cell>
        </row>
        <row r="45">
          <cell r="A45" t="str">
            <v>BMEB4</v>
          </cell>
          <cell r="B45">
            <v>7.0000000000000001E-3</v>
          </cell>
          <cell r="C45">
            <v>7.0000000000000001E-3</v>
          </cell>
          <cell r="D45">
            <v>0</v>
          </cell>
          <cell r="E45">
            <v>0</v>
          </cell>
          <cell r="F45">
            <v>2.1819999999999999</v>
          </cell>
          <cell r="G45">
            <v>1.623</v>
          </cell>
          <cell r="H45" t="str">
            <v>pro_cyclicals</v>
          </cell>
          <cell r="I45" t="str">
            <v>banks</v>
          </cell>
          <cell r="J45" t="str">
            <v>high_beta</v>
          </cell>
          <cell r="K45">
            <v>7.0000000000000001E-3</v>
          </cell>
        </row>
        <row r="46">
          <cell r="A46" t="str">
            <v>MLAS3</v>
          </cell>
          <cell r="B46">
            <v>6.0000000000000001E-3</v>
          </cell>
          <cell r="C46">
            <v>6.0000000000000001E-3</v>
          </cell>
          <cell r="D46">
            <v>0</v>
          </cell>
          <cell r="E46">
            <v>0</v>
          </cell>
          <cell r="F46">
            <v>2.15</v>
          </cell>
          <cell r="G46">
            <v>1.6259999999999999</v>
          </cell>
          <cell r="H46" t="str">
            <v>pro_cyclicals</v>
          </cell>
          <cell r="I46" t="str">
            <v>tech</v>
          </cell>
          <cell r="J46" t="str">
            <v>neutral_beta</v>
          </cell>
          <cell r="K46">
            <v>6.0000000000000001E-3</v>
          </cell>
        </row>
        <row r="47">
          <cell r="A47" t="str">
            <v>ALUP11</v>
          </cell>
          <cell r="B47">
            <v>2.3E-2</v>
          </cell>
          <cell r="C47">
            <v>2.3E-2</v>
          </cell>
          <cell r="D47">
            <v>0</v>
          </cell>
          <cell r="E47">
            <v>0</v>
          </cell>
          <cell r="F47">
            <v>2.081</v>
          </cell>
          <cell r="G47">
            <v>2.7679999999999998</v>
          </cell>
          <cell r="H47" t="str">
            <v>bond_proxies</v>
          </cell>
          <cell r="I47" t="str">
            <v>utilities</v>
          </cell>
          <cell r="J47" t="str">
            <v>very_low_beta</v>
          </cell>
          <cell r="K47">
            <v>2.3E-2</v>
          </cell>
        </row>
        <row r="48">
          <cell r="A48" t="str">
            <v>PNVL3</v>
          </cell>
          <cell r="B48">
            <v>1.0999999999999999E-2</v>
          </cell>
          <cell r="C48">
            <v>1.0999999999999999E-2</v>
          </cell>
          <cell r="D48">
            <v>0</v>
          </cell>
          <cell r="E48">
            <v>0</v>
          </cell>
          <cell r="F48">
            <v>2.0649999999999999</v>
          </cell>
          <cell r="G48">
            <v>2.238</v>
          </cell>
          <cell r="H48" t="str">
            <v>defensives</v>
          </cell>
          <cell r="I48" t="str">
            <v>healthcare</v>
          </cell>
          <cell r="J48" t="str">
            <v>neutral_beta</v>
          </cell>
          <cell r="K48">
            <v>1.0999999999999999E-2</v>
          </cell>
        </row>
        <row r="49">
          <cell r="A49" t="str">
            <v>RECV3</v>
          </cell>
          <cell r="B49">
            <v>1.6E-2</v>
          </cell>
          <cell r="C49">
            <v>1.0481030000000001E-2</v>
          </cell>
          <cell r="D49">
            <v>0</v>
          </cell>
          <cell r="E49">
            <v>5.5189699999999998E-3</v>
          </cell>
          <cell r="F49">
            <v>2.0209999999999999</v>
          </cell>
          <cell r="G49">
            <v>2.3340000000000001</v>
          </cell>
          <cell r="H49" t="str">
            <v>commodities</v>
          </cell>
          <cell r="I49" t="str">
            <v>crude_oil</v>
          </cell>
          <cell r="J49" t="str">
            <v>very_low_beta</v>
          </cell>
          <cell r="K49">
            <v>1.6E-2</v>
          </cell>
        </row>
        <row r="50">
          <cell r="A50" t="str">
            <v>OPCT3</v>
          </cell>
          <cell r="B50">
            <v>1.2999999999999999E-2</v>
          </cell>
          <cell r="C50">
            <v>1.2999999999999999E-2</v>
          </cell>
          <cell r="D50">
            <v>0</v>
          </cell>
          <cell r="E50">
            <v>0</v>
          </cell>
          <cell r="F50">
            <v>1.992</v>
          </cell>
          <cell r="G50">
            <v>2.1339999999999999</v>
          </cell>
          <cell r="H50" t="str">
            <v>commodities</v>
          </cell>
          <cell r="I50" t="str">
            <v>crude_oil</v>
          </cell>
          <cell r="J50" t="str">
            <v>very_low_beta</v>
          </cell>
          <cell r="K50">
            <v>1.2999999999999999E-2</v>
          </cell>
        </row>
        <row r="51">
          <cell r="A51" t="str">
            <v>LAVV3</v>
          </cell>
          <cell r="B51">
            <v>1.2E-2</v>
          </cell>
          <cell r="C51">
            <v>1.044962E-2</v>
          </cell>
          <cell r="D51">
            <v>0</v>
          </cell>
          <cell r="E51">
            <v>1.5503800000000001E-3</v>
          </cell>
          <cell r="F51">
            <v>1.9830000000000001</v>
          </cell>
          <cell r="G51">
            <v>2.3759999999999999</v>
          </cell>
          <cell r="H51" t="str">
            <v>pro_cyclicals</v>
          </cell>
          <cell r="I51" t="str">
            <v>homebuilders</v>
          </cell>
          <cell r="J51" t="str">
            <v>high_beta</v>
          </cell>
          <cell r="K51">
            <v>1.2E-2</v>
          </cell>
        </row>
        <row r="52">
          <cell r="A52" t="str">
            <v>VIVT3</v>
          </cell>
          <cell r="B52">
            <v>1.4999999999999999E-2</v>
          </cell>
          <cell r="C52">
            <v>1.1495399999999999E-2</v>
          </cell>
          <cell r="D52">
            <v>0</v>
          </cell>
          <cell r="E52">
            <v>3.5046000000000001E-3</v>
          </cell>
          <cell r="F52">
            <v>1.978</v>
          </cell>
          <cell r="G52">
            <v>2.7170000000000001</v>
          </cell>
          <cell r="H52" t="str">
            <v>bond_proxies</v>
          </cell>
          <cell r="I52" t="str">
            <v>telecom</v>
          </cell>
          <cell r="J52" t="str">
            <v>very_low_beta</v>
          </cell>
          <cell r="K52">
            <v>1.4999999999999999E-2</v>
          </cell>
        </row>
        <row r="53">
          <cell r="A53" t="str">
            <v>PINE4</v>
          </cell>
          <cell r="B53">
            <v>0.01</v>
          </cell>
          <cell r="C53">
            <v>0.01</v>
          </cell>
          <cell r="D53">
            <v>0</v>
          </cell>
          <cell r="E53">
            <v>0</v>
          </cell>
          <cell r="F53">
            <v>1.9630000000000001</v>
          </cell>
          <cell r="G53">
            <v>1.526</v>
          </cell>
          <cell r="H53" t="str">
            <v>pro_cyclicals</v>
          </cell>
          <cell r="I53" t="str">
            <v>banks</v>
          </cell>
          <cell r="J53" t="str">
            <v>neutral_beta</v>
          </cell>
          <cell r="K53">
            <v>0.01</v>
          </cell>
        </row>
        <row r="54">
          <cell r="A54" t="str">
            <v>BMOB3</v>
          </cell>
          <cell r="B54">
            <v>0.01</v>
          </cell>
          <cell r="C54">
            <v>0.01</v>
          </cell>
          <cell r="D54">
            <v>0</v>
          </cell>
          <cell r="E54">
            <v>0</v>
          </cell>
          <cell r="F54">
            <v>1.913</v>
          </cell>
          <cell r="G54">
            <v>1.87</v>
          </cell>
          <cell r="H54" t="str">
            <v>pro_cyclicals</v>
          </cell>
          <cell r="I54" t="str">
            <v>tech</v>
          </cell>
          <cell r="J54" t="str">
            <v>high_beta</v>
          </cell>
          <cell r="K54">
            <v>0.01</v>
          </cell>
        </row>
        <row r="55">
          <cell r="A55" t="str">
            <v>POSI3</v>
          </cell>
          <cell r="B55">
            <v>1.0999999999999999E-2</v>
          </cell>
          <cell r="C55">
            <v>1.0999999999999999E-2</v>
          </cell>
          <cell r="D55">
            <v>0</v>
          </cell>
          <cell r="E55">
            <v>0</v>
          </cell>
          <cell r="F55">
            <v>1.847</v>
          </cell>
          <cell r="G55">
            <v>1.5680000000000001</v>
          </cell>
          <cell r="H55" t="str">
            <v>pro_cyclicals</v>
          </cell>
          <cell r="I55" t="str">
            <v>tech</v>
          </cell>
          <cell r="J55" t="str">
            <v>low_beta</v>
          </cell>
          <cell r="K55">
            <v>1.0999999999999999E-2</v>
          </cell>
        </row>
        <row r="56">
          <cell r="A56" t="str">
            <v>ITSA4</v>
          </cell>
          <cell r="B56">
            <v>2.5999999999999999E-2</v>
          </cell>
          <cell r="C56">
            <v>-6.0139500000000005E-3</v>
          </cell>
          <cell r="D56">
            <v>0</v>
          </cell>
          <cell r="E56">
            <v>3.2013949999999999E-2</v>
          </cell>
          <cell r="F56">
            <v>1.845</v>
          </cell>
          <cell r="G56">
            <v>4.0519999999999996</v>
          </cell>
          <cell r="H56" t="str">
            <v>pro_cyclicals</v>
          </cell>
          <cell r="I56" t="str">
            <v>banks</v>
          </cell>
          <cell r="J56" t="str">
            <v>neutral_beta</v>
          </cell>
          <cell r="K56">
            <v>2.5999999999999999E-2</v>
          </cell>
        </row>
        <row r="57">
          <cell r="A57" t="str">
            <v>ABEV3</v>
          </cell>
          <cell r="B57">
            <v>1.7000000000000001E-2</v>
          </cell>
          <cell r="C57">
            <v>9.2166200000000018E-3</v>
          </cell>
          <cell r="D57">
            <v>0</v>
          </cell>
          <cell r="E57">
            <v>7.7833800000000003E-3</v>
          </cell>
          <cell r="F57">
            <v>1.8420000000000001</v>
          </cell>
          <cell r="G57">
            <v>3.0219999999999998</v>
          </cell>
          <cell r="H57" t="str">
            <v>defensives</v>
          </cell>
          <cell r="I57" t="str">
            <v>consumer_staples</v>
          </cell>
          <cell r="J57" t="str">
            <v>very_low_beta</v>
          </cell>
          <cell r="K57">
            <v>1.7000000000000001E-2</v>
          </cell>
        </row>
        <row r="58">
          <cell r="A58" t="str">
            <v>VVEO3</v>
          </cell>
          <cell r="B58">
            <v>4.0000000000000001E-3</v>
          </cell>
          <cell r="C58">
            <v>4.0000000000000001E-3</v>
          </cell>
          <cell r="D58">
            <v>0</v>
          </cell>
          <cell r="E58">
            <v>0</v>
          </cell>
          <cell r="F58">
            <v>1.84</v>
          </cell>
          <cell r="G58">
            <v>1.2969999999999999</v>
          </cell>
          <cell r="H58" t="str">
            <v>defensives</v>
          </cell>
          <cell r="I58" t="str">
            <v>healthcare</v>
          </cell>
          <cell r="J58" t="str">
            <v>high_beta</v>
          </cell>
          <cell r="K58">
            <v>4.0000000000000001E-3</v>
          </cell>
        </row>
        <row r="59">
          <cell r="A59" t="str">
            <v>BRAP3</v>
          </cell>
          <cell r="B59">
            <v>0</v>
          </cell>
          <cell r="C59">
            <v>0</v>
          </cell>
          <cell r="D59">
            <v>-2.5999999999999999E-2</v>
          </cell>
          <cell r="E59">
            <v>0</v>
          </cell>
          <cell r="F59">
            <v>1.794</v>
          </cell>
          <cell r="G59">
            <v>2.2650000000000001</v>
          </cell>
          <cell r="H59" t="str">
            <v>commodities</v>
          </cell>
          <cell r="I59" t="str">
            <v>basic_materials</v>
          </cell>
          <cell r="J59" t="str">
            <v>low_beta</v>
          </cell>
          <cell r="K59">
            <v>2.5999999999999999E-2</v>
          </cell>
        </row>
        <row r="60">
          <cell r="A60" t="str">
            <v>MDNE3</v>
          </cell>
          <cell r="B60">
            <v>7.0000000000000001E-3</v>
          </cell>
          <cell r="C60">
            <v>7.0000000000000001E-3</v>
          </cell>
          <cell r="D60">
            <v>0</v>
          </cell>
          <cell r="E60">
            <v>0</v>
          </cell>
          <cell r="F60">
            <v>1.792</v>
          </cell>
          <cell r="G60">
            <v>1.4079999999999999</v>
          </cell>
          <cell r="H60" t="str">
            <v>pro_cyclicals</v>
          </cell>
          <cell r="I60" t="str">
            <v>homebuilders</v>
          </cell>
          <cell r="J60" t="str">
            <v>very_high_beta</v>
          </cell>
          <cell r="K60">
            <v>7.0000000000000001E-3</v>
          </cell>
        </row>
        <row r="61">
          <cell r="A61" t="str">
            <v>PSSA3</v>
          </cell>
          <cell r="B61">
            <v>1.4E-2</v>
          </cell>
          <cell r="C61">
            <v>1.2913640000000001E-2</v>
          </cell>
          <cell r="D61">
            <v>0</v>
          </cell>
          <cell r="E61">
            <v>1.08636E-3</v>
          </cell>
          <cell r="F61">
            <v>1.7889999999999999</v>
          </cell>
          <cell r="G61">
            <v>2.0760000000000001</v>
          </cell>
          <cell r="H61" t="str">
            <v>defensives</v>
          </cell>
          <cell r="I61" t="str">
            <v>float_financials</v>
          </cell>
          <cell r="J61" t="str">
            <v>very_low_beta</v>
          </cell>
          <cell r="K61">
            <v>1.4E-2</v>
          </cell>
        </row>
        <row r="62">
          <cell r="A62" t="str">
            <v>NEOE3</v>
          </cell>
          <cell r="B62">
            <v>0</v>
          </cell>
          <cell r="C62">
            <v>0</v>
          </cell>
          <cell r="D62">
            <v>-1.6E-2</v>
          </cell>
          <cell r="E62">
            <v>0</v>
          </cell>
          <cell r="F62">
            <v>1.7529999999999999</v>
          </cell>
          <cell r="G62">
            <v>2.1059999999999999</v>
          </cell>
          <cell r="H62" t="str">
            <v>bond_proxies</v>
          </cell>
          <cell r="I62" t="str">
            <v>utilities</v>
          </cell>
          <cell r="J62" t="str">
            <v>very_low_beta</v>
          </cell>
          <cell r="K62">
            <v>1.6E-2</v>
          </cell>
        </row>
        <row r="63">
          <cell r="A63" t="str">
            <v>SEER3</v>
          </cell>
          <cell r="B63">
            <v>6.0000000000000001E-3</v>
          </cell>
          <cell r="C63">
            <v>6.0000000000000001E-3</v>
          </cell>
          <cell r="D63">
            <v>0</v>
          </cell>
          <cell r="E63">
            <v>0</v>
          </cell>
          <cell r="F63">
            <v>1.7250000000000001</v>
          </cell>
          <cell r="G63">
            <v>1.252</v>
          </cell>
          <cell r="H63" t="str">
            <v>pro_cyclicals</v>
          </cell>
          <cell r="I63" t="str">
            <v>education</v>
          </cell>
          <cell r="J63" t="str">
            <v>neutral_beta</v>
          </cell>
          <cell r="K63">
            <v>6.0000000000000001E-3</v>
          </cell>
        </row>
        <row r="64">
          <cell r="A64" t="str">
            <v>CAML3</v>
          </cell>
          <cell r="B64">
            <v>8.9999999999999993E-3</v>
          </cell>
          <cell r="C64">
            <v>8.9999999999999993E-3</v>
          </cell>
          <cell r="D64">
            <v>0</v>
          </cell>
          <cell r="E64">
            <v>0</v>
          </cell>
          <cell r="F64">
            <v>1.641</v>
          </cell>
          <cell r="G64">
            <v>1.552</v>
          </cell>
          <cell r="H64" t="str">
            <v>defensives</v>
          </cell>
          <cell r="I64" t="str">
            <v>consumer_staples</v>
          </cell>
          <cell r="J64" t="str">
            <v>very_high_beta</v>
          </cell>
          <cell r="K64">
            <v>8.9999999999999993E-3</v>
          </cell>
        </row>
        <row r="65">
          <cell r="A65" t="str">
            <v>HBRE3</v>
          </cell>
          <cell r="B65">
            <v>7.0000000000000001E-3</v>
          </cell>
          <cell r="C65">
            <v>7.0000000000000001E-3</v>
          </cell>
          <cell r="D65">
            <v>0</v>
          </cell>
          <cell r="E65">
            <v>0</v>
          </cell>
          <cell r="F65">
            <v>1.6180000000000001</v>
          </cell>
          <cell r="G65">
            <v>1.2529999999999999</v>
          </cell>
          <cell r="H65" t="str">
            <v>bond_proxies</v>
          </cell>
          <cell r="I65" t="str">
            <v>real_estate</v>
          </cell>
          <cell r="J65" t="str">
            <v>very_high_beta</v>
          </cell>
          <cell r="K65">
            <v>7.0000000000000001E-3</v>
          </cell>
        </row>
        <row r="66">
          <cell r="A66" t="str">
            <v>ITUB3</v>
          </cell>
          <cell r="B66">
            <v>2.5999999999999999E-2</v>
          </cell>
          <cell r="C66">
            <v>-1.8894200000000028E-3</v>
          </cell>
          <cell r="D66">
            <v>0</v>
          </cell>
          <cell r="E66">
            <v>2.7889420000000002E-2</v>
          </cell>
          <cell r="F66">
            <v>1.5840000000000001</v>
          </cell>
          <cell r="G66">
            <v>3.4780000000000002</v>
          </cell>
          <cell r="H66" t="str">
            <v>pro_cyclicals</v>
          </cell>
          <cell r="I66" t="str">
            <v>banks</v>
          </cell>
          <cell r="J66" t="str">
            <v>neutral_beta</v>
          </cell>
          <cell r="K66">
            <v>2.5999999999999999E-2</v>
          </cell>
        </row>
        <row r="67">
          <cell r="A67" t="str">
            <v>BBSE3</v>
          </cell>
          <cell r="B67">
            <v>0.03</v>
          </cell>
          <cell r="C67">
            <v>-1.9589600000000026E-3</v>
          </cell>
          <cell r="D67">
            <v>0</v>
          </cell>
          <cell r="E67">
            <v>3.1958960000000002E-2</v>
          </cell>
          <cell r="F67">
            <v>1.5409999999999999</v>
          </cell>
          <cell r="G67">
            <v>3.3839999999999999</v>
          </cell>
          <cell r="H67" t="str">
            <v>defensives</v>
          </cell>
          <cell r="I67" t="str">
            <v>float_financials</v>
          </cell>
          <cell r="J67" t="str">
            <v>very_low_beta</v>
          </cell>
          <cell r="K67">
            <v>0.03</v>
          </cell>
        </row>
        <row r="68">
          <cell r="A68" t="str">
            <v>TAEE3</v>
          </cell>
          <cell r="B68">
            <v>1.9E-2</v>
          </cell>
          <cell r="C68">
            <v>1.9E-2</v>
          </cell>
          <cell r="D68">
            <v>0</v>
          </cell>
          <cell r="E68">
            <v>0</v>
          </cell>
          <cell r="F68">
            <v>1.478</v>
          </cell>
          <cell r="G68">
            <v>1.948</v>
          </cell>
          <cell r="H68" t="str">
            <v>bond_proxies</v>
          </cell>
          <cell r="I68" t="str">
            <v>utilities</v>
          </cell>
          <cell r="J68" t="str">
            <v>low_beta</v>
          </cell>
          <cell r="K68">
            <v>1.9E-2</v>
          </cell>
        </row>
        <row r="69">
          <cell r="A69" t="str">
            <v>TAEE4</v>
          </cell>
          <cell r="B69">
            <v>2.1000000000000001E-2</v>
          </cell>
          <cell r="C69">
            <v>2.1000000000000001E-2</v>
          </cell>
          <cell r="D69">
            <v>0</v>
          </cell>
          <cell r="E69">
            <v>0</v>
          </cell>
          <cell r="F69">
            <v>1.4590000000000001</v>
          </cell>
          <cell r="G69">
            <v>1.9419999999999999</v>
          </cell>
          <cell r="H69" t="str">
            <v>bond_proxies</v>
          </cell>
          <cell r="I69" t="str">
            <v>utilities</v>
          </cell>
          <cell r="J69" t="str">
            <v>low_beta</v>
          </cell>
          <cell r="K69">
            <v>2.1000000000000001E-2</v>
          </cell>
        </row>
        <row r="70">
          <cell r="A70" t="str">
            <v>AZZA3</v>
          </cell>
          <cell r="B70">
            <v>7.0000000000000001E-3</v>
          </cell>
          <cell r="C70">
            <v>6.6640600000000003E-3</v>
          </cell>
          <cell r="D70">
            <v>0</v>
          </cell>
          <cell r="E70">
            <v>3.3594000000000001E-4</v>
          </cell>
          <cell r="F70">
            <v>1.4379999999999999</v>
          </cell>
          <cell r="G70">
            <v>1.111</v>
          </cell>
          <cell r="H70" t="str">
            <v>pro_cyclicals</v>
          </cell>
          <cell r="I70" t="str">
            <v>apparel</v>
          </cell>
          <cell r="J70" t="str">
            <v>neutral_beta</v>
          </cell>
          <cell r="K70">
            <v>7.0000000000000001E-3</v>
          </cell>
        </row>
        <row r="71">
          <cell r="A71" t="str">
            <v>AXIA6</v>
          </cell>
          <cell r="B71">
            <v>1.9E-2</v>
          </cell>
          <cell r="C71">
            <v>1.672003E-2</v>
          </cell>
          <cell r="D71">
            <v>0</v>
          </cell>
          <cell r="E71">
            <v>2.2799700000000001E-3</v>
          </cell>
          <cell r="F71">
            <v>1.4339999999999999</v>
          </cell>
          <cell r="G71">
            <v>1.909</v>
          </cell>
          <cell r="H71" t="str">
            <v>bond_proxies</v>
          </cell>
          <cell r="I71" t="str">
            <v>utilities</v>
          </cell>
          <cell r="J71" t="str">
            <v>high_beta</v>
          </cell>
          <cell r="K71">
            <v>1.9E-2</v>
          </cell>
        </row>
        <row r="72">
          <cell r="A72" t="str">
            <v>BBDC3</v>
          </cell>
          <cell r="B72">
            <v>2.7E-2</v>
          </cell>
          <cell r="C72">
            <v>-4.5898000000000015E-3</v>
          </cell>
          <cell r="D72">
            <v>0</v>
          </cell>
          <cell r="E72">
            <v>3.1589800000000001E-2</v>
          </cell>
          <cell r="F72">
            <v>1.429</v>
          </cell>
          <cell r="G72">
            <v>3.1389999999999998</v>
          </cell>
          <cell r="H72" t="str">
            <v>pro_cyclicals</v>
          </cell>
          <cell r="I72" t="str">
            <v>banks</v>
          </cell>
          <cell r="J72" t="str">
            <v>neutral_beta</v>
          </cell>
          <cell r="K72">
            <v>2.7E-2</v>
          </cell>
        </row>
        <row r="73">
          <cell r="A73" t="str">
            <v>BRBI11</v>
          </cell>
          <cell r="B73">
            <v>1.0999999999999999E-2</v>
          </cell>
          <cell r="C73">
            <v>9.6894800000000003E-3</v>
          </cell>
          <cell r="D73">
            <v>0</v>
          </cell>
          <cell r="E73">
            <v>1.3105199999999999E-3</v>
          </cell>
          <cell r="F73">
            <v>1.37</v>
          </cell>
          <cell r="G73">
            <v>1.39</v>
          </cell>
          <cell r="H73" t="str">
            <v>pro_cyclicals</v>
          </cell>
          <cell r="I73" t="str">
            <v>banks</v>
          </cell>
          <cell r="J73" t="str">
            <v>very_low_beta</v>
          </cell>
          <cell r="K73">
            <v>1.0999999999999999E-2</v>
          </cell>
        </row>
        <row r="74">
          <cell r="A74" t="str">
            <v>CPLE3</v>
          </cell>
          <cell r="B74">
            <v>1.7999999999999999E-2</v>
          </cell>
          <cell r="C74">
            <v>1.4682839999999999E-2</v>
          </cell>
          <cell r="D74">
            <v>0</v>
          </cell>
          <cell r="E74">
            <v>3.31716E-3</v>
          </cell>
          <cell r="F74">
            <v>1.355</v>
          </cell>
          <cell r="G74">
            <v>1.964</v>
          </cell>
          <cell r="H74" t="str">
            <v>bond_proxies</v>
          </cell>
          <cell r="I74" t="str">
            <v>utilities</v>
          </cell>
          <cell r="J74" t="str">
            <v>neutral_beta</v>
          </cell>
          <cell r="K74">
            <v>1.7999999999999999E-2</v>
          </cell>
        </row>
        <row r="75">
          <cell r="A75" t="str">
            <v>BRAP4</v>
          </cell>
          <cell r="B75">
            <v>4.4999999999999998E-2</v>
          </cell>
          <cell r="C75">
            <v>3.5630729999999999E-2</v>
          </cell>
          <cell r="D75">
            <v>1.9E-2</v>
          </cell>
          <cell r="E75">
            <v>9.3692700000000007E-3</v>
          </cell>
          <cell r="F75">
            <v>1.349</v>
          </cell>
          <cell r="G75">
            <v>2.2400000000000002</v>
          </cell>
          <cell r="H75" t="str">
            <v>commodities</v>
          </cell>
          <cell r="I75" t="str">
            <v>basic_materials</v>
          </cell>
          <cell r="J75" t="str">
            <v>high_beta</v>
          </cell>
          <cell r="K75">
            <v>2.5999999999999999E-2</v>
          </cell>
        </row>
        <row r="76">
          <cell r="A76" t="str">
            <v>DIRR3</v>
          </cell>
          <cell r="B76">
            <v>8.9999999999999993E-3</v>
          </cell>
          <cell r="C76">
            <v>1.9579099999999993E-3</v>
          </cell>
          <cell r="D76">
            <v>0</v>
          </cell>
          <cell r="E76">
            <v>7.04209E-3</v>
          </cell>
          <cell r="F76">
            <v>1.3340000000000001</v>
          </cell>
          <cell r="G76">
            <v>1.6439999999999999</v>
          </cell>
          <cell r="H76" t="str">
            <v>pro_cyclicals</v>
          </cell>
          <cell r="I76" t="str">
            <v>homebuilders</v>
          </cell>
          <cell r="J76" t="str">
            <v>high_beta</v>
          </cell>
          <cell r="K76">
            <v>8.9999999999999993E-3</v>
          </cell>
        </row>
        <row r="77">
          <cell r="A77" t="str">
            <v>CMIG4</v>
          </cell>
          <cell r="B77">
            <v>0.03</v>
          </cell>
          <cell r="C77">
            <v>-8.2081800000000024E-3</v>
          </cell>
          <cell r="D77">
            <v>0</v>
          </cell>
          <cell r="E77">
            <v>3.8208180000000001E-2</v>
          </cell>
          <cell r="F77">
            <v>1.3129999999999999</v>
          </cell>
          <cell r="G77">
            <v>2.883</v>
          </cell>
          <cell r="H77" t="str">
            <v>bond_proxies</v>
          </cell>
          <cell r="I77" t="str">
            <v>utilities</v>
          </cell>
          <cell r="J77" t="str">
            <v>low_beta</v>
          </cell>
          <cell r="K77">
            <v>0.03</v>
          </cell>
        </row>
        <row r="78">
          <cell r="A78" t="str">
            <v>FESA4</v>
          </cell>
          <cell r="B78">
            <v>0.01</v>
          </cell>
          <cell r="C78">
            <v>8.3256700000000003E-3</v>
          </cell>
          <cell r="D78">
            <v>0</v>
          </cell>
          <cell r="E78">
            <v>1.6743299999999999E-3</v>
          </cell>
          <cell r="F78">
            <v>1.292</v>
          </cell>
          <cell r="G78">
            <v>1.393</v>
          </cell>
          <cell r="H78" t="str">
            <v>commodities</v>
          </cell>
          <cell r="I78" t="str">
            <v>basic_materials</v>
          </cell>
          <cell r="J78" t="str">
            <v>low_beta</v>
          </cell>
          <cell r="K78">
            <v>0.01</v>
          </cell>
        </row>
        <row r="79">
          <cell r="A79" t="str">
            <v>LREN3</v>
          </cell>
          <cell r="B79">
            <v>1.0999999999999999E-2</v>
          </cell>
          <cell r="C79">
            <v>9.23648E-3</v>
          </cell>
          <cell r="D79">
            <v>0</v>
          </cell>
          <cell r="E79">
            <v>1.76352E-3</v>
          </cell>
          <cell r="F79">
            <v>1.278</v>
          </cell>
          <cell r="G79">
            <v>1.3360000000000001</v>
          </cell>
          <cell r="H79" t="str">
            <v>pro_cyclicals</v>
          </cell>
          <cell r="I79" t="str">
            <v>apparel</v>
          </cell>
          <cell r="J79" t="str">
            <v>neutral_beta</v>
          </cell>
          <cell r="K79">
            <v>1.0999999999999999E-2</v>
          </cell>
        </row>
        <row r="80">
          <cell r="A80" t="str">
            <v>RANI3</v>
          </cell>
          <cell r="B80">
            <v>0</v>
          </cell>
          <cell r="C80">
            <v>-1.2917600000000001E-3</v>
          </cell>
          <cell r="D80">
            <v>0</v>
          </cell>
          <cell r="E80">
            <v>1.2917600000000001E-3</v>
          </cell>
          <cell r="F80">
            <v>1.268</v>
          </cell>
          <cell r="G80">
            <v>1.5389999999999999</v>
          </cell>
          <cell r="H80" t="str">
            <v>defensives</v>
          </cell>
          <cell r="I80" t="str">
            <v>consumer_staples</v>
          </cell>
          <cell r="J80" t="str">
            <v>low_beta</v>
          </cell>
          <cell r="K80">
            <v>0</v>
          </cell>
        </row>
        <row r="81">
          <cell r="A81" t="str">
            <v>CSMG3</v>
          </cell>
          <cell r="B81">
            <v>0</v>
          </cell>
          <cell r="C81">
            <v>-1.5989090000000001E-2</v>
          </cell>
          <cell r="D81">
            <v>0</v>
          </cell>
          <cell r="E81">
            <v>1.5989090000000001E-2</v>
          </cell>
          <cell r="F81">
            <v>1.2310000000000001</v>
          </cell>
          <cell r="G81">
            <v>2.0230000000000001</v>
          </cell>
          <cell r="H81" t="str">
            <v>bond_proxies</v>
          </cell>
          <cell r="I81" t="str">
            <v>utilities</v>
          </cell>
          <cell r="J81" t="str">
            <v>low_beta</v>
          </cell>
          <cell r="K81">
            <v>0</v>
          </cell>
        </row>
        <row r="82">
          <cell r="A82" t="str">
            <v>IGTI11</v>
          </cell>
          <cell r="B82">
            <v>0</v>
          </cell>
          <cell r="C82">
            <v>-7.1082000000000003E-4</v>
          </cell>
          <cell r="D82">
            <v>0</v>
          </cell>
          <cell r="E82">
            <v>7.1082000000000003E-4</v>
          </cell>
          <cell r="F82">
            <v>1.1499999999999999</v>
          </cell>
          <cell r="G82">
            <v>1.516</v>
          </cell>
          <cell r="H82" t="str">
            <v>bond_proxies</v>
          </cell>
          <cell r="I82" t="str">
            <v>real_estate</v>
          </cell>
          <cell r="J82" t="str">
            <v>high_beta</v>
          </cell>
          <cell r="K82">
            <v>0</v>
          </cell>
        </row>
        <row r="83">
          <cell r="A83" t="str">
            <v>CMIG3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1.105</v>
          </cell>
          <cell r="G83">
            <v>1.1850000000000001</v>
          </cell>
          <cell r="H83" t="str">
            <v>bond_proxies</v>
          </cell>
          <cell r="I83" t="str">
            <v>utilities</v>
          </cell>
          <cell r="J83" t="str">
            <v>very_low_beta</v>
          </cell>
          <cell r="K83">
            <v>0</v>
          </cell>
        </row>
        <row r="84">
          <cell r="A84" t="str">
            <v>TAEE11</v>
          </cell>
          <cell r="B84">
            <v>0</v>
          </cell>
          <cell r="C84">
            <v>-1.458743E-2</v>
          </cell>
          <cell r="D84">
            <v>0</v>
          </cell>
          <cell r="E84">
            <v>1.458743E-2</v>
          </cell>
          <cell r="F84">
            <v>1.101</v>
          </cell>
          <cell r="G84">
            <v>2.1480000000000001</v>
          </cell>
          <cell r="H84" t="str">
            <v>bond_proxies</v>
          </cell>
          <cell r="I84" t="str">
            <v>utilities</v>
          </cell>
          <cell r="J84" t="str">
            <v>low_beta</v>
          </cell>
          <cell r="K84">
            <v>0</v>
          </cell>
        </row>
        <row r="85">
          <cell r="A85" t="str">
            <v>MILS3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1.0900000000000001</v>
          </cell>
          <cell r="G85">
            <v>1.355</v>
          </cell>
          <cell r="H85" t="str">
            <v>industrials</v>
          </cell>
          <cell r="I85" t="str">
            <v>building_materials</v>
          </cell>
          <cell r="J85" t="str">
            <v>neutral_beta</v>
          </cell>
          <cell r="K85">
            <v>0</v>
          </cell>
        </row>
        <row r="86">
          <cell r="A86" t="str">
            <v>ITUB4</v>
          </cell>
          <cell r="B86">
            <v>0</v>
          </cell>
          <cell r="C86">
            <v>-4.9271570000000001E-2</v>
          </cell>
          <cell r="D86">
            <v>0</v>
          </cell>
          <cell r="E86">
            <v>4.9271570000000001E-2</v>
          </cell>
          <cell r="F86">
            <v>1.046</v>
          </cell>
          <cell r="G86">
            <v>2.2970000000000002</v>
          </cell>
          <cell r="H86" t="str">
            <v>pro_cyclicals</v>
          </cell>
          <cell r="I86" t="str">
            <v>banks</v>
          </cell>
          <cell r="J86" t="str">
            <v>neutral_beta</v>
          </cell>
          <cell r="K86">
            <v>0</v>
          </cell>
        </row>
        <row r="87">
          <cell r="A87" t="str">
            <v>FLRY3</v>
          </cell>
          <cell r="B87">
            <v>0</v>
          </cell>
          <cell r="C87">
            <v>-1.1622159999999999E-2</v>
          </cell>
          <cell r="D87">
            <v>0</v>
          </cell>
          <cell r="E87">
            <v>1.1622159999999999E-2</v>
          </cell>
          <cell r="F87">
            <v>1.0289999999999999</v>
          </cell>
          <cell r="G87">
            <v>1.593</v>
          </cell>
          <cell r="H87" t="str">
            <v>defensives</v>
          </cell>
          <cell r="I87" t="str">
            <v>healthcare</v>
          </cell>
          <cell r="J87" t="str">
            <v>low_beta</v>
          </cell>
          <cell r="K87">
            <v>0</v>
          </cell>
        </row>
        <row r="88">
          <cell r="A88" t="str">
            <v>EZTC3</v>
          </cell>
          <cell r="B88">
            <v>0</v>
          </cell>
          <cell r="C88">
            <v>-2.6089799999999999E-3</v>
          </cell>
          <cell r="D88">
            <v>0</v>
          </cell>
          <cell r="E88">
            <v>2.6089799999999999E-3</v>
          </cell>
          <cell r="F88">
            <v>1.018</v>
          </cell>
          <cell r="G88">
            <v>1.069</v>
          </cell>
          <cell r="H88" t="str">
            <v>pro_cyclicals</v>
          </cell>
          <cell r="I88" t="str">
            <v>homebuilders</v>
          </cell>
          <cell r="J88" t="str">
            <v>high_beta</v>
          </cell>
          <cell r="K88">
            <v>0</v>
          </cell>
        </row>
        <row r="89">
          <cell r="A89" t="str">
            <v>MULT3</v>
          </cell>
          <cell r="B89">
            <v>0</v>
          </cell>
          <cell r="C89">
            <v>-1.25862E-3</v>
          </cell>
          <cell r="D89">
            <v>0</v>
          </cell>
          <cell r="E89">
            <v>1.25862E-3</v>
          </cell>
          <cell r="F89">
            <v>1.0149999999999999</v>
          </cell>
          <cell r="G89">
            <v>1.3979999999999999</v>
          </cell>
          <cell r="H89" t="str">
            <v>bond_proxies</v>
          </cell>
          <cell r="I89" t="str">
            <v>real_estate</v>
          </cell>
          <cell r="J89" t="str">
            <v>high_beta</v>
          </cell>
          <cell r="K89">
            <v>0</v>
          </cell>
        </row>
        <row r="90">
          <cell r="A90" t="str">
            <v>KLBN3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1.0069999999999999</v>
          </cell>
          <cell r="G90">
            <v>1.2170000000000001</v>
          </cell>
          <cell r="H90" t="str">
            <v>commodities</v>
          </cell>
          <cell r="I90" t="str">
            <v>basic_materials</v>
          </cell>
          <cell r="J90" t="str">
            <v>very_low_beta</v>
          </cell>
          <cell r="K90">
            <v>0</v>
          </cell>
        </row>
        <row r="91">
          <cell r="A91" t="str">
            <v>KLBN4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1.0049999999999999</v>
          </cell>
          <cell r="G91">
            <v>1.25</v>
          </cell>
          <cell r="H91" t="str">
            <v>commodities</v>
          </cell>
          <cell r="I91" t="str">
            <v>basic_materials</v>
          </cell>
          <cell r="J91" t="str">
            <v>low_beta</v>
          </cell>
          <cell r="K91">
            <v>0</v>
          </cell>
        </row>
        <row r="92">
          <cell r="A92" t="str">
            <v>ANIM3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0.99099999999999999</v>
          </cell>
          <cell r="G92">
            <v>0.71599999999999997</v>
          </cell>
          <cell r="H92" t="str">
            <v>pro_cyclicals</v>
          </cell>
          <cell r="I92" t="str">
            <v>education</v>
          </cell>
          <cell r="J92" t="str">
            <v>very_high_beta</v>
          </cell>
          <cell r="K92">
            <v>0</v>
          </cell>
        </row>
        <row r="93">
          <cell r="A93" t="str">
            <v>SLCE3</v>
          </cell>
          <cell r="B93">
            <v>0</v>
          </cell>
          <cell r="C93">
            <v>-6.3166699999999999E-3</v>
          </cell>
          <cell r="D93">
            <v>0</v>
          </cell>
          <cell r="E93">
            <v>6.3166699999999999E-3</v>
          </cell>
          <cell r="F93">
            <v>0.98099999999999998</v>
          </cell>
          <cell r="G93">
            <v>1.4590000000000001</v>
          </cell>
          <cell r="H93" t="str">
            <v>commodities</v>
          </cell>
          <cell r="I93" t="str">
            <v>food</v>
          </cell>
          <cell r="J93" t="str">
            <v>very_low_beta</v>
          </cell>
          <cell r="K93">
            <v>0</v>
          </cell>
        </row>
        <row r="94">
          <cell r="A94" t="str">
            <v>TGMA3</v>
          </cell>
          <cell r="B94">
            <v>0</v>
          </cell>
          <cell r="C94">
            <v>-1.48204E-3</v>
          </cell>
          <cell r="D94">
            <v>0</v>
          </cell>
          <cell r="E94">
            <v>1.48204E-3</v>
          </cell>
          <cell r="F94">
            <v>0.97099999999999997</v>
          </cell>
          <cell r="G94">
            <v>1.125</v>
          </cell>
          <cell r="H94" t="str">
            <v>pro_cyclicals</v>
          </cell>
          <cell r="I94" t="str">
            <v>transportation</v>
          </cell>
          <cell r="J94" t="str">
            <v>neutral_beta</v>
          </cell>
          <cell r="K94">
            <v>0</v>
          </cell>
        </row>
        <row r="95">
          <cell r="A95" t="str">
            <v>MDIA3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0.96699999999999997</v>
          </cell>
          <cell r="G95">
            <v>0.85799999999999998</v>
          </cell>
          <cell r="H95" t="str">
            <v>defensives</v>
          </cell>
          <cell r="I95" t="str">
            <v>consumer_staples</v>
          </cell>
          <cell r="J95" t="str">
            <v>low_beta</v>
          </cell>
          <cell r="K95">
            <v>0</v>
          </cell>
        </row>
        <row r="96">
          <cell r="A96" t="str">
            <v>BBDC4</v>
          </cell>
          <cell r="B96">
            <v>0</v>
          </cell>
          <cell r="C96">
            <v>-3.9805020000000003E-2</v>
          </cell>
          <cell r="D96">
            <v>0</v>
          </cell>
          <cell r="E96">
            <v>3.9805020000000003E-2</v>
          </cell>
          <cell r="F96">
            <v>0.96199999999999997</v>
          </cell>
          <cell r="G96">
            <v>2.0640000000000001</v>
          </cell>
          <cell r="H96" t="str">
            <v>pro_cyclicals</v>
          </cell>
          <cell r="I96" t="str">
            <v>banks</v>
          </cell>
          <cell r="J96" t="str">
            <v>neutral_beta</v>
          </cell>
          <cell r="K96">
            <v>0</v>
          </cell>
        </row>
        <row r="97">
          <cell r="A97" t="str">
            <v>CXSE3</v>
          </cell>
          <cell r="B97">
            <v>0</v>
          </cell>
          <cell r="C97">
            <v>-1.742956E-2</v>
          </cell>
          <cell r="D97">
            <v>0</v>
          </cell>
          <cell r="E97">
            <v>1.742956E-2</v>
          </cell>
          <cell r="F97">
            <v>0.95599999999999996</v>
          </cell>
          <cell r="G97">
            <v>1.8360000000000001</v>
          </cell>
          <cell r="H97" t="str">
            <v>defensives</v>
          </cell>
          <cell r="I97" t="str">
            <v>float_financials</v>
          </cell>
          <cell r="J97" t="str">
            <v>very_low_beta</v>
          </cell>
          <cell r="K97">
            <v>0</v>
          </cell>
        </row>
        <row r="98">
          <cell r="A98" t="str">
            <v>TEND3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0.95399999999999996</v>
          </cell>
          <cell r="G98">
            <v>0.72799999999999998</v>
          </cell>
          <cell r="H98" t="str">
            <v>pro_cyclicals</v>
          </cell>
          <cell r="I98" t="str">
            <v>homebuilders</v>
          </cell>
          <cell r="J98" t="str">
            <v>neutral_beta</v>
          </cell>
          <cell r="K98">
            <v>0</v>
          </cell>
        </row>
        <row r="99">
          <cell r="A99" t="str">
            <v>PGMN3</v>
          </cell>
          <cell r="B99">
            <v>0</v>
          </cell>
          <cell r="C99">
            <v>-2.1426599999999998E-3</v>
          </cell>
          <cell r="D99">
            <v>0</v>
          </cell>
          <cell r="E99">
            <v>2.1426599999999998E-3</v>
          </cell>
          <cell r="F99">
            <v>0.93300000000000005</v>
          </cell>
          <cell r="G99">
            <v>0.78500000000000003</v>
          </cell>
          <cell r="H99" t="str">
            <v>defensives</v>
          </cell>
          <cell r="I99" t="str">
            <v>healthcare</v>
          </cell>
          <cell r="J99" t="str">
            <v>high_beta</v>
          </cell>
          <cell r="K99">
            <v>0</v>
          </cell>
        </row>
        <row r="100">
          <cell r="A100" t="str">
            <v>KLBN11</v>
          </cell>
          <cell r="B100">
            <v>0</v>
          </cell>
          <cell r="C100">
            <v>-2.1720659999999999E-2</v>
          </cell>
          <cell r="D100">
            <v>0</v>
          </cell>
          <cell r="E100">
            <v>2.1720659999999999E-2</v>
          </cell>
          <cell r="F100">
            <v>0.92600000000000005</v>
          </cell>
          <cell r="G100">
            <v>1.833</v>
          </cell>
          <cell r="H100" t="str">
            <v>commodities</v>
          </cell>
          <cell r="I100" t="str">
            <v>basic_materials</v>
          </cell>
          <cell r="J100" t="str">
            <v>low_beta</v>
          </cell>
          <cell r="K100">
            <v>0</v>
          </cell>
        </row>
        <row r="101">
          <cell r="A101" t="str">
            <v>HYPE3</v>
          </cell>
          <cell r="B101">
            <v>0</v>
          </cell>
          <cell r="C101">
            <v>-8.8902000000000002E-4</v>
          </cell>
          <cell r="D101">
            <v>0</v>
          </cell>
          <cell r="E101">
            <v>8.8902000000000002E-4</v>
          </cell>
          <cell r="F101">
            <v>0.91</v>
          </cell>
          <cell r="G101">
            <v>0.91300000000000003</v>
          </cell>
          <cell r="H101" t="str">
            <v>defensives</v>
          </cell>
          <cell r="I101" t="str">
            <v>healthcare</v>
          </cell>
          <cell r="J101" t="str">
            <v>low_beta</v>
          </cell>
          <cell r="K101">
            <v>0</v>
          </cell>
        </row>
        <row r="102">
          <cell r="A102" t="str">
            <v>AXIA3</v>
          </cell>
          <cell r="B102">
            <v>0</v>
          </cell>
          <cell r="C102">
            <v>-1.49754E-2</v>
          </cell>
          <cell r="D102">
            <v>0</v>
          </cell>
          <cell r="E102">
            <v>1.49754E-2</v>
          </cell>
          <cell r="F102">
            <v>0.89</v>
          </cell>
          <cell r="G102">
            <v>1.6459999999999999</v>
          </cell>
          <cell r="H102" t="str">
            <v>bond_proxies</v>
          </cell>
          <cell r="I102" t="str">
            <v>utilities</v>
          </cell>
          <cell r="J102" t="str">
            <v>high_beta</v>
          </cell>
          <cell r="K102">
            <v>0</v>
          </cell>
        </row>
        <row r="103">
          <cell r="A103" t="str">
            <v>CPFE3</v>
          </cell>
          <cell r="B103">
            <v>0</v>
          </cell>
          <cell r="C103">
            <v>-1.5463090000000001E-2</v>
          </cell>
          <cell r="D103">
            <v>0</v>
          </cell>
          <cell r="E103">
            <v>1.5463090000000001E-2</v>
          </cell>
          <cell r="F103">
            <v>0.872</v>
          </cell>
          <cell r="G103">
            <v>1.6259999999999999</v>
          </cell>
          <cell r="H103" t="str">
            <v>bond_proxies</v>
          </cell>
          <cell r="I103" t="str">
            <v>utilities</v>
          </cell>
          <cell r="J103" t="str">
            <v>low_beta</v>
          </cell>
          <cell r="K103">
            <v>0</v>
          </cell>
        </row>
        <row r="104">
          <cell r="A104" t="str">
            <v>ISAE4</v>
          </cell>
          <cell r="B104">
            <v>0</v>
          </cell>
          <cell r="C104">
            <v>-1.8345710000000001E-2</v>
          </cell>
          <cell r="D104">
            <v>0</v>
          </cell>
          <cell r="E104">
            <v>1.8345710000000001E-2</v>
          </cell>
          <cell r="F104">
            <v>0.83399999999999996</v>
          </cell>
          <cell r="G104">
            <v>1.718</v>
          </cell>
          <cell r="H104" t="str">
            <v>bond_proxies</v>
          </cell>
          <cell r="I104" t="str">
            <v>utilities</v>
          </cell>
          <cell r="J104" t="str">
            <v>low_beta</v>
          </cell>
          <cell r="K104">
            <v>0</v>
          </cell>
        </row>
        <row r="105">
          <cell r="A105" t="str">
            <v>VTRU3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0.83</v>
          </cell>
          <cell r="G105">
            <v>0.64100000000000001</v>
          </cell>
          <cell r="H105" t="str">
            <v>pro_cyclicals</v>
          </cell>
          <cell r="I105" t="str">
            <v>education</v>
          </cell>
          <cell r="J105" t="str">
            <v>low_beta</v>
          </cell>
          <cell r="K105">
            <v>0</v>
          </cell>
        </row>
        <row r="106">
          <cell r="A106" t="str">
            <v>VBBR3</v>
          </cell>
          <cell r="B106">
            <v>0</v>
          </cell>
          <cell r="C106">
            <v>-3.0782259999999999E-2</v>
          </cell>
          <cell r="D106">
            <v>0</v>
          </cell>
          <cell r="E106">
            <v>3.0782259999999999E-2</v>
          </cell>
          <cell r="F106">
            <v>0.82799999999999996</v>
          </cell>
          <cell r="G106">
            <v>1.716</v>
          </cell>
          <cell r="H106" t="str">
            <v>pro_cyclicals</v>
          </cell>
          <cell r="I106" t="str">
            <v>consumer_services</v>
          </cell>
          <cell r="J106" t="str">
            <v>low_beta</v>
          </cell>
          <cell r="K106">
            <v>0</v>
          </cell>
        </row>
        <row r="107">
          <cell r="A107" t="str">
            <v>JSLG3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0.82699999999999996</v>
          </cell>
          <cell r="G107">
            <v>0.61699999999999999</v>
          </cell>
          <cell r="H107" t="str">
            <v>pro_cyclicals</v>
          </cell>
          <cell r="I107" t="str">
            <v>transportation</v>
          </cell>
          <cell r="J107" t="str">
            <v>very_high_beta</v>
          </cell>
          <cell r="K107">
            <v>0</v>
          </cell>
        </row>
        <row r="108">
          <cell r="A108" t="str">
            <v>SANB3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0.81399999999999995</v>
          </cell>
          <cell r="G108">
            <v>0.94</v>
          </cell>
          <cell r="H108" t="str">
            <v>pro_cyclicals</v>
          </cell>
          <cell r="I108" t="str">
            <v>banks</v>
          </cell>
          <cell r="J108" t="str">
            <v>high_beta</v>
          </cell>
          <cell r="K108">
            <v>0</v>
          </cell>
        </row>
        <row r="109">
          <cell r="A109" t="str">
            <v>JALL3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0.79700000000000004</v>
          </cell>
          <cell r="G109">
            <v>0.627</v>
          </cell>
          <cell r="H109" t="str">
            <v>commodities</v>
          </cell>
          <cell r="I109" t="str">
            <v>food</v>
          </cell>
          <cell r="J109" t="str">
            <v>very_low_beta</v>
          </cell>
          <cell r="K109">
            <v>0</v>
          </cell>
        </row>
        <row r="110">
          <cell r="A110" t="str">
            <v>SANB4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0.78300000000000003</v>
          </cell>
          <cell r="G110">
            <v>0.93500000000000005</v>
          </cell>
          <cell r="H110" t="str">
            <v>pro_cyclicals</v>
          </cell>
          <cell r="I110" t="str">
            <v>banks</v>
          </cell>
          <cell r="J110" t="str">
            <v>neutral_beta</v>
          </cell>
          <cell r="K110">
            <v>0</v>
          </cell>
        </row>
        <row r="111">
          <cell r="A111" t="str">
            <v>TFCO4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0.77200000000000002</v>
          </cell>
          <cell r="G111">
            <v>0.85499999999999998</v>
          </cell>
          <cell r="H111" t="str">
            <v>pro_cyclicals</v>
          </cell>
          <cell r="I111" t="str">
            <v>apparel</v>
          </cell>
          <cell r="J111" t="str">
            <v>high_beta</v>
          </cell>
          <cell r="K111">
            <v>0</v>
          </cell>
        </row>
        <row r="112">
          <cell r="A112" t="str">
            <v>CEAB3</v>
          </cell>
          <cell r="B112">
            <v>0</v>
          </cell>
          <cell r="C112">
            <v>-3.102E-4</v>
          </cell>
          <cell r="D112">
            <v>0</v>
          </cell>
          <cell r="E112">
            <v>3.102E-4</v>
          </cell>
          <cell r="F112">
            <v>0.76</v>
          </cell>
          <cell r="G112">
            <v>0.57199999999999995</v>
          </cell>
          <cell r="H112" t="str">
            <v>pro_cyclicals</v>
          </cell>
          <cell r="I112" t="str">
            <v>apparel</v>
          </cell>
          <cell r="J112" t="str">
            <v>very_high_beta</v>
          </cell>
          <cell r="K112">
            <v>0</v>
          </cell>
        </row>
        <row r="113">
          <cell r="A113" t="str">
            <v>BLAU3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0.75700000000000001</v>
          </cell>
          <cell r="G113">
            <v>0.63400000000000001</v>
          </cell>
          <cell r="H113" t="str">
            <v>defensives</v>
          </cell>
          <cell r="I113" t="str">
            <v>healthcare</v>
          </cell>
          <cell r="J113" t="str">
            <v>neutral_beta</v>
          </cell>
          <cell r="K113">
            <v>0</v>
          </cell>
        </row>
        <row r="114">
          <cell r="A114" t="str">
            <v>ORVR3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0.748</v>
          </cell>
          <cell r="G114">
            <v>0.874</v>
          </cell>
          <cell r="H114" t="str">
            <v>bond_proxies</v>
          </cell>
          <cell r="I114" t="str">
            <v>utilities</v>
          </cell>
          <cell r="J114" t="str">
            <v>high_beta</v>
          </cell>
          <cell r="K114">
            <v>0</v>
          </cell>
        </row>
        <row r="115">
          <cell r="A115" t="str">
            <v>AMOB3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0.74099999999999999</v>
          </cell>
          <cell r="G115">
            <v>0.56599999999999995</v>
          </cell>
          <cell r="H115" t="str">
            <v>industrials</v>
          </cell>
          <cell r="I115" t="str">
            <v>capital_goods</v>
          </cell>
          <cell r="J115" t="str">
            <v>very_low_beta</v>
          </cell>
          <cell r="K115">
            <v>0</v>
          </cell>
        </row>
        <row r="116">
          <cell r="A116" t="str">
            <v>IRBR3</v>
          </cell>
          <cell r="B116">
            <v>0</v>
          </cell>
          <cell r="C116">
            <v>-5.3954999999999997E-4</v>
          </cell>
          <cell r="D116">
            <v>0</v>
          </cell>
          <cell r="E116">
            <v>5.3954999999999997E-4</v>
          </cell>
          <cell r="F116">
            <v>0.73799999999999999</v>
          </cell>
          <cell r="G116">
            <v>0.74</v>
          </cell>
          <cell r="H116" t="str">
            <v>defensives</v>
          </cell>
          <cell r="I116" t="str">
            <v>float_financials</v>
          </cell>
          <cell r="J116" t="str">
            <v>low_beta</v>
          </cell>
          <cell r="K116">
            <v>0</v>
          </cell>
        </row>
        <row r="117">
          <cell r="A117" t="str">
            <v>AXIA7</v>
          </cell>
          <cell r="B117">
            <v>0</v>
          </cell>
          <cell r="C117">
            <v>-4.3358700000000003E-3</v>
          </cell>
          <cell r="D117">
            <v>0</v>
          </cell>
          <cell r="E117">
            <v>4.3358700000000003E-3</v>
          </cell>
          <cell r="F117">
            <v>0.73499999999999999</v>
          </cell>
          <cell r="G117">
            <v>1.0669999999999999</v>
          </cell>
          <cell r="H117" t="str">
            <v>bond_proxies</v>
          </cell>
          <cell r="I117" t="str">
            <v>utilities</v>
          </cell>
          <cell r="J117" t="str">
            <v>high_beta</v>
          </cell>
          <cell r="K117">
            <v>0</v>
          </cell>
        </row>
        <row r="118">
          <cell r="A118" t="str">
            <v>COGN3</v>
          </cell>
          <cell r="B118">
            <v>0</v>
          </cell>
          <cell r="C118">
            <v>-7.1973000000000002E-4</v>
          </cell>
          <cell r="D118">
            <v>0</v>
          </cell>
          <cell r="E118">
            <v>7.1973000000000002E-4</v>
          </cell>
          <cell r="F118">
            <v>0.72899999999999998</v>
          </cell>
          <cell r="G118">
            <v>0.56999999999999995</v>
          </cell>
          <cell r="H118" t="str">
            <v>pro_cyclicals</v>
          </cell>
          <cell r="I118" t="str">
            <v>education</v>
          </cell>
          <cell r="J118" t="str">
            <v>high_beta</v>
          </cell>
          <cell r="K118">
            <v>0</v>
          </cell>
        </row>
        <row r="119">
          <cell r="A119" t="str">
            <v>SANB11</v>
          </cell>
          <cell r="B119">
            <v>0</v>
          </cell>
          <cell r="C119">
            <v>-1.3246200000000001E-3</v>
          </cell>
          <cell r="D119">
            <v>0</v>
          </cell>
          <cell r="E119">
            <v>1.3246200000000001E-3</v>
          </cell>
          <cell r="F119">
            <v>0.71</v>
          </cell>
          <cell r="G119">
            <v>0.91600000000000004</v>
          </cell>
          <cell r="H119" t="str">
            <v>pro_cyclicals</v>
          </cell>
          <cell r="I119" t="str">
            <v>banks</v>
          </cell>
          <cell r="J119" t="str">
            <v>neutral_beta</v>
          </cell>
          <cell r="K119">
            <v>0</v>
          </cell>
        </row>
        <row r="120">
          <cell r="A120" t="str">
            <v>GOAU4</v>
          </cell>
          <cell r="B120">
            <v>0</v>
          </cell>
          <cell r="C120">
            <v>-9.0717E-4</v>
          </cell>
          <cell r="D120">
            <v>0</v>
          </cell>
          <cell r="E120">
            <v>9.0717E-4</v>
          </cell>
          <cell r="F120">
            <v>0.7</v>
          </cell>
          <cell r="G120">
            <v>0.83199999999999996</v>
          </cell>
          <cell r="H120" t="str">
            <v>commodities</v>
          </cell>
          <cell r="I120" t="str">
            <v>basic_materials</v>
          </cell>
          <cell r="J120" t="str">
            <v>neutral_beta</v>
          </cell>
          <cell r="K120">
            <v>0</v>
          </cell>
        </row>
        <row r="121">
          <cell r="A121" t="str">
            <v>EGIE3</v>
          </cell>
          <cell r="B121">
            <v>0</v>
          </cell>
          <cell r="C121">
            <v>-1.993408E-2</v>
          </cell>
          <cell r="D121">
            <v>0</v>
          </cell>
          <cell r="E121">
            <v>1.993408E-2</v>
          </cell>
          <cell r="F121">
            <v>0.68400000000000005</v>
          </cell>
          <cell r="G121">
            <v>1.2969999999999999</v>
          </cell>
          <cell r="H121" t="str">
            <v>bond_proxies</v>
          </cell>
          <cell r="I121" t="str">
            <v>utilities</v>
          </cell>
          <cell r="J121" t="str">
            <v>low_beta</v>
          </cell>
          <cell r="K121">
            <v>0</v>
          </cell>
        </row>
        <row r="122">
          <cell r="A122" t="str">
            <v>BPAC11</v>
          </cell>
          <cell r="B122">
            <v>0</v>
          </cell>
          <cell r="C122">
            <v>-1.018347E-2</v>
          </cell>
          <cell r="D122">
            <v>0</v>
          </cell>
          <cell r="E122">
            <v>1.018347E-2</v>
          </cell>
          <cell r="F122">
            <v>0.68300000000000005</v>
          </cell>
          <cell r="G122">
            <v>1.1060000000000001</v>
          </cell>
          <cell r="H122" t="str">
            <v>pro_cyclicals</v>
          </cell>
          <cell r="I122" t="str">
            <v>banks</v>
          </cell>
          <cell r="J122" t="str">
            <v>very_high_beta</v>
          </cell>
          <cell r="K122">
            <v>0</v>
          </cell>
        </row>
        <row r="123">
          <cell r="A123" t="str">
            <v>ROMI3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0.67600000000000005</v>
          </cell>
          <cell r="G123">
            <v>0.81499999999999995</v>
          </cell>
          <cell r="H123" t="str">
            <v>industrials</v>
          </cell>
          <cell r="I123" t="str">
            <v>capital_goods</v>
          </cell>
          <cell r="J123" t="str">
            <v>very_low_beta</v>
          </cell>
          <cell r="K123">
            <v>0</v>
          </cell>
        </row>
        <row r="124">
          <cell r="A124" t="str">
            <v>SBSP3</v>
          </cell>
          <cell r="B124">
            <v>0</v>
          </cell>
          <cell r="C124">
            <v>-1.2053909999999999E-2</v>
          </cell>
          <cell r="D124">
            <v>0</v>
          </cell>
          <cell r="E124">
            <v>1.2053909999999999E-2</v>
          </cell>
          <cell r="F124">
            <v>0.65500000000000003</v>
          </cell>
          <cell r="G124">
            <v>1.149</v>
          </cell>
          <cell r="H124" t="str">
            <v>bond_proxies</v>
          </cell>
          <cell r="I124" t="str">
            <v>utilities</v>
          </cell>
          <cell r="J124" t="str">
            <v>low_beta</v>
          </cell>
          <cell r="K124">
            <v>0</v>
          </cell>
        </row>
        <row r="125">
          <cell r="A125" t="str">
            <v>UNIP6</v>
          </cell>
          <cell r="B125">
            <v>0</v>
          </cell>
          <cell r="C125">
            <v>-4.3630400000000003E-3</v>
          </cell>
          <cell r="D125">
            <v>0</v>
          </cell>
          <cell r="E125">
            <v>4.3630400000000003E-3</v>
          </cell>
          <cell r="F125">
            <v>0.65400000000000003</v>
          </cell>
          <cell r="G125">
            <v>0.69499999999999995</v>
          </cell>
          <cell r="H125" t="str">
            <v>industrials</v>
          </cell>
          <cell r="I125" t="str">
            <v>chemicals</v>
          </cell>
          <cell r="J125" t="str">
            <v>neutral_beta</v>
          </cell>
          <cell r="K125">
            <v>0</v>
          </cell>
        </row>
        <row r="126">
          <cell r="A126" t="str">
            <v>BBAS3</v>
          </cell>
          <cell r="B126">
            <v>0</v>
          </cell>
          <cell r="C126">
            <v>-3.6433609999999998E-2</v>
          </cell>
          <cell r="D126">
            <v>0</v>
          </cell>
          <cell r="E126">
            <v>3.6433609999999998E-2</v>
          </cell>
          <cell r="F126">
            <v>0.64900000000000002</v>
          </cell>
          <cell r="G126">
            <v>1.2370000000000001</v>
          </cell>
          <cell r="H126" t="str">
            <v>pro_cyclicals</v>
          </cell>
          <cell r="I126" t="str">
            <v>banks</v>
          </cell>
          <cell r="J126" t="str">
            <v>high_beta</v>
          </cell>
          <cell r="K126">
            <v>0</v>
          </cell>
        </row>
        <row r="127">
          <cell r="A127" t="str">
            <v>WEGE3</v>
          </cell>
          <cell r="B127">
            <v>0</v>
          </cell>
          <cell r="C127">
            <v>-8.8387199999999996E-3</v>
          </cell>
          <cell r="D127">
            <v>0</v>
          </cell>
          <cell r="E127">
            <v>8.8387199999999996E-3</v>
          </cell>
          <cell r="F127">
            <v>0.64900000000000002</v>
          </cell>
          <cell r="G127">
            <v>0.82799999999999996</v>
          </cell>
          <cell r="H127" t="str">
            <v>industrials</v>
          </cell>
          <cell r="I127" t="str">
            <v>capital_goods</v>
          </cell>
          <cell r="J127" t="str">
            <v>low_beta</v>
          </cell>
          <cell r="K127">
            <v>0</v>
          </cell>
        </row>
        <row r="128">
          <cell r="A128" t="str">
            <v>PAGS34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0.64500000000000002</v>
          </cell>
          <cell r="G128">
            <v>0.49199999999999999</v>
          </cell>
          <cell r="H128" t="str">
            <v>pro_cyclicals</v>
          </cell>
          <cell r="I128" t="str">
            <v>financial_services</v>
          </cell>
          <cell r="J128" t="str">
            <v>low_beta</v>
          </cell>
          <cell r="K128">
            <v>0</v>
          </cell>
        </row>
        <row r="129">
          <cell r="A129" t="str">
            <v>LIGT3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0.64400000000000002</v>
          </cell>
          <cell r="G129">
            <v>0.47099999999999997</v>
          </cell>
          <cell r="H129" t="str">
            <v>bond_proxies</v>
          </cell>
          <cell r="I129" t="str">
            <v>utilities</v>
          </cell>
          <cell r="J129" t="str">
            <v>low_beta</v>
          </cell>
          <cell r="K129">
            <v>0</v>
          </cell>
        </row>
        <row r="130">
          <cell r="A130" t="str">
            <v>B3SA3</v>
          </cell>
          <cell r="B130">
            <v>0</v>
          </cell>
          <cell r="C130">
            <v>-1.1720609999999999E-2</v>
          </cell>
          <cell r="D130">
            <v>0</v>
          </cell>
          <cell r="E130">
            <v>1.1720609999999999E-2</v>
          </cell>
          <cell r="F130">
            <v>0.64200000000000002</v>
          </cell>
          <cell r="G130">
            <v>1.054</v>
          </cell>
          <cell r="H130" t="str">
            <v>pro_cyclicals</v>
          </cell>
          <cell r="I130" t="str">
            <v>financial_services</v>
          </cell>
          <cell r="J130" t="str">
            <v>very_high_beta</v>
          </cell>
          <cell r="K130">
            <v>0</v>
          </cell>
        </row>
        <row r="131">
          <cell r="A131" t="str">
            <v>USIM3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0.63900000000000001</v>
          </cell>
          <cell r="G131">
            <v>0.495</v>
          </cell>
          <cell r="H131" t="str">
            <v>commodities</v>
          </cell>
          <cell r="I131" t="str">
            <v>basic_materials</v>
          </cell>
          <cell r="J131" t="str">
            <v>neutral_beta</v>
          </cell>
          <cell r="K131">
            <v>0</v>
          </cell>
        </row>
        <row r="132">
          <cell r="A132" t="str">
            <v>MYPK3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0.63600000000000001</v>
          </cell>
          <cell r="G132">
            <v>0.68100000000000005</v>
          </cell>
          <cell r="H132" t="str">
            <v>industrials</v>
          </cell>
          <cell r="I132" t="str">
            <v>capital_goods</v>
          </cell>
          <cell r="J132" t="str">
            <v>low_beta</v>
          </cell>
          <cell r="K132">
            <v>0</v>
          </cell>
        </row>
        <row r="133">
          <cell r="A133" t="str">
            <v>VALE3</v>
          </cell>
          <cell r="B133">
            <v>3.3000000000000002E-2</v>
          </cell>
          <cell r="C133">
            <v>-3.3253469999999993E-2</v>
          </cell>
          <cell r="D133">
            <v>7.0000000000000027E-3</v>
          </cell>
          <cell r="E133">
            <v>6.6253469999999995E-2</v>
          </cell>
          <cell r="F133">
            <v>0.627</v>
          </cell>
          <cell r="G133">
            <v>1.333</v>
          </cell>
          <cell r="H133" t="str">
            <v>commodities</v>
          </cell>
          <cell r="I133" t="str">
            <v>basic_materials</v>
          </cell>
          <cell r="J133" t="str">
            <v>neutral_beta</v>
          </cell>
          <cell r="K133">
            <v>2.5999999999999999E-2</v>
          </cell>
        </row>
        <row r="134">
          <cell r="A134" t="str">
            <v>BRAV3</v>
          </cell>
          <cell r="B134">
            <v>0</v>
          </cell>
          <cell r="C134">
            <v>-1.122E-3</v>
          </cell>
          <cell r="D134">
            <v>0</v>
          </cell>
          <cell r="E134">
            <v>1.122E-3</v>
          </cell>
          <cell r="F134">
            <v>0.62</v>
          </cell>
          <cell r="G134">
            <v>0.502</v>
          </cell>
          <cell r="H134" t="str">
            <v>commodities</v>
          </cell>
          <cell r="I134" t="str">
            <v>crude_oil</v>
          </cell>
          <cell r="J134" t="str">
            <v>very_low_beta</v>
          </cell>
          <cell r="K134">
            <v>0</v>
          </cell>
        </row>
        <row r="135">
          <cell r="A135" t="str">
            <v>XPBR31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0.62</v>
          </cell>
          <cell r="G135">
            <v>0.59899999999999998</v>
          </cell>
          <cell r="H135" t="str">
            <v>pro_cyclicals</v>
          </cell>
          <cell r="I135" t="str">
            <v>financial_services</v>
          </cell>
          <cell r="J135" t="str">
            <v>very_high_beta</v>
          </cell>
          <cell r="K135">
            <v>0</v>
          </cell>
        </row>
        <row r="136">
          <cell r="A136" t="str">
            <v>AURA33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0.61799999999999999</v>
          </cell>
          <cell r="G136">
            <v>0.44500000000000001</v>
          </cell>
          <cell r="H136" t="str">
            <v>commodities</v>
          </cell>
          <cell r="I136" t="str">
            <v>basic_materials</v>
          </cell>
          <cell r="J136" t="str">
            <v>very_high_beta</v>
          </cell>
          <cell r="K136">
            <v>0</v>
          </cell>
        </row>
        <row r="137">
          <cell r="A137" t="str">
            <v>CBAV3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0.61699999999999999</v>
          </cell>
          <cell r="G137">
            <v>0.45500000000000002</v>
          </cell>
          <cell r="H137" t="str">
            <v>commodities</v>
          </cell>
          <cell r="I137" t="str">
            <v>basic_materials</v>
          </cell>
          <cell r="J137" t="str">
            <v>very_low_beta</v>
          </cell>
          <cell r="K137">
            <v>0</v>
          </cell>
        </row>
        <row r="138">
          <cell r="A138" t="str">
            <v>CYRE3</v>
          </cell>
          <cell r="B138">
            <v>0</v>
          </cell>
          <cell r="C138">
            <v>-8.2169999999999997E-4</v>
          </cell>
          <cell r="D138">
            <v>0</v>
          </cell>
          <cell r="E138">
            <v>8.2169999999999997E-4</v>
          </cell>
          <cell r="F138">
            <v>0.61599999999999999</v>
          </cell>
          <cell r="G138">
            <v>0.65100000000000002</v>
          </cell>
          <cell r="H138" t="str">
            <v>pro_cyclicals</v>
          </cell>
          <cell r="I138" t="str">
            <v>homebuilders</v>
          </cell>
          <cell r="J138" t="str">
            <v>very_high_beta</v>
          </cell>
          <cell r="K138">
            <v>0</v>
          </cell>
        </row>
        <row r="139">
          <cell r="A139" t="str">
            <v>UGPA3</v>
          </cell>
          <cell r="B139">
            <v>0</v>
          </cell>
          <cell r="C139">
            <v>-3.7012799999999999E-3</v>
          </cell>
          <cell r="D139">
            <v>0</v>
          </cell>
          <cell r="E139">
            <v>3.7012799999999999E-3</v>
          </cell>
          <cell r="F139">
            <v>0.61499999999999999</v>
          </cell>
          <cell r="G139">
            <v>0.72799999999999998</v>
          </cell>
          <cell r="H139" t="str">
            <v>pro_cyclicals</v>
          </cell>
          <cell r="I139" t="str">
            <v>consumer_services</v>
          </cell>
          <cell r="J139" t="str">
            <v>very_low_beta</v>
          </cell>
          <cell r="K139">
            <v>0</v>
          </cell>
        </row>
        <row r="140">
          <cell r="A140" t="str">
            <v>SUZB3</v>
          </cell>
          <cell r="B140">
            <v>0</v>
          </cell>
          <cell r="C140">
            <v>-3.4075799999999999E-3</v>
          </cell>
          <cell r="D140">
            <v>0</v>
          </cell>
          <cell r="E140">
            <v>3.4075799999999999E-3</v>
          </cell>
          <cell r="F140">
            <v>0.61199999999999999</v>
          </cell>
          <cell r="G140">
            <v>0.71199999999999997</v>
          </cell>
          <cell r="H140" t="str">
            <v>commodities</v>
          </cell>
          <cell r="I140" t="str">
            <v>basic_materials</v>
          </cell>
          <cell r="J140" t="str">
            <v>very_low_beta</v>
          </cell>
          <cell r="K140">
            <v>0</v>
          </cell>
        </row>
        <row r="141">
          <cell r="A141" t="str">
            <v>USIM5</v>
          </cell>
          <cell r="B141">
            <v>0</v>
          </cell>
          <cell r="C141">
            <v>-4.1513999999999999E-4</v>
          </cell>
          <cell r="D141">
            <v>0</v>
          </cell>
          <cell r="E141">
            <v>4.1513999999999999E-4</v>
          </cell>
          <cell r="F141">
            <v>0.61</v>
          </cell>
          <cell r="G141">
            <v>0.48899999999999999</v>
          </cell>
          <cell r="H141" t="str">
            <v>commodities</v>
          </cell>
          <cell r="I141" t="str">
            <v>basic_materials</v>
          </cell>
          <cell r="J141" t="str">
            <v>neutral_beta</v>
          </cell>
          <cell r="K141">
            <v>0</v>
          </cell>
        </row>
        <row r="142">
          <cell r="A142" t="str">
            <v>ARML3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0.60699999999999998</v>
          </cell>
          <cell r="G142">
            <v>0.439</v>
          </cell>
          <cell r="H142" t="str">
            <v>industrials</v>
          </cell>
          <cell r="I142" t="str">
            <v>capital_goods</v>
          </cell>
          <cell r="J142" t="str">
            <v>very_high_beta</v>
          </cell>
          <cell r="K142">
            <v>0</v>
          </cell>
        </row>
        <row r="143">
          <cell r="A143" t="str">
            <v>YDUQ3</v>
          </cell>
          <cell r="B143">
            <v>0</v>
          </cell>
          <cell r="C143">
            <v>-3.5639999999999999E-4</v>
          </cell>
          <cell r="D143">
            <v>0</v>
          </cell>
          <cell r="E143">
            <v>3.5639999999999999E-4</v>
          </cell>
          <cell r="F143">
            <v>0.60399999999999998</v>
          </cell>
          <cell r="G143">
            <v>0.46500000000000002</v>
          </cell>
          <cell r="H143" t="str">
            <v>pro_cyclicals</v>
          </cell>
          <cell r="I143" t="str">
            <v>education</v>
          </cell>
          <cell r="J143" t="str">
            <v>high_beta</v>
          </cell>
          <cell r="K143">
            <v>0</v>
          </cell>
        </row>
        <row r="144">
          <cell r="A144" t="str">
            <v>ENGI11</v>
          </cell>
          <cell r="B144">
            <v>0</v>
          </cell>
          <cell r="C144">
            <v>-2.38623E-3</v>
          </cell>
          <cell r="D144">
            <v>0</v>
          </cell>
          <cell r="E144">
            <v>2.38623E-3</v>
          </cell>
          <cell r="F144">
            <v>0.60299999999999998</v>
          </cell>
          <cell r="G144">
            <v>0.86099999999999999</v>
          </cell>
          <cell r="H144" t="str">
            <v>bond_proxies</v>
          </cell>
          <cell r="I144" t="str">
            <v>utilities</v>
          </cell>
          <cell r="J144" t="str">
            <v>neutral_beta</v>
          </cell>
          <cell r="K144">
            <v>0</v>
          </cell>
        </row>
        <row r="145">
          <cell r="A145" t="str">
            <v>AURE3</v>
          </cell>
          <cell r="B145">
            <v>0</v>
          </cell>
          <cell r="C145">
            <v>-5.0918999999999997E-4</v>
          </cell>
          <cell r="D145">
            <v>0</v>
          </cell>
          <cell r="E145">
            <v>5.0918999999999997E-4</v>
          </cell>
          <cell r="F145">
            <v>0.6</v>
          </cell>
          <cell r="G145">
            <v>0.59799999999999998</v>
          </cell>
          <cell r="H145" t="str">
            <v>bond_proxies</v>
          </cell>
          <cell r="I145" t="str">
            <v>utilities</v>
          </cell>
          <cell r="J145" t="str">
            <v>neutral_beta</v>
          </cell>
          <cell r="K145">
            <v>0</v>
          </cell>
        </row>
        <row r="146">
          <cell r="A146" t="str">
            <v>MOTV3</v>
          </cell>
          <cell r="B146">
            <v>0</v>
          </cell>
          <cell r="C146">
            <v>-2.01366E-3</v>
          </cell>
          <cell r="D146">
            <v>0</v>
          </cell>
          <cell r="E146">
            <v>2.01366E-3</v>
          </cell>
          <cell r="F146">
            <v>0.59799999999999998</v>
          </cell>
          <cell r="G146">
            <v>0.79900000000000004</v>
          </cell>
          <cell r="H146" t="str">
            <v>bond_proxies</v>
          </cell>
          <cell r="I146" t="str">
            <v>transportation</v>
          </cell>
          <cell r="J146" t="str">
            <v>high_beta</v>
          </cell>
          <cell r="K146">
            <v>0</v>
          </cell>
        </row>
        <row r="147">
          <cell r="A147" t="str">
            <v>MOVI3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0.59499999999999997</v>
          </cell>
          <cell r="G147">
            <v>0.43099999999999999</v>
          </cell>
          <cell r="H147" t="str">
            <v>pro_cyclicals</v>
          </cell>
          <cell r="I147" t="str">
            <v>consumer_services</v>
          </cell>
          <cell r="J147" t="str">
            <v>very_high_beta</v>
          </cell>
          <cell r="K147">
            <v>0</v>
          </cell>
        </row>
        <row r="148">
          <cell r="A148" t="str">
            <v>BRST3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0.58899999999999997</v>
          </cell>
          <cell r="G148">
            <v>0.54300000000000004</v>
          </cell>
          <cell r="H148" t="str">
            <v>bond_proxies</v>
          </cell>
          <cell r="I148" t="str">
            <v>telecom</v>
          </cell>
          <cell r="J148" t="str">
            <v>low_beta</v>
          </cell>
          <cell r="K148">
            <v>0</v>
          </cell>
        </row>
        <row r="149">
          <cell r="A149" t="str">
            <v>KEPL3</v>
          </cell>
          <cell r="B149">
            <v>0</v>
          </cell>
          <cell r="C149">
            <v>-1.9543899999999999E-3</v>
          </cell>
          <cell r="D149">
            <v>0</v>
          </cell>
          <cell r="E149">
            <v>1.9543899999999999E-3</v>
          </cell>
          <cell r="F149">
            <v>0.58899999999999997</v>
          </cell>
          <cell r="G149">
            <v>0.55300000000000005</v>
          </cell>
          <cell r="H149" t="str">
            <v>industrials</v>
          </cell>
          <cell r="I149" t="str">
            <v>capital_goods</v>
          </cell>
          <cell r="J149" t="str">
            <v>high_beta</v>
          </cell>
          <cell r="K149">
            <v>0</v>
          </cell>
        </row>
        <row r="150">
          <cell r="A150" t="str">
            <v>MGLU3</v>
          </cell>
          <cell r="B150">
            <v>0</v>
          </cell>
          <cell r="C150">
            <v>-3.9566999999999998E-4</v>
          </cell>
          <cell r="D150">
            <v>0</v>
          </cell>
          <cell r="E150">
            <v>3.9566999999999998E-4</v>
          </cell>
          <cell r="F150">
            <v>0.58799999999999997</v>
          </cell>
          <cell r="G150">
            <v>0.439</v>
          </cell>
          <cell r="H150" t="str">
            <v>pro_cyclicals</v>
          </cell>
          <cell r="I150" t="str">
            <v>consumer_durables</v>
          </cell>
          <cell r="J150" t="str">
            <v>very_high_beta</v>
          </cell>
          <cell r="K150">
            <v>0</v>
          </cell>
        </row>
        <row r="151">
          <cell r="A151" t="str">
            <v>AGRO3</v>
          </cell>
          <cell r="B151">
            <v>0</v>
          </cell>
          <cell r="C151">
            <v>-1.7547299999999999E-3</v>
          </cell>
          <cell r="D151">
            <v>0</v>
          </cell>
          <cell r="E151">
            <v>1.7547299999999999E-3</v>
          </cell>
          <cell r="F151">
            <v>0.58699999999999997</v>
          </cell>
          <cell r="G151">
            <v>0.72699999999999998</v>
          </cell>
          <cell r="H151" t="str">
            <v>commodities</v>
          </cell>
          <cell r="I151" t="str">
            <v>food</v>
          </cell>
          <cell r="J151" t="str">
            <v>very_low_beta</v>
          </cell>
          <cell r="K151">
            <v>0</v>
          </cell>
        </row>
        <row r="152">
          <cell r="A152" t="str">
            <v>RAIL3</v>
          </cell>
          <cell r="B152">
            <v>0</v>
          </cell>
          <cell r="C152">
            <v>-2.3680799999999998E-3</v>
          </cell>
          <cell r="D152">
            <v>0</v>
          </cell>
          <cell r="E152">
            <v>2.3680799999999998E-3</v>
          </cell>
          <cell r="F152">
            <v>0.58599999999999997</v>
          </cell>
          <cell r="G152">
            <v>0.59699999999999998</v>
          </cell>
          <cell r="H152" t="str">
            <v>pro_cyclicals</v>
          </cell>
          <cell r="I152" t="str">
            <v>transportation</v>
          </cell>
          <cell r="J152" t="str">
            <v>low_beta</v>
          </cell>
          <cell r="K152">
            <v>0</v>
          </cell>
        </row>
        <row r="153">
          <cell r="A153" t="str">
            <v>CVCB3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0.58299999999999996</v>
          </cell>
          <cell r="G153">
            <v>0.42499999999999999</v>
          </cell>
          <cell r="H153" t="str">
            <v>pro_cyclicals</v>
          </cell>
          <cell r="I153" t="str">
            <v>consumer_services</v>
          </cell>
          <cell r="J153" t="str">
            <v>neutral_beta</v>
          </cell>
          <cell r="K153">
            <v>0</v>
          </cell>
        </row>
        <row r="154">
          <cell r="A154" t="str">
            <v>VIVA3</v>
          </cell>
          <cell r="B154">
            <v>0</v>
          </cell>
          <cell r="C154">
            <v>-3.8246999999999999E-4</v>
          </cell>
          <cell r="D154">
            <v>0</v>
          </cell>
          <cell r="E154">
            <v>3.8246999999999999E-4</v>
          </cell>
          <cell r="F154">
            <v>0.57899999999999996</v>
          </cell>
          <cell r="G154">
            <v>0.51200000000000001</v>
          </cell>
          <cell r="H154" t="str">
            <v>pro_cyclicals</v>
          </cell>
          <cell r="I154" t="str">
            <v>apparel</v>
          </cell>
          <cell r="J154" t="str">
            <v>low_beta</v>
          </cell>
          <cell r="K154">
            <v>0</v>
          </cell>
        </row>
        <row r="155">
          <cell r="A155" t="str">
            <v>AMER3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0.57799999999999996</v>
          </cell>
          <cell r="G155">
            <v>0.41499999999999998</v>
          </cell>
          <cell r="H155" t="str">
            <v>pro_cyclicals</v>
          </cell>
          <cell r="I155" t="str">
            <v>consumer_durables</v>
          </cell>
          <cell r="J155" t="str">
            <v>high_beta</v>
          </cell>
          <cell r="K155">
            <v>0</v>
          </cell>
        </row>
        <row r="156">
          <cell r="A156" t="str">
            <v>EQTL3</v>
          </cell>
          <cell r="B156">
            <v>0</v>
          </cell>
          <cell r="C156">
            <v>-6.4574400000000001E-3</v>
          </cell>
          <cell r="D156">
            <v>0</v>
          </cell>
          <cell r="E156">
            <v>6.4574400000000001E-3</v>
          </cell>
          <cell r="F156">
            <v>0.57299999999999995</v>
          </cell>
          <cell r="G156">
            <v>0.94099999999999995</v>
          </cell>
          <cell r="H156" t="str">
            <v>bond_proxies</v>
          </cell>
          <cell r="I156" t="str">
            <v>utilities</v>
          </cell>
          <cell r="J156" t="str">
            <v>neutral_beta</v>
          </cell>
          <cell r="K156">
            <v>0</v>
          </cell>
        </row>
        <row r="157">
          <cell r="A157" t="str">
            <v>CMIN3</v>
          </cell>
          <cell r="B157">
            <v>0</v>
          </cell>
          <cell r="C157">
            <v>-1.227163E-2</v>
          </cell>
          <cell r="D157">
            <v>0</v>
          </cell>
          <cell r="E157">
            <v>1.227163E-2</v>
          </cell>
          <cell r="F157">
            <v>0.57199999999999995</v>
          </cell>
          <cell r="G157">
            <v>0.87</v>
          </cell>
          <cell r="H157" t="str">
            <v>commodities</v>
          </cell>
          <cell r="I157" t="str">
            <v>basic_materials</v>
          </cell>
          <cell r="J157" t="str">
            <v>high_beta</v>
          </cell>
          <cell r="K157">
            <v>0</v>
          </cell>
        </row>
        <row r="158">
          <cell r="A158" t="str">
            <v>RDOR3</v>
          </cell>
          <cell r="B158">
            <v>0</v>
          </cell>
          <cell r="C158">
            <v>-5.3050800000000002E-3</v>
          </cell>
          <cell r="D158">
            <v>0</v>
          </cell>
          <cell r="E158">
            <v>5.3050800000000002E-3</v>
          </cell>
          <cell r="F158">
            <v>0.57099999999999995</v>
          </cell>
          <cell r="G158">
            <v>0.78500000000000003</v>
          </cell>
          <cell r="H158" t="str">
            <v>defensives</v>
          </cell>
          <cell r="I158" t="str">
            <v>healthcare</v>
          </cell>
          <cell r="J158" t="str">
            <v>low_beta</v>
          </cell>
          <cell r="K158">
            <v>0</v>
          </cell>
        </row>
        <row r="159">
          <cell r="A159" t="str">
            <v>ENEV3</v>
          </cell>
          <cell r="B159">
            <v>0</v>
          </cell>
          <cell r="C159">
            <v>-5.9499000000000002E-3</v>
          </cell>
          <cell r="D159">
            <v>0</v>
          </cell>
          <cell r="E159">
            <v>5.9499000000000002E-3</v>
          </cell>
          <cell r="F159">
            <v>0.56999999999999995</v>
          </cell>
          <cell r="G159">
            <v>0.66900000000000004</v>
          </cell>
          <cell r="H159" t="str">
            <v>bond_proxies</v>
          </cell>
          <cell r="I159" t="str">
            <v>utilities</v>
          </cell>
          <cell r="J159" t="str">
            <v>neutral_beta</v>
          </cell>
          <cell r="K159">
            <v>0</v>
          </cell>
        </row>
        <row r="160">
          <cell r="A160" t="str">
            <v>ECOR3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0.56799999999999995</v>
          </cell>
          <cell r="G160">
            <v>0.53</v>
          </cell>
          <cell r="H160" t="str">
            <v>bond_proxies</v>
          </cell>
          <cell r="I160" t="str">
            <v>transportation</v>
          </cell>
          <cell r="J160" t="str">
            <v>very_high_beta</v>
          </cell>
          <cell r="K160">
            <v>0</v>
          </cell>
        </row>
        <row r="161">
          <cell r="A161" t="str">
            <v>SMTO3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0.56699999999999995</v>
          </cell>
          <cell r="G161">
            <v>0.44</v>
          </cell>
          <cell r="H161" t="str">
            <v>commodities</v>
          </cell>
          <cell r="I161" t="str">
            <v>food</v>
          </cell>
          <cell r="J161" t="str">
            <v>very_low_beta</v>
          </cell>
          <cell r="K161">
            <v>0</v>
          </cell>
        </row>
        <row r="162">
          <cell r="A162" t="str">
            <v>SBFG3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0.56599999999999995</v>
          </cell>
          <cell r="G162">
            <v>0.48799999999999999</v>
          </cell>
          <cell r="H162" t="str">
            <v>pro_cyclicals</v>
          </cell>
          <cell r="I162" t="str">
            <v>consumer_durables</v>
          </cell>
          <cell r="J162" t="str">
            <v>high_beta</v>
          </cell>
          <cell r="K162">
            <v>0</v>
          </cell>
        </row>
        <row r="163">
          <cell r="A163" t="str">
            <v>LWSA3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0.56599999999999995</v>
          </cell>
          <cell r="G163">
            <v>0.437</v>
          </cell>
          <cell r="H163" t="str">
            <v>pro_cyclicals</v>
          </cell>
          <cell r="I163" t="str">
            <v>tech</v>
          </cell>
          <cell r="J163" t="str">
            <v>very_high_beta</v>
          </cell>
          <cell r="K163">
            <v>0</v>
          </cell>
        </row>
        <row r="164">
          <cell r="A164" t="str">
            <v>HBSA3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0.56299999999999994</v>
          </cell>
          <cell r="G164">
            <v>0.45300000000000001</v>
          </cell>
          <cell r="H164" t="str">
            <v>pro_cyclicals</v>
          </cell>
          <cell r="I164" t="str">
            <v>transportation</v>
          </cell>
          <cell r="J164" t="str">
            <v>low_beta</v>
          </cell>
          <cell r="K164">
            <v>0</v>
          </cell>
        </row>
        <row r="165">
          <cell r="A165" t="str">
            <v>RENT3</v>
          </cell>
          <cell r="B165">
            <v>0</v>
          </cell>
          <cell r="C165">
            <v>-5.7096600000000001E-3</v>
          </cell>
          <cell r="D165">
            <v>0</v>
          </cell>
          <cell r="E165">
            <v>5.7096600000000001E-3</v>
          </cell>
          <cell r="F165">
            <v>0.55900000000000005</v>
          </cell>
          <cell r="G165">
            <v>0.71699999999999997</v>
          </cell>
          <cell r="H165" t="str">
            <v>pro_cyclicals</v>
          </cell>
          <cell r="I165" t="str">
            <v>consumer_services</v>
          </cell>
          <cell r="J165" t="str">
            <v>very_high_beta</v>
          </cell>
          <cell r="K165">
            <v>0</v>
          </cell>
        </row>
        <row r="166">
          <cell r="A166" t="str">
            <v>MBRF3</v>
          </cell>
          <cell r="B166">
            <v>0</v>
          </cell>
          <cell r="C166">
            <v>-2.4667729999999999E-2</v>
          </cell>
          <cell r="D166">
            <v>0</v>
          </cell>
          <cell r="E166">
            <v>2.4667729999999999E-2</v>
          </cell>
          <cell r="F166">
            <v>0.55600000000000005</v>
          </cell>
          <cell r="G166">
            <v>0.46</v>
          </cell>
          <cell r="H166" t="str">
            <v>commodities</v>
          </cell>
          <cell r="I166" t="str">
            <v>food</v>
          </cell>
          <cell r="J166" t="str">
            <v>very_low_beta</v>
          </cell>
          <cell r="K166">
            <v>0</v>
          </cell>
        </row>
        <row r="167">
          <cell r="A167" t="str">
            <v>CYRE4</v>
          </cell>
          <cell r="B167">
            <v>0</v>
          </cell>
          <cell r="C167">
            <v>-1.4190000000000001E-4</v>
          </cell>
          <cell r="D167">
            <v>0</v>
          </cell>
          <cell r="E167">
            <v>1.4190000000000001E-4</v>
          </cell>
          <cell r="F167">
            <v>0.55300000000000005</v>
          </cell>
          <cell r="G167">
            <v>0.52800000000000002</v>
          </cell>
          <cell r="H167" t="str">
            <v>pro_cyclicals</v>
          </cell>
          <cell r="I167" t="str">
            <v>homebuilders</v>
          </cell>
          <cell r="J167" t="str">
            <v>very_high_beta</v>
          </cell>
          <cell r="K167">
            <v>0</v>
          </cell>
        </row>
        <row r="168">
          <cell r="A168" t="str">
            <v>TOTS3</v>
          </cell>
          <cell r="B168">
            <v>0</v>
          </cell>
          <cell r="C168">
            <v>-2.1298200000000002E-3</v>
          </cell>
          <cell r="D168">
            <v>0</v>
          </cell>
          <cell r="E168">
            <v>2.1298200000000002E-3</v>
          </cell>
          <cell r="F168">
            <v>0.55000000000000004</v>
          </cell>
          <cell r="G168">
            <v>0.61499999999999999</v>
          </cell>
          <cell r="H168" t="str">
            <v>pro_cyclicals</v>
          </cell>
          <cell r="I168" t="str">
            <v>tech</v>
          </cell>
          <cell r="J168" t="str">
            <v>neutral_beta</v>
          </cell>
          <cell r="K168">
            <v>0</v>
          </cell>
        </row>
        <row r="169">
          <cell r="A169" t="str">
            <v>GGPS3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0.54900000000000004</v>
          </cell>
          <cell r="G169">
            <v>0.628</v>
          </cell>
          <cell r="H169" t="str">
            <v>industrials</v>
          </cell>
          <cell r="I169" t="str">
            <v>capital_goods</v>
          </cell>
          <cell r="J169" t="str">
            <v>low_beta</v>
          </cell>
          <cell r="K169">
            <v>0</v>
          </cell>
        </row>
        <row r="170">
          <cell r="A170" t="str">
            <v>AUAU3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0.54800000000000004</v>
          </cell>
          <cell r="G170">
            <v>0.43099999999999999</v>
          </cell>
          <cell r="H170" t="str">
            <v>pro_cyclicals</v>
          </cell>
          <cell r="I170" t="str">
            <v>consumer_durables</v>
          </cell>
          <cell r="J170" t="str">
            <v>high_beta</v>
          </cell>
          <cell r="K170">
            <v>0</v>
          </cell>
        </row>
        <row r="171">
          <cell r="A171" t="str">
            <v>INBR32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0.54800000000000004</v>
          </cell>
          <cell r="G171">
            <v>0.497</v>
          </cell>
          <cell r="H171" t="str">
            <v>pro_cyclicals</v>
          </cell>
          <cell r="I171" t="str">
            <v>banks</v>
          </cell>
          <cell r="J171" t="str">
            <v>neutral_beta</v>
          </cell>
          <cell r="K171">
            <v>0</v>
          </cell>
        </row>
        <row r="172">
          <cell r="A172" t="str">
            <v>BEEF3</v>
          </cell>
          <cell r="B172">
            <v>0</v>
          </cell>
          <cell r="C172">
            <v>-2.1285E-4</v>
          </cell>
          <cell r="D172">
            <v>0</v>
          </cell>
          <cell r="E172">
            <v>2.1285E-4</v>
          </cell>
          <cell r="F172">
            <v>0.54700000000000004</v>
          </cell>
          <cell r="G172">
            <v>0.41099999999999998</v>
          </cell>
          <cell r="H172" t="str">
            <v>commodities</v>
          </cell>
          <cell r="I172" t="str">
            <v>food</v>
          </cell>
          <cell r="J172" t="str">
            <v>high_beta</v>
          </cell>
          <cell r="K172">
            <v>0</v>
          </cell>
        </row>
        <row r="173">
          <cell r="A173" t="str">
            <v>RENT4</v>
          </cell>
          <cell r="B173">
            <v>0</v>
          </cell>
          <cell r="C173">
            <v>-2.1153E-4</v>
          </cell>
          <cell r="D173">
            <v>0</v>
          </cell>
          <cell r="E173">
            <v>2.1153E-4</v>
          </cell>
          <cell r="F173">
            <v>0.54500000000000004</v>
          </cell>
          <cell r="G173">
            <v>0.501</v>
          </cell>
          <cell r="H173" t="str">
            <v>pro_cyclicals</v>
          </cell>
          <cell r="I173" t="str">
            <v>consumer_services</v>
          </cell>
          <cell r="J173" t="str">
            <v>very_high_beta</v>
          </cell>
          <cell r="K173">
            <v>0</v>
          </cell>
        </row>
        <row r="174">
          <cell r="A174" t="str">
            <v>FRAS3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0.54500000000000004</v>
          </cell>
          <cell r="G174">
            <v>0.64</v>
          </cell>
          <cell r="H174" t="str">
            <v>industrials</v>
          </cell>
          <cell r="I174" t="str">
            <v>capital_goods</v>
          </cell>
          <cell r="J174" t="str">
            <v>neutral_beta</v>
          </cell>
          <cell r="K174">
            <v>0</v>
          </cell>
        </row>
        <row r="175">
          <cell r="A175" t="str">
            <v>JBSS32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0.54100000000000004</v>
          </cell>
          <cell r="G175">
            <v>0.46100000000000002</v>
          </cell>
          <cell r="H175" t="str">
            <v>commodities</v>
          </cell>
          <cell r="I175" t="str">
            <v>food</v>
          </cell>
          <cell r="J175" t="str">
            <v>very_low_beta</v>
          </cell>
          <cell r="K175">
            <v>0</v>
          </cell>
        </row>
        <row r="176">
          <cell r="A176" t="str">
            <v>PLPL3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0.53900000000000003</v>
          </cell>
          <cell r="G176">
            <v>0.42499999999999999</v>
          </cell>
          <cell r="H176" t="str">
            <v>pro_cyclicals</v>
          </cell>
          <cell r="I176" t="str">
            <v>homebuilders</v>
          </cell>
          <cell r="J176" t="str">
            <v>low_beta</v>
          </cell>
          <cell r="K176">
            <v>0</v>
          </cell>
        </row>
        <row r="177">
          <cell r="A177" t="str">
            <v>GGBR4</v>
          </cell>
          <cell r="B177">
            <v>0</v>
          </cell>
          <cell r="C177">
            <v>-3.1280700000000002E-3</v>
          </cell>
          <cell r="D177">
            <v>0</v>
          </cell>
          <cell r="E177">
            <v>3.1280700000000002E-3</v>
          </cell>
          <cell r="F177">
            <v>0.53900000000000003</v>
          </cell>
          <cell r="G177">
            <v>0.68700000000000006</v>
          </cell>
          <cell r="H177" t="str">
            <v>commodities</v>
          </cell>
          <cell r="I177" t="str">
            <v>basic_materials</v>
          </cell>
          <cell r="J177" t="str">
            <v>neutral_beta</v>
          </cell>
          <cell r="K177">
            <v>0</v>
          </cell>
        </row>
        <row r="178">
          <cell r="A178" t="str">
            <v>SMFT3</v>
          </cell>
          <cell r="B178">
            <v>0</v>
          </cell>
          <cell r="C178">
            <v>-1.0180499999999999E-3</v>
          </cell>
          <cell r="D178">
            <v>0</v>
          </cell>
          <cell r="E178">
            <v>1.0180499999999999E-3</v>
          </cell>
          <cell r="F178">
            <v>0.53500000000000003</v>
          </cell>
          <cell r="G178">
            <v>0.6</v>
          </cell>
          <cell r="H178" t="str">
            <v>pro_cyclicals</v>
          </cell>
          <cell r="I178" t="str">
            <v>consumer_services</v>
          </cell>
          <cell r="J178" t="str">
            <v>neutral_beta</v>
          </cell>
          <cell r="K178">
            <v>0</v>
          </cell>
        </row>
        <row r="179">
          <cell r="A179" t="str">
            <v>RADL3</v>
          </cell>
          <cell r="B179">
            <v>0</v>
          </cell>
          <cell r="C179">
            <v>-3.6359399999999998E-3</v>
          </cell>
          <cell r="D179">
            <v>0</v>
          </cell>
          <cell r="E179">
            <v>3.6359399999999998E-3</v>
          </cell>
          <cell r="F179">
            <v>0.53400000000000003</v>
          </cell>
          <cell r="G179">
            <v>0.43</v>
          </cell>
          <cell r="H179" t="str">
            <v>defensives</v>
          </cell>
          <cell r="I179" t="str">
            <v>healthcare</v>
          </cell>
          <cell r="J179" t="str">
            <v>very_low_beta</v>
          </cell>
          <cell r="K179">
            <v>0</v>
          </cell>
        </row>
        <row r="180">
          <cell r="A180" t="str">
            <v>GMAT3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0.53300000000000003</v>
          </cell>
          <cell r="G180">
            <v>0.505</v>
          </cell>
          <cell r="H180" t="str">
            <v>defensives</v>
          </cell>
          <cell r="I180" t="str">
            <v>consumer_staples</v>
          </cell>
          <cell r="J180" t="str">
            <v>low_beta</v>
          </cell>
          <cell r="K180">
            <v>0</v>
          </cell>
        </row>
        <row r="181">
          <cell r="A181" t="str">
            <v>TASA4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0.53300000000000003</v>
          </cell>
          <cell r="G181">
            <v>0.42099999999999999</v>
          </cell>
          <cell r="H181" t="str">
            <v>industrials</v>
          </cell>
          <cell r="I181" t="str">
            <v>capital_goods</v>
          </cell>
          <cell r="J181" t="str">
            <v>very_low_beta</v>
          </cell>
          <cell r="K181">
            <v>0</v>
          </cell>
        </row>
        <row r="182">
          <cell r="A182" t="str">
            <v>HBOR3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0.53200000000000003</v>
          </cell>
          <cell r="G182">
            <v>0.375</v>
          </cell>
          <cell r="H182" t="str">
            <v>pro_cyclicals</v>
          </cell>
          <cell r="I182" t="str">
            <v>homebuilders</v>
          </cell>
          <cell r="J182" t="str">
            <v>very_high_beta</v>
          </cell>
          <cell r="K182">
            <v>0</v>
          </cell>
        </row>
        <row r="183">
          <cell r="A183" t="str">
            <v>RAPT4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0.53</v>
          </cell>
          <cell r="G183">
            <v>0.441</v>
          </cell>
          <cell r="H183" t="str">
            <v>industrials</v>
          </cell>
          <cell r="I183" t="str">
            <v>capital_goods</v>
          </cell>
          <cell r="J183" t="str">
            <v>very_high_beta</v>
          </cell>
          <cell r="K183">
            <v>0</v>
          </cell>
        </row>
        <row r="184">
          <cell r="A184" t="str">
            <v>PRIO3</v>
          </cell>
          <cell r="B184">
            <v>0</v>
          </cell>
          <cell r="C184">
            <v>-5.6835899999999996E-3</v>
          </cell>
          <cell r="D184">
            <v>0</v>
          </cell>
          <cell r="E184">
            <v>5.6835899999999996E-3</v>
          </cell>
          <cell r="F184">
            <v>0.53</v>
          </cell>
          <cell r="G184">
            <v>0.52200000000000002</v>
          </cell>
          <cell r="H184" t="str">
            <v>commodities</v>
          </cell>
          <cell r="I184" t="str">
            <v>crude_oil</v>
          </cell>
          <cell r="J184" t="str">
            <v>very_low_beta</v>
          </cell>
          <cell r="K184">
            <v>0</v>
          </cell>
        </row>
        <row r="185">
          <cell r="A185" t="str">
            <v>ROXO34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0.53</v>
          </cell>
          <cell r="G185">
            <v>0.48</v>
          </cell>
          <cell r="H185" t="str">
            <v>pro_cyclicals</v>
          </cell>
          <cell r="I185" t="str">
            <v>banks</v>
          </cell>
          <cell r="J185" t="str">
            <v>very_low_beta</v>
          </cell>
          <cell r="K185">
            <v>0</v>
          </cell>
        </row>
        <row r="186">
          <cell r="A186" t="str">
            <v>DESK3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0.52900000000000003</v>
          </cell>
          <cell r="G186">
            <v>0.378</v>
          </cell>
          <cell r="H186" t="str">
            <v>bond_proxies</v>
          </cell>
          <cell r="I186" t="str">
            <v>telecom</v>
          </cell>
          <cell r="J186" t="str">
            <v>very_low_beta</v>
          </cell>
          <cell r="K186">
            <v>0</v>
          </cell>
        </row>
        <row r="187">
          <cell r="A187" t="str">
            <v>DXCO3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0.52700000000000002</v>
          </cell>
          <cell r="G187">
            <v>0.51800000000000002</v>
          </cell>
          <cell r="H187" t="str">
            <v>industrials</v>
          </cell>
          <cell r="I187" t="str">
            <v>building_materials</v>
          </cell>
          <cell r="J187" t="str">
            <v>very_high_beta</v>
          </cell>
          <cell r="K187">
            <v>0</v>
          </cell>
        </row>
        <row r="188">
          <cell r="A188" t="str">
            <v>SIMH3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0.52600000000000002</v>
          </cell>
          <cell r="G188">
            <v>0.39400000000000002</v>
          </cell>
          <cell r="H188" t="str">
            <v>pro_cyclicals</v>
          </cell>
          <cell r="I188" t="str">
            <v>consumer_services</v>
          </cell>
          <cell r="J188" t="str">
            <v>very_high_beta</v>
          </cell>
          <cell r="K188">
            <v>0</v>
          </cell>
        </row>
        <row r="189">
          <cell r="A189" t="str">
            <v>TTEN3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0.52600000000000002</v>
          </cell>
          <cell r="G189">
            <v>0.51700000000000002</v>
          </cell>
          <cell r="H189" t="str">
            <v>commodities</v>
          </cell>
          <cell r="I189" t="str">
            <v>food</v>
          </cell>
          <cell r="J189" t="str">
            <v>low_beta</v>
          </cell>
          <cell r="K189">
            <v>0</v>
          </cell>
        </row>
        <row r="190">
          <cell r="A190" t="str">
            <v>MRVE3</v>
          </cell>
          <cell r="B190">
            <v>0</v>
          </cell>
          <cell r="C190">
            <v>-3.3956999999999998E-4</v>
          </cell>
          <cell r="D190">
            <v>0</v>
          </cell>
          <cell r="E190">
            <v>3.3956999999999998E-4</v>
          </cell>
          <cell r="F190">
            <v>0.52500000000000002</v>
          </cell>
          <cell r="G190">
            <v>0.40500000000000003</v>
          </cell>
          <cell r="H190" t="str">
            <v>pro_cyclicals</v>
          </cell>
          <cell r="I190" t="str">
            <v>homebuilders</v>
          </cell>
          <cell r="J190" t="str">
            <v>very_high_beta</v>
          </cell>
          <cell r="K190">
            <v>0</v>
          </cell>
        </row>
        <row r="191">
          <cell r="A191" t="str">
            <v>EMBJ3</v>
          </cell>
          <cell r="B191">
            <v>0</v>
          </cell>
          <cell r="C191">
            <v>-7.2085200000000004E-3</v>
          </cell>
          <cell r="D191">
            <v>0</v>
          </cell>
          <cell r="E191">
            <v>7.2085200000000004E-3</v>
          </cell>
          <cell r="F191">
            <v>0.52400000000000002</v>
          </cell>
          <cell r="G191">
            <v>0.50600000000000001</v>
          </cell>
          <cell r="H191" t="str">
            <v>industrials</v>
          </cell>
          <cell r="I191" t="str">
            <v>capital_goods</v>
          </cell>
          <cell r="J191" t="str">
            <v>very_high_beta</v>
          </cell>
          <cell r="K191">
            <v>0</v>
          </cell>
        </row>
        <row r="192">
          <cell r="A192" t="str">
            <v>PRNR3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0.52400000000000002</v>
          </cell>
          <cell r="G192">
            <v>0.58399999999999996</v>
          </cell>
          <cell r="H192" t="str">
            <v>industrials</v>
          </cell>
          <cell r="I192" t="str">
            <v>capital_goods</v>
          </cell>
          <cell r="J192" t="str">
            <v>high_beta</v>
          </cell>
          <cell r="K192">
            <v>0</v>
          </cell>
        </row>
        <row r="193">
          <cell r="A193" t="str">
            <v>QUAL3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0.51900000000000002</v>
          </cell>
          <cell r="G193">
            <v>0.38900000000000001</v>
          </cell>
          <cell r="H193" t="str">
            <v>defensives</v>
          </cell>
          <cell r="I193" t="str">
            <v>healthcare</v>
          </cell>
          <cell r="J193" t="str">
            <v>very_high_beta</v>
          </cell>
          <cell r="K193">
            <v>0</v>
          </cell>
        </row>
        <row r="194">
          <cell r="A194" t="str">
            <v>NATU3</v>
          </cell>
          <cell r="B194">
            <v>0</v>
          </cell>
          <cell r="C194">
            <v>-9.9923999999999998E-4</v>
          </cell>
          <cell r="D194">
            <v>0</v>
          </cell>
          <cell r="E194">
            <v>9.9923999999999998E-4</v>
          </cell>
          <cell r="F194">
            <v>0.51600000000000001</v>
          </cell>
          <cell r="G194">
            <v>0.48799999999999999</v>
          </cell>
          <cell r="H194" t="str">
            <v>defensives</v>
          </cell>
          <cell r="I194" t="str">
            <v>consumer_staples</v>
          </cell>
          <cell r="J194" t="str">
            <v>high_beta</v>
          </cell>
          <cell r="K194">
            <v>0</v>
          </cell>
        </row>
        <row r="195">
          <cell r="A195" t="str">
            <v>SOJA3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0.51600000000000001</v>
          </cell>
          <cell r="G195">
            <v>0.42699999999999999</v>
          </cell>
          <cell r="H195" t="str">
            <v>commodities</v>
          </cell>
          <cell r="I195" t="str">
            <v>food</v>
          </cell>
          <cell r="J195" t="str">
            <v>very_low_beta</v>
          </cell>
          <cell r="K195">
            <v>0</v>
          </cell>
        </row>
        <row r="196">
          <cell r="A196" t="str">
            <v>ASAI3</v>
          </cell>
          <cell r="B196">
            <v>0</v>
          </cell>
          <cell r="C196">
            <v>-1.5572699999999999E-3</v>
          </cell>
          <cell r="D196">
            <v>0</v>
          </cell>
          <cell r="E196">
            <v>1.5572699999999999E-3</v>
          </cell>
          <cell r="F196">
            <v>0.51400000000000001</v>
          </cell>
          <cell r="G196">
            <v>0.42199999999999999</v>
          </cell>
          <cell r="H196" t="str">
            <v>defensives</v>
          </cell>
          <cell r="I196" t="str">
            <v>consumer_staples</v>
          </cell>
          <cell r="J196" t="str">
            <v>very_high_beta</v>
          </cell>
          <cell r="K196">
            <v>0</v>
          </cell>
        </row>
        <row r="197">
          <cell r="A197" t="str">
            <v>VITT3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0.51400000000000001</v>
          </cell>
          <cell r="G197">
            <v>0.36199999999999999</v>
          </cell>
          <cell r="H197" t="str">
            <v>industrials</v>
          </cell>
          <cell r="I197" t="str">
            <v>chemicals</v>
          </cell>
          <cell r="J197" t="str">
            <v>very_high_beta</v>
          </cell>
          <cell r="K197">
            <v>0</v>
          </cell>
        </row>
        <row r="198">
          <cell r="A198" t="str">
            <v>STOC34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0.51400000000000001</v>
          </cell>
          <cell r="G198">
            <v>0.39300000000000002</v>
          </cell>
          <cell r="H198" t="str">
            <v>pro_cyclicals</v>
          </cell>
          <cell r="I198" t="str">
            <v>financial_services</v>
          </cell>
          <cell r="J198" t="str">
            <v>neutral_beta</v>
          </cell>
          <cell r="K198">
            <v>0</v>
          </cell>
        </row>
        <row r="199">
          <cell r="A199" t="str">
            <v>VAMO3</v>
          </cell>
          <cell r="B199">
            <v>0</v>
          </cell>
          <cell r="C199">
            <v>-2.1615E-4</v>
          </cell>
          <cell r="D199">
            <v>0</v>
          </cell>
          <cell r="E199">
            <v>2.1615E-4</v>
          </cell>
          <cell r="F199">
            <v>0.51200000000000001</v>
          </cell>
          <cell r="G199">
            <v>0.38400000000000001</v>
          </cell>
          <cell r="H199" t="str">
            <v>pro_cyclicals</v>
          </cell>
          <cell r="I199" t="str">
            <v>transportation</v>
          </cell>
          <cell r="J199" t="str">
            <v>very_high_beta</v>
          </cell>
          <cell r="K199">
            <v>0</v>
          </cell>
        </row>
        <row r="200">
          <cell r="A200" t="str">
            <v>CSAN3</v>
          </cell>
          <cell r="B200">
            <v>0</v>
          </cell>
          <cell r="C200">
            <v>-1.13619E-3</v>
          </cell>
          <cell r="D200">
            <v>0</v>
          </cell>
          <cell r="E200">
            <v>1.13619E-3</v>
          </cell>
          <cell r="F200">
            <v>0.50900000000000001</v>
          </cell>
          <cell r="G200">
            <v>0.41</v>
          </cell>
          <cell r="H200" t="str">
            <v>pro_cyclicals</v>
          </cell>
          <cell r="I200" t="str">
            <v>consumer_services</v>
          </cell>
          <cell r="J200" t="str">
            <v>very_high_beta</v>
          </cell>
          <cell r="K200">
            <v>0</v>
          </cell>
        </row>
        <row r="201">
          <cell r="A201" t="str">
            <v>TUPY3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0.50900000000000001</v>
          </cell>
          <cell r="G201">
            <v>0.42299999999999999</v>
          </cell>
          <cell r="H201" t="str">
            <v>industrials</v>
          </cell>
          <cell r="I201" t="str">
            <v>capital_goods</v>
          </cell>
          <cell r="J201" t="str">
            <v>high_beta</v>
          </cell>
          <cell r="K201">
            <v>0</v>
          </cell>
        </row>
        <row r="202">
          <cell r="A202" t="str">
            <v>BHIA3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0.505</v>
          </cell>
          <cell r="G202">
            <v>0.35599999999999998</v>
          </cell>
          <cell r="H202" t="str">
            <v>pro_cyclicals</v>
          </cell>
          <cell r="I202" t="str">
            <v>consumer_durables</v>
          </cell>
          <cell r="J202" t="str">
            <v>very_high_beta</v>
          </cell>
          <cell r="K202">
            <v>0</v>
          </cell>
        </row>
        <row r="203">
          <cell r="A203" t="str">
            <v>DASA3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0.499</v>
          </cell>
          <cell r="G203">
            <v>0.35199999999999998</v>
          </cell>
          <cell r="H203" t="str">
            <v>defensives</v>
          </cell>
          <cell r="I203" t="str">
            <v>healthcare</v>
          </cell>
          <cell r="J203" t="str">
            <v>very_high_beta</v>
          </cell>
          <cell r="K203">
            <v>0</v>
          </cell>
        </row>
        <row r="204">
          <cell r="A204" t="str">
            <v>PCAR3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0.495</v>
          </cell>
          <cell r="G204">
            <v>0.35299999999999998</v>
          </cell>
          <cell r="H204" t="str">
            <v>defensives</v>
          </cell>
          <cell r="I204" t="str">
            <v>consumer_staples</v>
          </cell>
          <cell r="J204" t="str">
            <v>very_high_beta</v>
          </cell>
          <cell r="K204">
            <v>0</v>
          </cell>
        </row>
        <row r="205">
          <cell r="A205" t="str">
            <v>CASH3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0.49399999999999999</v>
          </cell>
          <cell r="G205">
            <v>0.34799999999999998</v>
          </cell>
          <cell r="H205" t="str">
            <v>pro_cyclicals</v>
          </cell>
          <cell r="I205" t="str">
            <v>tech</v>
          </cell>
          <cell r="J205" t="str">
            <v>high_beta</v>
          </cell>
          <cell r="K205">
            <v>0</v>
          </cell>
        </row>
        <row r="206">
          <cell r="A206" t="str">
            <v>CSNA3</v>
          </cell>
          <cell r="B206">
            <v>0</v>
          </cell>
          <cell r="C206">
            <v>-5.5407000000000004E-4</v>
          </cell>
          <cell r="D206">
            <v>0</v>
          </cell>
          <cell r="E206">
            <v>5.5407000000000004E-4</v>
          </cell>
          <cell r="F206">
            <v>0.49299999999999999</v>
          </cell>
          <cell r="G206">
            <v>0.38100000000000001</v>
          </cell>
          <cell r="H206" t="str">
            <v>commodities</v>
          </cell>
          <cell r="I206" t="str">
            <v>basic_materials</v>
          </cell>
          <cell r="J206" t="str">
            <v>very_high_beta</v>
          </cell>
          <cell r="K206">
            <v>0</v>
          </cell>
        </row>
        <row r="207">
          <cell r="A207" t="str">
            <v>S2GM34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0.49</v>
          </cell>
          <cell r="G207">
            <v>0.34499999999999997</v>
          </cell>
          <cell r="H207" t="str">
            <v>commodities</v>
          </cell>
          <cell r="I207" t="str">
            <v>basic_materials</v>
          </cell>
          <cell r="J207" t="str">
            <v>very_high_beta</v>
          </cell>
          <cell r="K207">
            <v>0</v>
          </cell>
        </row>
        <row r="208">
          <cell r="A208" t="str">
            <v>AMBP3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0.48699999999999999</v>
          </cell>
          <cell r="G208">
            <v>0.34300000000000003</v>
          </cell>
          <cell r="H208" t="str">
            <v>bond_proxies</v>
          </cell>
          <cell r="I208" t="str">
            <v>utilities</v>
          </cell>
          <cell r="J208" t="str">
            <v>neutral_beta</v>
          </cell>
          <cell r="K208">
            <v>0</v>
          </cell>
        </row>
        <row r="209">
          <cell r="A209" t="str">
            <v>HAPV3</v>
          </cell>
          <cell r="B209">
            <v>0</v>
          </cell>
          <cell r="C209">
            <v>-4.2998999999999999E-4</v>
          </cell>
          <cell r="D209">
            <v>0</v>
          </cell>
          <cell r="E209">
            <v>4.2998999999999999E-4</v>
          </cell>
          <cell r="F209">
            <v>0.48499999999999999</v>
          </cell>
          <cell r="G209">
            <v>0.34599999999999997</v>
          </cell>
          <cell r="H209" t="str">
            <v>defensives</v>
          </cell>
          <cell r="I209" t="str">
            <v>healthcare</v>
          </cell>
          <cell r="J209" t="str">
            <v>very_high_beta</v>
          </cell>
          <cell r="K209">
            <v>0</v>
          </cell>
        </row>
        <row r="210">
          <cell r="A210" t="str">
            <v>PTBL3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0.48099999999999998</v>
          </cell>
          <cell r="G210">
            <v>0.36299999999999999</v>
          </cell>
          <cell r="H210" t="str">
            <v>industrials</v>
          </cell>
          <cell r="I210" t="str">
            <v>building_materials</v>
          </cell>
          <cell r="J210" t="str">
            <v>very_low_beta</v>
          </cell>
          <cell r="K210">
            <v>0</v>
          </cell>
        </row>
        <row r="211">
          <cell r="A211" t="str">
            <v>LJQQ3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0.48</v>
          </cell>
          <cell r="G211">
            <v>0.35599999999999998</v>
          </cell>
          <cell r="H211" t="str">
            <v>pro_cyclicals</v>
          </cell>
          <cell r="I211" t="str">
            <v>consumer_durables</v>
          </cell>
          <cell r="J211" t="str">
            <v>very_high_beta</v>
          </cell>
          <cell r="K211">
            <v>0</v>
          </cell>
        </row>
        <row r="212">
          <cell r="A212" t="str">
            <v>RCSL3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0.47499999999999998</v>
          </cell>
          <cell r="G212">
            <v>0.33400000000000002</v>
          </cell>
          <cell r="H212" t="str">
            <v>industrials</v>
          </cell>
          <cell r="I212" t="str">
            <v>capital_goods</v>
          </cell>
          <cell r="J212" t="str">
            <v>very_low_beta</v>
          </cell>
          <cell r="K212">
            <v>0</v>
          </cell>
        </row>
        <row r="213">
          <cell r="A213" t="str">
            <v>BRKM5</v>
          </cell>
          <cell r="B213">
            <v>0</v>
          </cell>
          <cell r="C213">
            <v>-2.9931000000000001E-4</v>
          </cell>
          <cell r="D213">
            <v>0</v>
          </cell>
          <cell r="E213">
            <v>2.9931000000000001E-4</v>
          </cell>
          <cell r="F213">
            <v>0.47499999999999998</v>
          </cell>
          <cell r="G213">
            <v>0.33900000000000002</v>
          </cell>
          <cell r="H213" t="str">
            <v>industrials</v>
          </cell>
          <cell r="I213" t="str">
            <v>chemicals</v>
          </cell>
          <cell r="J213" t="str">
            <v>very_low_beta</v>
          </cell>
          <cell r="K213">
            <v>0</v>
          </cell>
        </row>
        <row r="214">
          <cell r="A214" t="str">
            <v>OBTC3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0.47299999999999998</v>
          </cell>
          <cell r="G214">
            <v>0.375</v>
          </cell>
          <cell r="H214" t="str">
            <v>pro_cyclicals</v>
          </cell>
          <cell r="I214" t="str">
            <v>education</v>
          </cell>
          <cell r="J214" t="str">
            <v>low_beta</v>
          </cell>
          <cell r="K214">
            <v>0</v>
          </cell>
        </row>
        <row r="215">
          <cell r="A215" t="str">
            <v>AZEV4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0.47</v>
          </cell>
          <cell r="G215">
            <v>0.33100000000000002</v>
          </cell>
          <cell r="H215" t="str">
            <v>industrials</v>
          </cell>
          <cell r="I215" t="str">
            <v>building_materials</v>
          </cell>
          <cell r="J215" t="str">
            <v>neutral_beta</v>
          </cell>
          <cell r="K215">
            <v>0</v>
          </cell>
        </row>
        <row r="216">
          <cell r="A216" t="str">
            <v>GFSA3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0.46899999999999997</v>
          </cell>
          <cell r="G216">
            <v>0.33100000000000002</v>
          </cell>
          <cell r="H216" t="str">
            <v>pro_cyclicals</v>
          </cell>
          <cell r="I216" t="str">
            <v>homebuilders</v>
          </cell>
          <cell r="J216" t="str">
            <v>high_beta</v>
          </cell>
          <cell r="K216">
            <v>0</v>
          </cell>
        </row>
        <row r="217">
          <cell r="A217" t="str">
            <v>RCSL4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0.46800000000000003</v>
          </cell>
          <cell r="G217">
            <v>0.33</v>
          </cell>
          <cell r="H217" t="str">
            <v>industrials</v>
          </cell>
          <cell r="I217" t="str">
            <v>capital_goods</v>
          </cell>
          <cell r="J217" t="str">
            <v>very_low_beta</v>
          </cell>
          <cell r="K217">
            <v>0</v>
          </cell>
        </row>
        <row r="218">
          <cell r="A218" t="str">
            <v>AZUL53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0.46800000000000003</v>
          </cell>
          <cell r="G218">
            <v>0.33300000000000002</v>
          </cell>
          <cell r="H218" t="str">
            <v>pro_cyclicals</v>
          </cell>
          <cell r="I218" t="str">
            <v>consumer_services</v>
          </cell>
          <cell r="J218" t="str">
            <v>very_high_beta</v>
          </cell>
          <cell r="K218">
            <v>0</v>
          </cell>
        </row>
        <row r="219">
          <cell r="A219" t="str">
            <v>AERI3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0.46800000000000003</v>
          </cell>
          <cell r="G219">
            <v>0.35499999999999998</v>
          </cell>
          <cell r="H219" t="str">
            <v>industrials</v>
          </cell>
          <cell r="I219" t="str">
            <v>capital_goods</v>
          </cell>
          <cell r="J219" t="str">
            <v>very_low_beta</v>
          </cell>
          <cell r="K219">
            <v>0</v>
          </cell>
        </row>
        <row r="220">
          <cell r="A220" t="str">
            <v>RAIZ4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0.46800000000000003</v>
          </cell>
          <cell r="G220">
            <v>0.33200000000000002</v>
          </cell>
          <cell r="H220" t="str">
            <v>pro_cyclicals</v>
          </cell>
          <cell r="I220" t="str">
            <v>consumer_services</v>
          </cell>
          <cell r="J220" t="str">
            <v>very_high_beta</v>
          </cell>
          <cell r="K220">
            <v>0</v>
          </cell>
        </row>
        <row r="221">
          <cell r="A221" t="str">
            <v>ONCO3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0.46800000000000003</v>
          </cell>
          <cell r="G221">
            <v>0.33</v>
          </cell>
          <cell r="H221" t="str">
            <v>defensives</v>
          </cell>
          <cell r="I221" t="str">
            <v>healthcare</v>
          </cell>
          <cell r="J221" t="str">
            <v>high_beta</v>
          </cell>
          <cell r="K221">
            <v>0</v>
          </cell>
        </row>
        <row r="222">
          <cell r="A222" t="str">
            <v>PMAM3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0.46800000000000003</v>
          </cell>
          <cell r="G222">
            <v>0.33</v>
          </cell>
          <cell r="H222" t="str">
            <v>commodities</v>
          </cell>
          <cell r="I222" t="str">
            <v>basic_materials</v>
          </cell>
          <cell r="J222" t="str">
            <v>very_high_beta</v>
          </cell>
          <cell r="K222">
            <v>0</v>
          </cell>
        </row>
      </sheetData>
      <sheetData sheetId="4">
        <row r="9">
          <cell r="A9" t="str">
            <v>RIAA3</v>
          </cell>
          <cell r="B9">
            <v>1.6E-2</v>
          </cell>
          <cell r="C9">
            <v>1.4999999999999999E-2</v>
          </cell>
          <cell r="D9">
            <v>0</v>
          </cell>
          <cell r="E9">
            <v>1E-3</v>
          </cell>
          <cell r="F9">
            <v>3.2610000000000001</v>
          </cell>
          <cell r="G9">
            <v>2.5489999999999999</v>
          </cell>
          <cell r="H9" t="str">
            <v>pro_cyclicals</v>
          </cell>
          <cell r="I9" t="str">
            <v>apparel</v>
          </cell>
          <cell r="J9" t="str">
            <v>very_high_beta</v>
          </cell>
          <cell r="K9">
            <v>1.6E-2</v>
          </cell>
        </row>
        <row r="10">
          <cell r="A10" t="str">
            <v>JHSF3</v>
          </cell>
          <cell r="B10">
            <v>0.01</v>
          </cell>
          <cell r="C10">
            <v>0.01</v>
          </cell>
          <cell r="D10">
            <v>0.01</v>
          </cell>
          <cell r="E10">
            <v>0</v>
          </cell>
          <cell r="F10">
            <v>3.2610000000000001</v>
          </cell>
          <cell r="G10">
            <v>3.1240000000000001</v>
          </cell>
          <cell r="H10" t="str">
            <v>pro_cyclicals</v>
          </cell>
          <cell r="I10" t="str">
            <v>homebuilders</v>
          </cell>
          <cell r="J10" t="str">
            <v>very_high_beta</v>
          </cell>
          <cell r="K10">
            <v>0</v>
          </cell>
        </row>
        <row r="11">
          <cell r="A11" t="str">
            <v>WIZC3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3.2610000000000001</v>
          </cell>
          <cell r="G11">
            <v>3.4009999999999998</v>
          </cell>
          <cell r="H11" t="str">
            <v>defensives</v>
          </cell>
          <cell r="I11" t="str">
            <v>financial_services</v>
          </cell>
          <cell r="J11" t="str">
            <v>low_beta</v>
          </cell>
          <cell r="K11">
            <v>0</v>
          </cell>
        </row>
        <row r="12">
          <cell r="A12" t="str">
            <v>BMGB4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3.2610000000000001</v>
          </cell>
          <cell r="G12">
            <v>3.2930000000000001</v>
          </cell>
          <cell r="H12" t="str">
            <v>pro_cyclicals</v>
          </cell>
          <cell r="I12" t="str">
            <v>banks</v>
          </cell>
          <cell r="J12" t="str">
            <v>high_beta</v>
          </cell>
          <cell r="K12">
            <v>0</v>
          </cell>
        </row>
        <row r="13">
          <cell r="A13" t="str">
            <v>ALLD3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3.2610000000000001</v>
          </cell>
          <cell r="G13">
            <v>2.5209999999999999</v>
          </cell>
          <cell r="H13" t="str">
            <v>pro_cyclicals</v>
          </cell>
          <cell r="I13" t="str">
            <v>consumer_durables</v>
          </cell>
          <cell r="J13" t="str">
            <v>very_low_beta</v>
          </cell>
          <cell r="K13">
            <v>0</v>
          </cell>
        </row>
        <row r="14">
          <cell r="A14" t="str">
            <v>CSED3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3.2610000000000001</v>
          </cell>
          <cell r="G14">
            <v>2.5659999999999998</v>
          </cell>
          <cell r="H14" t="str">
            <v>pro_cyclicals</v>
          </cell>
          <cell r="I14" t="str">
            <v>education</v>
          </cell>
          <cell r="J14" t="str">
            <v>high_beta</v>
          </cell>
          <cell r="K14">
            <v>0</v>
          </cell>
        </row>
        <row r="15">
          <cell r="A15" t="str">
            <v>SYNE3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3.2570000000000001</v>
          </cell>
          <cell r="G15">
            <v>2.5289999999999999</v>
          </cell>
          <cell r="H15" t="str">
            <v>bond_proxies</v>
          </cell>
          <cell r="I15" t="str">
            <v>real_estate</v>
          </cell>
          <cell r="J15" t="str">
            <v>neutral_beta</v>
          </cell>
          <cell r="K15">
            <v>0</v>
          </cell>
        </row>
        <row r="16">
          <cell r="A16" t="str">
            <v>POMO3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3.2280000000000002</v>
          </cell>
          <cell r="G16">
            <v>2.9239999999999999</v>
          </cell>
          <cell r="H16" t="str">
            <v>industrials</v>
          </cell>
          <cell r="I16" t="str">
            <v>capital_goods</v>
          </cell>
          <cell r="J16" t="str">
            <v>neutral_beta</v>
          </cell>
          <cell r="K16">
            <v>0</v>
          </cell>
        </row>
        <row r="17">
          <cell r="A17" t="str">
            <v>SHUL4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3.1320000000000001</v>
          </cell>
          <cell r="G17">
            <v>3.827</v>
          </cell>
          <cell r="H17" t="str">
            <v>industrials</v>
          </cell>
          <cell r="I17" t="str">
            <v>capital_goods</v>
          </cell>
          <cell r="J17" t="str">
            <v>low_beta</v>
          </cell>
          <cell r="K17">
            <v>0</v>
          </cell>
        </row>
        <row r="18">
          <cell r="A18" t="str">
            <v>FIQE3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3.0819999999999999</v>
          </cell>
          <cell r="G18">
            <v>3.133</v>
          </cell>
          <cell r="H18" t="str">
            <v>bond_proxies</v>
          </cell>
          <cell r="I18" t="str">
            <v>telecom</v>
          </cell>
          <cell r="J18" t="str">
            <v>low_beta</v>
          </cell>
          <cell r="K18">
            <v>0</v>
          </cell>
        </row>
        <row r="19">
          <cell r="A19" t="str">
            <v>MTRE3</v>
          </cell>
          <cell r="B19">
            <v>3.4000000000000002E-2</v>
          </cell>
          <cell r="C19">
            <v>3.4000000000000002E-2</v>
          </cell>
          <cell r="D19">
            <v>-1.0000000000000009E-3</v>
          </cell>
          <cell r="E19">
            <v>0</v>
          </cell>
          <cell r="F19">
            <v>3.077</v>
          </cell>
          <cell r="G19">
            <v>3.0920000000000001</v>
          </cell>
          <cell r="H19" t="str">
            <v>pro_cyclicals</v>
          </cell>
          <cell r="I19" t="str">
            <v>homebuilders</v>
          </cell>
          <cell r="J19" t="str">
            <v>neutral_beta</v>
          </cell>
          <cell r="K19">
            <v>3.5000000000000003E-2</v>
          </cell>
        </row>
        <row r="20">
          <cell r="A20" t="str">
            <v>BRSR6</v>
          </cell>
          <cell r="B20">
            <v>0.01</v>
          </cell>
          <cell r="C20">
            <v>0.01</v>
          </cell>
          <cell r="D20">
            <v>0.01</v>
          </cell>
          <cell r="E20">
            <v>0</v>
          </cell>
          <cell r="F20">
            <v>3.0529999999999999</v>
          </cell>
          <cell r="G20">
            <v>3.218</v>
          </cell>
          <cell r="H20" t="str">
            <v>pro_cyclicals</v>
          </cell>
          <cell r="I20" t="str">
            <v>banks</v>
          </cell>
          <cell r="J20" t="str">
            <v>high_beta</v>
          </cell>
          <cell r="K20">
            <v>0</v>
          </cell>
        </row>
        <row r="21">
          <cell r="A21" t="str">
            <v>GRND3</v>
          </cell>
          <cell r="B21">
            <v>0.01</v>
          </cell>
          <cell r="C21">
            <v>0.01</v>
          </cell>
          <cell r="D21">
            <v>0.01</v>
          </cell>
          <cell r="E21">
            <v>0</v>
          </cell>
          <cell r="F21">
            <v>3.0070000000000001</v>
          </cell>
          <cell r="G21">
            <v>3.0369999999999999</v>
          </cell>
          <cell r="H21" t="str">
            <v>pro_cyclicals</v>
          </cell>
          <cell r="I21" t="str">
            <v>apparel</v>
          </cell>
          <cell r="J21" t="str">
            <v>very_low_beta</v>
          </cell>
          <cell r="K21">
            <v>0</v>
          </cell>
        </row>
        <row r="22">
          <cell r="A22" t="str">
            <v>TIMS3</v>
          </cell>
          <cell r="B22">
            <v>3.1E-2</v>
          </cell>
          <cell r="C22">
            <v>2.9999999999999992E-3</v>
          </cell>
          <cell r="D22">
            <v>0</v>
          </cell>
          <cell r="E22">
            <v>2.8000000000000001E-2</v>
          </cell>
          <cell r="F22">
            <v>2.9980000000000002</v>
          </cell>
          <cell r="G22">
            <v>5.74</v>
          </cell>
          <cell r="H22" t="str">
            <v>bond_proxies</v>
          </cell>
          <cell r="I22" t="str">
            <v>telecom</v>
          </cell>
          <cell r="J22" t="str">
            <v>very_low_beta</v>
          </cell>
          <cell r="K22">
            <v>3.1E-2</v>
          </cell>
        </row>
        <row r="23">
          <cell r="A23" t="str">
            <v>SAPR4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2.9329999999999998</v>
          </cell>
          <cell r="G23">
            <v>3.1230000000000002</v>
          </cell>
          <cell r="H23" t="str">
            <v>bond_proxies</v>
          </cell>
          <cell r="I23" t="str">
            <v>utilities</v>
          </cell>
          <cell r="J23" t="str">
            <v>low_beta</v>
          </cell>
          <cell r="K23">
            <v>0</v>
          </cell>
        </row>
        <row r="24">
          <cell r="A24" t="str">
            <v>PFRM3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2.887</v>
          </cell>
          <cell r="G24">
            <v>2.2949999999999999</v>
          </cell>
          <cell r="H24" t="str">
            <v>defensives</v>
          </cell>
          <cell r="I24" t="str">
            <v>healthcare</v>
          </cell>
          <cell r="J24" t="str">
            <v>high_beta</v>
          </cell>
          <cell r="K24">
            <v>0</v>
          </cell>
        </row>
        <row r="25">
          <cell r="A25" t="str">
            <v>SAPR3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2.85</v>
          </cell>
          <cell r="G25">
            <v>2.4390000000000001</v>
          </cell>
          <cell r="H25" t="str">
            <v>bond_proxies</v>
          </cell>
          <cell r="I25" t="str">
            <v>utilities</v>
          </cell>
          <cell r="J25" t="str">
            <v>high_beta</v>
          </cell>
          <cell r="K25">
            <v>0</v>
          </cell>
        </row>
        <row r="26">
          <cell r="A26" t="str">
            <v>DEXP3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2.8290000000000002</v>
          </cell>
          <cell r="G26">
            <v>2.6629999999999998</v>
          </cell>
          <cell r="H26" t="str">
            <v>industrials</v>
          </cell>
          <cell r="I26" t="str">
            <v>chemicals</v>
          </cell>
          <cell r="J26" t="str">
            <v>very_low_beta</v>
          </cell>
          <cell r="K26">
            <v>0</v>
          </cell>
        </row>
        <row r="27">
          <cell r="A27" t="str">
            <v>PETR4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2.806</v>
          </cell>
          <cell r="G27">
            <v>3.202</v>
          </cell>
          <cell r="H27" t="str">
            <v>commodities</v>
          </cell>
          <cell r="I27" t="str">
            <v>crude_oil</v>
          </cell>
          <cell r="J27" t="str">
            <v>very_low_beta</v>
          </cell>
          <cell r="K27">
            <v>0</v>
          </cell>
        </row>
        <row r="28">
          <cell r="A28" t="str">
            <v>LEVE3</v>
          </cell>
          <cell r="B28">
            <v>0.01</v>
          </cell>
          <cell r="C28">
            <v>0.01</v>
          </cell>
          <cell r="D28">
            <v>0.01</v>
          </cell>
          <cell r="E28">
            <v>0</v>
          </cell>
          <cell r="F28">
            <v>2.6960000000000002</v>
          </cell>
          <cell r="G28">
            <v>3.1549999999999998</v>
          </cell>
          <cell r="H28" t="str">
            <v>industrials</v>
          </cell>
          <cell r="I28" t="str">
            <v>capital_goods</v>
          </cell>
          <cell r="J28" t="str">
            <v>very_low_beta</v>
          </cell>
          <cell r="K28">
            <v>0</v>
          </cell>
        </row>
        <row r="29">
          <cell r="A29" t="str">
            <v>PETR3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2.6859999999999999</v>
          </cell>
          <cell r="G29">
            <v>2.8439999999999999</v>
          </cell>
          <cell r="H29" t="str">
            <v>commodities</v>
          </cell>
          <cell r="I29" t="str">
            <v>crude_oil</v>
          </cell>
          <cell r="J29" t="str">
            <v>very_low_beta</v>
          </cell>
          <cell r="K29">
            <v>0</v>
          </cell>
        </row>
        <row r="30">
          <cell r="A30" t="str">
            <v>ABCB4</v>
          </cell>
          <cell r="B30">
            <v>0.01</v>
          </cell>
          <cell r="C30">
            <v>0.01</v>
          </cell>
          <cell r="D30">
            <v>0.01</v>
          </cell>
          <cell r="E30">
            <v>0</v>
          </cell>
          <cell r="F30">
            <v>2.6669999999999998</v>
          </cell>
          <cell r="G30">
            <v>3.4089999999999998</v>
          </cell>
          <cell r="H30" t="str">
            <v>pro_cyclicals</v>
          </cell>
          <cell r="I30" t="str">
            <v>banks</v>
          </cell>
          <cell r="J30" t="str">
            <v>neutral_beta</v>
          </cell>
          <cell r="K30">
            <v>0</v>
          </cell>
        </row>
        <row r="31">
          <cell r="A31" t="str">
            <v>ALPA4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2.6120000000000001</v>
          </cell>
          <cell r="G31">
            <v>2.165</v>
          </cell>
          <cell r="H31" t="str">
            <v>pro_cyclicals</v>
          </cell>
          <cell r="I31" t="str">
            <v>apparel</v>
          </cell>
          <cell r="J31" t="str">
            <v>high_beta</v>
          </cell>
          <cell r="K31">
            <v>0</v>
          </cell>
        </row>
        <row r="32">
          <cell r="A32" t="str">
            <v>SAPR11</v>
          </cell>
          <cell r="B32">
            <v>2.1999999999999999E-2</v>
          </cell>
          <cell r="C32">
            <v>6.9999999999999993E-3</v>
          </cell>
          <cell r="D32">
            <v>0</v>
          </cell>
          <cell r="E32">
            <v>1.4999999999999999E-2</v>
          </cell>
          <cell r="F32">
            <v>2.581</v>
          </cell>
          <cell r="G32">
            <v>4.0350000000000001</v>
          </cell>
          <cell r="H32" t="str">
            <v>bond_proxies</v>
          </cell>
          <cell r="I32" t="str">
            <v>utilities</v>
          </cell>
          <cell r="J32" t="str">
            <v>neutral_beta</v>
          </cell>
          <cell r="K32">
            <v>2.1999999999999999E-2</v>
          </cell>
        </row>
        <row r="33">
          <cell r="A33" t="str">
            <v>POMO4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2.5640000000000001</v>
          </cell>
          <cell r="G33">
            <v>2.323</v>
          </cell>
          <cell r="H33" t="str">
            <v>industrials</v>
          </cell>
          <cell r="I33" t="str">
            <v>capital_goods</v>
          </cell>
          <cell r="J33" t="str">
            <v>high_beta</v>
          </cell>
          <cell r="K33">
            <v>0</v>
          </cell>
        </row>
        <row r="34">
          <cell r="A34" t="str">
            <v>LOGG3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2.512</v>
          </cell>
          <cell r="G34">
            <v>2.6890000000000001</v>
          </cell>
          <cell r="H34" t="str">
            <v>bond_proxies</v>
          </cell>
          <cell r="I34" t="str">
            <v>real_estate</v>
          </cell>
          <cell r="J34" t="str">
            <v>low_beta</v>
          </cell>
          <cell r="K34">
            <v>0</v>
          </cell>
        </row>
        <row r="35">
          <cell r="A35" t="str">
            <v>ODPV3</v>
          </cell>
          <cell r="B35">
            <v>1.7999999999999999E-2</v>
          </cell>
          <cell r="C35">
            <v>1.0999999999999999E-2</v>
          </cell>
          <cell r="D35">
            <v>0</v>
          </cell>
          <cell r="E35">
            <v>7.0000000000000001E-3</v>
          </cell>
          <cell r="F35">
            <v>2.4740000000000002</v>
          </cell>
          <cell r="G35">
            <v>2.7559999999999998</v>
          </cell>
          <cell r="H35" t="str">
            <v>defensives</v>
          </cell>
          <cell r="I35" t="str">
            <v>healthcare</v>
          </cell>
          <cell r="J35" t="str">
            <v>very_low_beta</v>
          </cell>
          <cell r="K35">
            <v>1.7999999999999999E-2</v>
          </cell>
        </row>
        <row r="36">
          <cell r="A36" t="str">
            <v>EVEN3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2.3519999999999999</v>
          </cell>
          <cell r="G36">
            <v>2.3879999999999999</v>
          </cell>
          <cell r="H36" t="str">
            <v>pro_cyclicals</v>
          </cell>
          <cell r="I36" t="str">
            <v>homebuilders</v>
          </cell>
          <cell r="J36" t="str">
            <v>high_beta</v>
          </cell>
          <cell r="K36">
            <v>0</v>
          </cell>
        </row>
        <row r="37">
          <cell r="A37" t="str">
            <v>CURY3</v>
          </cell>
          <cell r="B37">
            <v>0.01</v>
          </cell>
          <cell r="C37">
            <v>0.01</v>
          </cell>
          <cell r="D37">
            <v>0.01</v>
          </cell>
          <cell r="E37">
            <v>0</v>
          </cell>
          <cell r="F37">
            <v>2.3519999999999999</v>
          </cell>
          <cell r="G37">
            <v>2.2879999999999998</v>
          </cell>
          <cell r="H37" t="str">
            <v>pro_cyclicals</v>
          </cell>
          <cell r="I37" t="str">
            <v>homebuilders</v>
          </cell>
          <cell r="J37" t="str">
            <v>low_beta</v>
          </cell>
          <cell r="K37">
            <v>0</v>
          </cell>
        </row>
        <row r="38">
          <cell r="A38" t="str">
            <v>ALOS3</v>
          </cell>
          <cell r="B38">
            <v>4.9000000000000002E-2</v>
          </cell>
          <cell r="C38">
            <v>2.7000000000000003E-2</v>
          </cell>
          <cell r="D38">
            <v>0</v>
          </cell>
          <cell r="E38">
            <v>2.1999999999999999E-2</v>
          </cell>
          <cell r="F38">
            <v>2.3479999999999999</v>
          </cell>
          <cell r="G38">
            <v>4.9859999999999998</v>
          </cell>
          <cell r="H38" t="str">
            <v>bond_proxies</v>
          </cell>
          <cell r="I38" t="str">
            <v>real_estate</v>
          </cell>
          <cell r="J38" t="str">
            <v>high_beta</v>
          </cell>
          <cell r="K38">
            <v>4.9000000000000002E-2</v>
          </cell>
        </row>
        <row r="39">
          <cell r="A39" t="str">
            <v>ITSA3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2.3340000000000001</v>
          </cell>
          <cell r="G39">
            <v>3.1</v>
          </cell>
          <cell r="H39" t="str">
            <v>pro_cyclicals</v>
          </cell>
          <cell r="I39" t="str">
            <v>banks</v>
          </cell>
          <cell r="J39" t="str">
            <v>neutral_beta</v>
          </cell>
          <cell r="K39">
            <v>0</v>
          </cell>
        </row>
        <row r="40">
          <cell r="A40" t="str">
            <v>MELK3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2.3149999999999999</v>
          </cell>
          <cell r="G40">
            <v>2.5059999999999998</v>
          </cell>
          <cell r="H40" t="str">
            <v>pro_cyclicals</v>
          </cell>
          <cell r="I40" t="str">
            <v>homebuilders</v>
          </cell>
          <cell r="J40" t="str">
            <v>neutral_beta</v>
          </cell>
          <cell r="K40">
            <v>0</v>
          </cell>
        </row>
        <row r="41">
          <cell r="A41" t="str">
            <v>VLID3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2.2770000000000001</v>
          </cell>
          <cell r="G41">
            <v>2.2639999999999998</v>
          </cell>
          <cell r="H41" t="str">
            <v>pro_cyclicals</v>
          </cell>
          <cell r="I41" t="str">
            <v>tech</v>
          </cell>
          <cell r="J41" t="str">
            <v>low_beta</v>
          </cell>
          <cell r="K41">
            <v>0</v>
          </cell>
        </row>
        <row r="42">
          <cell r="A42" t="str">
            <v>TRIS3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2.2280000000000002</v>
          </cell>
          <cell r="G42">
            <v>1.641</v>
          </cell>
          <cell r="H42" t="str">
            <v>pro_cyclicals</v>
          </cell>
          <cell r="I42" t="str">
            <v>homebuilders</v>
          </cell>
          <cell r="J42" t="str">
            <v>high_beta</v>
          </cell>
          <cell r="K42">
            <v>0</v>
          </cell>
        </row>
        <row r="43">
          <cell r="A43" t="str">
            <v>VULC3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2.2240000000000002</v>
          </cell>
          <cell r="G43">
            <v>2.4319999999999999</v>
          </cell>
          <cell r="H43" t="str">
            <v>pro_cyclicals</v>
          </cell>
          <cell r="I43" t="str">
            <v>apparel</v>
          </cell>
          <cell r="J43" t="str">
            <v>low_beta</v>
          </cell>
          <cell r="K43">
            <v>0</v>
          </cell>
        </row>
        <row r="44">
          <cell r="A44" t="str">
            <v>INTB3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2.2210000000000001</v>
          </cell>
          <cell r="G44">
            <v>2.0939999999999999</v>
          </cell>
          <cell r="H44" t="str">
            <v>pro_cyclicals</v>
          </cell>
          <cell r="I44" t="str">
            <v>tech</v>
          </cell>
          <cell r="J44" t="str">
            <v>high_beta</v>
          </cell>
          <cell r="K44">
            <v>0</v>
          </cell>
        </row>
        <row r="45">
          <cell r="A45" t="str">
            <v>BMEB4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2.1819999999999999</v>
          </cell>
          <cell r="G45">
            <v>1.6160000000000001</v>
          </cell>
          <cell r="H45" t="str">
            <v>pro_cyclicals</v>
          </cell>
          <cell r="I45" t="str">
            <v>banks</v>
          </cell>
          <cell r="J45" t="str">
            <v>high_beta</v>
          </cell>
          <cell r="K45">
            <v>0</v>
          </cell>
        </row>
        <row r="46">
          <cell r="A46" t="str">
            <v>MLAS3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2.15</v>
          </cell>
          <cell r="G46">
            <v>1.6180000000000001</v>
          </cell>
          <cell r="H46" t="str">
            <v>pro_cyclicals</v>
          </cell>
          <cell r="I46" t="str">
            <v>tech</v>
          </cell>
          <cell r="J46" t="str">
            <v>neutral_beta</v>
          </cell>
          <cell r="K46">
            <v>0</v>
          </cell>
        </row>
        <row r="47">
          <cell r="A47" t="str">
            <v>ALUP11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2.081</v>
          </cell>
          <cell r="G47">
            <v>2.7629999999999999</v>
          </cell>
          <cell r="H47" t="str">
            <v>bond_proxies</v>
          </cell>
          <cell r="I47" t="str">
            <v>utilities</v>
          </cell>
          <cell r="J47" t="str">
            <v>very_low_beta</v>
          </cell>
          <cell r="K47">
            <v>0</v>
          </cell>
        </row>
        <row r="48">
          <cell r="A48" t="str">
            <v>PNVL3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2.0649999999999999</v>
          </cell>
          <cell r="G48">
            <v>2.2250000000000001</v>
          </cell>
          <cell r="H48" t="str">
            <v>defensives</v>
          </cell>
          <cell r="I48" t="str">
            <v>healthcare</v>
          </cell>
          <cell r="J48" t="str">
            <v>neutral_beta</v>
          </cell>
          <cell r="K48">
            <v>0</v>
          </cell>
        </row>
        <row r="49">
          <cell r="A49" t="str">
            <v>RECV3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2.0209999999999999</v>
          </cell>
          <cell r="G49">
            <v>1.915</v>
          </cell>
          <cell r="H49" t="str">
            <v>commodities</v>
          </cell>
          <cell r="I49" t="str">
            <v>crude_oil</v>
          </cell>
          <cell r="J49" t="str">
            <v>very_low_beta</v>
          </cell>
          <cell r="K49">
            <v>0</v>
          </cell>
        </row>
        <row r="50">
          <cell r="A50" t="str">
            <v>OPCT3</v>
          </cell>
          <cell r="B50">
            <v>2.1999999999999999E-2</v>
          </cell>
          <cell r="C50">
            <v>1.9999999999999997E-2</v>
          </cell>
          <cell r="D50">
            <v>0</v>
          </cell>
          <cell r="E50">
            <v>2E-3</v>
          </cell>
          <cell r="F50">
            <v>1.992</v>
          </cell>
          <cell r="G50">
            <v>2.262</v>
          </cell>
          <cell r="H50" t="str">
            <v>commodities</v>
          </cell>
          <cell r="I50" t="str">
            <v>crude_oil</v>
          </cell>
          <cell r="J50" t="str">
            <v>very_low_beta</v>
          </cell>
          <cell r="K50">
            <v>2.1999999999999999E-2</v>
          </cell>
        </row>
        <row r="51">
          <cell r="A51" t="str">
            <v>LAVV3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1.9830000000000001</v>
          </cell>
          <cell r="G51">
            <v>2.2599999999999998</v>
          </cell>
          <cell r="H51" t="str">
            <v>pro_cyclicals</v>
          </cell>
          <cell r="I51" t="str">
            <v>homebuilders</v>
          </cell>
          <cell r="J51" t="str">
            <v>high_beta</v>
          </cell>
          <cell r="K51">
            <v>0</v>
          </cell>
        </row>
        <row r="52">
          <cell r="A52" t="str">
            <v>VIVT3</v>
          </cell>
          <cell r="B52">
            <v>2.8000000000000001E-2</v>
          </cell>
          <cell r="C52">
            <v>-1.9999999999999983E-3</v>
          </cell>
          <cell r="D52">
            <v>0</v>
          </cell>
          <cell r="E52">
            <v>0.03</v>
          </cell>
          <cell r="F52">
            <v>1.978</v>
          </cell>
          <cell r="G52">
            <v>4.0359999999999996</v>
          </cell>
          <cell r="H52" t="str">
            <v>bond_proxies</v>
          </cell>
          <cell r="I52" t="str">
            <v>telecom</v>
          </cell>
          <cell r="J52" t="str">
            <v>very_low_beta</v>
          </cell>
          <cell r="K52">
            <v>2.8000000000000001E-2</v>
          </cell>
        </row>
        <row r="53">
          <cell r="A53" t="str">
            <v>PINE4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1.9630000000000001</v>
          </cell>
          <cell r="G53">
            <v>1.5189999999999999</v>
          </cell>
          <cell r="H53" t="str">
            <v>pro_cyclicals</v>
          </cell>
          <cell r="I53" t="str">
            <v>banks</v>
          </cell>
          <cell r="J53" t="str">
            <v>neutral_beta</v>
          </cell>
          <cell r="K53">
            <v>0</v>
          </cell>
        </row>
        <row r="54">
          <cell r="A54" t="str">
            <v>BMOB3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1.913</v>
          </cell>
          <cell r="G54">
            <v>1.8580000000000001</v>
          </cell>
          <cell r="H54" t="str">
            <v>pro_cyclicals</v>
          </cell>
          <cell r="I54" t="str">
            <v>tech</v>
          </cell>
          <cell r="J54" t="str">
            <v>high_beta</v>
          </cell>
          <cell r="K54">
            <v>0</v>
          </cell>
        </row>
        <row r="55">
          <cell r="A55" t="str">
            <v>POSI3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1.847</v>
          </cell>
          <cell r="G55">
            <v>1.5589999999999999</v>
          </cell>
          <cell r="H55" t="str">
            <v>pro_cyclicals</v>
          </cell>
          <cell r="I55" t="str">
            <v>tech</v>
          </cell>
          <cell r="J55" t="str">
            <v>low_beta</v>
          </cell>
          <cell r="K55">
            <v>0</v>
          </cell>
        </row>
        <row r="56">
          <cell r="A56" t="str">
            <v>ITSA4</v>
          </cell>
          <cell r="B56">
            <v>5.0999999999999997E-2</v>
          </cell>
          <cell r="C56">
            <v>2.3999999999999997E-2</v>
          </cell>
          <cell r="D56">
            <v>0</v>
          </cell>
          <cell r="E56">
            <v>2.7E-2</v>
          </cell>
          <cell r="F56">
            <v>1.845</v>
          </cell>
          <cell r="G56">
            <v>3.9180000000000001</v>
          </cell>
          <cell r="H56" t="str">
            <v>pro_cyclicals</v>
          </cell>
          <cell r="I56" t="str">
            <v>banks</v>
          </cell>
          <cell r="J56" t="str">
            <v>neutral_beta</v>
          </cell>
          <cell r="K56">
            <v>5.0999999999999997E-2</v>
          </cell>
        </row>
        <row r="57">
          <cell r="A57" t="str">
            <v>ABEV3</v>
          </cell>
          <cell r="B57">
            <v>2.4E-2</v>
          </cell>
          <cell r="C57">
            <v>2.9999999999999992E-3</v>
          </cell>
          <cell r="D57">
            <v>0</v>
          </cell>
          <cell r="E57">
            <v>2.1000000000000001E-2</v>
          </cell>
          <cell r="F57">
            <v>1.8420000000000001</v>
          </cell>
          <cell r="G57">
            <v>3.7370000000000001</v>
          </cell>
          <cell r="H57" t="str">
            <v>defensives</v>
          </cell>
          <cell r="I57" t="str">
            <v>consumer_staples</v>
          </cell>
          <cell r="J57" t="str">
            <v>very_low_beta</v>
          </cell>
          <cell r="K57">
            <v>2.4E-2</v>
          </cell>
        </row>
        <row r="58">
          <cell r="A58" t="str">
            <v>VVEO3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1.84</v>
          </cell>
          <cell r="G58">
            <v>1.2909999999999999</v>
          </cell>
          <cell r="H58" t="str">
            <v>defensives</v>
          </cell>
          <cell r="I58" t="str">
            <v>healthcare</v>
          </cell>
          <cell r="J58" t="str">
            <v>high_beta</v>
          </cell>
          <cell r="K58">
            <v>0</v>
          </cell>
        </row>
        <row r="59">
          <cell r="A59" t="str">
            <v>BRAP3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1.794</v>
          </cell>
          <cell r="G59">
            <v>2.2589999999999999</v>
          </cell>
          <cell r="H59" t="str">
            <v>commodities</v>
          </cell>
          <cell r="I59" t="str">
            <v>basic_materials</v>
          </cell>
          <cell r="J59" t="str">
            <v>low_beta</v>
          </cell>
          <cell r="K59">
            <v>0</v>
          </cell>
        </row>
        <row r="60">
          <cell r="A60" t="str">
            <v>MDNE3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1.792</v>
          </cell>
          <cell r="G60">
            <v>1.401</v>
          </cell>
          <cell r="H60" t="str">
            <v>pro_cyclicals</v>
          </cell>
          <cell r="I60" t="str">
            <v>homebuilders</v>
          </cell>
          <cell r="J60" t="str">
            <v>very_high_beta</v>
          </cell>
          <cell r="K60">
            <v>0</v>
          </cell>
        </row>
        <row r="61">
          <cell r="A61" t="str">
            <v>PSSA3</v>
          </cell>
          <cell r="B61">
            <v>2.5000000000000001E-2</v>
          </cell>
          <cell r="C61">
            <v>9.0000000000000011E-3</v>
          </cell>
          <cell r="D61">
            <v>0</v>
          </cell>
          <cell r="E61">
            <v>1.6E-2</v>
          </cell>
          <cell r="F61">
            <v>1.7889999999999999</v>
          </cell>
          <cell r="G61">
            <v>3.0209999999999999</v>
          </cell>
          <cell r="H61" t="str">
            <v>defensives</v>
          </cell>
          <cell r="I61" t="str">
            <v>float_financials</v>
          </cell>
          <cell r="J61" t="str">
            <v>very_low_beta</v>
          </cell>
          <cell r="K61">
            <v>2.5000000000000001E-2</v>
          </cell>
        </row>
        <row r="62">
          <cell r="A62" t="str">
            <v>NEOE3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1.7529999999999999</v>
          </cell>
          <cell r="G62">
            <v>2.0990000000000002</v>
          </cell>
          <cell r="H62" t="str">
            <v>bond_proxies</v>
          </cell>
          <cell r="I62" t="str">
            <v>utilities</v>
          </cell>
          <cell r="J62" t="str">
            <v>very_low_beta</v>
          </cell>
          <cell r="K62">
            <v>0</v>
          </cell>
        </row>
        <row r="63">
          <cell r="A63" t="str">
            <v>SEER3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1.7250000000000001</v>
          </cell>
          <cell r="G63">
            <v>1.2470000000000001</v>
          </cell>
          <cell r="H63" t="str">
            <v>pro_cyclicals</v>
          </cell>
          <cell r="I63" t="str">
            <v>education</v>
          </cell>
          <cell r="J63" t="str">
            <v>neutral_beta</v>
          </cell>
          <cell r="K63">
            <v>0</v>
          </cell>
        </row>
        <row r="64">
          <cell r="A64" t="str">
            <v>CAML3</v>
          </cell>
          <cell r="B64">
            <v>2.1000000000000001E-2</v>
          </cell>
          <cell r="C64">
            <v>0.02</v>
          </cell>
          <cell r="D64">
            <v>0</v>
          </cell>
          <cell r="E64">
            <v>1E-3</v>
          </cell>
          <cell r="F64">
            <v>1.641</v>
          </cell>
          <cell r="G64">
            <v>1.583</v>
          </cell>
          <cell r="H64" t="str">
            <v>defensives</v>
          </cell>
          <cell r="I64" t="str">
            <v>consumer_staples</v>
          </cell>
          <cell r="J64" t="str">
            <v>very_high_beta</v>
          </cell>
          <cell r="K64">
            <v>2.1000000000000001E-2</v>
          </cell>
        </row>
        <row r="65">
          <cell r="A65" t="str">
            <v>HBRE3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1.6180000000000001</v>
          </cell>
          <cell r="G65">
            <v>1.2470000000000001</v>
          </cell>
          <cell r="H65" t="str">
            <v>bond_proxies</v>
          </cell>
          <cell r="I65" t="str">
            <v>real_estate</v>
          </cell>
          <cell r="J65" t="str">
            <v>very_high_beta</v>
          </cell>
          <cell r="K65">
            <v>0</v>
          </cell>
        </row>
        <row r="66">
          <cell r="A66" t="str">
            <v>ITUB3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1.5840000000000001</v>
          </cell>
          <cell r="G66">
            <v>2.1030000000000002</v>
          </cell>
          <cell r="H66" t="str">
            <v>pro_cyclicals</v>
          </cell>
          <cell r="I66" t="str">
            <v>banks</v>
          </cell>
          <cell r="J66" t="str">
            <v>neutral_beta</v>
          </cell>
          <cell r="K66">
            <v>0</v>
          </cell>
        </row>
        <row r="67">
          <cell r="A67" t="str">
            <v>BBSE3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1.5409999999999999</v>
          </cell>
          <cell r="G67">
            <v>1.9530000000000001</v>
          </cell>
          <cell r="H67" t="str">
            <v>defensives</v>
          </cell>
          <cell r="I67" t="str">
            <v>float_financials</v>
          </cell>
          <cell r="J67" t="str">
            <v>very_low_beta</v>
          </cell>
          <cell r="K67">
            <v>0</v>
          </cell>
        </row>
        <row r="68">
          <cell r="A68" t="str">
            <v>TAEE3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1.478</v>
          </cell>
          <cell r="G68">
            <v>1.944</v>
          </cell>
          <cell r="H68" t="str">
            <v>bond_proxies</v>
          </cell>
          <cell r="I68" t="str">
            <v>utilities</v>
          </cell>
          <cell r="J68" t="str">
            <v>low_beta</v>
          </cell>
          <cell r="K68">
            <v>0</v>
          </cell>
        </row>
        <row r="69">
          <cell r="A69" t="str">
            <v>TAEE4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1.4590000000000001</v>
          </cell>
          <cell r="G69">
            <v>1.9379999999999999</v>
          </cell>
          <cell r="H69" t="str">
            <v>bond_proxies</v>
          </cell>
          <cell r="I69" t="str">
            <v>utilities</v>
          </cell>
          <cell r="J69" t="str">
            <v>low_beta</v>
          </cell>
          <cell r="K69">
            <v>0</v>
          </cell>
        </row>
        <row r="70">
          <cell r="A70" t="str">
            <v>AZZA3</v>
          </cell>
          <cell r="B70">
            <v>0.02</v>
          </cell>
          <cell r="C70">
            <v>1.4999999999999999E-2</v>
          </cell>
          <cell r="D70">
            <v>0</v>
          </cell>
          <cell r="E70">
            <v>5.0000000000000001E-3</v>
          </cell>
          <cell r="F70">
            <v>1.4379999999999999</v>
          </cell>
          <cell r="G70">
            <v>1.159</v>
          </cell>
          <cell r="H70" t="str">
            <v>pro_cyclicals</v>
          </cell>
          <cell r="I70" t="str">
            <v>apparel</v>
          </cell>
          <cell r="J70" t="str">
            <v>neutral_beta</v>
          </cell>
          <cell r="K70">
            <v>0.02</v>
          </cell>
        </row>
        <row r="71">
          <cell r="A71" t="str">
            <v>AXIA6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1.4339999999999999</v>
          </cell>
          <cell r="G71">
            <v>1.778</v>
          </cell>
          <cell r="H71" t="str">
            <v>bond_proxies</v>
          </cell>
          <cell r="I71" t="str">
            <v>utilities</v>
          </cell>
          <cell r="J71" t="str">
            <v>high_beta</v>
          </cell>
          <cell r="K71">
            <v>0</v>
          </cell>
        </row>
        <row r="72">
          <cell r="A72" t="str">
            <v>BBDC3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1.429</v>
          </cell>
          <cell r="G72">
            <v>1.8360000000000001</v>
          </cell>
          <cell r="H72" t="str">
            <v>pro_cyclicals</v>
          </cell>
          <cell r="I72" t="str">
            <v>banks</v>
          </cell>
          <cell r="J72" t="str">
            <v>neutral_beta</v>
          </cell>
          <cell r="K72">
            <v>0</v>
          </cell>
        </row>
        <row r="73">
          <cell r="A73" t="str">
            <v>BRBI11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1.37</v>
          </cell>
          <cell r="G73">
            <v>1.3280000000000001</v>
          </cell>
          <cell r="H73" t="str">
            <v>pro_cyclicals</v>
          </cell>
          <cell r="I73" t="str">
            <v>banks</v>
          </cell>
          <cell r="J73" t="str">
            <v>very_low_beta</v>
          </cell>
          <cell r="K73">
            <v>0</v>
          </cell>
        </row>
        <row r="74">
          <cell r="A74" t="str">
            <v>CPLE3</v>
          </cell>
          <cell r="B74">
            <v>4.7E-2</v>
          </cell>
          <cell r="C74">
            <v>1.9E-2</v>
          </cell>
          <cell r="D74">
            <v>0</v>
          </cell>
          <cell r="E74">
            <v>2.8000000000000001E-2</v>
          </cell>
          <cell r="F74">
            <v>1.355</v>
          </cell>
          <cell r="G74">
            <v>2.8780000000000001</v>
          </cell>
          <cell r="H74" t="str">
            <v>bond_proxies</v>
          </cell>
          <cell r="I74" t="str">
            <v>utilities</v>
          </cell>
          <cell r="J74" t="str">
            <v>neutral_beta</v>
          </cell>
          <cell r="K74">
            <v>4.7E-2</v>
          </cell>
        </row>
        <row r="75">
          <cell r="A75" t="str">
            <v>BRAP4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1.349</v>
          </cell>
          <cell r="G75">
            <v>1.6739999999999999</v>
          </cell>
          <cell r="H75" t="str">
            <v>commodities</v>
          </cell>
          <cell r="I75" t="str">
            <v>basic_materials</v>
          </cell>
          <cell r="J75" t="str">
            <v>high_beta</v>
          </cell>
          <cell r="K75">
            <v>0</v>
          </cell>
        </row>
        <row r="76">
          <cell r="A76" t="str">
            <v>DIRR3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1.3340000000000001</v>
          </cell>
          <cell r="G76">
            <v>1.284</v>
          </cell>
          <cell r="H76" t="str">
            <v>pro_cyclicals</v>
          </cell>
          <cell r="I76" t="str">
            <v>homebuilders</v>
          </cell>
          <cell r="J76" t="str">
            <v>high_beta</v>
          </cell>
          <cell r="K76">
            <v>0</v>
          </cell>
        </row>
        <row r="77">
          <cell r="A77" t="str">
            <v>CMIG4</v>
          </cell>
          <cell r="B77">
            <v>3.5000000000000003E-2</v>
          </cell>
          <cell r="C77">
            <v>8.0000000000000036E-3</v>
          </cell>
          <cell r="D77">
            <v>0</v>
          </cell>
          <cell r="E77">
            <v>2.7E-2</v>
          </cell>
          <cell r="F77">
            <v>1.3129999999999999</v>
          </cell>
          <cell r="G77">
            <v>2.7879999999999998</v>
          </cell>
          <cell r="H77" t="str">
            <v>bond_proxies</v>
          </cell>
          <cell r="I77" t="str">
            <v>utilities</v>
          </cell>
          <cell r="J77" t="str">
            <v>low_beta</v>
          </cell>
          <cell r="K77">
            <v>3.5000000000000003E-2</v>
          </cell>
        </row>
        <row r="78">
          <cell r="A78" t="str">
            <v>FESA4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1.292</v>
          </cell>
          <cell r="G78">
            <v>1.3160000000000001</v>
          </cell>
          <cell r="H78" t="str">
            <v>commodities</v>
          </cell>
          <cell r="I78" t="str">
            <v>basic_materials</v>
          </cell>
          <cell r="J78" t="str">
            <v>low_beta</v>
          </cell>
          <cell r="K78">
            <v>0</v>
          </cell>
        </row>
        <row r="79">
          <cell r="A79" t="str">
            <v>LREN3</v>
          </cell>
          <cell r="B79">
            <v>3.2000000000000001E-2</v>
          </cell>
          <cell r="C79">
            <v>6.0000000000000019E-3</v>
          </cell>
          <cell r="D79">
            <v>0</v>
          </cell>
          <cell r="E79">
            <v>2.5999999999999999E-2</v>
          </cell>
          <cell r="F79">
            <v>1.278</v>
          </cell>
          <cell r="G79">
            <v>2.14</v>
          </cell>
          <cell r="H79" t="str">
            <v>pro_cyclicals</v>
          </cell>
          <cell r="I79" t="str">
            <v>apparel</v>
          </cell>
          <cell r="J79" t="str">
            <v>neutral_beta</v>
          </cell>
          <cell r="K79">
            <v>3.2000000000000001E-2</v>
          </cell>
        </row>
        <row r="80">
          <cell r="A80" t="str">
            <v>RANI3</v>
          </cell>
          <cell r="B80">
            <v>2.5999999999999999E-2</v>
          </cell>
          <cell r="C80">
            <v>2.4E-2</v>
          </cell>
          <cell r="D80">
            <v>0</v>
          </cell>
          <cell r="E80">
            <v>2E-3</v>
          </cell>
          <cell r="F80">
            <v>1.268</v>
          </cell>
          <cell r="G80">
            <v>1.542</v>
          </cell>
          <cell r="H80" t="str">
            <v>defensives</v>
          </cell>
          <cell r="I80" t="str">
            <v>consumer_staples</v>
          </cell>
          <cell r="J80" t="str">
            <v>low_beta</v>
          </cell>
          <cell r="K80">
            <v>2.5999999999999999E-2</v>
          </cell>
        </row>
        <row r="81">
          <cell r="A81" t="str">
            <v>CSMG3</v>
          </cell>
          <cell r="B81">
            <v>2.7E-2</v>
          </cell>
          <cell r="C81">
            <v>8.0000000000000002E-3</v>
          </cell>
          <cell r="D81">
            <v>0</v>
          </cell>
          <cell r="E81">
            <v>1.9E-2</v>
          </cell>
          <cell r="F81">
            <v>1.2310000000000001</v>
          </cell>
          <cell r="G81">
            <v>2.0720000000000001</v>
          </cell>
          <cell r="H81" t="str">
            <v>bond_proxies</v>
          </cell>
          <cell r="I81" t="str">
            <v>utilities</v>
          </cell>
          <cell r="J81" t="str">
            <v>low_beta</v>
          </cell>
          <cell r="K81">
            <v>2.7E-2</v>
          </cell>
        </row>
        <row r="82">
          <cell r="A82" t="str">
            <v>IGTI11</v>
          </cell>
          <cell r="B82">
            <v>0.04</v>
          </cell>
          <cell r="C82">
            <v>2.9000000000000001E-2</v>
          </cell>
          <cell r="D82">
            <v>-2.0000000000000018E-3</v>
          </cell>
          <cell r="E82">
            <v>1.0999999999999999E-2</v>
          </cell>
          <cell r="F82">
            <v>1.1499999999999999</v>
          </cell>
          <cell r="G82">
            <v>2.008</v>
          </cell>
          <cell r="H82" t="str">
            <v>bond_proxies</v>
          </cell>
          <cell r="I82" t="str">
            <v>real_estate</v>
          </cell>
          <cell r="J82" t="str">
            <v>high_beta</v>
          </cell>
          <cell r="K82">
            <v>4.2000000000000003E-2</v>
          </cell>
        </row>
        <row r="83">
          <cell r="A83" t="str">
            <v>CMIG3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1.105</v>
          </cell>
          <cell r="G83">
            <v>1.179</v>
          </cell>
          <cell r="H83" t="str">
            <v>bond_proxies</v>
          </cell>
          <cell r="I83" t="str">
            <v>utilities</v>
          </cell>
          <cell r="J83" t="str">
            <v>very_low_beta</v>
          </cell>
          <cell r="K83">
            <v>0</v>
          </cell>
        </row>
        <row r="84">
          <cell r="A84" t="str">
            <v>TAEE11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1.101</v>
          </cell>
          <cell r="G84">
            <v>1.462</v>
          </cell>
          <cell r="H84" t="str">
            <v>bond_proxies</v>
          </cell>
          <cell r="I84" t="str">
            <v>utilities</v>
          </cell>
          <cell r="J84" t="str">
            <v>low_beta</v>
          </cell>
          <cell r="K84">
            <v>0</v>
          </cell>
        </row>
        <row r="85">
          <cell r="A85" t="str">
            <v>MILS3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1.0900000000000001</v>
          </cell>
          <cell r="G85">
            <v>1.351</v>
          </cell>
          <cell r="H85" t="str">
            <v>industrials</v>
          </cell>
          <cell r="I85" t="str">
            <v>building_materials</v>
          </cell>
          <cell r="J85" t="str">
            <v>neutral_beta</v>
          </cell>
          <cell r="K85">
            <v>0</v>
          </cell>
        </row>
        <row r="86">
          <cell r="A86" t="str">
            <v>ITUB4</v>
          </cell>
          <cell r="B86">
            <v>4.2500000000000003E-2</v>
          </cell>
          <cell r="C86">
            <v>1.6500000000000004E-2</v>
          </cell>
          <cell r="D86">
            <v>-4.4999999999999971E-3</v>
          </cell>
          <cell r="E86">
            <v>2.5999999999999999E-2</v>
          </cell>
          <cell r="F86">
            <v>1.046</v>
          </cell>
          <cell r="G86">
            <v>2.2210000000000001</v>
          </cell>
          <cell r="H86" t="str">
            <v>pro_cyclicals</v>
          </cell>
          <cell r="I86" t="str">
            <v>banks</v>
          </cell>
          <cell r="J86" t="str">
            <v>neutral_beta</v>
          </cell>
          <cell r="K86">
            <v>4.7E-2</v>
          </cell>
        </row>
        <row r="87">
          <cell r="A87" t="str">
            <v>FLRY3</v>
          </cell>
          <cell r="B87">
            <v>4.2500000000000003E-2</v>
          </cell>
          <cell r="C87">
            <v>2.8500000000000004E-2</v>
          </cell>
          <cell r="D87">
            <v>-2.4999999999999953E-3</v>
          </cell>
          <cell r="E87">
            <v>1.4E-2</v>
          </cell>
          <cell r="F87">
            <v>1.0289999999999999</v>
          </cell>
          <cell r="G87">
            <v>1.627</v>
          </cell>
          <cell r="H87" t="str">
            <v>defensives</v>
          </cell>
          <cell r="I87" t="str">
            <v>healthcare</v>
          </cell>
          <cell r="J87" t="str">
            <v>low_beta</v>
          </cell>
          <cell r="K87">
            <v>4.4999999999999998E-2</v>
          </cell>
        </row>
        <row r="88">
          <cell r="A88" t="str">
            <v>EZTC3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1.018</v>
          </cell>
          <cell r="G88">
            <v>0.97799999999999998</v>
          </cell>
          <cell r="H88" t="str">
            <v>pro_cyclicals</v>
          </cell>
          <cell r="I88" t="str">
            <v>homebuilders</v>
          </cell>
          <cell r="J88" t="str">
            <v>high_beta</v>
          </cell>
          <cell r="K88">
            <v>0</v>
          </cell>
        </row>
        <row r="89">
          <cell r="A89" t="str">
            <v>MULT3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1.0149999999999999</v>
          </cell>
          <cell r="G89">
            <v>1.347</v>
          </cell>
          <cell r="H89" t="str">
            <v>bond_proxies</v>
          </cell>
          <cell r="I89" t="str">
            <v>real_estate</v>
          </cell>
          <cell r="J89" t="str">
            <v>high_beta</v>
          </cell>
          <cell r="K89">
            <v>0</v>
          </cell>
        </row>
        <row r="90">
          <cell r="A90" t="str">
            <v>KLBN3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1.0069999999999999</v>
          </cell>
          <cell r="G90">
            <v>1.2130000000000001</v>
          </cell>
          <cell r="H90" t="str">
            <v>commodities</v>
          </cell>
          <cell r="I90" t="str">
            <v>basic_materials</v>
          </cell>
          <cell r="J90" t="str">
            <v>very_low_beta</v>
          </cell>
          <cell r="K90">
            <v>0</v>
          </cell>
        </row>
        <row r="91">
          <cell r="A91" t="str">
            <v>KLBN4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1.0049999999999999</v>
          </cell>
          <cell r="G91">
            <v>1.2470000000000001</v>
          </cell>
          <cell r="H91" t="str">
            <v>commodities</v>
          </cell>
          <cell r="I91" t="str">
            <v>basic_materials</v>
          </cell>
          <cell r="J91" t="str">
            <v>low_beta</v>
          </cell>
          <cell r="K91">
            <v>0</v>
          </cell>
        </row>
        <row r="92">
          <cell r="A92" t="str">
            <v>ANIM3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0.99099999999999999</v>
          </cell>
          <cell r="G92">
            <v>0.71299999999999997</v>
          </cell>
          <cell r="H92" t="str">
            <v>pro_cyclicals</v>
          </cell>
          <cell r="I92" t="str">
            <v>education</v>
          </cell>
          <cell r="J92" t="str">
            <v>very_high_beta</v>
          </cell>
          <cell r="K92">
            <v>0</v>
          </cell>
        </row>
        <row r="93">
          <cell r="A93" t="str">
            <v>SLCE3</v>
          </cell>
          <cell r="B93">
            <v>0.02</v>
          </cell>
          <cell r="C93">
            <v>1.3000000000000001E-2</v>
          </cell>
          <cell r="D93">
            <v>-2.9999999999999992E-3</v>
          </cell>
          <cell r="E93">
            <v>7.0000000000000001E-3</v>
          </cell>
          <cell r="F93">
            <v>0.98099999999999998</v>
          </cell>
          <cell r="G93">
            <v>1.4790000000000001</v>
          </cell>
          <cell r="H93" t="str">
            <v>commodities</v>
          </cell>
          <cell r="I93" t="str">
            <v>food</v>
          </cell>
          <cell r="J93" t="str">
            <v>very_low_beta</v>
          </cell>
          <cell r="K93">
            <v>2.3E-2</v>
          </cell>
        </row>
        <row r="94">
          <cell r="A94" t="str">
            <v>TGMA3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0.97099999999999997</v>
          </cell>
          <cell r="G94">
            <v>1.071</v>
          </cell>
          <cell r="H94" t="str">
            <v>pro_cyclicals</v>
          </cell>
          <cell r="I94" t="str">
            <v>transportation</v>
          </cell>
          <cell r="J94" t="str">
            <v>neutral_beta</v>
          </cell>
          <cell r="K94">
            <v>0</v>
          </cell>
        </row>
        <row r="95">
          <cell r="A95" t="str">
            <v>MDIA3</v>
          </cell>
          <cell r="B95">
            <v>1.4999999999999999E-2</v>
          </cell>
          <cell r="C95">
            <v>1.2E-2</v>
          </cell>
          <cell r="D95">
            <v>-2.9999999999999992E-3</v>
          </cell>
          <cell r="E95">
            <v>3.0000000000000001E-3</v>
          </cell>
          <cell r="F95">
            <v>0.96699999999999997</v>
          </cell>
          <cell r="G95">
            <v>0.89700000000000002</v>
          </cell>
          <cell r="H95" t="str">
            <v>defensives</v>
          </cell>
          <cell r="I95" t="str">
            <v>consumer_staples</v>
          </cell>
          <cell r="J95" t="str">
            <v>low_beta</v>
          </cell>
          <cell r="K95">
            <v>1.7999999999999999E-2</v>
          </cell>
        </row>
        <row r="96">
          <cell r="A96" t="str">
            <v>BBDC4</v>
          </cell>
          <cell r="B96">
            <v>4.2000000000000003E-2</v>
          </cell>
          <cell r="C96">
            <v>1.8000000000000002E-2</v>
          </cell>
          <cell r="D96">
            <v>-3.9999999999999966E-3</v>
          </cell>
          <cell r="E96">
            <v>2.4E-2</v>
          </cell>
          <cell r="F96">
            <v>0.96199999999999997</v>
          </cell>
          <cell r="G96">
            <v>1.958</v>
          </cell>
          <cell r="H96" t="str">
            <v>pro_cyclicals</v>
          </cell>
          <cell r="I96" t="str">
            <v>banks</v>
          </cell>
          <cell r="J96" t="str">
            <v>neutral_beta</v>
          </cell>
          <cell r="K96">
            <v>4.5999999999999999E-2</v>
          </cell>
        </row>
        <row r="97">
          <cell r="A97" t="str">
            <v>CXSE3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0.95599999999999996</v>
          </cell>
          <cell r="G97">
            <v>1.1919999999999999</v>
          </cell>
          <cell r="H97" t="str">
            <v>defensives</v>
          </cell>
          <cell r="I97" t="str">
            <v>float_financials</v>
          </cell>
          <cell r="J97" t="str">
            <v>very_low_beta</v>
          </cell>
          <cell r="K97">
            <v>0</v>
          </cell>
        </row>
        <row r="98">
          <cell r="A98" t="str">
            <v>TEND3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0.95399999999999996</v>
          </cell>
          <cell r="G98">
            <v>0.72399999999999998</v>
          </cell>
          <cell r="H98" t="str">
            <v>pro_cyclicals</v>
          </cell>
          <cell r="I98" t="str">
            <v>homebuilders</v>
          </cell>
          <cell r="J98" t="str">
            <v>neutral_beta</v>
          </cell>
          <cell r="K98">
            <v>0</v>
          </cell>
        </row>
        <row r="99">
          <cell r="A99" t="str">
            <v>PGMN3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0.93300000000000005</v>
          </cell>
          <cell r="G99">
            <v>0.75900000000000001</v>
          </cell>
          <cell r="H99" t="str">
            <v>defensives</v>
          </cell>
          <cell r="I99" t="str">
            <v>healthcare</v>
          </cell>
          <cell r="J99" t="str">
            <v>high_beta</v>
          </cell>
          <cell r="K99">
            <v>0</v>
          </cell>
        </row>
        <row r="100">
          <cell r="A100" t="str">
            <v>KLBN11</v>
          </cell>
          <cell r="B100">
            <v>2.3E-2</v>
          </cell>
          <cell r="C100">
            <v>0</v>
          </cell>
          <cell r="D100">
            <v>-2.0000000000000018E-3</v>
          </cell>
          <cell r="E100">
            <v>2.3E-2</v>
          </cell>
          <cell r="F100">
            <v>0.92600000000000005</v>
          </cell>
          <cell r="G100">
            <v>1.833</v>
          </cell>
          <cell r="H100" t="str">
            <v>commodities</v>
          </cell>
          <cell r="I100" t="str">
            <v>basic_materials</v>
          </cell>
          <cell r="J100" t="str">
            <v>low_beta</v>
          </cell>
          <cell r="K100">
            <v>2.5000000000000001E-2</v>
          </cell>
        </row>
        <row r="101">
          <cell r="A101" t="str">
            <v>HYPE3</v>
          </cell>
          <cell r="B101">
            <v>2.5000000000000001E-2</v>
          </cell>
          <cell r="C101">
            <v>1.2000000000000002E-2</v>
          </cell>
          <cell r="D101">
            <v>-6.9999999999999993E-3</v>
          </cell>
          <cell r="E101">
            <v>1.2999999999999999E-2</v>
          </cell>
          <cell r="F101">
            <v>0.91</v>
          </cell>
          <cell r="G101">
            <v>1.282</v>
          </cell>
          <cell r="H101" t="str">
            <v>defensives</v>
          </cell>
          <cell r="I101" t="str">
            <v>healthcare</v>
          </cell>
          <cell r="J101" t="str">
            <v>low_beta</v>
          </cell>
          <cell r="K101">
            <v>3.2000000000000001E-2</v>
          </cell>
        </row>
        <row r="102">
          <cell r="A102" t="str">
            <v>AXIA3</v>
          </cell>
          <cell r="B102">
            <v>4.4999999999999998E-2</v>
          </cell>
          <cell r="C102">
            <v>1.9999999999999997E-2</v>
          </cell>
          <cell r="D102">
            <v>-8.0000000000000002E-3</v>
          </cell>
          <cell r="E102">
            <v>2.5000000000000001E-2</v>
          </cell>
          <cell r="F102">
            <v>0.89</v>
          </cell>
          <cell r="G102">
            <v>1.843</v>
          </cell>
          <cell r="H102" t="str">
            <v>bond_proxies</v>
          </cell>
          <cell r="I102" t="str">
            <v>utilities</v>
          </cell>
          <cell r="J102" t="str">
            <v>high_beta</v>
          </cell>
          <cell r="K102">
            <v>5.2999999999999999E-2</v>
          </cell>
        </row>
        <row r="103">
          <cell r="A103" t="str">
            <v>CPFE3</v>
          </cell>
          <cell r="B103">
            <v>2.7E-2</v>
          </cell>
          <cell r="C103">
            <v>9.0000000000000011E-3</v>
          </cell>
          <cell r="D103">
            <v>-5.000000000000001E-3</v>
          </cell>
          <cell r="E103">
            <v>1.7999999999999999E-2</v>
          </cell>
          <cell r="F103">
            <v>0.872</v>
          </cell>
          <cell r="G103">
            <v>1.6659999999999999</v>
          </cell>
          <cell r="H103" t="str">
            <v>bond_proxies</v>
          </cell>
          <cell r="I103" t="str">
            <v>utilities</v>
          </cell>
          <cell r="J103" t="str">
            <v>low_beta</v>
          </cell>
          <cell r="K103">
            <v>3.2000000000000001E-2</v>
          </cell>
        </row>
        <row r="104">
          <cell r="A104" t="str">
            <v>ISAE4</v>
          </cell>
          <cell r="B104">
            <v>3.5000000000000003E-2</v>
          </cell>
          <cell r="C104">
            <v>1.4000000000000002E-2</v>
          </cell>
          <cell r="D104">
            <v>-4.9999999999999975E-3</v>
          </cell>
          <cell r="E104">
            <v>2.1000000000000001E-2</v>
          </cell>
          <cell r="F104">
            <v>0.83399999999999996</v>
          </cell>
          <cell r="G104">
            <v>1.764</v>
          </cell>
          <cell r="H104" t="str">
            <v>bond_proxies</v>
          </cell>
          <cell r="I104" t="str">
            <v>utilities</v>
          </cell>
          <cell r="J104" t="str">
            <v>low_beta</v>
          </cell>
          <cell r="K104">
            <v>0.04</v>
          </cell>
        </row>
        <row r="105">
          <cell r="A105" t="str">
            <v>VTRU3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0.83</v>
          </cell>
          <cell r="G105">
            <v>0.63800000000000001</v>
          </cell>
          <cell r="H105" t="str">
            <v>pro_cyclicals</v>
          </cell>
          <cell r="I105" t="str">
            <v>education</v>
          </cell>
          <cell r="J105" t="str">
            <v>low_beta</v>
          </cell>
          <cell r="K105">
            <v>0</v>
          </cell>
        </row>
        <row r="106">
          <cell r="A106" t="str">
            <v>VBBR3</v>
          </cell>
          <cell r="B106">
            <v>3.5000000000000003E-2</v>
          </cell>
          <cell r="C106">
            <v>1.0000000000000002E-2</v>
          </cell>
          <cell r="D106">
            <v>-2.9999999999999957E-3</v>
          </cell>
          <cell r="E106">
            <v>2.5000000000000001E-2</v>
          </cell>
          <cell r="F106">
            <v>0.82799999999999996</v>
          </cell>
          <cell r="G106">
            <v>1.63</v>
          </cell>
          <cell r="H106" t="str">
            <v>pro_cyclicals</v>
          </cell>
          <cell r="I106" t="str">
            <v>consumer_services</v>
          </cell>
          <cell r="J106" t="str">
            <v>low_beta</v>
          </cell>
          <cell r="K106">
            <v>3.7999999999999999E-2</v>
          </cell>
        </row>
        <row r="107">
          <cell r="A107" t="str">
            <v>JSLG3</v>
          </cell>
          <cell r="B107">
            <v>0.01</v>
          </cell>
          <cell r="C107">
            <v>9.0000000000000011E-3</v>
          </cell>
          <cell r="D107">
            <v>-4.0000000000000001E-3</v>
          </cell>
          <cell r="E107">
            <v>1E-3</v>
          </cell>
          <cell r="F107">
            <v>0.82699999999999996</v>
          </cell>
          <cell r="G107">
            <v>0.61799999999999999</v>
          </cell>
          <cell r="H107" t="str">
            <v>pro_cyclicals</v>
          </cell>
          <cell r="I107" t="str">
            <v>transportation</v>
          </cell>
          <cell r="J107" t="str">
            <v>very_high_beta</v>
          </cell>
          <cell r="K107">
            <v>1.4E-2</v>
          </cell>
        </row>
        <row r="108">
          <cell r="A108" t="str">
            <v>SANB3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0.81399999999999995</v>
          </cell>
          <cell r="G108">
            <v>0.93600000000000005</v>
          </cell>
          <cell r="H108" t="str">
            <v>pro_cyclicals</v>
          </cell>
          <cell r="I108" t="str">
            <v>banks</v>
          </cell>
          <cell r="J108" t="str">
            <v>high_beta</v>
          </cell>
          <cell r="K108">
            <v>0</v>
          </cell>
        </row>
        <row r="109">
          <cell r="A109" t="str">
            <v>JALL3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0.79700000000000004</v>
          </cell>
          <cell r="G109">
            <v>0.624</v>
          </cell>
          <cell r="H109" t="str">
            <v>commodities</v>
          </cell>
          <cell r="I109" t="str">
            <v>food</v>
          </cell>
          <cell r="J109" t="str">
            <v>very_low_beta</v>
          </cell>
          <cell r="K109">
            <v>0</v>
          </cell>
        </row>
        <row r="110">
          <cell r="A110" t="str">
            <v>SANB4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0.78300000000000003</v>
          </cell>
          <cell r="G110">
            <v>0.93200000000000005</v>
          </cell>
          <cell r="H110" t="str">
            <v>pro_cyclicals</v>
          </cell>
          <cell r="I110" t="str">
            <v>banks</v>
          </cell>
          <cell r="J110" t="str">
            <v>neutral_beta</v>
          </cell>
          <cell r="K110">
            <v>0</v>
          </cell>
        </row>
        <row r="111">
          <cell r="A111" t="str">
            <v>TFCO4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0.77200000000000002</v>
          </cell>
          <cell r="G111">
            <v>0.85099999999999998</v>
          </cell>
          <cell r="H111" t="str">
            <v>pro_cyclicals</v>
          </cell>
          <cell r="I111" t="str">
            <v>apparel</v>
          </cell>
          <cell r="J111" t="str">
            <v>high_beta</v>
          </cell>
          <cell r="K111">
            <v>0</v>
          </cell>
        </row>
        <row r="112">
          <cell r="A112" t="str">
            <v>CEAB3</v>
          </cell>
          <cell r="B112">
            <v>0.01</v>
          </cell>
          <cell r="C112">
            <v>5.0000000000000001E-3</v>
          </cell>
          <cell r="D112">
            <v>-4.9999999999999992E-3</v>
          </cell>
          <cell r="E112">
            <v>5.0000000000000001E-3</v>
          </cell>
          <cell r="F112">
            <v>0.76</v>
          </cell>
          <cell r="G112">
            <v>0.58899999999999997</v>
          </cell>
          <cell r="H112" t="str">
            <v>pro_cyclicals</v>
          </cell>
          <cell r="I112" t="str">
            <v>apparel</v>
          </cell>
          <cell r="J112" t="str">
            <v>very_high_beta</v>
          </cell>
          <cell r="K112">
            <v>1.4999999999999999E-2</v>
          </cell>
        </row>
        <row r="113">
          <cell r="A113" t="str">
            <v>BLAU3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0.75700000000000001</v>
          </cell>
          <cell r="G113">
            <v>0.63100000000000001</v>
          </cell>
          <cell r="H113" t="str">
            <v>defensives</v>
          </cell>
          <cell r="I113" t="str">
            <v>healthcare</v>
          </cell>
          <cell r="J113" t="str">
            <v>neutral_beta</v>
          </cell>
          <cell r="K113">
            <v>0</v>
          </cell>
        </row>
        <row r="114">
          <cell r="A114" t="str">
            <v>ORVR3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0.748</v>
          </cell>
          <cell r="G114">
            <v>0.871</v>
          </cell>
          <cell r="H114" t="str">
            <v>bond_proxies</v>
          </cell>
          <cell r="I114" t="str">
            <v>utilities</v>
          </cell>
          <cell r="J114" t="str">
            <v>high_beta</v>
          </cell>
          <cell r="K114">
            <v>0</v>
          </cell>
        </row>
        <row r="115">
          <cell r="A115" t="str">
            <v>AMOB3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0.74099999999999999</v>
          </cell>
          <cell r="G115">
            <v>0.56299999999999994</v>
          </cell>
          <cell r="H115" t="str">
            <v>industrials</v>
          </cell>
          <cell r="I115" t="str">
            <v>capital_goods</v>
          </cell>
          <cell r="J115" t="str">
            <v>very_low_beta</v>
          </cell>
          <cell r="K115">
            <v>0</v>
          </cell>
        </row>
        <row r="116">
          <cell r="A116" t="str">
            <v>IRBR3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0.73799999999999999</v>
          </cell>
          <cell r="G116">
            <v>0.72299999999999998</v>
          </cell>
          <cell r="H116" t="str">
            <v>defensives</v>
          </cell>
          <cell r="I116" t="str">
            <v>float_financials</v>
          </cell>
          <cell r="J116" t="str">
            <v>low_beta</v>
          </cell>
          <cell r="K116">
            <v>0</v>
          </cell>
        </row>
        <row r="117">
          <cell r="A117" t="str">
            <v>AXIA7</v>
          </cell>
          <cell r="B117">
            <v>0</v>
          </cell>
          <cell r="C117">
            <v>-6.0000000000000001E-3</v>
          </cell>
          <cell r="D117">
            <v>0</v>
          </cell>
          <cell r="E117">
            <v>6.0000000000000001E-3</v>
          </cell>
          <cell r="F117">
            <v>0.73499999999999999</v>
          </cell>
          <cell r="G117">
            <v>1.1279999999999999</v>
          </cell>
          <cell r="H117" t="str">
            <v>bond_proxies</v>
          </cell>
          <cell r="I117" t="str">
            <v>utilities</v>
          </cell>
          <cell r="J117" t="str">
            <v>high_beta</v>
          </cell>
          <cell r="K117">
            <v>0</v>
          </cell>
        </row>
        <row r="118">
          <cell r="A118" t="str">
            <v>COGN3</v>
          </cell>
          <cell r="B118">
            <v>0</v>
          </cell>
          <cell r="C118">
            <v>-1.0999999999999999E-2</v>
          </cell>
          <cell r="D118">
            <v>0</v>
          </cell>
          <cell r="E118">
            <v>1.0999999999999999E-2</v>
          </cell>
          <cell r="F118">
            <v>0.72899999999999998</v>
          </cell>
          <cell r="G118">
            <v>0.64400000000000002</v>
          </cell>
          <cell r="H118" t="str">
            <v>pro_cyclicals</v>
          </cell>
          <cell r="I118" t="str">
            <v>education</v>
          </cell>
          <cell r="J118" t="str">
            <v>high_beta</v>
          </cell>
          <cell r="K118">
            <v>0</v>
          </cell>
        </row>
        <row r="119">
          <cell r="A119" t="str">
            <v>SANB11</v>
          </cell>
          <cell r="B119">
            <v>0</v>
          </cell>
          <cell r="C119">
            <v>-0.02</v>
          </cell>
          <cell r="D119">
            <v>0</v>
          </cell>
          <cell r="E119">
            <v>0.02</v>
          </cell>
          <cell r="F119">
            <v>0.71</v>
          </cell>
          <cell r="G119">
            <v>1.3819999999999999</v>
          </cell>
          <cell r="H119" t="str">
            <v>pro_cyclicals</v>
          </cell>
          <cell r="I119" t="str">
            <v>banks</v>
          </cell>
          <cell r="J119" t="str">
            <v>neutral_beta</v>
          </cell>
          <cell r="K119">
            <v>0</v>
          </cell>
        </row>
        <row r="120">
          <cell r="A120" t="str">
            <v>GOAU4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0.7</v>
          </cell>
          <cell r="G120">
            <v>0.80800000000000005</v>
          </cell>
          <cell r="H120" t="str">
            <v>commodities</v>
          </cell>
          <cell r="I120" t="str">
            <v>basic_materials</v>
          </cell>
          <cell r="J120" t="str">
            <v>neutral_beta</v>
          </cell>
          <cell r="K120">
            <v>0</v>
          </cell>
        </row>
        <row r="121">
          <cell r="A121" t="str">
            <v>EGIE3</v>
          </cell>
          <cell r="B121">
            <v>0</v>
          </cell>
          <cell r="C121">
            <v>-2.3E-2</v>
          </cell>
          <cell r="D121">
            <v>0</v>
          </cell>
          <cell r="E121">
            <v>2.3E-2</v>
          </cell>
          <cell r="F121">
            <v>0.68400000000000005</v>
          </cell>
          <cell r="G121">
            <v>1.3320000000000001</v>
          </cell>
          <cell r="H121" t="str">
            <v>bond_proxies</v>
          </cell>
          <cell r="I121" t="str">
            <v>utilities</v>
          </cell>
          <cell r="J121" t="str">
            <v>low_beta</v>
          </cell>
          <cell r="K121">
            <v>0</v>
          </cell>
        </row>
        <row r="122">
          <cell r="A122" t="str">
            <v>BPAC11</v>
          </cell>
          <cell r="B122">
            <v>0</v>
          </cell>
          <cell r="C122">
            <v>-0.03</v>
          </cell>
          <cell r="D122">
            <v>0</v>
          </cell>
          <cell r="E122">
            <v>0.03</v>
          </cell>
          <cell r="F122">
            <v>0.68300000000000005</v>
          </cell>
          <cell r="G122">
            <v>1.3520000000000001</v>
          </cell>
          <cell r="H122" t="str">
            <v>pro_cyclicals</v>
          </cell>
          <cell r="I122" t="str">
            <v>banks</v>
          </cell>
          <cell r="J122" t="str">
            <v>very_high_beta</v>
          </cell>
          <cell r="K122">
            <v>0</v>
          </cell>
        </row>
        <row r="123">
          <cell r="A123" t="str">
            <v>ROMI3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0.67600000000000005</v>
          </cell>
          <cell r="G123">
            <v>0.81200000000000006</v>
          </cell>
          <cell r="H123" t="str">
            <v>industrials</v>
          </cell>
          <cell r="I123" t="str">
            <v>capital_goods</v>
          </cell>
          <cell r="J123" t="str">
            <v>very_low_beta</v>
          </cell>
          <cell r="K123">
            <v>0</v>
          </cell>
        </row>
        <row r="124">
          <cell r="A124" t="str">
            <v>SBSP3</v>
          </cell>
          <cell r="B124">
            <v>0</v>
          </cell>
          <cell r="C124">
            <v>-2.1000000000000001E-2</v>
          </cell>
          <cell r="D124">
            <v>0</v>
          </cell>
          <cell r="E124">
            <v>2.1000000000000001E-2</v>
          </cell>
          <cell r="F124">
            <v>0.65500000000000003</v>
          </cell>
          <cell r="G124">
            <v>1.29</v>
          </cell>
          <cell r="H124" t="str">
            <v>bond_proxies</v>
          </cell>
          <cell r="I124" t="str">
            <v>utilities</v>
          </cell>
          <cell r="J124" t="str">
            <v>low_beta</v>
          </cell>
          <cell r="K124">
            <v>0</v>
          </cell>
        </row>
        <row r="125">
          <cell r="A125" t="str">
            <v>UNIP6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0.65400000000000003</v>
          </cell>
          <cell r="G125">
            <v>0.6</v>
          </cell>
          <cell r="H125" t="str">
            <v>industrials</v>
          </cell>
          <cell r="I125" t="str">
            <v>chemicals</v>
          </cell>
          <cell r="J125" t="str">
            <v>neutral_beta</v>
          </cell>
          <cell r="K125">
            <v>0</v>
          </cell>
        </row>
        <row r="126">
          <cell r="A126" t="str">
            <v>BBAS3</v>
          </cell>
          <cell r="B126">
            <v>0</v>
          </cell>
          <cell r="C126">
            <v>-2.5999999999999999E-2</v>
          </cell>
          <cell r="D126">
            <v>0</v>
          </cell>
          <cell r="E126">
            <v>2.5999999999999999E-2</v>
          </cell>
          <cell r="F126">
            <v>0.64900000000000002</v>
          </cell>
          <cell r="G126">
            <v>1.1759999999999999</v>
          </cell>
          <cell r="H126" t="str">
            <v>pro_cyclicals</v>
          </cell>
          <cell r="I126" t="str">
            <v>banks</v>
          </cell>
          <cell r="J126" t="str">
            <v>high_beta</v>
          </cell>
          <cell r="K126">
            <v>0</v>
          </cell>
        </row>
        <row r="127">
          <cell r="A127" t="str">
            <v>WEGE3</v>
          </cell>
          <cell r="B127">
            <v>0</v>
          </cell>
          <cell r="C127">
            <v>-1.9E-2</v>
          </cell>
          <cell r="D127">
            <v>0</v>
          </cell>
          <cell r="E127">
            <v>1.9E-2</v>
          </cell>
          <cell r="F127">
            <v>0.64900000000000002</v>
          </cell>
          <cell r="G127">
            <v>0.98299999999999998</v>
          </cell>
          <cell r="H127" t="str">
            <v>industrials</v>
          </cell>
          <cell r="I127" t="str">
            <v>capital_goods</v>
          </cell>
          <cell r="J127" t="str">
            <v>low_beta</v>
          </cell>
          <cell r="K127">
            <v>0</v>
          </cell>
        </row>
        <row r="128">
          <cell r="A128" t="str">
            <v>PAGS34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0.64500000000000002</v>
          </cell>
          <cell r="G128">
            <v>0.49</v>
          </cell>
          <cell r="H128" t="str">
            <v>pro_cyclicals</v>
          </cell>
          <cell r="I128" t="str">
            <v>financial_services</v>
          </cell>
          <cell r="J128" t="str">
            <v>low_beta</v>
          </cell>
          <cell r="K128">
            <v>0</v>
          </cell>
        </row>
        <row r="129">
          <cell r="A129" t="str">
            <v>LIGT3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0.64400000000000002</v>
          </cell>
          <cell r="G129">
            <v>0.46899999999999997</v>
          </cell>
          <cell r="H129" t="str">
            <v>bond_proxies</v>
          </cell>
          <cell r="I129" t="str">
            <v>utilities</v>
          </cell>
          <cell r="J129" t="str">
            <v>low_beta</v>
          </cell>
          <cell r="K129">
            <v>0</v>
          </cell>
        </row>
        <row r="130">
          <cell r="A130" t="str">
            <v>B3SA3</v>
          </cell>
          <cell r="B130">
            <v>0</v>
          </cell>
          <cell r="C130">
            <v>-3.1E-2</v>
          </cell>
          <cell r="D130">
            <v>0</v>
          </cell>
          <cell r="E130">
            <v>3.1E-2</v>
          </cell>
          <cell r="F130">
            <v>0.64200000000000002</v>
          </cell>
          <cell r="G130">
            <v>1.25</v>
          </cell>
          <cell r="H130" t="str">
            <v>pro_cyclicals</v>
          </cell>
          <cell r="I130" t="str">
            <v>financial_services</v>
          </cell>
          <cell r="J130" t="str">
            <v>very_high_beta</v>
          </cell>
          <cell r="K130">
            <v>0</v>
          </cell>
        </row>
        <row r="131">
          <cell r="A131" t="str">
            <v>USIM3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0.63900000000000001</v>
          </cell>
          <cell r="G131">
            <v>0.49299999999999999</v>
          </cell>
          <cell r="H131" t="str">
            <v>commodities</v>
          </cell>
          <cell r="I131" t="str">
            <v>basic_materials</v>
          </cell>
          <cell r="J131" t="str">
            <v>neutral_beta</v>
          </cell>
          <cell r="K131">
            <v>0</v>
          </cell>
        </row>
        <row r="132">
          <cell r="A132" t="str">
            <v>MYPK3</v>
          </cell>
          <cell r="B132">
            <v>0</v>
          </cell>
          <cell r="C132">
            <v>-2E-3</v>
          </cell>
          <cell r="D132">
            <v>0</v>
          </cell>
          <cell r="E132">
            <v>2E-3</v>
          </cell>
          <cell r="F132">
            <v>0.63600000000000001</v>
          </cell>
          <cell r="G132">
            <v>0.72499999999999998</v>
          </cell>
          <cell r="H132" t="str">
            <v>industrials</v>
          </cell>
          <cell r="I132" t="str">
            <v>capital_goods</v>
          </cell>
          <cell r="J132" t="str">
            <v>low_beta</v>
          </cell>
          <cell r="K132">
            <v>0</v>
          </cell>
        </row>
        <row r="133">
          <cell r="A133" t="str">
            <v>VALE3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0.627</v>
          </cell>
          <cell r="G133">
            <v>0.76200000000000001</v>
          </cell>
          <cell r="H133" t="str">
            <v>commodities</v>
          </cell>
          <cell r="I133" t="str">
            <v>basic_materials</v>
          </cell>
          <cell r="J133" t="str">
            <v>neutral_beta</v>
          </cell>
          <cell r="K133">
            <v>0</v>
          </cell>
        </row>
        <row r="134">
          <cell r="A134" t="str">
            <v>BRAV3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0.62</v>
          </cell>
          <cell r="G134">
            <v>0.49299999999999999</v>
          </cell>
          <cell r="H134" t="str">
            <v>commodities</v>
          </cell>
          <cell r="I134" t="str">
            <v>crude_oil</v>
          </cell>
          <cell r="J134" t="str">
            <v>very_low_beta</v>
          </cell>
          <cell r="K134">
            <v>0</v>
          </cell>
        </row>
        <row r="135">
          <cell r="A135" t="str">
            <v>XPBR31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0.62</v>
          </cell>
          <cell r="G135">
            <v>0.59499999999999997</v>
          </cell>
          <cell r="H135" t="str">
            <v>pro_cyclicals</v>
          </cell>
          <cell r="I135" t="str">
            <v>financial_services</v>
          </cell>
          <cell r="J135" t="str">
            <v>very_high_beta</v>
          </cell>
          <cell r="K135">
            <v>0</v>
          </cell>
        </row>
        <row r="136">
          <cell r="A136" t="str">
            <v>AURA33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0.61799999999999999</v>
          </cell>
          <cell r="G136">
            <v>0.443</v>
          </cell>
          <cell r="H136" t="str">
            <v>commodities</v>
          </cell>
          <cell r="I136" t="str">
            <v>basic_materials</v>
          </cell>
          <cell r="J136" t="str">
            <v>very_high_beta</v>
          </cell>
          <cell r="K136">
            <v>0</v>
          </cell>
        </row>
        <row r="137">
          <cell r="A137" t="str">
            <v>CBAV3</v>
          </cell>
          <cell r="B137">
            <v>0</v>
          </cell>
          <cell r="C137">
            <v>-4.0000000000000001E-3</v>
          </cell>
          <cell r="D137">
            <v>0</v>
          </cell>
          <cell r="E137">
            <v>4.0000000000000001E-3</v>
          </cell>
          <cell r="F137">
            <v>0.61699999999999999</v>
          </cell>
          <cell r="G137">
            <v>0.46300000000000002</v>
          </cell>
          <cell r="H137" t="str">
            <v>commodities</v>
          </cell>
          <cell r="I137" t="str">
            <v>basic_materials</v>
          </cell>
          <cell r="J137" t="str">
            <v>very_low_beta</v>
          </cell>
          <cell r="K137">
            <v>0</v>
          </cell>
        </row>
        <row r="138">
          <cell r="A138" t="str">
            <v>CYRE3</v>
          </cell>
          <cell r="B138">
            <v>0</v>
          </cell>
          <cell r="C138">
            <v>-1.2E-2</v>
          </cell>
          <cell r="D138">
            <v>0</v>
          </cell>
          <cell r="E138">
            <v>1.2E-2</v>
          </cell>
          <cell r="F138">
            <v>0.61599999999999999</v>
          </cell>
          <cell r="G138">
            <v>0.89700000000000002</v>
          </cell>
          <cell r="H138" t="str">
            <v>pro_cyclicals</v>
          </cell>
          <cell r="I138" t="str">
            <v>homebuilders</v>
          </cell>
          <cell r="J138" t="str">
            <v>very_high_beta</v>
          </cell>
          <cell r="K138">
            <v>0</v>
          </cell>
        </row>
        <row r="139">
          <cell r="A139" t="str">
            <v>UGPA3</v>
          </cell>
          <cell r="B139">
            <v>0</v>
          </cell>
          <cell r="C139">
            <v>-2.4E-2</v>
          </cell>
          <cell r="D139">
            <v>0</v>
          </cell>
          <cell r="E139">
            <v>2.4E-2</v>
          </cell>
          <cell r="F139">
            <v>0.61499999999999999</v>
          </cell>
          <cell r="G139">
            <v>1.073</v>
          </cell>
          <cell r="H139" t="str">
            <v>pro_cyclicals</v>
          </cell>
          <cell r="I139" t="str">
            <v>consumer_services</v>
          </cell>
          <cell r="J139" t="str">
            <v>very_low_beta</v>
          </cell>
          <cell r="K139">
            <v>0</v>
          </cell>
        </row>
        <row r="140">
          <cell r="A140" t="str">
            <v>SUZB3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0.61199999999999999</v>
          </cell>
          <cell r="G140">
            <v>0.63300000000000001</v>
          </cell>
          <cell r="H140" t="str">
            <v>commodities</v>
          </cell>
          <cell r="I140" t="str">
            <v>basic_materials</v>
          </cell>
          <cell r="J140" t="str">
            <v>very_low_beta</v>
          </cell>
          <cell r="K140">
            <v>0</v>
          </cell>
        </row>
        <row r="141">
          <cell r="A141" t="str">
            <v>USIM5</v>
          </cell>
          <cell r="B141">
            <v>0</v>
          </cell>
          <cell r="C141">
            <v>-6.0000000000000001E-3</v>
          </cell>
          <cell r="D141">
            <v>0</v>
          </cell>
          <cell r="E141">
            <v>6.0000000000000001E-3</v>
          </cell>
          <cell r="F141">
            <v>0.61</v>
          </cell>
          <cell r="G141">
            <v>0.52800000000000002</v>
          </cell>
          <cell r="H141" t="str">
            <v>commodities</v>
          </cell>
          <cell r="I141" t="str">
            <v>basic_materials</v>
          </cell>
          <cell r="J141" t="str">
            <v>neutral_beta</v>
          </cell>
          <cell r="K141">
            <v>0</v>
          </cell>
        </row>
        <row r="142">
          <cell r="A142" t="str">
            <v>ARML3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0.60699999999999998</v>
          </cell>
          <cell r="G142">
            <v>0.437</v>
          </cell>
          <cell r="H142" t="str">
            <v>industrials</v>
          </cell>
          <cell r="I142" t="str">
            <v>capital_goods</v>
          </cell>
          <cell r="J142" t="str">
            <v>very_high_beta</v>
          </cell>
          <cell r="K142">
            <v>0</v>
          </cell>
        </row>
        <row r="143">
          <cell r="A143" t="str">
            <v>YDUQ3</v>
          </cell>
          <cell r="B143">
            <v>0</v>
          </cell>
          <cell r="C143">
            <v>-5.0000000000000001E-3</v>
          </cell>
          <cell r="D143">
            <v>0</v>
          </cell>
          <cell r="E143">
            <v>5.0000000000000001E-3</v>
          </cell>
          <cell r="F143">
            <v>0.60399999999999998</v>
          </cell>
          <cell r="G143">
            <v>0.48599999999999999</v>
          </cell>
          <cell r="H143" t="str">
            <v>pro_cyclicals</v>
          </cell>
          <cell r="I143" t="str">
            <v>education</v>
          </cell>
          <cell r="J143" t="str">
            <v>high_beta</v>
          </cell>
          <cell r="K143">
            <v>0</v>
          </cell>
        </row>
        <row r="144">
          <cell r="A144" t="str">
            <v>ENGI11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0.60299999999999998</v>
          </cell>
          <cell r="G144">
            <v>0.8</v>
          </cell>
          <cell r="H144" t="str">
            <v>bond_proxies</v>
          </cell>
          <cell r="I144" t="str">
            <v>utilities</v>
          </cell>
          <cell r="J144" t="str">
            <v>neutral_beta</v>
          </cell>
          <cell r="K144">
            <v>0</v>
          </cell>
        </row>
        <row r="145">
          <cell r="A145" t="str">
            <v>AURE3</v>
          </cell>
          <cell r="B145">
            <v>0</v>
          </cell>
          <cell r="C145">
            <v>-8.0000000000000002E-3</v>
          </cell>
          <cell r="D145">
            <v>0</v>
          </cell>
          <cell r="E145">
            <v>8.0000000000000002E-3</v>
          </cell>
          <cell r="F145">
            <v>0.6</v>
          </cell>
          <cell r="G145">
            <v>0.748</v>
          </cell>
          <cell r="H145" t="str">
            <v>bond_proxies</v>
          </cell>
          <cell r="I145" t="str">
            <v>utilities</v>
          </cell>
          <cell r="J145" t="str">
            <v>neutral_beta</v>
          </cell>
          <cell r="K145">
            <v>0</v>
          </cell>
        </row>
        <row r="146">
          <cell r="A146" t="str">
            <v>MOTV3</v>
          </cell>
          <cell r="B146">
            <v>0</v>
          </cell>
          <cell r="C146">
            <v>-2.3E-2</v>
          </cell>
          <cell r="D146">
            <v>0</v>
          </cell>
          <cell r="E146">
            <v>2.3E-2</v>
          </cell>
          <cell r="F146">
            <v>0.59799999999999998</v>
          </cell>
          <cell r="G146">
            <v>1.226</v>
          </cell>
          <cell r="H146" t="str">
            <v>bond_proxies</v>
          </cell>
          <cell r="I146" t="str">
            <v>transportation</v>
          </cell>
          <cell r="J146" t="str">
            <v>high_beta</v>
          </cell>
          <cell r="K146">
            <v>0</v>
          </cell>
        </row>
        <row r="147">
          <cell r="A147" t="str">
            <v>MOVI3</v>
          </cell>
          <cell r="B147">
            <v>0</v>
          </cell>
          <cell r="C147">
            <v>-3.0000000000000001E-3</v>
          </cell>
          <cell r="D147">
            <v>0</v>
          </cell>
          <cell r="E147">
            <v>3.0000000000000001E-3</v>
          </cell>
          <cell r="F147">
            <v>0.59499999999999997</v>
          </cell>
          <cell r="G147">
            <v>0.436</v>
          </cell>
          <cell r="H147" t="str">
            <v>pro_cyclicals</v>
          </cell>
          <cell r="I147" t="str">
            <v>consumer_services</v>
          </cell>
          <cell r="J147" t="str">
            <v>very_high_beta</v>
          </cell>
          <cell r="K147">
            <v>0</v>
          </cell>
        </row>
        <row r="148">
          <cell r="A148" t="str">
            <v>BRST3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0.58899999999999997</v>
          </cell>
          <cell r="G148">
            <v>0.54</v>
          </cell>
          <cell r="H148" t="str">
            <v>bond_proxies</v>
          </cell>
          <cell r="I148" t="str">
            <v>telecom</v>
          </cell>
          <cell r="J148" t="str">
            <v>low_beta</v>
          </cell>
          <cell r="K148">
            <v>0</v>
          </cell>
        </row>
        <row r="149">
          <cell r="A149" t="str">
            <v>KEPL3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0.58899999999999997</v>
          </cell>
          <cell r="G149">
            <v>0.52700000000000002</v>
          </cell>
          <cell r="H149" t="str">
            <v>industrials</v>
          </cell>
          <cell r="I149" t="str">
            <v>capital_goods</v>
          </cell>
          <cell r="J149" t="str">
            <v>high_beta</v>
          </cell>
          <cell r="K149">
            <v>0</v>
          </cell>
        </row>
        <row r="150">
          <cell r="A150" t="str">
            <v>MGLU3</v>
          </cell>
          <cell r="B150">
            <v>0</v>
          </cell>
          <cell r="C150">
            <v>-6.0000000000000001E-3</v>
          </cell>
          <cell r="D150">
            <v>0</v>
          </cell>
          <cell r="E150">
            <v>6.0000000000000001E-3</v>
          </cell>
          <cell r="F150">
            <v>0.58799999999999997</v>
          </cell>
          <cell r="G150">
            <v>0.45600000000000002</v>
          </cell>
          <cell r="H150" t="str">
            <v>pro_cyclicals</v>
          </cell>
          <cell r="I150" t="str">
            <v>consumer_durables</v>
          </cell>
          <cell r="J150" t="str">
            <v>very_high_beta</v>
          </cell>
          <cell r="K150">
            <v>0</v>
          </cell>
        </row>
        <row r="151">
          <cell r="A151" t="str">
            <v>AGRO3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0.58699999999999997</v>
          </cell>
          <cell r="G151">
            <v>0.68799999999999994</v>
          </cell>
          <cell r="H151" t="str">
            <v>commodities</v>
          </cell>
          <cell r="I151" t="str">
            <v>food</v>
          </cell>
          <cell r="J151" t="str">
            <v>very_low_beta</v>
          </cell>
          <cell r="K151">
            <v>0</v>
          </cell>
        </row>
        <row r="152">
          <cell r="A152" t="str">
            <v>RAIL3</v>
          </cell>
          <cell r="B152">
            <v>0</v>
          </cell>
          <cell r="C152">
            <v>-2.3E-2</v>
          </cell>
          <cell r="D152">
            <v>0</v>
          </cell>
          <cell r="E152">
            <v>2.3E-2</v>
          </cell>
          <cell r="F152">
            <v>0.58599999999999997</v>
          </cell>
          <cell r="G152">
            <v>0.91800000000000004</v>
          </cell>
          <cell r="H152" t="str">
            <v>pro_cyclicals</v>
          </cell>
          <cell r="I152" t="str">
            <v>transportation</v>
          </cell>
          <cell r="J152" t="str">
            <v>low_beta</v>
          </cell>
          <cell r="K152">
            <v>0</v>
          </cell>
        </row>
        <row r="153">
          <cell r="A153" t="str">
            <v>CVCB3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0.58299999999999996</v>
          </cell>
          <cell r="G153">
            <v>0.42299999999999999</v>
          </cell>
          <cell r="H153" t="str">
            <v>pro_cyclicals</v>
          </cell>
          <cell r="I153" t="str">
            <v>consumer_services</v>
          </cell>
          <cell r="J153" t="str">
            <v>neutral_beta</v>
          </cell>
          <cell r="K153">
            <v>0</v>
          </cell>
        </row>
        <row r="154">
          <cell r="A154" t="str">
            <v>VIVA3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0.57899999999999996</v>
          </cell>
          <cell r="G154">
            <v>0.505</v>
          </cell>
          <cell r="H154" t="str">
            <v>pro_cyclicals</v>
          </cell>
          <cell r="I154" t="str">
            <v>apparel</v>
          </cell>
          <cell r="J154" t="str">
            <v>low_beta</v>
          </cell>
          <cell r="K154">
            <v>0</v>
          </cell>
        </row>
        <row r="155">
          <cell r="A155" t="str">
            <v>AMER3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0.57799999999999996</v>
          </cell>
          <cell r="G155">
            <v>0.41299999999999998</v>
          </cell>
          <cell r="H155" t="str">
            <v>pro_cyclicals</v>
          </cell>
          <cell r="I155" t="str">
            <v>consumer_durables</v>
          </cell>
          <cell r="J155" t="str">
            <v>high_beta</v>
          </cell>
          <cell r="K155">
            <v>0</v>
          </cell>
        </row>
        <row r="156">
          <cell r="A156" t="str">
            <v>EQTL3</v>
          </cell>
          <cell r="B156">
            <v>0</v>
          </cell>
          <cell r="C156">
            <v>-2.4E-2</v>
          </cell>
          <cell r="D156">
            <v>0</v>
          </cell>
          <cell r="E156">
            <v>2.4E-2</v>
          </cell>
          <cell r="F156">
            <v>0.57299999999999995</v>
          </cell>
          <cell r="G156">
            <v>1.216</v>
          </cell>
          <cell r="H156" t="str">
            <v>bond_proxies</v>
          </cell>
          <cell r="I156" t="str">
            <v>utilities</v>
          </cell>
          <cell r="J156" t="str">
            <v>neutral_beta</v>
          </cell>
          <cell r="K156">
            <v>0</v>
          </cell>
        </row>
        <row r="157">
          <cell r="A157" t="str">
            <v>CMIN3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0.57199999999999995</v>
          </cell>
          <cell r="G157">
            <v>0.60499999999999998</v>
          </cell>
          <cell r="H157" t="str">
            <v>commodities</v>
          </cell>
          <cell r="I157" t="str">
            <v>basic_materials</v>
          </cell>
          <cell r="J157" t="str">
            <v>high_beta</v>
          </cell>
          <cell r="K157">
            <v>0</v>
          </cell>
        </row>
        <row r="158">
          <cell r="A158" t="str">
            <v>RDOR3</v>
          </cell>
          <cell r="B158">
            <v>0</v>
          </cell>
          <cell r="C158">
            <v>-1.7999999999999999E-2</v>
          </cell>
          <cell r="D158">
            <v>0</v>
          </cell>
          <cell r="E158">
            <v>1.7999999999999999E-2</v>
          </cell>
          <cell r="F158">
            <v>0.57099999999999995</v>
          </cell>
          <cell r="G158">
            <v>1.008</v>
          </cell>
          <cell r="H158" t="str">
            <v>defensives</v>
          </cell>
          <cell r="I158" t="str">
            <v>healthcare</v>
          </cell>
          <cell r="J158" t="str">
            <v>low_beta</v>
          </cell>
          <cell r="K158">
            <v>0</v>
          </cell>
        </row>
        <row r="159">
          <cell r="A159" t="str">
            <v>ENEV3</v>
          </cell>
          <cell r="B159">
            <v>0</v>
          </cell>
          <cell r="C159">
            <v>-2.4E-2</v>
          </cell>
          <cell r="D159">
            <v>0</v>
          </cell>
          <cell r="E159">
            <v>2.4E-2</v>
          </cell>
          <cell r="F159">
            <v>0.56999999999999995</v>
          </cell>
          <cell r="G159">
            <v>0.91600000000000004</v>
          </cell>
          <cell r="H159" t="str">
            <v>bond_proxies</v>
          </cell>
          <cell r="I159" t="str">
            <v>utilities</v>
          </cell>
          <cell r="J159" t="str">
            <v>neutral_beta</v>
          </cell>
          <cell r="K159">
            <v>0</v>
          </cell>
        </row>
        <row r="160">
          <cell r="A160" t="str">
            <v>ECOR3</v>
          </cell>
          <cell r="B160">
            <v>0</v>
          </cell>
          <cell r="C160">
            <v>-6.0000000000000001E-3</v>
          </cell>
          <cell r="D160">
            <v>0</v>
          </cell>
          <cell r="E160">
            <v>6.0000000000000001E-3</v>
          </cell>
          <cell r="F160">
            <v>0.56799999999999995</v>
          </cell>
          <cell r="G160">
            <v>0.629</v>
          </cell>
          <cell r="H160" t="str">
            <v>bond_proxies</v>
          </cell>
          <cell r="I160" t="str">
            <v>transportation</v>
          </cell>
          <cell r="J160" t="str">
            <v>very_high_beta</v>
          </cell>
          <cell r="K160">
            <v>0</v>
          </cell>
        </row>
        <row r="161">
          <cell r="A161" t="str">
            <v>SMTO3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0.56699999999999995</v>
          </cell>
          <cell r="G161">
            <v>0.438</v>
          </cell>
          <cell r="H161" t="str">
            <v>commodities</v>
          </cell>
          <cell r="I161" t="str">
            <v>food</v>
          </cell>
          <cell r="J161" t="str">
            <v>very_low_beta</v>
          </cell>
          <cell r="K161">
            <v>0</v>
          </cell>
        </row>
        <row r="162">
          <cell r="A162" t="str">
            <v>SBFG3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0.56599999999999995</v>
          </cell>
          <cell r="G162">
            <v>0.48499999999999999</v>
          </cell>
          <cell r="H162" t="str">
            <v>pro_cyclicals</v>
          </cell>
          <cell r="I162" t="str">
            <v>consumer_durables</v>
          </cell>
          <cell r="J162" t="str">
            <v>high_beta</v>
          </cell>
          <cell r="K162">
            <v>0</v>
          </cell>
        </row>
        <row r="163">
          <cell r="A163" t="str">
            <v>LWSA3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0.56599999999999995</v>
          </cell>
          <cell r="G163">
            <v>0.435</v>
          </cell>
          <cell r="H163" t="str">
            <v>pro_cyclicals</v>
          </cell>
          <cell r="I163" t="str">
            <v>tech</v>
          </cell>
          <cell r="J163" t="str">
            <v>very_high_beta</v>
          </cell>
          <cell r="K163">
            <v>0</v>
          </cell>
        </row>
        <row r="164">
          <cell r="A164" t="str">
            <v>HBSA3</v>
          </cell>
          <cell r="B164">
            <v>0</v>
          </cell>
          <cell r="C164">
            <v>-4.0000000000000001E-3</v>
          </cell>
          <cell r="D164">
            <v>0</v>
          </cell>
          <cell r="E164">
            <v>4.0000000000000001E-3</v>
          </cell>
          <cell r="F164">
            <v>0.56299999999999994</v>
          </cell>
          <cell r="G164">
            <v>0.47499999999999998</v>
          </cell>
          <cell r="H164" t="str">
            <v>pro_cyclicals</v>
          </cell>
          <cell r="I164" t="str">
            <v>transportation</v>
          </cell>
          <cell r="J164" t="str">
            <v>low_beta</v>
          </cell>
          <cell r="K164">
            <v>0</v>
          </cell>
        </row>
        <row r="165">
          <cell r="A165" t="str">
            <v>RENT3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0.55900000000000005</v>
          </cell>
          <cell r="G165">
            <v>0.58499999999999996</v>
          </cell>
          <cell r="H165" t="str">
            <v>pro_cyclicals</v>
          </cell>
          <cell r="I165" t="str">
            <v>consumer_services</v>
          </cell>
          <cell r="J165" t="str">
            <v>very_high_beta</v>
          </cell>
          <cell r="K165">
            <v>0</v>
          </cell>
        </row>
        <row r="166">
          <cell r="A166" t="str">
            <v>MBRF3</v>
          </cell>
          <cell r="B166">
            <v>0</v>
          </cell>
          <cell r="C166">
            <v>-2.1999999999999999E-2</v>
          </cell>
          <cell r="D166">
            <v>0</v>
          </cell>
          <cell r="E166">
            <v>2.1999999999999999E-2</v>
          </cell>
          <cell r="F166">
            <v>0.55600000000000005</v>
          </cell>
          <cell r="G166">
            <v>0.44900000000000001</v>
          </cell>
          <cell r="H166" t="str">
            <v>commodities</v>
          </cell>
          <cell r="I166" t="str">
            <v>food</v>
          </cell>
          <cell r="J166" t="str">
            <v>very_low_beta</v>
          </cell>
          <cell r="K166">
            <v>0</v>
          </cell>
        </row>
        <row r="167">
          <cell r="A167" t="str">
            <v>CYRE4</v>
          </cell>
          <cell r="B167">
            <v>0</v>
          </cell>
          <cell r="C167">
            <v>-2E-3</v>
          </cell>
          <cell r="D167">
            <v>0</v>
          </cell>
          <cell r="E167">
            <v>2E-3</v>
          </cell>
          <cell r="F167">
            <v>0.55300000000000005</v>
          </cell>
          <cell r="G167">
            <v>0.55200000000000005</v>
          </cell>
          <cell r="H167" t="str">
            <v>pro_cyclicals</v>
          </cell>
          <cell r="I167" t="str">
            <v>homebuilders</v>
          </cell>
          <cell r="J167" t="str">
            <v>very_high_beta</v>
          </cell>
          <cell r="K167">
            <v>0</v>
          </cell>
        </row>
        <row r="168">
          <cell r="A168" t="str">
            <v>TOTS3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0.55000000000000004</v>
          </cell>
          <cell r="G168">
            <v>0.57199999999999995</v>
          </cell>
          <cell r="H168" t="str">
            <v>pro_cyclicals</v>
          </cell>
          <cell r="I168" t="str">
            <v>tech</v>
          </cell>
          <cell r="J168" t="str">
            <v>neutral_beta</v>
          </cell>
          <cell r="K168">
            <v>0</v>
          </cell>
        </row>
        <row r="169">
          <cell r="A169" t="str">
            <v>GGPS3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0.54900000000000004</v>
          </cell>
          <cell r="G169">
            <v>0.625</v>
          </cell>
          <cell r="H169" t="str">
            <v>industrials</v>
          </cell>
          <cell r="I169" t="str">
            <v>capital_goods</v>
          </cell>
          <cell r="J169" t="str">
            <v>low_beta</v>
          </cell>
          <cell r="K169">
            <v>0</v>
          </cell>
        </row>
        <row r="170">
          <cell r="A170" t="str">
            <v>AUAU3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0.54800000000000004</v>
          </cell>
          <cell r="G170">
            <v>0.42899999999999999</v>
          </cell>
          <cell r="H170" t="str">
            <v>pro_cyclicals</v>
          </cell>
          <cell r="I170" t="str">
            <v>consumer_durables</v>
          </cell>
          <cell r="J170" t="str">
            <v>high_beta</v>
          </cell>
          <cell r="K170">
            <v>0</v>
          </cell>
        </row>
        <row r="171">
          <cell r="A171" t="str">
            <v>INBR32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0.54800000000000004</v>
          </cell>
          <cell r="G171">
            <v>0.49399999999999999</v>
          </cell>
          <cell r="H171" t="str">
            <v>pro_cyclicals</v>
          </cell>
          <cell r="I171" t="str">
            <v>banks</v>
          </cell>
          <cell r="J171" t="str">
            <v>neutral_beta</v>
          </cell>
          <cell r="K171">
            <v>0</v>
          </cell>
        </row>
        <row r="172">
          <cell r="A172" t="str">
            <v>BEEF3</v>
          </cell>
          <cell r="B172">
            <v>0</v>
          </cell>
          <cell r="C172">
            <v>-3.0000000000000001E-3</v>
          </cell>
          <cell r="D172">
            <v>0</v>
          </cell>
          <cell r="E172">
            <v>3.0000000000000001E-3</v>
          </cell>
          <cell r="F172">
            <v>0.54700000000000004</v>
          </cell>
          <cell r="G172">
            <v>0.41699999999999998</v>
          </cell>
          <cell r="H172" t="str">
            <v>commodities</v>
          </cell>
          <cell r="I172" t="str">
            <v>food</v>
          </cell>
          <cell r="J172" t="str">
            <v>high_beta</v>
          </cell>
          <cell r="K172">
            <v>0</v>
          </cell>
        </row>
        <row r="173">
          <cell r="A173" t="str">
            <v>RENT4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0.54500000000000004</v>
          </cell>
          <cell r="G173">
            <v>0.496</v>
          </cell>
          <cell r="H173" t="str">
            <v>pro_cyclicals</v>
          </cell>
          <cell r="I173" t="str">
            <v>consumer_services</v>
          </cell>
          <cell r="J173" t="str">
            <v>very_high_beta</v>
          </cell>
          <cell r="K173">
            <v>0</v>
          </cell>
        </row>
        <row r="174">
          <cell r="A174" t="str">
            <v>FRAS3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0.54500000000000004</v>
          </cell>
          <cell r="G174">
            <v>0.63700000000000001</v>
          </cell>
          <cell r="H174" t="str">
            <v>industrials</v>
          </cell>
          <cell r="I174" t="str">
            <v>capital_goods</v>
          </cell>
          <cell r="J174" t="str">
            <v>neutral_beta</v>
          </cell>
          <cell r="K174">
            <v>0</v>
          </cell>
        </row>
        <row r="175">
          <cell r="A175" t="str">
            <v>JBSS32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0.54100000000000004</v>
          </cell>
          <cell r="G175">
            <v>0.45900000000000002</v>
          </cell>
          <cell r="H175" t="str">
            <v>commodities</v>
          </cell>
          <cell r="I175" t="str">
            <v>food</v>
          </cell>
          <cell r="J175" t="str">
            <v>very_low_beta</v>
          </cell>
          <cell r="K175">
            <v>0</v>
          </cell>
        </row>
        <row r="176">
          <cell r="A176" t="str">
            <v>PLPL3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0.53900000000000003</v>
          </cell>
          <cell r="G176">
            <v>0.42299999999999999</v>
          </cell>
          <cell r="H176" t="str">
            <v>pro_cyclicals</v>
          </cell>
          <cell r="I176" t="str">
            <v>homebuilders</v>
          </cell>
          <cell r="J176" t="str">
            <v>low_beta</v>
          </cell>
          <cell r="K176">
            <v>0</v>
          </cell>
        </row>
        <row r="177">
          <cell r="A177" t="str">
            <v>GGBR4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0.53900000000000003</v>
          </cell>
          <cell r="G177">
            <v>0.62</v>
          </cell>
          <cell r="H177" t="str">
            <v>commodities</v>
          </cell>
          <cell r="I177" t="str">
            <v>basic_materials</v>
          </cell>
          <cell r="J177" t="str">
            <v>neutral_beta</v>
          </cell>
          <cell r="K177">
            <v>0</v>
          </cell>
        </row>
        <row r="178">
          <cell r="A178" t="str">
            <v>SMFT3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0.53500000000000003</v>
          </cell>
          <cell r="G178">
            <v>0.57899999999999996</v>
          </cell>
          <cell r="H178" t="str">
            <v>pro_cyclicals</v>
          </cell>
          <cell r="I178" t="str">
            <v>consumer_services</v>
          </cell>
          <cell r="J178" t="str">
            <v>neutral_beta</v>
          </cell>
          <cell r="K178">
            <v>0</v>
          </cell>
        </row>
        <row r="179">
          <cell r="A179" t="str">
            <v>RADL3</v>
          </cell>
          <cell r="B179">
            <v>0</v>
          </cell>
          <cell r="C179">
            <v>-2.1999999999999999E-2</v>
          </cell>
          <cell r="D179">
            <v>0</v>
          </cell>
          <cell r="E179">
            <v>2.1999999999999999E-2</v>
          </cell>
          <cell r="F179">
            <v>0.53400000000000003</v>
          </cell>
          <cell r="G179">
            <v>0.54500000000000004</v>
          </cell>
          <cell r="H179" t="str">
            <v>defensives</v>
          </cell>
          <cell r="I179" t="str">
            <v>healthcare</v>
          </cell>
          <cell r="J179" t="str">
            <v>very_low_beta</v>
          </cell>
          <cell r="K179">
            <v>0</v>
          </cell>
        </row>
        <row r="180">
          <cell r="A180" t="str">
            <v>GMAT3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0.53300000000000003</v>
          </cell>
          <cell r="G180">
            <v>0.502</v>
          </cell>
          <cell r="H180" t="str">
            <v>defensives</v>
          </cell>
          <cell r="I180" t="str">
            <v>consumer_staples</v>
          </cell>
          <cell r="J180" t="str">
            <v>low_beta</v>
          </cell>
          <cell r="K180">
            <v>0</v>
          </cell>
        </row>
        <row r="181">
          <cell r="A181" t="str">
            <v>TASA4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0.53300000000000003</v>
          </cell>
          <cell r="G181">
            <v>0.41799999999999998</v>
          </cell>
          <cell r="H181" t="str">
            <v>industrials</v>
          </cell>
          <cell r="I181" t="str">
            <v>capital_goods</v>
          </cell>
          <cell r="J181" t="str">
            <v>very_low_beta</v>
          </cell>
          <cell r="K181">
            <v>0</v>
          </cell>
        </row>
        <row r="182">
          <cell r="A182" t="str">
            <v>HBOR3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0.53200000000000003</v>
          </cell>
          <cell r="G182">
            <v>0.374</v>
          </cell>
          <cell r="H182" t="str">
            <v>pro_cyclicals</v>
          </cell>
          <cell r="I182" t="str">
            <v>homebuilders</v>
          </cell>
          <cell r="J182" t="str">
            <v>very_high_beta</v>
          </cell>
          <cell r="K182">
            <v>0</v>
          </cell>
        </row>
        <row r="183">
          <cell r="A183" t="str">
            <v>RAPT4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0.53</v>
          </cell>
          <cell r="G183">
            <v>0.439</v>
          </cell>
          <cell r="H183" t="str">
            <v>industrials</v>
          </cell>
          <cell r="I183" t="str">
            <v>capital_goods</v>
          </cell>
          <cell r="J183" t="str">
            <v>very_high_beta</v>
          </cell>
          <cell r="K183">
            <v>0</v>
          </cell>
        </row>
        <row r="184">
          <cell r="A184" t="str">
            <v>PRIO3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0.53</v>
          </cell>
          <cell r="G184">
            <v>0.45100000000000001</v>
          </cell>
          <cell r="H184" t="str">
            <v>commodities</v>
          </cell>
          <cell r="I184" t="str">
            <v>crude_oil</v>
          </cell>
          <cell r="J184" t="str">
            <v>very_low_beta</v>
          </cell>
          <cell r="K184">
            <v>0</v>
          </cell>
        </row>
        <row r="185">
          <cell r="A185" t="str">
            <v>ROXO34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0.53</v>
          </cell>
          <cell r="G185">
            <v>0.47699999999999998</v>
          </cell>
          <cell r="H185" t="str">
            <v>pro_cyclicals</v>
          </cell>
          <cell r="I185" t="str">
            <v>banks</v>
          </cell>
          <cell r="J185" t="str">
            <v>very_low_beta</v>
          </cell>
          <cell r="K185">
            <v>0</v>
          </cell>
        </row>
        <row r="186">
          <cell r="A186" t="str">
            <v>DESK3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0.52900000000000003</v>
          </cell>
          <cell r="G186">
            <v>0.376</v>
          </cell>
          <cell r="H186" t="str">
            <v>bond_proxies</v>
          </cell>
          <cell r="I186" t="str">
            <v>telecom</v>
          </cell>
          <cell r="J186" t="str">
            <v>very_low_beta</v>
          </cell>
          <cell r="K186">
            <v>0</v>
          </cell>
        </row>
        <row r="187">
          <cell r="A187" t="str">
            <v>DXCO3</v>
          </cell>
          <cell r="B187">
            <v>0</v>
          </cell>
          <cell r="C187">
            <v>-3.0000000000000001E-3</v>
          </cell>
          <cell r="D187">
            <v>0</v>
          </cell>
          <cell r="E187">
            <v>3.0000000000000001E-3</v>
          </cell>
          <cell r="F187">
            <v>0.52700000000000002</v>
          </cell>
          <cell r="G187">
            <v>0.56499999999999995</v>
          </cell>
          <cell r="H187" t="str">
            <v>industrials</v>
          </cell>
          <cell r="I187" t="str">
            <v>building_materials</v>
          </cell>
          <cell r="J187" t="str">
            <v>very_high_beta</v>
          </cell>
          <cell r="K187">
            <v>0</v>
          </cell>
        </row>
        <row r="188">
          <cell r="A188" t="str">
            <v>SIMH3</v>
          </cell>
          <cell r="B188">
            <v>0</v>
          </cell>
          <cell r="C188">
            <v>-3.0000000000000001E-3</v>
          </cell>
          <cell r="D188">
            <v>0</v>
          </cell>
          <cell r="E188">
            <v>3.0000000000000001E-3</v>
          </cell>
          <cell r="F188">
            <v>0.52600000000000002</v>
          </cell>
          <cell r="G188">
            <v>0.4</v>
          </cell>
          <cell r="H188" t="str">
            <v>pro_cyclicals</v>
          </cell>
          <cell r="I188" t="str">
            <v>consumer_services</v>
          </cell>
          <cell r="J188" t="str">
            <v>very_high_beta</v>
          </cell>
          <cell r="K188">
            <v>0</v>
          </cell>
        </row>
        <row r="189">
          <cell r="A189" t="str">
            <v>TTEN3</v>
          </cell>
          <cell r="B189">
            <v>0</v>
          </cell>
          <cell r="C189">
            <v>-3.0000000000000001E-3</v>
          </cell>
          <cell r="D189">
            <v>0</v>
          </cell>
          <cell r="E189">
            <v>3.0000000000000001E-3</v>
          </cell>
          <cell r="F189">
            <v>0.52600000000000002</v>
          </cell>
          <cell r="G189">
            <v>0.56399999999999995</v>
          </cell>
          <cell r="H189" t="str">
            <v>commodities</v>
          </cell>
          <cell r="I189" t="str">
            <v>food</v>
          </cell>
          <cell r="J189" t="str">
            <v>low_beta</v>
          </cell>
          <cell r="K189">
            <v>0</v>
          </cell>
        </row>
        <row r="190">
          <cell r="A190" t="str">
            <v>MRVE3</v>
          </cell>
          <cell r="B190">
            <v>0</v>
          </cell>
          <cell r="C190">
            <v>-5.0000000000000001E-3</v>
          </cell>
          <cell r="D190">
            <v>0</v>
          </cell>
          <cell r="E190">
            <v>5.0000000000000001E-3</v>
          </cell>
          <cell r="F190">
            <v>0.52500000000000002</v>
          </cell>
          <cell r="G190">
            <v>0.42199999999999999</v>
          </cell>
          <cell r="H190" t="str">
            <v>pro_cyclicals</v>
          </cell>
          <cell r="I190" t="str">
            <v>homebuilders</v>
          </cell>
          <cell r="J190" t="str">
            <v>very_high_beta</v>
          </cell>
          <cell r="K190">
            <v>0</v>
          </cell>
        </row>
        <row r="191">
          <cell r="A191" t="str">
            <v>EMBJ3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0.52400000000000002</v>
          </cell>
          <cell r="G191">
            <v>0.432</v>
          </cell>
          <cell r="H191" t="str">
            <v>industrials</v>
          </cell>
          <cell r="I191" t="str">
            <v>capital_goods</v>
          </cell>
          <cell r="J191" t="str">
            <v>very_high_beta</v>
          </cell>
          <cell r="K191">
            <v>0</v>
          </cell>
        </row>
        <row r="192">
          <cell r="A192" t="str">
            <v>PRNR3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0.52400000000000002</v>
          </cell>
          <cell r="G192">
            <v>0.58099999999999996</v>
          </cell>
          <cell r="H192" t="str">
            <v>industrials</v>
          </cell>
          <cell r="I192" t="str">
            <v>capital_goods</v>
          </cell>
          <cell r="J192" t="str">
            <v>high_beta</v>
          </cell>
          <cell r="K192">
            <v>0</v>
          </cell>
        </row>
        <row r="193">
          <cell r="A193" t="str">
            <v>QUAL3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0.51900000000000002</v>
          </cell>
          <cell r="G193">
            <v>0.38800000000000001</v>
          </cell>
          <cell r="H193" t="str">
            <v>defensives</v>
          </cell>
          <cell r="I193" t="str">
            <v>healthcare</v>
          </cell>
          <cell r="J193" t="str">
            <v>very_high_beta</v>
          </cell>
          <cell r="K193">
            <v>0</v>
          </cell>
        </row>
        <row r="194">
          <cell r="A194" t="str">
            <v>NATU3</v>
          </cell>
          <cell r="B194">
            <v>0</v>
          </cell>
          <cell r="C194">
            <v>-1.4999999999999999E-2</v>
          </cell>
          <cell r="D194">
            <v>0</v>
          </cell>
          <cell r="E194">
            <v>1.4999999999999999E-2</v>
          </cell>
          <cell r="F194">
            <v>0.51600000000000001</v>
          </cell>
          <cell r="G194">
            <v>0.70099999999999996</v>
          </cell>
          <cell r="H194" t="str">
            <v>defensives</v>
          </cell>
          <cell r="I194" t="str">
            <v>consumer_staples</v>
          </cell>
          <cell r="J194" t="str">
            <v>high_beta</v>
          </cell>
          <cell r="K194">
            <v>0</v>
          </cell>
        </row>
        <row r="195">
          <cell r="A195" t="str">
            <v>SOJA3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0.51600000000000001</v>
          </cell>
          <cell r="G195">
            <v>0.42399999999999999</v>
          </cell>
          <cell r="H195" t="str">
            <v>commodities</v>
          </cell>
          <cell r="I195" t="str">
            <v>food</v>
          </cell>
          <cell r="J195" t="str">
            <v>very_low_beta</v>
          </cell>
          <cell r="K195">
            <v>0</v>
          </cell>
        </row>
        <row r="196">
          <cell r="A196" t="str">
            <v>ASAI3</v>
          </cell>
          <cell r="B196">
            <v>0</v>
          </cell>
          <cell r="C196">
            <v>-2.3E-2</v>
          </cell>
          <cell r="D196">
            <v>0</v>
          </cell>
          <cell r="E196">
            <v>2.3E-2</v>
          </cell>
          <cell r="F196">
            <v>0.51400000000000001</v>
          </cell>
          <cell r="G196">
            <v>0.60599999999999998</v>
          </cell>
          <cell r="H196" t="str">
            <v>defensives</v>
          </cell>
          <cell r="I196" t="str">
            <v>consumer_staples</v>
          </cell>
          <cell r="J196" t="str">
            <v>very_high_beta</v>
          </cell>
          <cell r="K196">
            <v>0</v>
          </cell>
        </row>
        <row r="197">
          <cell r="A197" t="str">
            <v>VITT3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0.51400000000000001</v>
          </cell>
          <cell r="G197">
            <v>0.36099999999999999</v>
          </cell>
          <cell r="H197" t="str">
            <v>industrials</v>
          </cell>
          <cell r="I197" t="str">
            <v>chemicals</v>
          </cell>
          <cell r="J197" t="str">
            <v>very_high_beta</v>
          </cell>
          <cell r="K197">
            <v>0</v>
          </cell>
        </row>
        <row r="198">
          <cell r="A198" t="str">
            <v>STOC34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0.51400000000000001</v>
          </cell>
          <cell r="G198">
            <v>0.39100000000000001</v>
          </cell>
          <cell r="H198" t="str">
            <v>pro_cyclicals</v>
          </cell>
          <cell r="I198" t="str">
            <v>financial_services</v>
          </cell>
          <cell r="J198" t="str">
            <v>neutral_beta</v>
          </cell>
          <cell r="K198">
            <v>0</v>
          </cell>
        </row>
        <row r="199">
          <cell r="A199" t="str">
            <v>VAMO3</v>
          </cell>
          <cell r="B199">
            <v>0</v>
          </cell>
          <cell r="C199">
            <v>-3.0000000000000001E-3</v>
          </cell>
          <cell r="D199">
            <v>0</v>
          </cell>
          <cell r="E199">
            <v>3.0000000000000001E-3</v>
          </cell>
          <cell r="F199">
            <v>0.51200000000000001</v>
          </cell>
          <cell r="G199">
            <v>0.39</v>
          </cell>
          <cell r="H199" t="str">
            <v>pro_cyclicals</v>
          </cell>
          <cell r="I199" t="str">
            <v>transportation</v>
          </cell>
          <cell r="J199" t="str">
            <v>very_high_beta</v>
          </cell>
          <cell r="K199">
            <v>0</v>
          </cell>
        </row>
        <row r="200">
          <cell r="A200" t="str">
            <v>CSAN3</v>
          </cell>
          <cell r="B200">
            <v>0</v>
          </cell>
          <cell r="C200">
            <v>-1.7000000000000001E-2</v>
          </cell>
          <cell r="D200">
            <v>0</v>
          </cell>
          <cell r="E200">
            <v>1.7000000000000001E-2</v>
          </cell>
          <cell r="F200">
            <v>0.50900000000000001</v>
          </cell>
          <cell r="G200">
            <v>0.53300000000000003</v>
          </cell>
          <cell r="H200" t="str">
            <v>pro_cyclicals</v>
          </cell>
          <cell r="I200" t="str">
            <v>consumer_services</v>
          </cell>
          <cell r="J200" t="str">
            <v>very_high_beta</v>
          </cell>
          <cell r="K200">
            <v>0</v>
          </cell>
        </row>
        <row r="201">
          <cell r="A201" t="str">
            <v>TUPY3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0.50900000000000001</v>
          </cell>
          <cell r="G201">
            <v>0.42</v>
          </cell>
          <cell r="H201" t="str">
            <v>industrials</v>
          </cell>
          <cell r="I201" t="str">
            <v>capital_goods</v>
          </cell>
          <cell r="J201" t="str">
            <v>high_beta</v>
          </cell>
          <cell r="K201">
            <v>0</v>
          </cell>
        </row>
        <row r="202">
          <cell r="A202" t="str">
            <v>BHIA3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0.505</v>
          </cell>
          <cell r="G202">
            <v>0.35499999999999998</v>
          </cell>
          <cell r="H202" t="str">
            <v>pro_cyclicals</v>
          </cell>
          <cell r="I202" t="str">
            <v>consumer_durables</v>
          </cell>
          <cell r="J202" t="str">
            <v>very_high_beta</v>
          </cell>
          <cell r="K202">
            <v>0</v>
          </cell>
        </row>
        <row r="203">
          <cell r="A203" t="str">
            <v>DASA3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0.499</v>
          </cell>
          <cell r="G203">
            <v>0.35</v>
          </cell>
          <cell r="H203" t="str">
            <v>defensives</v>
          </cell>
          <cell r="I203" t="str">
            <v>healthcare</v>
          </cell>
          <cell r="J203" t="str">
            <v>very_high_beta</v>
          </cell>
          <cell r="K203">
            <v>0</v>
          </cell>
        </row>
        <row r="204">
          <cell r="A204" t="str">
            <v>PCAR3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0.495</v>
          </cell>
          <cell r="G204">
            <v>0.35099999999999998</v>
          </cell>
          <cell r="H204" t="str">
            <v>defensives</v>
          </cell>
          <cell r="I204" t="str">
            <v>consumer_staples</v>
          </cell>
          <cell r="J204" t="str">
            <v>very_high_beta</v>
          </cell>
          <cell r="K204">
            <v>0</v>
          </cell>
        </row>
        <row r="205">
          <cell r="A205" t="str">
            <v>CASH3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0.49399999999999999</v>
          </cell>
          <cell r="G205">
            <v>0.34599999999999997</v>
          </cell>
          <cell r="H205" t="str">
            <v>pro_cyclicals</v>
          </cell>
          <cell r="I205" t="str">
            <v>tech</v>
          </cell>
          <cell r="J205" t="str">
            <v>high_beta</v>
          </cell>
          <cell r="K205">
            <v>0</v>
          </cell>
        </row>
        <row r="206">
          <cell r="A206" t="str">
            <v>CSNA3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0.49299999999999999</v>
          </cell>
          <cell r="G206">
            <v>0.378</v>
          </cell>
          <cell r="H206" t="str">
            <v>commodities</v>
          </cell>
          <cell r="I206" t="str">
            <v>basic_materials</v>
          </cell>
          <cell r="J206" t="str">
            <v>very_high_beta</v>
          </cell>
          <cell r="K206">
            <v>0</v>
          </cell>
        </row>
        <row r="207">
          <cell r="A207" t="str">
            <v>S2GM34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0.49</v>
          </cell>
          <cell r="G207">
            <v>0.34399999999999997</v>
          </cell>
          <cell r="H207" t="str">
            <v>commodities</v>
          </cell>
          <cell r="I207" t="str">
            <v>basic_materials</v>
          </cell>
          <cell r="J207" t="str">
            <v>very_high_beta</v>
          </cell>
          <cell r="K207">
            <v>0</v>
          </cell>
        </row>
        <row r="208">
          <cell r="A208" t="str">
            <v>AMBP3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0.48699999999999999</v>
          </cell>
          <cell r="G208">
            <v>0.34200000000000003</v>
          </cell>
          <cell r="H208" t="str">
            <v>bond_proxies</v>
          </cell>
          <cell r="I208" t="str">
            <v>utilities</v>
          </cell>
          <cell r="J208" t="str">
            <v>neutral_beta</v>
          </cell>
          <cell r="K208">
            <v>0</v>
          </cell>
        </row>
        <row r="209">
          <cell r="A209" t="str">
            <v>HAPV3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0.48499999999999999</v>
          </cell>
          <cell r="G209">
            <v>0.34399999999999997</v>
          </cell>
          <cell r="H209" t="str">
            <v>defensives</v>
          </cell>
          <cell r="I209" t="str">
            <v>healthcare</v>
          </cell>
          <cell r="J209" t="str">
            <v>very_high_beta</v>
          </cell>
          <cell r="K209">
            <v>0</v>
          </cell>
        </row>
        <row r="210">
          <cell r="A210" t="str">
            <v>PTBL3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0.48099999999999998</v>
          </cell>
          <cell r="G210">
            <v>0.36099999999999999</v>
          </cell>
          <cell r="H210" t="str">
            <v>industrials</v>
          </cell>
          <cell r="I210" t="str">
            <v>building_materials</v>
          </cell>
          <cell r="J210" t="str">
            <v>very_low_beta</v>
          </cell>
          <cell r="K210">
            <v>0</v>
          </cell>
        </row>
        <row r="211">
          <cell r="A211" t="str">
            <v>LJQQ3</v>
          </cell>
          <cell r="B211">
            <v>0</v>
          </cell>
          <cell r="C211">
            <v>-1E-3</v>
          </cell>
          <cell r="D211">
            <v>0</v>
          </cell>
          <cell r="E211">
            <v>1E-3</v>
          </cell>
          <cell r="F211">
            <v>0.48</v>
          </cell>
          <cell r="G211">
            <v>0.35599999999999998</v>
          </cell>
          <cell r="H211" t="str">
            <v>pro_cyclicals</v>
          </cell>
          <cell r="I211" t="str">
            <v>consumer_durables</v>
          </cell>
          <cell r="J211" t="str">
            <v>very_high_beta</v>
          </cell>
          <cell r="K211">
            <v>0</v>
          </cell>
        </row>
        <row r="212">
          <cell r="A212" t="str">
            <v>RCSL3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0.47499999999999998</v>
          </cell>
          <cell r="G212">
            <v>0.33300000000000002</v>
          </cell>
          <cell r="H212" t="str">
            <v>industrials</v>
          </cell>
          <cell r="I212" t="str">
            <v>capital_goods</v>
          </cell>
          <cell r="J212" t="str">
            <v>very_low_beta</v>
          </cell>
          <cell r="K212">
            <v>0</v>
          </cell>
        </row>
        <row r="213">
          <cell r="A213" t="str">
            <v>BRKM5</v>
          </cell>
          <cell r="B213">
            <v>0</v>
          </cell>
          <cell r="C213">
            <v>-4.0000000000000001E-3</v>
          </cell>
          <cell r="D213">
            <v>0</v>
          </cell>
          <cell r="E213">
            <v>4.0000000000000001E-3</v>
          </cell>
          <cell r="F213">
            <v>0.47499999999999998</v>
          </cell>
          <cell r="G213">
            <v>0.34399999999999997</v>
          </cell>
          <cell r="H213" t="str">
            <v>industrials</v>
          </cell>
          <cell r="I213" t="str">
            <v>chemicals</v>
          </cell>
          <cell r="J213" t="str">
            <v>very_low_beta</v>
          </cell>
          <cell r="K213">
            <v>0</v>
          </cell>
        </row>
        <row r="214">
          <cell r="A214" t="str">
            <v>OBTC3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0.47299999999999998</v>
          </cell>
          <cell r="G214">
            <v>0.373</v>
          </cell>
          <cell r="H214" t="str">
            <v>pro_cyclicals</v>
          </cell>
          <cell r="I214" t="str">
            <v>education</v>
          </cell>
          <cell r="J214" t="str">
            <v>low_beta</v>
          </cell>
          <cell r="K214">
            <v>0</v>
          </cell>
        </row>
        <row r="215">
          <cell r="A215" t="str">
            <v>AZEV4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0.47</v>
          </cell>
          <cell r="G215">
            <v>0.33</v>
          </cell>
          <cell r="H215" t="str">
            <v>industrials</v>
          </cell>
          <cell r="I215" t="str">
            <v>building_materials</v>
          </cell>
          <cell r="J215" t="str">
            <v>neutral_beta</v>
          </cell>
          <cell r="K215">
            <v>0</v>
          </cell>
        </row>
        <row r="216">
          <cell r="A216" t="str">
            <v>GFSA3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0.46899999999999997</v>
          </cell>
          <cell r="G216">
            <v>0.32900000000000001</v>
          </cell>
          <cell r="H216" t="str">
            <v>pro_cyclicals</v>
          </cell>
          <cell r="I216" t="str">
            <v>homebuilders</v>
          </cell>
          <cell r="J216" t="str">
            <v>high_beta</v>
          </cell>
          <cell r="K216">
            <v>0</v>
          </cell>
        </row>
        <row r="217">
          <cell r="A217" t="str">
            <v>RCSL4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0.46800000000000003</v>
          </cell>
          <cell r="G217">
            <v>0.32900000000000001</v>
          </cell>
          <cell r="H217" t="str">
            <v>industrials</v>
          </cell>
          <cell r="I217" t="str">
            <v>capital_goods</v>
          </cell>
          <cell r="J217" t="str">
            <v>very_low_beta</v>
          </cell>
          <cell r="K217">
            <v>0</v>
          </cell>
        </row>
        <row r="218">
          <cell r="A218" t="str">
            <v>AZUL53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0.46800000000000003</v>
          </cell>
          <cell r="G218">
            <v>0.33200000000000002</v>
          </cell>
          <cell r="H218" t="str">
            <v>pro_cyclicals</v>
          </cell>
          <cell r="I218" t="str">
            <v>consumer_services</v>
          </cell>
          <cell r="J218" t="str">
            <v>very_high_beta</v>
          </cell>
          <cell r="K218">
            <v>0</v>
          </cell>
        </row>
        <row r="219">
          <cell r="A219" t="str">
            <v>AERI3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0.46800000000000003</v>
          </cell>
          <cell r="G219">
            <v>0.35399999999999998</v>
          </cell>
          <cell r="H219" t="str">
            <v>industrials</v>
          </cell>
          <cell r="I219" t="str">
            <v>capital_goods</v>
          </cell>
          <cell r="J219" t="str">
            <v>very_low_beta</v>
          </cell>
          <cell r="K219">
            <v>0</v>
          </cell>
        </row>
        <row r="220">
          <cell r="A220" t="str">
            <v>RAIZ4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0.46800000000000003</v>
          </cell>
          <cell r="G220">
            <v>0.33</v>
          </cell>
          <cell r="H220" t="str">
            <v>pro_cyclicals</v>
          </cell>
          <cell r="I220" t="str">
            <v>consumer_services</v>
          </cell>
          <cell r="J220" t="str">
            <v>very_high_beta</v>
          </cell>
          <cell r="K220">
            <v>0</v>
          </cell>
        </row>
        <row r="221">
          <cell r="A221" t="str">
            <v>ONCO3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0.46800000000000003</v>
          </cell>
          <cell r="G221">
            <v>0.32900000000000001</v>
          </cell>
          <cell r="H221" t="str">
            <v>defensives</v>
          </cell>
          <cell r="I221" t="str">
            <v>healthcare</v>
          </cell>
          <cell r="J221" t="str">
            <v>high_beta</v>
          </cell>
          <cell r="K221">
            <v>0</v>
          </cell>
        </row>
        <row r="222">
          <cell r="A222" t="str">
            <v>PMAM3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0.46800000000000003</v>
          </cell>
          <cell r="G222">
            <v>0.32900000000000001</v>
          </cell>
          <cell r="H222" t="str">
            <v>commodities</v>
          </cell>
          <cell r="I222" t="str">
            <v>basic_materials</v>
          </cell>
          <cell r="J222" t="str">
            <v>very_high_beta</v>
          </cell>
          <cell r="K222">
            <v>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F (2)"/>
      <sheetName val="Planilha3"/>
      <sheetName val="Sector Rot SB -&gt; SP"/>
      <sheetName val="Sector Rot PB -&gt; SB"/>
      <sheetName val="Size"/>
      <sheetName val="Defensive"/>
      <sheetName val="Momentum"/>
      <sheetName val="Growth"/>
      <sheetName val="Valor"/>
      <sheetName val="Sector Rotation Ref PB"/>
      <sheetName val="Sector Rotation Ref SB"/>
      <sheetName val="MF"/>
      <sheetName val="Base de Dados"/>
    </sheetNames>
    <sheetDataSet>
      <sheetData sheetId="0">
        <row r="12">
          <cell r="A12" t="str">
            <v>VALE3</v>
          </cell>
          <cell r="B12">
            <v>2.9960000000000001E-2</v>
          </cell>
          <cell r="C12">
            <v>0</v>
          </cell>
          <cell r="D12">
            <v>1.1581847285004601</v>
          </cell>
          <cell r="E12"/>
          <cell r="F12">
            <v>6.25E-2</v>
          </cell>
        </row>
        <row r="13">
          <cell r="A13" t="str">
            <v>PETR4</v>
          </cell>
          <cell r="B13">
            <v>4.8839999999999995E-2</v>
          </cell>
          <cell r="C13">
            <v>5.7622261803805856E-2</v>
          </cell>
          <cell r="D13">
            <v>2.0321399459513398</v>
          </cell>
          <cell r="E13"/>
          <cell r="F13">
            <v>5.7622261803805856E-2</v>
          </cell>
        </row>
        <row r="14">
          <cell r="A14" t="str">
            <v>PETR3</v>
          </cell>
          <cell r="B14">
            <v>4.6739999999999997E-2</v>
          </cell>
          <cell r="C14">
            <v>5.5031491343970097E-2</v>
          </cell>
          <cell r="D14">
            <v>1.94077233944973</v>
          </cell>
          <cell r="E14"/>
          <cell r="F14">
            <v>5.5031491343970097E-2</v>
          </cell>
        </row>
        <row r="15">
          <cell r="A15" t="str">
            <v>ITUB3</v>
          </cell>
          <cell r="B15">
            <v>3.5860000000000003E-2</v>
          </cell>
          <cell r="C15">
            <v>4.9716590006821555E-2</v>
          </cell>
          <cell r="D15">
            <v>1.7533339609844101</v>
          </cell>
          <cell r="E15"/>
          <cell r="F15">
            <v>4.9716590006821555E-2</v>
          </cell>
        </row>
        <row r="16">
          <cell r="A16" t="str">
            <v>ITUB4</v>
          </cell>
          <cell r="B16">
            <v>2.1360000000000001E-2</v>
          </cell>
          <cell r="C16">
            <v>4.7098660363047565E-2</v>
          </cell>
          <cell r="D16">
            <v>1.6610085430249899</v>
          </cell>
          <cell r="E16"/>
          <cell r="F16">
            <v>4.4999999999999998E-2</v>
          </cell>
        </row>
        <row r="17">
          <cell r="A17" t="str">
            <v>BBAS3</v>
          </cell>
          <cell r="B17">
            <v>3.2000000000000001E-2</v>
          </cell>
          <cell r="C17">
            <v>4.2480381327411484E-2</v>
          </cell>
          <cell r="D17">
            <v>1.92389552779226</v>
          </cell>
          <cell r="E17"/>
          <cell r="F17">
            <v>4.2480381327411484E-2</v>
          </cell>
        </row>
        <row r="18">
          <cell r="A18" t="str">
            <v>ABEV3</v>
          </cell>
          <cell r="B18">
            <v>2.0459999999999999E-2</v>
          </cell>
          <cell r="C18">
            <v>4.2358119302154953E-2</v>
          </cell>
          <cell r="D18">
            <v>1.49382588559889</v>
          </cell>
          <cell r="E18"/>
          <cell r="F18">
            <v>3.5000000000000003E-2</v>
          </cell>
        </row>
        <row r="19">
          <cell r="A19" t="str">
            <v>AXIA3</v>
          </cell>
          <cell r="B19">
            <v>2.4774999999999998E-2</v>
          </cell>
          <cell r="C19">
            <v>3.2730288589282744E-2</v>
          </cell>
          <cell r="D19">
            <v>1.79729654715889</v>
          </cell>
          <cell r="E19"/>
          <cell r="F19">
            <v>3.2730288589282744E-2</v>
          </cell>
        </row>
        <row r="20">
          <cell r="A20" t="str">
            <v>BBDC3</v>
          </cell>
          <cell r="B20">
            <v>2.4825000000000003E-2</v>
          </cell>
          <cell r="C20">
            <v>2.7396660956399296E-2</v>
          </cell>
          <cell r="D20">
            <v>1.85060044279865</v>
          </cell>
          <cell r="E20"/>
          <cell r="F20">
            <v>2.7396660956399296E-2</v>
          </cell>
        </row>
        <row r="21">
          <cell r="A21" t="str">
            <v>BRAP4</v>
          </cell>
          <cell r="B21">
            <v>1.0414383701084376E-2</v>
          </cell>
          <cell r="C21">
            <v>1.1967845464976796E-2</v>
          </cell>
          <cell r="D21">
            <v>2.0113574465852402</v>
          </cell>
          <cell r="E21"/>
          <cell r="F21">
            <v>2.5000000000000001E-2</v>
          </cell>
        </row>
        <row r="22">
          <cell r="A22" t="str">
            <v>BBDC4</v>
          </cell>
          <cell r="B22">
            <v>2.579E-2</v>
          </cell>
          <cell r="C22">
            <v>2.8191588462832005E-2</v>
          </cell>
          <cell r="D22">
            <v>1.70396835887626</v>
          </cell>
          <cell r="E22"/>
          <cell r="F22">
            <v>2.5000000000000001E-2</v>
          </cell>
        </row>
        <row r="23">
          <cell r="A23" t="str">
            <v>ITSA4</v>
          </cell>
          <cell r="B23">
            <v>1.2220000000000002E-2</v>
          </cell>
          <cell r="C23">
            <v>2.5647595188227068E-2</v>
          </cell>
          <cell r="D23">
            <v>1.58558848510218</v>
          </cell>
          <cell r="E23"/>
          <cell r="F23">
            <v>2.5000000000000001E-2</v>
          </cell>
        </row>
        <row r="24">
          <cell r="A24" t="str">
            <v>VIVT3</v>
          </cell>
          <cell r="B24">
            <v>1.3254999999999999E-2</v>
          </cell>
          <cell r="C24">
            <v>2.7942265975657476E-2</v>
          </cell>
          <cell r="D24">
            <v>1.4145588363183501</v>
          </cell>
          <cell r="E24"/>
          <cell r="F24">
            <v>2.5000000000000001E-2</v>
          </cell>
        </row>
        <row r="25">
          <cell r="A25" t="str">
            <v>TIMS3</v>
          </cell>
          <cell r="B25">
            <v>1.09E-2</v>
          </cell>
          <cell r="C25">
            <v>1.7629120447541499E-2</v>
          </cell>
          <cell r="D25">
            <v>1.5767839005236799</v>
          </cell>
          <cell r="E25"/>
          <cell r="F25">
            <v>1.7629120447541499E-2</v>
          </cell>
        </row>
        <row r="26">
          <cell r="A26" t="str">
            <v>BBSE3</v>
          </cell>
          <cell r="B26">
            <v>1.153E-2</v>
          </cell>
          <cell r="C26">
            <v>1.6758953472408793E-2</v>
          </cell>
          <cell r="D26">
            <v>1.4839932375151099</v>
          </cell>
          <cell r="E26"/>
          <cell r="F26">
            <v>1.6758953472408793E-2</v>
          </cell>
        </row>
        <row r="27">
          <cell r="A27" t="str">
            <v>BRSR6</v>
          </cell>
          <cell r="B27">
            <v>1.4627454373420209E-2</v>
          </cell>
          <cell r="C27">
            <v>1.5783212850965622E-2</v>
          </cell>
          <cell r="D27">
            <v>2.7529349509547298</v>
          </cell>
          <cell r="E27"/>
          <cell r="F27">
            <v>1.5783212850965622E-2</v>
          </cell>
        </row>
        <row r="28">
          <cell r="A28" t="str">
            <v>CXSE3</v>
          </cell>
          <cell r="B28">
            <v>7.0800000000000012E-3</v>
          </cell>
          <cell r="C28">
            <v>1.4953969443068742E-2</v>
          </cell>
          <cell r="D28">
            <v>1.53391102794958</v>
          </cell>
          <cell r="E28"/>
          <cell r="F28">
            <v>1.4953969443068742E-2</v>
          </cell>
        </row>
        <row r="29">
          <cell r="A29" t="str">
            <v>CSMG3</v>
          </cell>
          <cell r="B29">
            <v>9.6870417739020089E-3</v>
          </cell>
          <cell r="C29">
            <v>1.4039910771368697E-2</v>
          </cell>
          <cell r="D29">
            <v>1.8999810352339701</v>
          </cell>
          <cell r="E29"/>
          <cell r="F29">
            <v>1.4039910771368697E-2</v>
          </cell>
        </row>
        <row r="30">
          <cell r="A30" t="str">
            <v>CPFE3</v>
          </cell>
          <cell r="B30">
            <v>9.3400000000000011E-3</v>
          </cell>
          <cell r="C30">
            <v>1.3904233075421275E-2</v>
          </cell>
          <cell r="D30">
            <v>1.3593507416057999</v>
          </cell>
          <cell r="E30"/>
          <cell r="F30">
            <v>1.3904233075421275E-2</v>
          </cell>
        </row>
        <row r="31">
          <cell r="A31" t="str">
            <v>AXIA6</v>
          </cell>
          <cell r="B31">
            <v>1.0808038884209423E-2</v>
          </cell>
          <cell r="C31">
            <v>1.3792440094467614E-2</v>
          </cell>
          <cell r="D31">
            <v>1.93348711134979</v>
          </cell>
          <cell r="E31"/>
          <cell r="F31">
            <v>1.3792440094467614E-2</v>
          </cell>
        </row>
        <row r="32">
          <cell r="A32" t="str">
            <v>ALLD3</v>
          </cell>
          <cell r="B32">
            <v>1.2510248879109367E-2</v>
          </cell>
          <cell r="C32">
            <v>1.3277601188013695E-2</v>
          </cell>
          <cell r="D32">
            <v>2.3520285882143899</v>
          </cell>
          <cell r="E32"/>
          <cell r="F32">
            <v>1.3277601188013695E-2</v>
          </cell>
        </row>
        <row r="33">
          <cell r="A33" t="str">
            <v>CPLE3</v>
          </cell>
          <cell r="B33">
            <v>8.8699999999999994E-3</v>
          </cell>
          <cell r="C33">
            <v>1.3086428486792515E-2</v>
          </cell>
          <cell r="D33">
            <v>1.5640311583880599</v>
          </cell>
          <cell r="E33"/>
          <cell r="F33">
            <v>1.3086428486792515E-2</v>
          </cell>
        </row>
        <row r="34">
          <cell r="A34" t="str">
            <v>MBRF3</v>
          </cell>
          <cell r="B34">
            <v>1.014059939108679E-2</v>
          </cell>
          <cell r="C34">
            <v>1.2802712761870633E-2</v>
          </cell>
          <cell r="D34">
            <v>1.56336303044546</v>
          </cell>
          <cell r="E34"/>
          <cell r="F34">
            <v>1.2802712761870633E-2</v>
          </cell>
        </row>
        <row r="35">
          <cell r="A35" t="str">
            <v>SAPR4</v>
          </cell>
          <cell r="B35">
            <v>7.5645024166183647E-3</v>
          </cell>
          <cell r="C35">
            <v>1.0388289829167641E-2</v>
          </cell>
          <cell r="D35">
            <v>1.6780524435689701</v>
          </cell>
          <cell r="E35"/>
          <cell r="F35">
            <v>1.2500000000000001E-2</v>
          </cell>
        </row>
        <row r="36">
          <cell r="A36" t="str">
            <v>LAVV3</v>
          </cell>
          <cell r="B36">
            <v>8.9813576424031642E-3</v>
          </cell>
          <cell r="C36">
            <v>1.1787633501266249E-2</v>
          </cell>
          <cell r="D36">
            <v>2.01812008968224</v>
          </cell>
          <cell r="E36"/>
          <cell r="F36">
            <v>1.1787633501266249E-2</v>
          </cell>
        </row>
        <row r="37">
          <cell r="A37" t="str">
            <v>BMEB4</v>
          </cell>
          <cell r="B37">
            <v>1.081116973385263E-2</v>
          </cell>
          <cell r="C37">
            <v>1.1747783498223738E-2</v>
          </cell>
          <cell r="D37">
            <v>2.03883323611658</v>
          </cell>
          <cell r="E37"/>
          <cell r="F37">
            <v>1.1747783498223738E-2</v>
          </cell>
        </row>
        <row r="38">
          <cell r="A38" t="str">
            <v>JHSF3</v>
          </cell>
          <cell r="B38">
            <v>7.4994708446571457E-3</v>
          </cell>
          <cell r="C38">
            <v>1.1589752367272712E-2</v>
          </cell>
          <cell r="D38">
            <v>1.93436525271987</v>
          </cell>
          <cell r="E38"/>
          <cell r="F38">
            <v>1.1589752367272712E-2</v>
          </cell>
        </row>
        <row r="39">
          <cell r="A39" t="str">
            <v>CMIG4</v>
          </cell>
          <cell r="B39">
            <v>8.9319160783710196E-3</v>
          </cell>
          <cell r="C39">
            <v>1.1197050503846092E-2</v>
          </cell>
          <cell r="D39">
            <v>1.45533272532104</v>
          </cell>
          <cell r="E39"/>
          <cell r="F39">
            <v>1.1197050503846092E-2</v>
          </cell>
        </row>
        <row r="40">
          <cell r="A40" t="str">
            <v>PINE4</v>
          </cell>
          <cell r="B40">
            <v>9.33862309974412E-3</v>
          </cell>
          <cell r="C40">
            <v>1.1048757186413547E-2</v>
          </cell>
          <cell r="D40">
            <v>1.96020809593712</v>
          </cell>
          <cell r="E40"/>
          <cell r="F40">
            <v>1.1048757186413547E-2</v>
          </cell>
        </row>
        <row r="41">
          <cell r="A41" t="str">
            <v>RIAA3</v>
          </cell>
          <cell r="B41">
            <v>8.8837566902844056E-3</v>
          </cell>
          <cell r="C41">
            <v>1.0777839182141372E-2</v>
          </cell>
          <cell r="D41">
            <v>1.78740815346077</v>
          </cell>
          <cell r="E41"/>
          <cell r="F41">
            <v>1.0777839182141372E-2</v>
          </cell>
        </row>
        <row r="42">
          <cell r="A42" t="str">
            <v>LEVE3</v>
          </cell>
          <cell r="B42">
            <v>7.8820426307245946E-3</v>
          </cell>
          <cell r="C42">
            <v>1.0418555632854289E-2</v>
          </cell>
          <cell r="D42">
            <v>1.7493997873653599</v>
          </cell>
          <cell r="E42"/>
          <cell r="F42">
            <v>1.0418555632854289E-2</v>
          </cell>
        </row>
        <row r="43">
          <cell r="A43" t="str">
            <v>SAPR11</v>
          </cell>
          <cell r="B43">
            <v>4.7371395846513504E-3</v>
          </cell>
          <cell r="C43">
            <v>7.7466768199438733E-3</v>
          </cell>
          <cell r="D43">
            <v>1.34294432720343</v>
          </cell>
          <cell r="E43"/>
          <cell r="F43">
            <v>0.01</v>
          </cell>
        </row>
        <row r="44">
          <cell r="A44" t="str">
            <v>TAEE4</v>
          </cell>
          <cell r="B44">
            <v>8.0793769086851801E-3</v>
          </cell>
          <cell r="C44">
            <v>9.984389675441515E-3</v>
          </cell>
          <cell r="D44">
            <v>1.6308451595553599</v>
          </cell>
          <cell r="E44"/>
          <cell r="F44">
            <v>9.984389675441515E-3</v>
          </cell>
        </row>
        <row r="45">
          <cell r="A45" t="str">
            <v>MGLU3</v>
          </cell>
          <cell r="B45">
            <v>9.3980418507750296E-3</v>
          </cell>
          <cell r="C45">
            <v>9.9317234615674248E-3</v>
          </cell>
          <cell r="D45">
            <v>1.66685559972262</v>
          </cell>
          <cell r="E45"/>
          <cell r="F45">
            <v>9.9317234615674248E-3</v>
          </cell>
        </row>
        <row r="46">
          <cell r="A46" t="str">
            <v>CMIN3</v>
          </cell>
          <cell r="B46">
            <v>7.5899999999999995E-3</v>
          </cell>
          <cell r="C46">
            <v>9.8886846297453288E-3</v>
          </cell>
          <cell r="D46">
            <v>1.5018330844168499</v>
          </cell>
          <cell r="E46"/>
          <cell r="F46">
            <v>9.8886846297453288E-3</v>
          </cell>
        </row>
        <row r="47">
          <cell r="A47" t="str">
            <v>CSED3</v>
          </cell>
          <cell r="B47">
            <v>8.6366366784290799E-3</v>
          </cell>
          <cell r="C47">
            <v>9.7004972414677197E-3</v>
          </cell>
          <cell r="D47">
            <v>1.65340305032073</v>
          </cell>
          <cell r="E47"/>
          <cell r="F47">
            <v>9.7004972414677197E-3</v>
          </cell>
        </row>
        <row r="48">
          <cell r="A48" t="str">
            <v>MULT3</v>
          </cell>
          <cell r="B48">
            <v>7.3016602736790098E-3</v>
          </cell>
          <cell r="C48">
            <v>9.6315587386335763E-3</v>
          </cell>
          <cell r="D48">
            <v>1.3575692085877</v>
          </cell>
          <cell r="E48"/>
          <cell r="F48">
            <v>9.6315587386335763E-3</v>
          </cell>
        </row>
        <row r="49">
          <cell r="A49" t="str">
            <v>VULC3</v>
          </cell>
          <cell r="B49">
            <v>8.402439502659835E-3</v>
          </cell>
          <cell r="C49">
            <v>9.5562081568289648E-3</v>
          </cell>
          <cell r="D49">
            <v>1.5788256190219501</v>
          </cell>
          <cell r="E49"/>
          <cell r="F49">
            <v>9.5562081568289648E-3</v>
          </cell>
        </row>
        <row r="50">
          <cell r="A50" t="str">
            <v>ECOR3</v>
          </cell>
          <cell r="B50">
            <v>7.896695270655495E-3</v>
          </cell>
          <cell r="C50">
            <v>9.190762246064927E-3</v>
          </cell>
          <cell r="D50">
            <v>1.50964240550575</v>
          </cell>
          <cell r="E50"/>
          <cell r="F50">
            <v>9.190762246064927E-3</v>
          </cell>
        </row>
        <row r="51">
          <cell r="A51" t="str">
            <v>VLID3</v>
          </cell>
          <cell r="B51">
            <v>8.0041127187048446E-3</v>
          </cell>
          <cell r="C51">
            <v>8.9204071448018701E-3</v>
          </cell>
          <cell r="D51">
            <v>1.5357430915521499</v>
          </cell>
          <cell r="E51"/>
          <cell r="F51">
            <v>8.9204071448018701E-3</v>
          </cell>
        </row>
        <row r="52">
          <cell r="A52" t="str">
            <v>UNIP6</v>
          </cell>
          <cell r="B52">
            <v>6.9502674703708408E-3</v>
          </cell>
          <cell r="C52">
            <v>8.8826118338650312E-3</v>
          </cell>
          <cell r="D52">
            <v>1.48433690759432</v>
          </cell>
          <cell r="E52"/>
          <cell r="F52">
            <v>8.8826118338650312E-3</v>
          </cell>
        </row>
        <row r="53">
          <cell r="A53" t="str">
            <v>ALOS3</v>
          </cell>
          <cell r="B53">
            <v>3.9977513683243197E-3</v>
          </cell>
          <cell r="C53">
            <v>8.8306674993968333E-3</v>
          </cell>
          <cell r="D53">
            <v>1.2767156533500501</v>
          </cell>
          <cell r="E53"/>
          <cell r="F53">
            <v>8.8306674993968333E-3</v>
          </cell>
        </row>
        <row r="54">
          <cell r="A54" t="str">
            <v>TAEE11</v>
          </cell>
          <cell r="B54">
            <v>6.4077124399361148E-3</v>
          </cell>
          <cell r="C54">
            <v>8.7927663101747024E-3</v>
          </cell>
          <cell r="D54">
            <v>1.52163027911362</v>
          </cell>
          <cell r="E54"/>
          <cell r="F54">
            <v>8.7927663101747024E-3</v>
          </cell>
        </row>
        <row r="55">
          <cell r="A55" t="str">
            <v>TRIS3</v>
          </cell>
          <cell r="B55">
            <v>6.1158157498981645E-3</v>
          </cell>
          <cell r="C55">
            <v>8.7049569767699599E-3</v>
          </cell>
          <cell r="D55">
            <v>1.5221822355507499</v>
          </cell>
          <cell r="E55"/>
          <cell r="F55">
            <v>8.7049569767699599E-3</v>
          </cell>
        </row>
        <row r="56">
          <cell r="A56" t="str">
            <v>SYNE3</v>
          </cell>
          <cell r="B56">
            <v>8.0098584550674888E-3</v>
          </cell>
          <cell r="C56">
            <v>8.5632272578309472E-3</v>
          </cell>
          <cell r="D56">
            <v>1.5150816818215</v>
          </cell>
          <cell r="E56"/>
          <cell r="F56">
            <v>8.5632272578309472E-3</v>
          </cell>
        </row>
        <row r="57">
          <cell r="A57" t="str">
            <v>ISAE4</v>
          </cell>
          <cell r="B57">
            <v>3.9726626502455658E-3</v>
          </cell>
          <cell r="C57">
            <v>8.4687611873128909E-3</v>
          </cell>
          <cell r="D57">
            <v>1.28921321176379</v>
          </cell>
          <cell r="E57"/>
          <cell r="F57">
            <v>8.4687611873128909E-3</v>
          </cell>
        </row>
        <row r="58">
          <cell r="A58" t="str">
            <v>POMO3</v>
          </cell>
          <cell r="B58">
            <v>7.7037860651951052E-3</v>
          </cell>
          <cell r="C58">
            <v>8.4678137602406528E-3</v>
          </cell>
          <cell r="D58">
            <v>1.4383226956966499</v>
          </cell>
          <cell r="E58"/>
          <cell r="F58">
            <v>8.4678137602406528E-3</v>
          </cell>
        </row>
        <row r="59">
          <cell r="A59" t="str">
            <v>ABCB4</v>
          </cell>
          <cell r="B59">
            <v>7.1010662620577501E-3</v>
          </cell>
          <cell r="C59">
            <v>8.4360687140354537E-3</v>
          </cell>
          <cell r="D59">
            <v>1.4308452030982499</v>
          </cell>
          <cell r="E59"/>
          <cell r="F59">
            <v>8.4360687140354537E-3</v>
          </cell>
        </row>
        <row r="60">
          <cell r="A60" t="str">
            <v>IGTI11</v>
          </cell>
          <cell r="B60">
            <v>7.4821341130107801E-3</v>
          </cell>
          <cell r="C60">
            <v>8.2533318260447942E-3</v>
          </cell>
          <cell r="D60">
            <v>1.39326937900986</v>
          </cell>
          <cell r="E60"/>
          <cell r="F60">
            <v>8.2533318260447942E-3</v>
          </cell>
        </row>
        <row r="61">
          <cell r="A61" t="str">
            <v>TGMA3</v>
          </cell>
          <cell r="B61">
            <v>4.4803280951746446E-3</v>
          </cell>
          <cell r="C61">
            <v>8.2165018773741917E-3</v>
          </cell>
          <cell r="D61">
            <v>1.3779574735380999</v>
          </cell>
          <cell r="E61"/>
          <cell r="F61">
            <v>8.2165018773741917E-3</v>
          </cell>
        </row>
        <row r="62">
          <cell r="A62" t="str">
            <v>WIZC3</v>
          </cell>
          <cell r="B62">
            <v>7.3335107636200002E-3</v>
          </cell>
          <cell r="C62">
            <v>7.9153142672881392E-3</v>
          </cell>
          <cell r="D62">
            <v>1.354048775733</v>
          </cell>
          <cell r="E62"/>
          <cell r="F62">
            <v>7.9153142672881392E-3</v>
          </cell>
        </row>
        <row r="63">
          <cell r="A63" t="str">
            <v>BMGB4</v>
          </cell>
          <cell r="B63">
            <v>6.0325333683001053E-3</v>
          </cell>
          <cell r="C63">
            <v>7.8798325242442381E-3</v>
          </cell>
          <cell r="D63">
            <v>1.37701234268152</v>
          </cell>
          <cell r="E63"/>
          <cell r="F63">
            <v>7.8798325242442381E-3</v>
          </cell>
        </row>
        <row r="64">
          <cell r="A64" t="str">
            <v>GOAU4</v>
          </cell>
          <cell r="B64">
            <v>7.0606568952977207E-3</v>
          </cell>
          <cell r="C64">
            <v>7.8783623284729449E-3</v>
          </cell>
          <cell r="D64">
            <v>1.29303681722299</v>
          </cell>
          <cell r="E64"/>
          <cell r="F64">
            <v>7.8783623284729449E-3</v>
          </cell>
        </row>
        <row r="65">
          <cell r="A65" t="str">
            <v>PGMN3</v>
          </cell>
          <cell r="B65">
            <v>4.5257442739954001E-3</v>
          </cell>
          <cell r="C65">
            <v>7.7967855213701507E-3</v>
          </cell>
          <cell r="D65">
            <v>1.33657145069379</v>
          </cell>
          <cell r="E65"/>
          <cell r="F65">
            <v>7.7967855213701507E-3</v>
          </cell>
        </row>
        <row r="66">
          <cell r="A66" t="str">
            <v>LIGT3</v>
          </cell>
          <cell r="B66">
            <v>6.8530375949409899E-3</v>
          </cell>
          <cell r="C66">
            <v>7.3829275727206392E-3</v>
          </cell>
          <cell r="D66">
            <v>1.30928184738569</v>
          </cell>
          <cell r="E66"/>
          <cell r="F66">
            <v>7.3829275727206392E-3</v>
          </cell>
        </row>
        <row r="67">
          <cell r="A67" t="str">
            <v>CURY3</v>
          </cell>
          <cell r="B67">
            <v>6.4725607994753093E-3</v>
          </cell>
          <cell r="C67">
            <v>9.6189175968372023E-3</v>
          </cell>
          <cell r="D67">
            <v>1.4634824821724</v>
          </cell>
          <cell r="E67"/>
          <cell r="F67">
            <v>9.4999999999999998E-3</v>
          </cell>
        </row>
        <row r="68">
          <cell r="A68" t="str">
            <v>HBOR3</v>
          </cell>
          <cell r="B68">
            <v>6.8323895043447894E-3</v>
          </cell>
          <cell r="C68">
            <v>7.9650140680998707E-3</v>
          </cell>
          <cell r="D68">
            <v>1.44647540792217</v>
          </cell>
          <cell r="E68"/>
          <cell r="F68">
            <v>5.0000000000000001E-3</v>
          </cell>
        </row>
        <row r="69">
          <cell r="A69" t="str">
            <v>DIRR3</v>
          </cell>
          <cell r="B69">
            <v>6.0394627207751E-3</v>
          </cell>
          <cell r="C69">
            <v>8.7888994199501729E-3</v>
          </cell>
          <cell r="D69">
            <v>1.38613756926471</v>
          </cell>
          <cell r="E69"/>
          <cell r="F69">
            <v>5.0000000000000001E-3</v>
          </cell>
        </row>
        <row r="70">
          <cell r="A70" t="str">
            <v>GRND3</v>
          </cell>
          <cell r="B70">
            <v>5.1849376840328396E-3</v>
          </cell>
          <cell r="C70">
            <v>8.1440287778639722E-3</v>
          </cell>
          <cell r="D70">
            <v>1.3573817342360299</v>
          </cell>
          <cell r="E70"/>
          <cell r="F70">
            <v>5.0000000000000001E-3</v>
          </cell>
        </row>
        <row r="71">
          <cell r="A71" t="str">
            <v>MELK3</v>
          </cell>
          <cell r="B71">
            <v>5.2317490409834848E-3</v>
          </cell>
          <cell r="C71">
            <v>7.8340763224860714E-3</v>
          </cell>
          <cell r="D71">
            <v>1.3520865091647101</v>
          </cell>
          <cell r="E71"/>
          <cell r="F71">
            <v>5.0000000000000001E-3</v>
          </cell>
        </row>
        <row r="72">
          <cell r="A72" t="str">
            <v>FIQE3</v>
          </cell>
          <cell r="B72">
            <v>3.4742719585770044E-3</v>
          </cell>
          <cell r="C72">
            <v>7.6298012917119119E-3</v>
          </cell>
          <cell r="D72">
            <v>1.32354679485851</v>
          </cell>
          <cell r="E72"/>
          <cell r="F72">
            <v>5.0000000000000001E-3</v>
          </cell>
        </row>
        <row r="73">
          <cell r="A73" t="str">
            <v>CYRE3</v>
          </cell>
          <cell r="B73">
            <v>5.2030091514148405E-3</v>
          </cell>
          <cell r="C73">
            <v>8.2671159009819577E-3</v>
          </cell>
          <cell r="D73">
            <v>1.2754068489829</v>
          </cell>
          <cell r="E73"/>
          <cell r="F73">
            <v>2.5000000000000001E-3</v>
          </cell>
        </row>
        <row r="74">
          <cell r="A74" t="str">
            <v>ALPA4</v>
          </cell>
          <cell r="B74">
            <v>6.5952379296976352E-3</v>
          </cell>
          <cell r="C74">
            <v>2.4552379296976347E-3</v>
          </cell>
          <cell r="D74">
            <v>1.33498967075186</v>
          </cell>
          <cell r="E74"/>
          <cell r="F74">
            <v>2.4552379296976347E-3</v>
          </cell>
        </row>
        <row r="75">
          <cell r="A75" t="str">
            <v>PNVL3</v>
          </cell>
          <cell r="B75">
            <v>4.2911692020313301E-3</v>
          </cell>
          <cell r="C75">
            <v>2.4511692020313296E-3</v>
          </cell>
          <cell r="D75">
            <v>1.32909852342705</v>
          </cell>
          <cell r="E75"/>
          <cell r="F75">
            <v>2.4511692020313296E-3</v>
          </cell>
        </row>
        <row r="76">
          <cell r="A76" t="str">
            <v>KEPL3</v>
          </cell>
          <cell r="B76">
            <v>5.6792870354262243E-3</v>
          </cell>
          <cell r="C76">
            <v>2.2492870354262249E-3</v>
          </cell>
          <cell r="D76">
            <v>1.1655082491878299</v>
          </cell>
          <cell r="E76"/>
          <cell r="F76">
            <v>0</v>
          </cell>
        </row>
        <row r="77">
          <cell r="A77" t="str">
            <v>MDNE3</v>
          </cell>
          <cell r="B77">
            <v>5.2215461578631796E-3</v>
          </cell>
          <cell r="C77">
            <v>2.2265461578631798E-3</v>
          </cell>
          <cell r="D77">
            <v>1.19279578355751</v>
          </cell>
          <cell r="E77"/>
          <cell r="F77">
            <v>2.2265461578631798E-3</v>
          </cell>
        </row>
        <row r="78">
          <cell r="A78" t="str">
            <v>BRAP3</v>
          </cell>
          <cell r="B78">
            <v>9.2587403486790662E-3</v>
          </cell>
          <cell r="C78">
            <v>1.0525504396506673E-2</v>
          </cell>
          <cell r="D78">
            <v>1.8232450843438801</v>
          </cell>
          <cell r="E78"/>
          <cell r="F78">
            <v>0</v>
          </cell>
        </row>
        <row r="79">
          <cell r="A79" t="str">
            <v>SAPR3</v>
          </cell>
          <cell r="B79">
            <v>7.8892870734806539E-3</v>
          </cell>
          <cell r="C79">
            <v>9.4705419553000256E-3</v>
          </cell>
          <cell r="D79">
            <v>1.58940483704665</v>
          </cell>
          <cell r="E79"/>
          <cell r="F79">
            <v>0</v>
          </cell>
        </row>
        <row r="80">
          <cell r="A80" t="str">
            <v>ITSA3</v>
          </cell>
          <cell r="B80">
            <v>7.2200000000000007E-3</v>
          </cell>
          <cell r="C80">
            <v>1.5342252395839291E-2</v>
          </cell>
          <cell r="D80">
            <v>1.55879632327694</v>
          </cell>
          <cell r="E80"/>
          <cell r="F80">
            <v>0</v>
          </cell>
        </row>
        <row r="81">
          <cell r="A81" t="str">
            <v>UGPA3</v>
          </cell>
          <cell r="B81">
            <v>2.1000000000000003E-3</v>
          </cell>
          <cell r="C81">
            <v>0</v>
          </cell>
          <cell r="D81">
            <v>1.3013395943489099</v>
          </cell>
          <cell r="E81"/>
          <cell r="F81">
            <v>0</v>
          </cell>
        </row>
        <row r="82">
          <cell r="A82" t="str">
            <v>VBBR3</v>
          </cell>
          <cell r="B82">
            <v>2.64E-3</v>
          </cell>
          <cell r="C82">
            <v>0</v>
          </cell>
          <cell r="D82">
            <v>1.2921927299407201</v>
          </cell>
          <cell r="E82"/>
          <cell r="F82">
            <v>0</v>
          </cell>
        </row>
        <row r="83">
          <cell r="A83" t="str">
            <v>CAML3</v>
          </cell>
          <cell r="B83">
            <v>3.1199999999999995E-3</v>
          </cell>
          <cell r="C83">
            <v>0</v>
          </cell>
          <cell r="D83">
            <v>1.2913956220835401</v>
          </cell>
          <cell r="E83"/>
          <cell r="F83">
            <v>0</v>
          </cell>
        </row>
        <row r="84">
          <cell r="A84" t="str">
            <v>MOVI3</v>
          </cell>
          <cell r="B84">
            <v>2.3E-3</v>
          </cell>
          <cell r="C84">
            <v>0</v>
          </cell>
          <cell r="D84">
            <v>1.2739634877720301</v>
          </cell>
          <cell r="E84"/>
          <cell r="F84">
            <v>0</v>
          </cell>
        </row>
        <row r="85">
          <cell r="A85" t="str">
            <v>RANI3</v>
          </cell>
          <cell r="B85">
            <v>2.3999999999999998E-3</v>
          </cell>
          <cell r="C85">
            <v>0</v>
          </cell>
          <cell r="D85">
            <v>1.2580402904893799</v>
          </cell>
          <cell r="E85"/>
          <cell r="F85">
            <v>0</v>
          </cell>
        </row>
        <row r="86">
          <cell r="A86" t="str">
            <v>SBSP3</v>
          </cell>
          <cell r="B86">
            <v>1.026E-2</v>
          </cell>
          <cell r="C86">
            <v>0</v>
          </cell>
          <cell r="D86">
            <v>1.2491461522526499</v>
          </cell>
          <cell r="E86"/>
          <cell r="F86">
            <v>0</v>
          </cell>
        </row>
        <row r="87">
          <cell r="A87" t="str">
            <v>B3SA3</v>
          </cell>
          <cell r="B87">
            <v>8.7400000000000012E-3</v>
          </cell>
          <cell r="C87">
            <v>0</v>
          </cell>
          <cell r="D87">
            <v>1.2470704721555701</v>
          </cell>
          <cell r="E87"/>
          <cell r="F87">
            <v>0</v>
          </cell>
        </row>
        <row r="88">
          <cell r="A88" t="str">
            <v>ANIM3</v>
          </cell>
          <cell r="B88">
            <v>3.4450000000000001E-3</v>
          </cell>
          <cell r="C88">
            <v>0</v>
          </cell>
          <cell r="D88">
            <v>1.2335196103148101</v>
          </cell>
          <cell r="E88"/>
          <cell r="F88">
            <v>0</v>
          </cell>
        </row>
        <row r="89">
          <cell r="A89" t="str">
            <v>FLRY3</v>
          </cell>
          <cell r="B89">
            <v>0</v>
          </cell>
          <cell r="C89">
            <v>0</v>
          </cell>
          <cell r="D89">
            <v>1.2216382262387999</v>
          </cell>
          <cell r="E89"/>
          <cell r="F89">
            <v>0</v>
          </cell>
        </row>
        <row r="90">
          <cell r="A90" t="str">
            <v>POMO4</v>
          </cell>
          <cell r="B90">
            <v>4.7349999999999996E-3</v>
          </cell>
          <cell r="C90">
            <v>0</v>
          </cell>
          <cell r="D90">
            <v>1.21644725803729</v>
          </cell>
          <cell r="E90"/>
          <cell r="F90">
            <v>0</v>
          </cell>
        </row>
        <row r="91">
          <cell r="A91" t="str">
            <v>PRIO3</v>
          </cell>
          <cell r="B91">
            <v>2.4200000000000003E-3</v>
          </cell>
          <cell r="C91">
            <v>0</v>
          </cell>
          <cell r="D91">
            <v>1.2151213185524601</v>
          </cell>
          <cell r="E91"/>
          <cell r="F91">
            <v>0</v>
          </cell>
        </row>
        <row r="92">
          <cell r="A92" t="str">
            <v>ALUP11</v>
          </cell>
          <cell r="B92">
            <v>3.8555040222305751E-3</v>
          </cell>
          <cell r="C92">
            <v>2.4555040222305749E-3</v>
          </cell>
          <cell r="D92">
            <v>1.2007208231818201</v>
          </cell>
          <cell r="E92"/>
          <cell r="F92">
            <v>0</v>
          </cell>
        </row>
        <row r="93">
          <cell r="A93" t="str">
            <v>JSLG3</v>
          </cell>
          <cell r="B93">
            <v>3.81E-3</v>
          </cell>
          <cell r="C93">
            <v>0</v>
          </cell>
          <cell r="D93">
            <v>1.19940574597449</v>
          </cell>
          <cell r="E93"/>
          <cell r="F93">
            <v>0</v>
          </cell>
        </row>
        <row r="94">
          <cell r="A94" t="str">
            <v>PFRM3</v>
          </cell>
          <cell r="B94">
            <v>2.5199999999999997E-3</v>
          </cell>
          <cell r="C94">
            <v>0</v>
          </cell>
          <cell r="D94">
            <v>1.1938757829322699</v>
          </cell>
          <cell r="E94"/>
          <cell r="F94">
            <v>0</v>
          </cell>
        </row>
        <row r="95">
          <cell r="A95" t="str">
            <v>SHUL4</v>
          </cell>
          <cell r="B95">
            <v>1.1000000000000001E-3</v>
          </cell>
          <cell r="C95">
            <v>0</v>
          </cell>
          <cell r="D95">
            <v>1.1917146751345</v>
          </cell>
          <cell r="E95"/>
          <cell r="F95">
            <v>0</v>
          </cell>
        </row>
        <row r="96">
          <cell r="A96" t="str">
            <v>NEOE3</v>
          </cell>
          <cell r="B96">
            <v>2.8400000000000005E-3</v>
          </cell>
          <cell r="C96">
            <v>0</v>
          </cell>
          <cell r="D96">
            <v>1.1832340480135199</v>
          </cell>
          <cell r="E96"/>
          <cell r="F96">
            <v>0</v>
          </cell>
        </row>
        <row r="97">
          <cell r="A97" t="str">
            <v>AGRO3</v>
          </cell>
          <cell r="B97">
            <v>2.5799999999999998E-3</v>
          </cell>
          <cell r="C97">
            <v>0</v>
          </cell>
          <cell r="D97">
            <v>1.1821277691061201</v>
          </cell>
          <cell r="E97"/>
          <cell r="F97">
            <v>0</v>
          </cell>
        </row>
        <row r="98">
          <cell r="A98" t="str">
            <v>VTRU3</v>
          </cell>
          <cell r="B98">
            <v>1.8599999999999999E-3</v>
          </cell>
          <cell r="C98">
            <v>0</v>
          </cell>
          <cell r="D98">
            <v>1.18087898440094</v>
          </cell>
          <cell r="E98"/>
          <cell r="F98">
            <v>0</v>
          </cell>
        </row>
        <row r="99">
          <cell r="A99" t="str">
            <v>ODPV3</v>
          </cell>
          <cell r="B99">
            <v>1.8599999999999999E-3</v>
          </cell>
          <cell r="C99">
            <v>0</v>
          </cell>
          <cell r="D99">
            <v>1.17544715176899</v>
          </cell>
          <cell r="E99"/>
          <cell r="F99">
            <v>0</v>
          </cell>
        </row>
        <row r="100">
          <cell r="A100" t="str">
            <v>SANB4</v>
          </cell>
          <cell r="B100">
            <v>6.7499999999999991E-3</v>
          </cell>
          <cell r="C100">
            <v>0</v>
          </cell>
          <cell r="D100">
            <v>1.1634432757155</v>
          </cell>
          <cell r="E100"/>
          <cell r="F100">
            <v>0</v>
          </cell>
        </row>
        <row r="101">
          <cell r="A101" t="str">
            <v>EQTL3</v>
          </cell>
          <cell r="B101">
            <v>7.4650000000000003E-3</v>
          </cell>
          <cell r="C101">
            <v>0</v>
          </cell>
          <cell r="D101">
            <v>1.15978298998038</v>
          </cell>
          <cell r="E101"/>
          <cell r="F101">
            <v>0</v>
          </cell>
        </row>
        <row r="102">
          <cell r="A102" t="str">
            <v>SANB11</v>
          </cell>
          <cell r="B102">
            <v>4.777272877845515E-3</v>
          </cell>
          <cell r="C102">
            <v>2.3872728778455152E-3</v>
          </cell>
          <cell r="D102">
            <v>1.1552386398272201</v>
          </cell>
          <cell r="E102"/>
          <cell r="F102">
            <v>0</v>
          </cell>
        </row>
        <row r="103">
          <cell r="A103" t="str">
            <v>RECV3</v>
          </cell>
          <cell r="B103">
            <v>3.1199999999999999E-3</v>
          </cell>
          <cell r="C103">
            <v>0</v>
          </cell>
          <cell r="D103">
            <v>1.14547774778948</v>
          </cell>
          <cell r="E103"/>
          <cell r="F103">
            <v>0</v>
          </cell>
        </row>
        <row r="104">
          <cell r="A104" t="str">
            <v>CSUD3</v>
          </cell>
          <cell r="B104">
            <v>2.0399999999999997E-3</v>
          </cell>
          <cell r="C104">
            <v>0</v>
          </cell>
          <cell r="D104">
            <v>1.1447379909692701</v>
          </cell>
          <cell r="E104"/>
          <cell r="F104">
            <v>0</v>
          </cell>
        </row>
        <row r="105">
          <cell r="A105" t="str">
            <v>PSSA3</v>
          </cell>
          <cell r="B105">
            <v>5.1749999999999999E-3</v>
          </cell>
          <cell r="C105">
            <v>0</v>
          </cell>
          <cell r="D105">
            <v>1.13891045897009</v>
          </cell>
          <cell r="E105"/>
          <cell r="F105">
            <v>0</v>
          </cell>
        </row>
        <row r="106">
          <cell r="A106" t="str">
            <v>EZTC3</v>
          </cell>
          <cell r="B106">
            <v>2.3699999999999997E-3</v>
          </cell>
          <cell r="C106">
            <v>0</v>
          </cell>
          <cell r="D106">
            <v>1.1181909422357701</v>
          </cell>
          <cell r="E106"/>
          <cell r="F106">
            <v>0</v>
          </cell>
        </row>
        <row r="107">
          <cell r="A107" t="str">
            <v>ENGI11</v>
          </cell>
          <cell r="B107">
            <v>1.2999999999999999E-3</v>
          </cell>
          <cell r="C107">
            <v>0</v>
          </cell>
          <cell r="D107">
            <v>1.11481993526989</v>
          </cell>
          <cell r="E107"/>
          <cell r="F107">
            <v>0</v>
          </cell>
        </row>
        <row r="108">
          <cell r="A108" t="str">
            <v>EGIE3</v>
          </cell>
          <cell r="B108">
            <v>3.1199999999999999E-3</v>
          </cell>
          <cell r="C108">
            <v>0</v>
          </cell>
          <cell r="D108">
            <v>1.11377969448333</v>
          </cell>
          <cell r="E108"/>
          <cell r="F108">
            <v>0</v>
          </cell>
        </row>
        <row r="109">
          <cell r="A109" t="str">
            <v>TEND3</v>
          </cell>
          <cell r="B109">
            <v>1.56E-3</v>
          </cell>
          <cell r="C109">
            <v>0</v>
          </cell>
          <cell r="D109">
            <v>1.1112735428801199</v>
          </cell>
          <cell r="E109"/>
          <cell r="F109">
            <v>0</v>
          </cell>
        </row>
        <row r="110">
          <cell r="A110" t="str">
            <v>CEAB3</v>
          </cell>
          <cell r="B110">
            <v>2.7599999999999999E-3</v>
          </cell>
          <cell r="C110">
            <v>0</v>
          </cell>
          <cell r="D110">
            <v>1.1016693048245201</v>
          </cell>
          <cell r="E110"/>
          <cell r="F110">
            <v>0</v>
          </cell>
        </row>
        <row r="111">
          <cell r="A111" t="str">
            <v>CMIG3</v>
          </cell>
          <cell r="B111">
            <v>2.6099999999999999E-3</v>
          </cell>
          <cell r="C111">
            <v>0</v>
          </cell>
          <cell r="D111">
            <v>1.0955715999189499</v>
          </cell>
          <cell r="E111"/>
          <cell r="F111">
            <v>0</v>
          </cell>
        </row>
        <row r="112">
          <cell r="A112" t="str">
            <v>YDUQ3</v>
          </cell>
          <cell r="B112">
            <v>2.16E-3</v>
          </cell>
          <cell r="C112">
            <v>0</v>
          </cell>
          <cell r="D112">
            <v>1.0885958315641899</v>
          </cell>
          <cell r="E112"/>
          <cell r="F112">
            <v>0</v>
          </cell>
        </row>
        <row r="113">
          <cell r="A113" t="str">
            <v>EVEN3</v>
          </cell>
          <cell r="B113">
            <v>0</v>
          </cell>
          <cell r="C113">
            <v>0</v>
          </cell>
          <cell r="D113">
            <v>1.08796191846385</v>
          </cell>
          <cell r="E113"/>
          <cell r="F113">
            <v>0</v>
          </cell>
        </row>
        <row r="114">
          <cell r="A114" t="str">
            <v>BRBI11</v>
          </cell>
          <cell r="B114">
            <v>0</v>
          </cell>
          <cell r="C114">
            <v>0</v>
          </cell>
          <cell r="D114">
            <v>1.07658282942244</v>
          </cell>
          <cell r="E114"/>
          <cell r="F114">
            <v>0</v>
          </cell>
        </row>
        <row r="115">
          <cell r="A115" t="str">
            <v>BPAC11</v>
          </cell>
          <cell r="B115">
            <v>2.1200000000000004E-3</v>
          </cell>
          <cell r="C115">
            <v>0</v>
          </cell>
          <cell r="D115">
            <v>1.0685908434806699</v>
          </cell>
          <cell r="E115"/>
          <cell r="F115">
            <v>0</v>
          </cell>
        </row>
        <row r="116">
          <cell r="A116" t="str">
            <v>FESA4</v>
          </cell>
          <cell r="B116">
            <v>3.0799999999999998E-3</v>
          </cell>
          <cell r="C116">
            <v>0</v>
          </cell>
          <cell r="D116">
            <v>1.05786921159661</v>
          </cell>
          <cell r="E116"/>
          <cell r="F116">
            <v>0</v>
          </cell>
        </row>
        <row r="117">
          <cell r="A117" t="str">
            <v>CBAV3</v>
          </cell>
          <cell r="B117">
            <v>2.6200000000000004E-3</v>
          </cell>
          <cell r="C117">
            <v>0</v>
          </cell>
          <cell r="D117">
            <v>1.05318682327488</v>
          </cell>
          <cell r="E117"/>
          <cell r="F117">
            <v>0</v>
          </cell>
        </row>
        <row r="118">
          <cell r="A118" t="str">
            <v>LOGG3</v>
          </cell>
          <cell r="B118">
            <v>1.1400000000000002E-3</v>
          </cell>
          <cell r="C118">
            <v>0</v>
          </cell>
          <cell r="D118">
            <v>1.05066497660636</v>
          </cell>
          <cell r="E118"/>
          <cell r="F118">
            <v>0</v>
          </cell>
        </row>
        <row r="119">
          <cell r="A119" t="str">
            <v>MTRE3</v>
          </cell>
          <cell r="B119">
            <v>1.92E-3</v>
          </cell>
          <cell r="C119">
            <v>0</v>
          </cell>
          <cell r="D119">
            <v>1.0461438626569901</v>
          </cell>
          <cell r="E119"/>
          <cell r="F119">
            <v>0</v>
          </cell>
        </row>
        <row r="120">
          <cell r="A120" t="str">
            <v>KLBN4</v>
          </cell>
          <cell r="B120">
            <v>2.3999999999999998E-3</v>
          </cell>
          <cell r="C120">
            <v>0</v>
          </cell>
          <cell r="D120">
            <v>1.04556629496298</v>
          </cell>
          <cell r="E120"/>
          <cell r="F120">
            <v>0</v>
          </cell>
        </row>
        <row r="121">
          <cell r="A121" t="str">
            <v>WEGE3</v>
          </cell>
          <cell r="B121">
            <v>1.196E-2</v>
          </cell>
          <cell r="C121">
            <v>0</v>
          </cell>
          <cell r="D121">
            <v>1.03617984900427</v>
          </cell>
          <cell r="E121"/>
          <cell r="F121">
            <v>0</v>
          </cell>
        </row>
        <row r="122">
          <cell r="A122" t="str">
            <v>SMTO3</v>
          </cell>
          <cell r="B122">
            <v>2.3999999999999998E-3</v>
          </cell>
          <cell r="C122">
            <v>0</v>
          </cell>
          <cell r="D122">
            <v>1.0208296315393199</v>
          </cell>
          <cell r="E122"/>
          <cell r="F122">
            <v>0</v>
          </cell>
        </row>
        <row r="123">
          <cell r="A123" t="str">
            <v>ARML3</v>
          </cell>
          <cell r="B123">
            <v>1.8599999999999999E-3</v>
          </cell>
          <cell r="C123">
            <v>0</v>
          </cell>
          <cell r="D123">
            <v>1.0122386916396</v>
          </cell>
          <cell r="E123"/>
          <cell r="F123">
            <v>0</v>
          </cell>
        </row>
        <row r="124">
          <cell r="A124" t="str">
            <v>RDOR3</v>
          </cell>
          <cell r="B124">
            <v>6.4649999999999994E-3</v>
          </cell>
          <cell r="C124">
            <v>0</v>
          </cell>
          <cell r="D124">
            <v>1.0117676360571299</v>
          </cell>
          <cell r="E124"/>
          <cell r="F124">
            <v>0</v>
          </cell>
        </row>
        <row r="125">
          <cell r="A125" t="str">
            <v>PLPL3</v>
          </cell>
          <cell r="B125">
            <v>2.3400000000000001E-3</v>
          </cell>
          <cell r="C125">
            <v>0</v>
          </cell>
          <cell r="D125">
            <v>0.99378010499757097</v>
          </cell>
          <cell r="E125"/>
          <cell r="F125">
            <v>0</v>
          </cell>
        </row>
        <row r="126">
          <cell r="A126" t="str">
            <v>OPCT3</v>
          </cell>
          <cell r="B126">
            <v>2.16E-3</v>
          </cell>
          <cell r="C126">
            <v>0</v>
          </cell>
          <cell r="D126">
            <v>0.98081059064352005</v>
          </cell>
          <cell r="E126"/>
          <cell r="F126">
            <v>0</v>
          </cell>
        </row>
        <row r="127">
          <cell r="A127" t="str">
            <v>SUZB3</v>
          </cell>
          <cell r="B127">
            <v>0</v>
          </cell>
          <cell r="C127">
            <v>0</v>
          </cell>
          <cell r="D127">
            <v>0.97385789088000896</v>
          </cell>
          <cell r="E127"/>
          <cell r="F127">
            <v>0</v>
          </cell>
        </row>
        <row r="128">
          <cell r="A128" t="str">
            <v>MOTV3</v>
          </cell>
          <cell r="B128">
            <v>2.32E-3</v>
          </cell>
          <cell r="C128">
            <v>0</v>
          </cell>
          <cell r="D128">
            <v>0.97378803173475004</v>
          </cell>
          <cell r="E128"/>
          <cell r="F128">
            <v>0</v>
          </cell>
        </row>
        <row r="129">
          <cell r="A129" t="str">
            <v>RAPT4</v>
          </cell>
          <cell r="B129">
            <v>2.82E-3</v>
          </cell>
          <cell r="C129">
            <v>0</v>
          </cell>
          <cell r="D129">
            <v>0.97266506460193802</v>
          </cell>
          <cell r="E129"/>
          <cell r="F129">
            <v>0</v>
          </cell>
        </row>
        <row r="130">
          <cell r="A130" t="str">
            <v>RENT3</v>
          </cell>
          <cell r="B130">
            <v>2.7200000000000002E-3</v>
          </cell>
          <cell r="C130">
            <v>0</v>
          </cell>
          <cell r="D130">
            <v>0.96979204201577895</v>
          </cell>
          <cell r="E130"/>
          <cell r="F130">
            <v>0</v>
          </cell>
        </row>
        <row r="131">
          <cell r="A131" t="str">
            <v>KLBN3</v>
          </cell>
          <cell r="B131">
            <v>2.1299999999999999E-3</v>
          </cell>
          <cell r="C131">
            <v>0</v>
          </cell>
          <cell r="D131">
            <v>0.96894509059851597</v>
          </cell>
          <cell r="E131"/>
          <cell r="F131">
            <v>0</v>
          </cell>
        </row>
        <row r="132">
          <cell r="A132" t="str">
            <v>SLCE3</v>
          </cell>
          <cell r="B132">
            <v>0</v>
          </cell>
          <cell r="C132">
            <v>0</v>
          </cell>
          <cell r="D132">
            <v>0.95126740695932799</v>
          </cell>
          <cell r="E132"/>
          <cell r="F132">
            <v>0</v>
          </cell>
        </row>
        <row r="133">
          <cell r="A133" t="str">
            <v>ROMI3</v>
          </cell>
          <cell r="B133">
            <v>2.16E-3</v>
          </cell>
          <cell r="C133">
            <v>0</v>
          </cell>
          <cell r="D133">
            <v>0.93198957673593597</v>
          </cell>
          <cell r="E133"/>
          <cell r="F133">
            <v>0</v>
          </cell>
        </row>
        <row r="134">
          <cell r="A134" t="str">
            <v>BMOB3</v>
          </cell>
          <cell r="B134">
            <v>1.1850000000000001E-3</v>
          </cell>
          <cell r="C134">
            <v>0</v>
          </cell>
          <cell r="D134">
            <v>0.92871356448029296</v>
          </cell>
          <cell r="E134"/>
          <cell r="F134">
            <v>0</v>
          </cell>
        </row>
        <row r="135">
          <cell r="A135" t="str">
            <v>SMFT3</v>
          </cell>
          <cell r="B135">
            <v>3.1949999999999999E-3</v>
          </cell>
          <cell r="C135">
            <v>0</v>
          </cell>
          <cell r="D135">
            <v>0.92550385041043404</v>
          </cell>
          <cell r="E135"/>
          <cell r="F135">
            <v>0</v>
          </cell>
        </row>
        <row r="136">
          <cell r="A136" t="str">
            <v>FRAS3</v>
          </cell>
          <cell r="B136">
            <v>1.34E-3</v>
          </cell>
          <cell r="C136">
            <v>0</v>
          </cell>
          <cell r="D136">
            <v>0.91476373865057603</v>
          </cell>
          <cell r="E136"/>
          <cell r="F136">
            <v>0</v>
          </cell>
        </row>
        <row r="137">
          <cell r="A137" t="str">
            <v>JALL3</v>
          </cell>
          <cell r="B137">
            <v>2.9099999999999998E-3</v>
          </cell>
          <cell r="C137">
            <v>0</v>
          </cell>
          <cell r="D137">
            <v>0.91223695179600806</v>
          </cell>
          <cell r="E137"/>
          <cell r="F137">
            <v>0</v>
          </cell>
        </row>
        <row r="138">
          <cell r="A138" t="str">
            <v>MILS3</v>
          </cell>
          <cell r="B138">
            <v>0</v>
          </cell>
          <cell r="C138">
            <v>0</v>
          </cell>
          <cell r="D138">
            <v>0.90749361270692197</v>
          </cell>
          <cell r="E138"/>
          <cell r="F138">
            <v>0</v>
          </cell>
        </row>
        <row r="139">
          <cell r="A139" t="str">
            <v>POSI3</v>
          </cell>
          <cell r="B139">
            <v>3.2699999999999999E-3</v>
          </cell>
          <cell r="C139">
            <v>0</v>
          </cell>
          <cell r="D139">
            <v>0.90041456305109902</v>
          </cell>
          <cell r="E139"/>
          <cell r="F139">
            <v>0</v>
          </cell>
        </row>
        <row r="140">
          <cell r="A140" t="str">
            <v>KLBN11</v>
          </cell>
          <cell r="B140">
            <v>0</v>
          </cell>
          <cell r="C140">
            <v>0</v>
          </cell>
          <cell r="D140">
            <v>0.89682997153852695</v>
          </cell>
          <cell r="E140"/>
          <cell r="F140">
            <v>0</v>
          </cell>
        </row>
        <row r="141">
          <cell r="A141" t="str">
            <v>RADL3</v>
          </cell>
          <cell r="B141">
            <v>1.5200000000000001E-3</v>
          </cell>
          <cell r="C141">
            <v>0</v>
          </cell>
          <cell r="D141">
            <v>0.88867834003386803</v>
          </cell>
          <cell r="E141"/>
          <cell r="F141">
            <v>0</v>
          </cell>
        </row>
        <row r="142">
          <cell r="A142" t="str">
            <v>COGN3</v>
          </cell>
          <cell r="B142">
            <v>1.9499999999999999E-3</v>
          </cell>
          <cell r="C142">
            <v>0</v>
          </cell>
          <cell r="D142">
            <v>0.88150848383368197</v>
          </cell>
          <cell r="E142"/>
          <cell r="F142">
            <v>0</v>
          </cell>
        </row>
        <row r="143">
          <cell r="A143" t="str">
            <v>INTB3</v>
          </cell>
          <cell r="B143">
            <v>0</v>
          </cell>
          <cell r="C143">
            <v>0</v>
          </cell>
          <cell r="D143">
            <v>0.88049637917189105</v>
          </cell>
          <cell r="E143"/>
          <cell r="F143">
            <v>0</v>
          </cell>
        </row>
        <row r="144">
          <cell r="A144" t="str">
            <v>GMAT3</v>
          </cell>
          <cell r="B144">
            <v>2.64E-3</v>
          </cell>
          <cell r="C144">
            <v>0</v>
          </cell>
          <cell r="D144">
            <v>0.85894805236822103</v>
          </cell>
          <cell r="E144"/>
          <cell r="F144">
            <v>0</v>
          </cell>
        </row>
        <row r="145">
          <cell r="A145" t="str">
            <v>GGPS3</v>
          </cell>
          <cell r="B145">
            <v>0</v>
          </cell>
          <cell r="C145">
            <v>0</v>
          </cell>
          <cell r="D145">
            <v>0.83998694349583902</v>
          </cell>
          <cell r="E145"/>
          <cell r="F145">
            <v>0</v>
          </cell>
        </row>
        <row r="146">
          <cell r="A146" t="str">
            <v>BRAV3</v>
          </cell>
          <cell r="B146">
            <v>1.56E-3</v>
          </cell>
          <cell r="C146">
            <v>0</v>
          </cell>
          <cell r="D146">
            <v>0.83687533732916997</v>
          </cell>
          <cell r="E146"/>
          <cell r="F146">
            <v>0</v>
          </cell>
        </row>
        <row r="147">
          <cell r="A147" t="str">
            <v>LREN3</v>
          </cell>
          <cell r="B147">
            <v>0</v>
          </cell>
          <cell r="C147">
            <v>0</v>
          </cell>
          <cell r="D147">
            <v>0.82760730628762003</v>
          </cell>
          <cell r="E147"/>
          <cell r="F147">
            <v>0</v>
          </cell>
        </row>
        <row r="148">
          <cell r="A148" t="str">
            <v>BLAU3</v>
          </cell>
          <cell r="B148">
            <v>0</v>
          </cell>
          <cell r="C148">
            <v>0</v>
          </cell>
          <cell r="D148">
            <v>0.82638780923623401</v>
          </cell>
          <cell r="E148"/>
          <cell r="F148">
            <v>0</v>
          </cell>
        </row>
        <row r="149">
          <cell r="A149" t="str">
            <v>ORVR3</v>
          </cell>
          <cell r="B149">
            <v>1.2899999999999999E-3</v>
          </cell>
          <cell r="C149">
            <v>0</v>
          </cell>
          <cell r="D149">
            <v>0.825731750082632</v>
          </cell>
          <cell r="E149"/>
          <cell r="F149">
            <v>0</v>
          </cell>
        </row>
        <row r="150">
          <cell r="A150" t="str">
            <v>DEXP3</v>
          </cell>
          <cell r="B150">
            <v>0</v>
          </cell>
          <cell r="C150">
            <v>0</v>
          </cell>
          <cell r="D150">
            <v>0.82418871602746302</v>
          </cell>
          <cell r="E150"/>
          <cell r="F150">
            <v>0</v>
          </cell>
        </row>
        <row r="151">
          <cell r="A151" t="str">
            <v>RCSL4</v>
          </cell>
          <cell r="B151">
            <v>4.1749999999999999E-3</v>
          </cell>
          <cell r="C151">
            <v>0</v>
          </cell>
          <cell r="D151">
            <v>0.82090107620053898</v>
          </cell>
          <cell r="E151"/>
          <cell r="F151">
            <v>0</v>
          </cell>
        </row>
        <row r="152">
          <cell r="A152" t="str">
            <v>CSNA3</v>
          </cell>
          <cell r="B152">
            <v>3.1199999999999999E-3</v>
          </cell>
          <cell r="C152">
            <v>0</v>
          </cell>
          <cell r="D152">
            <v>0.81929654579038602</v>
          </cell>
          <cell r="E152"/>
          <cell r="F152">
            <v>0</v>
          </cell>
        </row>
        <row r="153">
          <cell r="A153" t="str">
            <v>TFCO4</v>
          </cell>
          <cell r="B153">
            <v>1.2600000000000001E-3</v>
          </cell>
          <cell r="C153">
            <v>0</v>
          </cell>
          <cell r="D153">
            <v>0.81707582035583304</v>
          </cell>
          <cell r="E153"/>
          <cell r="F153">
            <v>0</v>
          </cell>
        </row>
        <row r="154">
          <cell r="A154" t="str">
            <v>VIVA3</v>
          </cell>
          <cell r="B154">
            <v>0</v>
          </cell>
          <cell r="C154">
            <v>0</v>
          </cell>
          <cell r="D154">
            <v>0.80770191051861395</v>
          </cell>
          <cell r="E154"/>
          <cell r="F154">
            <v>0</v>
          </cell>
        </row>
        <row r="155">
          <cell r="A155" t="str">
            <v>PRNR3</v>
          </cell>
          <cell r="B155">
            <v>1.5400000000000001E-3</v>
          </cell>
          <cell r="C155">
            <v>0</v>
          </cell>
          <cell r="D155">
            <v>0.79920193766446801</v>
          </cell>
          <cell r="E155"/>
          <cell r="F155">
            <v>0</v>
          </cell>
        </row>
        <row r="156">
          <cell r="A156" t="str">
            <v>SEER3</v>
          </cell>
          <cell r="B156">
            <v>1.41E-3</v>
          </cell>
          <cell r="C156">
            <v>0</v>
          </cell>
          <cell r="D156">
            <v>0.79686107899437297</v>
          </cell>
          <cell r="E156"/>
          <cell r="F156">
            <v>0</v>
          </cell>
        </row>
        <row r="157">
          <cell r="A157" t="str">
            <v>SBFG3</v>
          </cell>
          <cell r="B157">
            <v>0</v>
          </cell>
          <cell r="C157">
            <v>0</v>
          </cell>
          <cell r="D157">
            <v>0.79376883620171601</v>
          </cell>
          <cell r="E157"/>
          <cell r="F157">
            <v>0</v>
          </cell>
        </row>
        <row r="158">
          <cell r="A158" t="str">
            <v>BEEF3</v>
          </cell>
          <cell r="B158">
            <v>3.0600000000000002E-3</v>
          </cell>
          <cell r="C158">
            <v>0</v>
          </cell>
          <cell r="D158">
            <v>0.79128902128132905</v>
          </cell>
          <cell r="E158"/>
          <cell r="F158">
            <v>0</v>
          </cell>
        </row>
        <row r="159">
          <cell r="A159" t="str">
            <v>DASA3</v>
          </cell>
          <cell r="B159">
            <v>2.5400000000000002E-3</v>
          </cell>
          <cell r="C159">
            <v>0</v>
          </cell>
          <cell r="D159">
            <v>0.78299146485186499</v>
          </cell>
          <cell r="E159"/>
          <cell r="F159">
            <v>0</v>
          </cell>
        </row>
        <row r="160">
          <cell r="A160" t="str">
            <v>IRBR3</v>
          </cell>
          <cell r="B160">
            <v>1.3799999999999999E-3</v>
          </cell>
          <cell r="C160">
            <v>0</v>
          </cell>
          <cell r="D160">
            <v>0.78250402134668595</v>
          </cell>
          <cell r="E160"/>
          <cell r="F160">
            <v>0</v>
          </cell>
        </row>
        <row r="161">
          <cell r="A161" t="str">
            <v>GGBR4</v>
          </cell>
          <cell r="B161">
            <v>0</v>
          </cell>
          <cell r="C161">
            <v>0</v>
          </cell>
          <cell r="D161">
            <v>0.78002010983354397</v>
          </cell>
          <cell r="E161"/>
          <cell r="F161">
            <v>0</v>
          </cell>
        </row>
        <row r="162">
          <cell r="A162" t="str">
            <v>AMER3</v>
          </cell>
          <cell r="B162">
            <v>1.98E-3</v>
          </cell>
          <cell r="C162">
            <v>0</v>
          </cell>
          <cell r="D162">
            <v>0.77936807996626001</v>
          </cell>
          <cell r="E162"/>
          <cell r="F162">
            <v>0</v>
          </cell>
        </row>
        <row r="163">
          <cell r="A163" t="str">
            <v>AURA33</v>
          </cell>
          <cell r="B163">
            <v>2.9000000000000002E-3</v>
          </cell>
          <cell r="C163">
            <v>0</v>
          </cell>
          <cell r="D163">
            <v>0.77839838272054296</v>
          </cell>
          <cell r="E163"/>
          <cell r="F163">
            <v>0</v>
          </cell>
        </row>
        <row r="164">
          <cell r="A164" t="str">
            <v>TASA4</v>
          </cell>
          <cell r="B164">
            <v>0</v>
          </cell>
          <cell r="C164">
            <v>0</v>
          </cell>
          <cell r="D164">
            <v>0.77272259434360102</v>
          </cell>
          <cell r="E164"/>
          <cell r="F164">
            <v>0</v>
          </cell>
        </row>
        <row r="165">
          <cell r="A165" t="str">
            <v>TTEN3</v>
          </cell>
          <cell r="B165">
            <v>0</v>
          </cell>
          <cell r="C165">
            <v>0</v>
          </cell>
          <cell r="D165">
            <v>0.76095584890053403</v>
          </cell>
          <cell r="E165"/>
          <cell r="F165">
            <v>0</v>
          </cell>
        </row>
        <row r="166">
          <cell r="A166" t="str">
            <v>EMBJ3</v>
          </cell>
          <cell r="B166">
            <v>4.2299999999999994E-3</v>
          </cell>
          <cell r="C166">
            <v>0</v>
          </cell>
          <cell r="D166">
            <v>0.75700624711137299</v>
          </cell>
          <cell r="E166"/>
          <cell r="F166">
            <v>0</v>
          </cell>
        </row>
        <row r="167">
          <cell r="A167" t="str">
            <v>TUPY3</v>
          </cell>
          <cell r="B167">
            <v>2.16E-3</v>
          </cell>
          <cell r="C167">
            <v>0</v>
          </cell>
          <cell r="D167">
            <v>0.736521928646512</v>
          </cell>
          <cell r="E167"/>
          <cell r="F167">
            <v>0</v>
          </cell>
        </row>
        <row r="168">
          <cell r="A168" t="str">
            <v>HYPE3</v>
          </cell>
          <cell r="B168">
            <v>0</v>
          </cell>
          <cell r="C168">
            <v>0</v>
          </cell>
          <cell r="D168">
            <v>0.727291439946123</v>
          </cell>
          <cell r="E168"/>
          <cell r="F168">
            <v>0</v>
          </cell>
        </row>
        <row r="169">
          <cell r="A169" t="str">
            <v>MDIA3</v>
          </cell>
          <cell r="B169">
            <v>0</v>
          </cell>
          <cell r="C169">
            <v>0</v>
          </cell>
          <cell r="D169">
            <v>0.72356437414961206</v>
          </cell>
          <cell r="E169"/>
          <cell r="F169">
            <v>0</v>
          </cell>
        </row>
        <row r="170">
          <cell r="A170" t="str">
            <v>RAIL3</v>
          </cell>
          <cell r="B170">
            <v>0</v>
          </cell>
          <cell r="C170">
            <v>0</v>
          </cell>
          <cell r="D170">
            <v>0.72253147286393904</v>
          </cell>
          <cell r="E170"/>
          <cell r="F170">
            <v>0</v>
          </cell>
        </row>
        <row r="171">
          <cell r="A171" t="str">
            <v>AURE3</v>
          </cell>
          <cell r="B171">
            <v>0</v>
          </cell>
          <cell r="C171">
            <v>0</v>
          </cell>
          <cell r="D171">
            <v>0.71515868602562105</v>
          </cell>
          <cell r="E171"/>
          <cell r="F171">
            <v>0</v>
          </cell>
        </row>
        <row r="172">
          <cell r="A172" t="str">
            <v>CVCB3</v>
          </cell>
          <cell r="B172">
            <v>1.6049999999999999E-3</v>
          </cell>
          <cell r="C172">
            <v>0</v>
          </cell>
          <cell r="D172">
            <v>0.71103248957586895</v>
          </cell>
          <cell r="E172"/>
          <cell r="F172">
            <v>0</v>
          </cell>
        </row>
        <row r="173">
          <cell r="A173" t="str">
            <v>TOTS3</v>
          </cell>
          <cell r="B173">
            <v>0</v>
          </cell>
          <cell r="C173">
            <v>0</v>
          </cell>
          <cell r="D173">
            <v>0.67288402738734299</v>
          </cell>
          <cell r="E173"/>
          <cell r="F173">
            <v>0</v>
          </cell>
        </row>
        <row r="174">
          <cell r="A174" t="str">
            <v>MYPK3</v>
          </cell>
          <cell r="B174">
            <v>0</v>
          </cell>
          <cell r="C174">
            <v>0</v>
          </cell>
          <cell r="D174">
            <v>0.672413852815542</v>
          </cell>
          <cell r="E174"/>
          <cell r="F174">
            <v>0</v>
          </cell>
        </row>
        <row r="175">
          <cell r="A175" t="str">
            <v>ENEV3</v>
          </cell>
          <cell r="B175">
            <v>1.4800000000000002E-3</v>
          </cell>
          <cell r="C175">
            <v>0</v>
          </cell>
          <cell r="D175">
            <v>0.67038134231810298</v>
          </cell>
          <cell r="E175"/>
          <cell r="F175">
            <v>0</v>
          </cell>
        </row>
        <row r="176">
          <cell r="A176" t="str">
            <v>CASH3</v>
          </cell>
          <cell r="B176">
            <v>1.5449999999999999E-3</v>
          </cell>
          <cell r="C176">
            <v>0</v>
          </cell>
          <cell r="D176">
            <v>0.66678384844272598</v>
          </cell>
          <cell r="E176"/>
          <cell r="F176">
            <v>0</v>
          </cell>
        </row>
        <row r="177">
          <cell r="A177" t="str">
            <v>DESK3</v>
          </cell>
          <cell r="B177">
            <v>0</v>
          </cell>
          <cell r="C177">
            <v>0</v>
          </cell>
          <cell r="D177">
            <v>0.66642222523567896</v>
          </cell>
          <cell r="E177"/>
          <cell r="F177">
            <v>0</v>
          </cell>
        </row>
        <row r="178">
          <cell r="A178" t="str">
            <v>HAPV3</v>
          </cell>
          <cell r="B178">
            <v>2.0100000000000001E-3</v>
          </cell>
          <cell r="C178">
            <v>0</v>
          </cell>
          <cell r="D178">
            <v>0.66233301019440904</v>
          </cell>
          <cell r="E178"/>
          <cell r="F178">
            <v>0</v>
          </cell>
        </row>
        <row r="179">
          <cell r="A179" t="str">
            <v>AZZA3</v>
          </cell>
          <cell r="B179">
            <v>0</v>
          </cell>
          <cell r="C179">
            <v>0</v>
          </cell>
          <cell r="D179">
            <v>0.66057423884305</v>
          </cell>
          <cell r="E179"/>
          <cell r="F179">
            <v>0</v>
          </cell>
        </row>
        <row r="180">
          <cell r="A180" t="str">
            <v>QUAL3</v>
          </cell>
          <cell r="B180">
            <v>0</v>
          </cell>
          <cell r="C180">
            <v>0</v>
          </cell>
          <cell r="D180">
            <v>0.65312541203333896</v>
          </cell>
          <cell r="E180"/>
          <cell r="F180">
            <v>0</v>
          </cell>
        </row>
        <row r="181">
          <cell r="A181" t="str">
            <v>DXCO3</v>
          </cell>
          <cell r="B181">
            <v>0</v>
          </cell>
          <cell r="C181">
            <v>0</v>
          </cell>
          <cell r="D181">
            <v>0.65252954163988497</v>
          </cell>
          <cell r="E181"/>
          <cell r="F181">
            <v>0</v>
          </cell>
        </row>
        <row r="182">
          <cell r="A182" t="str">
            <v>AMBP3</v>
          </cell>
          <cell r="B182">
            <v>3.15E-3</v>
          </cell>
          <cell r="C182">
            <v>0</v>
          </cell>
          <cell r="D182">
            <v>0.65083469035837904</v>
          </cell>
          <cell r="E182"/>
          <cell r="F182">
            <v>0</v>
          </cell>
        </row>
        <row r="183">
          <cell r="A183" t="str">
            <v>ASAI3</v>
          </cell>
          <cell r="B183">
            <v>0</v>
          </cell>
          <cell r="C183">
            <v>0</v>
          </cell>
          <cell r="D183">
            <v>0.64776816204160503</v>
          </cell>
          <cell r="E183"/>
          <cell r="F183">
            <v>0</v>
          </cell>
        </row>
        <row r="184">
          <cell r="A184" t="str">
            <v>SCAR3</v>
          </cell>
          <cell r="B184">
            <v>0</v>
          </cell>
          <cell r="C184">
            <v>0</v>
          </cell>
          <cell r="D184">
            <v>0.64312575117391202</v>
          </cell>
          <cell r="E184"/>
          <cell r="F184">
            <v>0</v>
          </cell>
        </row>
        <row r="185">
          <cell r="A185" t="str">
            <v>USIM5</v>
          </cell>
          <cell r="B185">
            <v>1.06E-3</v>
          </cell>
          <cell r="C185">
            <v>0</v>
          </cell>
          <cell r="D185">
            <v>0.62802205663371102</v>
          </cell>
          <cell r="E185"/>
          <cell r="F185">
            <v>0</v>
          </cell>
        </row>
        <row r="186">
          <cell r="A186" t="str">
            <v>HBRE3</v>
          </cell>
          <cell r="B186">
            <v>0</v>
          </cell>
          <cell r="C186">
            <v>0</v>
          </cell>
          <cell r="D186">
            <v>0.62539636414733402</v>
          </cell>
          <cell r="E186"/>
          <cell r="F186">
            <v>0</v>
          </cell>
        </row>
        <row r="187">
          <cell r="A187" t="str">
            <v>USIM3</v>
          </cell>
          <cell r="B187">
            <v>9.7999999999999997E-4</v>
          </cell>
          <cell r="C187">
            <v>0</v>
          </cell>
          <cell r="D187">
            <v>0.60405483242270397</v>
          </cell>
          <cell r="E187"/>
          <cell r="F187">
            <v>0</v>
          </cell>
        </row>
        <row r="188">
          <cell r="A188" t="str">
            <v>SOJA3</v>
          </cell>
          <cell r="B188">
            <v>0</v>
          </cell>
          <cell r="C188">
            <v>0</v>
          </cell>
          <cell r="D188">
            <v>0.60325749562572395</v>
          </cell>
          <cell r="E188"/>
          <cell r="F188">
            <v>0</v>
          </cell>
        </row>
        <row r="189">
          <cell r="A189" t="str">
            <v>VAMO3</v>
          </cell>
          <cell r="B189">
            <v>0</v>
          </cell>
          <cell r="C189">
            <v>0</v>
          </cell>
          <cell r="D189">
            <v>0.58355732904309499</v>
          </cell>
          <cell r="E189"/>
          <cell r="F189">
            <v>0</v>
          </cell>
        </row>
        <row r="190">
          <cell r="A190" t="str">
            <v>SIMH3</v>
          </cell>
          <cell r="B190">
            <v>0</v>
          </cell>
          <cell r="C190">
            <v>0</v>
          </cell>
          <cell r="D190">
            <v>0.58069612494363498</v>
          </cell>
          <cell r="E190"/>
          <cell r="F190">
            <v>0</v>
          </cell>
        </row>
        <row r="191">
          <cell r="A191" t="str">
            <v>RCSL3</v>
          </cell>
          <cell r="B191">
            <v>1.8149999999999998E-3</v>
          </cell>
          <cell r="C191">
            <v>0</v>
          </cell>
          <cell r="D191">
            <v>0.53230057607988601</v>
          </cell>
          <cell r="E191"/>
          <cell r="F191">
            <v>0</v>
          </cell>
        </row>
        <row r="192">
          <cell r="A192" t="str">
            <v>AUAU3</v>
          </cell>
          <cell r="B192">
            <v>0</v>
          </cell>
          <cell r="C192">
            <v>0</v>
          </cell>
          <cell r="D192">
            <v>0.53104800033987398</v>
          </cell>
          <cell r="E192"/>
          <cell r="F192">
            <v>0</v>
          </cell>
        </row>
        <row r="193">
          <cell r="A193" t="str">
            <v>MLAS3</v>
          </cell>
          <cell r="B193">
            <v>0</v>
          </cell>
          <cell r="C193">
            <v>0</v>
          </cell>
          <cell r="D193">
            <v>0.520783613366261</v>
          </cell>
          <cell r="E193"/>
          <cell r="F193">
            <v>0</v>
          </cell>
        </row>
        <row r="194">
          <cell r="A194" t="str">
            <v>HBSA3</v>
          </cell>
          <cell r="B194">
            <v>0</v>
          </cell>
          <cell r="C194">
            <v>0</v>
          </cell>
          <cell r="D194">
            <v>0.49260212659272301</v>
          </cell>
          <cell r="E194"/>
          <cell r="F194">
            <v>0</v>
          </cell>
        </row>
        <row r="195">
          <cell r="A195" t="str">
            <v>MRVE3</v>
          </cell>
          <cell r="B195">
            <v>1.08E-3</v>
          </cell>
          <cell r="C195">
            <v>0</v>
          </cell>
          <cell r="D195">
            <v>0.46298590078613999</v>
          </cell>
          <cell r="E195"/>
          <cell r="F195">
            <v>0</v>
          </cell>
        </row>
        <row r="196">
          <cell r="A196" t="str">
            <v>NATU3</v>
          </cell>
          <cell r="B196">
            <v>0</v>
          </cell>
          <cell r="C196">
            <v>0</v>
          </cell>
          <cell r="D196">
            <v>0.45734048307942898</v>
          </cell>
          <cell r="E196"/>
          <cell r="F196">
            <v>0</v>
          </cell>
        </row>
        <row r="197">
          <cell r="A197" t="str">
            <v>PMAM3</v>
          </cell>
          <cell r="B197">
            <v>1.32E-3</v>
          </cell>
          <cell r="C197">
            <v>0</v>
          </cell>
          <cell r="D197">
            <v>0.43326561486333998</v>
          </cell>
          <cell r="E197"/>
          <cell r="F197">
            <v>0</v>
          </cell>
        </row>
        <row r="198">
          <cell r="A198" t="str">
            <v>LJQQ3</v>
          </cell>
          <cell r="B198">
            <v>0</v>
          </cell>
          <cell r="C198">
            <v>0</v>
          </cell>
          <cell r="D198">
            <v>0.42001469344291997</v>
          </cell>
          <cell r="E198"/>
          <cell r="F198">
            <v>0</v>
          </cell>
        </row>
        <row r="199">
          <cell r="A199" t="str">
            <v>PCAR3</v>
          </cell>
          <cell r="B199">
            <v>0</v>
          </cell>
          <cell r="C199">
            <v>0</v>
          </cell>
          <cell r="D199">
            <v>0.414047260424597</v>
          </cell>
          <cell r="E199"/>
          <cell r="F199">
            <v>0</v>
          </cell>
        </row>
        <row r="200">
          <cell r="A200" t="str">
            <v>VVEO3</v>
          </cell>
          <cell r="B200">
            <v>1.1000000000000001E-3</v>
          </cell>
          <cell r="C200">
            <v>0</v>
          </cell>
          <cell r="D200">
            <v>0.40692673900955501</v>
          </cell>
          <cell r="E200"/>
          <cell r="F200">
            <v>0</v>
          </cell>
        </row>
        <row r="201">
          <cell r="A201" t="str">
            <v>CSAN3</v>
          </cell>
          <cell r="B201">
            <v>0</v>
          </cell>
          <cell r="C201">
            <v>0</v>
          </cell>
          <cell r="D201">
            <v>0.38339401124202399</v>
          </cell>
          <cell r="E201"/>
          <cell r="F201">
            <v>0</v>
          </cell>
        </row>
        <row r="202">
          <cell r="A202" t="str">
            <v>LWSA3</v>
          </cell>
          <cell r="B202">
            <v>0</v>
          </cell>
          <cell r="C202">
            <v>0</v>
          </cell>
          <cell r="D202">
            <v>0.376535164674764</v>
          </cell>
          <cell r="E202"/>
          <cell r="F202">
            <v>0</v>
          </cell>
        </row>
        <row r="203">
          <cell r="A203" t="str">
            <v>GFSA3</v>
          </cell>
          <cell r="B203">
            <v>1.3650000000000001E-3</v>
          </cell>
          <cell r="C203">
            <v>0</v>
          </cell>
          <cell r="D203">
            <v>0.36201112997104801</v>
          </cell>
          <cell r="E203"/>
          <cell r="F203">
            <v>0</v>
          </cell>
        </row>
        <row r="204">
          <cell r="A204" t="str">
            <v>BHIA3</v>
          </cell>
          <cell r="B204">
            <v>0</v>
          </cell>
          <cell r="C204">
            <v>0</v>
          </cell>
          <cell r="D204">
            <v>0.36200152434199501</v>
          </cell>
          <cell r="E204"/>
          <cell r="F204">
            <v>0</v>
          </cell>
        </row>
        <row r="205">
          <cell r="A205" t="str">
            <v>BRKM5</v>
          </cell>
          <cell r="B205">
            <v>0</v>
          </cell>
          <cell r="C205">
            <v>0</v>
          </cell>
          <cell r="D205">
            <v>0.328498414701903</v>
          </cell>
          <cell r="E205"/>
          <cell r="F205">
            <v>0</v>
          </cell>
        </row>
        <row r="206">
          <cell r="A206" t="str">
            <v>AZEV4</v>
          </cell>
          <cell r="B206">
            <v>0</v>
          </cell>
          <cell r="C206">
            <v>0</v>
          </cell>
          <cell r="D206">
            <v>0.31121301008578001</v>
          </cell>
          <cell r="E206"/>
          <cell r="F206">
            <v>0</v>
          </cell>
        </row>
        <row r="207">
          <cell r="A207" t="str">
            <v>RAIZ4</v>
          </cell>
          <cell r="B207">
            <v>0</v>
          </cell>
          <cell r="C207">
            <v>0</v>
          </cell>
          <cell r="D207">
            <v>0.30733970149919798</v>
          </cell>
          <cell r="E207"/>
          <cell r="F207">
            <v>0</v>
          </cell>
        </row>
        <row r="208">
          <cell r="A208" t="str">
            <v>ONCO3</v>
          </cell>
          <cell r="B208">
            <v>0</v>
          </cell>
          <cell r="C208">
            <v>0</v>
          </cell>
          <cell r="D208">
            <v>0.29710601538605802</v>
          </cell>
          <cell r="E208"/>
          <cell r="F20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9 - FIA"/>
      <sheetName val="29"/>
      <sheetName val="35 - SMLL"/>
      <sheetName val="36 - LP"/>
      <sheetName val="37 - ISEE"/>
      <sheetName val="Planilha6"/>
      <sheetName val="Mandato Ibov"/>
      <sheetName val="Mandato Smll"/>
      <sheetName val="Mandato LP"/>
      <sheetName val="Mandato ISEE"/>
    </sheetNames>
    <sheetDataSet>
      <sheetData sheetId="0">
        <row r="9">
          <cell r="A9" t="str">
            <v>WIZC3</v>
          </cell>
          <cell r="B9">
            <v>1.4E-2</v>
          </cell>
        </row>
        <row r="10">
          <cell r="A10" t="str">
            <v>JHSF3</v>
          </cell>
          <cell r="B10">
            <v>1.0999999999999999E-2</v>
          </cell>
        </row>
        <row r="11">
          <cell r="A11" t="str">
            <v>BMGB4</v>
          </cell>
          <cell r="B11">
            <v>0.01</v>
          </cell>
        </row>
        <row r="12">
          <cell r="A12" t="str">
            <v>RIAA3</v>
          </cell>
          <cell r="B12">
            <v>8.9999999999999993E-3</v>
          </cell>
        </row>
        <row r="13">
          <cell r="A13" t="str">
            <v>CSED3</v>
          </cell>
          <cell r="B13">
            <v>8.9999999999999993E-3</v>
          </cell>
        </row>
        <row r="14">
          <cell r="A14" t="str">
            <v>ALLD3</v>
          </cell>
          <cell r="B14">
            <v>8.9999999999999993E-3</v>
          </cell>
        </row>
        <row r="15">
          <cell r="A15" t="str">
            <v>SYNE3</v>
          </cell>
          <cell r="B15">
            <v>8.0000000000000002E-3</v>
          </cell>
        </row>
        <row r="16">
          <cell r="A16" t="str">
            <v>POMO3</v>
          </cell>
          <cell r="B16">
            <v>8.9999999999999993E-3</v>
          </cell>
        </row>
        <row r="17">
          <cell r="A17" t="str">
            <v>SHUL4</v>
          </cell>
          <cell r="B17">
            <v>1.2E-2</v>
          </cell>
        </row>
        <row r="18">
          <cell r="A18" t="str">
            <v>FIQE3</v>
          </cell>
          <cell r="B18">
            <v>1.2E-2</v>
          </cell>
        </row>
        <row r="19">
          <cell r="A19" t="str">
            <v>MTRE3</v>
          </cell>
          <cell r="B19">
            <v>1.4E-2</v>
          </cell>
        </row>
        <row r="20">
          <cell r="A20" t="str">
            <v>BRSR6</v>
          </cell>
          <cell r="B20">
            <v>1.2E-2</v>
          </cell>
        </row>
        <row r="21">
          <cell r="A21" t="str">
            <v>GRND3</v>
          </cell>
          <cell r="B21">
            <v>8.9999999999999993E-3</v>
          </cell>
        </row>
        <row r="22">
          <cell r="A22" t="str">
            <v>TIMS3</v>
          </cell>
          <cell r="B22">
            <v>1.9E-2</v>
          </cell>
        </row>
        <row r="23">
          <cell r="A23" t="str">
            <v>SAPR4</v>
          </cell>
          <cell r="B23">
            <v>1.0999999999999999E-2</v>
          </cell>
        </row>
        <row r="24">
          <cell r="A24" t="str">
            <v>PFRM3</v>
          </cell>
          <cell r="B24">
            <v>8.0000000000000002E-3</v>
          </cell>
        </row>
        <row r="25">
          <cell r="A25" t="str">
            <v>SAPR3</v>
          </cell>
          <cell r="B25">
            <v>0</v>
          </cell>
        </row>
        <row r="26">
          <cell r="A26" t="str">
            <v>DEXP3</v>
          </cell>
          <cell r="B26">
            <v>1.0999999999999999E-2</v>
          </cell>
        </row>
        <row r="27">
          <cell r="A27" t="str">
            <v>PETR4</v>
          </cell>
          <cell r="B27">
            <v>5.5E-2</v>
          </cell>
        </row>
        <row r="28">
          <cell r="A28" t="str">
            <v>LEVE3</v>
          </cell>
          <cell r="B28">
            <v>1.0999999999999999E-2</v>
          </cell>
        </row>
        <row r="29">
          <cell r="A29" t="str">
            <v>PETR3</v>
          </cell>
          <cell r="B29">
            <v>0.05</v>
          </cell>
        </row>
        <row r="30">
          <cell r="A30" t="str">
            <v>ABCB4</v>
          </cell>
          <cell r="B30">
            <v>1.4999999999999999E-2</v>
          </cell>
        </row>
        <row r="31">
          <cell r="A31" t="str">
            <v>ALPA4</v>
          </cell>
          <cell r="B31">
            <v>8.9999999999999993E-3</v>
          </cell>
        </row>
        <row r="32">
          <cell r="A32" t="str">
            <v>SAPR11</v>
          </cell>
          <cell r="B32">
            <v>1.0999999999999999E-2</v>
          </cell>
        </row>
        <row r="33">
          <cell r="A33" t="str">
            <v>POMO4</v>
          </cell>
          <cell r="B33">
            <v>0.01</v>
          </cell>
        </row>
        <row r="34">
          <cell r="A34" t="str">
            <v>LOGG3</v>
          </cell>
          <cell r="B34">
            <v>0.01</v>
          </cell>
        </row>
        <row r="35">
          <cell r="A35" t="str">
            <v>ODPV3</v>
          </cell>
          <cell r="B35">
            <v>0.01</v>
          </cell>
        </row>
        <row r="36">
          <cell r="A36" t="str">
            <v>EVEN3</v>
          </cell>
          <cell r="B36">
            <v>1.0999999999999999E-2</v>
          </cell>
        </row>
        <row r="37">
          <cell r="A37" t="str">
            <v>CURY3</v>
          </cell>
          <cell r="B37">
            <v>1.0999999999999999E-2</v>
          </cell>
        </row>
        <row r="38">
          <cell r="A38" t="str">
            <v>ALOS3</v>
          </cell>
          <cell r="B38">
            <v>1.6E-2</v>
          </cell>
        </row>
        <row r="39">
          <cell r="A39" t="str">
            <v>ITSA3</v>
          </cell>
          <cell r="B39">
            <v>2.1000000000000001E-2</v>
          </cell>
        </row>
        <row r="40">
          <cell r="A40" t="str">
            <v>MELK3</v>
          </cell>
          <cell r="B40">
            <v>1.15E-2</v>
          </cell>
        </row>
        <row r="41">
          <cell r="A41" t="str">
            <v>VLID3</v>
          </cell>
          <cell r="B41">
            <v>1.2500000000000001E-2</v>
          </cell>
        </row>
        <row r="42">
          <cell r="A42" t="str">
            <v>TRIS3</v>
          </cell>
          <cell r="B42">
            <v>5.0000000000000001E-3</v>
          </cell>
        </row>
        <row r="43">
          <cell r="A43" t="str">
            <v>VULC3</v>
          </cell>
          <cell r="B43">
            <v>1.2E-2</v>
          </cell>
        </row>
        <row r="44">
          <cell r="A44" t="str">
            <v>INTB3</v>
          </cell>
          <cell r="B44">
            <v>1.0999999999999999E-2</v>
          </cell>
        </row>
        <row r="45">
          <cell r="A45" t="str">
            <v>BMEB4</v>
          </cell>
          <cell r="B45">
            <v>8.0000000000000002E-3</v>
          </cell>
        </row>
        <row r="46">
          <cell r="A46" t="str">
            <v>MLAS3</v>
          </cell>
          <cell r="B46">
            <v>7.0000000000000001E-3</v>
          </cell>
        </row>
        <row r="47">
          <cell r="A47" t="str">
            <v>ALUP11</v>
          </cell>
          <cell r="B47">
            <v>0.02</v>
          </cell>
        </row>
        <row r="48">
          <cell r="A48" t="str">
            <v>PNVL3</v>
          </cell>
          <cell r="B48">
            <v>1.2E-2</v>
          </cell>
        </row>
        <row r="49">
          <cell r="A49" t="str">
            <v>RECV3</v>
          </cell>
          <cell r="B49">
            <v>1.4999999999999999E-2</v>
          </cell>
        </row>
        <row r="50">
          <cell r="A50" t="str">
            <v>OPCT3</v>
          </cell>
          <cell r="B50">
            <v>1.4E-2</v>
          </cell>
        </row>
        <row r="51">
          <cell r="A51" t="str">
            <v>LAVV3</v>
          </cell>
          <cell r="B51">
            <v>1.0999999999999999E-2</v>
          </cell>
        </row>
        <row r="52">
          <cell r="A52" t="str">
            <v>VIVT3</v>
          </cell>
          <cell r="B52">
            <v>1.6E-2</v>
          </cell>
        </row>
        <row r="53">
          <cell r="A53" t="str">
            <v>PINE4</v>
          </cell>
          <cell r="B53">
            <v>8.9999999999999993E-3</v>
          </cell>
        </row>
        <row r="54">
          <cell r="A54" t="str">
            <v>BMOB3</v>
          </cell>
          <cell r="B54">
            <v>0.01</v>
          </cell>
        </row>
        <row r="55">
          <cell r="A55" t="str">
            <v>POSI3</v>
          </cell>
          <cell r="B55">
            <v>0.01</v>
          </cell>
        </row>
        <row r="56">
          <cell r="A56" t="str">
            <v>ITSA4</v>
          </cell>
          <cell r="B56">
            <v>2.5000000000000001E-2</v>
          </cell>
        </row>
        <row r="57">
          <cell r="A57" t="str">
            <v>ABEV3</v>
          </cell>
          <cell r="B57">
            <v>1.7000000000000001E-2</v>
          </cell>
        </row>
        <row r="58">
          <cell r="A58" t="str">
            <v>VVEO3</v>
          </cell>
          <cell r="B58">
            <v>4.0000000000000001E-3</v>
          </cell>
        </row>
        <row r="59">
          <cell r="A59" t="str">
            <v>BRAP3</v>
          </cell>
          <cell r="B59">
            <v>0</v>
          </cell>
        </row>
        <row r="60">
          <cell r="A60" t="str">
            <v>MDNE3</v>
          </cell>
          <cell r="B60">
            <v>7.0000000000000001E-3</v>
          </cell>
        </row>
        <row r="61">
          <cell r="A61" t="str">
            <v>PSSA3</v>
          </cell>
          <cell r="B61">
            <v>1.2999999999999999E-2</v>
          </cell>
        </row>
        <row r="62">
          <cell r="A62" t="str">
            <v>NEOE3</v>
          </cell>
          <cell r="B62">
            <v>0</v>
          </cell>
        </row>
        <row r="63">
          <cell r="A63" t="str">
            <v>SEER3</v>
          </cell>
          <cell r="B63">
            <v>6.0000000000000001E-3</v>
          </cell>
        </row>
        <row r="64">
          <cell r="A64" t="str">
            <v>CAML3</v>
          </cell>
          <cell r="B64">
            <v>0.01</v>
          </cell>
        </row>
        <row r="65">
          <cell r="A65" t="str">
            <v>HBRE3</v>
          </cell>
          <cell r="B65">
            <v>8.0000000000000002E-3</v>
          </cell>
        </row>
        <row r="66">
          <cell r="A66" t="str">
            <v>ITUB3</v>
          </cell>
          <cell r="B66">
            <v>2.3E-2</v>
          </cell>
        </row>
        <row r="67">
          <cell r="A67" t="str">
            <v>BBSE3</v>
          </cell>
          <cell r="B67">
            <v>0.02</v>
          </cell>
        </row>
        <row r="68">
          <cell r="A68" t="str">
            <v>TAEE3</v>
          </cell>
          <cell r="B68">
            <v>1.7999999999999999E-2</v>
          </cell>
        </row>
        <row r="69">
          <cell r="A69" t="str">
            <v>TAEE4</v>
          </cell>
          <cell r="B69">
            <v>1.7000000000000001E-2</v>
          </cell>
        </row>
        <row r="70">
          <cell r="A70" t="str">
            <v>AZZA3</v>
          </cell>
          <cell r="B70">
            <v>6.0000000000000001E-3</v>
          </cell>
        </row>
        <row r="71">
          <cell r="A71" t="str">
            <v>AXIA6</v>
          </cell>
          <cell r="B71">
            <v>2.3E-2</v>
          </cell>
        </row>
        <row r="72">
          <cell r="A72" t="str">
            <v>BBDC3</v>
          </cell>
          <cell r="B72">
            <v>2.3E-2</v>
          </cell>
        </row>
        <row r="73">
          <cell r="A73" t="str">
            <v>BRBI11</v>
          </cell>
          <cell r="B73">
            <v>1.0999999999999999E-2</v>
          </cell>
        </row>
        <row r="74">
          <cell r="A74" t="str">
            <v>CPLE3</v>
          </cell>
          <cell r="B74">
            <v>2.1999999999999999E-2</v>
          </cell>
        </row>
        <row r="75">
          <cell r="A75" t="str">
            <v>BRAP4</v>
          </cell>
          <cell r="B75">
            <v>5.0000000000000001E-3</v>
          </cell>
        </row>
        <row r="76">
          <cell r="A76" t="str">
            <v>DIRR3</v>
          </cell>
          <cell r="B76">
            <v>7.4999999999999997E-3</v>
          </cell>
        </row>
        <row r="77">
          <cell r="A77" t="str">
            <v>CMIG4</v>
          </cell>
          <cell r="B77">
            <v>1.7500000000000002E-2</v>
          </cell>
        </row>
        <row r="78">
          <cell r="A78" t="str">
            <v>FESA4</v>
          </cell>
          <cell r="B78">
            <v>8.0000000000000002E-3</v>
          </cell>
        </row>
        <row r="79">
          <cell r="A79" t="str">
            <v>LREN3</v>
          </cell>
          <cell r="B79">
            <v>0.01</v>
          </cell>
        </row>
        <row r="80">
          <cell r="A80" t="str">
            <v>RANI3</v>
          </cell>
          <cell r="B80">
            <v>0</v>
          </cell>
        </row>
        <row r="81">
          <cell r="A81" t="str">
            <v>CSMG3</v>
          </cell>
          <cell r="B81">
            <v>0</v>
          </cell>
        </row>
        <row r="82">
          <cell r="A82" t="str">
            <v>IGTI11</v>
          </cell>
          <cell r="B82">
            <v>0</v>
          </cell>
        </row>
        <row r="83">
          <cell r="A83" t="str">
            <v>CMIG3</v>
          </cell>
          <cell r="B83">
            <v>0</v>
          </cell>
        </row>
        <row r="84">
          <cell r="A84" t="str">
            <v>TAEE11</v>
          </cell>
          <cell r="B84">
            <v>0</v>
          </cell>
        </row>
        <row r="85">
          <cell r="A85" t="str">
            <v>MILS3</v>
          </cell>
          <cell r="B85">
            <v>0</v>
          </cell>
        </row>
        <row r="86">
          <cell r="A86" t="str">
            <v>ITUB4</v>
          </cell>
          <cell r="B86">
            <v>3.1E-2</v>
          </cell>
        </row>
        <row r="87">
          <cell r="A87" t="str">
            <v>FLRY3</v>
          </cell>
          <cell r="B87">
            <v>0</v>
          </cell>
        </row>
        <row r="88">
          <cell r="A88" t="str">
            <v>EZTC3</v>
          </cell>
          <cell r="B88">
            <v>0</v>
          </cell>
        </row>
        <row r="89">
          <cell r="A89" t="str">
            <v>MULT3</v>
          </cell>
          <cell r="B89">
            <v>0</v>
          </cell>
        </row>
        <row r="90">
          <cell r="A90" t="str">
            <v>KLBN3</v>
          </cell>
          <cell r="B90">
            <v>0</v>
          </cell>
        </row>
        <row r="91">
          <cell r="A91" t="str">
            <v>KLBN4</v>
          </cell>
          <cell r="B91">
            <v>0</v>
          </cell>
        </row>
        <row r="92">
          <cell r="A92" t="str">
            <v>ANIM3</v>
          </cell>
          <cell r="B92">
            <v>0</v>
          </cell>
        </row>
        <row r="93">
          <cell r="A93" t="str">
            <v>SLCE3</v>
          </cell>
          <cell r="B93">
            <v>0</v>
          </cell>
        </row>
        <row r="94">
          <cell r="A94" t="str">
            <v>TGMA3</v>
          </cell>
          <cell r="B94">
            <v>0</v>
          </cell>
        </row>
        <row r="95">
          <cell r="A95" t="str">
            <v>MDIA3</v>
          </cell>
          <cell r="B95">
            <v>0</v>
          </cell>
        </row>
        <row r="96">
          <cell r="A96" t="str">
            <v>BBDC4</v>
          </cell>
          <cell r="B96">
            <v>0</v>
          </cell>
        </row>
        <row r="97">
          <cell r="A97" t="str">
            <v>CXSE3</v>
          </cell>
          <cell r="B97">
            <v>0</v>
          </cell>
        </row>
        <row r="98">
          <cell r="A98" t="str">
            <v>TEND3</v>
          </cell>
          <cell r="B98">
            <v>0</v>
          </cell>
        </row>
        <row r="99">
          <cell r="A99" t="str">
            <v>PGMN3</v>
          </cell>
          <cell r="B99">
            <v>0</v>
          </cell>
        </row>
        <row r="100">
          <cell r="A100" t="str">
            <v>KLBN11</v>
          </cell>
          <cell r="B100">
            <v>0</v>
          </cell>
        </row>
        <row r="101">
          <cell r="A101" t="str">
            <v>HYPE3</v>
          </cell>
          <cell r="B101">
            <v>0</v>
          </cell>
        </row>
        <row r="102">
          <cell r="A102" t="str">
            <v>AXIA3</v>
          </cell>
          <cell r="B102">
            <v>0</v>
          </cell>
        </row>
        <row r="103">
          <cell r="A103" t="str">
            <v>CPFE3</v>
          </cell>
          <cell r="B103">
            <v>0</v>
          </cell>
        </row>
        <row r="104">
          <cell r="A104" t="str">
            <v>ISAE4</v>
          </cell>
          <cell r="B104">
            <v>0</v>
          </cell>
        </row>
        <row r="105">
          <cell r="A105" t="str">
            <v>VTRU3</v>
          </cell>
          <cell r="B105">
            <v>0</v>
          </cell>
        </row>
        <row r="106">
          <cell r="A106" t="str">
            <v>VBBR3</v>
          </cell>
          <cell r="B106">
            <v>0</v>
          </cell>
        </row>
        <row r="107">
          <cell r="A107" t="str">
            <v>JSLG3</v>
          </cell>
          <cell r="B107">
            <v>0</v>
          </cell>
        </row>
        <row r="108">
          <cell r="A108" t="str">
            <v>SANB3</v>
          </cell>
          <cell r="B108">
            <v>0</v>
          </cell>
        </row>
        <row r="109">
          <cell r="A109" t="str">
            <v>JALL3</v>
          </cell>
          <cell r="B109">
            <v>0</v>
          </cell>
        </row>
        <row r="110">
          <cell r="A110" t="str">
            <v>SANB4</v>
          </cell>
          <cell r="B110">
            <v>0</v>
          </cell>
        </row>
        <row r="111">
          <cell r="A111" t="str">
            <v>TFCO4</v>
          </cell>
          <cell r="B111">
            <v>0</v>
          </cell>
        </row>
        <row r="112">
          <cell r="A112" t="str">
            <v>CEAB3</v>
          </cell>
          <cell r="B112">
            <v>0</v>
          </cell>
        </row>
        <row r="113">
          <cell r="A113" t="str">
            <v>BLAU3</v>
          </cell>
          <cell r="B113">
            <v>0</v>
          </cell>
        </row>
        <row r="114">
          <cell r="A114" t="str">
            <v>ORVR3</v>
          </cell>
          <cell r="B114">
            <v>0</v>
          </cell>
        </row>
        <row r="115">
          <cell r="A115" t="str">
            <v>AMOB3</v>
          </cell>
          <cell r="B115">
            <v>0</v>
          </cell>
        </row>
        <row r="116">
          <cell r="A116" t="str">
            <v>IRBR3</v>
          </cell>
          <cell r="B116">
            <v>0</v>
          </cell>
        </row>
        <row r="117">
          <cell r="A117" t="str">
            <v>AXIA7</v>
          </cell>
          <cell r="B117">
            <v>0</v>
          </cell>
        </row>
        <row r="118">
          <cell r="A118" t="str">
            <v>COGN3</v>
          </cell>
          <cell r="B118">
            <v>0</v>
          </cell>
        </row>
        <row r="119">
          <cell r="A119" t="str">
            <v>SANB11</v>
          </cell>
          <cell r="B119">
            <v>0</v>
          </cell>
        </row>
        <row r="120">
          <cell r="A120" t="str">
            <v>GOAU4</v>
          </cell>
          <cell r="B120">
            <v>0</v>
          </cell>
        </row>
        <row r="121">
          <cell r="A121" t="str">
            <v>EGIE3</v>
          </cell>
          <cell r="B121">
            <v>0</v>
          </cell>
        </row>
        <row r="122">
          <cell r="A122" t="str">
            <v>BPAC11</v>
          </cell>
          <cell r="B122">
            <v>0</v>
          </cell>
        </row>
        <row r="123">
          <cell r="A123" t="str">
            <v>ROMI3</v>
          </cell>
          <cell r="B123">
            <v>0</v>
          </cell>
        </row>
        <row r="124">
          <cell r="A124" t="str">
            <v>SBSP3</v>
          </cell>
          <cell r="B124">
            <v>0</v>
          </cell>
        </row>
        <row r="125">
          <cell r="A125" t="str">
            <v>UNIP6</v>
          </cell>
          <cell r="B125">
            <v>0</v>
          </cell>
        </row>
        <row r="126">
          <cell r="A126" t="str">
            <v>BBAS3</v>
          </cell>
          <cell r="B126">
            <v>0</v>
          </cell>
        </row>
        <row r="127">
          <cell r="A127" t="str">
            <v>WEGE3</v>
          </cell>
          <cell r="B127">
            <v>0</v>
          </cell>
        </row>
        <row r="128">
          <cell r="A128" t="str">
            <v>PAGS34</v>
          </cell>
          <cell r="B128">
            <v>0</v>
          </cell>
        </row>
        <row r="129">
          <cell r="A129" t="str">
            <v>LIGT3</v>
          </cell>
          <cell r="B129">
            <v>0</v>
          </cell>
        </row>
        <row r="130">
          <cell r="A130" t="str">
            <v>B3SA3</v>
          </cell>
          <cell r="B130">
            <v>0</v>
          </cell>
        </row>
        <row r="131">
          <cell r="A131" t="str">
            <v>USIM3</v>
          </cell>
          <cell r="B131">
            <v>0</v>
          </cell>
        </row>
        <row r="132">
          <cell r="A132" t="str">
            <v>MYPK3</v>
          </cell>
          <cell r="B132">
            <v>0</v>
          </cell>
        </row>
        <row r="133">
          <cell r="A133" t="str">
            <v>VALE3</v>
          </cell>
          <cell r="B133">
            <v>5.7000000000000002E-2</v>
          </cell>
        </row>
        <row r="134">
          <cell r="A134" t="str">
            <v>BRAV3</v>
          </cell>
          <cell r="B134">
            <v>0</v>
          </cell>
        </row>
        <row r="135">
          <cell r="A135" t="str">
            <v>XPBR31</v>
          </cell>
          <cell r="B135">
            <v>0</v>
          </cell>
        </row>
        <row r="136">
          <cell r="A136" t="str">
            <v>AURA33</v>
          </cell>
          <cell r="B136">
            <v>0</v>
          </cell>
        </row>
        <row r="137">
          <cell r="A137" t="str">
            <v>CBAV3</v>
          </cell>
          <cell r="B137">
            <v>0</v>
          </cell>
        </row>
        <row r="138">
          <cell r="A138" t="str">
            <v>CYRE3</v>
          </cell>
          <cell r="B138">
            <v>0</v>
          </cell>
        </row>
        <row r="139">
          <cell r="A139" t="str">
            <v>UGPA3</v>
          </cell>
          <cell r="B139">
            <v>0</v>
          </cell>
        </row>
        <row r="140">
          <cell r="A140" t="str">
            <v>SUZB3</v>
          </cell>
          <cell r="B140">
            <v>0</v>
          </cell>
        </row>
        <row r="141">
          <cell r="A141" t="str">
            <v>USIM5</v>
          </cell>
          <cell r="B141">
            <v>0</v>
          </cell>
        </row>
        <row r="142">
          <cell r="A142" t="str">
            <v>ARML3</v>
          </cell>
          <cell r="B142">
            <v>0</v>
          </cell>
        </row>
        <row r="143">
          <cell r="A143" t="str">
            <v>YDUQ3</v>
          </cell>
          <cell r="B143">
            <v>0</v>
          </cell>
        </row>
        <row r="144">
          <cell r="A144" t="str">
            <v>ENGI11</v>
          </cell>
          <cell r="B144">
            <v>0</v>
          </cell>
        </row>
        <row r="145">
          <cell r="A145" t="str">
            <v>AURE3</v>
          </cell>
          <cell r="B145">
            <v>0</v>
          </cell>
        </row>
        <row r="146">
          <cell r="A146" t="str">
            <v>MOTV3</v>
          </cell>
          <cell r="B146">
            <v>0</v>
          </cell>
        </row>
        <row r="147">
          <cell r="A147" t="str">
            <v>MOVI3</v>
          </cell>
          <cell r="B147">
            <v>0</v>
          </cell>
        </row>
        <row r="148">
          <cell r="A148" t="str">
            <v>BRST3</v>
          </cell>
          <cell r="B148">
            <v>0</v>
          </cell>
        </row>
        <row r="149">
          <cell r="A149" t="str">
            <v>KEPL3</v>
          </cell>
          <cell r="B149">
            <v>0</v>
          </cell>
        </row>
        <row r="150">
          <cell r="A150" t="str">
            <v>MGLU3</v>
          </cell>
          <cell r="B150">
            <v>0</v>
          </cell>
        </row>
        <row r="151">
          <cell r="A151" t="str">
            <v>AGRO3</v>
          </cell>
          <cell r="B151">
            <v>0</v>
          </cell>
        </row>
        <row r="152">
          <cell r="A152" t="str">
            <v>RAIL3</v>
          </cell>
          <cell r="B152">
            <v>0</v>
          </cell>
        </row>
        <row r="153">
          <cell r="A153" t="str">
            <v>CVCB3</v>
          </cell>
          <cell r="B153">
            <v>0</v>
          </cell>
        </row>
        <row r="154">
          <cell r="A154" t="str">
            <v>VIVA3</v>
          </cell>
          <cell r="B154">
            <v>0</v>
          </cell>
        </row>
        <row r="155">
          <cell r="A155" t="str">
            <v>AMER3</v>
          </cell>
          <cell r="B155">
            <v>0</v>
          </cell>
        </row>
        <row r="156">
          <cell r="A156" t="str">
            <v>EQTL3</v>
          </cell>
          <cell r="B156">
            <v>0</v>
          </cell>
        </row>
        <row r="157">
          <cell r="A157" t="str">
            <v>CMIN3</v>
          </cell>
          <cell r="B157">
            <v>0</v>
          </cell>
        </row>
        <row r="158">
          <cell r="A158" t="str">
            <v>RDOR3</v>
          </cell>
          <cell r="B158">
            <v>0</v>
          </cell>
        </row>
        <row r="159">
          <cell r="A159" t="str">
            <v>ENEV3</v>
          </cell>
          <cell r="B159">
            <v>0</v>
          </cell>
        </row>
        <row r="160">
          <cell r="A160" t="str">
            <v>ECOR3</v>
          </cell>
          <cell r="B160">
            <v>0</v>
          </cell>
        </row>
        <row r="161">
          <cell r="A161" t="str">
            <v>SMTO3</v>
          </cell>
          <cell r="B161">
            <v>0</v>
          </cell>
        </row>
        <row r="162">
          <cell r="A162" t="str">
            <v>SBFG3</v>
          </cell>
          <cell r="B162">
            <v>0</v>
          </cell>
        </row>
        <row r="163">
          <cell r="A163" t="str">
            <v>LWSA3</v>
          </cell>
          <cell r="B163">
            <v>0</v>
          </cell>
        </row>
        <row r="164">
          <cell r="A164" t="str">
            <v>HBSA3</v>
          </cell>
          <cell r="B164">
            <v>0</v>
          </cell>
        </row>
        <row r="165">
          <cell r="A165" t="str">
            <v>RENT3</v>
          </cell>
          <cell r="B165">
            <v>0</v>
          </cell>
        </row>
        <row r="166">
          <cell r="A166" t="str">
            <v>MBRF3</v>
          </cell>
          <cell r="B166">
            <v>0</v>
          </cell>
        </row>
        <row r="167">
          <cell r="A167" t="str">
            <v>CYRE4</v>
          </cell>
          <cell r="B167">
            <v>0</v>
          </cell>
        </row>
        <row r="168">
          <cell r="A168" t="str">
            <v>TOTS3</v>
          </cell>
          <cell r="B168">
            <v>0</v>
          </cell>
        </row>
        <row r="169">
          <cell r="A169" t="str">
            <v>GGPS3</v>
          </cell>
          <cell r="B169">
            <v>0</v>
          </cell>
        </row>
        <row r="170">
          <cell r="A170" t="str">
            <v>AUAU3</v>
          </cell>
          <cell r="B170">
            <v>0</v>
          </cell>
        </row>
        <row r="171">
          <cell r="A171" t="str">
            <v>INBR32</v>
          </cell>
          <cell r="B171">
            <v>0</v>
          </cell>
        </row>
        <row r="172">
          <cell r="A172" t="str">
            <v>BEEF3</v>
          </cell>
          <cell r="B172">
            <v>0</v>
          </cell>
        </row>
        <row r="173">
          <cell r="A173" t="str">
            <v>RENT4</v>
          </cell>
          <cell r="B173">
            <v>0</v>
          </cell>
        </row>
        <row r="174">
          <cell r="A174" t="str">
            <v>FRAS3</v>
          </cell>
          <cell r="B174">
            <v>0</v>
          </cell>
        </row>
        <row r="175">
          <cell r="A175" t="str">
            <v>JBSS32</v>
          </cell>
          <cell r="B175">
            <v>0</v>
          </cell>
        </row>
        <row r="176">
          <cell r="A176" t="str">
            <v>PLPL3</v>
          </cell>
          <cell r="B176">
            <v>0</v>
          </cell>
        </row>
        <row r="177">
          <cell r="A177" t="str">
            <v>GGBR4</v>
          </cell>
          <cell r="B177">
            <v>0</v>
          </cell>
        </row>
        <row r="178">
          <cell r="A178" t="str">
            <v>SMFT3</v>
          </cell>
          <cell r="B178">
            <v>0</v>
          </cell>
        </row>
        <row r="179">
          <cell r="A179" t="str">
            <v>RADL3</v>
          </cell>
          <cell r="B179">
            <v>0</v>
          </cell>
        </row>
        <row r="180">
          <cell r="A180" t="str">
            <v>GMAT3</v>
          </cell>
          <cell r="B180">
            <v>0</v>
          </cell>
        </row>
        <row r="181">
          <cell r="A181" t="str">
            <v>TASA4</v>
          </cell>
          <cell r="B181">
            <v>0</v>
          </cell>
        </row>
        <row r="182">
          <cell r="A182" t="str">
            <v>HBOR3</v>
          </cell>
          <cell r="B182">
            <v>0</v>
          </cell>
        </row>
        <row r="183">
          <cell r="A183" t="str">
            <v>RAPT4</v>
          </cell>
          <cell r="B183">
            <v>0</v>
          </cell>
        </row>
        <row r="184">
          <cell r="A184" t="str">
            <v>PRIO3</v>
          </cell>
          <cell r="B184">
            <v>0</v>
          </cell>
        </row>
        <row r="185">
          <cell r="A185" t="str">
            <v>ROXO34</v>
          </cell>
          <cell r="B185">
            <v>0</v>
          </cell>
        </row>
        <row r="186">
          <cell r="A186" t="str">
            <v>DESK3</v>
          </cell>
          <cell r="B186">
            <v>0</v>
          </cell>
        </row>
        <row r="187">
          <cell r="A187" t="str">
            <v>DXCO3</v>
          </cell>
          <cell r="B187">
            <v>0</v>
          </cell>
        </row>
        <row r="188">
          <cell r="A188" t="str">
            <v>SIMH3</v>
          </cell>
          <cell r="B188">
            <v>0</v>
          </cell>
        </row>
        <row r="189">
          <cell r="A189" t="str">
            <v>TTEN3</v>
          </cell>
          <cell r="B189">
            <v>0</v>
          </cell>
        </row>
        <row r="190">
          <cell r="A190" t="str">
            <v>MRVE3</v>
          </cell>
          <cell r="B190">
            <v>0</v>
          </cell>
        </row>
        <row r="191">
          <cell r="A191" t="str">
            <v>EMBJ3</v>
          </cell>
          <cell r="B191">
            <v>0</v>
          </cell>
        </row>
        <row r="192">
          <cell r="A192" t="str">
            <v>PRNR3</v>
          </cell>
          <cell r="B192">
            <v>0</v>
          </cell>
        </row>
        <row r="193">
          <cell r="A193" t="str">
            <v>QUAL3</v>
          </cell>
          <cell r="B193">
            <v>0</v>
          </cell>
        </row>
        <row r="194">
          <cell r="A194" t="str">
            <v>NATU3</v>
          </cell>
          <cell r="B194">
            <v>0</v>
          </cell>
        </row>
        <row r="195">
          <cell r="A195" t="str">
            <v>SOJA3</v>
          </cell>
          <cell r="B195">
            <v>0</v>
          </cell>
        </row>
        <row r="196">
          <cell r="A196" t="str">
            <v>ASAI3</v>
          </cell>
          <cell r="B196">
            <v>0</v>
          </cell>
        </row>
        <row r="197">
          <cell r="A197" t="str">
            <v>VITT3</v>
          </cell>
          <cell r="B197">
            <v>0</v>
          </cell>
        </row>
        <row r="198">
          <cell r="A198" t="str">
            <v>STOC34</v>
          </cell>
          <cell r="B198">
            <v>0</v>
          </cell>
        </row>
        <row r="199">
          <cell r="A199" t="str">
            <v>VAMO3</v>
          </cell>
          <cell r="B199">
            <v>0</v>
          </cell>
        </row>
        <row r="200">
          <cell r="A200" t="str">
            <v>CSAN3</v>
          </cell>
          <cell r="B200">
            <v>0</v>
          </cell>
        </row>
        <row r="201">
          <cell r="A201" t="str">
            <v>TUPY3</v>
          </cell>
          <cell r="B201">
            <v>0</v>
          </cell>
        </row>
        <row r="202">
          <cell r="A202" t="str">
            <v>BHIA3</v>
          </cell>
          <cell r="B202">
            <v>0</v>
          </cell>
        </row>
        <row r="203">
          <cell r="A203" t="str">
            <v>DASA3</v>
          </cell>
          <cell r="B203">
            <v>0</v>
          </cell>
        </row>
        <row r="204">
          <cell r="A204" t="str">
            <v>PCAR3</v>
          </cell>
          <cell r="B204">
            <v>0</v>
          </cell>
        </row>
        <row r="205">
          <cell r="A205" t="str">
            <v>CASH3</v>
          </cell>
          <cell r="B205">
            <v>0</v>
          </cell>
        </row>
        <row r="206">
          <cell r="A206" t="str">
            <v>CSNA3</v>
          </cell>
          <cell r="B206">
            <v>0</v>
          </cell>
        </row>
        <row r="207">
          <cell r="A207" t="str">
            <v>S2GM34</v>
          </cell>
          <cell r="B207">
            <v>0</v>
          </cell>
        </row>
        <row r="208">
          <cell r="A208" t="str">
            <v>AMBP3</v>
          </cell>
          <cell r="B208">
            <v>0</v>
          </cell>
        </row>
        <row r="209">
          <cell r="A209" t="str">
            <v>HAPV3</v>
          </cell>
          <cell r="B209">
            <v>0</v>
          </cell>
        </row>
        <row r="210">
          <cell r="A210" t="str">
            <v>PTBL3</v>
          </cell>
          <cell r="B210">
            <v>0</v>
          </cell>
        </row>
        <row r="211">
          <cell r="A211" t="str">
            <v>LJQQ3</v>
          </cell>
          <cell r="B211">
            <v>0</v>
          </cell>
        </row>
        <row r="212">
          <cell r="A212" t="str">
            <v>RCSL3</v>
          </cell>
          <cell r="B212">
            <v>0</v>
          </cell>
        </row>
        <row r="213">
          <cell r="A213" t="str">
            <v>BRKM5</v>
          </cell>
          <cell r="B213">
            <v>0</v>
          </cell>
        </row>
        <row r="214">
          <cell r="A214" t="str">
            <v>OBTC3</v>
          </cell>
          <cell r="B214">
            <v>0</v>
          </cell>
        </row>
        <row r="215">
          <cell r="A215" t="str">
            <v>AZEV4</v>
          </cell>
          <cell r="B215">
            <v>0</v>
          </cell>
        </row>
        <row r="216">
          <cell r="A216" t="str">
            <v>GFSA3</v>
          </cell>
          <cell r="B216">
            <v>0</v>
          </cell>
        </row>
        <row r="217">
          <cell r="A217" t="str">
            <v>RCSL4</v>
          </cell>
          <cell r="B217">
            <v>0</v>
          </cell>
        </row>
        <row r="218">
          <cell r="A218" t="str">
            <v>AZUL53</v>
          </cell>
          <cell r="B218">
            <v>0</v>
          </cell>
        </row>
        <row r="219">
          <cell r="A219" t="str">
            <v>AERI3</v>
          </cell>
          <cell r="B219">
            <v>0</v>
          </cell>
        </row>
        <row r="220">
          <cell r="A220" t="str">
            <v>RAIZ4</v>
          </cell>
          <cell r="B220">
            <v>0</v>
          </cell>
        </row>
        <row r="221">
          <cell r="A221" t="str">
            <v>ONCO3</v>
          </cell>
          <cell r="B221">
            <v>0</v>
          </cell>
        </row>
        <row r="222">
          <cell r="A222" t="str">
            <v>PMAM3</v>
          </cell>
          <cell r="B22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3206-C71E-439E-A190-691E2827CDD1}">
  <sheetPr>
    <tabColor theme="3" tint="0.749992370372631"/>
  </sheetPr>
  <dimension ref="A1:W245"/>
  <sheetViews>
    <sheetView tabSelected="1" zoomScale="130" zoomScaleNormal="130" workbookViewId="0">
      <selection activeCell="C2" sqref="C2"/>
    </sheetView>
  </sheetViews>
  <sheetFormatPr defaultRowHeight="14.4" x14ac:dyDescent="0.3"/>
  <cols>
    <col min="1" max="1" width="19.88671875" customWidth="1"/>
    <col min="2" max="2" width="19.6640625" style="4" bestFit="1" customWidth="1"/>
    <col min="4" max="4" width="9.109375" style="8"/>
    <col min="5" max="5" width="15.6640625" customWidth="1"/>
    <col min="10" max="10" width="13" customWidth="1"/>
    <col min="14" max="15" width="20.44140625" bestFit="1" customWidth="1"/>
    <col min="17" max="17" width="9.109375" style="3"/>
    <col min="18" max="18" width="12.6640625" customWidth="1"/>
    <col min="20" max="20" width="12.109375" bestFit="1" customWidth="1"/>
    <col min="21" max="21" width="20.44140625" bestFit="1" customWidth="1"/>
    <col min="22" max="22" width="9.109375" style="7"/>
    <col min="23" max="23" width="22.5546875" bestFit="1" customWidth="1"/>
  </cols>
  <sheetData>
    <row r="1" spans="1:23" ht="15" thickBot="1" x14ac:dyDescent="0.35">
      <c r="A1" s="1" t="s">
        <v>0</v>
      </c>
      <c r="B1" s="2" t="s">
        <v>79</v>
      </c>
      <c r="C1" s="4">
        <f>SUM(B2:B71)</f>
        <v>1.0000000000000004</v>
      </c>
      <c r="E1" s="8" t="s">
        <v>0</v>
      </c>
      <c r="F1" s="8" t="s">
        <v>86</v>
      </c>
      <c r="G1" s="16">
        <f>SUM(F2:F74)</f>
        <v>0.99999999999999978</v>
      </c>
      <c r="Q1" s="6"/>
      <c r="R1" s="6"/>
    </row>
    <row r="2" spans="1:23" x14ac:dyDescent="0.3">
      <c r="A2" s="10" t="s">
        <v>46</v>
      </c>
      <c r="B2" s="11">
        <v>1.4E-2</v>
      </c>
      <c r="E2" s="5" t="str">
        <f t="shared" ref="E2:E65" si="0">A2</f>
        <v>WIZC3</v>
      </c>
      <c r="F2" s="5">
        <f t="shared" ref="F2:F33" si="1">(1-$F$72-$F$73-$F$74)*B2</f>
        <v>7.6958000000000009E-3</v>
      </c>
      <c r="G2" s="5"/>
      <c r="N2" s="15">
        <f>VLOOKUP(A2,'[2]MF (2)'!$A$12:$F$208,6,0)</f>
        <v>7.9153142672881392E-3</v>
      </c>
      <c r="O2" s="15" t="b">
        <f>N2=B2</f>
        <v>0</v>
      </c>
      <c r="R2" s="7"/>
      <c r="S2" s="7"/>
      <c r="U2" s="15"/>
      <c r="W2" s="3"/>
    </row>
    <row r="3" spans="1:23" x14ac:dyDescent="0.3">
      <c r="A3" s="10" t="s">
        <v>48</v>
      </c>
      <c r="B3" s="11">
        <v>1.0999999999999999E-2</v>
      </c>
      <c r="E3" s="5" t="str">
        <f t="shared" si="0"/>
        <v>JHSF3</v>
      </c>
      <c r="F3" s="5">
        <f t="shared" si="1"/>
        <v>6.0467000000000003E-3</v>
      </c>
      <c r="G3" s="5"/>
      <c r="N3" s="15">
        <f>VLOOKUP(A3,'[2]MF (2)'!$A$12:$F$208,6,0)</f>
        <v>1.1589752367272712E-2</v>
      </c>
      <c r="O3" s="15" t="b">
        <f t="shared" ref="O3:O66" si="2">N3=B3</f>
        <v>0</v>
      </c>
      <c r="R3" s="7"/>
      <c r="S3" s="7"/>
      <c r="U3" s="15"/>
      <c r="W3" s="3"/>
    </row>
    <row r="4" spans="1:23" x14ac:dyDescent="0.3">
      <c r="A4" s="10" t="s">
        <v>64</v>
      </c>
      <c r="B4" s="11">
        <v>0.01</v>
      </c>
      <c r="E4" s="5" t="str">
        <f t="shared" si="0"/>
        <v>BMGB4</v>
      </c>
      <c r="F4" s="5">
        <f t="shared" si="1"/>
        <v>5.497000000000001E-3</v>
      </c>
      <c r="G4" s="5"/>
      <c r="N4" s="15">
        <f>VLOOKUP(A4,'[2]MF (2)'!$A$12:$F$208,6,0)</f>
        <v>7.8798325242442381E-3</v>
      </c>
      <c r="O4" s="15" t="b">
        <f t="shared" si="2"/>
        <v>0</v>
      </c>
      <c r="R4" s="7"/>
      <c r="S4" s="7"/>
      <c r="U4" s="15"/>
      <c r="W4" s="3"/>
    </row>
    <row r="5" spans="1:23" x14ac:dyDescent="0.3">
      <c r="A5" s="10" t="s">
        <v>105</v>
      </c>
      <c r="B5" s="11">
        <v>8.9999999999999993E-3</v>
      </c>
      <c r="E5" s="5" t="str">
        <f t="shared" si="0"/>
        <v>RIAA3</v>
      </c>
      <c r="F5" s="5">
        <f t="shared" si="1"/>
        <v>4.9473E-3</v>
      </c>
      <c r="G5" s="5"/>
      <c r="N5" s="15">
        <f>VLOOKUP(A5,'[2]MF (2)'!$A$12:$F$208,6,0)</f>
        <v>1.0777839182141372E-2</v>
      </c>
      <c r="O5" s="15" t="b">
        <f t="shared" si="2"/>
        <v>0</v>
      </c>
      <c r="R5" s="7"/>
      <c r="S5" s="7"/>
      <c r="U5" s="15"/>
      <c r="W5" s="3"/>
    </row>
    <row r="6" spans="1:23" x14ac:dyDescent="0.3">
      <c r="A6" s="10" t="s">
        <v>87</v>
      </c>
      <c r="B6" s="11">
        <v>8.9999999999999993E-3</v>
      </c>
      <c r="E6" s="5" t="str">
        <f t="shared" si="0"/>
        <v>CSED3</v>
      </c>
      <c r="F6" s="5">
        <f t="shared" si="1"/>
        <v>4.9473E-3</v>
      </c>
      <c r="G6" s="5"/>
      <c r="N6" s="15">
        <f>VLOOKUP(A6,'[2]MF (2)'!$A$12:$F$208,6,0)</f>
        <v>9.7004972414677197E-3</v>
      </c>
      <c r="O6" s="15" t="b">
        <f t="shared" si="2"/>
        <v>0</v>
      </c>
      <c r="R6" s="7"/>
      <c r="S6" s="7"/>
      <c r="U6" s="15"/>
      <c r="W6" s="3"/>
    </row>
    <row r="7" spans="1:23" x14ac:dyDescent="0.3">
      <c r="A7" s="10" t="s">
        <v>98</v>
      </c>
      <c r="B7" s="11">
        <v>8.9999999999999993E-3</v>
      </c>
      <c r="E7" s="5" t="str">
        <f t="shared" si="0"/>
        <v>ALLD3</v>
      </c>
      <c r="F7" s="5">
        <f t="shared" si="1"/>
        <v>4.9473E-3</v>
      </c>
      <c r="G7" s="5"/>
      <c r="N7" s="15">
        <f>VLOOKUP(A7,'[2]MF (2)'!$A$12:$F$208,6,0)</f>
        <v>1.3277601188013695E-2</v>
      </c>
      <c r="O7" s="15" t="b">
        <f t="shared" si="2"/>
        <v>0</v>
      </c>
      <c r="R7" s="7"/>
      <c r="S7" s="7"/>
      <c r="U7" s="15"/>
      <c r="W7" s="3"/>
    </row>
    <row r="8" spans="1:23" x14ac:dyDescent="0.3">
      <c r="A8" s="10" t="s">
        <v>29</v>
      </c>
      <c r="B8" s="11">
        <v>8.0000000000000002E-3</v>
      </c>
      <c r="E8" s="5" t="str">
        <f t="shared" si="0"/>
        <v>SYNE3</v>
      </c>
      <c r="F8" s="5">
        <f t="shared" si="1"/>
        <v>4.3976000000000006E-3</v>
      </c>
      <c r="G8" s="5"/>
      <c r="N8" s="15">
        <f>VLOOKUP(A8,'[2]MF (2)'!$A$12:$F$208,6,0)</f>
        <v>8.5632272578309472E-3</v>
      </c>
      <c r="O8" s="15" t="b">
        <f t="shared" si="2"/>
        <v>0</v>
      </c>
      <c r="R8" s="7"/>
      <c r="S8" s="7"/>
      <c r="U8" s="15"/>
      <c r="W8" s="3"/>
    </row>
    <row r="9" spans="1:23" x14ac:dyDescent="0.3">
      <c r="A9" s="10" t="s">
        <v>89</v>
      </c>
      <c r="B9" s="11">
        <v>8.9999999999999993E-3</v>
      </c>
      <c r="E9" s="5" t="str">
        <f t="shared" si="0"/>
        <v>POMO3</v>
      </c>
      <c r="F9" s="5">
        <f t="shared" si="1"/>
        <v>4.9473E-3</v>
      </c>
      <c r="G9" s="5"/>
      <c r="N9" s="15">
        <f>VLOOKUP(A9,'[2]MF (2)'!$A$12:$F$208,6,0)</f>
        <v>8.4678137602406528E-3</v>
      </c>
      <c r="O9" s="15" t="b">
        <f t="shared" si="2"/>
        <v>0</v>
      </c>
      <c r="R9" s="7"/>
      <c r="S9" s="7"/>
      <c r="U9" s="15"/>
      <c r="W9" s="3"/>
    </row>
    <row r="10" spans="1:23" x14ac:dyDescent="0.3">
      <c r="A10" s="10" t="s">
        <v>112</v>
      </c>
      <c r="B10" s="11">
        <v>1.2E-2</v>
      </c>
      <c r="E10" s="5" t="str">
        <f t="shared" si="0"/>
        <v>SHUL4</v>
      </c>
      <c r="F10" s="5">
        <f t="shared" si="1"/>
        <v>6.5964000000000014E-3</v>
      </c>
      <c r="G10" s="5"/>
      <c r="N10" s="15">
        <f>VLOOKUP(A10,'[2]MF (2)'!$A$12:$F$208,6,0)</f>
        <v>0</v>
      </c>
      <c r="O10" s="15" t="b">
        <f t="shared" si="2"/>
        <v>0</v>
      </c>
      <c r="R10" s="7"/>
      <c r="S10" s="7"/>
      <c r="U10" s="15"/>
      <c r="W10" s="3"/>
    </row>
    <row r="11" spans="1:23" x14ac:dyDescent="0.3">
      <c r="A11" s="10" t="s">
        <v>97</v>
      </c>
      <c r="B11" s="11">
        <v>1.2E-2</v>
      </c>
      <c r="E11" s="5" t="str">
        <f t="shared" si="0"/>
        <v>FIQE3</v>
      </c>
      <c r="F11" s="5">
        <f t="shared" si="1"/>
        <v>6.5964000000000014E-3</v>
      </c>
      <c r="G11" s="5"/>
      <c r="N11" s="15">
        <f>VLOOKUP(A11,'[2]MF (2)'!$A$12:$F$208,6,0)</f>
        <v>5.0000000000000001E-3</v>
      </c>
      <c r="O11" s="15" t="b">
        <f t="shared" si="2"/>
        <v>0</v>
      </c>
      <c r="R11" s="7"/>
      <c r="S11" s="7"/>
      <c r="U11" s="15"/>
      <c r="W11" s="3"/>
    </row>
    <row r="12" spans="1:23" x14ac:dyDescent="0.3">
      <c r="A12" s="10" t="s">
        <v>50</v>
      </c>
      <c r="B12" s="11">
        <v>1.4E-2</v>
      </c>
      <c r="E12" s="5" t="str">
        <f t="shared" si="0"/>
        <v>MTRE3</v>
      </c>
      <c r="F12" s="5">
        <f t="shared" si="1"/>
        <v>7.6958000000000009E-3</v>
      </c>
      <c r="G12" s="5"/>
      <c r="N12" s="15">
        <f>VLOOKUP(A12,'[2]MF (2)'!$A$12:$F$208,6,0)</f>
        <v>0</v>
      </c>
      <c r="O12" s="15" t="b">
        <f t="shared" si="2"/>
        <v>0</v>
      </c>
      <c r="R12" s="7"/>
      <c r="S12" s="7"/>
      <c r="U12" s="15"/>
      <c r="W12" s="3"/>
    </row>
    <row r="13" spans="1:23" x14ac:dyDescent="0.3">
      <c r="A13" s="10" t="s">
        <v>26</v>
      </c>
      <c r="B13" s="11">
        <v>1.2E-2</v>
      </c>
      <c r="E13" s="5" t="str">
        <f t="shared" si="0"/>
        <v>BRSR6</v>
      </c>
      <c r="F13" s="5">
        <f t="shared" si="1"/>
        <v>6.5964000000000014E-3</v>
      </c>
      <c r="G13" s="5"/>
      <c r="N13" s="15">
        <f>VLOOKUP(A13,'[2]MF (2)'!$A$12:$F$208,6,0)</f>
        <v>1.5783212850965622E-2</v>
      </c>
      <c r="O13" s="15" t="b">
        <f t="shared" si="2"/>
        <v>0</v>
      </c>
      <c r="R13" s="7"/>
      <c r="S13" s="7"/>
      <c r="U13" s="15"/>
      <c r="W13" s="3"/>
    </row>
    <row r="14" spans="1:23" x14ac:dyDescent="0.3">
      <c r="A14" s="10" t="s">
        <v>62</v>
      </c>
      <c r="B14" s="11">
        <v>8.9999999999999993E-3</v>
      </c>
      <c r="E14" s="5" t="str">
        <f t="shared" si="0"/>
        <v>GRND3</v>
      </c>
      <c r="F14" s="5">
        <f t="shared" si="1"/>
        <v>4.9473E-3</v>
      </c>
      <c r="G14" s="5"/>
      <c r="N14" s="15">
        <f>VLOOKUP(A14,'[2]MF (2)'!$A$12:$F$208,6,0)</f>
        <v>5.0000000000000001E-3</v>
      </c>
      <c r="O14" s="15" t="b">
        <f t="shared" si="2"/>
        <v>0</v>
      </c>
      <c r="R14" s="7"/>
      <c r="S14" s="7"/>
      <c r="U14" s="15"/>
      <c r="W14" s="3"/>
    </row>
    <row r="15" spans="1:23" x14ac:dyDescent="0.3">
      <c r="A15" s="10" t="s">
        <v>23</v>
      </c>
      <c r="B15" s="11">
        <v>1.9E-2</v>
      </c>
      <c r="E15" s="5" t="str">
        <f t="shared" si="0"/>
        <v>TIMS3</v>
      </c>
      <c r="F15" s="5">
        <f t="shared" si="1"/>
        <v>1.0444300000000002E-2</v>
      </c>
      <c r="G15" s="5"/>
      <c r="N15" s="15">
        <f>VLOOKUP(A15,'[2]MF (2)'!$A$12:$F$208,6,0)</f>
        <v>1.7629120447541499E-2</v>
      </c>
      <c r="O15" s="15" t="b">
        <f t="shared" si="2"/>
        <v>0</v>
      </c>
      <c r="R15" s="7"/>
      <c r="S15" s="7"/>
      <c r="U15" s="15"/>
      <c r="W15" s="3"/>
    </row>
    <row r="16" spans="1:23" x14ac:dyDescent="0.3">
      <c r="A16" s="10" t="s">
        <v>47</v>
      </c>
      <c r="B16" s="11">
        <v>1.0999999999999999E-2</v>
      </c>
      <c r="E16" s="5" t="str">
        <f t="shared" si="0"/>
        <v>SAPR4</v>
      </c>
      <c r="F16" s="5">
        <f t="shared" si="1"/>
        <v>6.0467000000000003E-3</v>
      </c>
      <c r="G16" s="5"/>
      <c r="N16" s="15">
        <f>VLOOKUP(A16,'[2]MF (2)'!$A$12:$F$208,6,0)</f>
        <v>1.2500000000000001E-2</v>
      </c>
      <c r="O16" s="15" t="b">
        <f t="shared" si="2"/>
        <v>0</v>
      </c>
      <c r="R16" s="7"/>
      <c r="S16" s="7"/>
      <c r="U16" s="15"/>
      <c r="W16" s="3"/>
    </row>
    <row r="17" spans="1:23" x14ac:dyDescent="0.3">
      <c r="A17" s="10" t="s">
        <v>113</v>
      </c>
      <c r="B17" s="11">
        <v>8.0000000000000002E-3</v>
      </c>
      <c r="E17" s="5" t="str">
        <f t="shared" si="0"/>
        <v>PFRM3</v>
      </c>
      <c r="F17" s="5">
        <f t="shared" si="1"/>
        <v>4.3976000000000006E-3</v>
      </c>
      <c r="G17" s="5"/>
      <c r="N17" s="15">
        <f>VLOOKUP(A17,'[2]MF (2)'!$A$12:$F$208,6,0)</f>
        <v>0</v>
      </c>
      <c r="O17" s="15" t="b">
        <f t="shared" si="2"/>
        <v>0</v>
      </c>
      <c r="R17" s="7"/>
      <c r="S17" s="7"/>
      <c r="U17" s="15"/>
      <c r="W17" s="3"/>
    </row>
    <row r="18" spans="1:23" x14ac:dyDescent="0.3">
      <c r="A18" s="10" t="s">
        <v>114</v>
      </c>
      <c r="B18" s="11">
        <v>1.0999999999999999E-2</v>
      </c>
      <c r="E18" s="5" t="str">
        <f t="shared" si="0"/>
        <v>DEXP3</v>
      </c>
      <c r="F18" s="5">
        <f t="shared" si="1"/>
        <v>6.0467000000000003E-3</v>
      </c>
      <c r="G18" s="5"/>
      <c r="N18" s="15">
        <f>VLOOKUP(A18,'[2]MF (2)'!$A$12:$F$208,6,0)</f>
        <v>0</v>
      </c>
      <c r="O18" s="15" t="b">
        <f t="shared" si="2"/>
        <v>0</v>
      </c>
      <c r="R18" s="7"/>
      <c r="S18" s="7"/>
      <c r="U18" s="15"/>
      <c r="W18" s="3"/>
    </row>
    <row r="19" spans="1:23" x14ac:dyDescent="0.3">
      <c r="A19" s="10" t="s">
        <v>3</v>
      </c>
      <c r="B19" s="11">
        <v>5.5E-2</v>
      </c>
      <c r="E19" s="5" t="str">
        <f t="shared" si="0"/>
        <v>PETR4</v>
      </c>
      <c r="F19" s="5">
        <f t="shared" si="1"/>
        <v>3.0233500000000003E-2</v>
      </c>
      <c r="G19" s="5"/>
      <c r="N19" s="15">
        <f>VLOOKUP(A19,'[2]MF (2)'!$A$12:$F$208,6,0)</f>
        <v>5.7622261803805856E-2</v>
      </c>
      <c r="O19" s="15" t="b">
        <f t="shared" si="2"/>
        <v>0</v>
      </c>
      <c r="R19" s="7"/>
      <c r="S19" s="7"/>
      <c r="U19" s="15"/>
      <c r="W19" s="3"/>
    </row>
    <row r="20" spans="1:23" x14ac:dyDescent="0.3">
      <c r="A20" s="10" t="s">
        <v>28</v>
      </c>
      <c r="B20" s="11">
        <v>1.0999999999999999E-2</v>
      </c>
      <c r="E20" s="5" t="str">
        <f t="shared" si="0"/>
        <v>LEVE3</v>
      </c>
      <c r="F20" s="5">
        <f t="shared" si="1"/>
        <v>6.0467000000000003E-3</v>
      </c>
      <c r="G20" s="5"/>
      <c r="N20" s="15">
        <f>VLOOKUP(A20,'[2]MF (2)'!$A$12:$F$208,6,0)</f>
        <v>1.0418555632854289E-2</v>
      </c>
      <c r="O20" s="15" t="b">
        <f t="shared" si="2"/>
        <v>0</v>
      </c>
      <c r="R20" s="7"/>
      <c r="S20" s="7"/>
      <c r="U20" s="15"/>
      <c r="W20" s="3"/>
    </row>
    <row r="21" spans="1:23" x14ac:dyDescent="0.3">
      <c r="A21" s="10" t="s">
        <v>5</v>
      </c>
      <c r="B21" s="11">
        <v>0.05</v>
      </c>
      <c r="E21" s="5" t="str">
        <f t="shared" si="0"/>
        <v>PETR3</v>
      </c>
      <c r="F21" s="5">
        <f t="shared" si="1"/>
        <v>2.7485000000000006E-2</v>
      </c>
      <c r="G21" s="5"/>
      <c r="N21" s="15">
        <f>VLOOKUP(A21,'[2]MF (2)'!$A$12:$F$208,6,0)</f>
        <v>5.5031491343970097E-2</v>
      </c>
      <c r="O21" s="15" t="b">
        <f t="shared" si="2"/>
        <v>0</v>
      </c>
      <c r="R21" s="7"/>
      <c r="S21" s="7"/>
      <c r="U21" s="15"/>
      <c r="W21" s="3"/>
    </row>
    <row r="22" spans="1:23" x14ac:dyDescent="0.3">
      <c r="A22" s="10" t="s">
        <v>90</v>
      </c>
      <c r="B22" s="11">
        <v>1.4999999999999999E-2</v>
      </c>
      <c r="E22" s="5" t="str">
        <f t="shared" si="0"/>
        <v>ABCB4</v>
      </c>
      <c r="F22" s="5">
        <f t="shared" si="1"/>
        <v>8.2455000000000011E-3</v>
      </c>
      <c r="G22" s="5"/>
      <c r="N22" s="15">
        <f>VLOOKUP(A22,'[2]MF (2)'!$A$12:$F$208,6,0)</f>
        <v>8.4360687140354537E-3</v>
      </c>
      <c r="O22" s="15" t="b">
        <f t="shared" si="2"/>
        <v>0</v>
      </c>
      <c r="R22" s="7"/>
      <c r="S22" s="7"/>
      <c r="U22" s="15"/>
      <c r="W22" s="3"/>
    </row>
    <row r="23" spans="1:23" x14ac:dyDescent="0.3">
      <c r="A23" s="10" t="s">
        <v>107</v>
      </c>
      <c r="B23" s="11">
        <v>8.9999999999999993E-3</v>
      </c>
      <c r="E23" s="5" t="str">
        <f t="shared" si="0"/>
        <v>ALPA4</v>
      </c>
      <c r="F23" s="5">
        <f t="shared" si="1"/>
        <v>4.9473E-3</v>
      </c>
      <c r="G23" s="5"/>
      <c r="N23" s="15">
        <f>VLOOKUP(A23,'[2]MF (2)'!$A$12:$F$208,6,0)</f>
        <v>2.4552379296976347E-3</v>
      </c>
      <c r="O23" s="15" t="b">
        <f t="shared" si="2"/>
        <v>0</v>
      </c>
      <c r="R23" s="7"/>
      <c r="S23" s="7"/>
      <c r="U23" s="15"/>
      <c r="W23" s="3"/>
    </row>
    <row r="24" spans="1:23" x14ac:dyDescent="0.3">
      <c r="A24" s="10" t="s">
        <v>78</v>
      </c>
      <c r="B24" s="11">
        <v>1.0999999999999999E-2</v>
      </c>
      <c r="E24" s="5" t="str">
        <f t="shared" si="0"/>
        <v>SAPR11</v>
      </c>
      <c r="F24" s="5">
        <f t="shared" si="1"/>
        <v>6.0467000000000003E-3</v>
      </c>
      <c r="G24" s="5"/>
      <c r="N24" s="15">
        <f>VLOOKUP(A24,'[2]MF (2)'!$A$12:$F$208,6,0)</f>
        <v>0.01</v>
      </c>
      <c r="O24" s="15" t="b">
        <f t="shared" si="2"/>
        <v>0</v>
      </c>
      <c r="R24" s="7"/>
      <c r="S24" s="7"/>
      <c r="U24" s="15"/>
      <c r="W24" s="3"/>
    </row>
    <row r="25" spans="1:23" x14ac:dyDescent="0.3">
      <c r="A25" s="10" t="s">
        <v>16</v>
      </c>
      <c r="B25" s="11">
        <v>0.01</v>
      </c>
      <c r="E25" s="5" t="str">
        <f t="shared" si="0"/>
        <v>POMO4</v>
      </c>
      <c r="F25" s="5">
        <f t="shared" si="1"/>
        <v>5.497000000000001E-3</v>
      </c>
      <c r="G25" s="5"/>
      <c r="N25" s="15">
        <f>VLOOKUP(A25,'[2]MF (2)'!$A$12:$F$208,6,0)</f>
        <v>0</v>
      </c>
      <c r="O25" s="15" t="b">
        <f t="shared" si="2"/>
        <v>0</v>
      </c>
      <c r="R25" s="7"/>
      <c r="S25" s="7"/>
      <c r="U25" s="15"/>
      <c r="W25" s="3"/>
    </row>
    <row r="26" spans="1:23" x14ac:dyDescent="0.3">
      <c r="A26" s="10" t="s">
        <v>115</v>
      </c>
      <c r="B26" s="11">
        <v>0.01</v>
      </c>
      <c r="E26" s="5" t="str">
        <f t="shared" si="0"/>
        <v>LOGG3</v>
      </c>
      <c r="F26" s="5">
        <f t="shared" si="1"/>
        <v>5.497000000000001E-3</v>
      </c>
      <c r="G26" s="5"/>
      <c r="N26" s="15">
        <f>VLOOKUP(A26,'[2]MF (2)'!$A$12:$F$208,6,0)</f>
        <v>0</v>
      </c>
      <c r="O26" s="15" t="b">
        <f t="shared" si="2"/>
        <v>0</v>
      </c>
      <c r="R26" s="7"/>
      <c r="S26" s="7"/>
      <c r="U26" s="15"/>
      <c r="W26" s="3"/>
    </row>
    <row r="27" spans="1:23" x14ac:dyDescent="0.3">
      <c r="A27" s="10" t="s">
        <v>116</v>
      </c>
      <c r="B27" s="11">
        <v>0.01</v>
      </c>
      <c r="E27" s="5" t="str">
        <f t="shared" si="0"/>
        <v>ODPV3</v>
      </c>
      <c r="F27" s="5">
        <f t="shared" si="1"/>
        <v>5.497000000000001E-3</v>
      </c>
      <c r="G27" s="5"/>
      <c r="N27" s="15">
        <f>VLOOKUP(A27,'[2]MF (2)'!$A$12:$F$208,6,0)</f>
        <v>0</v>
      </c>
      <c r="O27" s="15" t="b">
        <f t="shared" si="2"/>
        <v>0</v>
      </c>
      <c r="R27" s="7"/>
      <c r="S27" s="7"/>
      <c r="U27" s="15"/>
      <c r="W27" s="3"/>
    </row>
    <row r="28" spans="1:23" x14ac:dyDescent="0.3">
      <c r="A28" s="10" t="s">
        <v>117</v>
      </c>
      <c r="B28" s="11">
        <v>1.0999999999999999E-2</v>
      </c>
      <c r="E28" s="5" t="str">
        <f t="shared" si="0"/>
        <v>EVEN3</v>
      </c>
      <c r="F28" s="5">
        <f t="shared" si="1"/>
        <v>6.0467000000000003E-3</v>
      </c>
      <c r="G28" s="5"/>
      <c r="N28" s="15">
        <f>VLOOKUP(A28,'[2]MF (2)'!$A$12:$F$208,6,0)</f>
        <v>0</v>
      </c>
      <c r="O28" s="15" t="b">
        <f t="shared" si="2"/>
        <v>0</v>
      </c>
      <c r="R28" s="7"/>
      <c r="S28" s="7"/>
      <c r="U28" s="15"/>
      <c r="W28" s="3"/>
    </row>
    <row r="29" spans="1:23" x14ac:dyDescent="0.3">
      <c r="A29" s="10" t="s">
        <v>30</v>
      </c>
      <c r="B29" s="11">
        <v>1.0999999999999999E-2</v>
      </c>
      <c r="E29" s="5" t="str">
        <f t="shared" si="0"/>
        <v>CURY3</v>
      </c>
      <c r="F29" s="5">
        <f t="shared" si="1"/>
        <v>6.0467000000000003E-3</v>
      </c>
      <c r="G29" s="5"/>
      <c r="N29" s="15">
        <f>VLOOKUP(A29,'[2]MF (2)'!$A$12:$F$208,6,0)</f>
        <v>9.4999999999999998E-3</v>
      </c>
      <c r="O29" s="15" t="b">
        <f t="shared" si="2"/>
        <v>0</v>
      </c>
      <c r="R29" s="7"/>
      <c r="S29" s="7"/>
      <c r="U29" s="15"/>
      <c r="W29" s="3"/>
    </row>
    <row r="30" spans="1:23" x14ac:dyDescent="0.3">
      <c r="A30" s="10" t="s">
        <v>45</v>
      </c>
      <c r="B30" s="11">
        <v>1.6E-2</v>
      </c>
      <c r="E30" s="5" t="str">
        <f t="shared" si="0"/>
        <v>ALOS3</v>
      </c>
      <c r="F30" s="5">
        <f t="shared" si="1"/>
        <v>8.7952000000000013E-3</v>
      </c>
      <c r="G30" s="5"/>
      <c r="N30" s="15">
        <f>VLOOKUP(A30,'[2]MF (2)'!$A$12:$F$208,6,0)</f>
        <v>8.8306674993968333E-3</v>
      </c>
      <c r="O30" s="15" t="b">
        <f t="shared" si="2"/>
        <v>0</v>
      </c>
      <c r="R30" s="7"/>
      <c r="S30" s="7"/>
      <c r="U30" s="15"/>
      <c r="W30" s="3"/>
    </row>
    <row r="31" spans="1:23" x14ac:dyDescent="0.3">
      <c r="A31" s="10" t="s">
        <v>118</v>
      </c>
      <c r="B31" s="11">
        <v>2.1000000000000001E-2</v>
      </c>
      <c r="E31" s="5" t="str">
        <f t="shared" si="0"/>
        <v>ITSA3</v>
      </c>
      <c r="F31" s="5">
        <f t="shared" si="1"/>
        <v>1.1543700000000002E-2</v>
      </c>
      <c r="G31" s="5"/>
      <c r="N31" s="15">
        <f>VLOOKUP(A31,'[2]MF (2)'!$A$12:$F$208,6,0)</f>
        <v>0</v>
      </c>
      <c r="O31" s="15" t="b">
        <f t="shared" si="2"/>
        <v>0</v>
      </c>
      <c r="R31" s="7"/>
      <c r="S31" s="7"/>
      <c r="U31" s="15"/>
      <c r="W31" s="3"/>
    </row>
    <row r="32" spans="1:23" x14ac:dyDescent="0.3">
      <c r="A32" s="10" t="s">
        <v>106</v>
      </c>
      <c r="B32" s="11">
        <v>1.15E-2</v>
      </c>
      <c r="E32" s="5" t="str">
        <f t="shared" si="0"/>
        <v>MELK3</v>
      </c>
      <c r="F32" s="5">
        <f t="shared" si="1"/>
        <v>6.3215500000000004E-3</v>
      </c>
      <c r="G32" s="5"/>
      <c r="N32" s="15">
        <f>VLOOKUP(A32,'[2]MF (2)'!$A$12:$F$208,6,0)</f>
        <v>5.0000000000000001E-3</v>
      </c>
      <c r="O32" s="15" t="b">
        <f t="shared" si="2"/>
        <v>0</v>
      </c>
      <c r="R32" s="7"/>
      <c r="S32" s="7"/>
      <c r="U32" s="15"/>
      <c r="W32" s="3"/>
    </row>
    <row r="33" spans="1:23" x14ac:dyDescent="0.3">
      <c r="A33" s="10" t="s">
        <v>42</v>
      </c>
      <c r="B33" s="11">
        <v>1.2500000000000001E-2</v>
      </c>
      <c r="E33" s="5" t="str">
        <f t="shared" si="0"/>
        <v>VLID3</v>
      </c>
      <c r="F33" s="5">
        <f t="shared" si="1"/>
        <v>6.8712500000000015E-3</v>
      </c>
      <c r="G33" s="5"/>
      <c r="N33" s="15">
        <f>VLOOKUP(A33,'[2]MF (2)'!$A$12:$F$208,6,0)</f>
        <v>8.9204071448018701E-3</v>
      </c>
      <c r="O33" s="15" t="b">
        <f t="shared" si="2"/>
        <v>0</v>
      </c>
      <c r="R33" s="7"/>
      <c r="S33" s="7"/>
      <c r="U33" s="15"/>
      <c r="W33" s="3"/>
    </row>
    <row r="34" spans="1:23" x14ac:dyDescent="0.3">
      <c r="A34" s="10" t="s">
        <v>53</v>
      </c>
      <c r="B34" s="11">
        <v>5.0000000000000001E-3</v>
      </c>
      <c r="E34" s="5" t="str">
        <f t="shared" si="0"/>
        <v>TRIS3</v>
      </c>
      <c r="F34" s="5">
        <f t="shared" ref="F34:F66" si="3">(1-$F$72-$F$73-$F$74)*B34</f>
        <v>2.7485000000000005E-3</v>
      </c>
      <c r="G34" s="5"/>
      <c r="N34" s="15">
        <f>VLOOKUP(A34,'[2]MF (2)'!$A$12:$F$208,6,0)</f>
        <v>8.7049569767699599E-3</v>
      </c>
      <c r="O34" s="15" t="b">
        <f t="shared" si="2"/>
        <v>0</v>
      </c>
      <c r="R34" s="7"/>
      <c r="S34" s="7"/>
      <c r="U34" s="15"/>
      <c r="W34" s="3"/>
    </row>
    <row r="35" spans="1:23" x14ac:dyDescent="0.3">
      <c r="A35" s="10" t="s">
        <v>96</v>
      </c>
      <c r="B35" s="11">
        <v>1.2E-2</v>
      </c>
      <c r="E35" s="5" t="str">
        <f t="shared" si="0"/>
        <v>VULC3</v>
      </c>
      <c r="F35" s="5">
        <f t="shared" si="3"/>
        <v>6.5964000000000014E-3</v>
      </c>
      <c r="G35" s="5"/>
      <c r="N35" s="15">
        <f>VLOOKUP(A35,'[2]MF (2)'!$A$12:$F$208,6,0)</f>
        <v>9.5562081568289648E-3</v>
      </c>
      <c r="O35" s="15" t="b">
        <f t="shared" si="2"/>
        <v>0</v>
      </c>
      <c r="R35" s="7"/>
      <c r="S35" s="7"/>
      <c r="U35" s="15"/>
      <c r="W35" s="3"/>
    </row>
    <row r="36" spans="1:23" x14ac:dyDescent="0.3">
      <c r="A36" s="10" t="s">
        <v>119</v>
      </c>
      <c r="B36" s="11">
        <v>1.0999999999999999E-2</v>
      </c>
      <c r="E36" s="5" t="str">
        <f t="shared" si="0"/>
        <v>INTB3</v>
      </c>
      <c r="F36" s="5">
        <f t="shared" si="3"/>
        <v>6.0467000000000003E-3</v>
      </c>
      <c r="G36" s="5"/>
      <c r="N36" s="15">
        <f>VLOOKUP(A36,'[2]MF (2)'!$A$12:$F$208,6,0)</f>
        <v>0</v>
      </c>
      <c r="O36" s="15" t="b">
        <f t="shared" si="2"/>
        <v>0</v>
      </c>
      <c r="R36" s="7"/>
      <c r="S36" s="7"/>
      <c r="U36" s="15"/>
      <c r="W36" s="3"/>
    </row>
    <row r="37" spans="1:23" x14ac:dyDescent="0.3">
      <c r="A37" s="10" t="s">
        <v>104</v>
      </c>
      <c r="B37" s="11">
        <v>8.0000000000000002E-3</v>
      </c>
      <c r="E37" s="5" t="str">
        <f t="shared" si="0"/>
        <v>BMEB4</v>
      </c>
      <c r="F37" s="5">
        <f t="shared" si="3"/>
        <v>4.3976000000000006E-3</v>
      </c>
      <c r="G37" s="5"/>
      <c r="N37" s="15">
        <f>VLOOKUP(A37,'[2]MF (2)'!$A$12:$F$208,6,0)</f>
        <v>1.1747783498223738E-2</v>
      </c>
      <c r="O37" s="15" t="b">
        <f t="shared" si="2"/>
        <v>0</v>
      </c>
      <c r="R37" s="7"/>
      <c r="S37" s="7"/>
      <c r="U37" s="15"/>
      <c r="W37" s="3"/>
    </row>
    <row r="38" spans="1:23" x14ac:dyDescent="0.3">
      <c r="A38" s="10" t="s">
        <v>120</v>
      </c>
      <c r="B38" s="11">
        <v>7.0000000000000001E-3</v>
      </c>
      <c r="E38" s="5" t="str">
        <f t="shared" si="0"/>
        <v>MLAS3</v>
      </c>
      <c r="F38" s="5">
        <f t="shared" si="3"/>
        <v>3.8479000000000005E-3</v>
      </c>
      <c r="G38" s="5"/>
      <c r="N38" s="15">
        <f>VLOOKUP(A38,'[2]MF (2)'!$A$12:$F$208,6,0)</f>
        <v>0</v>
      </c>
      <c r="O38" s="15" t="b">
        <f t="shared" si="2"/>
        <v>0</v>
      </c>
      <c r="R38" s="7"/>
      <c r="S38" s="7"/>
      <c r="U38" s="15"/>
      <c r="W38" s="3"/>
    </row>
    <row r="39" spans="1:23" x14ac:dyDescent="0.3">
      <c r="A39" s="10" t="s">
        <v>91</v>
      </c>
      <c r="B39" s="11">
        <v>0.02</v>
      </c>
      <c r="E39" s="5" t="str">
        <f t="shared" si="0"/>
        <v>ALUP11</v>
      </c>
      <c r="F39" s="5">
        <f t="shared" si="3"/>
        <v>1.0994000000000002E-2</v>
      </c>
      <c r="G39" s="5"/>
      <c r="N39" s="15">
        <f>VLOOKUP(A39,'[2]MF (2)'!$A$12:$F$208,6,0)</f>
        <v>0</v>
      </c>
      <c r="O39" s="15" t="b">
        <f t="shared" si="2"/>
        <v>0</v>
      </c>
      <c r="R39" s="7"/>
      <c r="S39" s="7"/>
      <c r="U39" s="15"/>
      <c r="W39" s="3"/>
    </row>
    <row r="40" spans="1:23" x14ac:dyDescent="0.3">
      <c r="A40" s="10" t="s">
        <v>108</v>
      </c>
      <c r="B40" s="11">
        <v>1.2E-2</v>
      </c>
      <c r="E40" s="5" t="str">
        <f t="shared" si="0"/>
        <v>PNVL3</v>
      </c>
      <c r="F40" s="5">
        <f t="shared" si="3"/>
        <v>6.5964000000000014E-3</v>
      </c>
      <c r="G40" s="5"/>
      <c r="N40" s="15">
        <f>VLOOKUP(A40,'[2]MF (2)'!$A$12:$F$208,6,0)</f>
        <v>2.4511692020313296E-3</v>
      </c>
      <c r="O40" s="15" t="b">
        <f t="shared" si="2"/>
        <v>0</v>
      </c>
      <c r="R40" s="7"/>
      <c r="S40" s="7"/>
      <c r="U40" s="15"/>
      <c r="W40" s="3"/>
    </row>
    <row r="41" spans="1:23" x14ac:dyDescent="0.3">
      <c r="A41" s="10" t="s">
        <v>59</v>
      </c>
      <c r="B41" s="11">
        <v>1.4999999999999999E-2</v>
      </c>
      <c r="E41" s="5" t="str">
        <f t="shared" si="0"/>
        <v>RECV3</v>
      </c>
      <c r="F41" s="5">
        <f t="shared" si="3"/>
        <v>8.2455000000000011E-3</v>
      </c>
      <c r="G41" s="5"/>
      <c r="N41" s="15">
        <f>VLOOKUP(A41,'[2]MF (2)'!$A$12:$F$208,6,0)</f>
        <v>0</v>
      </c>
      <c r="O41" s="15" t="b">
        <f t="shared" si="2"/>
        <v>0</v>
      </c>
      <c r="R41" s="7"/>
      <c r="S41" s="7"/>
      <c r="U41" s="15"/>
      <c r="W41" s="3"/>
    </row>
    <row r="42" spans="1:23" x14ac:dyDescent="0.3">
      <c r="A42" s="10" t="s">
        <v>95</v>
      </c>
      <c r="B42" s="11">
        <v>1.4E-2</v>
      </c>
      <c r="E42" s="5" t="str">
        <f t="shared" si="0"/>
        <v>OPCT3</v>
      </c>
      <c r="F42" s="5">
        <f t="shared" si="3"/>
        <v>7.6958000000000009E-3</v>
      </c>
      <c r="G42" s="5"/>
      <c r="N42" s="15">
        <f>VLOOKUP(A42,'[2]MF (2)'!$A$12:$F$208,6,0)</f>
        <v>0</v>
      </c>
      <c r="O42" s="15" t="b">
        <f t="shared" si="2"/>
        <v>0</v>
      </c>
      <c r="R42" s="7"/>
      <c r="S42" s="7"/>
      <c r="U42" s="15"/>
      <c r="W42" s="3"/>
    </row>
    <row r="43" spans="1:23" x14ac:dyDescent="0.3">
      <c r="A43" s="10" t="s">
        <v>38</v>
      </c>
      <c r="B43" s="11">
        <v>1.0999999999999999E-2</v>
      </c>
      <c r="E43" s="5" t="str">
        <f t="shared" si="0"/>
        <v>LAVV3</v>
      </c>
      <c r="F43" s="5">
        <f t="shared" si="3"/>
        <v>6.0467000000000003E-3</v>
      </c>
      <c r="G43" s="5"/>
      <c r="N43" s="15">
        <f>VLOOKUP(A43,'[2]MF (2)'!$A$12:$F$208,6,0)</f>
        <v>1.1787633501266249E-2</v>
      </c>
      <c r="O43" s="15" t="b">
        <f t="shared" si="2"/>
        <v>0</v>
      </c>
      <c r="R43" s="7"/>
      <c r="S43" s="7"/>
      <c r="U43" s="15"/>
      <c r="W43" s="3"/>
    </row>
    <row r="44" spans="1:23" x14ac:dyDescent="0.3">
      <c r="A44" s="10" t="s">
        <v>13</v>
      </c>
      <c r="B44" s="11">
        <v>1.6E-2</v>
      </c>
      <c r="E44" s="5" t="str">
        <f t="shared" si="0"/>
        <v>VIVT3</v>
      </c>
      <c r="F44" s="5">
        <f t="shared" si="3"/>
        <v>8.7952000000000013E-3</v>
      </c>
      <c r="G44" s="5"/>
      <c r="N44" s="15">
        <f>VLOOKUP(A44,'[2]MF (2)'!$A$12:$F$208,6,0)</f>
        <v>2.5000000000000001E-2</v>
      </c>
      <c r="O44" s="15" t="b">
        <f t="shared" si="2"/>
        <v>0</v>
      </c>
      <c r="R44" s="7"/>
      <c r="S44" s="7"/>
      <c r="U44" s="15"/>
      <c r="W44" s="3"/>
    </row>
    <row r="45" spans="1:23" x14ac:dyDescent="0.3">
      <c r="A45" s="10" t="s">
        <v>100</v>
      </c>
      <c r="B45" s="11">
        <v>8.9999999999999993E-3</v>
      </c>
      <c r="E45" s="5" t="str">
        <f t="shared" si="0"/>
        <v>PINE4</v>
      </c>
      <c r="F45" s="5">
        <f t="shared" si="3"/>
        <v>4.9473E-3</v>
      </c>
      <c r="G45" s="5"/>
      <c r="N45" s="15">
        <f>VLOOKUP(A45,'[2]MF (2)'!$A$12:$F$208,6,0)</f>
        <v>1.1048757186413547E-2</v>
      </c>
      <c r="O45" s="15" t="b">
        <f t="shared" si="2"/>
        <v>0</v>
      </c>
      <c r="R45" s="7"/>
      <c r="S45" s="7"/>
      <c r="U45" s="15"/>
      <c r="W45" s="3"/>
    </row>
    <row r="46" spans="1:23" x14ac:dyDescent="0.3">
      <c r="A46" s="10" t="s">
        <v>73</v>
      </c>
      <c r="B46" s="11">
        <v>0.01</v>
      </c>
      <c r="E46" s="5" t="str">
        <f t="shared" si="0"/>
        <v>BMOB3</v>
      </c>
      <c r="F46" s="5">
        <f t="shared" si="3"/>
        <v>5.497000000000001E-3</v>
      </c>
      <c r="G46" s="5"/>
      <c r="N46" s="15">
        <f>VLOOKUP(A46,'[2]MF (2)'!$A$12:$F$208,6,0)</f>
        <v>0</v>
      </c>
      <c r="O46" s="15" t="b">
        <f t="shared" si="2"/>
        <v>0</v>
      </c>
      <c r="R46" s="7"/>
      <c r="S46" s="7"/>
      <c r="U46" s="15"/>
      <c r="W46" s="3"/>
    </row>
    <row r="47" spans="1:23" x14ac:dyDescent="0.3">
      <c r="A47" s="10" t="s">
        <v>121</v>
      </c>
      <c r="B47" s="11">
        <v>0.01</v>
      </c>
      <c r="E47" s="5" t="str">
        <f t="shared" si="0"/>
        <v>POSI3</v>
      </c>
      <c r="F47" s="5">
        <f t="shared" si="3"/>
        <v>5.497000000000001E-3</v>
      </c>
      <c r="G47" s="5"/>
      <c r="N47" s="15">
        <f>VLOOKUP(A47,'[2]MF (2)'!$A$12:$F$208,6,0)</f>
        <v>0</v>
      </c>
      <c r="O47" s="15" t="b">
        <f t="shared" si="2"/>
        <v>0</v>
      </c>
      <c r="R47" s="7"/>
      <c r="S47" s="7"/>
      <c r="U47" s="15"/>
      <c r="W47" s="3"/>
    </row>
    <row r="48" spans="1:23" x14ac:dyDescent="0.3">
      <c r="A48" s="10" t="s">
        <v>68</v>
      </c>
      <c r="B48" s="11">
        <v>2.5000000000000001E-2</v>
      </c>
      <c r="E48" s="5" t="str">
        <f t="shared" si="0"/>
        <v>ITSA4</v>
      </c>
      <c r="F48" s="5">
        <f t="shared" si="3"/>
        <v>1.3742500000000003E-2</v>
      </c>
      <c r="G48" s="5"/>
      <c r="N48" s="15">
        <f>VLOOKUP(A48,'[2]MF (2)'!$A$12:$F$208,6,0)</f>
        <v>2.5000000000000001E-2</v>
      </c>
      <c r="O48" s="15" t="b">
        <f t="shared" si="2"/>
        <v>1</v>
      </c>
      <c r="R48" s="7"/>
      <c r="S48" s="7"/>
      <c r="U48" s="15"/>
      <c r="W48" s="3"/>
    </row>
    <row r="49" spans="1:23" x14ac:dyDescent="0.3">
      <c r="A49" s="10" t="s">
        <v>66</v>
      </c>
      <c r="B49" s="11">
        <v>1.7000000000000001E-2</v>
      </c>
      <c r="E49" s="5" t="str">
        <f t="shared" si="0"/>
        <v>ABEV3</v>
      </c>
      <c r="F49" s="5">
        <f t="shared" si="3"/>
        <v>9.3449000000000015E-3</v>
      </c>
      <c r="G49" s="5"/>
      <c r="N49" s="15">
        <f>VLOOKUP(A49,'[2]MF (2)'!$A$12:$F$208,6,0)</f>
        <v>3.5000000000000003E-2</v>
      </c>
      <c r="O49" s="15" t="b">
        <f t="shared" si="2"/>
        <v>0</v>
      </c>
      <c r="R49" s="7"/>
      <c r="S49" s="7"/>
      <c r="U49" s="15"/>
      <c r="W49" s="3"/>
    </row>
    <row r="50" spans="1:23" x14ac:dyDescent="0.3">
      <c r="A50" s="10" t="s">
        <v>122</v>
      </c>
      <c r="B50" s="11">
        <v>4.0000000000000001E-3</v>
      </c>
      <c r="E50" s="5" t="str">
        <f t="shared" si="0"/>
        <v>VVEO3</v>
      </c>
      <c r="F50" s="5">
        <f t="shared" si="3"/>
        <v>2.1988000000000003E-3</v>
      </c>
      <c r="G50" s="5"/>
      <c r="N50" s="15">
        <f>VLOOKUP(A50,'[2]MF (2)'!$A$12:$F$208,6,0)</f>
        <v>0</v>
      </c>
      <c r="O50" s="15" t="b">
        <f t="shared" si="2"/>
        <v>0</v>
      </c>
      <c r="R50" s="7"/>
      <c r="S50" s="7"/>
      <c r="U50" s="15"/>
      <c r="W50" s="3"/>
    </row>
    <row r="51" spans="1:23" x14ac:dyDescent="0.3">
      <c r="A51" s="10" t="s">
        <v>75</v>
      </c>
      <c r="B51" s="11">
        <v>7.0000000000000001E-3</v>
      </c>
      <c r="E51" s="5" t="str">
        <f t="shared" si="0"/>
        <v>MDNE3</v>
      </c>
      <c r="F51" s="5">
        <f t="shared" si="3"/>
        <v>3.8479000000000005E-3</v>
      </c>
      <c r="G51" s="5"/>
      <c r="N51" s="15">
        <f>VLOOKUP(A51,'[2]MF (2)'!$A$12:$F$208,6,0)</f>
        <v>2.2265461578631798E-3</v>
      </c>
      <c r="O51" s="15" t="b">
        <f t="shared" si="2"/>
        <v>0</v>
      </c>
      <c r="R51" s="7"/>
      <c r="S51" s="7"/>
      <c r="U51" s="15"/>
      <c r="W51" s="3"/>
    </row>
    <row r="52" spans="1:23" x14ac:dyDescent="0.3">
      <c r="A52" s="10" t="s">
        <v>31</v>
      </c>
      <c r="B52" s="11">
        <v>1.2999999999999999E-2</v>
      </c>
      <c r="E52" s="5" t="str">
        <f t="shared" si="0"/>
        <v>PSSA3</v>
      </c>
      <c r="F52" s="5">
        <f t="shared" si="3"/>
        <v>7.1461000000000007E-3</v>
      </c>
      <c r="G52" s="5"/>
      <c r="N52" s="15">
        <f>VLOOKUP(A52,'[2]MF (2)'!$A$12:$F$208,6,0)</f>
        <v>0</v>
      </c>
      <c r="O52" s="15" t="b">
        <f t="shared" si="2"/>
        <v>0</v>
      </c>
      <c r="R52" s="7"/>
      <c r="S52" s="7"/>
      <c r="U52" s="15"/>
      <c r="W52" s="3"/>
    </row>
    <row r="53" spans="1:23" x14ac:dyDescent="0.3">
      <c r="A53" s="10" t="s">
        <v>123</v>
      </c>
      <c r="B53" s="11">
        <v>6.0000000000000001E-3</v>
      </c>
      <c r="E53" s="5" t="str">
        <f t="shared" si="0"/>
        <v>SEER3</v>
      </c>
      <c r="F53" s="5">
        <f t="shared" si="3"/>
        <v>3.2982000000000007E-3</v>
      </c>
      <c r="G53" s="5"/>
      <c r="N53" s="15">
        <f>VLOOKUP(A53,'[2]MF (2)'!$A$12:$F$208,6,0)</f>
        <v>0</v>
      </c>
      <c r="O53" s="15" t="b">
        <f t="shared" si="2"/>
        <v>0</v>
      </c>
      <c r="R53" s="7"/>
      <c r="S53" s="7"/>
      <c r="U53" s="15"/>
      <c r="W53" s="3"/>
    </row>
    <row r="54" spans="1:23" x14ac:dyDescent="0.3">
      <c r="A54" s="10" t="s">
        <v>109</v>
      </c>
      <c r="B54" s="11">
        <v>0.01</v>
      </c>
      <c r="E54" s="5" t="str">
        <f t="shared" si="0"/>
        <v>CAML3</v>
      </c>
      <c r="F54" s="5">
        <f t="shared" si="3"/>
        <v>5.497000000000001E-3</v>
      </c>
      <c r="G54" s="5"/>
      <c r="N54" s="15">
        <f>VLOOKUP(A54,'[2]MF (2)'!$A$12:$F$208,6,0)</f>
        <v>0</v>
      </c>
      <c r="O54" s="15" t="b">
        <f t="shared" si="2"/>
        <v>0</v>
      </c>
      <c r="R54" s="7"/>
      <c r="S54" s="7"/>
      <c r="U54" s="15"/>
      <c r="W54" s="3"/>
    </row>
    <row r="55" spans="1:23" x14ac:dyDescent="0.3">
      <c r="A55" s="10" t="s">
        <v>124</v>
      </c>
      <c r="B55" s="11">
        <v>8.0000000000000002E-3</v>
      </c>
      <c r="E55" s="5" t="str">
        <f t="shared" si="0"/>
        <v>HBRE3</v>
      </c>
      <c r="F55" s="5">
        <f t="shared" si="3"/>
        <v>4.3976000000000006E-3</v>
      </c>
      <c r="G55" s="5"/>
      <c r="N55" s="15">
        <f>VLOOKUP(A55,'[2]MF (2)'!$A$12:$F$208,6,0)</f>
        <v>0</v>
      </c>
      <c r="O55" s="15" t="b">
        <f t="shared" si="2"/>
        <v>0</v>
      </c>
      <c r="R55" s="7"/>
      <c r="S55" s="7"/>
      <c r="U55" s="15"/>
      <c r="W55" s="3"/>
    </row>
    <row r="56" spans="1:23" x14ac:dyDescent="0.3">
      <c r="A56" s="10" t="s">
        <v>94</v>
      </c>
      <c r="B56" s="11">
        <v>2.3E-2</v>
      </c>
      <c r="E56" s="5" t="str">
        <f t="shared" si="0"/>
        <v>ITUB3</v>
      </c>
      <c r="F56" s="5">
        <f t="shared" si="3"/>
        <v>1.2643100000000001E-2</v>
      </c>
      <c r="G56" s="5"/>
      <c r="N56" s="15">
        <f>VLOOKUP(A56,'[2]MF (2)'!$A$12:$F$208,6,0)</f>
        <v>4.9716590006821555E-2</v>
      </c>
      <c r="O56" s="15" t="b">
        <f t="shared" si="2"/>
        <v>0</v>
      </c>
      <c r="R56" s="7"/>
      <c r="S56" s="7"/>
      <c r="U56" s="15"/>
      <c r="W56" s="3"/>
    </row>
    <row r="57" spans="1:23" x14ac:dyDescent="0.3">
      <c r="A57" s="10" t="s">
        <v>8</v>
      </c>
      <c r="B57" s="11">
        <v>0.02</v>
      </c>
      <c r="E57" s="5" t="str">
        <f t="shared" si="0"/>
        <v>BBSE3</v>
      </c>
      <c r="F57" s="5">
        <f t="shared" si="3"/>
        <v>1.0994000000000002E-2</v>
      </c>
      <c r="G57" s="5"/>
      <c r="N57" s="15">
        <f>VLOOKUP(A57,'[2]MF (2)'!$A$12:$F$208,6,0)</f>
        <v>1.6758953472408793E-2</v>
      </c>
      <c r="O57" s="15" t="b">
        <f t="shared" si="2"/>
        <v>0</v>
      </c>
      <c r="R57" s="7"/>
      <c r="S57" s="7"/>
      <c r="U57" s="15"/>
      <c r="W57" s="3"/>
    </row>
    <row r="58" spans="1:23" x14ac:dyDescent="0.3">
      <c r="A58" s="10" t="s">
        <v>125</v>
      </c>
      <c r="B58" s="11">
        <v>1.7999999999999999E-2</v>
      </c>
      <c r="E58" s="5" t="str">
        <f t="shared" si="0"/>
        <v>TAEE3</v>
      </c>
      <c r="F58" s="5">
        <f t="shared" si="3"/>
        <v>9.8945999999999999E-3</v>
      </c>
      <c r="G58" s="5"/>
      <c r="N58" s="15" t="e">
        <f>VLOOKUP(A58,'[2]MF (2)'!$A$12:$F$208,6,0)</f>
        <v>#N/A</v>
      </c>
      <c r="O58" s="15" t="e">
        <f t="shared" si="2"/>
        <v>#N/A</v>
      </c>
      <c r="R58" s="7"/>
      <c r="S58" s="7"/>
      <c r="U58" s="15"/>
      <c r="W58" s="3"/>
    </row>
    <row r="59" spans="1:23" x14ac:dyDescent="0.3">
      <c r="A59" s="10" t="s">
        <v>99</v>
      </c>
      <c r="B59" s="11">
        <v>1.7000000000000001E-2</v>
      </c>
      <c r="E59" s="5" t="str">
        <f t="shared" si="0"/>
        <v>TAEE4</v>
      </c>
      <c r="F59" s="5">
        <f t="shared" si="3"/>
        <v>9.3449000000000015E-3</v>
      </c>
      <c r="G59" s="5"/>
      <c r="N59" s="15">
        <f>VLOOKUP(A59,'[2]MF (2)'!$A$12:$F$208,6,0)</f>
        <v>9.984389675441515E-3</v>
      </c>
      <c r="O59" s="15" t="b">
        <f t="shared" si="2"/>
        <v>0</v>
      </c>
      <c r="R59" s="7"/>
      <c r="S59" s="7"/>
      <c r="U59" s="15"/>
      <c r="W59" s="3"/>
    </row>
    <row r="60" spans="1:23" x14ac:dyDescent="0.3">
      <c r="A60" s="10" t="s">
        <v>126</v>
      </c>
      <c r="B60" s="11">
        <v>6.0000000000000001E-3</v>
      </c>
      <c r="E60" s="5" t="str">
        <f t="shared" si="0"/>
        <v>AZZA3</v>
      </c>
      <c r="F60" s="5">
        <f t="shared" si="3"/>
        <v>3.2982000000000007E-3</v>
      </c>
      <c r="G60" s="5"/>
      <c r="N60" s="15">
        <f>VLOOKUP(A60,'[2]MF (2)'!$A$12:$F$208,6,0)</f>
        <v>0</v>
      </c>
      <c r="O60" s="15" t="b">
        <f t="shared" si="2"/>
        <v>0</v>
      </c>
      <c r="R60" s="7"/>
      <c r="S60" s="7"/>
      <c r="U60" s="15"/>
      <c r="W60" s="3"/>
    </row>
    <row r="61" spans="1:23" x14ac:dyDescent="0.3">
      <c r="A61" s="10" t="s">
        <v>103</v>
      </c>
      <c r="B61" s="11">
        <v>2.3E-2</v>
      </c>
      <c r="E61" s="5" t="str">
        <f t="shared" si="0"/>
        <v>AXIA6</v>
      </c>
      <c r="F61" s="5">
        <f t="shared" si="3"/>
        <v>1.2643100000000001E-2</v>
      </c>
      <c r="G61" s="5"/>
      <c r="N61" s="15">
        <f>VLOOKUP(A61,'[2]MF (2)'!$A$12:$F$208,6,0)</f>
        <v>1.3792440094467614E-2</v>
      </c>
      <c r="O61" s="15" t="b">
        <f t="shared" si="2"/>
        <v>0</v>
      </c>
      <c r="R61" s="7"/>
      <c r="S61" s="7"/>
      <c r="U61" s="15"/>
      <c r="W61" s="3"/>
    </row>
    <row r="62" spans="1:23" x14ac:dyDescent="0.3">
      <c r="A62" s="10" t="s">
        <v>12</v>
      </c>
      <c r="B62" s="11">
        <v>2.3E-2</v>
      </c>
      <c r="E62" s="5" t="str">
        <f t="shared" si="0"/>
        <v>BBDC3</v>
      </c>
      <c r="F62" s="5">
        <f t="shared" si="3"/>
        <v>1.2643100000000001E-2</v>
      </c>
      <c r="G62" s="5"/>
      <c r="N62" s="15">
        <f>VLOOKUP(A62,'[2]MF (2)'!$A$12:$F$208,6,0)</f>
        <v>2.7396660956399296E-2</v>
      </c>
      <c r="O62" s="15" t="b">
        <f t="shared" si="2"/>
        <v>0</v>
      </c>
      <c r="R62" s="7"/>
      <c r="S62" s="7"/>
      <c r="U62" s="15"/>
      <c r="W62" s="3"/>
    </row>
    <row r="63" spans="1:23" x14ac:dyDescent="0.3">
      <c r="A63" s="10" t="s">
        <v>65</v>
      </c>
      <c r="B63" s="11">
        <v>1.0999999999999999E-2</v>
      </c>
      <c r="E63" s="5" t="str">
        <f t="shared" si="0"/>
        <v>BRBI11</v>
      </c>
      <c r="F63" s="5">
        <f t="shared" si="3"/>
        <v>6.0467000000000003E-3</v>
      </c>
      <c r="G63" s="5"/>
      <c r="N63" s="15">
        <f>VLOOKUP(A63,'[2]MF (2)'!$A$12:$F$208,6,0)</f>
        <v>0</v>
      </c>
      <c r="O63" s="15" t="b">
        <f t="shared" si="2"/>
        <v>0</v>
      </c>
      <c r="R63" s="7"/>
      <c r="S63" s="7"/>
      <c r="U63" s="15"/>
      <c r="W63" s="3"/>
    </row>
    <row r="64" spans="1:23" x14ac:dyDescent="0.3">
      <c r="A64" s="10" t="s">
        <v>88</v>
      </c>
      <c r="B64" s="11">
        <v>2.1999999999999999E-2</v>
      </c>
      <c r="E64" s="5" t="str">
        <f t="shared" si="0"/>
        <v>CPLE3</v>
      </c>
      <c r="F64" s="5">
        <f t="shared" si="3"/>
        <v>1.2093400000000001E-2</v>
      </c>
      <c r="G64" s="5"/>
      <c r="N64" s="15">
        <f>VLOOKUP(A64,'[2]MF (2)'!$A$12:$F$208,6,0)</f>
        <v>1.3086428486792515E-2</v>
      </c>
      <c r="O64" s="15" t="b">
        <f t="shared" si="2"/>
        <v>0</v>
      </c>
      <c r="R64" s="7"/>
      <c r="S64" s="7"/>
      <c r="U64" s="15"/>
      <c r="W64" s="3"/>
    </row>
    <row r="65" spans="1:23" x14ac:dyDescent="0.3">
      <c r="A65" s="10" t="s">
        <v>27</v>
      </c>
      <c r="B65" s="11">
        <v>5.0000000000000001E-3</v>
      </c>
      <c r="E65" s="5" t="str">
        <f t="shared" si="0"/>
        <v>BRAP4</v>
      </c>
      <c r="F65" s="5">
        <f t="shared" si="3"/>
        <v>2.7485000000000005E-3</v>
      </c>
      <c r="G65" s="5"/>
      <c r="N65" s="15">
        <f>VLOOKUP(A65,'[2]MF (2)'!$A$12:$F$208,6,0)</f>
        <v>2.5000000000000001E-2</v>
      </c>
      <c r="O65" s="15" t="b">
        <f t="shared" si="2"/>
        <v>0</v>
      </c>
      <c r="R65" s="7"/>
      <c r="S65" s="7"/>
      <c r="U65" s="15"/>
      <c r="W65" s="3"/>
    </row>
    <row r="66" spans="1:23" x14ac:dyDescent="0.3">
      <c r="A66" s="10" t="s">
        <v>56</v>
      </c>
      <c r="B66" s="11">
        <v>7.4999999999999997E-3</v>
      </c>
      <c r="E66" s="5" t="str">
        <f>A66</f>
        <v>DIRR3</v>
      </c>
      <c r="F66" s="5">
        <f t="shared" si="3"/>
        <v>4.1227500000000005E-3</v>
      </c>
      <c r="G66" s="5"/>
      <c r="N66" s="15">
        <f>VLOOKUP(A66,'[2]MF (2)'!$A$12:$F$208,6,0)</f>
        <v>5.0000000000000001E-3</v>
      </c>
      <c r="O66" s="15" t="b">
        <f t="shared" si="2"/>
        <v>0</v>
      </c>
      <c r="R66" s="7"/>
      <c r="S66" s="7"/>
      <c r="U66" s="15"/>
      <c r="W66" s="3"/>
    </row>
    <row r="67" spans="1:23" x14ac:dyDescent="0.3">
      <c r="A67" s="10" t="s">
        <v>21</v>
      </c>
      <c r="B67" s="11">
        <v>1.7500000000000002E-2</v>
      </c>
      <c r="E67" s="5" t="str">
        <f t="shared" ref="E67:E71" si="4">A67</f>
        <v>CMIG4</v>
      </c>
      <c r="F67" s="5">
        <f t="shared" ref="F67:F71" si="5">(1-$F$72-$F$73-$F$74)*B67</f>
        <v>9.6197500000000016E-3</v>
      </c>
      <c r="G67" s="5"/>
      <c r="N67" s="15">
        <f>VLOOKUP(A67,'[2]MF (2)'!$A$12:$F$208,6,0)</f>
        <v>1.1197050503846092E-2</v>
      </c>
      <c r="O67" s="15" t="b">
        <f t="shared" ref="O67:O69" si="6">N67=B67</f>
        <v>0</v>
      </c>
    </row>
    <row r="68" spans="1:23" x14ac:dyDescent="0.3">
      <c r="A68" s="10" t="s">
        <v>127</v>
      </c>
      <c r="B68" s="11">
        <v>8.0000000000000002E-3</v>
      </c>
      <c r="E68" s="5" t="str">
        <f t="shared" si="4"/>
        <v>FESA4</v>
      </c>
      <c r="F68" s="5">
        <f t="shared" si="5"/>
        <v>4.3976000000000006E-3</v>
      </c>
      <c r="G68" s="5"/>
      <c r="N68" s="15">
        <f>VLOOKUP(A68,'[2]MF (2)'!$A$12:$F$208,6,0)</f>
        <v>0</v>
      </c>
      <c r="O68" s="15" t="b">
        <f t="shared" si="6"/>
        <v>0</v>
      </c>
    </row>
    <row r="69" spans="1:23" x14ac:dyDescent="0.3">
      <c r="A69" s="10" t="s">
        <v>128</v>
      </c>
      <c r="B69" s="11">
        <v>0.01</v>
      </c>
      <c r="E69" s="5" t="str">
        <f t="shared" si="4"/>
        <v>LREN3</v>
      </c>
      <c r="F69" s="5">
        <f t="shared" si="5"/>
        <v>5.497000000000001E-3</v>
      </c>
      <c r="N69" s="15">
        <f>VLOOKUP(A69,'[2]MF (2)'!$A$12:$F$208,6,0)</f>
        <v>0</v>
      </c>
      <c r="O69" s="15" t="b">
        <f t="shared" si="6"/>
        <v>0</v>
      </c>
    </row>
    <row r="70" spans="1:23" x14ac:dyDescent="0.3">
      <c r="A70" s="10" t="s">
        <v>74</v>
      </c>
      <c r="B70" s="11">
        <v>3.1E-2</v>
      </c>
      <c r="E70" s="5" t="str">
        <f t="shared" si="4"/>
        <v>ITUB4</v>
      </c>
      <c r="F70" s="5">
        <f t="shared" si="5"/>
        <v>1.7040700000000002E-2</v>
      </c>
      <c r="J70" s="6"/>
    </row>
    <row r="71" spans="1:23" x14ac:dyDescent="0.3">
      <c r="A71" s="10" t="s">
        <v>2</v>
      </c>
      <c r="B71" s="11">
        <v>5.7000000000000002E-2</v>
      </c>
      <c r="C71" s="6"/>
      <c r="E71" s="5" t="str">
        <f t="shared" si="4"/>
        <v>VALE3</v>
      </c>
      <c r="F71" s="5">
        <f t="shared" si="5"/>
        <v>3.1332900000000004E-2</v>
      </c>
    </row>
    <row r="72" spans="1:23" x14ac:dyDescent="0.3">
      <c r="A72" s="10"/>
      <c r="B72" s="11"/>
      <c r="C72" s="6"/>
      <c r="E72" s="12" t="s">
        <v>71</v>
      </c>
      <c r="F72" s="13">
        <v>0.375</v>
      </c>
    </row>
    <row r="73" spans="1:23" x14ac:dyDescent="0.3">
      <c r="A73" s="10"/>
      <c r="B73" s="11"/>
      <c r="C73" s="6"/>
      <c r="E73" s="12" t="s">
        <v>81</v>
      </c>
      <c r="F73" s="13">
        <v>7.4999999999999997E-2</v>
      </c>
    </row>
    <row r="74" spans="1:23" x14ac:dyDescent="0.3">
      <c r="A74" s="10"/>
      <c r="B74" s="11"/>
      <c r="C74" s="6"/>
      <c r="E74" s="5" t="s">
        <v>85</v>
      </c>
      <c r="F74" s="5">
        <v>2.9999999999999997E-4</v>
      </c>
    </row>
    <row r="75" spans="1:23" x14ac:dyDescent="0.3">
      <c r="A75" s="10"/>
      <c r="B75" s="11"/>
      <c r="C75" s="6"/>
    </row>
    <row r="76" spans="1:23" x14ac:dyDescent="0.3">
      <c r="A76" s="10"/>
      <c r="B76" s="11"/>
      <c r="C76" s="6"/>
    </row>
    <row r="77" spans="1:23" x14ac:dyDescent="0.3">
      <c r="A77" s="10"/>
      <c r="B77" s="11"/>
      <c r="C77" s="6"/>
    </row>
    <row r="78" spans="1:23" x14ac:dyDescent="0.3">
      <c r="A78" s="10"/>
      <c r="B78" s="11"/>
      <c r="C78" s="6"/>
    </row>
    <row r="79" spans="1:23" x14ac:dyDescent="0.3">
      <c r="A79" s="10"/>
      <c r="B79" s="11"/>
      <c r="C79" s="6"/>
    </row>
    <row r="80" spans="1:23" x14ac:dyDescent="0.3">
      <c r="A80" s="10"/>
      <c r="B80" s="11"/>
      <c r="C80" s="6"/>
    </row>
    <row r="81" spans="1:3" x14ac:dyDescent="0.3">
      <c r="A81" s="10"/>
      <c r="B81" s="11"/>
      <c r="C81" s="6"/>
    </row>
    <row r="82" spans="1:3" x14ac:dyDescent="0.3">
      <c r="A82" s="10"/>
      <c r="B82" s="11"/>
      <c r="C82" s="6"/>
    </row>
    <row r="83" spans="1:3" x14ac:dyDescent="0.3">
      <c r="A83" s="10"/>
      <c r="B83" s="11"/>
      <c r="C83" s="6"/>
    </row>
    <row r="84" spans="1:3" x14ac:dyDescent="0.3">
      <c r="A84" s="10"/>
      <c r="B84" s="11"/>
      <c r="C84" s="6"/>
    </row>
    <row r="85" spans="1:3" x14ac:dyDescent="0.3">
      <c r="A85" s="10"/>
      <c r="B85" s="11"/>
      <c r="C85" s="6"/>
    </row>
    <row r="86" spans="1:3" x14ac:dyDescent="0.3">
      <c r="A86" s="10"/>
      <c r="B86" s="11"/>
      <c r="C86" s="6"/>
    </row>
    <row r="87" spans="1:3" x14ac:dyDescent="0.3">
      <c r="A87" s="10"/>
      <c r="B87" s="11"/>
      <c r="C87" s="6"/>
    </row>
    <row r="88" spans="1:3" x14ac:dyDescent="0.3">
      <c r="A88" s="10"/>
      <c r="B88" s="11"/>
      <c r="C88" s="6"/>
    </row>
    <row r="89" spans="1:3" x14ac:dyDescent="0.3">
      <c r="A89" s="10"/>
      <c r="B89" s="11"/>
      <c r="C89" s="6"/>
    </row>
    <row r="90" spans="1:3" x14ac:dyDescent="0.3">
      <c r="A90" s="10"/>
      <c r="B90" s="11"/>
      <c r="C90" s="6"/>
    </row>
    <row r="91" spans="1:3" x14ac:dyDescent="0.3">
      <c r="A91" s="10"/>
      <c r="B91" s="11"/>
      <c r="C91" s="6"/>
    </row>
    <row r="92" spans="1:3" x14ac:dyDescent="0.3">
      <c r="A92" s="10"/>
      <c r="B92" s="11"/>
      <c r="C92" s="6"/>
    </row>
    <row r="93" spans="1:3" x14ac:dyDescent="0.3">
      <c r="A93" s="10"/>
      <c r="B93" s="11"/>
      <c r="C93" s="6"/>
    </row>
    <row r="94" spans="1:3" x14ac:dyDescent="0.3">
      <c r="A94" s="10"/>
      <c r="B94" s="11"/>
      <c r="C94" s="6"/>
    </row>
    <row r="95" spans="1:3" x14ac:dyDescent="0.3">
      <c r="A95" s="10"/>
      <c r="B95" s="11"/>
      <c r="C95" s="6"/>
    </row>
    <row r="96" spans="1:3" x14ac:dyDescent="0.3">
      <c r="A96" s="10"/>
      <c r="B96" s="11"/>
      <c r="C96" s="6"/>
    </row>
    <row r="97" spans="1:3" x14ac:dyDescent="0.3">
      <c r="A97" s="10"/>
      <c r="B97" s="11"/>
      <c r="C97" s="6"/>
    </row>
    <row r="98" spans="1:3" x14ac:dyDescent="0.3">
      <c r="A98" s="10"/>
      <c r="B98" s="11"/>
      <c r="C98" s="6"/>
    </row>
    <row r="99" spans="1:3" x14ac:dyDescent="0.3">
      <c r="A99" s="10"/>
      <c r="B99" s="11"/>
      <c r="C99" s="6"/>
    </row>
    <row r="100" spans="1:3" x14ac:dyDescent="0.3">
      <c r="A100" s="10"/>
      <c r="B100" s="11"/>
      <c r="C100" s="6"/>
    </row>
    <row r="101" spans="1:3" x14ac:dyDescent="0.3">
      <c r="A101" s="10"/>
      <c r="B101" s="11"/>
      <c r="C101" s="6"/>
    </row>
    <row r="102" spans="1:3" x14ac:dyDescent="0.3">
      <c r="A102" s="10"/>
      <c r="B102" s="11"/>
      <c r="C102" s="6"/>
    </row>
    <row r="103" spans="1:3" x14ac:dyDescent="0.3">
      <c r="A103" s="10"/>
      <c r="B103" s="11"/>
      <c r="C103" s="6"/>
    </row>
    <row r="104" spans="1:3" x14ac:dyDescent="0.3">
      <c r="A104" s="10"/>
      <c r="B104" s="11"/>
      <c r="C104" s="6"/>
    </row>
    <row r="105" spans="1:3" x14ac:dyDescent="0.3">
      <c r="A105" s="10"/>
      <c r="B105" s="11"/>
      <c r="C105" s="6"/>
    </row>
    <row r="106" spans="1:3" x14ac:dyDescent="0.3">
      <c r="A106" s="10"/>
      <c r="B106" s="11"/>
      <c r="C106" s="6"/>
    </row>
    <row r="107" spans="1:3" x14ac:dyDescent="0.3">
      <c r="A107" s="10"/>
      <c r="B107" s="11"/>
      <c r="C107" s="6"/>
    </row>
    <row r="108" spans="1:3" x14ac:dyDescent="0.3">
      <c r="A108" s="10"/>
      <c r="B108" s="11"/>
      <c r="C108" s="6"/>
    </row>
    <row r="109" spans="1:3" x14ac:dyDescent="0.3">
      <c r="A109" s="10"/>
      <c r="B109" s="11"/>
      <c r="C109" s="6"/>
    </row>
    <row r="110" spans="1:3" x14ac:dyDescent="0.3">
      <c r="A110" s="10"/>
      <c r="B110" s="11"/>
      <c r="C110" s="6"/>
    </row>
    <row r="111" spans="1:3" x14ac:dyDescent="0.3">
      <c r="A111" s="10"/>
      <c r="B111" s="11"/>
      <c r="C111" s="6"/>
    </row>
    <row r="112" spans="1:3" x14ac:dyDescent="0.3">
      <c r="A112" s="10"/>
      <c r="B112" s="11"/>
      <c r="C112" s="6"/>
    </row>
    <row r="113" spans="1:3" x14ac:dyDescent="0.3">
      <c r="A113" s="10"/>
      <c r="B113" s="11"/>
      <c r="C113" s="6"/>
    </row>
    <row r="114" spans="1:3" x14ac:dyDescent="0.3">
      <c r="A114" s="10"/>
      <c r="B114" s="11"/>
      <c r="C114" s="6"/>
    </row>
    <row r="115" spans="1:3" x14ac:dyDescent="0.3">
      <c r="A115" s="10"/>
      <c r="B115" s="11"/>
      <c r="C115" s="6"/>
    </row>
    <row r="116" spans="1:3" x14ac:dyDescent="0.3">
      <c r="A116" s="10"/>
      <c r="B116" s="11"/>
      <c r="C116" s="6"/>
    </row>
    <row r="117" spans="1:3" x14ac:dyDescent="0.3">
      <c r="A117" s="10"/>
      <c r="B117" s="11"/>
      <c r="C117" s="6"/>
    </row>
    <row r="118" spans="1:3" x14ac:dyDescent="0.3">
      <c r="A118" s="10"/>
      <c r="B118" s="11"/>
      <c r="C118" s="6"/>
    </row>
    <row r="119" spans="1:3" x14ac:dyDescent="0.3">
      <c r="A119" s="10"/>
      <c r="B119" s="11"/>
      <c r="C119" s="6"/>
    </row>
    <row r="120" spans="1:3" x14ac:dyDescent="0.3">
      <c r="A120" s="10"/>
      <c r="B120" s="11"/>
      <c r="C120" s="6"/>
    </row>
    <row r="121" spans="1:3" x14ac:dyDescent="0.3">
      <c r="A121" s="10"/>
      <c r="B121" s="11"/>
      <c r="C121" s="6"/>
    </row>
    <row r="122" spans="1:3" x14ac:dyDescent="0.3">
      <c r="A122" s="10"/>
      <c r="B122" s="11"/>
      <c r="C122" s="6"/>
    </row>
    <row r="123" spans="1:3" x14ac:dyDescent="0.3">
      <c r="A123" s="10"/>
      <c r="B123" s="11"/>
      <c r="C123" s="6"/>
    </row>
    <row r="124" spans="1:3" x14ac:dyDescent="0.3">
      <c r="A124" s="10"/>
      <c r="B124" s="11"/>
      <c r="C124" s="6"/>
    </row>
    <row r="125" spans="1:3" x14ac:dyDescent="0.3">
      <c r="A125" s="10"/>
      <c r="B125" s="11"/>
      <c r="C125" s="6"/>
    </row>
    <row r="126" spans="1:3" x14ac:dyDescent="0.3">
      <c r="A126" s="10"/>
      <c r="B126" s="11"/>
      <c r="C126" s="6"/>
    </row>
    <row r="127" spans="1:3" x14ac:dyDescent="0.3">
      <c r="A127" s="10"/>
      <c r="B127" s="11"/>
      <c r="C127" s="6"/>
    </row>
    <row r="128" spans="1:3" x14ac:dyDescent="0.3">
      <c r="A128" s="10"/>
      <c r="B128" s="11"/>
      <c r="C128" s="6"/>
    </row>
    <row r="129" spans="1:3" x14ac:dyDescent="0.3">
      <c r="A129" s="10"/>
      <c r="B129" s="11"/>
      <c r="C129" s="6"/>
    </row>
    <row r="130" spans="1:3" x14ac:dyDescent="0.3">
      <c r="A130" s="10"/>
      <c r="B130" s="11"/>
      <c r="C130" s="6"/>
    </row>
    <row r="131" spans="1:3" x14ac:dyDescent="0.3">
      <c r="A131" s="10"/>
      <c r="B131" s="11"/>
      <c r="C131" s="6"/>
    </row>
    <row r="132" spans="1:3" x14ac:dyDescent="0.3">
      <c r="A132" s="10"/>
      <c r="B132" s="11"/>
      <c r="C132" s="6"/>
    </row>
    <row r="133" spans="1:3" x14ac:dyDescent="0.3">
      <c r="A133" s="10"/>
      <c r="B133" s="11"/>
      <c r="C133" s="6"/>
    </row>
    <row r="134" spans="1:3" x14ac:dyDescent="0.3">
      <c r="A134" s="10"/>
      <c r="B134" s="11"/>
      <c r="C134" s="6"/>
    </row>
    <row r="135" spans="1:3" x14ac:dyDescent="0.3">
      <c r="A135" s="10"/>
      <c r="B135" s="11"/>
      <c r="C135" s="6"/>
    </row>
    <row r="136" spans="1:3" x14ac:dyDescent="0.3">
      <c r="A136" s="10"/>
      <c r="B136" s="11"/>
      <c r="C136" s="6"/>
    </row>
    <row r="137" spans="1:3" x14ac:dyDescent="0.3">
      <c r="A137" s="10"/>
      <c r="B137" s="11"/>
      <c r="C137" s="6"/>
    </row>
    <row r="138" spans="1:3" x14ac:dyDescent="0.3">
      <c r="A138" s="10"/>
      <c r="B138" s="11"/>
      <c r="C138" s="6"/>
    </row>
    <row r="139" spans="1:3" x14ac:dyDescent="0.3">
      <c r="A139" s="10"/>
      <c r="B139" s="11"/>
      <c r="C139" s="6"/>
    </row>
    <row r="140" spans="1:3" x14ac:dyDescent="0.3">
      <c r="A140" s="10"/>
      <c r="B140" s="11"/>
      <c r="C140" s="6"/>
    </row>
    <row r="141" spans="1:3" x14ac:dyDescent="0.3">
      <c r="A141" s="10"/>
      <c r="B141" s="11"/>
      <c r="C141" s="6"/>
    </row>
    <row r="142" spans="1:3" x14ac:dyDescent="0.3">
      <c r="A142" s="10"/>
      <c r="B142" s="11"/>
      <c r="C142" s="6"/>
    </row>
    <row r="143" spans="1:3" x14ac:dyDescent="0.3">
      <c r="A143" s="10"/>
      <c r="B143" s="11"/>
      <c r="C143" s="6"/>
    </row>
    <row r="144" spans="1:3" x14ac:dyDescent="0.3">
      <c r="A144" s="10"/>
      <c r="B144" s="11"/>
      <c r="C144" s="6"/>
    </row>
    <row r="145" spans="1:3" x14ac:dyDescent="0.3">
      <c r="A145" s="10"/>
      <c r="B145" s="11"/>
      <c r="C145" s="6"/>
    </row>
    <row r="146" spans="1:3" x14ac:dyDescent="0.3">
      <c r="A146" s="10"/>
      <c r="B146" s="11"/>
      <c r="C146" s="6"/>
    </row>
    <row r="147" spans="1:3" x14ac:dyDescent="0.3">
      <c r="A147" s="10"/>
      <c r="B147" s="11"/>
      <c r="C147" s="6"/>
    </row>
    <row r="148" spans="1:3" x14ac:dyDescent="0.3">
      <c r="A148" s="10"/>
      <c r="B148" s="11"/>
      <c r="C148" s="6"/>
    </row>
    <row r="149" spans="1:3" x14ac:dyDescent="0.3">
      <c r="A149" s="10"/>
      <c r="B149" s="11"/>
      <c r="C149" s="6"/>
    </row>
    <row r="150" spans="1:3" x14ac:dyDescent="0.3">
      <c r="A150" s="10"/>
      <c r="B150" s="11"/>
      <c r="C150" s="6"/>
    </row>
    <row r="151" spans="1:3" x14ac:dyDescent="0.3">
      <c r="A151" s="10"/>
      <c r="B151" s="11"/>
      <c r="C151" s="6"/>
    </row>
    <row r="152" spans="1:3" x14ac:dyDescent="0.3">
      <c r="A152" s="10"/>
      <c r="B152" s="11"/>
      <c r="C152" s="6"/>
    </row>
    <row r="153" spans="1:3" x14ac:dyDescent="0.3">
      <c r="A153" s="10"/>
      <c r="B153" s="11"/>
      <c r="C153" s="6"/>
    </row>
    <row r="154" spans="1:3" x14ac:dyDescent="0.3">
      <c r="A154" s="10"/>
      <c r="B154" s="11"/>
      <c r="C154" s="6"/>
    </row>
    <row r="155" spans="1:3" x14ac:dyDescent="0.3">
      <c r="A155" s="10"/>
      <c r="B155" s="11"/>
      <c r="C155" s="6"/>
    </row>
    <row r="156" spans="1:3" x14ac:dyDescent="0.3">
      <c r="A156" s="10"/>
      <c r="B156" s="11"/>
      <c r="C156" s="6"/>
    </row>
    <row r="157" spans="1:3" x14ac:dyDescent="0.3">
      <c r="A157" s="10"/>
      <c r="B157" s="11"/>
      <c r="C157" s="6"/>
    </row>
    <row r="158" spans="1:3" x14ac:dyDescent="0.3">
      <c r="A158" s="10"/>
      <c r="B158" s="11"/>
      <c r="C158" s="6"/>
    </row>
    <row r="159" spans="1:3" x14ac:dyDescent="0.3">
      <c r="A159" s="10"/>
      <c r="B159" s="11"/>
      <c r="C159" s="6"/>
    </row>
    <row r="160" spans="1:3" x14ac:dyDescent="0.3">
      <c r="A160" s="10"/>
      <c r="B160" s="11"/>
      <c r="C160" s="6"/>
    </row>
    <row r="161" spans="1:3" x14ac:dyDescent="0.3">
      <c r="A161" s="10"/>
      <c r="B161" s="11"/>
      <c r="C161" s="6"/>
    </row>
    <row r="162" spans="1:3" x14ac:dyDescent="0.3">
      <c r="A162" s="10"/>
      <c r="B162" s="11"/>
      <c r="C162" s="6"/>
    </row>
    <row r="163" spans="1:3" x14ac:dyDescent="0.3">
      <c r="A163" s="10"/>
      <c r="B163" s="11"/>
      <c r="C163" s="6"/>
    </row>
    <row r="164" spans="1:3" x14ac:dyDescent="0.3">
      <c r="A164" s="10"/>
      <c r="B164" s="11"/>
      <c r="C164" s="6"/>
    </row>
    <row r="165" spans="1:3" x14ac:dyDescent="0.3">
      <c r="A165" s="10"/>
      <c r="B165" s="11"/>
      <c r="C165" s="6"/>
    </row>
    <row r="166" spans="1:3" x14ac:dyDescent="0.3">
      <c r="A166" s="10"/>
      <c r="B166" s="11"/>
      <c r="C166" s="6"/>
    </row>
    <row r="167" spans="1:3" x14ac:dyDescent="0.3">
      <c r="A167" s="10"/>
      <c r="B167" s="11"/>
      <c r="C167" s="6"/>
    </row>
    <row r="168" spans="1:3" x14ac:dyDescent="0.3">
      <c r="A168" s="10"/>
      <c r="B168" s="11"/>
      <c r="C168" s="6"/>
    </row>
    <row r="169" spans="1:3" x14ac:dyDescent="0.3">
      <c r="A169" s="10"/>
      <c r="B169" s="11"/>
      <c r="C169" s="6"/>
    </row>
    <row r="170" spans="1:3" x14ac:dyDescent="0.3">
      <c r="A170" s="10"/>
      <c r="B170" s="11"/>
      <c r="C170" s="6"/>
    </row>
    <row r="171" spans="1:3" x14ac:dyDescent="0.3">
      <c r="A171" s="10"/>
      <c r="B171" s="11"/>
      <c r="C171" s="6"/>
    </row>
    <row r="172" spans="1:3" x14ac:dyDescent="0.3">
      <c r="A172" s="10"/>
      <c r="B172" s="11"/>
      <c r="C172" s="6"/>
    </row>
    <row r="173" spans="1:3" x14ac:dyDescent="0.3">
      <c r="A173" s="10"/>
      <c r="B173" s="11"/>
      <c r="C173" s="6"/>
    </row>
    <row r="174" spans="1:3" x14ac:dyDescent="0.3">
      <c r="A174" s="10"/>
      <c r="B174" s="11"/>
      <c r="C174" s="6"/>
    </row>
    <row r="175" spans="1:3" x14ac:dyDescent="0.3">
      <c r="A175" s="10"/>
      <c r="B175" s="11"/>
      <c r="C175" s="6"/>
    </row>
    <row r="176" spans="1:3" x14ac:dyDescent="0.3">
      <c r="A176" s="10"/>
      <c r="B176" s="11"/>
      <c r="C176" s="6"/>
    </row>
    <row r="177" spans="1:3" x14ac:dyDescent="0.3">
      <c r="A177" s="10"/>
      <c r="B177" s="11"/>
      <c r="C177" s="6"/>
    </row>
    <row r="178" spans="1:3" x14ac:dyDescent="0.3">
      <c r="A178" s="10"/>
      <c r="B178" s="11"/>
      <c r="C178" s="6"/>
    </row>
    <row r="179" spans="1:3" x14ac:dyDescent="0.3">
      <c r="A179" s="10"/>
      <c r="B179" s="11"/>
      <c r="C179" s="6"/>
    </row>
    <row r="180" spans="1:3" x14ac:dyDescent="0.3">
      <c r="A180" s="10"/>
      <c r="B180" s="11"/>
      <c r="C180" s="6"/>
    </row>
    <row r="181" spans="1:3" x14ac:dyDescent="0.3">
      <c r="A181" s="10"/>
      <c r="B181" s="11"/>
      <c r="C181" s="6"/>
    </row>
    <row r="182" spans="1:3" x14ac:dyDescent="0.3">
      <c r="A182" s="10"/>
      <c r="B182" s="11"/>
      <c r="C182" s="6"/>
    </row>
    <row r="183" spans="1:3" x14ac:dyDescent="0.3">
      <c r="A183" s="10"/>
      <c r="B183" s="11"/>
      <c r="C183" s="6"/>
    </row>
    <row r="184" spans="1:3" x14ac:dyDescent="0.3">
      <c r="A184" s="10"/>
      <c r="B184" s="11"/>
      <c r="C184" s="6"/>
    </row>
    <row r="185" spans="1:3" x14ac:dyDescent="0.3">
      <c r="A185" s="10"/>
      <c r="B185" s="11"/>
      <c r="C185" s="6"/>
    </row>
    <row r="186" spans="1:3" x14ac:dyDescent="0.3">
      <c r="A186" s="10"/>
      <c r="B186" s="11"/>
      <c r="C186" s="6"/>
    </row>
    <row r="187" spans="1:3" x14ac:dyDescent="0.3">
      <c r="A187" s="10"/>
      <c r="B187" s="11"/>
      <c r="C187" s="6"/>
    </row>
    <row r="188" spans="1:3" x14ac:dyDescent="0.3">
      <c r="A188" s="10"/>
      <c r="B188" s="11"/>
      <c r="C188" s="6"/>
    </row>
    <row r="189" spans="1:3" x14ac:dyDescent="0.3">
      <c r="A189" s="10"/>
      <c r="B189" s="11"/>
      <c r="C189" s="6"/>
    </row>
    <row r="190" spans="1:3" x14ac:dyDescent="0.3">
      <c r="A190" s="10"/>
      <c r="B190" s="11"/>
      <c r="C190" s="6"/>
    </row>
    <row r="191" spans="1:3" x14ac:dyDescent="0.3">
      <c r="A191" s="10"/>
      <c r="B191" s="11"/>
      <c r="C191" s="6"/>
    </row>
    <row r="192" spans="1:3" x14ac:dyDescent="0.3">
      <c r="A192" s="10"/>
      <c r="B192" s="11"/>
      <c r="C192" s="6"/>
    </row>
    <row r="193" spans="1:3" x14ac:dyDescent="0.3">
      <c r="A193" s="10"/>
      <c r="B193" s="11"/>
      <c r="C193" s="6"/>
    </row>
    <row r="194" spans="1:3" x14ac:dyDescent="0.3">
      <c r="A194" s="10"/>
      <c r="B194" s="11"/>
      <c r="C194" s="6"/>
    </row>
    <row r="195" spans="1:3" x14ac:dyDescent="0.3">
      <c r="A195" s="10"/>
      <c r="B195" s="11"/>
      <c r="C195" s="6"/>
    </row>
    <row r="196" spans="1:3" x14ac:dyDescent="0.3">
      <c r="A196" s="10"/>
      <c r="B196" s="11"/>
      <c r="C196" s="6"/>
    </row>
    <row r="197" spans="1:3" x14ac:dyDescent="0.3">
      <c r="A197" s="10"/>
      <c r="B197" s="11"/>
      <c r="C197" s="6"/>
    </row>
    <row r="198" spans="1:3" x14ac:dyDescent="0.3">
      <c r="A198" s="10"/>
      <c r="B198" s="11"/>
      <c r="C198" s="6"/>
    </row>
    <row r="199" spans="1:3" x14ac:dyDescent="0.3">
      <c r="C199" s="6"/>
    </row>
    <row r="200" spans="1:3" x14ac:dyDescent="0.3">
      <c r="C200" s="6"/>
    </row>
    <row r="201" spans="1:3" x14ac:dyDescent="0.3">
      <c r="C201" s="6"/>
    </row>
    <row r="202" spans="1:3" x14ac:dyDescent="0.3">
      <c r="C202" s="6"/>
    </row>
    <row r="203" spans="1:3" x14ac:dyDescent="0.3">
      <c r="C203" s="6"/>
    </row>
    <row r="204" spans="1:3" x14ac:dyDescent="0.3">
      <c r="C204" s="6"/>
    </row>
    <row r="205" spans="1:3" x14ac:dyDescent="0.3">
      <c r="C205" s="6"/>
    </row>
    <row r="206" spans="1:3" x14ac:dyDescent="0.3">
      <c r="C206" s="6"/>
    </row>
    <row r="207" spans="1:3" x14ac:dyDescent="0.3">
      <c r="C207" s="6"/>
    </row>
    <row r="208" spans="1:3" x14ac:dyDescent="0.3">
      <c r="C208" s="6"/>
    </row>
    <row r="209" spans="3:3" x14ac:dyDescent="0.3">
      <c r="C209" s="6"/>
    </row>
    <row r="210" spans="3:3" x14ac:dyDescent="0.3">
      <c r="C210" s="6"/>
    </row>
    <row r="211" spans="3:3" x14ac:dyDescent="0.3">
      <c r="C211" s="6"/>
    </row>
    <row r="212" spans="3:3" x14ac:dyDescent="0.3">
      <c r="C212" s="6"/>
    </row>
    <row r="213" spans="3:3" x14ac:dyDescent="0.3">
      <c r="C213" s="6"/>
    </row>
    <row r="214" spans="3:3" x14ac:dyDescent="0.3">
      <c r="C214" s="6"/>
    </row>
    <row r="215" spans="3:3" x14ac:dyDescent="0.3">
      <c r="C215" s="6"/>
    </row>
    <row r="216" spans="3:3" x14ac:dyDescent="0.3">
      <c r="C216" s="6"/>
    </row>
    <row r="217" spans="3:3" x14ac:dyDescent="0.3">
      <c r="C217" s="6"/>
    </row>
    <row r="218" spans="3:3" x14ac:dyDescent="0.3">
      <c r="C218" s="6"/>
    </row>
    <row r="219" spans="3:3" x14ac:dyDescent="0.3">
      <c r="C219" s="6"/>
    </row>
    <row r="220" spans="3:3" x14ac:dyDescent="0.3">
      <c r="C220" s="6"/>
    </row>
    <row r="221" spans="3:3" x14ac:dyDescent="0.3">
      <c r="C221" s="6"/>
    </row>
    <row r="222" spans="3:3" x14ac:dyDescent="0.3">
      <c r="C222" s="6"/>
    </row>
    <row r="223" spans="3:3" x14ac:dyDescent="0.3">
      <c r="C223" s="6"/>
    </row>
    <row r="224" spans="3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764E-1F5F-421D-A1C7-11858914C8D1}">
  <sheetPr codeName="Planilha1">
    <tabColor theme="3" tint="0.749992370372631"/>
  </sheetPr>
  <dimension ref="A1:Q244"/>
  <sheetViews>
    <sheetView workbookViewId="0">
      <selection activeCell="K65" sqref="K65"/>
    </sheetView>
  </sheetViews>
  <sheetFormatPr defaultRowHeight="14.4" x14ac:dyDescent="0.3"/>
  <cols>
    <col min="1" max="1" width="8.109375" bestFit="1" customWidth="1"/>
    <col min="2" max="2" width="19.6640625" style="4" bestFit="1" customWidth="1"/>
    <col min="3" max="3" width="9" customWidth="1"/>
    <col min="5" max="6" width="9.109375" style="8"/>
    <col min="10" max="10" width="12.109375" bestFit="1" customWidth="1"/>
    <col min="13" max="13" width="12.109375" bestFit="1" customWidth="1"/>
    <col min="15" max="15" width="9.6640625" customWidth="1"/>
    <col min="17" max="17" width="8.6640625" style="3" customWidth="1"/>
  </cols>
  <sheetData>
    <row r="1" spans="1:17" ht="15" thickBot="1" x14ac:dyDescent="0.35">
      <c r="A1" s="1" t="s">
        <v>111</v>
      </c>
      <c r="B1" s="2" t="s">
        <v>1</v>
      </c>
      <c r="C1" s="4">
        <f>SUM(B2:B72)</f>
        <v>1.0000000000000004</v>
      </c>
      <c r="E1" s="8" t="s">
        <v>0</v>
      </c>
      <c r="F1" s="8" t="s">
        <v>80</v>
      </c>
      <c r="G1" s="4">
        <f>SUM(F2:F74)</f>
        <v>0.99999999999999978</v>
      </c>
      <c r="H1" s="4"/>
      <c r="K1" s="6" t="s">
        <v>129</v>
      </c>
      <c r="L1" s="6"/>
    </row>
    <row r="2" spans="1:17" x14ac:dyDescent="0.3">
      <c r="A2" s="10" t="s">
        <v>46</v>
      </c>
      <c r="B2" s="11">
        <v>1.4E-2</v>
      </c>
      <c r="C2" s="3"/>
      <c r="E2" s="5" t="str">
        <f>A2</f>
        <v>WIZC3</v>
      </c>
      <c r="F2" s="5">
        <f t="shared" ref="F2:F33" si="0">(1-$F$72-$F$73-$F$74)*B2</f>
        <v>1.1879000000000001E-2</v>
      </c>
      <c r="H2" s="3"/>
      <c r="I2" s="7">
        <f>VLOOKUP(A2,'[3]29 - FIA'!$A$9:$B$222,2,0)</f>
        <v>1.4E-2</v>
      </c>
      <c r="J2" t="b">
        <f>I2=B2</f>
        <v>1</v>
      </c>
      <c r="K2" s="7">
        <f>VLOOKUP(A2,'[1]29 - FIA'!$A$9:$K$222,11,0)</f>
        <v>1.4E-2</v>
      </c>
      <c r="L2" s="3">
        <f>I2-K2</f>
        <v>0</v>
      </c>
      <c r="Q2"/>
    </row>
    <row r="3" spans="1:17" x14ac:dyDescent="0.3">
      <c r="A3" s="10" t="s">
        <v>48</v>
      </c>
      <c r="B3" s="11">
        <v>1.0999999999999999E-2</v>
      </c>
      <c r="C3" s="3"/>
      <c r="E3" s="5" t="str">
        <f t="shared" ref="E3:E66" si="1">A3</f>
        <v>JHSF3</v>
      </c>
      <c r="F3" s="5">
        <f t="shared" si="0"/>
        <v>9.3334999999999998E-3</v>
      </c>
      <c r="I3" s="7">
        <f>VLOOKUP(A3,'[3]29 - FIA'!$A$9:$B$222,2,0)</f>
        <v>1.0999999999999999E-2</v>
      </c>
      <c r="J3" t="b">
        <f t="shared" ref="J3:J66" si="2">I3=B3</f>
        <v>1</v>
      </c>
      <c r="K3" s="7">
        <f>VLOOKUP(A3,'[1]29 - FIA'!$A$9:$K$222,11,0)</f>
        <v>1.0999999999999999E-2</v>
      </c>
      <c r="L3" s="3">
        <f t="shared" ref="L3:L66" si="3">I3-K3</f>
        <v>0</v>
      </c>
      <c r="Q3"/>
    </row>
    <row r="4" spans="1:17" x14ac:dyDescent="0.3">
      <c r="A4" s="10" t="s">
        <v>64</v>
      </c>
      <c r="B4" s="11">
        <v>0.01</v>
      </c>
      <c r="C4" s="3"/>
      <c r="E4" s="5" t="str">
        <f t="shared" si="1"/>
        <v>BMGB4</v>
      </c>
      <c r="F4" s="5">
        <f t="shared" si="0"/>
        <v>8.4850000000000012E-3</v>
      </c>
      <c r="I4" s="7">
        <f>VLOOKUP(A4,'[3]29 - FIA'!$A$9:$B$222,2,0)</f>
        <v>0.01</v>
      </c>
      <c r="J4" t="b">
        <f t="shared" si="2"/>
        <v>1</v>
      </c>
      <c r="K4" s="7">
        <f>VLOOKUP(A4,'[1]29 - FIA'!$A$9:$K$222,11,0)</f>
        <v>0.01</v>
      </c>
      <c r="L4" s="3">
        <f t="shared" si="3"/>
        <v>0</v>
      </c>
      <c r="Q4"/>
    </row>
    <row r="5" spans="1:17" x14ac:dyDescent="0.3">
      <c r="A5" s="10" t="s">
        <v>105</v>
      </c>
      <c r="B5" s="11">
        <v>8.9999999999999993E-3</v>
      </c>
      <c r="C5" s="3"/>
      <c r="E5" s="5" t="str">
        <f t="shared" si="1"/>
        <v>RIAA3</v>
      </c>
      <c r="F5" s="5">
        <f t="shared" si="0"/>
        <v>7.6365000000000001E-3</v>
      </c>
      <c r="I5" s="7">
        <f>VLOOKUP(A5,'[3]29 - FIA'!$A$9:$B$222,2,0)</f>
        <v>8.9999999999999993E-3</v>
      </c>
      <c r="J5" t="b">
        <f t="shared" si="2"/>
        <v>1</v>
      </c>
      <c r="K5" s="7">
        <f>VLOOKUP(A5,'[1]29 - FIA'!$A$9:$K$222,11,0)</f>
        <v>8.9999999999999993E-3</v>
      </c>
      <c r="L5" s="3">
        <f t="shared" si="3"/>
        <v>0</v>
      </c>
      <c r="Q5"/>
    </row>
    <row r="6" spans="1:17" x14ac:dyDescent="0.3">
      <c r="A6" s="10" t="s">
        <v>87</v>
      </c>
      <c r="B6" s="11">
        <v>8.9999999999999993E-3</v>
      </c>
      <c r="C6" s="3"/>
      <c r="E6" s="5" t="str">
        <f t="shared" si="1"/>
        <v>CSED3</v>
      </c>
      <c r="F6" s="5">
        <f t="shared" si="0"/>
        <v>7.6365000000000001E-3</v>
      </c>
      <c r="I6" s="7">
        <f>VLOOKUP(A6,'[3]29 - FIA'!$A$9:$B$222,2,0)</f>
        <v>8.9999999999999993E-3</v>
      </c>
      <c r="J6" t="b">
        <f t="shared" si="2"/>
        <v>1</v>
      </c>
      <c r="K6" s="7">
        <f>VLOOKUP(A6,'[1]29 - FIA'!$A$9:$K$222,11,0)</f>
        <v>8.9999999999999993E-3</v>
      </c>
      <c r="L6" s="3">
        <f t="shared" si="3"/>
        <v>0</v>
      </c>
      <c r="Q6"/>
    </row>
    <row r="7" spans="1:17" x14ac:dyDescent="0.3">
      <c r="A7" s="10" t="s">
        <v>98</v>
      </c>
      <c r="B7" s="11">
        <v>8.9999999999999993E-3</v>
      </c>
      <c r="C7" s="3"/>
      <c r="E7" s="5" t="str">
        <f t="shared" si="1"/>
        <v>ALLD3</v>
      </c>
      <c r="F7" s="5">
        <f t="shared" si="0"/>
        <v>7.6365000000000001E-3</v>
      </c>
      <c r="I7" s="7">
        <f>VLOOKUP(A7,'[3]29 - FIA'!$A$9:$B$222,2,0)</f>
        <v>8.9999999999999993E-3</v>
      </c>
      <c r="J7" t="b">
        <f t="shared" si="2"/>
        <v>1</v>
      </c>
      <c r="K7" s="7">
        <f>VLOOKUP(A7,'[1]29 - FIA'!$A$9:$K$222,11,0)</f>
        <v>8.0000000000000002E-3</v>
      </c>
      <c r="L7" s="3">
        <f t="shared" si="3"/>
        <v>9.9999999999999915E-4</v>
      </c>
      <c r="Q7"/>
    </row>
    <row r="8" spans="1:17" x14ac:dyDescent="0.3">
      <c r="A8" s="10" t="s">
        <v>29</v>
      </c>
      <c r="B8" s="11">
        <v>8.0000000000000002E-3</v>
      </c>
      <c r="C8" s="3"/>
      <c r="E8" s="5" t="str">
        <f t="shared" si="1"/>
        <v>SYNE3</v>
      </c>
      <c r="F8" s="5">
        <f t="shared" si="0"/>
        <v>6.7880000000000006E-3</v>
      </c>
      <c r="I8" s="7">
        <f>VLOOKUP(A8,'[3]29 - FIA'!$A$9:$B$222,2,0)</f>
        <v>8.0000000000000002E-3</v>
      </c>
      <c r="J8" t="b">
        <f t="shared" si="2"/>
        <v>1</v>
      </c>
      <c r="K8" s="7">
        <f>VLOOKUP(A8,'[1]29 - FIA'!$A$9:$K$222,11,0)</f>
        <v>8.0000000000000002E-3</v>
      </c>
      <c r="L8" s="3">
        <f t="shared" si="3"/>
        <v>0</v>
      </c>
      <c r="Q8"/>
    </row>
    <row r="9" spans="1:17" x14ac:dyDescent="0.3">
      <c r="A9" s="10" t="s">
        <v>89</v>
      </c>
      <c r="B9" s="11">
        <v>8.9999999999999993E-3</v>
      </c>
      <c r="C9" s="3"/>
      <c r="E9" s="5" t="str">
        <f t="shared" si="1"/>
        <v>POMO3</v>
      </c>
      <c r="F9" s="5">
        <f t="shared" si="0"/>
        <v>7.6365000000000001E-3</v>
      </c>
      <c r="I9" s="7">
        <f>VLOOKUP(A9,'[3]29 - FIA'!$A$9:$B$222,2,0)</f>
        <v>8.9999999999999993E-3</v>
      </c>
      <c r="J9" t="b">
        <f t="shared" si="2"/>
        <v>1</v>
      </c>
      <c r="K9" s="7">
        <f>VLOOKUP(A9,'[1]29 - FIA'!$A$9:$K$222,11,0)</f>
        <v>8.9999999999999993E-3</v>
      </c>
      <c r="L9" s="3">
        <f t="shared" si="3"/>
        <v>0</v>
      </c>
      <c r="Q9"/>
    </row>
    <row r="10" spans="1:17" x14ac:dyDescent="0.3">
      <c r="A10" s="10" t="s">
        <v>112</v>
      </c>
      <c r="B10" s="11">
        <v>1.2E-2</v>
      </c>
      <c r="C10" s="3"/>
      <c r="E10" s="5" t="str">
        <f t="shared" si="1"/>
        <v>SHUL4</v>
      </c>
      <c r="F10" s="5">
        <f t="shared" si="0"/>
        <v>1.0182E-2</v>
      </c>
      <c r="I10" s="7">
        <f>VLOOKUP(A10,'[3]29 - FIA'!$A$9:$B$222,2,0)</f>
        <v>1.2E-2</v>
      </c>
      <c r="J10" t="b">
        <f t="shared" si="2"/>
        <v>1</v>
      </c>
      <c r="K10" s="7">
        <f>VLOOKUP(A10,'[1]29 - FIA'!$A$9:$K$222,11,0)</f>
        <v>1.2E-2</v>
      </c>
      <c r="L10" s="3">
        <f t="shared" si="3"/>
        <v>0</v>
      </c>
      <c r="Q10"/>
    </row>
    <row r="11" spans="1:17" x14ac:dyDescent="0.3">
      <c r="A11" s="10" t="s">
        <v>97</v>
      </c>
      <c r="B11" s="11">
        <v>1.2E-2</v>
      </c>
      <c r="C11" s="3"/>
      <c r="E11" s="5" t="str">
        <f t="shared" si="1"/>
        <v>FIQE3</v>
      </c>
      <c r="F11" s="5">
        <f t="shared" si="0"/>
        <v>1.0182E-2</v>
      </c>
      <c r="I11" s="7">
        <f>VLOOKUP(A11,'[3]29 - FIA'!$A$9:$B$222,2,0)</f>
        <v>1.2E-2</v>
      </c>
      <c r="J11" t="b">
        <f t="shared" si="2"/>
        <v>1</v>
      </c>
      <c r="K11" s="7">
        <f>VLOOKUP(A11,'[1]29 - FIA'!$A$9:$K$222,11,0)</f>
        <v>1.2E-2</v>
      </c>
      <c r="L11" s="3">
        <f t="shared" si="3"/>
        <v>0</v>
      </c>
      <c r="Q11"/>
    </row>
    <row r="12" spans="1:17" x14ac:dyDescent="0.3">
      <c r="A12" s="10" t="s">
        <v>50</v>
      </c>
      <c r="B12" s="11">
        <v>1.4E-2</v>
      </c>
      <c r="C12" s="3"/>
      <c r="E12" s="5" t="str">
        <f t="shared" si="1"/>
        <v>MTRE3</v>
      </c>
      <c r="F12" s="5">
        <f t="shared" si="0"/>
        <v>1.1879000000000001E-2</v>
      </c>
      <c r="I12" s="7">
        <f>VLOOKUP(A12,'[3]29 - FIA'!$A$9:$B$222,2,0)</f>
        <v>1.4E-2</v>
      </c>
      <c r="J12" t="b">
        <f t="shared" si="2"/>
        <v>1</v>
      </c>
      <c r="K12" s="7">
        <f>VLOOKUP(A12,'[1]29 - FIA'!$A$9:$K$222,11,0)</f>
        <v>1.4999999999999999E-2</v>
      </c>
      <c r="L12" s="3">
        <f t="shared" si="3"/>
        <v>-9.9999999999999915E-4</v>
      </c>
      <c r="Q12"/>
    </row>
    <row r="13" spans="1:17" x14ac:dyDescent="0.3">
      <c r="A13" s="10" t="s">
        <v>26</v>
      </c>
      <c r="B13" s="11">
        <v>1.2E-2</v>
      </c>
      <c r="C13" s="3"/>
      <c r="E13" s="5" t="str">
        <f t="shared" si="1"/>
        <v>BRSR6</v>
      </c>
      <c r="F13" s="5">
        <f t="shared" si="0"/>
        <v>1.0182E-2</v>
      </c>
      <c r="I13" s="7">
        <f>VLOOKUP(A13,'[3]29 - FIA'!$A$9:$B$222,2,0)</f>
        <v>1.2E-2</v>
      </c>
      <c r="J13" t="b">
        <f t="shared" si="2"/>
        <v>1</v>
      </c>
      <c r="K13" s="7">
        <f>VLOOKUP(A13,'[1]29 - FIA'!$A$9:$K$222,11,0)</f>
        <v>1.2E-2</v>
      </c>
      <c r="L13" s="3">
        <f t="shared" si="3"/>
        <v>0</v>
      </c>
      <c r="Q13"/>
    </row>
    <row r="14" spans="1:17" x14ac:dyDescent="0.3">
      <c r="A14" s="10" t="s">
        <v>62</v>
      </c>
      <c r="B14" s="11">
        <v>8.9999999999999993E-3</v>
      </c>
      <c r="C14" s="3"/>
      <c r="E14" s="5" t="str">
        <f t="shared" si="1"/>
        <v>GRND3</v>
      </c>
      <c r="F14" s="5">
        <f t="shared" si="0"/>
        <v>7.6365000000000001E-3</v>
      </c>
      <c r="I14" s="7">
        <f>VLOOKUP(A14,'[3]29 - FIA'!$A$9:$B$222,2,0)</f>
        <v>8.9999999999999993E-3</v>
      </c>
      <c r="J14" t="b">
        <f t="shared" si="2"/>
        <v>1</v>
      </c>
      <c r="K14" s="7">
        <f>VLOOKUP(A14,'[1]29 - FIA'!$A$9:$K$222,11,0)</f>
        <v>8.9999999999999993E-3</v>
      </c>
      <c r="L14" s="3">
        <f t="shared" si="3"/>
        <v>0</v>
      </c>
      <c r="Q14"/>
    </row>
    <row r="15" spans="1:17" x14ac:dyDescent="0.3">
      <c r="A15" s="10" t="s">
        <v>23</v>
      </c>
      <c r="B15" s="11">
        <v>1.9E-2</v>
      </c>
      <c r="C15" s="3"/>
      <c r="E15" s="5" t="str">
        <f t="shared" si="1"/>
        <v>TIMS3</v>
      </c>
      <c r="F15" s="5">
        <f t="shared" si="0"/>
        <v>1.61215E-2</v>
      </c>
      <c r="I15" s="7">
        <f>VLOOKUP(A15,'[3]29 - FIA'!$A$9:$B$222,2,0)</f>
        <v>1.9E-2</v>
      </c>
      <c r="J15" t="b">
        <f t="shared" si="2"/>
        <v>1</v>
      </c>
      <c r="K15" s="7">
        <f>VLOOKUP(A15,'[1]29 - FIA'!$A$9:$K$222,11,0)</f>
        <v>1.9E-2</v>
      </c>
      <c r="L15" s="3">
        <f t="shared" si="3"/>
        <v>0</v>
      </c>
      <c r="Q15"/>
    </row>
    <row r="16" spans="1:17" x14ac:dyDescent="0.3">
      <c r="A16" s="10" t="s">
        <v>47</v>
      </c>
      <c r="B16" s="11">
        <v>1.0999999999999999E-2</v>
      </c>
      <c r="C16" s="3"/>
      <c r="E16" s="5" t="str">
        <f t="shared" si="1"/>
        <v>SAPR4</v>
      </c>
      <c r="F16" s="5">
        <f t="shared" si="0"/>
        <v>9.3334999999999998E-3</v>
      </c>
      <c r="I16" s="7">
        <f>VLOOKUP(A16,'[3]29 - FIA'!$A$9:$B$222,2,0)</f>
        <v>1.0999999999999999E-2</v>
      </c>
      <c r="J16" t="b">
        <f t="shared" si="2"/>
        <v>1</v>
      </c>
      <c r="K16" s="7">
        <f>VLOOKUP(A16,'[1]29 - FIA'!$A$9:$K$222,11,0)</f>
        <v>1.0999999999999999E-2</v>
      </c>
      <c r="L16" s="3">
        <f t="shared" si="3"/>
        <v>0</v>
      </c>
      <c r="Q16"/>
    </row>
    <row r="17" spans="1:17" x14ac:dyDescent="0.3">
      <c r="A17" s="10" t="s">
        <v>113</v>
      </c>
      <c r="B17" s="11">
        <v>8.0000000000000002E-3</v>
      </c>
      <c r="C17" s="3"/>
      <c r="E17" s="5" t="str">
        <f t="shared" si="1"/>
        <v>PFRM3</v>
      </c>
      <c r="F17" s="5">
        <f t="shared" si="0"/>
        <v>6.7880000000000006E-3</v>
      </c>
      <c r="I17" s="7">
        <f>VLOOKUP(A17,'[3]29 - FIA'!$A$9:$B$222,2,0)</f>
        <v>8.0000000000000002E-3</v>
      </c>
      <c r="J17" t="b">
        <f t="shared" si="2"/>
        <v>1</v>
      </c>
      <c r="K17" s="7">
        <f>VLOOKUP(A17,'[1]29 - FIA'!$A$9:$K$222,11,0)</f>
        <v>8.0000000000000002E-3</v>
      </c>
      <c r="L17" s="3">
        <f t="shared" si="3"/>
        <v>0</v>
      </c>
      <c r="Q17"/>
    </row>
    <row r="18" spans="1:17" x14ac:dyDescent="0.3">
      <c r="A18" s="10" t="s">
        <v>114</v>
      </c>
      <c r="B18" s="11">
        <v>1.0999999999999999E-2</v>
      </c>
      <c r="C18" s="3"/>
      <c r="E18" s="5" t="str">
        <f t="shared" si="1"/>
        <v>DEXP3</v>
      </c>
      <c r="F18" s="5">
        <f t="shared" si="0"/>
        <v>9.3334999999999998E-3</v>
      </c>
      <c r="I18" s="7">
        <f>VLOOKUP(A18,'[3]29 - FIA'!$A$9:$B$222,2,0)</f>
        <v>1.0999999999999999E-2</v>
      </c>
      <c r="J18" t="b">
        <f t="shared" si="2"/>
        <v>1</v>
      </c>
      <c r="K18" s="7">
        <f>VLOOKUP(A18,'[1]29 - FIA'!$A$9:$K$222,11,0)</f>
        <v>1.0999999999999999E-2</v>
      </c>
      <c r="L18" s="3">
        <f t="shared" si="3"/>
        <v>0</v>
      </c>
      <c r="Q18"/>
    </row>
    <row r="19" spans="1:17" x14ac:dyDescent="0.3">
      <c r="A19" s="10" t="s">
        <v>3</v>
      </c>
      <c r="B19" s="11">
        <v>5.5E-2</v>
      </c>
      <c r="C19" s="3"/>
      <c r="E19" s="5" t="str">
        <f t="shared" si="1"/>
        <v>PETR4</v>
      </c>
      <c r="F19" s="5">
        <f t="shared" si="0"/>
        <v>4.6667500000000001E-2</v>
      </c>
      <c r="I19" s="7">
        <f>VLOOKUP(A19,'[3]29 - FIA'!$A$9:$B$222,2,0)</f>
        <v>5.5E-2</v>
      </c>
      <c r="J19" t="b">
        <f t="shared" si="2"/>
        <v>1</v>
      </c>
      <c r="K19" s="7">
        <f>VLOOKUP(A19,'[1]29 - FIA'!$A$9:$K$222,11,0)</f>
        <v>2.7E-2</v>
      </c>
      <c r="L19" s="3">
        <f t="shared" si="3"/>
        <v>2.8000000000000001E-2</v>
      </c>
      <c r="Q19"/>
    </row>
    <row r="20" spans="1:17" x14ac:dyDescent="0.3">
      <c r="A20" s="10" t="s">
        <v>28</v>
      </c>
      <c r="B20" s="11">
        <v>1.0999999999999999E-2</v>
      </c>
      <c r="C20" s="3"/>
      <c r="E20" s="5" t="str">
        <f t="shared" si="1"/>
        <v>LEVE3</v>
      </c>
      <c r="F20" s="5">
        <f t="shared" si="0"/>
        <v>9.3334999999999998E-3</v>
      </c>
      <c r="I20" s="7">
        <f>VLOOKUP(A20,'[3]29 - FIA'!$A$9:$B$222,2,0)</f>
        <v>1.0999999999999999E-2</v>
      </c>
      <c r="J20" t="b">
        <f t="shared" si="2"/>
        <v>1</v>
      </c>
      <c r="K20" s="7">
        <f>VLOOKUP(A20,'[1]29 - FIA'!$A$9:$K$222,11,0)</f>
        <v>1.0999999999999999E-2</v>
      </c>
      <c r="L20" s="3">
        <f t="shared" si="3"/>
        <v>0</v>
      </c>
      <c r="Q20"/>
    </row>
    <row r="21" spans="1:17" x14ac:dyDescent="0.3">
      <c r="A21" s="10" t="s">
        <v>5</v>
      </c>
      <c r="B21" s="11">
        <v>0.05</v>
      </c>
      <c r="C21" s="3"/>
      <c r="E21" s="5" t="str">
        <f t="shared" si="1"/>
        <v>PETR3</v>
      </c>
      <c r="F21" s="5">
        <f t="shared" si="0"/>
        <v>4.2425000000000004E-2</v>
      </c>
      <c r="I21" s="7">
        <f>VLOOKUP(A21,'[3]29 - FIA'!$A$9:$B$222,2,0)</f>
        <v>0.05</v>
      </c>
      <c r="J21" t="b">
        <f t="shared" si="2"/>
        <v>1</v>
      </c>
      <c r="K21" s="7">
        <f>VLOOKUP(A21,'[1]29 - FIA'!$A$9:$K$222,11,0)</f>
        <v>2.7E-2</v>
      </c>
      <c r="L21" s="3">
        <f t="shared" si="3"/>
        <v>2.3000000000000003E-2</v>
      </c>
      <c r="Q21"/>
    </row>
    <row r="22" spans="1:17" x14ac:dyDescent="0.3">
      <c r="A22" s="10" t="s">
        <v>90</v>
      </c>
      <c r="B22" s="11">
        <v>1.4999999999999999E-2</v>
      </c>
      <c r="C22" s="3"/>
      <c r="E22" s="5" t="str">
        <f t="shared" si="1"/>
        <v>ABCB4</v>
      </c>
      <c r="F22" s="5">
        <f t="shared" si="0"/>
        <v>1.2727499999999999E-2</v>
      </c>
      <c r="I22" s="7">
        <f>VLOOKUP(A22,'[3]29 - FIA'!$A$9:$B$222,2,0)</f>
        <v>1.4999999999999999E-2</v>
      </c>
      <c r="J22" t="b">
        <f t="shared" si="2"/>
        <v>1</v>
      </c>
      <c r="K22" s="7">
        <f>VLOOKUP(A22,'[1]29 - FIA'!$A$9:$K$222,11,0)</f>
        <v>1.4999999999999999E-2</v>
      </c>
      <c r="L22" s="3">
        <f t="shared" si="3"/>
        <v>0</v>
      </c>
      <c r="Q22"/>
    </row>
    <row r="23" spans="1:17" x14ac:dyDescent="0.3">
      <c r="A23" s="10" t="s">
        <v>107</v>
      </c>
      <c r="B23" s="11">
        <v>8.9999999999999993E-3</v>
      </c>
      <c r="C23" s="3"/>
      <c r="E23" s="5" t="str">
        <f t="shared" si="1"/>
        <v>ALPA4</v>
      </c>
      <c r="F23" s="5">
        <f t="shared" si="0"/>
        <v>7.6365000000000001E-3</v>
      </c>
      <c r="I23" s="7">
        <f>VLOOKUP(A23,'[3]29 - FIA'!$A$9:$B$222,2,0)</f>
        <v>8.9999999999999993E-3</v>
      </c>
      <c r="J23" t="b">
        <f t="shared" si="2"/>
        <v>1</v>
      </c>
      <c r="K23" s="7">
        <f>VLOOKUP(A23,'[1]29 - FIA'!$A$9:$K$222,11,0)</f>
        <v>8.9999999999999993E-3</v>
      </c>
      <c r="L23" s="3">
        <f t="shared" si="3"/>
        <v>0</v>
      </c>
      <c r="Q23"/>
    </row>
    <row r="24" spans="1:17" x14ac:dyDescent="0.3">
      <c r="A24" s="10" t="s">
        <v>78</v>
      </c>
      <c r="B24" s="11">
        <v>1.0999999999999999E-2</v>
      </c>
      <c r="C24" s="3"/>
      <c r="E24" s="5" t="str">
        <f t="shared" si="1"/>
        <v>SAPR11</v>
      </c>
      <c r="F24" s="5">
        <f t="shared" si="0"/>
        <v>9.3334999999999998E-3</v>
      </c>
      <c r="I24" s="7">
        <f>VLOOKUP(A24,'[3]29 - FIA'!$A$9:$B$222,2,0)</f>
        <v>1.0999999999999999E-2</v>
      </c>
      <c r="J24" t="b">
        <f t="shared" si="2"/>
        <v>1</v>
      </c>
      <c r="K24" s="7">
        <f>VLOOKUP(A24,'[1]29 - FIA'!$A$9:$K$222,11,0)</f>
        <v>1.0999999999999999E-2</v>
      </c>
      <c r="L24" s="3">
        <f t="shared" si="3"/>
        <v>0</v>
      </c>
      <c r="Q24"/>
    </row>
    <row r="25" spans="1:17" x14ac:dyDescent="0.3">
      <c r="A25" s="10" t="s">
        <v>16</v>
      </c>
      <c r="B25" s="11">
        <v>0.01</v>
      </c>
      <c r="C25" s="3"/>
      <c r="E25" s="5" t="str">
        <f t="shared" si="1"/>
        <v>POMO4</v>
      </c>
      <c r="F25" s="5">
        <f t="shared" si="0"/>
        <v>8.4850000000000012E-3</v>
      </c>
      <c r="I25" s="7">
        <f>VLOOKUP(A25,'[3]29 - FIA'!$A$9:$B$222,2,0)</f>
        <v>0.01</v>
      </c>
      <c r="J25" t="b">
        <f t="shared" si="2"/>
        <v>1</v>
      </c>
      <c r="K25" s="7">
        <f>VLOOKUP(A25,'[1]29 - FIA'!$A$9:$K$222,11,0)</f>
        <v>0.01</v>
      </c>
      <c r="L25" s="3">
        <f t="shared" si="3"/>
        <v>0</v>
      </c>
      <c r="Q25"/>
    </row>
    <row r="26" spans="1:17" x14ac:dyDescent="0.3">
      <c r="A26" s="10" t="s">
        <v>115</v>
      </c>
      <c r="B26" s="11">
        <v>0.01</v>
      </c>
      <c r="C26" s="3"/>
      <c r="E26" s="5" t="str">
        <f t="shared" si="1"/>
        <v>LOGG3</v>
      </c>
      <c r="F26" s="5">
        <f t="shared" si="0"/>
        <v>8.4850000000000012E-3</v>
      </c>
      <c r="I26" s="7">
        <f>VLOOKUP(A26,'[3]29 - FIA'!$A$9:$B$222,2,0)</f>
        <v>0.01</v>
      </c>
      <c r="J26" t="b">
        <f t="shared" si="2"/>
        <v>1</v>
      </c>
      <c r="K26" s="7">
        <f>VLOOKUP(A26,'[1]29 - FIA'!$A$9:$K$222,11,0)</f>
        <v>0.01</v>
      </c>
      <c r="L26" s="3">
        <f t="shared" si="3"/>
        <v>0</v>
      </c>
      <c r="Q26"/>
    </row>
    <row r="27" spans="1:17" x14ac:dyDescent="0.3">
      <c r="A27" s="10" t="s">
        <v>116</v>
      </c>
      <c r="B27" s="11">
        <v>0.01</v>
      </c>
      <c r="C27" s="3"/>
      <c r="E27" s="5" t="str">
        <f t="shared" si="1"/>
        <v>ODPV3</v>
      </c>
      <c r="F27" s="5">
        <f t="shared" si="0"/>
        <v>8.4850000000000012E-3</v>
      </c>
      <c r="I27" s="7">
        <f>VLOOKUP(A27,'[3]29 - FIA'!$A$9:$B$222,2,0)</f>
        <v>0.01</v>
      </c>
      <c r="J27" t="b">
        <f t="shared" si="2"/>
        <v>1</v>
      </c>
      <c r="K27" s="7">
        <f>VLOOKUP(A27,'[1]29 - FIA'!$A$9:$K$222,11,0)</f>
        <v>0.01</v>
      </c>
      <c r="L27" s="3">
        <f t="shared" si="3"/>
        <v>0</v>
      </c>
      <c r="Q27"/>
    </row>
    <row r="28" spans="1:17" x14ac:dyDescent="0.3">
      <c r="A28" s="10" t="s">
        <v>117</v>
      </c>
      <c r="B28" s="11">
        <v>1.0999999999999999E-2</v>
      </c>
      <c r="C28" s="3"/>
      <c r="E28" s="5" t="str">
        <f t="shared" si="1"/>
        <v>EVEN3</v>
      </c>
      <c r="F28" s="5">
        <f t="shared" si="0"/>
        <v>9.3334999999999998E-3</v>
      </c>
      <c r="I28" s="7">
        <f>VLOOKUP(A28,'[3]29 - FIA'!$A$9:$B$222,2,0)</f>
        <v>1.0999999999999999E-2</v>
      </c>
      <c r="J28" t="b">
        <f t="shared" si="2"/>
        <v>1</v>
      </c>
      <c r="K28" s="7">
        <f>VLOOKUP(A28,'[1]29 - FIA'!$A$9:$K$222,11,0)</f>
        <v>1.2E-2</v>
      </c>
      <c r="L28" s="3">
        <f t="shared" si="3"/>
        <v>-1.0000000000000009E-3</v>
      </c>
      <c r="Q28"/>
    </row>
    <row r="29" spans="1:17" x14ac:dyDescent="0.3">
      <c r="A29" s="10" t="s">
        <v>30</v>
      </c>
      <c r="B29" s="11">
        <v>1.0999999999999999E-2</v>
      </c>
      <c r="C29" s="3"/>
      <c r="E29" s="5" t="str">
        <f t="shared" si="1"/>
        <v>CURY3</v>
      </c>
      <c r="F29" s="5">
        <f t="shared" si="0"/>
        <v>9.3334999999999998E-3</v>
      </c>
      <c r="I29" s="7">
        <f>VLOOKUP(A29,'[3]29 - FIA'!$A$9:$B$222,2,0)</f>
        <v>1.0999999999999999E-2</v>
      </c>
      <c r="J29" t="b">
        <f t="shared" si="2"/>
        <v>1</v>
      </c>
      <c r="K29" s="7">
        <f>VLOOKUP(A29,'[1]29 - FIA'!$A$9:$K$222,11,0)</f>
        <v>1.0999999999999999E-2</v>
      </c>
      <c r="L29" s="3">
        <f t="shared" si="3"/>
        <v>0</v>
      </c>
      <c r="Q29"/>
    </row>
    <row r="30" spans="1:17" x14ac:dyDescent="0.3">
      <c r="A30" s="10" t="s">
        <v>45</v>
      </c>
      <c r="B30" s="11">
        <v>1.6E-2</v>
      </c>
      <c r="C30" s="3"/>
      <c r="E30" s="5" t="str">
        <f t="shared" si="1"/>
        <v>ALOS3</v>
      </c>
      <c r="F30" s="5">
        <f t="shared" si="0"/>
        <v>1.3576000000000001E-2</v>
      </c>
      <c r="I30" s="7">
        <f>VLOOKUP(A30,'[3]29 - FIA'!$A$9:$B$222,2,0)</f>
        <v>1.6E-2</v>
      </c>
      <c r="J30" t="b">
        <f t="shared" si="2"/>
        <v>1</v>
      </c>
      <c r="K30" s="7">
        <f>VLOOKUP(A30,'[1]29 - FIA'!$A$9:$K$222,11,0)</f>
        <v>1.6E-2</v>
      </c>
      <c r="L30" s="3">
        <f t="shared" si="3"/>
        <v>0</v>
      </c>
      <c r="Q30"/>
    </row>
    <row r="31" spans="1:17" x14ac:dyDescent="0.3">
      <c r="A31" s="10" t="s">
        <v>118</v>
      </c>
      <c r="B31" s="11">
        <v>2.1000000000000001E-2</v>
      </c>
      <c r="C31" s="3"/>
      <c r="E31" s="5" t="str">
        <f t="shared" si="1"/>
        <v>ITSA3</v>
      </c>
      <c r="F31" s="5">
        <f t="shared" si="0"/>
        <v>1.7818500000000001E-2</v>
      </c>
      <c r="I31" s="7">
        <f>VLOOKUP(A31,'[3]29 - FIA'!$A$9:$B$222,2,0)</f>
        <v>2.1000000000000001E-2</v>
      </c>
      <c r="J31" t="b">
        <f t="shared" si="2"/>
        <v>1</v>
      </c>
      <c r="K31" s="7">
        <f>VLOOKUP(A31,'[1]29 - FIA'!$A$9:$K$222,11,0)</f>
        <v>2.1000000000000001E-2</v>
      </c>
      <c r="L31" s="3">
        <f t="shared" si="3"/>
        <v>0</v>
      </c>
      <c r="Q31"/>
    </row>
    <row r="32" spans="1:17" x14ac:dyDescent="0.3">
      <c r="A32" s="10" t="s">
        <v>106</v>
      </c>
      <c r="B32" s="11">
        <v>1.15E-2</v>
      </c>
      <c r="C32" s="3"/>
      <c r="E32" s="5" t="str">
        <f t="shared" si="1"/>
        <v>MELK3</v>
      </c>
      <c r="F32" s="5">
        <f t="shared" si="0"/>
        <v>9.7577500000000008E-3</v>
      </c>
      <c r="I32" s="7">
        <f>VLOOKUP(A32,'[3]29 - FIA'!$A$9:$B$222,2,0)</f>
        <v>1.15E-2</v>
      </c>
      <c r="J32" t="b">
        <f t="shared" si="2"/>
        <v>1</v>
      </c>
      <c r="K32" s="7">
        <f>VLOOKUP(A32,'[1]29 - FIA'!$A$9:$K$222,11,0)</f>
        <v>1.2999999999999999E-2</v>
      </c>
      <c r="L32" s="3">
        <f t="shared" si="3"/>
        <v>-1.4999999999999996E-3</v>
      </c>
      <c r="Q32"/>
    </row>
    <row r="33" spans="1:17" x14ac:dyDescent="0.3">
      <c r="A33" s="10" t="s">
        <v>42</v>
      </c>
      <c r="B33" s="11">
        <v>1.2500000000000001E-2</v>
      </c>
      <c r="C33" s="3"/>
      <c r="E33" s="5" t="str">
        <f t="shared" si="1"/>
        <v>VLID3</v>
      </c>
      <c r="F33" s="5">
        <f t="shared" si="0"/>
        <v>1.0606250000000001E-2</v>
      </c>
      <c r="I33" s="7">
        <f>VLOOKUP(A33,'[3]29 - FIA'!$A$9:$B$222,2,0)</f>
        <v>1.2500000000000001E-2</v>
      </c>
      <c r="J33" t="b">
        <f t="shared" si="2"/>
        <v>1</v>
      </c>
      <c r="K33" s="7">
        <f>VLOOKUP(A33,'[1]29 - FIA'!$A$9:$K$222,11,0)</f>
        <v>1.4E-2</v>
      </c>
      <c r="L33" s="3">
        <f t="shared" si="3"/>
        <v>-1.4999999999999996E-3</v>
      </c>
      <c r="Q33"/>
    </row>
    <row r="34" spans="1:17" x14ac:dyDescent="0.3">
      <c r="A34" s="10" t="s">
        <v>53</v>
      </c>
      <c r="B34" s="11">
        <v>5.0000000000000001E-3</v>
      </c>
      <c r="C34" s="3"/>
      <c r="E34" s="5" t="str">
        <f t="shared" si="1"/>
        <v>TRIS3</v>
      </c>
      <c r="F34" s="5">
        <f t="shared" ref="F34:F66" si="4">(1-$F$72-$F$73-$F$74)*B34</f>
        <v>4.2425000000000006E-3</v>
      </c>
      <c r="I34" s="7">
        <f>VLOOKUP(A34,'[3]29 - FIA'!$A$9:$B$222,2,0)</f>
        <v>5.0000000000000001E-3</v>
      </c>
      <c r="J34" t="b">
        <f t="shared" si="2"/>
        <v>1</v>
      </c>
      <c r="K34" s="7">
        <f>VLOOKUP(A34,'[1]29 - FIA'!$A$9:$K$222,11,0)</f>
        <v>5.0000000000000001E-3</v>
      </c>
      <c r="L34" s="3">
        <f t="shared" si="3"/>
        <v>0</v>
      </c>
      <c r="Q34"/>
    </row>
    <row r="35" spans="1:17" x14ac:dyDescent="0.3">
      <c r="A35" s="10" t="s">
        <v>96</v>
      </c>
      <c r="B35" s="11">
        <v>1.2E-2</v>
      </c>
      <c r="C35" s="3"/>
      <c r="E35" s="5" t="str">
        <f t="shared" si="1"/>
        <v>VULC3</v>
      </c>
      <c r="F35" s="5">
        <f t="shared" si="4"/>
        <v>1.0182E-2</v>
      </c>
      <c r="I35" s="7">
        <f>VLOOKUP(A35,'[3]29 - FIA'!$A$9:$B$222,2,0)</f>
        <v>1.2E-2</v>
      </c>
      <c r="J35" t="b">
        <f t="shared" si="2"/>
        <v>1</v>
      </c>
      <c r="K35" s="7">
        <f>VLOOKUP(A35,'[1]29 - FIA'!$A$9:$K$222,11,0)</f>
        <v>1.2E-2</v>
      </c>
      <c r="L35" s="3">
        <f t="shared" si="3"/>
        <v>0</v>
      </c>
      <c r="Q35"/>
    </row>
    <row r="36" spans="1:17" x14ac:dyDescent="0.3">
      <c r="A36" s="10" t="s">
        <v>119</v>
      </c>
      <c r="B36" s="11">
        <v>1.0999999999999999E-2</v>
      </c>
      <c r="C36" s="3"/>
      <c r="E36" s="5" t="str">
        <f t="shared" si="1"/>
        <v>INTB3</v>
      </c>
      <c r="F36" s="5">
        <f t="shared" si="4"/>
        <v>9.3334999999999998E-3</v>
      </c>
      <c r="I36" s="7">
        <f>VLOOKUP(A36,'[3]29 - FIA'!$A$9:$B$222,2,0)</f>
        <v>1.0999999999999999E-2</v>
      </c>
      <c r="J36" t="b">
        <f t="shared" si="2"/>
        <v>1</v>
      </c>
      <c r="K36" s="7">
        <f>VLOOKUP(A36,'[1]29 - FIA'!$A$9:$K$222,11,0)</f>
        <v>1.0999999999999999E-2</v>
      </c>
      <c r="L36" s="3">
        <f t="shared" si="3"/>
        <v>0</v>
      </c>
      <c r="Q36"/>
    </row>
    <row r="37" spans="1:17" x14ac:dyDescent="0.3">
      <c r="A37" s="10" t="s">
        <v>104</v>
      </c>
      <c r="B37" s="11">
        <v>8.0000000000000002E-3</v>
      </c>
      <c r="C37" s="3"/>
      <c r="E37" s="5" t="str">
        <f t="shared" si="1"/>
        <v>BMEB4</v>
      </c>
      <c r="F37" s="5">
        <f t="shared" si="4"/>
        <v>6.7880000000000006E-3</v>
      </c>
      <c r="I37" s="7">
        <f>VLOOKUP(A37,'[3]29 - FIA'!$A$9:$B$222,2,0)</f>
        <v>8.0000000000000002E-3</v>
      </c>
      <c r="J37" t="b">
        <f t="shared" si="2"/>
        <v>1</v>
      </c>
      <c r="K37" s="7">
        <f>VLOOKUP(A37,'[1]29 - FIA'!$A$9:$K$222,11,0)</f>
        <v>8.0000000000000002E-3</v>
      </c>
      <c r="L37" s="3">
        <f t="shared" si="3"/>
        <v>0</v>
      </c>
      <c r="Q37"/>
    </row>
    <row r="38" spans="1:17" x14ac:dyDescent="0.3">
      <c r="A38" s="10" t="s">
        <v>120</v>
      </c>
      <c r="B38" s="11">
        <v>7.0000000000000001E-3</v>
      </c>
      <c r="C38" s="3"/>
      <c r="E38" s="5" t="str">
        <f t="shared" si="1"/>
        <v>MLAS3</v>
      </c>
      <c r="F38" s="5">
        <f t="shared" si="4"/>
        <v>5.9395000000000003E-3</v>
      </c>
      <c r="I38" s="7">
        <f>VLOOKUP(A38,'[3]29 - FIA'!$A$9:$B$222,2,0)</f>
        <v>7.0000000000000001E-3</v>
      </c>
      <c r="J38" t="b">
        <f t="shared" si="2"/>
        <v>1</v>
      </c>
      <c r="K38" s="7">
        <f>VLOOKUP(A38,'[1]29 - FIA'!$A$9:$K$222,11,0)</f>
        <v>7.0000000000000001E-3</v>
      </c>
      <c r="L38" s="3">
        <f t="shared" si="3"/>
        <v>0</v>
      </c>
      <c r="Q38"/>
    </row>
    <row r="39" spans="1:17" x14ac:dyDescent="0.3">
      <c r="A39" s="10" t="s">
        <v>91</v>
      </c>
      <c r="B39" s="11">
        <v>0.02</v>
      </c>
      <c r="C39" s="3"/>
      <c r="E39" s="5" t="str">
        <f t="shared" si="1"/>
        <v>ALUP11</v>
      </c>
      <c r="F39" s="5">
        <f t="shared" si="4"/>
        <v>1.6970000000000002E-2</v>
      </c>
      <c r="I39" s="7">
        <f>VLOOKUP(A39,'[3]29 - FIA'!$A$9:$B$222,2,0)</f>
        <v>0.02</v>
      </c>
      <c r="J39" t="b">
        <f t="shared" si="2"/>
        <v>1</v>
      </c>
      <c r="K39" s="7">
        <f>VLOOKUP(A39,'[1]29 - FIA'!$A$9:$K$222,11,0)</f>
        <v>0.02</v>
      </c>
      <c r="L39" s="3">
        <f t="shared" si="3"/>
        <v>0</v>
      </c>
      <c r="Q39"/>
    </row>
    <row r="40" spans="1:17" x14ac:dyDescent="0.3">
      <c r="A40" s="10" t="s">
        <v>108</v>
      </c>
      <c r="B40" s="11">
        <v>1.2E-2</v>
      </c>
      <c r="C40" s="3"/>
      <c r="E40" s="5" t="str">
        <f t="shared" si="1"/>
        <v>PNVL3</v>
      </c>
      <c r="F40" s="5">
        <f t="shared" si="4"/>
        <v>1.0182E-2</v>
      </c>
      <c r="I40" s="7">
        <f>VLOOKUP(A40,'[3]29 - FIA'!$A$9:$B$222,2,0)</f>
        <v>1.2E-2</v>
      </c>
      <c r="J40" t="b">
        <f t="shared" si="2"/>
        <v>1</v>
      </c>
      <c r="K40" s="7">
        <f>VLOOKUP(A40,'[1]29 - FIA'!$A$9:$K$222,11,0)</f>
        <v>1.2E-2</v>
      </c>
      <c r="L40" s="3">
        <f t="shared" si="3"/>
        <v>0</v>
      </c>
      <c r="Q40"/>
    </row>
    <row r="41" spans="1:17" x14ac:dyDescent="0.3">
      <c r="A41" s="10" t="s">
        <v>59</v>
      </c>
      <c r="B41" s="11">
        <v>1.4999999999999999E-2</v>
      </c>
      <c r="C41" s="3"/>
      <c r="E41" s="5" t="str">
        <f t="shared" si="1"/>
        <v>RECV3</v>
      </c>
      <c r="F41" s="5">
        <f t="shared" si="4"/>
        <v>1.2727499999999999E-2</v>
      </c>
      <c r="I41" s="7">
        <f>VLOOKUP(A41,'[3]29 - FIA'!$A$9:$B$222,2,0)</f>
        <v>1.4999999999999999E-2</v>
      </c>
      <c r="J41" t="b">
        <f t="shared" si="2"/>
        <v>1</v>
      </c>
      <c r="K41" s="7">
        <f>VLOOKUP(A41,'[1]29 - FIA'!$A$9:$K$222,11,0)</f>
        <v>1.4999999999999999E-2</v>
      </c>
      <c r="L41" s="3">
        <f t="shared" si="3"/>
        <v>0</v>
      </c>
      <c r="Q41"/>
    </row>
    <row r="42" spans="1:17" x14ac:dyDescent="0.3">
      <c r="A42" s="10" t="s">
        <v>95</v>
      </c>
      <c r="B42" s="11">
        <v>1.4E-2</v>
      </c>
      <c r="C42" s="3"/>
      <c r="E42" s="5" t="str">
        <f t="shared" si="1"/>
        <v>OPCT3</v>
      </c>
      <c r="F42" s="5">
        <f t="shared" si="4"/>
        <v>1.1879000000000001E-2</v>
      </c>
      <c r="I42" s="7">
        <f>VLOOKUP(A42,'[3]29 - FIA'!$A$9:$B$222,2,0)</f>
        <v>1.4E-2</v>
      </c>
      <c r="J42" t="b">
        <f t="shared" si="2"/>
        <v>1</v>
      </c>
      <c r="K42" s="7">
        <f>VLOOKUP(A42,'[1]29 - FIA'!$A$9:$K$222,11,0)</f>
        <v>1.4E-2</v>
      </c>
      <c r="L42" s="3">
        <f t="shared" si="3"/>
        <v>0</v>
      </c>
      <c r="Q42"/>
    </row>
    <row r="43" spans="1:17" x14ac:dyDescent="0.3">
      <c r="A43" s="10" t="s">
        <v>38</v>
      </c>
      <c r="B43" s="11">
        <v>1.0999999999999999E-2</v>
      </c>
      <c r="C43" s="3"/>
      <c r="E43" s="5" t="str">
        <f t="shared" si="1"/>
        <v>LAVV3</v>
      </c>
      <c r="F43" s="5">
        <f t="shared" si="4"/>
        <v>9.3334999999999998E-3</v>
      </c>
      <c r="I43" s="7">
        <f>VLOOKUP(A43,'[3]29 - FIA'!$A$9:$B$222,2,0)</f>
        <v>1.0999999999999999E-2</v>
      </c>
      <c r="J43" t="b">
        <f t="shared" si="2"/>
        <v>1</v>
      </c>
      <c r="K43" s="7">
        <f>VLOOKUP(A43,'[1]29 - FIA'!$A$9:$K$222,11,0)</f>
        <v>1.4E-2</v>
      </c>
      <c r="L43" s="3">
        <f t="shared" si="3"/>
        <v>-3.0000000000000009E-3</v>
      </c>
      <c r="Q43"/>
    </row>
    <row r="44" spans="1:17" x14ac:dyDescent="0.3">
      <c r="A44" s="10" t="s">
        <v>13</v>
      </c>
      <c r="B44" s="11">
        <v>1.6E-2</v>
      </c>
      <c r="C44" s="3"/>
      <c r="E44" s="5" t="str">
        <f t="shared" si="1"/>
        <v>VIVT3</v>
      </c>
      <c r="F44" s="5">
        <f t="shared" si="4"/>
        <v>1.3576000000000001E-2</v>
      </c>
      <c r="I44" s="7">
        <f>VLOOKUP(A44,'[3]29 - FIA'!$A$9:$B$222,2,0)</f>
        <v>1.6E-2</v>
      </c>
      <c r="J44" t="b">
        <f t="shared" si="2"/>
        <v>1</v>
      </c>
      <c r="K44" s="7">
        <f>VLOOKUP(A44,'[1]29 - FIA'!$A$9:$K$222,11,0)</f>
        <v>1.6E-2</v>
      </c>
      <c r="L44" s="3">
        <f t="shared" si="3"/>
        <v>0</v>
      </c>
      <c r="Q44"/>
    </row>
    <row r="45" spans="1:17" x14ac:dyDescent="0.3">
      <c r="A45" s="10" t="s">
        <v>100</v>
      </c>
      <c r="B45" s="11">
        <v>8.9999999999999993E-3</v>
      </c>
      <c r="C45" s="3"/>
      <c r="E45" s="5" t="str">
        <f t="shared" si="1"/>
        <v>PINE4</v>
      </c>
      <c r="F45" s="5">
        <f t="shared" si="4"/>
        <v>7.6365000000000001E-3</v>
      </c>
      <c r="I45" s="7">
        <f>VLOOKUP(A45,'[3]29 - FIA'!$A$9:$B$222,2,0)</f>
        <v>8.9999999999999993E-3</v>
      </c>
      <c r="J45" t="b">
        <f t="shared" si="2"/>
        <v>1</v>
      </c>
      <c r="K45" s="7">
        <f>VLOOKUP(A45,'[1]29 - FIA'!$A$9:$K$222,11,0)</f>
        <v>8.9999999999999993E-3</v>
      </c>
      <c r="L45" s="3">
        <f t="shared" si="3"/>
        <v>0</v>
      </c>
      <c r="Q45"/>
    </row>
    <row r="46" spans="1:17" x14ac:dyDescent="0.3">
      <c r="A46" s="10" t="s">
        <v>73</v>
      </c>
      <c r="B46" s="11">
        <v>0.01</v>
      </c>
      <c r="C46" s="3"/>
      <c r="E46" s="5" t="str">
        <f t="shared" si="1"/>
        <v>BMOB3</v>
      </c>
      <c r="F46" s="5">
        <f t="shared" si="4"/>
        <v>8.4850000000000012E-3</v>
      </c>
      <c r="I46" s="7">
        <f>VLOOKUP(A46,'[3]29 - FIA'!$A$9:$B$222,2,0)</f>
        <v>0.01</v>
      </c>
      <c r="J46" t="b">
        <f t="shared" si="2"/>
        <v>1</v>
      </c>
      <c r="K46" s="7">
        <f>VLOOKUP(A46,'[1]29 - FIA'!$A$9:$K$222,11,0)</f>
        <v>1.2E-2</v>
      </c>
      <c r="L46" s="3">
        <f t="shared" si="3"/>
        <v>-2E-3</v>
      </c>
      <c r="Q46"/>
    </row>
    <row r="47" spans="1:17" x14ac:dyDescent="0.3">
      <c r="A47" s="10" t="s">
        <v>121</v>
      </c>
      <c r="B47" s="11">
        <v>0.01</v>
      </c>
      <c r="C47" s="3"/>
      <c r="E47" s="5" t="str">
        <f t="shared" si="1"/>
        <v>POSI3</v>
      </c>
      <c r="F47" s="5">
        <f t="shared" si="4"/>
        <v>8.4850000000000012E-3</v>
      </c>
      <c r="I47" s="7">
        <f>VLOOKUP(A47,'[3]29 - FIA'!$A$9:$B$222,2,0)</f>
        <v>0.01</v>
      </c>
      <c r="J47" t="b">
        <f t="shared" si="2"/>
        <v>1</v>
      </c>
      <c r="K47" s="7">
        <f>VLOOKUP(A47,'[1]29 - FIA'!$A$9:$K$222,11,0)</f>
        <v>1.4E-2</v>
      </c>
      <c r="L47" s="3">
        <f t="shared" si="3"/>
        <v>-4.0000000000000001E-3</v>
      </c>
      <c r="Q47"/>
    </row>
    <row r="48" spans="1:17" x14ac:dyDescent="0.3">
      <c r="A48" s="10" t="s">
        <v>68</v>
      </c>
      <c r="B48" s="11">
        <v>2.5000000000000001E-2</v>
      </c>
      <c r="C48" s="3"/>
      <c r="E48" s="5" t="str">
        <f t="shared" si="1"/>
        <v>ITSA4</v>
      </c>
      <c r="F48" s="5">
        <f t="shared" si="4"/>
        <v>2.1212500000000002E-2</v>
      </c>
      <c r="I48" s="7">
        <f>VLOOKUP(A48,'[3]29 - FIA'!$A$9:$B$222,2,0)</f>
        <v>2.5000000000000001E-2</v>
      </c>
      <c r="J48" t="b">
        <f t="shared" si="2"/>
        <v>1</v>
      </c>
      <c r="K48" s="7">
        <f>VLOOKUP(A48,'[1]29 - FIA'!$A$9:$K$222,11,0)</f>
        <v>2.5000000000000001E-2</v>
      </c>
      <c r="L48" s="3">
        <f t="shared" si="3"/>
        <v>0</v>
      </c>
      <c r="Q48"/>
    </row>
    <row r="49" spans="1:17" x14ac:dyDescent="0.3">
      <c r="A49" s="10" t="s">
        <v>66</v>
      </c>
      <c r="B49" s="11">
        <v>1.7000000000000001E-2</v>
      </c>
      <c r="C49" s="3"/>
      <c r="E49" s="5" t="str">
        <f t="shared" si="1"/>
        <v>ABEV3</v>
      </c>
      <c r="F49" s="5">
        <f t="shared" si="4"/>
        <v>1.4424500000000002E-2</v>
      </c>
      <c r="I49" s="7">
        <f>VLOOKUP(A49,'[3]29 - FIA'!$A$9:$B$222,2,0)</f>
        <v>1.7000000000000001E-2</v>
      </c>
      <c r="J49" t="b">
        <f t="shared" si="2"/>
        <v>1</v>
      </c>
      <c r="K49" s="7">
        <f>VLOOKUP(A49,'[1]29 - FIA'!$A$9:$K$222,11,0)</f>
        <v>1.4999999999999999E-2</v>
      </c>
      <c r="L49" s="3">
        <f t="shared" si="3"/>
        <v>2.0000000000000018E-3</v>
      </c>
      <c r="Q49"/>
    </row>
    <row r="50" spans="1:17" x14ac:dyDescent="0.3">
      <c r="A50" s="10" t="s">
        <v>122</v>
      </c>
      <c r="B50" s="11">
        <v>4.0000000000000001E-3</v>
      </c>
      <c r="C50" s="3"/>
      <c r="E50" s="5" t="str">
        <f t="shared" si="1"/>
        <v>VVEO3</v>
      </c>
      <c r="F50" s="5">
        <f t="shared" si="4"/>
        <v>3.3940000000000003E-3</v>
      </c>
      <c r="I50" s="7">
        <f>VLOOKUP(A50,'[3]29 - FIA'!$A$9:$B$222,2,0)</f>
        <v>4.0000000000000001E-3</v>
      </c>
      <c r="J50" t="b">
        <f t="shared" si="2"/>
        <v>1</v>
      </c>
      <c r="K50" s="7">
        <f>VLOOKUP(A50,'[1]29 - FIA'!$A$9:$K$222,11,0)</f>
        <v>4.0000000000000001E-3</v>
      </c>
      <c r="L50" s="3">
        <f t="shared" si="3"/>
        <v>0</v>
      </c>
      <c r="Q50"/>
    </row>
    <row r="51" spans="1:17" x14ac:dyDescent="0.3">
      <c r="A51" s="10" t="s">
        <v>75</v>
      </c>
      <c r="B51" s="11">
        <v>7.0000000000000001E-3</v>
      </c>
      <c r="C51" s="3"/>
      <c r="E51" s="5" t="str">
        <f t="shared" si="1"/>
        <v>MDNE3</v>
      </c>
      <c r="F51" s="5">
        <f t="shared" si="4"/>
        <v>5.9395000000000003E-3</v>
      </c>
      <c r="I51" s="7">
        <f>VLOOKUP(A51,'[3]29 - FIA'!$A$9:$B$222,2,0)</f>
        <v>7.0000000000000001E-3</v>
      </c>
      <c r="J51" t="b">
        <f t="shared" si="2"/>
        <v>1</v>
      </c>
      <c r="K51" s="7">
        <f>VLOOKUP(A51,'[1]29 - FIA'!$A$9:$K$222,11,0)</f>
        <v>8.9999999999999993E-3</v>
      </c>
      <c r="L51" s="3">
        <f t="shared" si="3"/>
        <v>-1.9999999999999992E-3</v>
      </c>
      <c r="Q51"/>
    </row>
    <row r="52" spans="1:17" x14ac:dyDescent="0.3">
      <c r="A52" s="10" t="s">
        <v>31</v>
      </c>
      <c r="B52" s="11">
        <v>1.2999999999999999E-2</v>
      </c>
      <c r="C52" s="3"/>
      <c r="E52" s="5" t="str">
        <f t="shared" si="1"/>
        <v>PSSA3</v>
      </c>
      <c r="F52" s="5">
        <f t="shared" si="4"/>
        <v>1.10305E-2</v>
      </c>
      <c r="I52" s="7">
        <f>VLOOKUP(A52,'[3]29 - FIA'!$A$9:$B$222,2,0)</f>
        <v>1.2999999999999999E-2</v>
      </c>
      <c r="J52" t="b">
        <f t="shared" si="2"/>
        <v>1</v>
      </c>
      <c r="K52" s="7">
        <f>VLOOKUP(A52,'[1]29 - FIA'!$A$9:$K$222,11,0)</f>
        <v>1.2999999999999999E-2</v>
      </c>
      <c r="L52" s="3">
        <f t="shared" si="3"/>
        <v>0</v>
      </c>
      <c r="Q52"/>
    </row>
    <row r="53" spans="1:17" x14ac:dyDescent="0.3">
      <c r="A53" s="10" t="s">
        <v>123</v>
      </c>
      <c r="B53" s="11">
        <v>6.0000000000000001E-3</v>
      </c>
      <c r="C53" s="3"/>
      <c r="E53" s="5" t="str">
        <f t="shared" si="1"/>
        <v>SEER3</v>
      </c>
      <c r="F53" s="5">
        <f t="shared" si="4"/>
        <v>5.091E-3</v>
      </c>
      <c r="I53" s="7">
        <f>VLOOKUP(A53,'[3]29 - FIA'!$A$9:$B$222,2,0)</f>
        <v>6.0000000000000001E-3</v>
      </c>
      <c r="J53" t="b">
        <f t="shared" si="2"/>
        <v>1</v>
      </c>
      <c r="K53" s="7">
        <f>VLOOKUP(A53,'[1]29 - FIA'!$A$9:$K$222,11,0)</f>
        <v>7.0000000000000001E-3</v>
      </c>
      <c r="L53" s="3">
        <f t="shared" si="3"/>
        <v>-1E-3</v>
      </c>
      <c r="Q53"/>
    </row>
    <row r="54" spans="1:17" x14ac:dyDescent="0.3">
      <c r="A54" s="10" t="s">
        <v>109</v>
      </c>
      <c r="B54" s="11">
        <v>0.01</v>
      </c>
      <c r="C54" s="3"/>
      <c r="E54" s="5" t="str">
        <f t="shared" si="1"/>
        <v>CAML3</v>
      </c>
      <c r="F54" s="5">
        <f t="shared" si="4"/>
        <v>8.4850000000000012E-3</v>
      </c>
      <c r="I54" s="7">
        <f>VLOOKUP(A54,'[3]29 - FIA'!$A$9:$B$222,2,0)</f>
        <v>0.01</v>
      </c>
      <c r="J54" t="b">
        <f t="shared" si="2"/>
        <v>1</v>
      </c>
      <c r="K54" s="7">
        <f>VLOOKUP(A54,'[1]29 - FIA'!$A$9:$K$222,11,0)</f>
        <v>0.01</v>
      </c>
      <c r="L54" s="3">
        <f t="shared" si="3"/>
        <v>0</v>
      </c>
      <c r="Q54"/>
    </row>
    <row r="55" spans="1:17" x14ac:dyDescent="0.3">
      <c r="A55" s="10" t="s">
        <v>124</v>
      </c>
      <c r="B55" s="11">
        <v>8.0000000000000002E-3</v>
      </c>
      <c r="C55" s="3"/>
      <c r="E55" s="5" t="str">
        <f t="shared" si="1"/>
        <v>HBRE3</v>
      </c>
      <c r="F55" s="5">
        <f t="shared" si="4"/>
        <v>6.7880000000000006E-3</v>
      </c>
      <c r="I55" s="7">
        <f>VLOOKUP(A55,'[3]29 - FIA'!$A$9:$B$222,2,0)</f>
        <v>8.0000000000000002E-3</v>
      </c>
      <c r="J55" t="b">
        <f t="shared" si="2"/>
        <v>1</v>
      </c>
      <c r="K55" s="7">
        <f>VLOOKUP(A55,'[1]29 - FIA'!$A$9:$K$222,11,0)</f>
        <v>8.0000000000000002E-3</v>
      </c>
      <c r="L55" s="3">
        <f t="shared" si="3"/>
        <v>0</v>
      </c>
      <c r="Q55"/>
    </row>
    <row r="56" spans="1:17" x14ac:dyDescent="0.3">
      <c r="A56" s="10" t="s">
        <v>94</v>
      </c>
      <c r="B56" s="11">
        <v>2.3E-2</v>
      </c>
      <c r="C56" s="3"/>
      <c r="E56" s="5" t="str">
        <f t="shared" si="1"/>
        <v>ITUB3</v>
      </c>
      <c r="F56" s="5">
        <f t="shared" si="4"/>
        <v>1.9515500000000002E-2</v>
      </c>
      <c r="I56" s="7">
        <f>VLOOKUP(A56,'[3]29 - FIA'!$A$9:$B$222,2,0)</f>
        <v>2.3E-2</v>
      </c>
      <c r="J56" t="b">
        <f t="shared" si="2"/>
        <v>1</v>
      </c>
      <c r="K56" s="7">
        <f>VLOOKUP(A56,'[1]29 - FIA'!$A$9:$K$222,11,0)</f>
        <v>2.3E-2</v>
      </c>
      <c r="L56" s="3">
        <f t="shared" si="3"/>
        <v>0</v>
      </c>
      <c r="Q56"/>
    </row>
    <row r="57" spans="1:17" x14ac:dyDescent="0.3">
      <c r="A57" s="10" t="s">
        <v>8</v>
      </c>
      <c r="B57" s="11">
        <v>0.02</v>
      </c>
      <c r="C57" s="3"/>
      <c r="E57" s="5" t="str">
        <f t="shared" si="1"/>
        <v>BBSE3</v>
      </c>
      <c r="F57" s="5">
        <f t="shared" si="4"/>
        <v>1.6970000000000002E-2</v>
      </c>
      <c r="I57" s="7">
        <f>VLOOKUP(A57,'[3]29 - FIA'!$A$9:$B$222,2,0)</f>
        <v>0.02</v>
      </c>
      <c r="J57" t="b">
        <f t="shared" si="2"/>
        <v>1</v>
      </c>
      <c r="K57" s="7">
        <f>VLOOKUP(A57,'[1]29 - FIA'!$A$9:$K$222,11,0)</f>
        <v>0.02</v>
      </c>
      <c r="L57" s="3">
        <f t="shared" si="3"/>
        <v>0</v>
      </c>
      <c r="Q57"/>
    </row>
    <row r="58" spans="1:17" x14ac:dyDescent="0.3">
      <c r="A58" s="10" t="s">
        <v>125</v>
      </c>
      <c r="B58" s="11">
        <v>1.7999999999999999E-2</v>
      </c>
      <c r="C58" s="3"/>
      <c r="E58" s="5" t="str">
        <f t="shared" si="1"/>
        <v>TAEE3</v>
      </c>
      <c r="F58" s="5">
        <f t="shared" si="4"/>
        <v>1.5273E-2</v>
      </c>
      <c r="I58" s="7">
        <f>VLOOKUP(A58,'[3]29 - FIA'!$A$9:$B$222,2,0)</f>
        <v>1.7999999999999999E-2</v>
      </c>
      <c r="J58" t="b">
        <f t="shared" si="2"/>
        <v>1</v>
      </c>
      <c r="K58" s="7">
        <f>VLOOKUP(A58,'[1]29 - FIA'!$A$9:$K$222,11,0)</f>
        <v>1.7999999999999999E-2</v>
      </c>
      <c r="L58" s="3">
        <f t="shared" si="3"/>
        <v>0</v>
      </c>
      <c r="Q58"/>
    </row>
    <row r="59" spans="1:17" x14ac:dyDescent="0.3">
      <c r="A59" s="10" t="s">
        <v>99</v>
      </c>
      <c r="B59" s="11">
        <v>1.7000000000000001E-2</v>
      </c>
      <c r="C59" s="3"/>
      <c r="E59" s="5" t="str">
        <f t="shared" si="1"/>
        <v>TAEE4</v>
      </c>
      <c r="F59" s="5">
        <f t="shared" si="4"/>
        <v>1.4424500000000002E-2</v>
      </c>
      <c r="I59" s="7">
        <f>VLOOKUP(A59,'[3]29 - FIA'!$A$9:$B$222,2,0)</f>
        <v>1.7000000000000001E-2</v>
      </c>
      <c r="J59" t="b">
        <f t="shared" si="2"/>
        <v>1</v>
      </c>
      <c r="K59" s="7">
        <f>VLOOKUP(A59,'[1]29 - FIA'!$A$9:$K$222,11,0)</f>
        <v>1.7000000000000001E-2</v>
      </c>
      <c r="L59" s="3">
        <f t="shared" si="3"/>
        <v>0</v>
      </c>
      <c r="Q59"/>
    </row>
    <row r="60" spans="1:17" x14ac:dyDescent="0.3">
      <c r="A60" s="10" t="s">
        <v>126</v>
      </c>
      <c r="B60" s="11">
        <v>6.0000000000000001E-3</v>
      </c>
      <c r="C60" s="3"/>
      <c r="E60" s="5" t="str">
        <f t="shared" si="1"/>
        <v>AZZA3</v>
      </c>
      <c r="F60" s="5">
        <f t="shared" si="4"/>
        <v>5.091E-3</v>
      </c>
      <c r="I60" s="7">
        <f>VLOOKUP(A60,'[3]29 - FIA'!$A$9:$B$222,2,0)</f>
        <v>6.0000000000000001E-3</v>
      </c>
      <c r="J60" t="b">
        <f t="shared" si="2"/>
        <v>1</v>
      </c>
      <c r="K60" s="7">
        <f>VLOOKUP(A60,'[1]29 - FIA'!$A$9:$K$222,11,0)</f>
        <v>8.9999999999999993E-3</v>
      </c>
      <c r="L60" s="3">
        <f t="shared" si="3"/>
        <v>-2.9999999999999992E-3</v>
      </c>
      <c r="Q60"/>
    </row>
    <row r="61" spans="1:17" x14ac:dyDescent="0.3">
      <c r="A61" s="10" t="s">
        <v>103</v>
      </c>
      <c r="B61" s="11">
        <v>2.3E-2</v>
      </c>
      <c r="C61" s="3"/>
      <c r="E61" s="5" t="str">
        <f t="shared" si="1"/>
        <v>AXIA6</v>
      </c>
      <c r="F61" s="5">
        <f t="shared" si="4"/>
        <v>1.9515500000000002E-2</v>
      </c>
      <c r="I61" s="7">
        <f>VLOOKUP(A61,'[3]29 - FIA'!$A$9:$B$222,2,0)</f>
        <v>2.3E-2</v>
      </c>
      <c r="J61" t="b">
        <f t="shared" si="2"/>
        <v>1</v>
      </c>
      <c r="K61" s="7">
        <f>VLOOKUP(A61,'[1]29 - FIA'!$A$9:$K$222,11,0)</f>
        <v>2.3E-2</v>
      </c>
      <c r="L61" s="3">
        <f t="shared" si="3"/>
        <v>0</v>
      </c>
      <c r="Q61"/>
    </row>
    <row r="62" spans="1:17" x14ac:dyDescent="0.3">
      <c r="A62" s="10" t="s">
        <v>12</v>
      </c>
      <c r="B62" s="11">
        <v>2.3E-2</v>
      </c>
      <c r="C62" s="3"/>
      <c r="E62" s="5" t="str">
        <f t="shared" si="1"/>
        <v>BBDC3</v>
      </c>
      <c r="F62" s="5">
        <f t="shared" si="4"/>
        <v>1.9515500000000002E-2</v>
      </c>
      <c r="I62" s="7">
        <f>VLOOKUP(A62,'[3]29 - FIA'!$A$9:$B$222,2,0)</f>
        <v>2.3E-2</v>
      </c>
      <c r="J62" t="b">
        <f t="shared" si="2"/>
        <v>1</v>
      </c>
      <c r="K62" s="7">
        <f>VLOOKUP(A62,'[1]29 - FIA'!$A$9:$K$222,11,0)</f>
        <v>2.3E-2</v>
      </c>
      <c r="L62" s="3">
        <f t="shared" si="3"/>
        <v>0</v>
      </c>
      <c r="Q62"/>
    </row>
    <row r="63" spans="1:17" x14ac:dyDescent="0.3">
      <c r="A63" s="10" t="s">
        <v>65</v>
      </c>
      <c r="B63" s="11">
        <v>1.0999999999999999E-2</v>
      </c>
      <c r="C63" s="3"/>
      <c r="E63" s="5" t="str">
        <f t="shared" si="1"/>
        <v>BRBI11</v>
      </c>
      <c r="F63" s="5">
        <f t="shared" si="4"/>
        <v>9.3334999999999998E-3</v>
      </c>
      <c r="I63" s="7">
        <f>VLOOKUP(A63,'[3]29 - FIA'!$A$9:$B$222,2,0)</f>
        <v>1.0999999999999999E-2</v>
      </c>
      <c r="J63" t="b">
        <f t="shared" si="2"/>
        <v>1</v>
      </c>
      <c r="K63" s="7">
        <f>VLOOKUP(A63,'[1]29 - FIA'!$A$9:$K$222,11,0)</f>
        <v>1.0999999999999999E-2</v>
      </c>
      <c r="L63" s="3">
        <f t="shared" si="3"/>
        <v>0</v>
      </c>
      <c r="Q63"/>
    </row>
    <row r="64" spans="1:17" x14ac:dyDescent="0.3">
      <c r="A64" s="10" t="s">
        <v>88</v>
      </c>
      <c r="B64" s="11">
        <v>2.1999999999999999E-2</v>
      </c>
      <c r="C64" s="3"/>
      <c r="E64" s="5" t="str">
        <f t="shared" si="1"/>
        <v>CPLE3</v>
      </c>
      <c r="F64" s="5">
        <f t="shared" si="4"/>
        <v>1.8667E-2</v>
      </c>
      <c r="I64" s="7">
        <f>VLOOKUP(A64,'[3]29 - FIA'!$A$9:$B$222,2,0)</f>
        <v>2.1999999999999999E-2</v>
      </c>
      <c r="J64" t="b">
        <f t="shared" si="2"/>
        <v>1</v>
      </c>
      <c r="K64" s="7">
        <f>VLOOKUP(A64,'[1]29 - FIA'!$A$9:$K$222,11,0)</f>
        <v>2.1999999999999999E-2</v>
      </c>
      <c r="L64" s="3">
        <f t="shared" si="3"/>
        <v>0</v>
      </c>
      <c r="O64" s="15"/>
    </row>
    <row r="65" spans="1:15" x14ac:dyDescent="0.3">
      <c r="A65" s="10" t="s">
        <v>27</v>
      </c>
      <c r="B65" s="11">
        <v>5.0000000000000001E-3</v>
      </c>
      <c r="C65" s="3"/>
      <c r="E65" s="5" t="str">
        <f t="shared" si="1"/>
        <v>BRAP4</v>
      </c>
      <c r="F65" s="5">
        <f t="shared" si="4"/>
        <v>4.2425000000000006E-3</v>
      </c>
      <c r="I65" s="7">
        <f>VLOOKUP(A65,'[3]29 - FIA'!$A$9:$B$222,2,0)</f>
        <v>5.0000000000000001E-3</v>
      </c>
      <c r="J65" t="b">
        <f t="shared" si="2"/>
        <v>1</v>
      </c>
      <c r="K65" s="7">
        <f>VLOOKUP(A65,'[1]29 - FIA'!$A$9:$K$222,11,0)</f>
        <v>0</v>
      </c>
      <c r="L65" s="3">
        <f t="shared" si="3"/>
        <v>5.0000000000000001E-3</v>
      </c>
      <c r="O65" s="15"/>
    </row>
    <row r="66" spans="1:15" x14ac:dyDescent="0.3">
      <c r="A66" s="10" t="s">
        <v>56</v>
      </c>
      <c r="B66" s="11">
        <v>7.4999999999999997E-3</v>
      </c>
      <c r="C66" s="3"/>
      <c r="E66" s="5" t="str">
        <f t="shared" si="1"/>
        <v>DIRR3</v>
      </c>
      <c r="F66" s="5">
        <f t="shared" si="4"/>
        <v>6.3637499999999996E-3</v>
      </c>
      <c r="I66" s="7">
        <f>VLOOKUP(A66,'[3]29 - FIA'!$A$9:$B$222,2,0)</f>
        <v>7.4999999999999997E-3</v>
      </c>
      <c r="J66" t="b">
        <f t="shared" si="2"/>
        <v>1</v>
      </c>
      <c r="K66" s="7">
        <f>VLOOKUP(A66,'[1]29 - FIA'!$A$9:$K$222,11,0)</f>
        <v>1.0999999999999999E-2</v>
      </c>
      <c r="L66" s="3">
        <f t="shared" si="3"/>
        <v>-3.4999999999999996E-3</v>
      </c>
      <c r="O66" s="15"/>
    </row>
    <row r="67" spans="1:15" x14ac:dyDescent="0.3">
      <c r="A67" s="10" t="s">
        <v>21</v>
      </c>
      <c r="B67" s="11">
        <v>1.7500000000000002E-2</v>
      </c>
      <c r="E67" s="5" t="str">
        <f t="shared" ref="E67:E71" si="5">A67</f>
        <v>CMIG4</v>
      </c>
      <c r="F67" s="5">
        <f t="shared" ref="F67:F71" si="6">(1-$F$72-$F$73-$F$74)*B67</f>
        <v>1.4848750000000003E-2</v>
      </c>
      <c r="I67" s="7">
        <f>VLOOKUP(A67,'[3]29 - FIA'!$A$9:$B$222,2,0)</f>
        <v>1.7500000000000002E-2</v>
      </c>
      <c r="J67" t="b">
        <f t="shared" ref="J67:J71" si="7">I67=B67</f>
        <v>1</v>
      </c>
      <c r="K67" s="7">
        <f>VLOOKUP(A67,'[1]29 - FIA'!$A$9:$K$222,11,0)</f>
        <v>2.1000000000000001E-2</v>
      </c>
      <c r="L67" s="3">
        <f t="shared" ref="L67:L71" si="8">I67-K67</f>
        <v>-3.4999999999999996E-3</v>
      </c>
    </row>
    <row r="68" spans="1:15" x14ac:dyDescent="0.3">
      <c r="A68" s="10" t="s">
        <v>127</v>
      </c>
      <c r="B68" s="11">
        <v>8.0000000000000002E-3</v>
      </c>
      <c r="E68" s="5" t="str">
        <f t="shared" si="5"/>
        <v>FESA4</v>
      </c>
      <c r="F68" s="5">
        <f t="shared" si="6"/>
        <v>6.7880000000000006E-3</v>
      </c>
      <c r="I68" s="7">
        <f>VLOOKUP(A68,'[3]29 - FIA'!$A$9:$B$222,2,0)</f>
        <v>8.0000000000000002E-3</v>
      </c>
      <c r="J68" t="b">
        <f t="shared" si="7"/>
        <v>1</v>
      </c>
      <c r="K68" s="7">
        <f>VLOOKUP(A68,'[1]29 - FIA'!$A$9:$K$222,11,0)</f>
        <v>8.0000000000000002E-3</v>
      </c>
      <c r="L68" s="3">
        <f t="shared" si="8"/>
        <v>0</v>
      </c>
    </row>
    <row r="69" spans="1:15" x14ac:dyDescent="0.3">
      <c r="A69" s="10" t="s">
        <v>128</v>
      </c>
      <c r="B69" s="11">
        <v>0.01</v>
      </c>
      <c r="E69" s="5" t="str">
        <f t="shared" si="5"/>
        <v>LREN3</v>
      </c>
      <c r="F69" s="5">
        <f t="shared" si="6"/>
        <v>8.4850000000000012E-3</v>
      </c>
      <c r="I69" s="7">
        <f>VLOOKUP(A69,'[3]29 - FIA'!$A$9:$B$222,2,0)</f>
        <v>0.01</v>
      </c>
      <c r="J69" t="b">
        <f t="shared" si="7"/>
        <v>1</v>
      </c>
      <c r="K69" s="7">
        <f>VLOOKUP(A69,'[1]29 - FIA'!$A$9:$K$222,11,0)</f>
        <v>1.4999999999999999E-2</v>
      </c>
      <c r="L69" s="3">
        <f t="shared" si="8"/>
        <v>-4.9999999999999992E-3</v>
      </c>
    </row>
    <row r="70" spans="1:15" x14ac:dyDescent="0.3">
      <c r="A70" s="10" t="s">
        <v>74</v>
      </c>
      <c r="B70" s="11">
        <v>3.1E-2</v>
      </c>
      <c r="E70" s="5" t="str">
        <f t="shared" si="5"/>
        <v>ITUB4</v>
      </c>
      <c r="F70" s="5">
        <f t="shared" si="6"/>
        <v>2.63035E-2</v>
      </c>
      <c r="I70" s="7">
        <f>VLOOKUP(A70,'[3]29 - FIA'!$A$9:$B$222,2,0)</f>
        <v>3.1E-2</v>
      </c>
      <c r="J70" t="b">
        <f t="shared" si="7"/>
        <v>1</v>
      </c>
      <c r="K70" s="7">
        <f>VLOOKUP(A70,'[1]29 - FIA'!$A$9:$K$222,11,0)</f>
        <v>3.1E-2</v>
      </c>
      <c r="L70" s="3">
        <f t="shared" si="8"/>
        <v>0</v>
      </c>
    </row>
    <row r="71" spans="1:15" x14ac:dyDescent="0.3">
      <c r="A71" s="10" t="s">
        <v>2</v>
      </c>
      <c r="B71" s="11">
        <v>5.7000000000000002E-2</v>
      </c>
      <c r="E71" s="5" t="str">
        <f t="shared" si="5"/>
        <v>VALE3</v>
      </c>
      <c r="F71" s="5">
        <f t="shared" si="6"/>
        <v>4.8364500000000005E-2</v>
      </c>
      <c r="I71" s="7">
        <f>VLOOKUP(A71,'[3]29 - FIA'!$A$9:$B$222,2,0)</f>
        <v>5.7000000000000002E-2</v>
      </c>
      <c r="J71" t="b">
        <f t="shared" si="7"/>
        <v>1</v>
      </c>
      <c r="K71" s="7">
        <f>VLOOKUP(A71,'[1]29 - FIA'!$A$9:$K$222,11,0)</f>
        <v>6.3E-2</v>
      </c>
      <c r="L71" s="3">
        <f t="shared" si="8"/>
        <v>-5.9999999999999984E-3</v>
      </c>
    </row>
    <row r="72" spans="1:15" x14ac:dyDescent="0.3">
      <c r="A72" s="10"/>
      <c r="B72" s="11"/>
      <c r="E72" s="5" t="s">
        <v>71</v>
      </c>
      <c r="F72" s="5">
        <v>0.1</v>
      </c>
    </row>
    <row r="73" spans="1:15" x14ac:dyDescent="0.3">
      <c r="A73" s="10"/>
      <c r="B73" s="11"/>
      <c r="E73" s="5" t="s">
        <v>72</v>
      </c>
      <c r="F73" s="5">
        <v>0.05</v>
      </c>
    </row>
    <row r="74" spans="1:15" x14ac:dyDescent="0.3">
      <c r="A74" s="10"/>
      <c r="B74" s="11"/>
      <c r="E74" s="5" t="s">
        <v>85</v>
      </c>
      <c r="F74" s="5">
        <v>1.5E-3</v>
      </c>
    </row>
    <row r="75" spans="1:15" x14ac:dyDescent="0.3">
      <c r="A75" s="10"/>
      <c r="B75" s="11"/>
    </row>
    <row r="76" spans="1:15" x14ac:dyDescent="0.3">
      <c r="A76" s="10"/>
      <c r="B76" s="11"/>
    </row>
    <row r="77" spans="1:15" x14ac:dyDescent="0.3">
      <c r="A77" s="10"/>
      <c r="B77" s="11"/>
    </row>
    <row r="78" spans="1:15" x14ac:dyDescent="0.3">
      <c r="A78" s="10"/>
      <c r="B78" s="11"/>
    </row>
    <row r="79" spans="1:15" x14ac:dyDescent="0.3">
      <c r="A79" s="10"/>
      <c r="B79" s="11"/>
    </row>
    <row r="80" spans="1:15" x14ac:dyDescent="0.3">
      <c r="A80" s="10"/>
      <c r="B80" s="11"/>
    </row>
    <row r="81" spans="1:2" x14ac:dyDescent="0.3">
      <c r="A81" s="10"/>
      <c r="B81" s="11"/>
    </row>
    <row r="82" spans="1:2" x14ac:dyDescent="0.3">
      <c r="A82" s="10"/>
      <c r="B82" s="11"/>
    </row>
    <row r="83" spans="1:2" x14ac:dyDescent="0.3">
      <c r="A83" s="10"/>
      <c r="B83" s="11"/>
    </row>
    <row r="84" spans="1:2" x14ac:dyDescent="0.3">
      <c r="A84" s="10"/>
      <c r="B84" s="11"/>
    </row>
    <row r="85" spans="1:2" x14ac:dyDescent="0.3">
      <c r="A85" s="10"/>
      <c r="B85" s="11"/>
    </row>
    <row r="86" spans="1:2" x14ac:dyDescent="0.3">
      <c r="A86" s="10"/>
      <c r="B86" s="11"/>
    </row>
    <row r="87" spans="1:2" x14ac:dyDescent="0.3">
      <c r="A87" s="10"/>
      <c r="B87" s="11"/>
    </row>
    <row r="88" spans="1:2" x14ac:dyDescent="0.3">
      <c r="A88" s="10"/>
      <c r="B88" s="11"/>
    </row>
    <row r="89" spans="1:2" x14ac:dyDescent="0.3">
      <c r="A89" s="10"/>
      <c r="B89" s="11"/>
    </row>
    <row r="90" spans="1:2" x14ac:dyDescent="0.3">
      <c r="A90" s="10"/>
      <c r="B90" s="11"/>
    </row>
    <row r="91" spans="1:2" x14ac:dyDescent="0.3">
      <c r="A91" s="10"/>
      <c r="B91" s="11"/>
    </row>
    <row r="92" spans="1:2" x14ac:dyDescent="0.3">
      <c r="A92" s="10"/>
      <c r="B92" s="11"/>
    </row>
    <row r="93" spans="1:2" x14ac:dyDescent="0.3">
      <c r="A93" s="10"/>
      <c r="B93" s="11"/>
    </row>
    <row r="94" spans="1:2" x14ac:dyDescent="0.3">
      <c r="A94" s="10"/>
      <c r="B94" s="11"/>
    </row>
    <row r="95" spans="1:2" x14ac:dyDescent="0.3">
      <c r="A95" s="10"/>
      <c r="B95" s="11"/>
    </row>
    <row r="96" spans="1:2" x14ac:dyDescent="0.3">
      <c r="A96" s="10"/>
      <c r="B96" s="11"/>
    </row>
    <row r="97" spans="1:2" x14ac:dyDescent="0.3">
      <c r="A97" s="10"/>
      <c r="B97" s="11"/>
    </row>
    <row r="98" spans="1:2" x14ac:dyDescent="0.3">
      <c r="A98" s="10"/>
      <c r="B98" s="11"/>
    </row>
    <row r="99" spans="1:2" x14ac:dyDescent="0.3">
      <c r="A99" s="10"/>
      <c r="B99" s="11"/>
    </row>
    <row r="100" spans="1:2" x14ac:dyDescent="0.3">
      <c r="A100" s="10"/>
      <c r="B100" s="11"/>
    </row>
    <row r="101" spans="1:2" x14ac:dyDescent="0.3">
      <c r="A101" s="10"/>
      <c r="B101" s="11"/>
    </row>
    <row r="102" spans="1:2" x14ac:dyDescent="0.3">
      <c r="A102" s="10"/>
      <c r="B102" s="11"/>
    </row>
    <row r="103" spans="1:2" x14ac:dyDescent="0.3">
      <c r="A103" s="10"/>
      <c r="B103" s="11"/>
    </row>
    <row r="104" spans="1:2" x14ac:dyDescent="0.3">
      <c r="A104" s="10"/>
      <c r="B104" s="11"/>
    </row>
    <row r="105" spans="1:2" x14ac:dyDescent="0.3">
      <c r="A105" s="10"/>
      <c r="B105" s="11"/>
    </row>
    <row r="106" spans="1:2" x14ac:dyDescent="0.3">
      <c r="A106" s="10"/>
      <c r="B106" s="11"/>
    </row>
    <row r="107" spans="1:2" x14ac:dyDescent="0.3">
      <c r="A107" s="10"/>
      <c r="B107" s="11"/>
    </row>
    <row r="108" spans="1:2" x14ac:dyDescent="0.3">
      <c r="A108" s="10"/>
      <c r="B108" s="11"/>
    </row>
    <row r="109" spans="1:2" x14ac:dyDescent="0.3">
      <c r="A109" s="10"/>
      <c r="B109" s="11"/>
    </row>
    <row r="110" spans="1:2" x14ac:dyDescent="0.3">
      <c r="A110" s="10"/>
      <c r="B110" s="11"/>
    </row>
    <row r="111" spans="1:2" x14ac:dyDescent="0.3">
      <c r="A111" s="10"/>
      <c r="B111" s="11"/>
    </row>
    <row r="112" spans="1:2" x14ac:dyDescent="0.3">
      <c r="A112" s="10"/>
      <c r="B112" s="11"/>
    </row>
    <row r="113" spans="1:2" x14ac:dyDescent="0.3">
      <c r="A113" s="10"/>
      <c r="B113" s="11"/>
    </row>
    <row r="114" spans="1:2" x14ac:dyDescent="0.3">
      <c r="A114" s="10"/>
      <c r="B114" s="11"/>
    </row>
    <row r="115" spans="1:2" x14ac:dyDescent="0.3">
      <c r="A115" s="10"/>
      <c r="B115" s="11"/>
    </row>
    <row r="116" spans="1:2" x14ac:dyDescent="0.3">
      <c r="A116" s="10"/>
      <c r="B116" s="11"/>
    </row>
    <row r="117" spans="1:2" x14ac:dyDescent="0.3">
      <c r="A117" s="10"/>
      <c r="B117" s="11"/>
    </row>
    <row r="118" spans="1:2" x14ac:dyDescent="0.3">
      <c r="A118" s="10"/>
      <c r="B118" s="11"/>
    </row>
    <row r="119" spans="1:2" x14ac:dyDescent="0.3">
      <c r="A119" s="10"/>
      <c r="B119" s="11"/>
    </row>
    <row r="120" spans="1:2" x14ac:dyDescent="0.3">
      <c r="A120" s="10"/>
      <c r="B120" s="11"/>
    </row>
    <row r="121" spans="1:2" x14ac:dyDescent="0.3">
      <c r="A121" s="10"/>
      <c r="B121" s="11"/>
    </row>
    <row r="122" spans="1:2" x14ac:dyDescent="0.3">
      <c r="A122" s="10"/>
      <c r="B122" s="11"/>
    </row>
    <row r="123" spans="1:2" x14ac:dyDescent="0.3">
      <c r="A123" s="10"/>
      <c r="B123" s="11"/>
    </row>
    <row r="124" spans="1:2" x14ac:dyDescent="0.3">
      <c r="A124" s="10"/>
      <c r="B124" s="11"/>
    </row>
    <row r="125" spans="1:2" x14ac:dyDescent="0.3">
      <c r="A125" s="10"/>
      <c r="B125" s="11"/>
    </row>
    <row r="126" spans="1:2" x14ac:dyDescent="0.3">
      <c r="A126" s="10"/>
      <c r="B126" s="11"/>
    </row>
    <row r="127" spans="1:2" x14ac:dyDescent="0.3">
      <c r="A127" s="10"/>
      <c r="B127" s="11"/>
    </row>
    <row r="128" spans="1:2" x14ac:dyDescent="0.3">
      <c r="A128" s="10"/>
      <c r="B128" s="11"/>
    </row>
    <row r="129" spans="1:2" x14ac:dyDescent="0.3">
      <c r="A129" s="10"/>
      <c r="B129" s="11"/>
    </row>
    <row r="130" spans="1:2" x14ac:dyDescent="0.3">
      <c r="A130" s="10"/>
      <c r="B130" s="11"/>
    </row>
    <row r="131" spans="1:2" x14ac:dyDescent="0.3">
      <c r="A131" s="10"/>
      <c r="B131" s="11"/>
    </row>
    <row r="132" spans="1:2" x14ac:dyDescent="0.3">
      <c r="A132" s="10"/>
      <c r="B132" s="11"/>
    </row>
    <row r="133" spans="1:2" x14ac:dyDescent="0.3">
      <c r="A133" s="10"/>
      <c r="B133" s="11"/>
    </row>
    <row r="134" spans="1:2" x14ac:dyDescent="0.3">
      <c r="A134" s="10"/>
      <c r="B134" s="11"/>
    </row>
    <row r="135" spans="1:2" x14ac:dyDescent="0.3">
      <c r="A135" s="10"/>
      <c r="B135" s="11"/>
    </row>
    <row r="136" spans="1:2" x14ac:dyDescent="0.3">
      <c r="A136" s="10"/>
      <c r="B136" s="11"/>
    </row>
    <row r="137" spans="1:2" x14ac:dyDescent="0.3">
      <c r="A137" s="10"/>
      <c r="B137" s="11"/>
    </row>
    <row r="138" spans="1:2" x14ac:dyDescent="0.3">
      <c r="A138" s="10"/>
      <c r="B138" s="11"/>
    </row>
    <row r="139" spans="1:2" x14ac:dyDescent="0.3">
      <c r="A139" s="10"/>
      <c r="B139" s="11"/>
    </row>
    <row r="140" spans="1:2" x14ac:dyDescent="0.3">
      <c r="A140" s="10"/>
      <c r="B140" s="11"/>
    </row>
    <row r="141" spans="1:2" x14ac:dyDescent="0.3">
      <c r="A141" s="10"/>
      <c r="B141" s="11"/>
    </row>
    <row r="142" spans="1:2" x14ac:dyDescent="0.3">
      <c r="A142" s="10"/>
      <c r="B142" s="11"/>
    </row>
    <row r="143" spans="1:2" x14ac:dyDescent="0.3">
      <c r="A143" s="10"/>
      <c r="B143" s="11"/>
    </row>
    <row r="144" spans="1:2" x14ac:dyDescent="0.3">
      <c r="A144" s="10"/>
      <c r="B144" s="11"/>
    </row>
    <row r="145" spans="1:2" x14ac:dyDescent="0.3">
      <c r="A145" s="10"/>
      <c r="B145" s="11"/>
    </row>
    <row r="146" spans="1:2" x14ac:dyDescent="0.3">
      <c r="A146" s="10"/>
      <c r="B146" s="11"/>
    </row>
    <row r="147" spans="1:2" x14ac:dyDescent="0.3">
      <c r="A147" s="10"/>
      <c r="B147" s="11"/>
    </row>
    <row r="148" spans="1:2" x14ac:dyDescent="0.3">
      <c r="A148" s="10"/>
      <c r="B148" s="11"/>
    </row>
    <row r="149" spans="1:2" x14ac:dyDescent="0.3">
      <c r="A149" s="10"/>
      <c r="B149" s="11"/>
    </row>
    <row r="150" spans="1:2" x14ac:dyDescent="0.3">
      <c r="A150" s="10"/>
      <c r="B150" s="11"/>
    </row>
    <row r="151" spans="1:2" x14ac:dyDescent="0.3">
      <c r="A151" s="10"/>
      <c r="B151" s="11"/>
    </row>
    <row r="152" spans="1:2" x14ac:dyDescent="0.3">
      <c r="A152" s="10"/>
      <c r="B152" s="11"/>
    </row>
    <row r="153" spans="1:2" x14ac:dyDescent="0.3">
      <c r="A153" s="10"/>
      <c r="B153" s="11"/>
    </row>
    <row r="154" spans="1:2" x14ac:dyDescent="0.3">
      <c r="A154" s="10"/>
      <c r="B154" s="11"/>
    </row>
    <row r="155" spans="1:2" x14ac:dyDescent="0.3">
      <c r="A155" s="10"/>
      <c r="B155" s="11"/>
    </row>
    <row r="156" spans="1:2" x14ac:dyDescent="0.3">
      <c r="A156" s="10"/>
      <c r="B156" s="11"/>
    </row>
    <row r="157" spans="1:2" x14ac:dyDescent="0.3">
      <c r="A157" s="10"/>
      <c r="B157" s="11"/>
    </row>
    <row r="158" spans="1:2" x14ac:dyDescent="0.3">
      <c r="A158" s="10"/>
      <c r="B158" s="11"/>
    </row>
    <row r="159" spans="1:2" x14ac:dyDescent="0.3">
      <c r="A159" s="10"/>
      <c r="B159" s="11"/>
    </row>
    <row r="160" spans="1:2" x14ac:dyDescent="0.3">
      <c r="A160" s="10"/>
      <c r="B160" s="11"/>
    </row>
    <row r="161" spans="1:2" x14ac:dyDescent="0.3">
      <c r="A161" s="10"/>
      <c r="B161" s="11"/>
    </row>
    <row r="162" spans="1:2" x14ac:dyDescent="0.3">
      <c r="A162" s="10"/>
      <c r="B162" s="11"/>
    </row>
    <row r="163" spans="1:2" x14ac:dyDescent="0.3">
      <c r="A163" s="10"/>
      <c r="B163" s="11"/>
    </row>
    <row r="164" spans="1:2" x14ac:dyDescent="0.3">
      <c r="A164" s="10"/>
      <c r="B164" s="11"/>
    </row>
    <row r="165" spans="1:2" x14ac:dyDescent="0.3">
      <c r="A165" s="10"/>
      <c r="B165" s="11"/>
    </row>
    <row r="166" spans="1:2" x14ac:dyDescent="0.3">
      <c r="A166" s="10"/>
      <c r="B166" s="11"/>
    </row>
    <row r="167" spans="1:2" x14ac:dyDescent="0.3">
      <c r="A167" s="10"/>
      <c r="B167" s="11"/>
    </row>
    <row r="168" spans="1:2" x14ac:dyDescent="0.3">
      <c r="A168" s="10"/>
      <c r="B168" s="11"/>
    </row>
    <row r="169" spans="1:2" x14ac:dyDescent="0.3">
      <c r="A169" s="10"/>
      <c r="B169" s="11"/>
    </row>
    <row r="170" spans="1:2" x14ac:dyDescent="0.3">
      <c r="A170" s="10"/>
      <c r="B170" s="11"/>
    </row>
    <row r="171" spans="1:2" x14ac:dyDescent="0.3">
      <c r="A171" s="10"/>
      <c r="B171" s="11"/>
    </row>
    <row r="172" spans="1:2" x14ac:dyDescent="0.3">
      <c r="A172" s="10"/>
      <c r="B172" s="11"/>
    </row>
    <row r="173" spans="1:2" x14ac:dyDescent="0.3">
      <c r="A173" s="10"/>
      <c r="B173" s="11"/>
    </row>
    <row r="174" spans="1:2" x14ac:dyDescent="0.3">
      <c r="A174" s="10"/>
      <c r="B174" s="11"/>
    </row>
    <row r="175" spans="1:2" x14ac:dyDescent="0.3">
      <c r="A175" s="10"/>
      <c r="B175" s="11"/>
    </row>
    <row r="176" spans="1:2" x14ac:dyDescent="0.3">
      <c r="A176" s="10"/>
      <c r="B176" s="11"/>
    </row>
    <row r="177" spans="1:2" x14ac:dyDescent="0.3">
      <c r="A177" s="10"/>
      <c r="B177" s="11"/>
    </row>
    <row r="178" spans="1:2" x14ac:dyDescent="0.3">
      <c r="A178" s="10"/>
      <c r="B178" s="11"/>
    </row>
    <row r="179" spans="1:2" x14ac:dyDescent="0.3">
      <c r="A179" s="10"/>
      <c r="B179" s="11"/>
    </row>
    <row r="180" spans="1:2" x14ac:dyDescent="0.3">
      <c r="A180" s="10"/>
      <c r="B180" s="11"/>
    </row>
    <row r="181" spans="1:2" x14ac:dyDescent="0.3">
      <c r="A181" s="10"/>
      <c r="B181" s="11"/>
    </row>
    <row r="182" spans="1:2" x14ac:dyDescent="0.3">
      <c r="A182" s="10"/>
      <c r="B182" s="11"/>
    </row>
    <row r="183" spans="1:2" x14ac:dyDescent="0.3">
      <c r="A183" s="10"/>
      <c r="B183" s="11"/>
    </row>
    <row r="184" spans="1:2" x14ac:dyDescent="0.3">
      <c r="A184" s="10"/>
      <c r="B184" s="11"/>
    </row>
    <row r="185" spans="1:2" x14ac:dyDescent="0.3">
      <c r="A185" s="10"/>
      <c r="B185" s="11"/>
    </row>
    <row r="186" spans="1:2" x14ac:dyDescent="0.3">
      <c r="A186" s="10"/>
      <c r="B186" s="11"/>
    </row>
    <row r="187" spans="1:2" x14ac:dyDescent="0.3">
      <c r="A187" s="10"/>
      <c r="B187" s="11"/>
    </row>
    <row r="188" spans="1:2" x14ac:dyDescent="0.3">
      <c r="A188" s="10"/>
      <c r="B188" s="11"/>
    </row>
    <row r="189" spans="1:2" x14ac:dyDescent="0.3">
      <c r="A189" s="10"/>
      <c r="B189" s="11"/>
    </row>
    <row r="190" spans="1:2" x14ac:dyDescent="0.3">
      <c r="A190" s="10"/>
      <c r="B190" s="11"/>
    </row>
    <row r="191" spans="1:2" x14ac:dyDescent="0.3">
      <c r="A191" s="10"/>
      <c r="B191" s="11"/>
    </row>
    <row r="192" spans="1:2" x14ac:dyDescent="0.3">
      <c r="A192" s="10"/>
      <c r="B192" s="11"/>
    </row>
    <row r="193" spans="1:2" x14ac:dyDescent="0.3">
      <c r="A193" s="10"/>
      <c r="B193" s="11"/>
    </row>
    <row r="194" spans="1:2" x14ac:dyDescent="0.3">
      <c r="A194" s="10"/>
      <c r="B194" s="11"/>
    </row>
    <row r="195" spans="1:2" x14ac:dyDescent="0.3">
      <c r="A195" s="10"/>
      <c r="B195" s="11"/>
    </row>
    <row r="196" spans="1:2" x14ac:dyDescent="0.3">
      <c r="A196" s="10"/>
      <c r="B196" s="11"/>
    </row>
    <row r="197" spans="1:2" x14ac:dyDescent="0.3">
      <c r="A197" s="10"/>
      <c r="B197" s="11"/>
    </row>
    <row r="198" spans="1:2" x14ac:dyDescent="0.3">
      <c r="A198" s="10"/>
      <c r="B198" s="11"/>
    </row>
    <row r="199" spans="1:2" x14ac:dyDescent="0.3">
      <c r="B199" s="7"/>
    </row>
    <row r="202" spans="1:2" x14ac:dyDescent="0.3">
      <c r="B202" s="7"/>
    </row>
    <row r="208" spans="1:2" x14ac:dyDescent="0.3">
      <c r="A208" s="9"/>
      <c r="B208" s="7"/>
    </row>
    <row r="212" spans="2:2" x14ac:dyDescent="0.3">
      <c r="B212" s="7"/>
    </row>
    <row r="214" spans="2:2" x14ac:dyDescent="0.3">
      <c r="B214" s="7"/>
    </row>
    <row r="217" spans="2:2" x14ac:dyDescent="0.3">
      <c r="B217" s="7"/>
    </row>
    <row r="220" spans="2:2" x14ac:dyDescent="0.3">
      <c r="B220" s="7"/>
    </row>
    <row r="231" spans="1:2" x14ac:dyDescent="0.3">
      <c r="A231" s="9"/>
    </row>
    <row r="232" spans="1:2" x14ac:dyDescent="0.3">
      <c r="B232" s="7"/>
    </row>
    <row r="238" spans="1:2" x14ac:dyDescent="0.3">
      <c r="B238" s="7"/>
    </row>
    <row r="239" spans="1:2" x14ac:dyDescent="0.3">
      <c r="B239" s="7"/>
    </row>
    <row r="244" spans="2:2" x14ac:dyDescent="0.3">
      <c r="B244" s="7"/>
    </row>
  </sheetData>
  <conditionalFormatting sqref="L2:L7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B173-15E5-479F-A914-913B01BDA303}">
  <sheetPr codeName="Planilha3"/>
  <dimension ref="A1:Q253"/>
  <sheetViews>
    <sheetView topLeftCell="A53" workbookViewId="0">
      <selection activeCell="F67" sqref="F67"/>
    </sheetView>
  </sheetViews>
  <sheetFormatPr defaultRowHeight="14.4" x14ac:dyDescent="0.3"/>
  <cols>
    <col min="1" max="1" width="19.88671875" customWidth="1"/>
    <col min="2" max="2" width="19.6640625" style="4" bestFit="1" customWidth="1"/>
    <col min="4" max="4" width="9.109375" style="8"/>
    <col min="13" max="13" width="12.5546875" customWidth="1"/>
    <col min="15" max="15" width="20.44140625" bestFit="1" customWidth="1"/>
    <col min="17" max="17" width="20.44140625" bestFit="1" customWidth="1"/>
  </cols>
  <sheetData>
    <row r="1" spans="1:17" ht="15" thickBot="1" x14ac:dyDescent="0.35">
      <c r="A1" s="1" t="s">
        <v>0</v>
      </c>
      <c r="B1" s="2" t="s">
        <v>79</v>
      </c>
      <c r="C1" s="4">
        <f>SUM(B2:B76)</f>
        <v>1.0000312725314968</v>
      </c>
      <c r="E1" s="8" t="s">
        <v>0</v>
      </c>
      <c r="F1" s="8" t="s">
        <v>80</v>
      </c>
      <c r="G1" s="4">
        <f>SUM(F2:F68)</f>
        <v>1.0000203115092072</v>
      </c>
      <c r="H1" s="4"/>
      <c r="K1" s="6">
        <f>SUM(K2:K66)</f>
        <v>1.0002312725314968</v>
      </c>
      <c r="L1" s="6">
        <f>SUM(L2:L66)</f>
        <v>1.0000312725314968</v>
      </c>
    </row>
    <row r="2" spans="1:17" x14ac:dyDescent="0.3">
      <c r="A2" s="14" t="s">
        <v>4</v>
      </c>
      <c r="B2" s="11">
        <v>6.4000000000000001E-2</v>
      </c>
      <c r="E2" s="5" t="str">
        <f t="shared" ref="E2:E65" si="0">A2</f>
        <v>BBAS3</v>
      </c>
      <c r="F2" s="5">
        <f t="shared" ref="F2:F65" si="1">(1-0.35-0.05%)*B2</f>
        <v>4.1568000000000008E-2</v>
      </c>
      <c r="J2" t="s">
        <v>3</v>
      </c>
      <c r="K2" s="7">
        <v>5.2865620487824588E-2</v>
      </c>
      <c r="L2" s="3">
        <f>VLOOKUP(J2,$A$2:$B$66,2,0)</f>
        <v>5.2865620487824588E-2</v>
      </c>
      <c r="M2" t="b">
        <f>L2=K2</f>
        <v>1</v>
      </c>
      <c r="O2" s="15">
        <f>K2*(1-35%-0.05%)</f>
        <v>3.4336220506842076E-2</v>
      </c>
      <c r="P2">
        <f>VLOOKUP(J2,$E$2:$F$68,2,0)</f>
        <v>3.4336220506842076E-2</v>
      </c>
      <c r="Q2" s="15">
        <f>P2-O2</f>
        <v>0</v>
      </c>
    </row>
    <row r="3" spans="1:17" x14ac:dyDescent="0.3">
      <c r="A3" s="14" t="s">
        <v>2</v>
      </c>
      <c r="B3" s="11">
        <v>5.6000000000000001E-2</v>
      </c>
      <c r="E3" s="5" t="str">
        <f t="shared" si="0"/>
        <v>VALE3</v>
      </c>
      <c r="F3" s="5">
        <f t="shared" si="1"/>
        <v>3.6372000000000008E-2</v>
      </c>
      <c r="J3" t="s">
        <v>4</v>
      </c>
      <c r="K3" s="7">
        <v>6.4000000000000001E-2</v>
      </c>
      <c r="L3" s="3">
        <f t="shared" ref="L3:L66" si="2">VLOOKUP(J3,$A$2:$B$66,2,0)</f>
        <v>6.4000000000000001E-2</v>
      </c>
      <c r="M3" t="b">
        <f t="shared" ref="M3:M66" si="3">L3=K3</f>
        <v>1</v>
      </c>
      <c r="O3" s="15">
        <f t="shared" ref="O3:O66" si="4">K3*(1-35%-0.05%)</f>
        <v>4.1568000000000008E-2</v>
      </c>
      <c r="P3">
        <f t="shared" ref="P3:P66" si="5">VLOOKUP(J3,$E$2:$F$68,2,0)</f>
        <v>4.1568000000000008E-2</v>
      </c>
      <c r="Q3" s="15">
        <f t="shared" ref="Q3:Q66" si="6">P3-O3</f>
        <v>0</v>
      </c>
    </row>
    <row r="4" spans="1:17" x14ac:dyDescent="0.3">
      <c r="A4" s="14" t="s">
        <v>3</v>
      </c>
      <c r="B4" s="11">
        <v>5.2865620487824588E-2</v>
      </c>
      <c r="E4" s="5" t="str">
        <f t="shared" si="0"/>
        <v>PETR4</v>
      </c>
      <c r="F4" s="5">
        <f t="shared" si="1"/>
        <v>3.4336220506842076E-2</v>
      </c>
      <c r="J4" t="s">
        <v>5</v>
      </c>
      <c r="K4" s="7">
        <v>5.1033345696100636E-2</v>
      </c>
      <c r="L4" s="3">
        <f t="shared" si="2"/>
        <v>5.1033345696100636E-2</v>
      </c>
      <c r="M4" t="b">
        <f t="shared" si="3"/>
        <v>1</v>
      </c>
      <c r="O4" s="15">
        <f t="shared" si="4"/>
        <v>3.3146158029617366E-2</v>
      </c>
      <c r="P4">
        <f t="shared" si="5"/>
        <v>3.3146158029617366E-2</v>
      </c>
      <c r="Q4" s="15">
        <f t="shared" si="6"/>
        <v>0</v>
      </c>
    </row>
    <row r="5" spans="1:17" x14ac:dyDescent="0.3">
      <c r="A5" s="14" t="s">
        <v>5</v>
      </c>
      <c r="B5" s="11">
        <v>5.1033345696100636E-2</v>
      </c>
      <c r="E5" s="5" t="str">
        <f t="shared" si="0"/>
        <v>PETR3</v>
      </c>
      <c r="F5" s="5">
        <f t="shared" si="1"/>
        <v>3.3146158029617366E-2</v>
      </c>
      <c r="J5" t="s">
        <v>2</v>
      </c>
      <c r="K5" s="7">
        <v>5.6000000000000001E-2</v>
      </c>
      <c r="L5" s="3">
        <f t="shared" si="2"/>
        <v>5.6000000000000001E-2</v>
      </c>
      <c r="M5" t="b">
        <f t="shared" si="3"/>
        <v>1</v>
      </c>
      <c r="O5" s="15">
        <f t="shared" si="4"/>
        <v>3.6372000000000008E-2</v>
      </c>
      <c r="P5">
        <f t="shared" si="5"/>
        <v>3.6372000000000008E-2</v>
      </c>
      <c r="Q5" s="15">
        <f t="shared" si="6"/>
        <v>0</v>
      </c>
    </row>
    <row r="6" spans="1:17" x14ac:dyDescent="0.3">
      <c r="A6" s="14" t="s">
        <v>74</v>
      </c>
      <c r="B6" s="11">
        <v>0.04</v>
      </c>
      <c r="E6" s="5" t="str">
        <f t="shared" si="0"/>
        <v>ITUB4</v>
      </c>
      <c r="F6" s="5">
        <f t="shared" si="1"/>
        <v>2.5980000000000003E-2</v>
      </c>
      <c r="J6" t="s">
        <v>7</v>
      </c>
      <c r="K6" s="7">
        <v>2.0931286454782608E-2</v>
      </c>
      <c r="L6" s="3">
        <f t="shared" si="2"/>
        <v>2.0931286454782608E-2</v>
      </c>
      <c r="M6" t="b">
        <f t="shared" si="3"/>
        <v>1</v>
      </c>
      <c r="O6" s="15">
        <f t="shared" si="4"/>
        <v>1.3594870552381306E-2</v>
      </c>
      <c r="P6">
        <f t="shared" si="5"/>
        <v>1.3594870552381306E-2</v>
      </c>
      <c r="Q6" s="15">
        <f t="shared" si="6"/>
        <v>0</v>
      </c>
    </row>
    <row r="7" spans="1:17" x14ac:dyDescent="0.3">
      <c r="A7" s="14" t="s">
        <v>6</v>
      </c>
      <c r="B7" s="11">
        <v>3.2127479788210289E-2</v>
      </c>
      <c r="E7" s="5" t="str">
        <f t="shared" si="0"/>
        <v>JBSS3</v>
      </c>
      <c r="F7" s="5">
        <f t="shared" si="1"/>
        <v>2.0866798122442586E-2</v>
      </c>
      <c r="J7" t="s">
        <v>6</v>
      </c>
      <c r="K7" s="7">
        <v>3.2127479788210289E-2</v>
      </c>
      <c r="L7" s="3">
        <f t="shared" si="2"/>
        <v>3.2127479788210289E-2</v>
      </c>
      <c r="M7" t="b">
        <f t="shared" si="3"/>
        <v>1</v>
      </c>
      <c r="O7" s="15">
        <f t="shared" si="4"/>
        <v>2.0866798122442586E-2</v>
      </c>
      <c r="P7">
        <f t="shared" si="5"/>
        <v>2.0866798122442586E-2</v>
      </c>
      <c r="Q7" s="15">
        <f t="shared" si="6"/>
        <v>0</v>
      </c>
    </row>
    <row r="8" spans="1:17" x14ac:dyDescent="0.3">
      <c r="A8" s="14" t="s">
        <v>8</v>
      </c>
      <c r="B8" s="11">
        <v>2.9499999999999998E-2</v>
      </c>
      <c r="E8" s="5" t="str">
        <f t="shared" si="0"/>
        <v>BBSE3</v>
      </c>
      <c r="F8" s="5">
        <f t="shared" si="1"/>
        <v>1.916025E-2</v>
      </c>
      <c r="J8" t="s">
        <v>12</v>
      </c>
      <c r="K8" s="7">
        <v>1.9598791303445127E-2</v>
      </c>
      <c r="L8" s="3">
        <f t="shared" si="2"/>
        <v>1.9598791303445127E-2</v>
      </c>
      <c r="M8" t="b">
        <f t="shared" si="3"/>
        <v>1</v>
      </c>
      <c r="O8" s="15">
        <f t="shared" si="4"/>
        <v>1.2729414951587612E-2</v>
      </c>
      <c r="P8">
        <f t="shared" si="5"/>
        <v>1.2729414951587612E-2</v>
      </c>
      <c r="Q8" s="15">
        <f t="shared" si="6"/>
        <v>0</v>
      </c>
    </row>
    <row r="9" spans="1:17" x14ac:dyDescent="0.3">
      <c r="A9" s="14" t="s">
        <v>9</v>
      </c>
      <c r="B9" s="11">
        <v>2.3426589738220888E-2</v>
      </c>
      <c r="E9" s="5" t="str">
        <f t="shared" si="0"/>
        <v>ELET3</v>
      </c>
      <c r="F9" s="5">
        <f t="shared" si="1"/>
        <v>1.5215570034974469E-2</v>
      </c>
      <c r="J9" t="s">
        <v>15</v>
      </c>
      <c r="K9" s="7">
        <v>2.0952559686780038E-2</v>
      </c>
      <c r="L9" s="3">
        <f t="shared" si="2"/>
        <v>2.0952559686780038E-2</v>
      </c>
      <c r="M9" t="b">
        <f t="shared" si="3"/>
        <v>1</v>
      </c>
      <c r="O9" s="15">
        <f t="shared" si="4"/>
        <v>1.3608687516563637E-2</v>
      </c>
      <c r="P9">
        <f t="shared" si="5"/>
        <v>1.3608687516563637E-2</v>
      </c>
      <c r="Q9" s="15">
        <f t="shared" si="6"/>
        <v>0</v>
      </c>
    </row>
    <row r="10" spans="1:17" x14ac:dyDescent="0.3">
      <c r="A10" s="14" t="s">
        <v>10</v>
      </c>
      <c r="B10" s="11">
        <v>2.115970063067214E-2</v>
      </c>
      <c r="E10" s="5" t="str">
        <f t="shared" si="0"/>
        <v>SBSP3</v>
      </c>
      <c r="F10" s="5">
        <f t="shared" si="1"/>
        <v>1.3743225559621557E-2</v>
      </c>
      <c r="J10" t="s">
        <v>17</v>
      </c>
      <c r="K10" s="7">
        <v>1.6801848920806103E-2</v>
      </c>
      <c r="L10" s="3">
        <f t="shared" si="2"/>
        <v>1.6801848920806103E-2</v>
      </c>
      <c r="M10" t="b">
        <f t="shared" si="3"/>
        <v>1</v>
      </c>
      <c r="O10" s="15">
        <f t="shared" si="4"/>
        <v>1.0912800874063565E-2</v>
      </c>
      <c r="P10">
        <f t="shared" si="5"/>
        <v>1.0912800874063565E-2</v>
      </c>
      <c r="Q10" s="15">
        <f t="shared" si="6"/>
        <v>0</v>
      </c>
    </row>
    <row r="11" spans="1:17" x14ac:dyDescent="0.3">
      <c r="A11" s="14" t="s">
        <v>15</v>
      </c>
      <c r="B11" s="11">
        <v>2.0952559686780038E-2</v>
      </c>
      <c r="E11" s="5" t="str">
        <f t="shared" si="0"/>
        <v>CMIN3</v>
      </c>
      <c r="F11" s="5">
        <f t="shared" si="1"/>
        <v>1.3608687516563637E-2</v>
      </c>
      <c r="J11" t="s">
        <v>11</v>
      </c>
      <c r="K11" s="7">
        <v>9.3786291220952812E-3</v>
      </c>
      <c r="L11" s="3">
        <f t="shared" si="2"/>
        <v>9.3786291220952812E-3</v>
      </c>
      <c r="M11" t="b">
        <f t="shared" si="3"/>
        <v>1</v>
      </c>
      <c r="O11" s="15">
        <f t="shared" si="4"/>
        <v>6.0914196148008862E-3</v>
      </c>
      <c r="P11">
        <f t="shared" si="5"/>
        <v>6.0914196148008862E-3</v>
      </c>
      <c r="Q11" s="15">
        <f t="shared" si="6"/>
        <v>0</v>
      </c>
    </row>
    <row r="12" spans="1:17" x14ac:dyDescent="0.3">
      <c r="A12" s="14" t="s">
        <v>7</v>
      </c>
      <c r="B12" s="11">
        <v>2.0931286454782608E-2</v>
      </c>
      <c r="E12" s="5" t="str">
        <f t="shared" si="0"/>
        <v>BBDC4</v>
      </c>
      <c r="F12" s="5">
        <f t="shared" si="1"/>
        <v>1.3594870552381306E-2</v>
      </c>
      <c r="J12" t="s">
        <v>19</v>
      </c>
      <c r="K12" s="7">
        <v>2.0545216231094544E-2</v>
      </c>
      <c r="L12" s="3">
        <f t="shared" si="2"/>
        <v>2.0545216231094544E-2</v>
      </c>
      <c r="M12" t="b">
        <f t="shared" si="3"/>
        <v>1</v>
      </c>
      <c r="O12" s="15">
        <f t="shared" si="4"/>
        <v>1.3344117942095907E-2</v>
      </c>
      <c r="P12">
        <f t="shared" si="5"/>
        <v>1.3344117942095907E-2</v>
      </c>
      <c r="Q12" s="15">
        <f t="shared" si="6"/>
        <v>0</v>
      </c>
    </row>
    <row r="13" spans="1:17" x14ac:dyDescent="0.3">
      <c r="A13" s="14" t="s">
        <v>19</v>
      </c>
      <c r="B13" s="11">
        <v>2.0545216231094544E-2</v>
      </c>
      <c r="E13" s="5" t="str">
        <f t="shared" si="0"/>
        <v>MRFG3</v>
      </c>
      <c r="F13" s="5">
        <f t="shared" si="1"/>
        <v>1.3344117942095907E-2</v>
      </c>
      <c r="J13" t="s">
        <v>21</v>
      </c>
      <c r="K13" s="7">
        <v>1.029138470614523E-2</v>
      </c>
      <c r="L13" s="3">
        <f t="shared" si="2"/>
        <v>1.029138470614523E-2</v>
      </c>
      <c r="M13" t="b">
        <f t="shared" si="3"/>
        <v>1</v>
      </c>
      <c r="O13" s="15">
        <f t="shared" si="4"/>
        <v>6.6842543666413273E-3</v>
      </c>
      <c r="P13">
        <f t="shared" si="5"/>
        <v>6.6842543666413273E-3</v>
      </c>
      <c r="Q13" s="15">
        <f t="shared" si="6"/>
        <v>0</v>
      </c>
    </row>
    <row r="14" spans="1:17" x14ac:dyDescent="0.3">
      <c r="A14" s="14" t="s">
        <v>12</v>
      </c>
      <c r="B14" s="11">
        <v>1.9598791303445127E-2</v>
      </c>
      <c r="E14" s="5" t="str">
        <f t="shared" si="0"/>
        <v>BBDC3</v>
      </c>
      <c r="F14" s="5">
        <f t="shared" si="1"/>
        <v>1.2729414951587612E-2</v>
      </c>
      <c r="J14" t="s">
        <v>14</v>
      </c>
      <c r="K14" s="7">
        <v>1.5465147332778172E-2</v>
      </c>
      <c r="L14" s="3">
        <f t="shared" si="2"/>
        <v>1.5465147332778172E-2</v>
      </c>
      <c r="M14" t="b">
        <f t="shared" si="3"/>
        <v>1</v>
      </c>
      <c r="O14" s="15">
        <f t="shared" si="4"/>
        <v>1.0044613192639424E-2</v>
      </c>
      <c r="P14">
        <f t="shared" si="5"/>
        <v>1.0044613192639424E-2</v>
      </c>
      <c r="Q14" s="15">
        <f t="shared" si="6"/>
        <v>0</v>
      </c>
    </row>
    <row r="15" spans="1:17" x14ac:dyDescent="0.3">
      <c r="A15" s="14" t="s">
        <v>16</v>
      </c>
      <c r="B15" s="11">
        <v>1.7999999999999999E-2</v>
      </c>
      <c r="E15" s="5" t="str">
        <f t="shared" si="0"/>
        <v>POMO4</v>
      </c>
      <c r="F15" s="5">
        <f t="shared" si="1"/>
        <v>1.1691E-2</v>
      </c>
      <c r="J15" t="s">
        <v>22</v>
      </c>
      <c r="K15" s="7">
        <v>1.3230328368970212E-2</v>
      </c>
      <c r="L15" s="3">
        <f t="shared" si="2"/>
        <v>1.3230328368970212E-2</v>
      </c>
      <c r="M15" t="b">
        <f t="shared" si="3"/>
        <v>1</v>
      </c>
      <c r="O15" s="15">
        <f t="shared" si="4"/>
        <v>8.5930982756461539E-3</v>
      </c>
      <c r="P15">
        <f t="shared" si="5"/>
        <v>8.5930982756461539E-3</v>
      </c>
      <c r="Q15" s="15">
        <f t="shared" si="6"/>
        <v>0</v>
      </c>
    </row>
    <row r="16" spans="1:17" x14ac:dyDescent="0.3">
      <c r="A16" s="14" t="s">
        <v>76</v>
      </c>
      <c r="B16" s="11">
        <v>1.7000000000000001E-2</v>
      </c>
      <c r="E16" s="5" t="str">
        <f t="shared" si="0"/>
        <v>MGLU3</v>
      </c>
      <c r="F16" s="5">
        <f t="shared" si="1"/>
        <v>1.1041500000000003E-2</v>
      </c>
      <c r="J16" t="s">
        <v>25</v>
      </c>
      <c r="K16" s="7">
        <v>1.309122103704231E-2</v>
      </c>
      <c r="L16" s="3">
        <f t="shared" si="2"/>
        <v>1.309122103704231E-2</v>
      </c>
      <c r="M16" t="b">
        <f t="shared" si="3"/>
        <v>1</v>
      </c>
      <c r="O16" s="15">
        <f t="shared" si="4"/>
        <v>8.5027480635589819E-3</v>
      </c>
      <c r="P16">
        <f t="shared" si="5"/>
        <v>8.5027480635589819E-3</v>
      </c>
      <c r="Q16" s="15">
        <f t="shared" si="6"/>
        <v>0</v>
      </c>
    </row>
    <row r="17" spans="1:17" x14ac:dyDescent="0.3">
      <c r="A17" s="14" t="s">
        <v>17</v>
      </c>
      <c r="B17" s="11">
        <v>1.6801848920806103E-2</v>
      </c>
      <c r="E17" s="5" t="str">
        <f t="shared" si="0"/>
        <v>CPFE3</v>
      </c>
      <c r="F17" s="5">
        <f t="shared" si="1"/>
        <v>1.0912800874063565E-2</v>
      </c>
      <c r="J17" t="s">
        <v>26</v>
      </c>
      <c r="K17" s="7">
        <v>1.5615219612080561E-2</v>
      </c>
      <c r="L17" s="3">
        <f t="shared" si="2"/>
        <v>1.5615219612080561E-2</v>
      </c>
      <c r="M17" t="b">
        <f t="shared" si="3"/>
        <v>1</v>
      </c>
      <c r="O17" s="15">
        <f t="shared" si="4"/>
        <v>1.0142085138046326E-2</v>
      </c>
      <c r="P17">
        <f t="shared" si="5"/>
        <v>1.0142085138046326E-2</v>
      </c>
      <c r="Q17" s="15">
        <f t="shared" si="6"/>
        <v>0</v>
      </c>
    </row>
    <row r="18" spans="1:17" x14ac:dyDescent="0.3">
      <c r="A18" s="14" t="s">
        <v>26</v>
      </c>
      <c r="B18" s="11">
        <v>1.5615219612080561E-2</v>
      </c>
      <c r="E18" s="5" t="str">
        <f t="shared" si="0"/>
        <v>BRSR6</v>
      </c>
      <c r="F18" s="5">
        <f t="shared" si="1"/>
        <v>1.0142085138046326E-2</v>
      </c>
      <c r="J18" t="s">
        <v>29</v>
      </c>
      <c r="K18" s="7">
        <v>1.4849025118304392E-2</v>
      </c>
      <c r="L18" s="3">
        <f t="shared" si="2"/>
        <v>1.4849025118304392E-2</v>
      </c>
      <c r="M18" t="b">
        <f t="shared" si="3"/>
        <v>1</v>
      </c>
      <c r="O18" s="15">
        <f t="shared" si="4"/>
        <v>9.6444418143387042E-3</v>
      </c>
      <c r="P18">
        <f t="shared" si="5"/>
        <v>9.6444418143387042E-3</v>
      </c>
      <c r="Q18" s="15">
        <f t="shared" si="6"/>
        <v>0</v>
      </c>
    </row>
    <row r="19" spans="1:17" x14ac:dyDescent="0.3">
      <c r="A19" s="14" t="s">
        <v>14</v>
      </c>
      <c r="B19" s="11">
        <v>1.5465147332778172E-2</v>
      </c>
      <c r="E19" s="5" t="str">
        <f t="shared" si="0"/>
        <v>CSNA3</v>
      </c>
      <c r="F19" s="5">
        <f t="shared" si="1"/>
        <v>1.0044613192639424E-2</v>
      </c>
      <c r="J19" t="s">
        <v>27</v>
      </c>
      <c r="K19" s="7">
        <v>1.1273375755950599E-2</v>
      </c>
      <c r="L19" s="3">
        <f t="shared" si="2"/>
        <v>1.1273375755950599E-2</v>
      </c>
      <c r="M19" t="b">
        <f t="shared" si="3"/>
        <v>1</v>
      </c>
      <c r="O19" s="15">
        <f t="shared" si="4"/>
        <v>7.3220575534899152E-3</v>
      </c>
      <c r="P19">
        <f t="shared" si="5"/>
        <v>7.3220575534899152E-3</v>
      </c>
      <c r="Q19" s="15">
        <f t="shared" si="6"/>
        <v>0</v>
      </c>
    </row>
    <row r="20" spans="1:17" x14ac:dyDescent="0.3">
      <c r="A20" s="14" t="s">
        <v>18</v>
      </c>
      <c r="B20" s="11">
        <v>1.5462924284289446E-2</v>
      </c>
      <c r="E20" s="5" t="str">
        <f t="shared" si="0"/>
        <v>CXSE3</v>
      </c>
      <c r="F20" s="5">
        <f t="shared" si="1"/>
        <v>1.0043169322645996E-2</v>
      </c>
      <c r="J20" t="s">
        <v>34</v>
      </c>
      <c r="K20" s="7">
        <v>9.7543334669110034E-3</v>
      </c>
      <c r="L20" s="3">
        <f t="shared" si="2"/>
        <v>9.7543334669110034E-3</v>
      </c>
      <c r="M20" t="b">
        <f t="shared" si="3"/>
        <v>1</v>
      </c>
      <c r="O20" s="15">
        <f t="shared" si="4"/>
        <v>6.3354395867586972E-3</v>
      </c>
      <c r="P20">
        <f t="shared" si="5"/>
        <v>6.3354395867586972E-3</v>
      </c>
      <c r="Q20" s="15">
        <f t="shared" si="6"/>
        <v>0</v>
      </c>
    </row>
    <row r="21" spans="1:17" x14ac:dyDescent="0.3">
      <c r="A21" s="14" t="s">
        <v>29</v>
      </c>
      <c r="B21" s="11">
        <v>1.4849025118304392E-2</v>
      </c>
      <c r="E21" s="5" t="str">
        <f t="shared" si="0"/>
        <v>SYNE3</v>
      </c>
      <c r="F21" s="5">
        <f t="shared" si="1"/>
        <v>9.6444418143387042E-3</v>
      </c>
      <c r="J21" t="s">
        <v>28</v>
      </c>
      <c r="K21" s="7">
        <v>1.2856274583763105E-2</v>
      </c>
      <c r="L21" s="3">
        <f t="shared" si="2"/>
        <v>1.2856274583763105E-2</v>
      </c>
      <c r="M21" t="b">
        <f t="shared" si="3"/>
        <v>1</v>
      </c>
      <c r="O21" s="15">
        <f t="shared" si="4"/>
        <v>8.3501503421541372E-3</v>
      </c>
      <c r="P21">
        <f t="shared" si="5"/>
        <v>8.3501503421541372E-3</v>
      </c>
      <c r="Q21" s="15">
        <f t="shared" si="6"/>
        <v>0</v>
      </c>
    </row>
    <row r="22" spans="1:17" x14ac:dyDescent="0.3">
      <c r="A22" s="14" t="s">
        <v>41</v>
      </c>
      <c r="B22" s="11">
        <v>1.3703764834263336E-2</v>
      </c>
      <c r="E22" s="5" t="str">
        <f t="shared" si="0"/>
        <v>ANIM3</v>
      </c>
      <c r="F22" s="5">
        <f t="shared" si="1"/>
        <v>8.9005952598540383E-3</v>
      </c>
      <c r="J22" t="s">
        <v>36</v>
      </c>
      <c r="K22" s="7">
        <v>1.0422180432436911E-2</v>
      </c>
      <c r="L22" s="3">
        <f t="shared" si="2"/>
        <v>1.0422180432436911E-2</v>
      </c>
      <c r="M22" t="b">
        <f t="shared" si="3"/>
        <v>1</v>
      </c>
      <c r="O22" s="15">
        <f t="shared" si="4"/>
        <v>6.7692061908677745E-3</v>
      </c>
      <c r="P22">
        <f t="shared" si="5"/>
        <v>6.7692061908677745E-3</v>
      </c>
      <c r="Q22" s="15">
        <f t="shared" si="6"/>
        <v>0</v>
      </c>
    </row>
    <row r="23" spans="1:17" x14ac:dyDescent="0.3">
      <c r="A23" s="14" t="s">
        <v>38</v>
      </c>
      <c r="B23" s="11">
        <v>1.3251380427384912E-2</v>
      </c>
      <c r="E23" s="5" t="str">
        <f t="shared" si="0"/>
        <v>LAVV3</v>
      </c>
      <c r="F23" s="5">
        <f t="shared" si="1"/>
        <v>8.6067715875865012E-3</v>
      </c>
      <c r="J23" t="s">
        <v>35</v>
      </c>
      <c r="K23" s="7">
        <v>1.1554392048781167E-2</v>
      </c>
      <c r="L23" s="3">
        <f t="shared" si="2"/>
        <v>1.1554392048781167E-2</v>
      </c>
      <c r="M23" t="b">
        <f t="shared" si="3"/>
        <v>1</v>
      </c>
      <c r="O23" s="15">
        <f t="shared" si="4"/>
        <v>7.5045776356833689E-3</v>
      </c>
      <c r="P23">
        <f t="shared" si="5"/>
        <v>7.5045776356833689E-3</v>
      </c>
      <c r="Q23" s="15">
        <f t="shared" si="6"/>
        <v>0</v>
      </c>
    </row>
    <row r="24" spans="1:17" x14ac:dyDescent="0.3">
      <c r="A24" s="14" t="s">
        <v>22</v>
      </c>
      <c r="B24" s="11">
        <v>1.3230328368970212E-2</v>
      </c>
      <c r="E24" s="5" t="str">
        <f t="shared" si="0"/>
        <v>GOAU4</v>
      </c>
      <c r="F24" s="5">
        <f t="shared" si="1"/>
        <v>8.5930982756461539E-3</v>
      </c>
      <c r="J24" t="s">
        <v>20</v>
      </c>
      <c r="K24" s="7">
        <v>1.1738963718086729E-2</v>
      </c>
      <c r="L24" s="3">
        <f t="shared" si="2"/>
        <v>1.1738963718086729E-2</v>
      </c>
      <c r="M24" t="b">
        <f t="shared" si="3"/>
        <v>1</v>
      </c>
      <c r="O24" s="15">
        <f t="shared" si="4"/>
        <v>7.6244569348973314E-3</v>
      </c>
      <c r="P24">
        <f t="shared" si="5"/>
        <v>7.6244569348973314E-3</v>
      </c>
      <c r="Q24" s="15">
        <f t="shared" si="6"/>
        <v>0</v>
      </c>
    </row>
    <row r="25" spans="1:17" x14ac:dyDescent="0.3">
      <c r="A25" s="14" t="s">
        <v>25</v>
      </c>
      <c r="B25" s="11">
        <v>1.309122103704231E-2</v>
      </c>
      <c r="E25" s="5" t="str">
        <f t="shared" si="0"/>
        <v>BEEF3</v>
      </c>
      <c r="F25" s="5">
        <f t="shared" si="1"/>
        <v>8.5027480635589819E-3</v>
      </c>
      <c r="J25" t="s">
        <v>32</v>
      </c>
      <c r="K25" s="7">
        <v>1.1707687562591901E-2</v>
      </c>
      <c r="L25" s="3">
        <f t="shared" si="2"/>
        <v>1.1707687562591901E-2</v>
      </c>
      <c r="M25" t="b">
        <f t="shared" si="3"/>
        <v>1</v>
      </c>
      <c r="O25" s="15">
        <f t="shared" si="4"/>
        <v>7.6041430719034405E-3</v>
      </c>
      <c r="P25">
        <f t="shared" si="5"/>
        <v>7.6041430719034405E-3</v>
      </c>
      <c r="Q25" s="15">
        <f t="shared" si="6"/>
        <v>0</v>
      </c>
    </row>
    <row r="26" spans="1:17" x14ac:dyDescent="0.3">
      <c r="A26" s="14" t="s">
        <v>30</v>
      </c>
      <c r="B26" s="11">
        <v>1.3026542425298569E-2</v>
      </c>
      <c r="E26" s="5" t="str">
        <f t="shared" si="0"/>
        <v>CURY3</v>
      </c>
      <c r="F26" s="5">
        <f t="shared" si="1"/>
        <v>8.4607393052314218E-3</v>
      </c>
      <c r="J26" t="s">
        <v>41</v>
      </c>
      <c r="K26" s="7">
        <v>1.3703764834263336E-2</v>
      </c>
      <c r="L26" s="3">
        <f t="shared" si="2"/>
        <v>1.3703764834263336E-2</v>
      </c>
      <c r="M26" t="b">
        <f t="shared" si="3"/>
        <v>1</v>
      </c>
      <c r="O26" s="15">
        <f t="shared" si="4"/>
        <v>8.9005952598540383E-3</v>
      </c>
      <c r="P26">
        <f t="shared" si="5"/>
        <v>8.9005952598540383E-3</v>
      </c>
      <c r="Q26" s="15">
        <f t="shared" si="6"/>
        <v>0</v>
      </c>
    </row>
    <row r="27" spans="1:17" x14ac:dyDescent="0.3">
      <c r="A27" s="14" t="s">
        <v>28</v>
      </c>
      <c r="B27" s="11">
        <v>1.2856274583763105E-2</v>
      </c>
      <c r="E27" s="5" t="str">
        <f t="shared" si="0"/>
        <v>LEVE3</v>
      </c>
      <c r="F27" s="5">
        <f t="shared" si="1"/>
        <v>8.3501503421541372E-3</v>
      </c>
      <c r="J27" t="s">
        <v>46</v>
      </c>
      <c r="K27" s="7">
        <v>1.0557080893688748E-2</v>
      </c>
      <c r="L27" s="3">
        <f t="shared" si="2"/>
        <v>1.0557080893688748E-2</v>
      </c>
      <c r="M27" t="b">
        <f t="shared" si="3"/>
        <v>1</v>
      </c>
      <c r="O27" s="15">
        <f t="shared" si="4"/>
        <v>6.8568240404508424E-3</v>
      </c>
      <c r="P27">
        <f t="shared" si="5"/>
        <v>6.8568240404508424E-3</v>
      </c>
      <c r="Q27" s="15">
        <f t="shared" si="6"/>
        <v>0</v>
      </c>
    </row>
    <row r="28" spans="1:17" x14ac:dyDescent="0.3">
      <c r="A28" s="14" t="s">
        <v>43</v>
      </c>
      <c r="B28" s="11">
        <v>1.2297664399304114E-2</v>
      </c>
      <c r="E28" s="5" t="str">
        <f t="shared" si="0"/>
        <v>COGN3</v>
      </c>
      <c r="F28" s="5">
        <f t="shared" si="1"/>
        <v>7.9873330273480224E-3</v>
      </c>
      <c r="J28" t="s">
        <v>48</v>
      </c>
      <c r="K28" s="7">
        <v>1.0591518980264674E-2</v>
      </c>
      <c r="L28" s="3">
        <f t="shared" si="2"/>
        <v>1.0591518980264674E-2</v>
      </c>
      <c r="M28" t="b">
        <f t="shared" si="3"/>
        <v>1</v>
      </c>
      <c r="O28" s="15">
        <f t="shared" si="4"/>
        <v>6.8791915776819064E-3</v>
      </c>
      <c r="P28">
        <f t="shared" si="5"/>
        <v>6.8791915776819064E-3</v>
      </c>
      <c r="Q28" s="15">
        <f t="shared" si="6"/>
        <v>0</v>
      </c>
    </row>
    <row r="29" spans="1:17" x14ac:dyDescent="0.3">
      <c r="A29" s="14" t="s">
        <v>53</v>
      </c>
      <c r="B29" s="11">
        <v>1.2168011409805547E-2</v>
      </c>
      <c r="E29" s="5" t="str">
        <f t="shared" si="0"/>
        <v>TRIS3</v>
      </c>
      <c r="F29" s="5">
        <f t="shared" si="1"/>
        <v>7.9031234106687036E-3</v>
      </c>
      <c r="J29" t="s">
        <v>50</v>
      </c>
      <c r="K29" s="7">
        <v>5.0000000000000001E-3</v>
      </c>
      <c r="L29" s="3">
        <f t="shared" si="2"/>
        <v>5.0000000000000001E-3</v>
      </c>
      <c r="M29" t="b">
        <f t="shared" si="3"/>
        <v>1</v>
      </c>
      <c r="O29" s="15">
        <f t="shared" si="4"/>
        <v>3.2475000000000004E-3</v>
      </c>
      <c r="P29">
        <f t="shared" si="5"/>
        <v>3.2475000000000004E-3</v>
      </c>
      <c r="Q29" s="15">
        <f t="shared" si="6"/>
        <v>0</v>
      </c>
    </row>
    <row r="30" spans="1:17" x14ac:dyDescent="0.3">
      <c r="A30" s="14" t="s">
        <v>39</v>
      </c>
      <c r="B30" s="11">
        <v>1.2167141580245722E-2</v>
      </c>
      <c r="E30" s="5" t="str">
        <f t="shared" si="0"/>
        <v>PLPL3</v>
      </c>
      <c r="F30" s="5">
        <f t="shared" si="1"/>
        <v>7.9025584563695971E-3</v>
      </c>
      <c r="J30" t="s">
        <v>40</v>
      </c>
      <c r="K30" s="7">
        <v>1.1800578299013842E-2</v>
      </c>
      <c r="L30" s="3">
        <f t="shared" si="2"/>
        <v>1.1800578299013842E-2</v>
      </c>
      <c r="M30" t="b">
        <f t="shared" si="3"/>
        <v>1</v>
      </c>
      <c r="O30" s="15">
        <f t="shared" si="4"/>
        <v>7.6644756052094915E-3</v>
      </c>
      <c r="P30">
        <f t="shared" si="5"/>
        <v>7.6644756052094915E-3</v>
      </c>
      <c r="Q30" s="15">
        <f t="shared" si="6"/>
        <v>0</v>
      </c>
    </row>
    <row r="31" spans="1:17" x14ac:dyDescent="0.3">
      <c r="A31" s="14" t="s">
        <v>77</v>
      </c>
      <c r="B31" s="11">
        <v>1.209810943867084E-2</v>
      </c>
      <c r="E31" s="5" t="str">
        <f t="shared" si="0"/>
        <v>PRIO3</v>
      </c>
      <c r="F31" s="5">
        <f t="shared" si="1"/>
        <v>7.8577220804167125E-3</v>
      </c>
      <c r="J31" t="s">
        <v>52</v>
      </c>
      <c r="K31" s="7">
        <v>1.5E-3</v>
      </c>
      <c r="L31" s="3">
        <f t="shared" si="2"/>
        <v>2.3E-3</v>
      </c>
      <c r="M31" t="b">
        <f t="shared" si="3"/>
        <v>0</v>
      </c>
      <c r="O31" s="15">
        <f t="shared" si="4"/>
        <v>9.7425000000000018E-4</v>
      </c>
      <c r="P31">
        <f t="shared" si="5"/>
        <v>1.4938500000000001E-3</v>
      </c>
      <c r="Q31" s="15">
        <f t="shared" si="6"/>
        <v>5.1959999999999994E-4</v>
      </c>
    </row>
    <row r="32" spans="1:17" x14ac:dyDescent="0.3">
      <c r="A32" s="14" t="s">
        <v>33</v>
      </c>
      <c r="B32" s="11">
        <v>1.2097395565766994E-2</v>
      </c>
      <c r="E32" s="5" t="str">
        <f t="shared" si="0"/>
        <v>ELET6</v>
      </c>
      <c r="F32" s="5">
        <f t="shared" si="1"/>
        <v>7.8572584199656636E-3</v>
      </c>
      <c r="J32" t="s">
        <v>54</v>
      </c>
      <c r="K32" s="7">
        <v>7.4999999999999997E-3</v>
      </c>
      <c r="L32" s="3">
        <f t="shared" si="2"/>
        <v>6.4999999999999997E-3</v>
      </c>
      <c r="M32" t="b">
        <f t="shared" si="3"/>
        <v>0</v>
      </c>
      <c r="O32" s="15">
        <f t="shared" si="4"/>
        <v>4.8712500000000006E-3</v>
      </c>
      <c r="P32">
        <f t="shared" si="5"/>
        <v>4.2217500000000007E-3</v>
      </c>
      <c r="Q32" s="15">
        <f t="shared" si="6"/>
        <v>-6.494999999999999E-4</v>
      </c>
    </row>
    <row r="33" spans="1:17" x14ac:dyDescent="0.3">
      <c r="A33" s="14" t="s">
        <v>40</v>
      </c>
      <c r="B33" s="11">
        <v>1.1800578299013842E-2</v>
      </c>
      <c r="E33" s="5" t="str">
        <f t="shared" si="0"/>
        <v>UNIP6</v>
      </c>
      <c r="F33" s="5">
        <f t="shared" si="1"/>
        <v>7.6644756052094915E-3</v>
      </c>
      <c r="J33" t="s">
        <v>47</v>
      </c>
      <c r="K33" s="7">
        <v>9.8996194668131005E-3</v>
      </c>
      <c r="L33" s="3">
        <f t="shared" si="2"/>
        <v>9.8996194668131005E-3</v>
      </c>
      <c r="M33" t="b">
        <f t="shared" si="3"/>
        <v>1</v>
      </c>
      <c r="O33" s="15">
        <f t="shared" si="4"/>
        <v>6.4298028436951095E-3</v>
      </c>
      <c r="P33">
        <f t="shared" si="5"/>
        <v>6.4298028436951095E-3</v>
      </c>
      <c r="Q33" s="15">
        <f t="shared" si="6"/>
        <v>0</v>
      </c>
    </row>
    <row r="34" spans="1:17" x14ac:dyDescent="0.3">
      <c r="A34" s="14" t="s">
        <v>20</v>
      </c>
      <c r="B34" s="11">
        <v>1.1738963718086729E-2</v>
      </c>
      <c r="E34" s="5" t="str">
        <f t="shared" si="0"/>
        <v>CMIG3</v>
      </c>
      <c r="F34" s="5">
        <f t="shared" si="1"/>
        <v>7.6244569348973314E-3</v>
      </c>
      <c r="J34" t="s">
        <v>55</v>
      </c>
      <c r="K34" s="7">
        <v>9.6081346778249428E-3</v>
      </c>
      <c r="L34" s="3">
        <f t="shared" si="2"/>
        <v>9.6081346778249428E-3</v>
      </c>
      <c r="M34" t="b">
        <f t="shared" si="3"/>
        <v>1</v>
      </c>
      <c r="O34" s="15">
        <f t="shared" si="4"/>
        <v>6.2404834732473014E-3</v>
      </c>
      <c r="P34">
        <f t="shared" si="5"/>
        <v>6.2404834732473014E-3</v>
      </c>
      <c r="Q34" s="15">
        <f t="shared" si="6"/>
        <v>0</v>
      </c>
    </row>
    <row r="35" spans="1:17" x14ac:dyDescent="0.3">
      <c r="A35" s="14" t="s">
        <v>32</v>
      </c>
      <c r="B35" s="11">
        <v>1.1707687562591901E-2</v>
      </c>
      <c r="E35" s="5" t="str">
        <f t="shared" si="0"/>
        <v>CSMG3</v>
      </c>
      <c r="F35" s="5">
        <f t="shared" si="1"/>
        <v>7.6041430719034405E-3</v>
      </c>
      <c r="J35" t="s">
        <v>37</v>
      </c>
      <c r="K35" s="7">
        <v>1.0833538266213787E-2</v>
      </c>
      <c r="L35" s="3">
        <f t="shared" si="2"/>
        <v>1.0833538266213787E-2</v>
      </c>
      <c r="M35" t="b">
        <f t="shared" si="3"/>
        <v>1</v>
      </c>
      <c r="O35" s="15">
        <f t="shared" si="4"/>
        <v>7.0363831039058555E-3</v>
      </c>
      <c r="P35">
        <f t="shared" si="5"/>
        <v>7.0363831039058555E-3</v>
      </c>
      <c r="Q35" s="15">
        <f t="shared" si="6"/>
        <v>0</v>
      </c>
    </row>
    <row r="36" spans="1:17" x14ac:dyDescent="0.3">
      <c r="A36" s="14" t="s">
        <v>24</v>
      </c>
      <c r="B36" s="11">
        <v>1.1667425463849041E-2</v>
      </c>
      <c r="E36" s="5" t="str">
        <f t="shared" si="0"/>
        <v>TGMA3</v>
      </c>
      <c r="F36" s="5">
        <f t="shared" si="1"/>
        <v>7.5779928387699532E-3</v>
      </c>
      <c r="J36" t="s">
        <v>59</v>
      </c>
      <c r="K36" s="7">
        <v>1.0162856963637674E-2</v>
      </c>
      <c r="L36" s="3">
        <f t="shared" si="2"/>
        <v>1.0162856963637674E-2</v>
      </c>
      <c r="M36" t="b">
        <f t="shared" si="3"/>
        <v>1</v>
      </c>
      <c r="O36" s="15">
        <f t="shared" si="4"/>
        <v>6.6007755978826702E-3</v>
      </c>
      <c r="P36">
        <f t="shared" si="5"/>
        <v>6.6007755978826702E-3</v>
      </c>
      <c r="Q36" s="15">
        <f t="shared" si="6"/>
        <v>0</v>
      </c>
    </row>
    <row r="37" spans="1:17" x14ac:dyDescent="0.3">
      <c r="A37" s="14" t="s">
        <v>35</v>
      </c>
      <c r="B37" s="11">
        <v>1.1554392048781167E-2</v>
      </c>
      <c r="E37" s="5" t="str">
        <f t="shared" si="0"/>
        <v>AURE3</v>
      </c>
      <c r="F37" s="5">
        <f t="shared" si="1"/>
        <v>7.5045776356833689E-3</v>
      </c>
      <c r="J37" t="s">
        <v>61</v>
      </c>
      <c r="K37" s="7">
        <v>1.0013996336918553E-2</v>
      </c>
      <c r="L37" s="3">
        <f t="shared" si="2"/>
        <v>1.0013996336918553E-2</v>
      </c>
      <c r="M37" t="b">
        <f t="shared" si="3"/>
        <v>1</v>
      </c>
      <c r="O37" s="15">
        <f t="shared" si="4"/>
        <v>6.5040906208286009E-3</v>
      </c>
      <c r="P37">
        <f t="shared" si="5"/>
        <v>6.5040906208286009E-3</v>
      </c>
      <c r="Q37" s="15">
        <f t="shared" si="6"/>
        <v>0</v>
      </c>
    </row>
    <row r="38" spans="1:17" x14ac:dyDescent="0.3">
      <c r="A38" s="14" t="s">
        <v>27</v>
      </c>
      <c r="B38" s="11">
        <v>1.1273375755950599E-2</v>
      </c>
      <c r="E38" s="5" t="str">
        <f t="shared" si="0"/>
        <v>BRAP4</v>
      </c>
      <c r="F38" s="5">
        <f t="shared" si="1"/>
        <v>7.3220575534899152E-3</v>
      </c>
      <c r="J38" t="s">
        <v>62</v>
      </c>
      <c r="K38" s="7">
        <v>3.5005111223726489E-3</v>
      </c>
      <c r="L38" s="3">
        <f t="shared" si="2"/>
        <v>3.5005111223726489E-3</v>
      </c>
      <c r="M38" t="b">
        <f t="shared" si="3"/>
        <v>1</v>
      </c>
      <c r="O38" s="15">
        <f t="shared" si="4"/>
        <v>2.2735819739810358E-3</v>
      </c>
      <c r="P38">
        <f t="shared" si="5"/>
        <v>2.2735819739810358E-3</v>
      </c>
      <c r="Q38" s="15">
        <f t="shared" si="6"/>
        <v>0</v>
      </c>
    </row>
    <row r="39" spans="1:17" x14ac:dyDescent="0.3">
      <c r="A39" s="14" t="s">
        <v>44</v>
      </c>
      <c r="B39" s="11">
        <v>1.1263604390177123E-2</v>
      </c>
      <c r="E39" s="5" t="str">
        <f t="shared" si="0"/>
        <v>MULT3</v>
      </c>
      <c r="F39" s="5">
        <f t="shared" si="1"/>
        <v>7.3157110514200426E-3</v>
      </c>
      <c r="J39" t="s">
        <v>63</v>
      </c>
      <c r="K39" s="7">
        <v>9.1164293997888814E-3</v>
      </c>
      <c r="L39" s="3">
        <f t="shared" si="2"/>
        <v>9.1164293997888814E-3</v>
      </c>
      <c r="M39" t="b">
        <f t="shared" si="3"/>
        <v>1</v>
      </c>
      <c r="O39" s="15">
        <f t="shared" si="4"/>
        <v>5.9211208951628789E-3</v>
      </c>
      <c r="P39">
        <f t="shared" si="5"/>
        <v>5.9211208951628789E-3</v>
      </c>
      <c r="Q39" s="15">
        <f t="shared" si="6"/>
        <v>0</v>
      </c>
    </row>
    <row r="40" spans="1:17" x14ac:dyDescent="0.3">
      <c r="A40" s="14" t="s">
        <v>49</v>
      </c>
      <c r="B40" s="11">
        <v>1.0974031680885142E-2</v>
      </c>
      <c r="E40" s="5" t="str">
        <f t="shared" si="0"/>
        <v>FRAS3</v>
      </c>
      <c r="F40" s="5">
        <f t="shared" si="1"/>
        <v>7.1276335767349007E-3</v>
      </c>
      <c r="J40" t="s">
        <v>38</v>
      </c>
      <c r="K40" s="7">
        <v>1.3251380427384912E-2</v>
      </c>
      <c r="L40" s="3">
        <f t="shared" si="2"/>
        <v>1.3251380427384912E-2</v>
      </c>
      <c r="M40" t="b">
        <f t="shared" si="3"/>
        <v>1</v>
      </c>
      <c r="O40" s="15">
        <f t="shared" si="4"/>
        <v>8.6067715875865012E-3</v>
      </c>
      <c r="P40">
        <f t="shared" si="5"/>
        <v>8.6067715875865012E-3</v>
      </c>
      <c r="Q40" s="15">
        <f t="shared" si="6"/>
        <v>0</v>
      </c>
    </row>
    <row r="41" spans="1:17" x14ac:dyDescent="0.3">
      <c r="A41" s="14" t="s">
        <v>37</v>
      </c>
      <c r="B41" s="11">
        <v>1.0833538266213787E-2</v>
      </c>
      <c r="E41" s="5" t="str">
        <f t="shared" si="0"/>
        <v>ISAE4</v>
      </c>
      <c r="F41" s="5">
        <f t="shared" si="1"/>
        <v>7.0363831039058555E-3</v>
      </c>
      <c r="J41" t="s">
        <v>8</v>
      </c>
      <c r="K41" s="7">
        <v>2.9499999999999998E-2</v>
      </c>
      <c r="L41" s="3">
        <f t="shared" si="2"/>
        <v>2.9499999999999998E-2</v>
      </c>
      <c r="M41" t="b">
        <f t="shared" si="3"/>
        <v>1</v>
      </c>
      <c r="O41" s="15">
        <f t="shared" si="4"/>
        <v>1.916025E-2</v>
      </c>
      <c r="P41">
        <f t="shared" si="5"/>
        <v>1.916025E-2</v>
      </c>
      <c r="Q41" s="15">
        <f t="shared" si="6"/>
        <v>0</v>
      </c>
    </row>
    <row r="42" spans="1:17" x14ac:dyDescent="0.3">
      <c r="A42" s="14" t="s">
        <v>48</v>
      </c>
      <c r="B42" s="11">
        <v>1.0591518980264674E-2</v>
      </c>
      <c r="E42" s="5" t="str">
        <f t="shared" si="0"/>
        <v>JHSF3</v>
      </c>
      <c r="F42" s="5">
        <f t="shared" si="1"/>
        <v>6.8791915776819064E-3</v>
      </c>
      <c r="J42" t="s">
        <v>51</v>
      </c>
      <c r="K42" s="7">
        <v>2.5000000000000001E-3</v>
      </c>
      <c r="L42" s="3">
        <f t="shared" si="2"/>
        <v>2.5000000000000001E-3</v>
      </c>
      <c r="M42" t="b">
        <f t="shared" si="3"/>
        <v>1</v>
      </c>
      <c r="O42" s="15">
        <f t="shared" si="4"/>
        <v>1.6237500000000002E-3</v>
      </c>
      <c r="P42">
        <f t="shared" si="5"/>
        <v>1.6237500000000002E-3</v>
      </c>
      <c r="Q42" s="15">
        <f t="shared" si="6"/>
        <v>0</v>
      </c>
    </row>
    <row r="43" spans="1:17" x14ac:dyDescent="0.3">
      <c r="A43" s="14" t="s">
        <v>56</v>
      </c>
      <c r="B43" s="11">
        <v>1.0560232621886653E-2</v>
      </c>
      <c r="E43" s="5" t="str">
        <f t="shared" si="0"/>
        <v>DIRR3</v>
      </c>
      <c r="F43" s="5">
        <f t="shared" si="1"/>
        <v>6.8588710879153815E-3</v>
      </c>
      <c r="J43" t="s">
        <v>73</v>
      </c>
      <c r="K43" s="7">
        <v>6.0000000000000001E-3</v>
      </c>
      <c r="L43" s="3">
        <f t="shared" si="2"/>
        <v>6.0000000000000001E-3</v>
      </c>
      <c r="M43" t="b">
        <f t="shared" si="3"/>
        <v>1</v>
      </c>
      <c r="O43" s="15">
        <f t="shared" si="4"/>
        <v>3.8970000000000007E-3</v>
      </c>
      <c r="P43">
        <f t="shared" si="5"/>
        <v>3.8970000000000007E-3</v>
      </c>
      <c r="Q43" s="15">
        <f t="shared" si="6"/>
        <v>0</v>
      </c>
    </row>
    <row r="44" spans="1:17" x14ac:dyDescent="0.3">
      <c r="A44" s="14" t="s">
        <v>46</v>
      </c>
      <c r="B44" s="11">
        <v>1.0557080893688748E-2</v>
      </c>
      <c r="E44" s="5" t="str">
        <f t="shared" si="0"/>
        <v>WIZC3</v>
      </c>
      <c r="F44" s="5">
        <f t="shared" si="1"/>
        <v>6.8568240404508424E-3</v>
      </c>
      <c r="J44" t="s">
        <v>65</v>
      </c>
      <c r="K44" s="7">
        <v>3.389534122061535E-3</v>
      </c>
      <c r="L44" s="3">
        <f t="shared" si="2"/>
        <v>3.389534122061535E-3</v>
      </c>
      <c r="M44" t="b">
        <f t="shared" si="3"/>
        <v>1</v>
      </c>
      <c r="O44" s="15">
        <f t="shared" si="4"/>
        <v>2.2015024122789672E-3</v>
      </c>
      <c r="P44">
        <f t="shared" si="5"/>
        <v>2.2015024122789672E-3</v>
      </c>
      <c r="Q44" s="15">
        <f t="shared" si="6"/>
        <v>0</v>
      </c>
    </row>
    <row r="45" spans="1:17" x14ac:dyDescent="0.3">
      <c r="A45" s="14" t="s">
        <v>36</v>
      </c>
      <c r="B45" s="11">
        <v>1.0422180432436911E-2</v>
      </c>
      <c r="E45" s="5" t="str">
        <f t="shared" si="0"/>
        <v>VBBR3</v>
      </c>
      <c r="F45" s="5">
        <f t="shared" si="1"/>
        <v>6.7692061908677745E-3</v>
      </c>
      <c r="J45" t="s">
        <v>43</v>
      </c>
      <c r="K45" s="7">
        <v>1.2297664399304114E-2</v>
      </c>
      <c r="L45" s="3">
        <f t="shared" si="2"/>
        <v>1.2297664399304114E-2</v>
      </c>
      <c r="M45" t="b">
        <f t="shared" si="3"/>
        <v>1</v>
      </c>
      <c r="O45" s="15">
        <f t="shared" si="4"/>
        <v>7.9873330273480224E-3</v>
      </c>
      <c r="P45">
        <f t="shared" si="5"/>
        <v>7.9873330273480224E-3</v>
      </c>
      <c r="Q45" s="15">
        <f t="shared" si="6"/>
        <v>0</v>
      </c>
    </row>
    <row r="46" spans="1:17" x14ac:dyDescent="0.3">
      <c r="A46" s="14" t="s">
        <v>31</v>
      </c>
      <c r="B46" s="11">
        <v>1.0335023820433005E-2</v>
      </c>
      <c r="E46" s="5" t="str">
        <f t="shared" si="0"/>
        <v>PSSA3</v>
      </c>
      <c r="F46" s="5">
        <f t="shared" si="1"/>
        <v>6.7125979713712376E-3</v>
      </c>
      <c r="J46" t="s">
        <v>30</v>
      </c>
      <c r="K46" s="7">
        <v>1.3026542425298569E-2</v>
      </c>
      <c r="L46" s="3">
        <f t="shared" si="2"/>
        <v>1.3026542425298569E-2</v>
      </c>
      <c r="M46" t="b">
        <f t="shared" si="3"/>
        <v>1</v>
      </c>
      <c r="O46" s="15">
        <f t="shared" si="4"/>
        <v>8.4607393052314218E-3</v>
      </c>
      <c r="P46">
        <f t="shared" si="5"/>
        <v>8.4607393052314218E-3</v>
      </c>
      <c r="Q46" s="15">
        <f t="shared" si="6"/>
        <v>0</v>
      </c>
    </row>
    <row r="47" spans="1:17" x14ac:dyDescent="0.3">
      <c r="A47" s="14" t="s">
        <v>21</v>
      </c>
      <c r="B47" s="11">
        <v>1.029138470614523E-2</v>
      </c>
      <c r="E47" s="5" t="str">
        <f t="shared" si="0"/>
        <v>CMIG4</v>
      </c>
      <c r="F47" s="5">
        <f t="shared" si="1"/>
        <v>6.6842543666413273E-3</v>
      </c>
      <c r="J47" t="s">
        <v>18</v>
      </c>
      <c r="K47" s="7">
        <v>1.5462924284289446E-2</v>
      </c>
      <c r="L47" s="3">
        <f t="shared" si="2"/>
        <v>1.5462924284289446E-2</v>
      </c>
      <c r="M47" t="b">
        <f t="shared" si="3"/>
        <v>1</v>
      </c>
      <c r="O47" s="15">
        <f t="shared" si="4"/>
        <v>1.0043169322645996E-2</v>
      </c>
      <c r="P47">
        <f t="shared" si="5"/>
        <v>1.0043169322645996E-2</v>
      </c>
      <c r="Q47" s="15">
        <f t="shared" si="6"/>
        <v>0</v>
      </c>
    </row>
    <row r="48" spans="1:17" x14ac:dyDescent="0.3">
      <c r="A48" s="14" t="s">
        <v>59</v>
      </c>
      <c r="B48" s="11">
        <v>1.0162856963637674E-2</v>
      </c>
      <c r="E48" s="5" t="str">
        <f t="shared" si="0"/>
        <v>RECV3</v>
      </c>
      <c r="F48" s="5">
        <f t="shared" si="1"/>
        <v>6.6007755978826702E-3</v>
      </c>
      <c r="J48" t="s">
        <v>67</v>
      </c>
      <c r="K48" s="7">
        <v>3.6899045276269889E-3</v>
      </c>
      <c r="L48" s="3">
        <f t="shared" si="2"/>
        <v>3.6899045276269889E-3</v>
      </c>
      <c r="M48" t="b">
        <f t="shared" si="3"/>
        <v>1</v>
      </c>
      <c r="O48" s="15">
        <f t="shared" si="4"/>
        <v>2.3965929906937296E-3</v>
      </c>
      <c r="P48">
        <f t="shared" si="5"/>
        <v>2.3965929906937296E-3</v>
      </c>
      <c r="Q48" s="15">
        <f t="shared" si="6"/>
        <v>0</v>
      </c>
    </row>
    <row r="49" spans="1:17" x14ac:dyDescent="0.3">
      <c r="A49" s="14" t="s">
        <v>61</v>
      </c>
      <c r="B49" s="11">
        <v>1.0013996336918553E-2</v>
      </c>
      <c r="E49" s="5" t="str">
        <f t="shared" si="0"/>
        <v>RANI3</v>
      </c>
      <c r="F49" s="5">
        <f t="shared" si="1"/>
        <v>6.5040906208286009E-3</v>
      </c>
      <c r="J49" t="s">
        <v>56</v>
      </c>
      <c r="K49" s="7">
        <v>1.0560232621886653E-2</v>
      </c>
      <c r="L49" s="3">
        <f t="shared" si="2"/>
        <v>1.0560232621886653E-2</v>
      </c>
      <c r="M49" t="b">
        <f t="shared" si="3"/>
        <v>1</v>
      </c>
      <c r="O49" s="15">
        <f t="shared" si="4"/>
        <v>6.8588710879153815E-3</v>
      </c>
      <c r="P49">
        <f t="shared" si="5"/>
        <v>6.8588710879153815E-3</v>
      </c>
      <c r="Q49" s="15">
        <f t="shared" si="6"/>
        <v>0</v>
      </c>
    </row>
    <row r="50" spans="1:17" x14ac:dyDescent="0.3">
      <c r="A50" s="14" t="s">
        <v>47</v>
      </c>
      <c r="B50" s="11">
        <v>9.8996194668131005E-3</v>
      </c>
      <c r="E50" s="5" t="str">
        <f t="shared" si="0"/>
        <v>SAPR4</v>
      </c>
      <c r="F50" s="5">
        <f t="shared" si="1"/>
        <v>6.4298028436951095E-3</v>
      </c>
      <c r="J50" t="s">
        <v>9</v>
      </c>
      <c r="K50" s="7">
        <v>2.3426589738220888E-2</v>
      </c>
      <c r="L50" s="3">
        <f t="shared" si="2"/>
        <v>2.3426589738220888E-2</v>
      </c>
      <c r="M50" t="b">
        <f t="shared" si="3"/>
        <v>1</v>
      </c>
      <c r="O50" s="15">
        <f t="shared" si="4"/>
        <v>1.5215570034974469E-2</v>
      </c>
      <c r="P50">
        <f t="shared" si="5"/>
        <v>1.5215570034974469E-2</v>
      </c>
      <c r="Q50" s="15">
        <f t="shared" si="6"/>
        <v>0</v>
      </c>
    </row>
    <row r="51" spans="1:17" x14ac:dyDescent="0.3">
      <c r="A51" s="14" t="s">
        <v>34</v>
      </c>
      <c r="B51" s="11">
        <v>9.7543334669110034E-3</v>
      </c>
      <c r="E51" s="5" t="str">
        <f t="shared" si="0"/>
        <v>ECOR3</v>
      </c>
      <c r="F51" s="5">
        <f t="shared" si="1"/>
        <v>6.3354395867586972E-3</v>
      </c>
      <c r="J51" t="s">
        <v>33</v>
      </c>
      <c r="K51" s="7">
        <v>1.2097395565766994E-2</v>
      </c>
      <c r="L51" s="3">
        <f t="shared" si="2"/>
        <v>1.2097395565766994E-2</v>
      </c>
      <c r="M51" t="b">
        <f t="shared" si="3"/>
        <v>1</v>
      </c>
      <c r="O51" s="15">
        <f t="shared" si="4"/>
        <v>7.8572584199656636E-3</v>
      </c>
      <c r="P51">
        <f t="shared" si="5"/>
        <v>7.8572584199656636E-3</v>
      </c>
      <c r="Q51" s="15">
        <f t="shared" si="6"/>
        <v>0</v>
      </c>
    </row>
    <row r="52" spans="1:17" x14ac:dyDescent="0.3">
      <c r="A52" s="14" t="s">
        <v>42</v>
      </c>
      <c r="B52" s="11">
        <v>9.697371968731508E-3</v>
      </c>
      <c r="E52" s="5" t="str">
        <f t="shared" si="0"/>
        <v>VLID3</v>
      </c>
      <c r="F52" s="5">
        <f t="shared" si="1"/>
        <v>6.2984430936911156E-3</v>
      </c>
      <c r="J52" t="s">
        <v>49</v>
      </c>
      <c r="K52" s="7">
        <v>1.0974031680885142E-2</v>
      </c>
      <c r="L52" s="3">
        <f t="shared" si="2"/>
        <v>1.0974031680885142E-2</v>
      </c>
      <c r="M52" t="b">
        <f t="shared" si="3"/>
        <v>1</v>
      </c>
      <c r="O52" s="15">
        <f t="shared" si="4"/>
        <v>7.1276335767349007E-3</v>
      </c>
      <c r="P52">
        <f t="shared" si="5"/>
        <v>7.1276335767349007E-3</v>
      </c>
      <c r="Q52" s="15">
        <f t="shared" si="6"/>
        <v>0</v>
      </c>
    </row>
    <row r="53" spans="1:17" x14ac:dyDescent="0.3">
      <c r="A53" s="14" t="s">
        <v>55</v>
      </c>
      <c r="B53" s="11">
        <v>9.6081346778249428E-3</v>
      </c>
      <c r="E53" s="5" t="str">
        <f t="shared" si="0"/>
        <v>MYPK3</v>
      </c>
      <c r="F53" s="5">
        <f t="shared" si="1"/>
        <v>6.2404834732473014E-3</v>
      </c>
      <c r="J53" t="s">
        <v>74</v>
      </c>
      <c r="K53" s="7">
        <v>0.04</v>
      </c>
      <c r="L53" s="3">
        <f t="shared" si="2"/>
        <v>0.04</v>
      </c>
      <c r="M53" t="b">
        <f t="shared" si="3"/>
        <v>1</v>
      </c>
      <c r="O53" s="15">
        <f t="shared" si="4"/>
        <v>2.5980000000000003E-2</v>
      </c>
      <c r="P53">
        <f t="shared" si="5"/>
        <v>2.5980000000000003E-2</v>
      </c>
      <c r="Q53" s="15">
        <f t="shared" si="6"/>
        <v>0</v>
      </c>
    </row>
    <row r="54" spans="1:17" x14ac:dyDescent="0.3">
      <c r="A54" s="14" t="s">
        <v>11</v>
      </c>
      <c r="B54" s="11">
        <v>9.3786291220952812E-3</v>
      </c>
      <c r="E54" s="5" t="str">
        <f t="shared" si="0"/>
        <v>GGBR4</v>
      </c>
      <c r="F54" s="5">
        <f t="shared" si="1"/>
        <v>6.0914196148008862E-3</v>
      </c>
      <c r="J54" t="s">
        <v>76</v>
      </c>
      <c r="K54" s="7">
        <v>1.7000000000000001E-2</v>
      </c>
      <c r="L54" s="3">
        <f t="shared" si="2"/>
        <v>1.7000000000000001E-2</v>
      </c>
      <c r="M54" t="b">
        <f t="shared" si="3"/>
        <v>1</v>
      </c>
      <c r="O54" s="15">
        <f t="shared" si="4"/>
        <v>1.1041500000000003E-2</v>
      </c>
      <c r="P54">
        <f t="shared" si="5"/>
        <v>1.1041500000000003E-2</v>
      </c>
      <c r="Q54" s="15">
        <f t="shared" si="6"/>
        <v>0</v>
      </c>
    </row>
    <row r="55" spans="1:17" x14ac:dyDescent="0.3">
      <c r="A55" s="14" t="s">
        <v>63</v>
      </c>
      <c r="B55" s="11">
        <v>9.1164293997888814E-3</v>
      </c>
      <c r="E55" s="5" t="str">
        <f t="shared" si="0"/>
        <v>TAEE11</v>
      </c>
      <c r="F55" s="5">
        <f t="shared" si="1"/>
        <v>5.9211208951628789E-3</v>
      </c>
      <c r="J55" t="s">
        <v>44</v>
      </c>
      <c r="K55" s="7">
        <v>1.1263604390177123E-2</v>
      </c>
      <c r="L55" s="3">
        <f t="shared" si="2"/>
        <v>1.1263604390177123E-2</v>
      </c>
      <c r="M55" t="b">
        <f t="shared" si="3"/>
        <v>1</v>
      </c>
      <c r="O55" s="15">
        <f t="shared" si="4"/>
        <v>7.3157110514200426E-3</v>
      </c>
      <c r="P55">
        <f t="shared" si="5"/>
        <v>7.3157110514200426E-3</v>
      </c>
      <c r="Q55" s="15">
        <f t="shared" si="6"/>
        <v>0</v>
      </c>
    </row>
    <row r="56" spans="1:17" x14ac:dyDescent="0.3">
      <c r="A56" s="14" t="s">
        <v>58</v>
      </c>
      <c r="B56" s="11">
        <v>8.0000000000000002E-3</v>
      </c>
      <c r="E56" s="5" t="str">
        <f t="shared" si="0"/>
        <v>YDUQ3</v>
      </c>
      <c r="F56" s="5">
        <f t="shared" si="1"/>
        <v>5.196000000000001E-3</v>
      </c>
      <c r="J56" t="s">
        <v>39</v>
      </c>
      <c r="K56" s="7">
        <v>1.2167141580245722E-2</v>
      </c>
      <c r="L56" s="3">
        <f t="shared" si="2"/>
        <v>1.2167141580245722E-2</v>
      </c>
      <c r="M56" t="b">
        <f t="shared" si="3"/>
        <v>1</v>
      </c>
      <c r="O56" s="15">
        <f t="shared" si="4"/>
        <v>7.9025584563695971E-3</v>
      </c>
      <c r="P56">
        <f t="shared" si="5"/>
        <v>7.9025584563695971E-3</v>
      </c>
      <c r="Q56" s="15">
        <f t="shared" si="6"/>
        <v>0</v>
      </c>
    </row>
    <row r="57" spans="1:17" x14ac:dyDescent="0.3">
      <c r="A57" s="14" t="s">
        <v>64</v>
      </c>
      <c r="B57" s="11">
        <v>7.4999999999999997E-3</v>
      </c>
      <c r="E57" s="5" t="str">
        <f t="shared" si="0"/>
        <v>BMGB4</v>
      </c>
      <c r="F57" s="5">
        <f t="shared" si="1"/>
        <v>4.8712500000000006E-3</v>
      </c>
      <c r="J57" t="s">
        <v>16</v>
      </c>
      <c r="K57" s="7">
        <v>1.7999999999999999E-2</v>
      </c>
      <c r="L57" s="3">
        <f t="shared" si="2"/>
        <v>1.7999999999999999E-2</v>
      </c>
      <c r="M57" t="b">
        <f t="shared" si="3"/>
        <v>1</v>
      </c>
      <c r="O57" s="15">
        <f t="shared" si="4"/>
        <v>1.1691E-2</v>
      </c>
      <c r="P57">
        <f t="shared" si="5"/>
        <v>1.1691E-2</v>
      </c>
      <c r="Q57" s="15">
        <f t="shared" si="6"/>
        <v>0</v>
      </c>
    </row>
    <row r="58" spans="1:17" x14ac:dyDescent="0.3">
      <c r="A58" s="14" t="s">
        <v>54</v>
      </c>
      <c r="B58" s="11">
        <v>6.4999999999999997E-3</v>
      </c>
      <c r="E58" s="5" t="str">
        <f t="shared" si="0"/>
        <v>LIGT3</v>
      </c>
      <c r="F58" s="5">
        <f t="shared" si="1"/>
        <v>4.2217500000000007E-3</v>
      </c>
      <c r="J58" t="s">
        <v>77</v>
      </c>
      <c r="K58" s="7">
        <v>1.209810943867084E-2</v>
      </c>
      <c r="L58" s="3">
        <f t="shared" si="2"/>
        <v>1.209810943867084E-2</v>
      </c>
      <c r="M58" t="b">
        <f t="shared" si="3"/>
        <v>1</v>
      </c>
      <c r="O58" s="15">
        <f t="shared" si="4"/>
        <v>7.8577220804167125E-3</v>
      </c>
      <c r="P58">
        <f t="shared" si="5"/>
        <v>7.8577220804167125E-3</v>
      </c>
      <c r="Q58" s="15">
        <f t="shared" si="6"/>
        <v>0</v>
      </c>
    </row>
    <row r="59" spans="1:17" x14ac:dyDescent="0.3">
      <c r="A59" s="14" t="s">
        <v>73</v>
      </c>
      <c r="B59" s="11">
        <v>6.0000000000000001E-3</v>
      </c>
      <c r="E59" s="5" t="str">
        <f t="shared" si="0"/>
        <v>BMOB3</v>
      </c>
      <c r="F59" s="5">
        <f t="shared" si="1"/>
        <v>3.8970000000000007E-3</v>
      </c>
      <c r="J59" t="s">
        <v>31</v>
      </c>
      <c r="K59" s="7">
        <v>1.0335023820433005E-2</v>
      </c>
      <c r="L59" s="3">
        <f t="shared" si="2"/>
        <v>1.0335023820433005E-2</v>
      </c>
      <c r="M59" t="b">
        <f t="shared" si="3"/>
        <v>1</v>
      </c>
      <c r="O59" s="15">
        <f t="shared" si="4"/>
        <v>6.7125979713712376E-3</v>
      </c>
      <c r="P59">
        <f t="shared" si="5"/>
        <v>6.7125979713712376E-3</v>
      </c>
      <c r="Q59" s="15">
        <f t="shared" si="6"/>
        <v>0</v>
      </c>
    </row>
    <row r="60" spans="1:17" x14ac:dyDescent="0.3">
      <c r="A60" s="14" t="s">
        <v>50</v>
      </c>
      <c r="B60" s="11">
        <v>5.0000000000000001E-3</v>
      </c>
      <c r="E60" s="5" t="str">
        <f t="shared" si="0"/>
        <v>MTRE3</v>
      </c>
      <c r="F60" s="5">
        <f t="shared" si="1"/>
        <v>3.2475000000000004E-3</v>
      </c>
      <c r="J60" t="s">
        <v>10</v>
      </c>
      <c r="K60" s="7">
        <v>2.115970063067214E-2</v>
      </c>
      <c r="L60" s="3">
        <f t="shared" si="2"/>
        <v>2.115970063067214E-2</v>
      </c>
      <c r="M60" t="b">
        <f t="shared" si="3"/>
        <v>1</v>
      </c>
      <c r="O60" s="15">
        <f t="shared" si="4"/>
        <v>1.3743225559621557E-2</v>
      </c>
      <c r="P60">
        <f t="shared" si="5"/>
        <v>1.3743225559621557E-2</v>
      </c>
      <c r="Q60" s="15">
        <f t="shared" si="6"/>
        <v>0</v>
      </c>
    </row>
    <row r="61" spans="1:17" x14ac:dyDescent="0.3">
      <c r="A61" s="14" t="s">
        <v>67</v>
      </c>
      <c r="B61" s="11">
        <v>3.6899045276269889E-3</v>
      </c>
      <c r="E61" s="5" t="str">
        <f t="shared" si="0"/>
        <v>CYRE3</v>
      </c>
      <c r="F61" s="5">
        <f t="shared" si="1"/>
        <v>2.3965929906937296E-3</v>
      </c>
      <c r="J61" t="s">
        <v>57</v>
      </c>
      <c r="K61" s="7">
        <v>3.1263433604050411E-3</v>
      </c>
      <c r="L61" s="3">
        <f t="shared" si="2"/>
        <v>3.1263433604050411E-3</v>
      </c>
      <c r="M61" t="b">
        <f t="shared" si="3"/>
        <v>1</v>
      </c>
      <c r="O61" s="15">
        <f t="shared" si="4"/>
        <v>2.0305600125830746E-3</v>
      </c>
      <c r="P61">
        <f t="shared" si="5"/>
        <v>2.0305600125830746E-3</v>
      </c>
      <c r="Q61" s="15">
        <f t="shared" si="6"/>
        <v>0</v>
      </c>
    </row>
    <row r="62" spans="1:17" x14ac:dyDescent="0.3">
      <c r="A62" s="14" t="s">
        <v>62</v>
      </c>
      <c r="B62" s="11">
        <v>3.5005111223726489E-3</v>
      </c>
      <c r="E62" s="5" t="str">
        <f t="shared" si="0"/>
        <v>GRND3</v>
      </c>
      <c r="F62" s="5">
        <f t="shared" si="1"/>
        <v>2.2735819739810358E-3</v>
      </c>
      <c r="J62" t="s">
        <v>24</v>
      </c>
      <c r="K62" s="7">
        <v>1.1667425463849041E-2</v>
      </c>
      <c r="L62" s="3">
        <f t="shared" si="2"/>
        <v>1.1667425463849041E-2</v>
      </c>
      <c r="M62" t="b">
        <f t="shared" si="3"/>
        <v>1</v>
      </c>
      <c r="O62" s="15">
        <f t="shared" si="4"/>
        <v>7.5779928387699532E-3</v>
      </c>
      <c r="P62">
        <f t="shared" si="5"/>
        <v>7.5779928387699532E-3</v>
      </c>
      <c r="Q62" s="15">
        <f t="shared" si="6"/>
        <v>0</v>
      </c>
    </row>
    <row r="63" spans="1:17" x14ac:dyDescent="0.3">
      <c r="A63" s="14" t="s">
        <v>65</v>
      </c>
      <c r="B63" s="11">
        <v>3.389534122061535E-3</v>
      </c>
      <c r="E63" s="5" t="str">
        <f t="shared" si="0"/>
        <v>BRBI11</v>
      </c>
      <c r="F63" s="5">
        <f t="shared" si="1"/>
        <v>2.2015024122789672E-3</v>
      </c>
      <c r="J63" t="s">
        <v>53</v>
      </c>
      <c r="K63" s="7">
        <v>1.2168011409805547E-2</v>
      </c>
      <c r="L63" s="3">
        <f t="shared" si="2"/>
        <v>1.2168011409805547E-2</v>
      </c>
      <c r="M63" t="b">
        <f t="shared" si="3"/>
        <v>1</v>
      </c>
      <c r="O63" s="15">
        <f t="shared" si="4"/>
        <v>7.9031234106687036E-3</v>
      </c>
      <c r="P63">
        <f t="shared" si="5"/>
        <v>7.9031234106687036E-3</v>
      </c>
      <c r="Q63" s="15">
        <f t="shared" si="6"/>
        <v>0</v>
      </c>
    </row>
    <row r="64" spans="1:17" x14ac:dyDescent="0.3">
      <c r="A64" s="14" t="s">
        <v>57</v>
      </c>
      <c r="B64" s="11">
        <v>3.1263433604050411E-3</v>
      </c>
      <c r="E64" s="5" t="str">
        <f t="shared" si="0"/>
        <v>TEND3</v>
      </c>
      <c r="F64" s="5">
        <f t="shared" si="1"/>
        <v>2.0305600125830746E-3</v>
      </c>
      <c r="J64" t="s">
        <v>42</v>
      </c>
      <c r="K64" s="7">
        <v>9.697371968731508E-3</v>
      </c>
      <c r="L64" s="3">
        <f t="shared" si="2"/>
        <v>9.697371968731508E-3</v>
      </c>
      <c r="M64" t="b">
        <f t="shared" si="3"/>
        <v>1</v>
      </c>
      <c r="O64" s="15">
        <f t="shared" si="4"/>
        <v>6.2984430936911156E-3</v>
      </c>
      <c r="P64">
        <f t="shared" si="5"/>
        <v>6.2984430936911156E-3</v>
      </c>
      <c r="Q64" s="15">
        <f t="shared" si="6"/>
        <v>0</v>
      </c>
    </row>
    <row r="65" spans="1:17" x14ac:dyDescent="0.3">
      <c r="A65" s="14" t="s">
        <v>51</v>
      </c>
      <c r="B65" s="11">
        <v>2.5000000000000001E-3</v>
      </c>
      <c r="E65" s="5" t="str">
        <f t="shared" si="0"/>
        <v>BHIA3</v>
      </c>
      <c r="F65" s="5">
        <f t="shared" si="1"/>
        <v>1.6237500000000002E-3</v>
      </c>
      <c r="J65" t="s">
        <v>58</v>
      </c>
      <c r="K65" s="7">
        <v>8.0000000000000002E-3</v>
      </c>
      <c r="L65" s="3">
        <f t="shared" si="2"/>
        <v>8.0000000000000002E-3</v>
      </c>
      <c r="M65" t="b">
        <f t="shared" si="3"/>
        <v>1</v>
      </c>
      <c r="O65" s="15">
        <f t="shared" si="4"/>
        <v>5.196000000000001E-3</v>
      </c>
      <c r="P65">
        <f t="shared" si="5"/>
        <v>5.196000000000001E-3</v>
      </c>
      <c r="Q65" s="15">
        <f t="shared" si="6"/>
        <v>0</v>
      </c>
    </row>
    <row r="66" spans="1:17" x14ac:dyDescent="0.3">
      <c r="A66" s="14" t="s">
        <v>52</v>
      </c>
      <c r="B66" s="11">
        <v>2.3E-3</v>
      </c>
      <c r="E66" s="5" t="str">
        <f>A66</f>
        <v>AGRO3</v>
      </c>
      <c r="F66" s="5">
        <f>(1-0.35-0.05%)*B66</f>
        <v>1.4938500000000001E-3</v>
      </c>
      <c r="J66" t="s">
        <v>64</v>
      </c>
      <c r="K66" s="7">
        <v>7.4999999999999997E-3</v>
      </c>
      <c r="L66" s="3">
        <f t="shared" si="2"/>
        <v>7.4999999999999997E-3</v>
      </c>
      <c r="M66" t="b">
        <f t="shared" si="3"/>
        <v>1</v>
      </c>
      <c r="O66" s="15">
        <f t="shared" si="4"/>
        <v>4.8712500000000006E-3</v>
      </c>
      <c r="P66">
        <f t="shared" si="5"/>
        <v>4.8712500000000006E-3</v>
      </c>
      <c r="Q66" s="15">
        <f t="shared" si="6"/>
        <v>0</v>
      </c>
    </row>
    <row r="67" spans="1:17" x14ac:dyDescent="0.3">
      <c r="A67" s="14"/>
      <c r="B67" s="11"/>
      <c r="E67" s="12" t="s">
        <v>71</v>
      </c>
      <c r="F67" s="13">
        <v>0.35</v>
      </c>
      <c r="O67" s="15"/>
    </row>
    <row r="68" spans="1:17" x14ac:dyDescent="0.3">
      <c r="A68" s="14"/>
      <c r="B68" s="11"/>
      <c r="E68" s="5" t="s">
        <v>85</v>
      </c>
      <c r="F68" s="5">
        <v>5.0000000000000001E-4</v>
      </c>
      <c r="O68" s="15"/>
    </row>
    <row r="69" spans="1:17" x14ac:dyDescent="0.3">
      <c r="A69" s="14"/>
      <c r="B69" s="11"/>
      <c r="O69" s="15"/>
    </row>
    <row r="70" spans="1:17" x14ac:dyDescent="0.3">
      <c r="A70" s="14"/>
      <c r="B70" s="11"/>
      <c r="E70" s="5"/>
      <c r="F70" s="5"/>
      <c r="O70" s="15"/>
    </row>
    <row r="71" spans="1:17" x14ac:dyDescent="0.3">
      <c r="A71" s="14"/>
      <c r="B71" s="11"/>
      <c r="E71" s="5"/>
      <c r="F71" s="5"/>
      <c r="O71" s="15"/>
    </row>
    <row r="72" spans="1:17" x14ac:dyDescent="0.3">
      <c r="A72" s="14"/>
      <c r="B72" s="11"/>
      <c r="E72" s="5"/>
      <c r="F72" s="5"/>
      <c r="O72" s="15"/>
    </row>
    <row r="73" spans="1:17" x14ac:dyDescent="0.3">
      <c r="A73" s="14"/>
      <c r="B73" s="11"/>
      <c r="E73" s="5"/>
      <c r="F73" s="5"/>
      <c r="O73" s="15"/>
    </row>
    <row r="74" spans="1:17" x14ac:dyDescent="0.3">
      <c r="A74" s="14"/>
      <c r="B74" s="11"/>
      <c r="E74" s="5"/>
      <c r="F74" s="5"/>
      <c r="O74" s="15"/>
    </row>
    <row r="75" spans="1:17" x14ac:dyDescent="0.3">
      <c r="A75" s="14"/>
      <c r="B75" s="11"/>
      <c r="E75" s="5"/>
      <c r="F75" s="5"/>
      <c r="O75" s="15"/>
    </row>
    <row r="76" spans="1:17" x14ac:dyDescent="0.3">
      <c r="A76" s="14"/>
      <c r="B76" s="11"/>
      <c r="E76" s="5"/>
      <c r="F76" s="5"/>
      <c r="O76" s="15"/>
    </row>
    <row r="77" spans="1:17" x14ac:dyDescent="0.3">
      <c r="A77" s="10"/>
      <c r="B77" s="11"/>
      <c r="O77" s="15"/>
    </row>
    <row r="78" spans="1:17" x14ac:dyDescent="0.3">
      <c r="A78" s="10"/>
      <c r="B78" s="11"/>
      <c r="O78" s="15"/>
    </row>
    <row r="79" spans="1:17" x14ac:dyDescent="0.3">
      <c r="A79" s="10"/>
      <c r="B79" s="11"/>
      <c r="C79" s="6"/>
      <c r="O79" s="15"/>
    </row>
    <row r="80" spans="1:17" x14ac:dyDescent="0.3">
      <c r="A80" s="10"/>
      <c r="B80" s="11"/>
      <c r="C80" s="6"/>
      <c r="O80" s="15"/>
    </row>
    <row r="81" spans="1:15" x14ac:dyDescent="0.3">
      <c r="A81" s="10"/>
      <c r="B81" s="11"/>
      <c r="C81" s="6"/>
      <c r="O81" s="15"/>
    </row>
    <row r="82" spans="1:15" x14ac:dyDescent="0.3">
      <c r="A82" s="10"/>
      <c r="B82" s="11"/>
      <c r="C82" s="6"/>
      <c r="O82" s="15"/>
    </row>
    <row r="83" spans="1:15" x14ac:dyDescent="0.3">
      <c r="A83" s="10"/>
      <c r="B83" s="11"/>
      <c r="C83" s="6"/>
      <c r="O83" s="15"/>
    </row>
    <row r="84" spans="1:15" x14ac:dyDescent="0.3">
      <c r="A84" s="10"/>
      <c r="B84" s="11"/>
      <c r="C84" s="6"/>
      <c r="O84" s="15"/>
    </row>
    <row r="85" spans="1:15" x14ac:dyDescent="0.3">
      <c r="A85" s="10"/>
      <c r="B85" s="11"/>
      <c r="C85" s="6"/>
      <c r="O85" s="15"/>
    </row>
    <row r="86" spans="1:15" x14ac:dyDescent="0.3">
      <c r="A86" s="10"/>
      <c r="B86" s="11"/>
      <c r="C86" s="6"/>
      <c r="O86" s="15"/>
    </row>
    <row r="87" spans="1:15" x14ac:dyDescent="0.3">
      <c r="A87" s="10"/>
      <c r="B87" s="11"/>
      <c r="C87" s="6"/>
      <c r="O87" s="15"/>
    </row>
    <row r="88" spans="1:15" x14ac:dyDescent="0.3">
      <c r="A88" s="10"/>
      <c r="B88" s="11"/>
      <c r="C88" s="6"/>
      <c r="O88" s="15"/>
    </row>
    <row r="89" spans="1:15" x14ac:dyDescent="0.3">
      <c r="A89" s="10"/>
      <c r="B89" s="11"/>
      <c r="C89" s="6"/>
      <c r="O89" s="15"/>
    </row>
    <row r="90" spans="1:15" x14ac:dyDescent="0.3">
      <c r="A90" s="10"/>
      <c r="B90" s="11"/>
      <c r="C90" s="6"/>
      <c r="O90" s="15"/>
    </row>
    <row r="91" spans="1:15" x14ac:dyDescent="0.3">
      <c r="A91" s="10"/>
      <c r="B91" s="11"/>
      <c r="C91" s="6"/>
      <c r="O91" s="15"/>
    </row>
    <row r="92" spans="1:15" x14ac:dyDescent="0.3">
      <c r="A92" s="10"/>
      <c r="B92" s="11"/>
      <c r="C92" s="6"/>
      <c r="O92" s="15"/>
    </row>
    <row r="93" spans="1:15" x14ac:dyDescent="0.3">
      <c r="A93" s="10"/>
      <c r="B93" s="11"/>
      <c r="C93" s="6"/>
      <c r="O93" s="15"/>
    </row>
    <row r="94" spans="1:15" x14ac:dyDescent="0.3">
      <c r="A94" s="10"/>
      <c r="B94" s="11"/>
      <c r="C94" s="6"/>
      <c r="O94" s="15"/>
    </row>
    <row r="95" spans="1:15" x14ac:dyDescent="0.3">
      <c r="A95" s="10"/>
      <c r="B95" s="11"/>
      <c r="C95" s="6"/>
      <c r="O95" s="15"/>
    </row>
    <row r="96" spans="1:15" x14ac:dyDescent="0.3">
      <c r="A96" s="10"/>
      <c r="B96" s="11"/>
      <c r="C96" s="6"/>
      <c r="O96" s="15"/>
    </row>
    <row r="97" spans="1:15" x14ac:dyDescent="0.3">
      <c r="A97" s="10"/>
      <c r="B97" s="11"/>
      <c r="C97" s="6"/>
      <c r="O97" s="15"/>
    </row>
    <row r="98" spans="1:15" x14ac:dyDescent="0.3">
      <c r="A98" s="10"/>
      <c r="B98" s="11"/>
      <c r="C98" s="6"/>
      <c r="O98" s="15"/>
    </row>
    <row r="99" spans="1:15" x14ac:dyDescent="0.3">
      <c r="A99" s="10"/>
      <c r="B99" s="11"/>
      <c r="C99" s="6"/>
      <c r="O99" s="15"/>
    </row>
    <row r="100" spans="1:15" x14ac:dyDescent="0.3">
      <c r="A100" s="10"/>
      <c r="B100" s="11"/>
      <c r="C100" s="6"/>
      <c r="O100" s="15"/>
    </row>
    <row r="101" spans="1:15" x14ac:dyDescent="0.3">
      <c r="A101" s="10"/>
      <c r="B101" s="11"/>
      <c r="C101" s="6"/>
      <c r="O101" s="15"/>
    </row>
    <row r="102" spans="1:15" x14ac:dyDescent="0.3">
      <c r="A102" s="10"/>
      <c r="B102" s="11"/>
      <c r="C102" s="6"/>
      <c r="O102" s="15"/>
    </row>
    <row r="103" spans="1:15" x14ac:dyDescent="0.3">
      <c r="A103" s="10"/>
      <c r="B103" s="11"/>
      <c r="C103" s="6"/>
      <c r="O103" s="15"/>
    </row>
    <row r="104" spans="1:15" x14ac:dyDescent="0.3">
      <c r="A104" s="10"/>
      <c r="B104" s="11"/>
      <c r="C104" s="6"/>
      <c r="O104" s="15"/>
    </row>
    <row r="105" spans="1:15" x14ac:dyDescent="0.3">
      <c r="A105" s="10"/>
      <c r="B105" s="11"/>
      <c r="C105" s="6"/>
      <c r="O105" s="15"/>
    </row>
    <row r="106" spans="1:15" x14ac:dyDescent="0.3">
      <c r="A106" s="10"/>
      <c r="B106" s="11"/>
      <c r="C106" s="6"/>
      <c r="O106" s="15"/>
    </row>
    <row r="107" spans="1:15" x14ac:dyDescent="0.3">
      <c r="A107" s="10"/>
      <c r="B107" s="11"/>
      <c r="C107" s="6"/>
      <c r="O107" s="15"/>
    </row>
    <row r="108" spans="1:15" x14ac:dyDescent="0.3">
      <c r="A108" s="10"/>
      <c r="B108" s="11"/>
      <c r="C108" s="6"/>
      <c r="O108" s="15"/>
    </row>
    <row r="109" spans="1:15" x14ac:dyDescent="0.3">
      <c r="A109" s="10"/>
      <c r="B109" s="11"/>
      <c r="C109" s="6"/>
      <c r="O109" s="15"/>
    </row>
    <row r="110" spans="1:15" x14ac:dyDescent="0.3">
      <c r="A110" s="10"/>
      <c r="B110" s="11"/>
      <c r="C110" s="6"/>
      <c r="O110" s="15"/>
    </row>
    <row r="111" spans="1:15" x14ac:dyDescent="0.3">
      <c r="A111" s="10"/>
      <c r="B111" s="11"/>
      <c r="C111" s="6"/>
      <c r="O111" s="15"/>
    </row>
    <row r="112" spans="1:15" x14ac:dyDescent="0.3">
      <c r="A112" s="10"/>
      <c r="B112" s="11"/>
      <c r="C112" s="6"/>
      <c r="O112" s="15"/>
    </row>
    <row r="113" spans="1:15" x14ac:dyDescent="0.3">
      <c r="A113" s="10"/>
      <c r="B113" s="11"/>
      <c r="C113" s="6"/>
      <c r="O113" s="15"/>
    </row>
    <row r="114" spans="1:15" x14ac:dyDescent="0.3">
      <c r="A114" s="10"/>
      <c r="B114" s="11"/>
      <c r="C114" s="6"/>
      <c r="O114" s="15"/>
    </row>
    <row r="115" spans="1:15" x14ac:dyDescent="0.3">
      <c r="A115" s="10"/>
      <c r="B115" s="11"/>
      <c r="C115" s="6"/>
      <c r="O115" s="15"/>
    </row>
    <row r="116" spans="1:15" x14ac:dyDescent="0.3">
      <c r="A116" s="10"/>
      <c r="B116" s="11"/>
      <c r="C116" s="6"/>
      <c r="O116" s="15"/>
    </row>
    <row r="117" spans="1:15" x14ac:dyDescent="0.3">
      <c r="A117" s="10"/>
      <c r="B117" s="11"/>
      <c r="C117" s="6"/>
      <c r="O117" s="15"/>
    </row>
    <row r="118" spans="1:15" x14ac:dyDescent="0.3">
      <c r="A118" s="10"/>
      <c r="B118" s="11"/>
      <c r="C118" s="6"/>
      <c r="O118" s="15"/>
    </row>
    <row r="119" spans="1:15" x14ac:dyDescent="0.3">
      <c r="A119" s="10"/>
      <c r="B119" s="11"/>
      <c r="C119" s="6"/>
      <c r="O119" s="15"/>
    </row>
    <row r="120" spans="1:15" x14ac:dyDescent="0.3">
      <c r="A120" s="10"/>
      <c r="B120" s="11"/>
      <c r="C120" s="6"/>
      <c r="O120" s="15"/>
    </row>
    <row r="121" spans="1:15" x14ac:dyDescent="0.3">
      <c r="A121" s="10"/>
      <c r="B121" s="11"/>
      <c r="C121" s="6"/>
      <c r="O121" s="15"/>
    </row>
    <row r="122" spans="1:15" x14ac:dyDescent="0.3">
      <c r="A122" s="10"/>
      <c r="B122" s="11"/>
      <c r="C122" s="6"/>
      <c r="O122" s="15"/>
    </row>
    <row r="123" spans="1:15" x14ac:dyDescent="0.3">
      <c r="A123" s="10"/>
      <c r="B123" s="11"/>
      <c r="C123" s="6"/>
      <c r="O123" s="15"/>
    </row>
    <row r="124" spans="1:15" x14ac:dyDescent="0.3">
      <c r="A124" s="10"/>
      <c r="B124" s="11"/>
      <c r="C124" s="6"/>
      <c r="O124" s="15"/>
    </row>
    <row r="125" spans="1:15" x14ac:dyDescent="0.3">
      <c r="A125" s="10"/>
      <c r="B125" s="11"/>
      <c r="C125" s="6"/>
      <c r="O125" s="15"/>
    </row>
    <row r="126" spans="1:15" x14ac:dyDescent="0.3">
      <c r="A126" s="10"/>
      <c r="B126" s="11"/>
      <c r="C126" s="6"/>
      <c r="O126" s="15"/>
    </row>
    <row r="127" spans="1:15" x14ac:dyDescent="0.3">
      <c r="A127" s="10"/>
      <c r="B127" s="11"/>
      <c r="C127" s="6"/>
      <c r="O127" s="15"/>
    </row>
    <row r="128" spans="1:15" x14ac:dyDescent="0.3">
      <c r="A128" s="10"/>
      <c r="B128" s="11"/>
      <c r="C128" s="6"/>
      <c r="O128" s="15"/>
    </row>
    <row r="129" spans="1:15" x14ac:dyDescent="0.3">
      <c r="A129" s="10"/>
      <c r="B129" s="11"/>
      <c r="C129" s="6"/>
      <c r="O129" s="15"/>
    </row>
    <row r="130" spans="1:15" x14ac:dyDescent="0.3">
      <c r="A130" s="10"/>
      <c r="B130" s="11"/>
      <c r="C130" s="6"/>
      <c r="O130" s="15"/>
    </row>
    <row r="131" spans="1:15" x14ac:dyDescent="0.3">
      <c r="A131" s="10"/>
      <c r="B131" s="11"/>
      <c r="C131" s="6"/>
      <c r="O131" s="15"/>
    </row>
    <row r="132" spans="1:15" x14ac:dyDescent="0.3">
      <c r="A132" s="10"/>
      <c r="B132" s="11"/>
      <c r="C132" s="6"/>
      <c r="O132" s="15"/>
    </row>
    <row r="133" spans="1:15" x14ac:dyDescent="0.3">
      <c r="A133" s="10"/>
      <c r="B133" s="11"/>
      <c r="C133" s="6"/>
      <c r="O133" s="15"/>
    </row>
    <row r="134" spans="1:15" x14ac:dyDescent="0.3">
      <c r="A134" s="10"/>
      <c r="B134" s="11"/>
      <c r="C134" s="6"/>
      <c r="O134" s="15"/>
    </row>
    <row r="135" spans="1:15" x14ac:dyDescent="0.3">
      <c r="A135" s="10"/>
      <c r="B135" s="11"/>
      <c r="C135" s="6"/>
      <c r="O135" s="15"/>
    </row>
    <row r="136" spans="1:15" x14ac:dyDescent="0.3">
      <c r="A136" s="10"/>
      <c r="B136" s="11"/>
      <c r="C136" s="6"/>
      <c r="O136" s="15"/>
    </row>
    <row r="137" spans="1:15" x14ac:dyDescent="0.3">
      <c r="A137" s="10"/>
      <c r="B137" s="11"/>
      <c r="C137" s="6"/>
      <c r="O137" s="15"/>
    </row>
    <row r="138" spans="1:15" x14ac:dyDescent="0.3">
      <c r="A138" s="10"/>
      <c r="B138" s="11"/>
      <c r="C138" s="6"/>
      <c r="O138" s="15"/>
    </row>
    <row r="139" spans="1:15" x14ac:dyDescent="0.3">
      <c r="A139" s="10"/>
      <c r="B139" s="11"/>
      <c r="C139" s="6"/>
      <c r="O139" s="15"/>
    </row>
    <row r="140" spans="1:15" x14ac:dyDescent="0.3">
      <c r="A140" s="10"/>
      <c r="B140" s="11"/>
      <c r="C140" s="6"/>
      <c r="O140" s="15"/>
    </row>
    <row r="141" spans="1:15" x14ac:dyDescent="0.3">
      <c r="A141" s="10"/>
      <c r="B141" s="11"/>
      <c r="C141" s="6"/>
      <c r="O141" s="15"/>
    </row>
    <row r="142" spans="1:15" x14ac:dyDescent="0.3">
      <c r="A142" s="10"/>
      <c r="B142" s="11"/>
      <c r="C142" s="6"/>
      <c r="O142" s="15"/>
    </row>
    <row r="143" spans="1:15" x14ac:dyDescent="0.3">
      <c r="A143" s="10"/>
      <c r="B143" s="11"/>
      <c r="C143" s="6"/>
      <c r="O143" s="15"/>
    </row>
    <row r="144" spans="1:15" x14ac:dyDescent="0.3">
      <c r="A144" s="10"/>
      <c r="B144" s="11"/>
      <c r="C144" s="6"/>
      <c r="O144" s="15"/>
    </row>
    <row r="145" spans="1:15" x14ac:dyDescent="0.3">
      <c r="A145" s="10"/>
      <c r="B145" s="11"/>
      <c r="C145" s="6"/>
      <c r="O145" s="15"/>
    </row>
    <row r="146" spans="1:15" x14ac:dyDescent="0.3">
      <c r="A146" s="10"/>
      <c r="B146" s="11"/>
      <c r="C146" s="6"/>
      <c r="O146" s="15"/>
    </row>
    <row r="147" spans="1:15" x14ac:dyDescent="0.3">
      <c r="A147" s="10"/>
      <c r="B147" s="11"/>
      <c r="C147" s="6"/>
      <c r="O147" s="15"/>
    </row>
    <row r="148" spans="1:15" x14ac:dyDescent="0.3">
      <c r="A148" s="10"/>
      <c r="B148" s="11"/>
      <c r="C148" s="6"/>
      <c r="O148" s="15"/>
    </row>
    <row r="149" spans="1:15" x14ac:dyDescent="0.3">
      <c r="A149" s="10"/>
      <c r="B149" s="11"/>
      <c r="C149" s="6"/>
      <c r="O149" s="15"/>
    </row>
    <row r="150" spans="1:15" x14ac:dyDescent="0.3">
      <c r="A150" s="10"/>
      <c r="B150" s="11"/>
      <c r="C150" s="6"/>
      <c r="O150" s="15"/>
    </row>
    <row r="151" spans="1:15" x14ac:dyDescent="0.3">
      <c r="A151" s="10"/>
      <c r="B151" s="11"/>
      <c r="C151" s="6"/>
      <c r="O151" s="15"/>
    </row>
    <row r="152" spans="1:15" x14ac:dyDescent="0.3">
      <c r="A152" s="10"/>
      <c r="B152" s="11"/>
      <c r="C152" s="6"/>
      <c r="O152" s="15"/>
    </row>
    <row r="153" spans="1:15" x14ac:dyDescent="0.3">
      <c r="A153" s="10"/>
      <c r="B153" s="11"/>
      <c r="C153" s="6"/>
      <c r="O153" s="15"/>
    </row>
    <row r="154" spans="1:15" x14ac:dyDescent="0.3">
      <c r="A154" s="10"/>
      <c r="B154" s="11"/>
      <c r="C154" s="6"/>
      <c r="O154" s="15"/>
    </row>
    <row r="155" spans="1:15" x14ac:dyDescent="0.3">
      <c r="A155" s="10"/>
      <c r="B155" s="11"/>
      <c r="C155" s="6"/>
      <c r="O155" s="15"/>
    </row>
    <row r="156" spans="1:15" x14ac:dyDescent="0.3">
      <c r="A156" s="10"/>
      <c r="B156" s="11"/>
      <c r="C156" s="6"/>
      <c r="O156" s="15"/>
    </row>
    <row r="157" spans="1:15" x14ac:dyDescent="0.3">
      <c r="A157" s="10"/>
      <c r="B157" s="11"/>
      <c r="C157" s="6"/>
      <c r="O157" s="15"/>
    </row>
    <row r="158" spans="1:15" x14ac:dyDescent="0.3">
      <c r="A158" s="10"/>
      <c r="B158" s="11"/>
      <c r="C158" s="6"/>
      <c r="O158" s="15"/>
    </row>
    <row r="159" spans="1:15" x14ac:dyDescent="0.3">
      <c r="A159" s="10"/>
      <c r="B159" s="11"/>
      <c r="C159" s="6"/>
      <c r="O159" s="15"/>
    </row>
    <row r="160" spans="1:15" x14ac:dyDescent="0.3">
      <c r="A160" s="10"/>
      <c r="B160" s="11"/>
      <c r="C160" s="6"/>
      <c r="O160" s="15"/>
    </row>
    <row r="161" spans="1:15" x14ac:dyDescent="0.3">
      <c r="A161" s="10"/>
      <c r="B161" s="11"/>
      <c r="C161" s="6"/>
      <c r="O161" s="15"/>
    </row>
    <row r="162" spans="1:15" x14ac:dyDescent="0.3">
      <c r="A162" s="10"/>
      <c r="B162" s="11"/>
      <c r="C162" s="6"/>
      <c r="O162" s="15"/>
    </row>
    <row r="163" spans="1:15" x14ac:dyDescent="0.3">
      <c r="A163" s="10"/>
      <c r="B163" s="11"/>
      <c r="C163" s="6"/>
      <c r="O163" s="15"/>
    </row>
    <row r="164" spans="1:15" x14ac:dyDescent="0.3">
      <c r="A164" s="10"/>
      <c r="B164" s="11"/>
      <c r="C164" s="6"/>
      <c r="O164" s="15"/>
    </row>
    <row r="165" spans="1:15" x14ac:dyDescent="0.3">
      <c r="A165" s="10"/>
      <c r="B165" s="11"/>
      <c r="C165" s="6"/>
      <c r="O165" s="15"/>
    </row>
    <row r="166" spans="1:15" x14ac:dyDescent="0.3">
      <c r="A166" s="10"/>
      <c r="B166" s="11"/>
      <c r="C166" s="6"/>
      <c r="O166" s="15"/>
    </row>
    <row r="167" spans="1:15" x14ac:dyDescent="0.3">
      <c r="A167" s="10"/>
      <c r="B167" s="11"/>
      <c r="C167" s="6"/>
      <c r="O167" s="15"/>
    </row>
    <row r="168" spans="1:15" x14ac:dyDescent="0.3">
      <c r="A168" s="10"/>
      <c r="B168" s="11"/>
      <c r="C168" s="6"/>
      <c r="O168" s="15"/>
    </row>
    <row r="169" spans="1:15" x14ac:dyDescent="0.3">
      <c r="A169" s="10"/>
      <c r="B169" s="11"/>
      <c r="C169" s="6"/>
      <c r="O169" s="15"/>
    </row>
    <row r="170" spans="1:15" x14ac:dyDescent="0.3">
      <c r="A170" s="10"/>
      <c r="B170" s="11"/>
      <c r="C170" s="6"/>
      <c r="O170" s="15"/>
    </row>
    <row r="171" spans="1:15" x14ac:dyDescent="0.3">
      <c r="A171" s="10"/>
      <c r="B171" s="11"/>
      <c r="C171" s="6"/>
      <c r="O171" s="15"/>
    </row>
    <row r="172" spans="1:15" x14ac:dyDescent="0.3">
      <c r="A172" s="10"/>
      <c r="B172" s="11"/>
      <c r="C172" s="6"/>
      <c r="O172" s="15"/>
    </row>
    <row r="173" spans="1:15" x14ac:dyDescent="0.3">
      <c r="A173" s="10"/>
      <c r="B173" s="11"/>
      <c r="C173" s="6"/>
      <c r="O173" s="15"/>
    </row>
    <row r="174" spans="1:15" x14ac:dyDescent="0.3">
      <c r="A174" s="10"/>
      <c r="B174" s="11"/>
      <c r="C174" s="6"/>
      <c r="O174" s="15"/>
    </row>
    <row r="175" spans="1:15" x14ac:dyDescent="0.3">
      <c r="A175" s="10"/>
      <c r="B175" s="11"/>
      <c r="C175" s="6"/>
      <c r="O175" s="15"/>
    </row>
    <row r="176" spans="1:15" x14ac:dyDescent="0.3">
      <c r="A176" s="10"/>
      <c r="B176" s="11"/>
      <c r="C176" s="6"/>
      <c r="O176" s="15"/>
    </row>
    <row r="177" spans="1:15" x14ac:dyDescent="0.3">
      <c r="A177" s="10"/>
      <c r="B177" s="11"/>
      <c r="C177" s="6"/>
      <c r="O177" s="15"/>
    </row>
    <row r="178" spans="1:15" x14ac:dyDescent="0.3">
      <c r="A178" s="10"/>
      <c r="B178" s="11"/>
      <c r="C178" s="6"/>
      <c r="O178" s="15"/>
    </row>
    <row r="179" spans="1:15" x14ac:dyDescent="0.3">
      <c r="A179" s="10"/>
      <c r="B179" s="11"/>
      <c r="C179" s="6"/>
      <c r="O179" s="15"/>
    </row>
    <row r="180" spans="1:15" x14ac:dyDescent="0.3">
      <c r="A180" s="10"/>
      <c r="B180" s="11"/>
      <c r="C180" s="6"/>
      <c r="O180" s="15"/>
    </row>
    <row r="181" spans="1:15" x14ac:dyDescent="0.3">
      <c r="A181" s="10"/>
      <c r="B181" s="11"/>
      <c r="C181" s="6"/>
      <c r="O181" s="15"/>
    </row>
    <row r="182" spans="1:15" x14ac:dyDescent="0.3">
      <c r="A182" s="10"/>
      <c r="B182" s="11"/>
      <c r="C182" s="6"/>
      <c r="O182" s="15"/>
    </row>
    <row r="183" spans="1:15" x14ac:dyDescent="0.3">
      <c r="A183" s="10"/>
      <c r="B183" s="11"/>
      <c r="C183" s="6"/>
      <c r="O183" s="15"/>
    </row>
    <row r="184" spans="1:15" x14ac:dyDescent="0.3">
      <c r="A184" s="10"/>
      <c r="B184" s="11"/>
      <c r="C184" s="6"/>
      <c r="O184" s="15"/>
    </row>
    <row r="185" spans="1:15" x14ac:dyDescent="0.3">
      <c r="A185" s="10"/>
      <c r="B185" s="11"/>
      <c r="C185" s="6"/>
      <c r="O185" s="15"/>
    </row>
    <row r="186" spans="1:15" x14ac:dyDescent="0.3">
      <c r="A186" s="10"/>
      <c r="B186" s="11"/>
      <c r="C186" s="6"/>
      <c r="O186" s="15"/>
    </row>
    <row r="187" spans="1:15" x14ac:dyDescent="0.3">
      <c r="A187" s="10"/>
      <c r="B187" s="11"/>
      <c r="C187" s="6"/>
      <c r="O187" s="15"/>
    </row>
    <row r="188" spans="1:15" x14ac:dyDescent="0.3">
      <c r="A188" s="10"/>
      <c r="B188" s="11"/>
      <c r="C188" s="6"/>
      <c r="O188" s="15"/>
    </row>
    <row r="189" spans="1:15" x14ac:dyDescent="0.3">
      <c r="A189" s="10"/>
      <c r="B189" s="11"/>
      <c r="C189" s="6"/>
      <c r="O189" s="15"/>
    </row>
    <row r="190" spans="1:15" x14ac:dyDescent="0.3">
      <c r="A190" s="10"/>
      <c r="B190" s="11"/>
      <c r="C190" s="6"/>
      <c r="O190" s="15"/>
    </row>
    <row r="191" spans="1:15" x14ac:dyDescent="0.3">
      <c r="A191" s="10"/>
      <c r="B191" s="11"/>
      <c r="C191" s="6"/>
      <c r="O191" s="15"/>
    </row>
    <row r="192" spans="1:15" x14ac:dyDescent="0.3">
      <c r="A192" s="10"/>
      <c r="B192" s="11"/>
      <c r="C192" s="6"/>
      <c r="O192" s="15"/>
    </row>
    <row r="193" spans="1:15" x14ac:dyDescent="0.3">
      <c r="A193" s="10"/>
      <c r="B193" s="11"/>
      <c r="C193" s="6"/>
      <c r="O193" s="15"/>
    </row>
    <row r="194" spans="1:15" x14ac:dyDescent="0.3">
      <c r="A194" s="10"/>
      <c r="B194" s="11"/>
      <c r="C194" s="6"/>
      <c r="O194" s="15"/>
    </row>
    <row r="195" spans="1:15" x14ac:dyDescent="0.3">
      <c r="A195" s="10"/>
      <c r="B195" s="11"/>
      <c r="C195" s="6"/>
    </row>
    <row r="196" spans="1:15" x14ac:dyDescent="0.3">
      <c r="A196" s="10"/>
      <c r="B196" s="11"/>
      <c r="C196" s="6"/>
    </row>
    <row r="197" spans="1:15" x14ac:dyDescent="0.3">
      <c r="A197" s="10"/>
      <c r="B197" s="11"/>
      <c r="C197" s="6"/>
    </row>
    <row r="198" spans="1:15" x14ac:dyDescent="0.3">
      <c r="A198" s="10"/>
      <c r="B198" s="11"/>
      <c r="C198" s="6"/>
    </row>
    <row r="199" spans="1:15" x14ac:dyDescent="0.3">
      <c r="A199" s="10"/>
      <c r="B199" s="11"/>
      <c r="C199" s="6"/>
    </row>
    <row r="200" spans="1:15" x14ac:dyDescent="0.3">
      <c r="A200" s="10"/>
      <c r="B200" s="11"/>
      <c r="C200" s="6"/>
    </row>
    <row r="201" spans="1:15" x14ac:dyDescent="0.3">
      <c r="A201" s="10"/>
      <c r="B201" s="11"/>
      <c r="C201" s="6"/>
    </row>
    <row r="202" spans="1:15" x14ac:dyDescent="0.3">
      <c r="A202" s="10"/>
      <c r="B202" s="11"/>
      <c r="C202" s="6"/>
    </row>
    <row r="203" spans="1:15" x14ac:dyDescent="0.3">
      <c r="A203" s="10"/>
      <c r="B203" s="11"/>
      <c r="C203" s="6"/>
    </row>
    <row r="204" spans="1:15" x14ac:dyDescent="0.3">
      <c r="A204" s="10"/>
      <c r="B204" s="11"/>
      <c r="C204" s="6"/>
    </row>
    <row r="205" spans="1:15" x14ac:dyDescent="0.3">
      <c r="A205" s="10"/>
      <c r="B205" s="11"/>
      <c r="C205" s="6"/>
    </row>
    <row r="206" spans="1:15" x14ac:dyDescent="0.3">
      <c r="A206" s="10"/>
      <c r="B206" s="11"/>
      <c r="C206" s="6"/>
    </row>
    <row r="207" spans="1:15" x14ac:dyDescent="0.3">
      <c r="A207" s="10"/>
      <c r="B207" s="11"/>
      <c r="C207" s="6"/>
    </row>
    <row r="208" spans="1:15" x14ac:dyDescent="0.3">
      <c r="A208" s="10"/>
      <c r="B208" s="11"/>
      <c r="C208" s="6"/>
    </row>
    <row r="209" spans="1:3" x14ac:dyDescent="0.3">
      <c r="A209" s="10"/>
      <c r="B209" s="11"/>
      <c r="C209" s="6"/>
    </row>
    <row r="210" spans="1:3" x14ac:dyDescent="0.3">
      <c r="A210" s="10"/>
      <c r="B210" s="11"/>
      <c r="C210" s="6"/>
    </row>
    <row r="211" spans="1:3" x14ac:dyDescent="0.3">
      <c r="A211" s="10"/>
      <c r="B211" s="11"/>
      <c r="C211" s="6"/>
    </row>
    <row r="212" spans="1:3" x14ac:dyDescent="0.3">
      <c r="A212" s="10"/>
      <c r="B212" s="11"/>
      <c r="C212" s="6"/>
    </row>
    <row r="213" spans="1:3" x14ac:dyDescent="0.3">
      <c r="A213" s="10"/>
      <c r="B213" s="11"/>
      <c r="C213" s="6"/>
    </row>
    <row r="214" spans="1:3" x14ac:dyDescent="0.3">
      <c r="A214" s="10"/>
      <c r="B214" s="11"/>
      <c r="C214" s="6"/>
    </row>
    <row r="215" spans="1:3" x14ac:dyDescent="0.3">
      <c r="A215" s="10"/>
      <c r="B215" s="11"/>
      <c r="C215" s="6"/>
    </row>
    <row r="216" spans="1:3" x14ac:dyDescent="0.3">
      <c r="A216" s="10"/>
      <c r="B216" s="11"/>
      <c r="C216" s="6"/>
    </row>
    <row r="217" spans="1:3" x14ac:dyDescent="0.3">
      <c r="A217" s="10"/>
      <c r="B217" s="11"/>
      <c r="C217" s="6"/>
    </row>
    <row r="218" spans="1:3" x14ac:dyDescent="0.3">
      <c r="A218" s="10"/>
      <c r="B218" s="11"/>
      <c r="C218" s="6"/>
    </row>
    <row r="219" spans="1:3" x14ac:dyDescent="0.3">
      <c r="A219" s="10"/>
      <c r="B219" s="11"/>
      <c r="C219" s="6"/>
    </row>
    <row r="220" spans="1:3" x14ac:dyDescent="0.3">
      <c r="A220" s="10"/>
      <c r="B220" s="11"/>
      <c r="C220" s="6"/>
    </row>
    <row r="221" spans="1:3" x14ac:dyDescent="0.3">
      <c r="A221" s="10"/>
      <c r="B221" s="11"/>
      <c r="C221" s="6"/>
    </row>
    <row r="222" spans="1:3" x14ac:dyDescent="0.3">
      <c r="A222" s="10"/>
      <c r="B222" s="11"/>
      <c r="C222" s="6"/>
    </row>
    <row r="223" spans="1:3" x14ac:dyDescent="0.3">
      <c r="A223" s="10"/>
      <c r="B223" s="11"/>
      <c r="C223" s="6"/>
    </row>
    <row r="224" spans="1:3" x14ac:dyDescent="0.3">
      <c r="A224" s="10"/>
      <c r="B224" s="11"/>
      <c r="C224" s="6"/>
    </row>
    <row r="225" spans="1:3" x14ac:dyDescent="0.3">
      <c r="A225" s="10"/>
      <c r="B225" s="11"/>
      <c r="C225" s="6"/>
    </row>
    <row r="226" spans="1:3" x14ac:dyDescent="0.3">
      <c r="A226" s="10"/>
      <c r="B226" s="11"/>
      <c r="C226" s="6"/>
    </row>
    <row r="227" spans="1:3" x14ac:dyDescent="0.3">
      <c r="A227" s="10"/>
      <c r="B227" s="11"/>
      <c r="C227" s="6"/>
    </row>
    <row r="228" spans="1:3" x14ac:dyDescent="0.3">
      <c r="A228" s="10"/>
      <c r="B228" s="11"/>
      <c r="C228" s="6"/>
    </row>
    <row r="229" spans="1:3" x14ac:dyDescent="0.3">
      <c r="A229" s="10"/>
      <c r="B229" s="11"/>
      <c r="C229" s="6"/>
    </row>
    <row r="230" spans="1:3" x14ac:dyDescent="0.3">
      <c r="A230" s="10"/>
      <c r="B230" s="11"/>
      <c r="C230" s="6"/>
    </row>
    <row r="231" spans="1:3" x14ac:dyDescent="0.3">
      <c r="A231" s="10"/>
      <c r="B231" s="11"/>
      <c r="C231" s="6"/>
    </row>
    <row r="232" spans="1:3" x14ac:dyDescent="0.3">
      <c r="A232" s="10"/>
      <c r="B232" s="11"/>
      <c r="C232" s="6"/>
    </row>
    <row r="233" spans="1:3" x14ac:dyDescent="0.3">
      <c r="A233" s="10"/>
      <c r="B233" s="11"/>
      <c r="C233" s="6"/>
    </row>
    <row r="234" spans="1:3" x14ac:dyDescent="0.3">
      <c r="A234" s="10"/>
      <c r="B234" s="11"/>
      <c r="C234" s="6"/>
    </row>
    <row r="235" spans="1:3" x14ac:dyDescent="0.3">
      <c r="A235" s="10"/>
      <c r="B235" s="11"/>
      <c r="C235" s="6"/>
    </row>
    <row r="236" spans="1:3" x14ac:dyDescent="0.3">
      <c r="A236" s="10"/>
      <c r="B236" s="11"/>
      <c r="C236" s="6"/>
    </row>
    <row r="237" spans="1:3" x14ac:dyDescent="0.3">
      <c r="A237" s="10"/>
      <c r="B237" s="11"/>
      <c r="C237" s="6"/>
    </row>
    <row r="238" spans="1:3" x14ac:dyDescent="0.3">
      <c r="A238" s="10"/>
      <c r="B238" s="11"/>
      <c r="C238" s="6"/>
    </row>
    <row r="239" spans="1:3" x14ac:dyDescent="0.3">
      <c r="A239" s="10"/>
      <c r="B239" s="11"/>
      <c r="C239" s="6"/>
    </row>
    <row r="240" spans="1:3" x14ac:dyDescent="0.3">
      <c r="A240" s="10"/>
      <c r="B240" s="11"/>
      <c r="C240" s="6"/>
    </row>
    <row r="241" spans="1:3" x14ac:dyDescent="0.3">
      <c r="A241" s="10"/>
      <c r="B241" s="11"/>
      <c r="C241" s="6"/>
    </row>
    <row r="242" spans="1:3" x14ac:dyDescent="0.3">
      <c r="A242" s="10"/>
      <c r="B242" s="11"/>
      <c r="C242" s="6"/>
    </row>
    <row r="243" spans="1:3" x14ac:dyDescent="0.3">
      <c r="A243" s="10"/>
      <c r="B243" s="11"/>
      <c r="C243" s="6"/>
    </row>
    <row r="244" spans="1:3" x14ac:dyDescent="0.3">
      <c r="A244" s="10"/>
      <c r="B244" s="11"/>
      <c r="C244" s="6"/>
    </row>
    <row r="245" spans="1:3" x14ac:dyDescent="0.3">
      <c r="A245" s="10"/>
      <c r="B245" s="11"/>
      <c r="C245" s="6"/>
    </row>
    <row r="246" spans="1:3" x14ac:dyDescent="0.3">
      <c r="A246" s="10"/>
      <c r="B246" s="11"/>
      <c r="C246" s="6"/>
    </row>
    <row r="247" spans="1:3" x14ac:dyDescent="0.3">
      <c r="A247" s="10"/>
      <c r="B247" s="11"/>
      <c r="C247" s="6"/>
    </row>
    <row r="248" spans="1:3" x14ac:dyDescent="0.3">
      <c r="A248" s="10"/>
      <c r="B248" s="11"/>
      <c r="C248" s="6"/>
    </row>
    <row r="249" spans="1:3" x14ac:dyDescent="0.3">
      <c r="A249" s="10"/>
      <c r="B249" s="11"/>
      <c r="C249" s="6"/>
    </row>
    <row r="250" spans="1:3" x14ac:dyDescent="0.3">
      <c r="A250" s="10"/>
      <c r="B250" s="11"/>
      <c r="C250" s="6"/>
    </row>
    <row r="251" spans="1:3" x14ac:dyDescent="0.3">
      <c r="A251" s="10"/>
      <c r="B251" s="11"/>
      <c r="C251" s="6"/>
    </row>
    <row r="252" spans="1:3" x14ac:dyDescent="0.3">
      <c r="A252" s="10"/>
      <c r="B252" s="11"/>
      <c r="C252" s="6"/>
    </row>
    <row r="253" spans="1:3" x14ac:dyDescent="0.3">
      <c r="A253" s="10"/>
      <c r="B253" s="11"/>
      <c r="C253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7B2C-0F68-46B5-A5A5-362C7C6EC62E}">
  <sheetPr codeName="Planilha4"/>
  <dimension ref="A1:I253"/>
  <sheetViews>
    <sheetView zoomScaleNormal="100" workbookViewId="0">
      <selection activeCell="J8" sqref="J8"/>
    </sheetView>
  </sheetViews>
  <sheetFormatPr defaultRowHeight="14.4" x14ac:dyDescent="0.3"/>
  <cols>
    <col min="1" max="1" width="19.88671875" customWidth="1"/>
    <col min="2" max="2" width="19.6640625" style="4" bestFit="1" customWidth="1"/>
    <col min="5" max="6" width="9.109375" style="8"/>
    <col min="9" max="9" width="12.109375" bestFit="1" customWidth="1"/>
  </cols>
  <sheetData>
    <row r="1" spans="1:9" ht="15" thickBot="1" x14ac:dyDescent="0.35">
      <c r="A1" s="1" t="s">
        <v>0</v>
      </c>
      <c r="B1" s="2" t="s">
        <v>79</v>
      </c>
      <c r="C1" s="6">
        <f>SUM(B2:B74)</f>
        <v>1.0000312725314968</v>
      </c>
      <c r="E1" s="8" t="s">
        <v>0</v>
      </c>
      <c r="F1" s="8" t="s">
        <v>80</v>
      </c>
      <c r="G1" s="5">
        <v>0.99997096781222472</v>
      </c>
    </row>
    <row r="2" spans="1:9" x14ac:dyDescent="0.3">
      <c r="A2" s="14" t="s">
        <v>4</v>
      </c>
      <c r="B2" s="11">
        <v>6.4000000000000001E-2</v>
      </c>
      <c r="E2" s="8" t="str">
        <f>A2</f>
        <v>BBAS3</v>
      </c>
      <c r="F2" s="5">
        <f>(1-0.35-0.05%)*B2</f>
        <v>4.1568000000000008E-2</v>
      </c>
      <c r="H2">
        <f>VLOOKUP(E2,'pesos vgbl30'!$E$2:$F$68,2,0)</f>
        <v>4.1568000000000008E-2</v>
      </c>
      <c r="I2" t="b">
        <f>H2=F2</f>
        <v>1</v>
      </c>
    </row>
    <row r="3" spans="1:9" x14ac:dyDescent="0.3">
      <c r="A3" s="14" t="s">
        <v>2</v>
      </c>
      <c r="B3" s="11">
        <v>5.6000000000000001E-2</v>
      </c>
      <c r="E3" s="8" t="str">
        <f t="shared" ref="E3:E66" si="0">A3</f>
        <v>VALE3</v>
      </c>
      <c r="F3" s="5">
        <f t="shared" ref="F3:F66" si="1">(1-0.35-0.05%)*B3</f>
        <v>3.6372000000000008E-2</v>
      </c>
      <c r="H3">
        <f>VLOOKUP(E3,'pesos vgbl30'!$E$2:$F$68,2,0)</f>
        <v>3.6372000000000008E-2</v>
      </c>
      <c r="I3" t="b">
        <f t="shared" ref="I3:I66" si="2">H3=F3</f>
        <v>1</v>
      </c>
    </row>
    <row r="4" spans="1:9" x14ac:dyDescent="0.3">
      <c r="A4" s="14" t="s">
        <v>3</v>
      </c>
      <c r="B4" s="11">
        <v>5.2865620487824588E-2</v>
      </c>
      <c r="E4" s="8" t="str">
        <f t="shared" si="0"/>
        <v>PETR4</v>
      </c>
      <c r="F4" s="5">
        <f t="shared" si="1"/>
        <v>3.4336220506842076E-2</v>
      </c>
      <c r="H4">
        <f>VLOOKUP(E4,'pesos vgbl30'!$E$2:$F$68,2,0)</f>
        <v>3.4336220506842076E-2</v>
      </c>
      <c r="I4" t="b">
        <f t="shared" si="2"/>
        <v>1</v>
      </c>
    </row>
    <row r="5" spans="1:9" x14ac:dyDescent="0.3">
      <c r="A5" s="14" t="s">
        <v>5</v>
      </c>
      <c r="B5" s="11">
        <v>5.1033345696100636E-2</v>
      </c>
      <c r="E5" s="8" t="str">
        <f t="shared" si="0"/>
        <v>PETR3</v>
      </c>
      <c r="F5" s="5">
        <f t="shared" si="1"/>
        <v>3.3146158029617366E-2</v>
      </c>
      <c r="H5">
        <f>VLOOKUP(E5,'pesos vgbl30'!$E$2:$F$68,2,0)</f>
        <v>3.3146158029617366E-2</v>
      </c>
      <c r="I5" t="b">
        <f t="shared" si="2"/>
        <v>1</v>
      </c>
    </row>
    <row r="6" spans="1:9" x14ac:dyDescent="0.3">
      <c r="A6" s="14" t="s">
        <v>74</v>
      </c>
      <c r="B6" s="11">
        <v>0.04</v>
      </c>
      <c r="E6" s="8" t="str">
        <f t="shared" si="0"/>
        <v>ITUB4</v>
      </c>
      <c r="F6" s="5">
        <f t="shared" si="1"/>
        <v>2.5980000000000003E-2</v>
      </c>
      <c r="H6">
        <f>VLOOKUP(E6,'pesos vgbl30'!$E$2:$F$68,2,0)</f>
        <v>2.5980000000000003E-2</v>
      </c>
      <c r="I6" t="b">
        <f t="shared" si="2"/>
        <v>1</v>
      </c>
    </row>
    <row r="7" spans="1:9" x14ac:dyDescent="0.3">
      <c r="A7" s="14" t="s">
        <v>6</v>
      </c>
      <c r="B7" s="11">
        <v>3.2127479788210289E-2</v>
      </c>
      <c r="E7" s="8" t="str">
        <f t="shared" si="0"/>
        <v>JBSS3</v>
      </c>
      <c r="F7" s="5">
        <f t="shared" si="1"/>
        <v>2.0866798122442586E-2</v>
      </c>
      <c r="H7">
        <f>VLOOKUP(E7,'pesos vgbl30'!$E$2:$F$68,2,0)</f>
        <v>2.0866798122442586E-2</v>
      </c>
      <c r="I7" t="b">
        <f t="shared" si="2"/>
        <v>1</v>
      </c>
    </row>
    <row r="8" spans="1:9" x14ac:dyDescent="0.3">
      <c r="A8" s="14" t="s">
        <v>8</v>
      </c>
      <c r="B8" s="11">
        <v>2.9499999999999998E-2</v>
      </c>
      <c r="E8" s="8" t="str">
        <f t="shared" si="0"/>
        <v>BBSE3</v>
      </c>
      <c r="F8" s="5">
        <f t="shared" si="1"/>
        <v>1.916025E-2</v>
      </c>
      <c r="H8">
        <f>VLOOKUP(E8,'pesos vgbl30'!$E$2:$F$68,2,0)</f>
        <v>1.916025E-2</v>
      </c>
      <c r="I8" t="b">
        <f t="shared" si="2"/>
        <v>1</v>
      </c>
    </row>
    <row r="9" spans="1:9" x14ac:dyDescent="0.3">
      <c r="A9" s="14" t="s">
        <v>9</v>
      </c>
      <c r="B9" s="11">
        <v>2.3426589738220888E-2</v>
      </c>
      <c r="E9" s="8" t="str">
        <f t="shared" si="0"/>
        <v>ELET3</v>
      </c>
      <c r="F9" s="5">
        <f t="shared" si="1"/>
        <v>1.5215570034974469E-2</v>
      </c>
      <c r="H9">
        <f>VLOOKUP(E9,'pesos vgbl30'!$E$2:$F$68,2,0)</f>
        <v>1.5215570034974469E-2</v>
      </c>
      <c r="I9" t="b">
        <f t="shared" si="2"/>
        <v>1</v>
      </c>
    </row>
    <row r="10" spans="1:9" x14ac:dyDescent="0.3">
      <c r="A10" s="14" t="s">
        <v>10</v>
      </c>
      <c r="B10" s="11">
        <v>2.115970063067214E-2</v>
      </c>
      <c r="E10" s="8" t="str">
        <f t="shared" si="0"/>
        <v>SBSP3</v>
      </c>
      <c r="F10" s="5">
        <f t="shared" si="1"/>
        <v>1.3743225559621557E-2</v>
      </c>
      <c r="H10">
        <f>VLOOKUP(E10,'pesos vgbl30'!$E$2:$F$68,2,0)</f>
        <v>1.3743225559621557E-2</v>
      </c>
      <c r="I10" t="b">
        <f t="shared" si="2"/>
        <v>1</v>
      </c>
    </row>
    <row r="11" spans="1:9" x14ac:dyDescent="0.3">
      <c r="A11" s="14" t="s">
        <v>15</v>
      </c>
      <c r="B11" s="11">
        <v>2.0952559686780038E-2</v>
      </c>
      <c r="E11" s="8" t="str">
        <f t="shared" si="0"/>
        <v>CMIN3</v>
      </c>
      <c r="F11" s="5">
        <f t="shared" si="1"/>
        <v>1.3608687516563637E-2</v>
      </c>
      <c r="H11">
        <f>VLOOKUP(E11,'pesos vgbl30'!$E$2:$F$68,2,0)</f>
        <v>1.3608687516563637E-2</v>
      </c>
      <c r="I11" t="b">
        <f t="shared" si="2"/>
        <v>1</v>
      </c>
    </row>
    <row r="12" spans="1:9" x14ac:dyDescent="0.3">
      <c r="A12" s="14" t="s">
        <v>7</v>
      </c>
      <c r="B12" s="11">
        <v>2.0931286454782608E-2</v>
      </c>
      <c r="E12" s="8" t="str">
        <f t="shared" si="0"/>
        <v>BBDC4</v>
      </c>
      <c r="F12" s="5">
        <f t="shared" si="1"/>
        <v>1.3594870552381306E-2</v>
      </c>
      <c r="H12">
        <f>VLOOKUP(E12,'pesos vgbl30'!$E$2:$F$68,2,0)</f>
        <v>1.3594870552381306E-2</v>
      </c>
      <c r="I12" t="b">
        <f t="shared" si="2"/>
        <v>1</v>
      </c>
    </row>
    <row r="13" spans="1:9" x14ac:dyDescent="0.3">
      <c r="A13" s="14" t="s">
        <v>19</v>
      </c>
      <c r="B13" s="11">
        <v>2.0545216231094544E-2</v>
      </c>
      <c r="E13" s="8" t="str">
        <f t="shared" si="0"/>
        <v>MRFG3</v>
      </c>
      <c r="F13" s="5">
        <f t="shared" si="1"/>
        <v>1.3344117942095907E-2</v>
      </c>
      <c r="H13">
        <f>VLOOKUP(E13,'pesos vgbl30'!$E$2:$F$68,2,0)</f>
        <v>1.3344117942095907E-2</v>
      </c>
      <c r="I13" t="b">
        <f t="shared" si="2"/>
        <v>1</v>
      </c>
    </row>
    <row r="14" spans="1:9" x14ac:dyDescent="0.3">
      <c r="A14" s="14" t="s">
        <v>12</v>
      </c>
      <c r="B14" s="11">
        <v>1.9598791303445127E-2</v>
      </c>
      <c r="E14" s="8" t="str">
        <f t="shared" si="0"/>
        <v>BBDC3</v>
      </c>
      <c r="F14" s="5">
        <f t="shared" si="1"/>
        <v>1.2729414951587612E-2</v>
      </c>
      <c r="H14">
        <f>VLOOKUP(E14,'pesos vgbl30'!$E$2:$F$68,2,0)</f>
        <v>1.2729414951587612E-2</v>
      </c>
      <c r="I14" t="b">
        <f t="shared" si="2"/>
        <v>1</v>
      </c>
    </row>
    <row r="15" spans="1:9" x14ac:dyDescent="0.3">
      <c r="A15" s="14" t="s">
        <v>16</v>
      </c>
      <c r="B15" s="11">
        <v>1.7999999999999999E-2</v>
      </c>
      <c r="E15" s="8" t="str">
        <f t="shared" si="0"/>
        <v>POMO4</v>
      </c>
      <c r="F15" s="5">
        <f t="shared" si="1"/>
        <v>1.1691E-2</v>
      </c>
      <c r="H15">
        <f>VLOOKUP(E15,'pesos vgbl30'!$E$2:$F$68,2,0)</f>
        <v>1.1691E-2</v>
      </c>
      <c r="I15" t="b">
        <f t="shared" si="2"/>
        <v>1</v>
      </c>
    </row>
    <row r="16" spans="1:9" x14ac:dyDescent="0.3">
      <c r="A16" s="14" t="s">
        <v>76</v>
      </c>
      <c r="B16" s="11">
        <v>1.7000000000000001E-2</v>
      </c>
      <c r="E16" s="8" t="str">
        <f t="shared" si="0"/>
        <v>MGLU3</v>
      </c>
      <c r="F16" s="5">
        <f t="shared" si="1"/>
        <v>1.1041500000000003E-2</v>
      </c>
      <c r="H16">
        <f>VLOOKUP(E16,'pesos vgbl30'!$E$2:$F$68,2,0)</f>
        <v>1.1041500000000003E-2</v>
      </c>
      <c r="I16" t="b">
        <f t="shared" si="2"/>
        <v>1</v>
      </c>
    </row>
    <row r="17" spans="1:9" x14ac:dyDescent="0.3">
      <c r="A17" s="14" t="s">
        <v>17</v>
      </c>
      <c r="B17" s="11">
        <v>1.6801848920806103E-2</v>
      </c>
      <c r="E17" s="8" t="str">
        <f t="shared" si="0"/>
        <v>CPFE3</v>
      </c>
      <c r="F17" s="5">
        <f t="shared" si="1"/>
        <v>1.0912800874063565E-2</v>
      </c>
      <c r="H17">
        <f>VLOOKUP(E17,'pesos vgbl30'!$E$2:$F$68,2,0)</f>
        <v>1.0912800874063565E-2</v>
      </c>
      <c r="I17" t="b">
        <f t="shared" si="2"/>
        <v>1</v>
      </c>
    </row>
    <row r="18" spans="1:9" x14ac:dyDescent="0.3">
      <c r="A18" s="14" t="s">
        <v>26</v>
      </c>
      <c r="B18" s="11">
        <v>1.5615219612080561E-2</v>
      </c>
      <c r="E18" s="8" t="str">
        <f t="shared" si="0"/>
        <v>BRSR6</v>
      </c>
      <c r="F18" s="5">
        <f t="shared" si="1"/>
        <v>1.0142085138046326E-2</v>
      </c>
      <c r="H18">
        <f>VLOOKUP(E18,'pesos vgbl30'!$E$2:$F$68,2,0)</f>
        <v>1.0142085138046326E-2</v>
      </c>
      <c r="I18" t="b">
        <f t="shared" si="2"/>
        <v>1</v>
      </c>
    </row>
    <row r="19" spans="1:9" x14ac:dyDescent="0.3">
      <c r="A19" s="14" t="s">
        <v>14</v>
      </c>
      <c r="B19" s="11">
        <v>1.5465147332778172E-2</v>
      </c>
      <c r="E19" s="8" t="str">
        <f t="shared" si="0"/>
        <v>CSNA3</v>
      </c>
      <c r="F19" s="5">
        <f t="shared" si="1"/>
        <v>1.0044613192639424E-2</v>
      </c>
      <c r="H19">
        <f>VLOOKUP(E19,'pesos vgbl30'!$E$2:$F$68,2,0)</f>
        <v>1.0044613192639424E-2</v>
      </c>
      <c r="I19" t="b">
        <f t="shared" si="2"/>
        <v>1</v>
      </c>
    </row>
    <row r="20" spans="1:9" x14ac:dyDescent="0.3">
      <c r="A20" s="14" t="s">
        <v>18</v>
      </c>
      <c r="B20" s="11">
        <v>1.5462924284289446E-2</v>
      </c>
      <c r="E20" s="8" t="str">
        <f t="shared" si="0"/>
        <v>CXSE3</v>
      </c>
      <c r="F20" s="5">
        <f t="shared" si="1"/>
        <v>1.0043169322645996E-2</v>
      </c>
      <c r="H20">
        <f>VLOOKUP(E20,'pesos vgbl30'!$E$2:$F$68,2,0)</f>
        <v>1.0043169322645996E-2</v>
      </c>
      <c r="I20" t="b">
        <f t="shared" si="2"/>
        <v>1</v>
      </c>
    </row>
    <row r="21" spans="1:9" x14ac:dyDescent="0.3">
      <c r="A21" s="14" t="s">
        <v>29</v>
      </c>
      <c r="B21" s="11">
        <v>1.4849025118304392E-2</v>
      </c>
      <c r="E21" s="8" t="str">
        <f t="shared" si="0"/>
        <v>SYNE3</v>
      </c>
      <c r="F21" s="5">
        <f t="shared" si="1"/>
        <v>9.6444418143387042E-3</v>
      </c>
      <c r="H21">
        <f>VLOOKUP(E21,'pesos vgbl30'!$E$2:$F$68,2,0)</f>
        <v>9.6444418143387042E-3</v>
      </c>
      <c r="I21" t="b">
        <f t="shared" si="2"/>
        <v>1</v>
      </c>
    </row>
    <row r="22" spans="1:9" x14ac:dyDescent="0.3">
      <c r="A22" s="14" t="s">
        <v>41</v>
      </c>
      <c r="B22" s="11">
        <v>1.3703764834263336E-2</v>
      </c>
      <c r="E22" s="8" t="str">
        <f t="shared" si="0"/>
        <v>ANIM3</v>
      </c>
      <c r="F22" s="5">
        <f t="shared" si="1"/>
        <v>8.9005952598540383E-3</v>
      </c>
      <c r="H22">
        <f>VLOOKUP(E22,'pesos vgbl30'!$E$2:$F$68,2,0)</f>
        <v>8.9005952598540383E-3</v>
      </c>
      <c r="I22" t="b">
        <f t="shared" si="2"/>
        <v>1</v>
      </c>
    </row>
    <row r="23" spans="1:9" x14ac:dyDescent="0.3">
      <c r="A23" s="14" t="s">
        <v>38</v>
      </c>
      <c r="B23" s="11">
        <v>1.3251380427384912E-2</v>
      </c>
      <c r="E23" s="8" t="str">
        <f t="shared" si="0"/>
        <v>LAVV3</v>
      </c>
      <c r="F23" s="5">
        <f t="shared" si="1"/>
        <v>8.6067715875865012E-3</v>
      </c>
      <c r="H23">
        <f>VLOOKUP(E23,'pesos vgbl30'!$E$2:$F$68,2,0)</f>
        <v>8.6067715875865012E-3</v>
      </c>
      <c r="I23" t="b">
        <f t="shared" si="2"/>
        <v>1</v>
      </c>
    </row>
    <row r="24" spans="1:9" x14ac:dyDescent="0.3">
      <c r="A24" s="14" t="s">
        <v>22</v>
      </c>
      <c r="B24" s="11">
        <v>1.3230328368970212E-2</v>
      </c>
      <c r="E24" s="8" t="str">
        <f t="shared" si="0"/>
        <v>GOAU4</v>
      </c>
      <c r="F24" s="5">
        <f t="shared" si="1"/>
        <v>8.5930982756461539E-3</v>
      </c>
      <c r="H24">
        <f>VLOOKUP(E24,'pesos vgbl30'!$E$2:$F$68,2,0)</f>
        <v>8.5930982756461539E-3</v>
      </c>
      <c r="I24" t="b">
        <f t="shared" si="2"/>
        <v>1</v>
      </c>
    </row>
    <row r="25" spans="1:9" x14ac:dyDescent="0.3">
      <c r="A25" s="14" t="s">
        <v>25</v>
      </c>
      <c r="B25" s="11">
        <v>1.309122103704231E-2</v>
      </c>
      <c r="E25" s="8" t="str">
        <f t="shared" si="0"/>
        <v>BEEF3</v>
      </c>
      <c r="F25" s="5">
        <f t="shared" si="1"/>
        <v>8.5027480635589819E-3</v>
      </c>
      <c r="H25">
        <f>VLOOKUP(E25,'pesos vgbl30'!$E$2:$F$68,2,0)</f>
        <v>8.5027480635589819E-3</v>
      </c>
      <c r="I25" t="b">
        <f t="shared" si="2"/>
        <v>1</v>
      </c>
    </row>
    <row r="26" spans="1:9" x14ac:dyDescent="0.3">
      <c r="A26" s="14" t="s">
        <v>30</v>
      </c>
      <c r="B26" s="11">
        <v>1.3026542425298569E-2</v>
      </c>
      <c r="E26" s="8" t="str">
        <f t="shared" si="0"/>
        <v>CURY3</v>
      </c>
      <c r="F26" s="5">
        <f t="shared" si="1"/>
        <v>8.4607393052314218E-3</v>
      </c>
      <c r="H26">
        <f>VLOOKUP(E26,'pesos vgbl30'!$E$2:$F$68,2,0)</f>
        <v>8.4607393052314218E-3</v>
      </c>
      <c r="I26" t="b">
        <f t="shared" si="2"/>
        <v>1</v>
      </c>
    </row>
    <row r="27" spans="1:9" x14ac:dyDescent="0.3">
      <c r="A27" s="14" t="s">
        <v>28</v>
      </c>
      <c r="B27" s="11">
        <v>1.2856274583763105E-2</v>
      </c>
      <c r="E27" s="8" t="str">
        <f t="shared" si="0"/>
        <v>LEVE3</v>
      </c>
      <c r="F27" s="5">
        <f t="shared" si="1"/>
        <v>8.3501503421541372E-3</v>
      </c>
      <c r="H27">
        <f>VLOOKUP(E27,'pesos vgbl30'!$E$2:$F$68,2,0)</f>
        <v>8.3501503421541372E-3</v>
      </c>
      <c r="I27" t="b">
        <f t="shared" si="2"/>
        <v>1</v>
      </c>
    </row>
    <row r="28" spans="1:9" x14ac:dyDescent="0.3">
      <c r="A28" s="14" t="s">
        <v>43</v>
      </c>
      <c r="B28" s="11">
        <v>1.2297664399304114E-2</v>
      </c>
      <c r="E28" s="8" t="str">
        <f t="shared" si="0"/>
        <v>COGN3</v>
      </c>
      <c r="F28" s="5">
        <f t="shared" si="1"/>
        <v>7.9873330273480224E-3</v>
      </c>
      <c r="H28">
        <f>VLOOKUP(E28,'pesos vgbl30'!$E$2:$F$68,2,0)</f>
        <v>7.9873330273480224E-3</v>
      </c>
      <c r="I28" t="b">
        <f t="shared" si="2"/>
        <v>1</v>
      </c>
    </row>
    <row r="29" spans="1:9" x14ac:dyDescent="0.3">
      <c r="A29" s="14" t="s">
        <v>53</v>
      </c>
      <c r="B29" s="11">
        <v>1.2168011409805547E-2</v>
      </c>
      <c r="E29" s="8" t="str">
        <f t="shared" si="0"/>
        <v>TRIS3</v>
      </c>
      <c r="F29" s="5">
        <f t="shared" si="1"/>
        <v>7.9031234106687036E-3</v>
      </c>
      <c r="H29">
        <f>VLOOKUP(E29,'pesos vgbl30'!$E$2:$F$68,2,0)</f>
        <v>7.9031234106687036E-3</v>
      </c>
      <c r="I29" t="b">
        <f t="shared" si="2"/>
        <v>1</v>
      </c>
    </row>
    <row r="30" spans="1:9" x14ac:dyDescent="0.3">
      <c r="A30" s="14" t="s">
        <v>39</v>
      </c>
      <c r="B30" s="11">
        <v>1.2167141580245722E-2</v>
      </c>
      <c r="E30" s="8" t="str">
        <f t="shared" si="0"/>
        <v>PLPL3</v>
      </c>
      <c r="F30" s="5">
        <f t="shared" si="1"/>
        <v>7.9025584563695971E-3</v>
      </c>
      <c r="H30">
        <f>VLOOKUP(E30,'pesos vgbl30'!$E$2:$F$68,2,0)</f>
        <v>7.9025584563695971E-3</v>
      </c>
      <c r="I30" t="b">
        <f t="shared" si="2"/>
        <v>1</v>
      </c>
    </row>
    <row r="31" spans="1:9" x14ac:dyDescent="0.3">
      <c r="A31" s="14" t="s">
        <v>77</v>
      </c>
      <c r="B31" s="11">
        <v>1.209810943867084E-2</v>
      </c>
      <c r="E31" s="8" t="str">
        <f t="shared" si="0"/>
        <v>PRIO3</v>
      </c>
      <c r="F31" s="5">
        <f t="shared" si="1"/>
        <v>7.8577220804167125E-3</v>
      </c>
      <c r="H31">
        <f>VLOOKUP(E31,'pesos vgbl30'!$E$2:$F$68,2,0)</f>
        <v>7.8577220804167125E-3</v>
      </c>
      <c r="I31" t="b">
        <f t="shared" si="2"/>
        <v>1</v>
      </c>
    </row>
    <row r="32" spans="1:9" x14ac:dyDescent="0.3">
      <c r="A32" s="14" t="s">
        <v>33</v>
      </c>
      <c r="B32" s="11">
        <v>1.2097395565766994E-2</v>
      </c>
      <c r="E32" s="8" t="str">
        <f t="shared" si="0"/>
        <v>ELET6</v>
      </c>
      <c r="F32" s="5">
        <f t="shared" si="1"/>
        <v>7.8572584199656636E-3</v>
      </c>
      <c r="H32">
        <f>VLOOKUP(E32,'pesos vgbl30'!$E$2:$F$68,2,0)</f>
        <v>7.8572584199656636E-3</v>
      </c>
      <c r="I32" t="b">
        <f t="shared" si="2"/>
        <v>1</v>
      </c>
    </row>
    <row r="33" spans="1:9" x14ac:dyDescent="0.3">
      <c r="A33" s="14" t="s">
        <v>40</v>
      </c>
      <c r="B33" s="11">
        <v>1.1800578299013842E-2</v>
      </c>
      <c r="E33" s="8" t="str">
        <f t="shared" si="0"/>
        <v>UNIP6</v>
      </c>
      <c r="F33" s="5">
        <f t="shared" si="1"/>
        <v>7.6644756052094915E-3</v>
      </c>
      <c r="H33">
        <f>VLOOKUP(E33,'pesos vgbl30'!$E$2:$F$68,2,0)</f>
        <v>7.6644756052094915E-3</v>
      </c>
      <c r="I33" t="b">
        <f t="shared" si="2"/>
        <v>1</v>
      </c>
    </row>
    <row r="34" spans="1:9" x14ac:dyDescent="0.3">
      <c r="A34" s="14" t="s">
        <v>20</v>
      </c>
      <c r="B34" s="11">
        <v>1.1738963718086729E-2</v>
      </c>
      <c r="E34" s="8" t="str">
        <f t="shared" si="0"/>
        <v>CMIG3</v>
      </c>
      <c r="F34" s="5">
        <f t="shared" si="1"/>
        <v>7.6244569348973314E-3</v>
      </c>
      <c r="H34">
        <f>VLOOKUP(E34,'pesos vgbl30'!$E$2:$F$68,2,0)</f>
        <v>7.6244569348973314E-3</v>
      </c>
      <c r="I34" t="b">
        <f t="shared" si="2"/>
        <v>1</v>
      </c>
    </row>
    <row r="35" spans="1:9" x14ac:dyDescent="0.3">
      <c r="A35" s="14" t="s">
        <v>32</v>
      </c>
      <c r="B35" s="11">
        <v>1.1707687562591901E-2</v>
      </c>
      <c r="E35" s="8" t="str">
        <f t="shared" si="0"/>
        <v>CSMG3</v>
      </c>
      <c r="F35" s="5">
        <f t="shared" si="1"/>
        <v>7.6041430719034405E-3</v>
      </c>
      <c r="H35">
        <f>VLOOKUP(E35,'pesos vgbl30'!$E$2:$F$68,2,0)</f>
        <v>7.6041430719034405E-3</v>
      </c>
      <c r="I35" t="b">
        <f t="shared" si="2"/>
        <v>1</v>
      </c>
    </row>
    <row r="36" spans="1:9" x14ac:dyDescent="0.3">
      <c r="A36" s="14" t="s">
        <v>24</v>
      </c>
      <c r="B36" s="11">
        <v>1.1667425463849041E-2</v>
      </c>
      <c r="E36" s="8" t="str">
        <f t="shared" si="0"/>
        <v>TGMA3</v>
      </c>
      <c r="F36" s="5">
        <f t="shared" si="1"/>
        <v>7.5779928387699532E-3</v>
      </c>
      <c r="H36">
        <f>VLOOKUP(E36,'pesos vgbl30'!$E$2:$F$68,2,0)</f>
        <v>7.5779928387699532E-3</v>
      </c>
      <c r="I36" t="b">
        <f t="shared" si="2"/>
        <v>1</v>
      </c>
    </row>
    <row r="37" spans="1:9" x14ac:dyDescent="0.3">
      <c r="A37" s="14" t="s">
        <v>35</v>
      </c>
      <c r="B37" s="11">
        <v>1.1554392048781167E-2</v>
      </c>
      <c r="E37" s="8" t="str">
        <f t="shared" si="0"/>
        <v>AURE3</v>
      </c>
      <c r="F37" s="5">
        <f t="shared" si="1"/>
        <v>7.5045776356833689E-3</v>
      </c>
      <c r="H37">
        <f>VLOOKUP(E37,'pesos vgbl30'!$E$2:$F$68,2,0)</f>
        <v>7.5045776356833689E-3</v>
      </c>
      <c r="I37" t="b">
        <f t="shared" si="2"/>
        <v>1</v>
      </c>
    </row>
    <row r="38" spans="1:9" x14ac:dyDescent="0.3">
      <c r="A38" s="14" t="s">
        <v>27</v>
      </c>
      <c r="B38" s="11">
        <v>1.1273375755950599E-2</v>
      </c>
      <c r="E38" s="8" t="str">
        <f t="shared" si="0"/>
        <v>BRAP4</v>
      </c>
      <c r="F38" s="5">
        <f t="shared" si="1"/>
        <v>7.3220575534899152E-3</v>
      </c>
      <c r="H38">
        <f>VLOOKUP(E38,'pesos vgbl30'!$E$2:$F$68,2,0)</f>
        <v>7.3220575534899152E-3</v>
      </c>
      <c r="I38" t="b">
        <f t="shared" si="2"/>
        <v>1</v>
      </c>
    </row>
    <row r="39" spans="1:9" x14ac:dyDescent="0.3">
      <c r="A39" s="14" t="s">
        <v>44</v>
      </c>
      <c r="B39" s="11">
        <v>1.1263604390177123E-2</v>
      </c>
      <c r="E39" s="8" t="str">
        <f t="shared" si="0"/>
        <v>MULT3</v>
      </c>
      <c r="F39" s="5">
        <f t="shared" si="1"/>
        <v>7.3157110514200426E-3</v>
      </c>
      <c r="H39">
        <f>VLOOKUP(E39,'pesos vgbl30'!$E$2:$F$68,2,0)</f>
        <v>7.3157110514200426E-3</v>
      </c>
      <c r="I39" t="b">
        <f t="shared" si="2"/>
        <v>1</v>
      </c>
    </row>
    <row r="40" spans="1:9" x14ac:dyDescent="0.3">
      <c r="A40" s="14" t="s">
        <v>49</v>
      </c>
      <c r="B40" s="11">
        <v>1.0974031680885142E-2</v>
      </c>
      <c r="E40" s="8" t="str">
        <f t="shared" si="0"/>
        <v>FRAS3</v>
      </c>
      <c r="F40" s="5">
        <f t="shared" si="1"/>
        <v>7.1276335767349007E-3</v>
      </c>
      <c r="H40">
        <f>VLOOKUP(E40,'pesos vgbl30'!$E$2:$F$68,2,0)</f>
        <v>7.1276335767349007E-3</v>
      </c>
      <c r="I40" t="b">
        <f t="shared" si="2"/>
        <v>1</v>
      </c>
    </row>
    <row r="41" spans="1:9" x14ac:dyDescent="0.3">
      <c r="A41" s="14" t="s">
        <v>37</v>
      </c>
      <c r="B41" s="11">
        <v>1.0833538266213787E-2</v>
      </c>
      <c r="E41" s="8" t="str">
        <f t="shared" si="0"/>
        <v>ISAE4</v>
      </c>
      <c r="F41" s="5">
        <f t="shared" si="1"/>
        <v>7.0363831039058555E-3</v>
      </c>
      <c r="H41">
        <f>VLOOKUP(E41,'pesos vgbl30'!$E$2:$F$68,2,0)</f>
        <v>7.0363831039058555E-3</v>
      </c>
      <c r="I41" t="b">
        <f t="shared" si="2"/>
        <v>1</v>
      </c>
    </row>
    <row r="42" spans="1:9" x14ac:dyDescent="0.3">
      <c r="A42" s="14" t="s">
        <v>48</v>
      </c>
      <c r="B42" s="11">
        <v>1.0591518980264674E-2</v>
      </c>
      <c r="E42" s="8" t="str">
        <f t="shared" si="0"/>
        <v>JHSF3</v>
      </c>
      <c r="F42" s="5">
        <f t="shared" si="1"/>
        <v>6.8791915776819064E-3</v>
      </c>
      <c r="H42">
        <f>VLOOKUP(E42,'pesos vgbl30'!$E$2:$F$68,2,0)</f>
        <v>6.8791915776819064E-3</v>
      </c>
      <c r="I42" t="b">
        <f t="shared" si="2"/>
        <v>1</v>
      </c>
    </row>
    <row r="43" spans="1:9" x14ac:dyDescent="0.3">
      <c r="A43" s="14" t="s">
        <v>56</v>
      </c>
      <c r="B43" s="11">
        <v>1.0560232621886653E-2</v>
      </c>
      <c r="E43" s="8" t="str">
        <f t="shared" si="0"/>
        <v>DIRR3</v>
      </c>
      <c r="F43" s="5">
        <f t="shared" si="1"/>
        <v>6.8588710879153815E-3</v>
      </c>
      <c r="H43">
        <f>VLOOKUP(E43,'pesos vgbl30'!$E$2:$F$68,2,0)</f>
        <v>6.8588710879153815E-3</v>
      </c>
      <c r="I43" t="b">
        <f t="shared" si="2"/>
        <v>1</v>
      </c>
    </row>
    <row r="44" spans="1:9" x14ac:dyDescent="0.3">
      <c r="A44" s="14" t="s">
        <v>46</v>
      </c>
      <c r="B44" s="11">
        <v>1.0557080893688748E-2</v>
      </c>
      <c r="E44" s="8" t="str">
        <f t="shared" si="0"/>
        <v>WIZC3</v>
      </c>
      <c r="F44" s="5">
        <f t="shared" si="1"/>
        <v>6.8568240404508424E-3</v>
      </c>
      <c r="H44">
        <f>VLOOKUP(E44,'pesos vgbl30'!$E$2:$F$68,2,0)</f>
        <v>6.8568240404508424E-3</v>
      </c>
      <c r="I44" t="b">
        <f t="shared" si="2"/>
        <v>1</v>
      </c>
    </row>
    <row r="45" spans="1:9" x14ac:dyDescent="0.3">
      <c r="A45" s="14" t="s">
        <v>36</v>
      </c>
      <c r="B45" s="11">
        <v>1.0422180432436911E-2</v>
      </c>
      <c r="E45" s="8" t="str">
        <f t="shared" si="0"/>
        <v>VBBR3</v>
      </c>
      <c r="F45" s="5">
        <f t="shared" si="1"/>
        <v>6.7692061908677745E-3</v>
      </c>
      <c r="H45">
        <f>VLOOKUP(E45,'pesos vgbl30'!$E$2:$F$68,2,0)</f>
        <v>6.7692061908677745E-3</v>
      </c>
      <c r="I45" t="b">
        <f t="shared" si="2"/>
        <v>1</v>
      </c>
    </row>
    <row r="46" spans="1:9" x14ac:dyDescent="0.3">
      <c r="A46" s="14" t="s">
        <v>31</v>
      </c>
      <c r="B46" s="11">
        <v>1.0335023820433005E-2</v>
      </c>
      <c r="E46" s="8" t="str">
        <f t="shared" si="0"/>
        <v>PSSA3</v>
      </c>
      <c r="F46" s="5">
        <f t="shared" si="1"/>
        <v>6.7125979713712376E-3</v>
      </c>
      <c r="H46">
        <f>VLOOKUP(E46,'pesos vgbl30'!$E$2:$F$68,2,0)</f>
        <v>6.7125979713712376E-3</v>
      </c>
      <c r="I46" t="b">
        <f t="shared" si="2"/>
        <v>1</v>
      </c>
    </row>
    <row r="47" spans="1:9" x14ac:dyDescent="0.3">
      <c r="A47" s="14" t="s">
        <v>21</v>
      </c>
      <c r="B47" s="11">
        <v>1.029138470614523E-2</v>
      </c>
      <c r="E47" s="8" t="str">
        <f t="shared" si="0"/>
        <v>CMIG4</v>
      </c>
      <c r="F47" s="5">
        <f t="shared" si="1"/>
        <v>6.6842543666413273E-3</v>
      </c>
      <c r="H47">
        <f>VLOOKUP(E47,'pesos vgbl30'!$E$2:$F$68,2,0)</f>
        <v>6.6842543666413273E-3</v>
      </c>
      <c r="I47" t="b">
        <f t="shared" si="2"/>
        <v>1</v>
      </c>
    </row>
    <row r="48" spans="1:9" x14ac:dyDescent="0.3">
      <c r="A48" s="14" t="s">
        <v>59</v>
      </c>
      <c r="B48" s="11">
        <v>1.0162856963637674E-2</v>
      </c>
      <c r="E48" s="8" t="str">
        <f t="shared" si="0"/>
        <v>RECV3</v>
      </c>
      <c r="F48" s="5">
        <f t="shared" si="1"/>
        <v>6.6007755978826702E-3</v>
      </c>
      <c r="H48">
        <f>VLOOKUP(E48,'pesos vgbl30'!$E$2:$F$68,2,0)</f>
        <v>6.6007755978826702E-3</v>
      </c>
      <c r="I48" t="b">
        <f t="shared" si="2"/>
        <v>1</v>
      </c>
    </row>
    <row r="49" spans="1:9" x14ac:dyDescent="0.3">
      <c r="A49" s="14" t="s">
        <v>61</v>
      </c>
      <c r="B49" s="11">
        <v>1.0013996336918553E-2</v>
      </c>
      <c r="E49" s="8" t="str">
        <f t="shared" si="0"/>
        <v>RANI3</v>
      </c>
      <c r="F49" s="5">
        <f t="shared" si="1"/>
        <v>6.5040906208286009E-3</v>
      </c>
      <c r="H49">
        <f>VLOOKUP(E49,'pesos vgbl30'!$E$2:$F$68,2,0)</f>
        <v>6.5040906208286009E-3</v>
      </c>
      <c r="I49" t="b">
        <f t="shared" si="2"/>
        <v>1</v>
      </c>
    </row>
    <row r="50" spans="1:9" x14ac:dyDescent="0.3">
      <c r="A50" s="14" t="s">
        <v>47</v>
      </c>
      <c r="B50" s="11">
        <v>9.8996194668131005E-3</v>
      </c>
      <c r="E50" s="8" t="str">
        <f t="shared" si="0"/>
        <v>SAPR4</v>
      </c>
      <c r="F50" s="5">
        <f t="shared" si="1"/>
        <v>6.4298028436951095E-3</v>
      </c>
      <c r="H50">
        <f>VLOOKUP(E50,'pesos vgbl30'!$E$2:$F$68,2,0)</f>
        <v>6.4298028436951095E-3</v>
      </c>
      <c r="I50" t="b">
        <f t="shared" si="2"/>
        <v>1</v>
      </c>
    </row>
    <row r="51" spans="1:9" x14ac:dyDescent="0.3">
      <c r="A51" s="14" t="s">
        <v>34</v>
      </c>
      <c r="B51" s="11">
        <v>9.7543334669110034E-3</v>
      </c>
      <c r="E51" s="8" t="str">
        <f t="shared" si="0"/>
        <v>ECOR3</v>
      </c>
      <c r="F51" s="5">
        <f t="shared" si="1"/>
        <v>6.3354395867586972E-3</v>
      </c>
      <c r="H51">
        <f>VLOOKUP(E51,'pesos vgbl30'!$E$2:$F$68,2,0)</f>
        <v>6.3354395867586972E-3</v>
      </c>
      <c r="I51" t="b">
        <f t="shared" si="2"/>
        <v>1</v>
      </c>
    </row>
    <row r="52" spans="1:9" x14ac:dyDescent="0.3">
      <c r="A52" s="14" t="s">
        <v>42</v>
      </c>
      <c r="B52" s="11">
        <v>9.697371968731508E-3</v>
      </c>
      <c r="E52" s="8" t="str">
        <f t="shared" si="0"/>
        <v>VLID3</v>
      </c>
      <c r="F52" s="5">
        <f t="shared" si="1"/>
        <v>6.2984430936911156E-3</v>
      </c>
      <c r="H52">
        <f>VLOOKUP(E52,'pesos vgbl30'!$E$2:$F$68,2,0)</f>
        <v>6.2984430936911156E-3</v>
      </c>
      <c r="I52" t="b">
        <f t="shared" si="2"/>
        <v>1</v>
      </c>
    </row>
    <row r="53" spans="1:9" x14ac:dyDescent="0.3">
      <c r="A53" s="14" t="s">
        <v>55</v>
      </c>
      <c r="B53" s="11">
        <v>9.6081346778249428E-3</v>
      </c>
      <c r="E53" s="8" t="str">
        <f t="shared" si="0"/>
        <v>MYPK3</v>
      </c>
      <c r="F53" s="5">
        <f t="shared" si="1"/>
        <v>6.2404834732473014E-3</v>
      </c>
      <c r="H53">
        <f>VLOOKUP(E53,'pesos vgbl30'!$E$2:$F$68,2,0)</f>
        <v>6.2404834732473014E-3</v>
      </c>
      <c r="I53" t="b">
        <f t="shared" si="2"/>
        <v>1</v>
      </c>
    </row>
    <row r="54" spans="1:9" x14ac:dyDescent="0.3">
      <c r="A54" s="14" t="s">
        <v>11</v>
      </c>
      <c r="B54" s="11">
        <v>9.3786291220952812E-3</v>
      </c>
      <c r="E54" s="8" t="str">
        <f t="shared" si="0"/>
        <v>GGBR4</v>
      </c>
      <c r="F54" s="5">
        <f t="shared" si="1"/>
        <v>6.0914196148008862E-3</v>
      </c>
      <c r="H54">
        <f>VLOOKUP(E54,'pesos vgbl30'!$E$2:$F$68,2,0)</f>
        <v>6.0914196148008862E-3</v>
      </c>
      <c r="I54" t="b">
        <f t="shared" si="2"/>
        <v>1</v>
      </c>
    </row>
    <row r="55" spans="1:9" x14ac:dyDescent="0.3">
      <c r="A55" s="14" t="s">
        <v>63</v>
      </c>
      <c r="B55" s="11">
        <v>9.1164293997888814E-3</v>
      </c>
      <c r="E55" s="8" t="str">
        <f t="shared" si="0"/>
        <v>TAEE11</v>
      </c>
      <c r="F55" s="5">
        <f t="shared" si="1"/>
        <v>5.9211208951628789E-3</v>
      </c>
      <c r="H55">
        <f>VLOOKUP(E55,'pesos vgbl30'!$E$2:$F$68,2,0)</f>
        <v>5.9211208951628789E-3</v>
      </c>
      <c r="I55" t="b">
        <f t="shared" si="2"/>
        <v>1</v>
      </c>
    </row>
    <row r="56" spans="1:9" x14ac:dyDescent="0.3">
      <c r="A56" s="14" t="s">
        <v>58</v>
      </c>
      <c r="B56" s="11">
        <v>8.0000000000000002E-3</v>
      </c>
      <c r="E56" s="8" t="str">
        <f t="shared" si="0"/>
        <v>YDUQ3</v>
      </c>
      <c r="F56" s="5">
        <f t="shared" si="1"/>
        <v>5.196000000000001E-3</v>
      </c>
      <c r="H56">
        <f>VLOOKUP(E56,'pesos vgbl30'!$E$2:$F$68,2,0)</f>
        <v>5.196000000000001E-3</v>
      </c>
      <c r="I56" t="b">
        <f t="shared" si="2"/>
        <v>1</v>
      </c>
    </row>
    <row r="57" spans="1:9" x14ac:dyDescent="0.3">
      <c r="A57" s="14" t="s">
        <v>64</v>
      </c>
      <c r="B57" s="11">
        <v>7.4999999999999997E-3</v>
      </c>
      <c r="E57" s="8" t="str">
        <f t="shared" si="0"/>
        <v>BMGB4</v>
      </c>
      <c r="F57" s="5">
        <f t="shared" si="1"/>
        <v>4.8712500000000006E-3</v>
      </c>
      <c r="H57">
        <f>VLOOKUP(E57,'pesos vgbl30'!$E$2:$F$68,2,0)</f>
        <v>4.8712500000000006E-3</v>
      </c>
      <c r="I57" t="b">
        <f t="shared" si="2"/>
        <v>1</v>
      </c>
    </row>
    <row r="58" spans="1:9" x14ac:dyDescent="0.3">
      <c r="A58" s="14" t="s">
        <v>54</v>
      </c>
      <c r="B58" s="11">
        <v>6.4999999999999997E-3</v>
      </c>
      <c r="E58" s="8" t="str">
        <f t="shared" si="0"/>
        <v>LIGT3</v>
      </c>
      <c r="F58" s="5">
        <f t="shared" si="1"/>
        <v>4.2217500000000007E-3</v>
      </c>
      <c r="H58">
        <f>VLOOKUP(E58,'pesos vgbl30'!$E$2:$F$68,2,0)</f>
        <v>4.2217500000000007E-3</v>
      </c>
      <c r="I58" t="b">
        <f t="shared" si="2"/>
        <v>1</v>
      </c>
    </row>
    <row r="59" spans="1:9" x14ac:dyDescent="0.3">
      <c r="A59" s="14" t="s">
        <v>73</v>
      </c>
      <c r="B59" s="11">
        <v>6.0000000000000001E-3</v>
      </c>
      <c r="E59" s="8" t="str">
        <f t="shared" si="0"/>
        <v>BMOB3</v>
      </c>
      <c r="F59" s="5">
        <f t="shared" si="1"/>
        <v>3.8970000000000007E-3</v>
      </c>
      <c r="H59">
        <f>VLOOKUP(E59,'pesos vgbl30'!$E$2:$F$68,2,0)</f>
        <v>3.8970000000000007E-3</v>
      </c>
      <c r="I59" t="b">
        <f t="shared" si="2"/>
        <v>1</v>
      </c>
    </row>
    <row r="60" spans="1:9" x14ac:dyDescent="0.3">
      <c r="A60" s="14" t="s">
        <v>50</v>
      </c>
      <c r="B60" s="11">
        <v>5.0000000000000001E-3</v>
      </c>
      <c r="E60" s="8" t="str">
        <f t="shared" si="0"/>
        <v>MTRE3</v>
      </c>
      <c r="F60" s="5">
        <f t="shared" si="1"/>
        <v>3.2475000000000004E-3</v>
      </c>
      <c r="H60">
        <f>VLOOKUP(E60,'pesos vgbl30'!$E$2:$F$68,2,0)</f>
        <v>3.2475000000000004E-3</v>
      </c>
      <c r="I60" t="b">
        <f t="shared" si="2"/>
        <v>1</v>
      </c>
    </row>
    <row r="61" spans="1:9" x14ac:dyDescent="0.3">
      <c r="A61" s="14" t="s">
        <v>67</v>
      </c>
      <c r="B61" s="11">
        <v>3.6899045276269889E-3</v>
      </c>
      <c r="E61" s="8" t="str">
        <f t="shared" si="0"/>
        <v>CYRE3</v>
      </c>
      <c r="F61" s="5">
        <f t="shared" si="1"/>
        <v>2.3965929906937296E-3</v>
      </c>
      <c r="H61">
        <f>VLOOKUP(E61,'pesos vgbl30'!$E$2:$F$68,2,0)</f>
        <v>2.3965929906937296E-3</v>
      </c>
      <c r="I61" t="b">
        <f t="shared" si="2"/>
        <v>1</v>
      </c>
    </row>
    <row r="62" spans="1:9" x14ac:dyDescent="0.3">
      <c r="A62" s="14" t="s">
        <v>62</v>
      </c>
      <c r="B62" s="11">
        <v>3.5005111223726489E-3</v>
      </c>
      <c r="E62" s="8" t="str">
        <f t="shared" si="0"/>
        <v>GRND3</v>
      </c>
      <c r="F62" s="5">
        <f t="shared" si="1"/>
        <v>2.2735819739810358E-3</v>
      </c>
      <c r="H62">
        <f>VLOOKUP(E62,'pesos vgbl30'!$E$2:$F$68,2,0)</f>
        <v>2.2735819739810358E-3</v>
      </c>
      <c r="I62" t="b">
        <f t="shared" si="2"/>
        <v>1</v>
      </c>
    </row>
    <row r="63" spans="1:9" x14ac:dyDescent="0.3">
      <c r="A63" s="14" t="s">
        <v>65</v>
      </c>
      <c r="B63" s="11">
        <v>3.389534122061535E-3</v>
      </c>
      <c r="E63" s="8" t="str">
        <f t="shared" si="0"/>
        <v>BRBI11</v>
      </c>
      <c r="F63" s="5">
        <f t="shared" si="1"/>
        <v>2.2015024122789672E-3</v>
      </c>
      <c r="H63">
        <f>VLOOKUP(E63,'pesos vgbl30'!$E$2:$F$68,2,0)</f>
        <v>2.2015024122789672E-3</v>
      </c>
      <c r="I63" t="b">
        <f t="shared" si="2"/>
        <v>1</v>
      </c>
    </row>
    <row r="64" spans="1:9" x14ac:dyDescent="0.3">
      <c r="A64" s="14" t="s">
        <v>57</v>
      </c>
      <c r="B64" s="11">
        <v>3.1263433604050411E-3</v>
      </c>
      <c r="E64" s="8" t="str">
        <f t="shared" si="0"/>
        <v>TEND3</v>
      </c>
      <c r="F64" s="5">
        <f t="shared" si="1"/>
        <v>2.0305600125830746E-3</v>
      </c>
      <c r="H64">
        <f>VLOOKUP(E64,'pesos vgbl30'!$E$2:$F$68,2,0)</f>
        <v>2.0305600125830746E-3</v>
      </c>
      <c r="I64" t="b">
        <f t="shared" si="2"/>
        <v>1</v>
      </c>
    </row>
    <row r="65" spans="1:9" x14ac:dyDescent="0.3">
      <c r="A65" s="14" t="s">
        <v>51</v>
      </c>
      <c r="B65" s="11">
        <v>2.5000000000000001E-3</v>
      </c>
      <c r="E65" s="8" t="str">
        <f t="shared" si="0"/>
        <v>BHIA3</v>
      </c>
      <c r="F65" s="5">
        <f t="shared" si="1"/>
        <v>1.6237500000000002E-3</v>
      </c>
      <c r="H65">
        <f>VLOOKUP(E65,'pesos vgbl30'!$E$2:$F$68,2,0)</f>
        <v>1.6237500000000002E-3</v>
      </c>
      <c r="I65" t="b">
        <f t="shared" si="2"/>
        <v>1</v>
      </c>
    </row>
    <row r="66" spans="1:9" x14ac:dyDescent="0.3">
      <c r="A66" s="14" t="s">
        <v>52</v>
      </c>
      <c r="B66" s="11">
        <v>2.3E-3</v>
      </c>
      <c r="E66" s="8" t="str">
        <f t="shared" si="0"/>
        <v>AGRO3</v>
      </c>
      <c r="F66" s="5">
        <f t="shared" si="1"/>
        <v>1.4938500000000001E-3</v>
      </c>
      <c r="H66">
        <f>VLOOKUP(E66,'pesos vgbl30'!$E$2:$F$68,2,0)</f>
        <v>1.4938500000000001E-3</v>
      </c>
      <c r="I66" t="b">
        <f t="shared" si="2"/>
        <v>1</v>
      </c>
    </row>
    <row r="67" spans="1:9" x14ac:dyDescent="0.3">
      <c r="A67" s="14"/>
      <c r="B67" s="11"/>
      <c r="E67" s="8" t="s">
        <v>71</v>
      </c>
      <c r="F67" s="5">
        <v>0.35</v>
      </c>
      <c r="H67">
        <f>VLOOKUP(E67,'pesos vgbl30'!$E$2:$F$68,2,0)</f>
        <v>0.35</v>
      </c>
      <c r="I67" t="b">
        <f>H67=F67</f>
        <v>1</v>
      </c>
    </row>
    <row r="68" spans="1:9" x14ac:dyDescent="0.3">
      <c r="A68" s="14"/>
      <c r="B68" s="11"/>
      <c r="E68" s="8" t="s">
        <v>85</v>
      </c>
      <c r="F68" s="5">
        <v>5.0000000000000001E-4</v>
      </c>
      <c r="H68">
        <f>VLOOKUP(E68,'pesos vgbl30'!$E$2:$F$68,2,0)</f>
        <v>5.0000000000000001E-4</v>
      </c>
      <c r="I68" t="b">
        <f>H68=F68</f>
        <v>1</v>
      </c>
    </row>
    <row r="69" spans="1:9" x14ac:dyDescent="0.3">
      <c r="A69" s="14"/>
      <c r="B69" s="11"/>
    </row>
    <row r="70" spans="1:9" x14ac:dyDescent="0.3">
      <c r="A70" s="14"/>
      <c r="B70" s="11"/>
    </row>
    <row r="71" spans="1:9" x14ac:dyDescent="0.3">
      <c r="A71" s="14"/>
      <c r="B71" s="11"/>
    </row>
    <row r="72" spans="1:9" x14ac:dyDescent="0.3">
      <c r="A72" s="14"/>
      <c r="B72" s="11"/>
    </row>
    <row r="73" spans="1:9" x14ac:dyDescent="0.3">
      <c r="A73" s="14"/>
      <c r="B73" s="11"/>
    </row>
    <row r="74" spans="1:9" x14ac:dyDescent="0.3">
      <c r="A74" s="14"/>
      <c r="B74" s="11"/>
    </row>
    <row r="75" spans="1:9" x14ac:dyDescent="0.3">
      <c r="A75" s="14"/>
      <c r="B75" s="11"/>
    </row>
    <row r="76" spans="1:9" x14ac:dyDescent="0.3">
      <c r="A76" s="14"/>
      <c r="B76" s="11"/>
    </row>
    <row r="77" spans="1:9" x14ac:dyDescent="0.3">
      <c r="A77" s="14"/>
      <c r="B77" s="11"/>
    </row>
    <row r="78" spans="1:9" x14ac:dyDescent="0.3">
      <c r="A78" s="14"/>
      <c r="B78" s="11"/>
    </row>
    <row r="79" spans="1:9" x14ac:dyDescent="0.3">
      <c r="A79" s="14"/>
      <c r="B79" s="11"/>
    </row>
    <row r="80" spans="1:9" x14ac:dyDescent="0.3">
      <c r="A80" s="14"/>
      <c r="B80" s="11"/>
    </row>
    <row r="81" spans="1:2" x14ac:dyDescent="0.3">
      <c r="A81" s="14"/>
      <c r="B81" s="11"/>
    </row>
    <row r="82" spans="1:2" x14ac:dyDescent="0.3">
      <c r="A82" s="14"/>
      <c r="B82" s="11"/>
    </row>
    <row r="83" spans="1:2" x14ac:dyDescent="0.3">
      <c r="A83" s="14"/>
      <c r="B83" s="11"/>
    </row>
    <row r="84" spans="1:2" x14ac:dyDescent="0.3">
      <c r="A84" s="14"/>
      <c r="B84" s="11"/>
    </row>
    <row r="85" spans="1:2" x14ac:dyDescent="0.3">
      <c r="A85" s="14"/>
      <c r="B85" s="11"/>
    </row>
    <row r="86" spans="1:2" x14ac:dyDescent="0.3">
      <c r="A86" s="14"/>
      <c r="B86" s="11"/>
    </row>
    <row r="87" spans="1:2" x14ac:dyDescent="0.3">
      <c r="A87" s="14"/>
      <c r="B87" s="11"/>
    </row>
    <row r="88" spans="1:2" x14ac:dyDescent="0.3">
      <c r="A88" s="14"/>
      <c r="B88" s="11"/>
    </row>
    <row r="89" spans="1:2" x14ac:dyDescent="0.3">
      <c r="A89" s="14"/>
      <c r="B89" s="11"/>
    </row>
    <row r="90" spans="1:2" x14ac:dyDescent="0.3">
      <c r="A90" s="14"/>
      <c r="B90" s="11"/>
    </row>
    <row r="91" spans="1:2" x14ac:dyDescent="0.3">
      <c r="A91" s="14"/>
      <c r="B91" s="11"/>
    </row>
    <row r="92" spans="1:2" x14ac:dyDescent="0.3">
      <c r="A92" s="14"/>
      <c r="B92" s="11"/>
    </row>
    <row r="93" spans="1:2" x14ac:dyDescent="0.3">
      <c r="A93" s="14"/>
      <c r="B93" s="11"/>
    </row>
    <row r="94" spans="1:2" x14ac:dyDescent="0.3">
      <c r="A94" s="14"/>
      <c r="B94" s="11"/>
    </row>
    <row r="95" spans="1:2" x14ac:dyDescent="0.3">
      <c r="A95" s="14"/>
      <c r="B95" s="11"/>
    </row>
    <row r="96" spans="1:2" x14ac:dyDescent="0.3">
      <c r="A96" s="14"/>
      <c r="B96" s="11"/>
    </row>
    <row r="97" spans="1:2" x14ac:dyDescent="0.3">
      <c r="A97" s="14"/>
      <c r="B97" s="11"/>
    </row>
    <row r="98" spans="1:2" x14ac:dyDescent="0.3">
      <c r="A98" s="14"/>
      <c r="B98" s="11"/>
    </row>
    <row r="99" spans="1:2" x14ac:dyDescent="0.3">
      <c r="A99" s="14"/>
      <c r="B99" s="11"/>
    </row>
    <row r="100" spans="1:2" x14ac:dyDescent="0.3">
      <c r="A100" s="14"/>
      <c r="B100" s="11"/>
    </row>
    <row r="101" spans="1:2" x14ac:dyDescent="0.3">
      <c r="A101" s="14"/>
      <c r="B101" s="11"/>
    </row>
    <row r="102" spans="1:2" x14ac:dyDescent="0.3">
      <c r="A102" s="14"/>
      <c r="B102" s="11"/>
    </row>
    <row r="103" spans="1:2" x14ac:dyDescent="0.3">
      <c r="A103" s="14"/>
      <c r="B103" s="11"/>
    </row>
    <row r="104" spans="1:2" x14ac:dyDescent="0.3">
      <c r="A104" s="14"/>
      <c r="B104" s="11"/>
    </row>
    <row r="105" spans="1:2" x14ac:dyDescent="0.3">
      <c r="A105" s="14"/>
      <c r="B105" s="11"/>
    </row>
    <row r="106" spans="1:2" x14ac:dyDescent="0.3">
      <c r="A106" s="14"/>
      <c r="B106" s="11"/>
    </row>
    <row r="107" spans="1:2" x14ac:dyDescent="0.3">
      <c r="A107" s="14"/>
      <c r="B107" s="11"/>
    </row>
    <row r="108" spans="1:2" x14ac:dyDescent="0.3">
      <c r="A108" s="14"/>
      <c r="B108" s="11"/>
    </row>
    <row r="109" spans="1:2" x14ac:dyDescent="0.3">
      <c r="A109" s="14"/>
      <c r="B109" s="11"/>
    </row>
    <row r="110" spans="1:2" x14ac:dyDescent="0.3">
      <c r="A110" s="14"/>
      <c r="B110" s="11"/>
    </row>
    <row r="111" spans="1:2" x14ac:dyDescent="0.3">
      <c r="A111" s="14"/>
      <c r="B111" s="11"/>
    </row>
    <row r="112" spans="1:2" x14ac:dyDescent="0.3">
      <c r="A112" s="14"/>
      <c r="B112" s="11"/>
    </row>
    <row r="113" spans="1:2" x14ac:dyDescent="0.3">
      <c r="A113" s="14"/>
      <c r="B113" s="11"/>
    </row>
    <row r="114" spans="1:2" x14ac:dyDescent="0.3">
      <c r="A114" s="14"/>
      <c r="B114" s="11"/>
    </row>
    <row r="115" spans="1:2" x14ac:dyDescent="0.3">
      <c r="A115" s="14"/>
      <c r="B115" s="11"/>
    </row>
    <row r="116" spans="1:2" x14ac:dyDescent="0.3">
      <c r="A116" s="14"/>
      <c r="B116" s="11"/>
    </row>
    <row r="117" spans="1:2" x14ac:dyDescent="0.3">
      <c r="A117" s="14"/>
      <c r="B117" s="11"/>
    </row>
    <row r="118" spans="1:2" x14ac:dyDescent="0.3">
      <c r="A118" s="14"/>
      <c r="B118" s="11"/>
    </row>
    <row r="119" spans="1:2" x14ac:dyDescent="0.3">
      <c r="A119" s="14"/>
      <c r="B119" s="11"/>
    </row>
    <row r="120" spans="1:2" x14ac:dyDescent="0.3">
      <c r="A120" s="14"/>
      <c r="B120" s="11"/>
    </row>
    <row r="121" spans="1:2" x14ac:dyDescent="0.3">
      <c r="A121" s="14"/>
      <c r="B121" s="11"/>
    </row>
    <row r="122" spans="1:2" x14ac:dyDescent="0.3">
      <c r="A122" s="14"/>
      <c r="B122" s="11"/>
    </row>
    <row r="123" spans="1:2" x14ac:dyDescent="0.3">
      <c r="A123" s="14"/>
      <c r="B123" s="11"/>
    </row>
    <row r="124" spans="1:2" x14ac:dyDescent="0.3">
      <c r="A124" s="14"/>
      <c r="B124" s="11"/>
    </row>
    <row r="125" spans="1:2" x14ac:dyDescent="0.3">
      <c r="A125" s="14"/>
      <c r="B125" s="11"/>
    </row>
    <row r="126" spans="1:2" x14ac:dyDescent="0.3">
      <c r="A126" s="14"/>
      <c r="B126" s="11"/>
    </row>
    <row r="127" spans="1:2" x14ac:dyDescent="0.3">
      <c r="A127" s="14"/>
      <c r="B127" s="11"/>
    </row>
    <row r="128" spans="1:2" x14ac:dyDescent="0.3">
      <c r="A128" s="14"/>
      <c r="B128" s="11"/>
    </row>
    <row r="129" spans="1:2" x14ac:dyDescent="0.3">
      <c r="A129" s="14"/>
      <c r="B129" s="11"/>
    </row>
    <row r="130" spans="1:2" x14ac:dyDescent="0.3">
      <c r="A130" s="14"/>
      <c r="B130" s="11"/>
    </row>
    <row r="131" spans="1:2" x14ac:dyDescent="0.3">
      <c r="A131" s="14"/>
      <c r="B131" s="11"/>
    </row>
    <row r="132" spans="1:2" x14ac:dyDescent="0.3">
      <c r="A132" s="14"/>
      <c r="B132" s="11"/>
    </row>
    <row r="133" spans="1:2" x14ac:dyDescent="0.3">
      <c r="A133" s="14"/>
      <c r="B133" s="11"/>
    </row>
    <row r="134" spans="1:2" x14ac:dyDescent="0.3">
      <c r="A134" s="14"/>
      <c r="B134" s="11"/>
    </row>
    <row r="135" spans="1:2" x14ac:dyDescent="0.3">
      <c r="A135" s="14"/>
      <c r="B135" s="11"/>
    </row>
    <row r="136" spans="1:2" x14ac:dyDescent="0.3">
      <c r="A136" s="14"/>
      <c r="B136" s="11"/>
    </row>
    <row r="137" spans="1:2" x14ac:dyDescent="0.3">
      <c r="A137" s="14"/>
      <c r="B137" s="11"/>
    </row>
    <row r="138" spans="1:2" x14ac:dyDescent="0.3">
      <c r="A138" s="14"/>
      <c r="B138" s="11"/>
    </row>
    <row r="139" spans="1:2" x14ac:dyDescent="0.3">
      <c r="A139" s="14"/>
      <c r="B139" s="11"/>
    </row>
    <row r="140" spans="1:2" x14ac:dyDescent="0.3">
      <c r="A140" s="14"/>
      <c r="B140" s="11"/>
    </row>
    <row r="141" spans="1:2" x14ac:dyDescent="0.3">
      <c r="A141" s="14"/>
      <c r="B141" s="11"/>
    </row>
    <row r="142" spans="1:2" x14ac:dyDescent="0.3">
      <c r="A142" s="14"/>
      <c r="B142" s="11"/>
    </row>
    <row r="143" spans="1:2" x14ac:dyDescent="0.3">
      <c r="A143" s="14"/>
      <c r="B143" s="11"/>
    </row>
    <row r="144" spans="1:2" x14ac:dyDescent="0.3">
      <c r="A144" s="14"/>
      <c r="B144" s="11"/>
    </row>
    <row r="145" spans="1:2" x14ac:dyDescent="0.3">
      <c r="A145" s="14"/>
      <c r="B145" s="11"/>
    </row>
    <row r="146" spans="1:2" x14ac:dyDescent="0.3">
      <c r="A146" s="14"/>
      <c r="B146" s="11"/>
    </row>
    <row r="147" spans="1:2" x14ac:dyDescent="0.3">
      <c r="A147" s="14"/>
      <c r="B147" s="11"/>
    </row>
    <row r="148" spans="1:2" x14ac:dyDescent="0.3">
      <c r="A148" s="14"/>
      <c r="B148" s="11"/>
    </row>
    <row r="149" spans="1:2" x14ac:dyDescent="0.3">
      <c r="A149" s="14"/>
      <c r="B149" s="11"/>
    </row>
    <row r="150" spans="1:2" x14ac:dyDescent="0.3">
      <c r="A150" s="14"/>
      <c r="B150" s="11"/>
    </row>
    <row r="151" spans="1:2" x14ac:dyDescent="0.3">
      <c r="A151" s="14"/>
      <c r="B151" s="11"/>
    </row>
    <row r="152" spans="1:2" x14ac:dyDescent="0.3">
      <c r="A152" s="14"/>
      <c r="B152" s="11"/>
    </row>
    <row r="153" spans="1:2" x14ac:dyDescent="0.3">
      <c r="A153" s="14"/>
      <c r="B153" s="11"/>
    </row>
    <row r="154" spans="1:2" x14ac:dyDescent="0.3">
      <c r="A154" s="14"/>
      <c r="B154" s="11"/>
    </row>
    <row r="155" spans="1:2" x14ac:dyDescent="0.3">
      <c r="A155" s="14"/>
      <c r="B155" s="11"/>
    </row>
    <row r="156" spans="1:2" x14ac:dyDescent="0.3">
      <c r="A156" s="14"/>
      <c r="B156" s="11"/>
    </row>
    <row r="157" spans="1:2" x14ac:dyDescent="0.3">
      <c r="A157" s="14"/>
      <c r="B157" s="11"/>
    </row>
    <row r="158" spans="1:2" x14ac:dyDescent="0.3">
      <c r="A158" s="14"/>
      <c r="B158" s="11"/>
    </row>
    <row r="159" spans="1:2" x14ac:dyDescent="0.3">
      <c r="A159" s="14"/>
      <c r="B159" s="11"/>
    </row>
    <row r="160" spans="1:2" x14ac:dyDescent="0.3">
      <c r="A160" s="14"/>
      <c r="B160" s="11"/>
    </row>
    <row r="161" spans="1:2" x14ac:dyDescent="0.3">
      <c r="A161" s="14"/>
      <c r="B161" s="11"/>
    </row>
    <row r="162" spans="1:2" x14ac:dyDescent="0.3">
      <c r="A162" s="14"/>
      <c r="B162" s="11"/>
    </row>
    <row r="163" spans="1:2" x14ac:dyDescent="0.3">
      <c r="A163" s="14"/>
      <c r="B163" s="11"/>
    </row>
    <row r="164" spans="1:2" x14ac:dyDescent="0.3">
      <c r="A164" s="14"/>
      <c r="B164" s="11"/>
    </row>
    <row r="165" spans="1:2" x14ac:dyDescent="0.3">
      <c r="A165" s="14"/>
      <c r="B165" s="11"/>
    </row>
    <row r="166" spans="1:2" x14ac:dyDescent="0.3">
      <c r="A166" s="14"/>
      <c r="B166" s="11"/>
    </row>
    <row r="167" spans="1:2" x14ac:dyDescent="0.3">
      <c r="A167" s="14"/>
      <c r="B167" s="11"/>
    </row>
    <row r="168" spans="1:2" x14ac:dyDescent="0.3">
      <c r="A168" s="14"/>
      <c r="B168" s="11"/>
    </row>
    <row r="169" spans="1:2" x14ac:dyDescent="0.3">
      <c r="A169" s="14"/>
      <c r="B169" s="11"/>
    </row>
    <row r="170" spans="1:2" x14ac:dyDescent="0.3">
      <c r="A170" s="14"/>
      <c r="B170" s="11"/>
    </row>
    <row r="171" spans="1:2" x14ac:dyDescent="0.3">
      <c r="A171" s="14"/>
      <c r="B171" s="11"/>
    </row>
    <row r="172" spans="1:2" x14ac:dyDescent="0.3">
      <c r="A172" s="14"/>
      <c r="B172" s="11"/>
    </row>
    <row r="173" spans="1:2" x14ac:dyDescent="0.3">
      <c r="A173" s="14"/>
      <c r="B173" s="11"/>
    </row>
    <row r="174" spans="1:2" x14ac:dyDescent="0.3">
      <c r="A174" s="14"/>
      <c r="B174" s="11"/>
    </row>
    <row r="175" spans="1:2" x14ac:dyDescent="0.3">
      <c r="A175" s="14"/>
      <c r="B175" s="11"/>
    </row>
    <row r="176" spans="1:2" x14ac:dyDescent="0.3">
      <c r="A176" s="14"/>
      <c r="B176" s="11"/>
    </row>
    <row r="177" spans="1:2" x14ac:dyDescent="0.3">
      <c r="A177" s="14"/>
      <c r="B177" s="11"/>
    </row>
    <row r="178" spans="1:2" x14ac:dyDescent="0.3">
      <c r="A178" s="14"/>
      <c r="B178" s="11"/>
    </row>
    <row r="179" spans="1:2" x14ac:dyDescent="0.3">
      <c r="A179" s="14"/>
      <c r="B179" s="11"/>
    </row>
    <row r="180" spans="1:2" x14ac:dyDescent="0.3">
      <c r="A180" s="14"/>
      <c r="B180" s="11"/>
    </row>
    <row r="181" spans="1:2" x14ac:dyDescent="0.3">
      <c r="A181" s="14"/>
      <c r="B181" s="11"/>
    </row>
    <row r="182" spans="1:2" x14ac:dyDescent="0.3">
      <c r="A182" s="14"/>
      <c r="B182" s="11"/>
    </row>
    <row r="183" spans="1:2" x14ac:dyDescent="0.3">
      <c r="A183" s="14"/>
      <c r="B183" s="11"/>
    </row>
    <row r="184" spans="1:2" x14ac:dyDescent="0.3">
      <c r="A184" s="14"/>
      <c r="B184" s="11"/>
    </row>
    <row r="185" spans="1:2" x14ac:dyDescent="0.3">
      <c r="A185" s="14"/>
      <c r="B185" s="11"/>
    </row>
    <row r="186" spans="1:2" x14ac:dyDescent="0.3">
      <c r="A186" s="14"/>
      <c r="B186" s="11"/>
    </row>
    <row r="187" spans="1:2" x14ac:dyDescent="0.3">
      <c r="A187" s="14"/>
      <c r="B187" s="11"/>
    </row>
    <row r="188" spans="1:2" x14ac:dyDescent="0.3">
      <c r="A188" s="14"/>
      <c r="B188" s="11"/>
    </row>
    <row r="189" spans="1:2" x14ac:dyDescent="0.3">
      <c r="A189" s="14"/>
      <c r="B189" s="11"/>
    </row>
    <row r="190" spans="1:2" x14ac:dyDescent="0.3">
      <c r="A190" s="14"/>
      <c r="B190" s="11"/>
    </row>
    <row r="191" spans="1:2" x14ac:dyDescent="0.3">
      <c r="A191" s="14"/>
      <c r="B191" s="11"/>
    </row>
    <row r="192" spans="1:2" x14ac:dyDescent="0.3">
      <c r="A192" s="14"/>
      <c r="B192" s="11"/>
    </row>
    <row r="193" spans="1:2" x14ac:dyDescent="0.3">
      <c r="A193" s="14"/>
      <c r="B193" s="11"/>
    </row>
    <row r="194" spans="1:2" x14ac:dyDescent="0.3">
      <c r="A194" s="14"/>
      <c r="B194" s="11"/>
    </row>
    <row r="195" spans="1:2" x14ac:dyDescent="0.3">
      <c r="A195" s="14"/>
      <c r="B195" s="11"/>
    </row>
    <row r="196" spans="1:2" x14ac:dyDescent="0.3">
      <c r="A196" s="14"/>
      <c r="B196" s="11"/>
    </row>
    <row r="197" spans="1:2" x14ac:dyDescent="0.3">
      <c r="A197" s="14"/>
      <c r="B197" s="11"/>
    </row>
    <row r="198" spans="1:2" x14ac:dyDescent="0.3">
      <c r="A198" s="14"/>
      <c r="B198" s="11"/>
    </row>
    <row r="199" spans="1:2" x14ac:dyDescent="0.3">
      <c r="A199" s="14"/>
      <c r="B199" s="11"/>
    </row>
    <row r="200" spans="1:2" x14ac:dyDescent="0.3">
      <c r="A200" s="14"/>
      <c r="B200" s="11"/>
    </row>
    <row r="201" spans="1:2" x14ac:dyDescent="0.3">
      <c r="A201" s="14"/>
      <c r="B201" s="11"/>
    </row>
    <row r="202" spans="1:2" x14ac:dyDescent="0.3">
      <c r="A202" s="14"/>
      <c r="B202" s="11"/>
    </row>
    <row r="203" spans="1:2" x14ac:dyDescent="0.3">
      <c r="A203" s="14"/>
      <c r="B203" s="11"/>
    </row>
    <row r="204" spans="1:2" x14ac:dyDescent="0.3">
      <c r="A204" s="14"/>
      <c r="B204" s="11"/>
    </row>
    <row r="205" spans="1:2" x14ac:dyDescent="0.3">
      <c r="A205" s="14"/>
      <c r="B205" s="11"/>
    </row>
    <row r="206" spans="1:2" x14ac:dyDescent="0.3">
      <c r="A206" s="14"/>
      <c r="B206" s="11"/>
    </row>
    <row r="207" spans="1:2" x14ac:dyDescent="0.3">
      <c r="A207" s="14"/>
      <c r="B207" s="11"/>
    </row>
    <row r="208" spans="1:2" x14ac:dyDescent="0.3">
      <c r="A208" s="14"/>
      <c r="B208" s="11"/>
    </row>
    <row r="209" spans="1:2" x14ac:dyDescent="0.3">
      <c r="A209" s="14"/>
      <c r="B209" s="11"/>
    </row>
    <row r="210" spans="1:2" x14ac:dyDescent="0.3">
      <c r="A210" s="14"/>
      <c r="B210" s="11"/>
    </row>
    <row r="211" spans="1:2" x14ac:dyDescent="0.3">
      <c r="A211" s="14"/>
      <c r="B211" s="11"/>
    </row>
    <row r="212" spans="1:2" x14ac:dyDescent="0.3">
      <c r="A212" s="14"/>
      <c r="B212" s="11"/>
    </row>
    <row r="213" spans="1:2" x14ac:dyDescent="0.3">
      <c r="A213" s="14"/>
      <c r="B213" s="11"/>
    </row>
    <row r="214" spans="1:2" x14ac:dyDescent="0.3">
      <c r="A214" s="14"/>
      <c r="B214" s="11"/>
    </row>
    <row r="215" spans="1:2" x14ac:dyDescent="0.3">
      <c r="A215" s="14"/>
      <c r="B215" s="11"/>
    </row>
    <row r="216" spans="1:2" x14ac:dyDescent="0.3">
      <c r="A216" s="14"/>
      <c r="B216" s="11"/>
    </row>
    <row r="217" spans="1:2" x14ac:dyDescent="0.3">
      <c r="A217" s="14"/>
      <c r="B217" s="11"/>
    </row>
    <row r="218" spans="1:2" x14ac:dyDescent="0.3">
      <c r="A218" s="14"/>
      <c r="B218" s="11"/>
    </row>
    <row r="219" spans="1:2" x14ac:dyDescent="0.3">
      <c r="A219" s="14"/>
      <c r="B219" s="11"/>
    </row>
    <row r="220" spans="1:2" x14ac:dyDescent="0.3">
      <c r="A220" s="14"/>
      <c r="B220" s="11"/>
    </row>
    <row r="221" spans="1:2" x14ac:dyDescent="0.3">
      <c r="A221" s="14"/>
      <c r="B221" s="11"/>
    </row>
    <row r="222" spans="1:2" x14ac:dyDescent="0.3">
      <c r="A222" s="14"/>
      <c r="B222" s="11"/>
    </row>
    <row r="223" spans="1:2" x14ac:dyDescent="0.3">
      <c r="A223" s="14"/>
      <c r="B223" s="11"/>
    </row>
    <row r="224" spans="1:2" x14ac:dyDescent="0.3">
      <c r="A224" s="14"/>
      <c r="B224" s="11"/>
    </row>
    <row r="225" spans="1:2" x14ac:dyDescent="0.3">
      <c r="A225" s="14"/>
      <c r="B225" s="11"/>
    </row>
    <row r="226" spans="1:2" x14ac:dyDescent="0.3">
      <c r="A226" s="14"/>
      <c r="B226" s="11"/>
    </row>
    <row r="227" spans="1:2" x14ac:dyDescent="0.3">
      <c r="A227" s="14"/>
      <c r="B227" s="11"/>
    </row>
    <row r="228" spans="1:2" x14ac:dyDescent="0.3">
      <c r="A228" s="14"/>
      <c r="B228" s="11"/>
    </row>
    <row r="229" spans="1:2" x14ac:dyDescent="0.3">
      <c r="A229" s="14"/>
      <c r="B229" s="11"/>
    </row>
    <row r="230" spans="1:2" x14ac:dyDescent="0.3">
      <c r="A230" s="14"/>
      <c r="B230" s="11"/>
    </row>
    <row r="231" spans="1:2" x14ac:dyDescent="0.3">
      <c r="A231" s="14"/>
      <c r="B231" s="11"/>
    </row>
    <row r="232" spans="1:2" x14ac:dyDescent="0.3">
      <c r="A232" s="14"/>
      <c r="B232" s="11"/>
    </row>
    <row r="233" spans="1:2" x14ac:dyDescent="0.3">
      <c r="A233" s="14"/>
      <c r="B233" s="11"/>
    </row>
    <row r="234" spans="1:2" x14ac:dyDescent="0.3">
      <c r="A234" s="14"/>
      <c r="B234" s="11"/>
    </row>
    <row r="235" spans="1:2" x14ac:dyDescent="0.3">
      <c r="A235" s="14"/>
      <c r="B235" s="11"/>
    </row>
    <row r="236" spans="1:2" x14ac:dyDescent="0.3">
      <c r="A236" s="14"/>
      <c r="B236" s="11"/>
    </row>
    <row r="237" spans="1:2" x14ac:dyDescent="0.3">
      <c r="A237" s="14"/>
      <c r="B237" s="11"/>
    </row>
    <row r="238" spans="1:2" x14ac:dyDescent="0.3">
      <c r="A238" s="14"/>
      <c r="B238" s="11"/>
    </row>
    <row r="239" spans="1:2" x14ac:dyDescent="0.3">
      <c r="A239" s="14"/>
      <c r="B239" s="11"/>
    </row>
    <row r="240" spans="1:2" x14ac:dyDescent="0.3">
      <c r="A240" s="14"/>
      <c r="B240" s="11"/>
    </row>
    <row r="241" spans="1:2" x14ac:dyDescent="0.3">
      <c r="A241" s="14"/>
      <c r="B241" s="11"/>
    </row>
    <row r="242" spans="1:2" x14ac:dyDescent="0.3">
      <c r="A242" s="14"/>
      <c r="B242" s="11"/>
    </row>
    <row r="243" spans="1:2" x14ac:dyDescent="0.3">
      <c r="A243" s="14"/>
      <c r="B243" s="11"/>
    </row>
    <row r="244" spans="1:2" x14ac:dyDescent="0.3">
      <c r="A244" s="14"/>
      <c r="B244" s="11"/>
    </row>
    <row r="245" spans="1:2" x14ac:dyDescent="0.3">
      <c r="A245" s="14"/>
      <c r="B245" s="11"/>
    </row>
    <row r="246" spans="1:2" x14ac:dyDescent="0.3">
      <c r="A246" s="14"/>
      <c r="B246" s="11"/>
    </row>
    <row r="247" spans="1:2" x14ac:dyDescent="0.3">
      <c r="A247" s="14"/>
      <c r="B247" s="11"/>
    </row>
    <row r="248" spans="1:2" x14ac:dyDescent="0.3">
      <c r="A248" s="14"/>
      <c r="B248" s="11"/>
    </row>
    <row r="249" spans="1:2" x14ac:dyDescent="0.3">
      <c r="A249" s="14"/>
      <c r="B249" s="11"/>
    </row>
    <row r="250" spans="1:2" x14ac:dyDescent="0.3">
      <c r="A250" s="14"/>
      <c r="B250" s="11"/>
    </row>
    <row r="251" spans="1:2" x14ac:dyDescent="0.3">
      <c r="A251" s="14"/>
      <c r="B251" s="11"/>
    </row>
    <row r="252" spans="1:2" x14ac:dyDescent="0.3">
      <c r="A252" s="14"/>
      <c r="B252" s="11"/>
    </row>
    <row r="253" spans="1:2" x14ac:dyDescent="0.3">
      <c r="A253" s="14"/>
      <c r="B253" s="1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17EB-813F-4AE8-9444-368E2DD91819}">
  <sheetPr codeName="Planilha5">
    <tabColor theme="3" tint="0.749992370372631"/>
  </sheetPr>
  <dimension ref="A1:Q251"/>
  <sheetViews>
    <sheetView workbookViewId="0">
      <selection activeCell="J23" sqref="J23"/>
    </sheetView>
  </sheetViews>
  <sheetFormatPr defaultRowHeight="14.4" x14ac:dyDescent="0.3"/>
  <cols>
    <col min="1" max="1" width="19.88671875" customWidth="1"/>
    <col min="2" max="2" width="19.6640625" style="4" bestFit="1" customWidth="1"/>
    <col min="5" max="6" width="9.109375" style="8"/>
    <col min="10" max="10" width="12.109375" bestFit="1" customWidth="1"/>
    <col min="14" max="14" width="9.109375" style="3"/>
    <col min="15" max="15" width="12.109375" bestFit="1" customWidth="1"/>
    <col min="19" max="19" width="12.109375" bestFit="1" customWidth="1"/>
  </cols>
  <sheetData>
    <row r="1" spans="1:17" ht="15" thickBot="1" x14ac:dyDescent="0.35">
      <c r="A1" s="1" t="s">
        <v>0</v>
      </c>
      <c r="B1" s="2" t="s">
        <v>79</v>
      </c>
      <c r="C1" s="3">
        <f>SUM(B:B)</f>
        <v>0.99950000000000061</v>
      </c>
      <c r="E1" s="8" t="s">
        <v>0</v>
      </c>
      <c r="F1" s="8" t="s">
        <v>80</v>
      </c>
      <c r="G1" s="5">
        <f>SUM(F:F)</f>
        <v>0.99975099999999961</v>
      </c>
    </row>
    <row r="2" spans="1:17" x14ac:dyDescent="0.3">
      <c r="A2" s="10" t="s">
        <v>48</v>
      </c>
      <c r="B2" s="11">
        <v>2.2499999999999999E-2</v>
      </c>
      <c r="E2" s="8" t="str">
        <f>A2</f>
        <v>JHSF3</v>
      </c>
      <c r="F2" s="5">
        <f>(1-$F$65-$F$66)*B2</f>
        <v>1.1205E-2</v>
      </c>
      <c r="I2" s="3">
        <f>VLOOKUP(E2,'[1]35 - SMLL'!$A$9:$K$222,11,0)</f>
        <v>1.7999999999999999E-2</v>
      </c>
      <c r="J2" s="3">
        <f>B2-I2</f>
        <v>4.5000000000000005E-3</v>
      </c>
      <c r="M2" s="3"/>
      <c r="Q2" s="6"/>
    </row>
    <row r="3" spans="1:17" x14ac:dyDescent="0.3">
      <c r="A3" s="10" t="s">
        <v>46</v>
      </c>
      <c r="B3" s="11">
        <v>1.6E-2</v>
      </c>
      <c r="E3" s="8" t="str">
        <f t="shared" ref="E3:E64" si="0">A3</f>
        <v>WIZC3</v>
      </c>
      <c r="F3" s="5">
        <f t="shared" ref="F3:F64" si="1">(1-$F$65-$F$66)*B3</f>
        <v>7.9679999999999994E-3</v>
      </c>
      <c r="I3" s="3">
        <f>VLOOKUP(E3,'[1]35 - SMLL'!$A$9:$K$222,11,0)</f>
        <v>1.6E-2</v>
      </c>
      <c r="J3" s="3">
        <f t="shared" ref="J3:J64" si="2">B3-I3</f>
        <v>0</v>
      </c>
      <c r="M3" s="3"/>
      <c r="Q3" s="6"/>
    </row>
    <row r="4" spans="1:17" x14ac:dyDescent="0.3">
      <c r="A4" s="10" t="s">
        <v>87</v>
      </c>
      <c r="B4" s="11">
        <v>1.4E-2</v>
      </c>
      <c r="E4" s="8" t="str">
        <f t="shared" si="0"/>
        <v>CSED3</v>
      </c>
      <c r="F4" s="5">
        <f t="shared" si="1"/>
        <v>6.9719999999999999E-3</v>
      </c>
      <c r="I4" s="3">
        <f>VLOOKUP(E4,'[1]35 - SMLL'!$A$9:$K$222,11,0)</f>
        <v>1.4E-2</v>
      </c>
      <c r="J4" s="3">
        <f t="shared" si="2"/>
        <v>0</v>
      </c>
      <c r="M4" s="3"/>
      <c r="Q4" s="6"/>
    </row>
    <row r="5" spans="1:17" x14ac:dyDescent="0.3">
      <c r="A5" s="10" t="s">
        <v>105</v>
      </c>
      <c r="B5" s="11">
        <v>1.2999999999999999E-2</v>
      </c>
      <c r="E5" s="8" t="str">
        <f t="shared" si="0"/>
        <v>RIAA3</v>
      </c>
      <c r="F5" s="5">
        <f t="shared" si="1"/>
        <v>6.4739999999999997E-3</v>
      </c>
      <c r="I5" s="3">
        <f>VLOOKUP(E5,'[1]35 - SMLL'!$A$9:$K$222,11,0)</f>
        <v>1.2999999999999999E-2</v>
      </c>
      <c r="J5" s="3">
        <f t="shared" si="2"/>
        <v>0</v>
      </c>
      <c r="M5" s="3"/>
      <c r="Q5" s="6"/>
    </row>
    <row r="6" spans="1:17" x14ac:dyDescent="0.3">
      <c r="A6" s="10" t="s">
        <v>64</v>
      </c>
      <c r="B6" s="11">
        <v>1.2E-2</v>
      </c>
      <c r="E6" s="8" t="str">
        <f t="shared" si="0"/>
        <v>BMGB4</v>
      </c>
      <c r="F6" s="5">
        <f t="shared" si="1"/>
        <v>5.9760000000000004E-3</v>
      </c>
      <c r="I6" s="3">
        <f>VLOOKUP(E6,'[1]35 - SMLL'!$A$9:$K$222,11,0)</f>
        <v>1.2E-2</v>
      </c>
      <c r="J6" s="3">
        <f t="shared" si="2"/>
        <v>0</v>
      </c>
      <c r="M6" s="3"/>
      <c r="Q6" s="6"/>
    </row>
    <row r="7" spans="1:17" x14ac:dyDescent="0.3">
      <c r="A7" s="10" t="s">
        <v>98</v>
      </c>
      <c r="B7" s="11">
        <v>7.0000000000000001E-3</v>
      </c>
      <c r="E7" s="8" t="str">
        <f t="shared" si="0"/>
        <v>ALLD3</v>
      </c>
      <c r="F7" s="5">
        <f t="shared" si="1"/>
        <v>3.4859999999999999E-3</v>
      </c>
      <c r="I7" s="3">
        <f>VLOOKUP(E7,'[1]35 - SMLL'!$A$9:$K$222,11,0)</f>
        <v>7.0000000000000001E-3</v>
      </c>
      <c r="J7" s="3">
        <f t="shared" si="2"/>
        <v>0</v>
      </c>
      <c r="M7" s="3"/>
      <c r="Q7" s="6"/>
    </row>
    <row r="8" spans="1:17" x14ac:dyDescent="0.3">
      <c r="A8" s="10" t="s">
        <v>29</v>
      </c>
      <c r="B8" s="11">
        <v>1.2E-2</v>
      </c>
      <c r="E8" s="8" t="str">
        <f t="shared" si="0"/>
        <v>SYNE3</v>
      </c>
      <c r="F8" s="5">
        <f t="shared" si="1"/>
        <v>5.9760000000000004E-3</v>
      </c>
      <c r="I8" s="3">
        <f>VLOOKUP(E8,'[1]35 - SMLL'!$A$9:$K$222,11,0)</f>
        <v>1.2E-2</v>
      </c>
      <c r="J8" s="3">
        <f t="shared" si="2"/>
        <v>0</v>
      </c>
      <c r="M8" s="3"/>
      <c r="Q8" s="6"/>
    </row>
    <row r="9" spans="1:17" x14ac:dyDescent="0.3">
      <c r="A9" s="10" t="s">
        <v>89</v>
      </c>
      <c r="B9" s="11">
        <v>1.2999999999999999E-2</v>
      </c>
      <c r="E9" s="8" t="str">
        <f t="shared" si="0"/>
        <v>POMO3</v>
      </c>
      <c r="F9" s="5">
        <f t="shared" si="1"/>
        <v>6.4739999999999997E-3</v>
      </c>
      <c r="I9" s="3">
        <f>VLOOKUP(E9,'[1]35 - SMLL'!$A$9:$K$222,11,0)</f>
        <v>1.2999999999999999E-2</v>
      </c>
      <c r="J9" s="3">
        <f t="shared" si="2"/>
        <v>0</v>
      </c>
      <c r="M9" s="3"/>
      <c r="Q9" s="6"/>
    </row>
    <row r="10" spans="1:17" x14ac:dyDescent="0.3">
      <c r="A10" s="10" t="s">
        <v>112</v>
      </c>
      <c r="B10" s="11">
        <v>1.2999999999999999E-2</v>
      </c>
      <c r="E10" s="8" t="str">
        <f t="shared" si="0"/>
        <v>SHUL4</v>
      </c>
      <c r="F10" s="5">
        <f t="shared" si="1"/>
        <v>6.4739999999999997E-3</v>
      </c>
      <c r="I10" s="3">
        <f>VLOOKUP(E10,'[1]35 - SMLL'!$A$9:$K$222,11,0)</f>
        <v>1.2999999999999999E-2</v>
      </c>
      <c r="J10" s="3">
        <f t="shared" si="2"/>
        <v>0</v>
      </c>
      <c r="M10" s="3"/>
      <c r="Q10" s="6"/>
    </row>
    <row r="11" spans="1:17" x14ac:dyDescent="0.3">
      <c r="A11" s="10" t="s">
        <v>97</v>
      </c>
      <c r="B11" s="11">
        <v>1.4E-2</v>
      </c>
      <c r="E11" s="8" t="str">
        <f t="shared" si="0"/>
        <v>FIQE3</v>
      </c>
      <c r="F11" s="5">
        <f t="shared" si="1"/>
        <v>6.9719999999999999E-3</v>
      </c>
      <c r="I11" s="3">
        <f>VLOOKUP(E11,'[1]35 - SMLL'!$A$9:$K$222,11,0)</f>
        <v>1.4E-2</v>
      </c>
      <c r="J11" s="3">
        <f t="shared" si="2"/>
        <v>0</v>
      </c>
      <c r="M11" s="3"/>
      <c r="Q11" s="6"/>
    </row>
    <row r="12" spans="1:17" x14ac:dyDescent="0.3">
      <c r="A12" s="10" t="s">
        <v>50</v>
      </c>
      <c r="B12" s="11">
        <v>1.9E-2</v>
      </c>
      <c r="E12" s="8" t="str">
        <f t="shared" si="0"/>
        <v>MTRE3</v>
      </c>
      <c r="F12" s="5">
        <f t="shared" si="1"/>
        <v>9.4619999999999999E-3</v>
      </c>
      <c r="I12" s="3">
        <f>VLOOKUP(E12,'[1]35 - SMLL'!$A$9:$K$222,11,0)</f>
        <v>1.9E-2</v>
      </c>
      <c r="J12" s="3">
        <f t="shared" si="2"/>
        <v>0</v>
      </c>
      <c r="M12" s="3"/>
      <c r="Q12" s="6"/>
    </row>
    <row r="13" spans="1:17" x14ac:dyDescent="0.3">
      <c r="A13" s="10" t="s">
        <v>26</v>
      </c>
      <c r="B13" s="11">
        <v>0.02</v>
      </c>
      <c r="E13" s="8" t="str">
        <f t="shared" si="0"/>
        <v>BRSR6</v>
      </c>
      <c r="F13" s="5">
        <f t="shared" si="1"/>
        <v>9.9600000000000001E-3</v>
      </c>
      <c r="I13" s="3">
        <f>VLOOKUP(E13,'[1]35 - SMLL'!$A$9:$K$222,11,0)</f>
        <v>1.4E-2</v>
      </c>
      <c r="J13" s="3">
        <f t="shared" si="2"/>
        <v>6.0000000000000001E-3</v>
      </c>
      <c r="M13" s="3"/>
      <c r="Q13" s="6"/>
    </row>
    <row r="14" spans="1:17" x14ac:dyDescent="0.3">
      <c r="A14" s="10" t="s">
        <v>62</v>
      </c>
      <c r="B14" s="11">
        <v>1.2E-2</v>
      </c>
      <c r="E14" s="8" t="str">
        <f t="shared" si="0"/>
        <v>GRND3</v>
      </c>
      <c r="F14" s="5">
        <f t="shared" si="1"/>
        <v>5.9760000000000004E-3</v>
      </c>
      <c r="I14" s="3">
        <f>VLOOKUP(E14,'[1]35 - SMLL'!$A$9:$K$222,11,0)</f>
        <v>1.2E-2</v>
      </c>
      <c r="J14" s="3">
        <f t="shared" si="2"/>
        <v>0</v>
      </c>
      <c r="M14" s="3"/>
      <c r="Q14" s="6"/>
    </row>
    <row r="15" spans="1:17" x14ac:dyDescent="0.3">
      <c r="A15" s="10" t="s">
        <v>23</v>
      </c>
      <c r="B15" s="11">
        <v>1.4999999999999999E-2</v>
      </c>
      <c r="E15" s="8" t="str">
        <f t="shared" si="0"/>
        <v>TIMS3</v>
      </c>
      <c r="F15" s="5">
        <f t="shared" si="1"/>
        <v>7.4700000000000001E-3</v>
      </c>
      <c r="I15" s="3">
        <f>VLOOKUP(E15,'[1]35 - SMLL'!$A$9:$K$222,11,0)</f>
        <v>1.4999999999999999E-2</v>
      </c>
      <c r="J15" s="3">
        <f t="shared" si="2"/>
        <v>0</v>
      </c>
      <c r="M15" s="3"/>
      <c r="Q15" s="6"/>
    </row>
    <row r="16" spans="1:17" x14ac:dyDescent="0.3">
      <c r="A16" s="10" t="s">
        <v>47</v>
      </c>
      <c r="B16" s="11">
        <v>1.4E-2</v>
      </c>
      <c r="E16" s="8" t="str">
        <f t="shared" si="0"/>
        <v>SAPR4</v>
      </c>
      <c r="F16" s="5">
        <f t="shared" si="1"/>
        <v>6.9719999999999999E-3</v>
      </c>
      <c r="I16" s="3">
        <f>VLOOKUP(E16,'[1]35 - SMLL'!$A$9:$K$222,11,0)</f>
        <v>1.4E-2</v>
      </c>
      <c r="J16" s="3">
        <f t="shared" si="2"/>
        <v>0</v>
      </c>
      <c r="M16" s="3"/>
      <c r="Q16" s="6"/>
    </row>
    <row r="17" spans="1:17" x14ac:dyDescent="0.3">
      <c r="A17" s="10" t="s">
        <v>113</v>
      </c>
      <c r="B17" s="11">
        <v>1.2E-2</v>
      </c>
      <c r="E17" s="8" t="str">
        <f t="shared" si="0"/>
        <v>PFRM3</v>
      </c>
      <c r="F17" s="5">
        <f t="shared" si="1"/>
        <v>5.9760000000000004E-3</v>
      </c>
      <c r="I17" s="3">
        <f>VLOOKUP(E17,'[1]35 - SMLL'!$A$9:$K$222,11,0)</f>
        <v>1.2E-2</v>
      </c>
      <c r="J17" s="3">
        <f t="shared" si="2"/>
        <v>0</v>
      </c>
      <c r="M17" s="3"/>
      <c r="Q17" s="6"/>
    </row>
    <row r="18" spans="1:17" x14ac:dyDescent="0.3">
      <c r="A18" s="10" t="s">
        <v>114</v>
      </c>
      <c r="B18" s="11">
        <v>1.2999999999999999E-2</v>
      </c>
      <c r="E18" s="8" t="str">
        <f t="shared" si="0"/>
        <v>DEXP3</v>
      </c>
      <c r="F18" s="5">
        <f t="shared" si="1"/>
        <v>6.4739999999999997E-3</v>
      </c>
      <c r="I18" s="3">
        <f>VLOOKUP(E18,'[1]35 - SMLL'!$A$9:$K$222,11,0)</f>
        <v>1.2999999999999999E-2</v>
      </c>
      <c r="J18" s="3">
        <f t="shared" si="2"/>
        <v>0</v>
      </c>
      <c r="M18" s="3"/>
      <c r="Q18" s="6"/>
    </row>
    <row r="19" spans="1:17" x14ac:dyDescent="0.3">
      <c r="A19" s="10" t="s">
        <v>28</v>
      </c>
      <c r="B19" s="11">
        <v>1.2E-2</v>
      </c>
      <c r="E19" s="8" t="str">
        <f t="shared" si="0"/>
        <v>LEVE3</v>
      </c>
      <c r="F19" s="5">
        <f t="shared" si="1"/>
        <v>5.9760000000000004E-3</v>
      </c>
      <c r="I19" s="3">
        <f>VLOOKUP(E19,'[1]35 - SMLL'!$A$9:$K$222,11,0)</f>
        <v>1.2E-2</v>
      </c>
      <c r="J19" s="3">
        <f t="shared" si="2"/>
        <v>0</v>
      </c>
      <c r="M19" s="3"/>
      <c r="Q19" s="6"/>
    </row>
    <row r="20" spans="1:17" x14ac:dyDescent="0.3">
      <c r="A20" s="10" t="s">
        <v>90</v>
      </c>
      <c r="B20" s="11">
        <v>1.7000000000000001E-2</v>
      </c>
      <c r="E20" s="8" t="str">
        <f t="shared" si="0"/>
        <v>ABCB4</v>
      </c>
      <c r="F20" s="5">
        <f t="shared" si="1"/>
        <v>8.4660000000000013E-3</v>
      </c>
      <c r="I20" s="3">
        <f>VLOOKUP(E20,'[1]35 - SMLL'!$A$9:$K$222,11,0)</f>
        <v>1.7000000000000001E-2</v>
      </c>
      <c r="J20" s="3">
        <f t="shared" si="2"/>
        <v>0</v>
      </c>
      <c r="M20" s="3"/>
      <c r="Q20" s="6"/>
    </row>
    <row r="21" spans="1:17" x14ac:dyDescent="0.3">
      <c r="A21" s="10" t="s">
        <v>107</v>
      </c>
      <c r="B21" s="11">
        <v>1.2E-2</v>
      </c>
      <c r="E21" s="8" t="str">
        <f t="shared" si="0"/>
        <v>ALPA4</v>
      </c>
      <c r="F21" s="5">
        <f t="shared" si="1"/>
        <v>5.9760000000000004E-3</v>
      </c>
      <c r="I21" s="3">
        <f>VLOOKUP(E21,'[1]35 - SMLL'!$A$9:$K$222,11,0)</f>
        <v>1.2E-2</v>
      </c>
      <c r="J21" s="3">
        <f t="shared" si="2"/>
        <v>0</v>
      </c>
      <c r="M21" s="3"/>
      <c r="Q21" s="6"/>
    </row>
    <row r="22" spans="1:17" x14ac:dyDescent="0.3">
      <c r="A22" s="10" t="s">
        <v>78</v>
      </c>
      <c r="B22" s="11">
        <v>3.5000000000000003E-2</v>
      </c>
      <c r="E22" s="8" t="str">
        <f t="shared" si="0"/>
        <v>SAPR11</v>
      </c>
      <c r="F22" s="5">
        <f t="shared" si="1"/>
        <v>1.7430000000000001E-2</v>
      </c>
      <c r="I22" s="3">
        <f>VLOOKUP(E22,'[1]35 - SMLL'!$A$9:$K$222,11,0)</f>
        <v>1.4E-2</v>
      </c>
      <c r="J22" s="3">
        <f t="shared" si="2"/>
        <v>2.1000000000000005E-2</v>
      </c>
      <c r="M22" s="3"/>
      <c r="Q22" s="6"/>
    </row>
    <row r="23" spans="1:17" x14ac:dyDescent="0.3">
      <c r="A23" s="10" t="s">
        <v>16</v>
      </c>
      <c r="B23" s="11">
        <v>2.5000000000000001E-2</v>
      </c>
      <c r="E23" s="8" t="str">
        <f t="shared" si="0"/>
        <v>POMO4</v>
      </c>
      <c r="F23" s="5">
        <f t="shared" si="1"/>
        <v>1.2450000000000001E-2</v>
      </c>
      <c r="I23" s="3">
        <f>VLOOKUP(E23,'[1]35 - SMLL'!$A$9:$K$222,11,0)</f>
        <v>1.4E-2</v>
      </c>
      <c r="J23" s="3">
        <f t="shared" si="2"/>
        <v>1.1000000000000001E-2</v>
      </c>
      <c r="M23" s="3"/>
      <c r="Q23" s="6"/>
    </row>
    <row r="24" spans="1:17" x14ac:dyDescent="0.3">
      <c r="A24" s="10" t="s">
        <v>115</v>
      </c>
      <c r="B24" s="11">
        <v>1.4E-2</v>
      </c>
      <c r="E24" s="8" t="str">
        <f t="shared" si="0"/>
        <v>LOGG3</v>
      </c>
      <c r="F24" s="5">
        <f t="shared" si="1"/>
        <v>6.9719999999999999E-3</v>
      </c>
      <c r="I24" s="3">
        <f>VLOOKUP(E24,'[1]35 - SMLL'!$A$9:$K$222,11,0)</f>
        <v>1.4E-2</v>
      </c>
      <c r="J24" s="3">
        <f t="shared" si="2"/>
        <v>0</v>
      </c>
      <c r="M24" s="3"/>
      <c r="Q24" s="6"/>
    </row>
    <row r="25" spans="1:17" x14ac:dyDescent="0.3">
      <c r="A25" s="10" t="s">
        <v>116</v>
      </c>
      <c r="B25" s="11">
        <v>0.02</v>
      </c>
      <c r="E25" s="8" t="str">
        <f t="shared" si="0"/>
        <v>ODPV3</v>
      </c>
      <c r="F25" s="5">
        <f t="shared" si="1"/>
        <v>9.9600000000000001E-3</v>
      </c>
      <c r="I25" s="3">
        <f>VLOOKUP(E25,'[1]35 - SMLL'!$A$9:$K$222,11,0)</f>
        <v>0.01</v>
      </c>
      <c r="J25" s="3">
        <f t="shared" si="2"/>
        <v>0.01</v>
      </c>
      <c r="M25" s="3"/>
      <c r="Q25" s="6"/>
    </row>
    <row r="26" spans="1:17" x14ac:dyDescent="0.3">
      <c r="A26" s="10" t="s">
        <v>117</v>
      </c>
      <c r="B26" s="11">
        <v>1.7999999999999999E-2</v>
      </c>
      <c r="E26" s="8" t="str">
        <f t="shared" si="0"/>
        <v>EVEN3</v>
      </c>
      <c r="F26" s="5">
        <f t="shared" si="1"/>
        <v>8.9639999999999997E-3</v>
      </c>
      <c r="I26" s="3">
        <f>VLOOKUP(E26,'[1]35 - SMLL'!$A$9:$K$222,11,0)</f>
        <v>1.7999999999999999E-2</v>
      </c>
      <c r="J26" s="3">
        <f t="shared" si="2"/>
        <v>0</v>
      </c>
      <c r="M26" s="3"/>
      <c r="Q26" s="6"/>
    </row>
    <row r="27" spans="1:17" x14ac:dyDescent="0.3">
      <c r="A27" s="10" t="s">
        <v>30</v>
      </c>
      <c r="B27" s="11">
        <v>0.02</v>
      </c>
      <c r="E27" s="8" t="str">
        <f t="shared" si="0"/>
        <v>CURY3</v>
      </c>
      <c r="F27" s="5">
        <f t="shared" si="1"/>
        <v>9.9600000000000001E-3</v>
      </c>
      <c r="I27" s="3">
        <f>VLOOKUP(E27,'[1]35 - SMLL'!$A$9:$K$222,11,0)</f>
        <v>1.6E-2</v>
      </c>
      <c r="J27" s="3">
        <f t="shared" si="2"/>
        <v>4.0000000000000001E-3</v>
      </c>
      <c r="M27" s="3"/>
      <c r="Q27" s="6"/>
    </row>
    <row r="28" spans="1:17" x14ac:dyDescent="0.3">
      <c r="A28" s="10" t="s">
        <v>45</v>
      </c>
      <c r="B28" s="11">
        <v>0.04</v>
      </c>
      <c r="E28" s="8" t="str">
        <f t="shared" si="0"/>
        <v>ALOS3</v>
      </c>
      <c r="F28" s="5">
        <f t="shared" si="1"/>
        <v>1.992E-2</v>
      </c>
      <c r="I28" s="3">
        <f>VLOOKUP(E28,'[1]35 - SMLL'!$A$9:$K$222,11,0)</f>
        <v>2.5000000000000001E-2</v>
      </c>
      <c r="J28" s="3">
        <f t="shared" si="2"/>
        <v>1.4999999999999999E-2</v>
      </c>
      <c r="M28" s="3"/>
      <c r="Q28" s="6"/>
    </row>
    <row r="29" spans="1:17" x14ac:dyDescent="0.3">
      <c r="A29" s="10" t="s">
        <v>118</v>
      </c>
      <c r="B29" s="11">
        <v>0.02</v>
      </c>
      <c r="E29" s="8" t="str">
        <f t="shared" si="0"/>
        <v>ITSA3</v>
      </c>
      <c r="F29" s="5">
        <f t="shared" si="1"/>
        <v>9.9600000000000001E-3</v>
      </c>
      <c r="I29" s="3">
        <f>VLOOKUP(E29,'[1]35 - SMLL'!$A$9:$K$222,11,0)</f>
        <v>0.02</v>
      </c>
      <c r="J29" s="3">
        <f t="shared" si="2"/>
        <v>0</v>
      </c>
      <c r="M29" s="3"/>
      <c r="Q29" s="6"/>
    </row>
    <row r="30" spans="1:17" x14ac:dyDescent="0.3">
      <c r="A30" s="10" t="s">
        <v>106</v>
      </c>
      <c r="B30" s="11">
        <v>1.4E-2</v>
      </c>
      <c r="E30" s="8" t="str">
        <f t="shared" si="0"/>
        <v>MELK3</v>
      </c>
      <c r="F30" s="5">
        <f t="shared" si="1"/>
        <v>6.9719999999999999E-3</v>
      </c>
      <c r="I30" s="3">
        <f>VLOOKUP(E30,'[1]35 - SMLL'!$A$9:$K$222,11,0)</f>
        <v>1.4E-2</v>
      </c>
      <c r="J30" s="3">
        <f t="shared" si="2"/>
        <v>0</v>
      </c>
      <c r="M30" s="3"/>
      <c r="Q30" s="6"/>
    </row>
    <row r="31" spans="1:17" x14ac:dyDescent="0.3">
      <c r="A31" s="10" t="s">
        <v>42</v>
      </c>
      <c r="B31" s="11">
        <v>1.7000000000000001E-2</v>
      </c>
      <c r="E31" s="8" t="str">
        <f t="shared" si="0"/>
        <v>VLID3</v>
      </c>
      <c r="F31" s="5">
        <f t="shared" si="1"/>
        <v>8.4660000000000013E-3</v>
      </c>
      <c r="I31" s="3">
        <f>VLOOKUP(E31,'[1]35 - SMLL'!$A$9:$K$222,11,0)</f>
        <v>1.7000000000000001E-2</v>
      </c>
      <c r="J31" s="3">
        <f t="shared" si="2"/>
        <v>0</v>
      </c>
      <c r="M31" s="3"/>
      <c r="Q31" s="6"/>
    </row>
    <row r="32" spans="1:17" x14ac:dyDescent="0.3">
      <c r="A32" s="10" t="s">
        <v>53</v>
      </c>
      <c r="B32" s="11">
        <v>7.0000000000000001E-3</v>
      </c>
      <c r="E32" s="8" t="str">
        <f t="shared" si="0"/>
        <v>TRIS3</v>
      </c>
      <c r="F32" s="5">
        <f t="shared" si="1"/>
        <v>3.4859999999999999E-3</v>
      </c>
      <c r="I32" s="3">
        <f>VLOOKUP(E32,'[1]35 - SMLL'!$A$9:$K$222,11,0)</f>
        <v>7.0000000000000001E-3</v>
      </c>
      <c r="J32" s="3">
        <f t="shared" si="2"/>
        <v>0</v>
      </c>
      <c r="M32" s="3"/>
      <c r="Q32" s="6"/>
    </row>
    <row r="33" spans="1:17" x14ac:dyDescent="0.3">
      <c r="A33" s="10" t="s">
        <v>96</v>
      </c>
      <c r="B33" s="11">
        <v>1.9E-2</v>
      </c>
      <c r="E33" s="8" t="str">
        <f t="shared" si="0"/>
        <v>VULC3</v>
      </c>
      <c r="F33" s="5">
        <f t="shared" si="1"/>
        <v>9.4619999999999999E-3</v>
      </c>
      <c r="I33" s="3">
        <f>VLOOKUP(E33,'[1]35 - SMLL'!$A$9:$K$222,11,0)</f>
        <v>1.9E-2</v>
      </c>
      <c r="J33" s="3">
        <f t="shared" si="2"/>
        <v>0</v>
      </c>
      <c r="M33" s="3"/>
      <c r="Q33" s="6"/>
    </row>
    <row r="34" spans="1:17" x14ac:dyDescent="0.3">
      <c r="A34" s="10" t="s">
        <v>119</v>
      </c>
      <c r="B34" s="11">
        <v>1.7000000000000001E-2</v>
      </c>
      <c r="E34" s="8" t="str">
        <f t="shared" si="0"/>
        <v>INTB3</v>
      </c>
      <c r="F34" s="5">
        <f t="shared" si="1"/>
        <v>8.4660000000000013E-3</v>
      </c>
      <c r="I34" s="3">
        <f>VLOOKUP(E34,'[1]35 - SMLL'!$A$9:$K$222,11,0)</f>
        <v>1.7000000000000001E-2</v>
      </c>
      <c r="J34" s="3">
        <f t="shared" si="2"/>
        <v>0</v>
      </c>
      <c r="M34" s="3"/>
      <c r="Q34" s="6"/>
    </row>
    <row r="35" spans="1:17" x14ac:dyDescent="0.3">
      <c r="A35" s="10" t="s">
        <v>104</v>
      </c>
      <c r="B35" s="11">
        <v>7.0000000000000001E-3</v>
      </c>
      <c r="E35" s="8" t="str">
        <f t="shared" si="0"/>
        <v>BMEB4</v>
      </c>
      <c r="F35" s="5">
        <f t="shared" si="1"/>
        <v>3.4859999999999999E-3</v>
      </c>
      <c r="I35" s="3">
        <f>VLOOKUP(E35,'[1]35 - SMLL'!$A$9:$K$222,11,0)</f>
        <v>7.0000000000000001E-3</v>
      </c>
      <c r="J35" s="3">
        <f t="shared" si="2"/>
        <v>0</v>
      </c>
      <c r="M35" s="3"/>
      <c r="Q35" s="6"/>
    </row>
    <row r="36" spans="1:17" x14ac:dyDescent="0.3">
      <c r="A36" s="10" t="s">
        <v>120</v>
      </c>
      <c r="B36" s="11">
        <v>1.2E-2</v>
      </c>
      <c r="E36" s="8" t="str">
        <f t="shared" si="0"/>
        <v>MLAS3</v>
      </c>
      <c r="F36" s="5">
        <f t="shared" si="1"/>
        <v>5.9760000000000004E-3</v>
      </c>
      <c r="I36" s="3">
        <f>VLOOKUP(E36,'[1]35 - SMLL'!$A$9:$K$222,11,0)</f>
        <v>1.2E-2</v>
      </c>
      <c r="J36" s="3">
        <f t="shared" si="2"/>
        <v>0</v>
      </c>
      <c r="M36" s="3"/>
      <c r="Q36" s="6"/>
    </row>
    <row r="37" spans="1:17" x14ac:dyDescent="0.3">
      <c r="A37" s="10" t="s">
        <v>91</v>
      </c>
      <c r="B37" s="11">
        <v>1.6E-2</v>
      </c>
      <c r="E37" s="8" t="str">
        <f t="shared" si="0"/>
        <v>ALUP11</v>
      </c>
      <c r="F37" s="5">
        <f t="shared" si="1"/>
        <v>7.9679999999999994E-3</v>
      </c>
      <c r="I37" s="3">
        <f>VLOOKUP(E37,'[1]35 - SMLL'!$A$9:$K$222,11,0)</f>
        <v>1.6E-2</v>
      </c>
      <c r="J37" s="3">
        <f t="shared" si="2"/>
        <v>0</v>
      </c>
      <c r="M37" s="3"/>
      <c r="Q37" s="6"/>
    </row>
    <row r="38" spans="1:17" x14ac:dyDescent="0.3">
      <c r="A38" s="10" t="s">
        <v>108</v>
      </c>
      <c r="B38" s="11">
        <v>1.9E-2</v>
      </c>
      <c r="E38" s="8" t="str">
        <f t="shared" si="0"/>
        <v>PNVL3</v>
      </c>
      <c r="F38" s="5">
        <f t="shared" si="1"/>
        <v>9.4619999999999999E-3</v>
      </c>
      <c r="I38" s="3">
        <f>VLOOKUP(E38,'[1]35 - SMLL'!$A$9:$K$222,11,0)</f>
        <v>1.9E-2</v>
      </c>
      <c r="J38" s="3">
        <f t="shared" si="2"/>
        <v>0</v>
      </c>
      <c r="M38" s="3"/>
      <c r="Q38" s="6"/>
    </row>
    <row r="39" spans="1:17" x14ac:dyDescent="0.3">
      <c r="A39" s="10" t="s">
        <v>59</v>
      </c>
      <c r="B39" s="11">
        <v>0.02</v>
      </c>
      <c r="E39" s="8" t="str">
        <f t="shared" si="0"/>
        <v>RECV3</v>
      </c>
      <c r="F39" s="5">
        <f t="shared" si="1"/>
        <v>9.9600000000000001E-3</v>
      </c>
      <c r="I39" s="3">
        <f>VLOOKUP(E39,'[1]35 - SMLL'!$A$9:$K$222,11,0)</f>
        <v>1.2E-2</v>
      </c>
      <c r="J39" s="3">
        <f t="shared" si="2"/>
        <v>8.0000000000000002E-3</v>
      </c>
      <c r="M39" s="3"/>
      <c r="Q39" s="6"/>
    </row>
    <row r="40" spans="1:17" x14ac:dyDescent="0.3">
      <c r="A40" s="10" t="s">
        <v>95</v>
      </c>
      <c r="B40" s="11">
        <v>1.2999999999999999E-2</v>
      </c>
      <c r="E40" s="8" t="str">
        <f t="shared" si="0"/>
        <v>OPCT3</v>
      </c>
      <c r="F40" s="5">
        <f t="shared" si="1"/>
        <v>6.4739999999999997E-3</v>
      </c>
      <c r="I40" s="3">
        <f>VLOOKUP(E40,'[1]35 - SMLL'!$A$9:$K$222,11,0)</f>
        <v>1.2999999999999999E-2</v>
      </c>
      <c r="J40" s="3">
        <f t="shared" si="2"/>
        <v>0</v>
      </c>
      <c r="M40" s="3"/>
      <c r="Q40" s="6"/>
    </row>
    <row r="41" spans="1:17" x14ac:dyDescent="0.3">
      <c r="A41" s="10" t="s">
        <v>38</v>
      </c>
      <c r="B41" s="11">
        <v>0.02</v>
      </c>
      <c r="E41" s="8" t="str">
        <f t="shared" si="0"/>
        <v>LAVV3</v>
      </c>
      <c r="F41" s="5">
        <f t="shared" si="1"/>
        <v>9.9600000000000001E-3</v>
      </c>
      <c r="I41" s="3">
        <f>VLOOKUP(E41,'[1]35 - SMLL'!$A$9:$K$222,11,0)</f>
        <v>0.02</v>
      </c>
      <c r="J41" s="3">
        <f t="shared" si="2"/>
        <v>0</v>
      </c>
      <c r="M41" s="3"/>
      <c r="Q41" s="6"/>
    </row>
    <row r="42" spans="1:17" x14ac:dyDescent="0.3">
      <c r="A42" s="10" t="s">
        <v>13</v>
      </c>
      <c r="B42" s="11">
        <v>1.4E-2</v>
      </c>
      <c r="E42" s="8" t="str">
        <f t="shared" si="0"/>
        <v>VIVT3</v>
      </c>
      <c r="F42" s="5">
        <f t="shared" si="1"/>
        <v>6.9719999999999999E-3</v>
      </c>
      <c r="I42" s="3">
        <f>VLOOKUP(E42,'[1]35 - SMLL'!$A$9:$K$222,11,0)</f>
        <v>1.4E-2</v>
      </c>
      <c r="J42" s="3">
        <f t="shared" si="2"/>
        <v>0</v>
      </c>
      <c r="M42" s="3"/>
      <c r="Q42" s="6"/>
    </row>
    <row r="43" spans="1:17" x14ac:dyDescent="0.3">
      <c r="A43" s="10" t="s">
        <v>100</v>
      </c>
      <c r="B43" s="11">
        <v>1.2E-2</v>
      </c>
      <c r="E43" s="8" t="str">
        <f t="shared" si="0"/>
        <v>PINE4</v>
      </c>
      <c r="F43" s="5">
        <f t="shared" si="1"/>
        <v>5.9760000000000004E-3</v>
      </c>
      <c r="I43" s="3">
        <f>VLOOKUP(E43,'[1]35 - SMLL'!$A$9:$K$222,11,0)</f>
        <v>1.2E-2</v>
      </c>
      <c r="J43" s="3">
        <f t="shared" si="2"/>
        <v>0</v>
      </c>
      <c r="M43" s="3"/>
      <c r="Q43" s="6"/>
    </row>
    <row r="44" spans="1:17" x14ac:dyDescent="0.3">
      <c r="A44" s="10" t="s">
        <v>73</v>
      </c>
      <c r="B44" s="11">
        <v>1.6E-2</v>
      </c>
      <c r="E44" s="8" t="str">
        <f t="shared" si="0"/>
        <v>BMOB3</v>
      </c>
      <c r="F44" s="5">
        <f t="shared" si="1"/>
        <v>7.9679999999999994E-3</v>
      </c>
      <c r="I44" s="3">
        <f>VLOOKUP(E44,'[1]35 - SMLL'!$A$9:$K$222,11,0)</f>
        <v>1.6E-2</v>
      </c>
      <c r="J44" s="3">
        <f t="shared" si="2"/>
        <v>0</v>
      </c>
      <c r="M44" s="3"/>
      <c r="Q44" s="6"/>
    </row>
    <row r="45" spans="1:17" x14ac:dyDescent="0.3">
      <c r="A45" s="10" t="s">
        <v>121</v>
      </c>
      <c r="B45" s="11">
        <v>1.4999999999999999E-2</v>
      </c>
      <c r="E45" s="8" t="str">
        <f t="shared" si="0"/>
        <v>POSI3</v>
      </c>
      <c r="F45" s="5">
        <f t="shared" si="1"/>
        <v>7.4700000000000001E-3</v>
      </c>
      <c r="I45" s="3">
        <f>VLOOKUP(E45,'[1]35 - SMLL'!$A$9:$K$222,11,0)</f>
        <v>1.4999999999999999E-2</v>
      </c>
      <c r="J45" s="3">
        <f t="shared" si="2"/>
        <v>0</v>
      </c>
      <c r="M45" s="3"/>
      <c r="Q45" s="6"/>
    </row>
    <row r="46" spans="1:17" x14ac:dyDescent="0.3">
      <c r="A46" s="10" t="s">
        <v>122</v>
      </c>
      <c r="B46" s="11">
        <v>6.0000000000000001E-3</v>
      </c>
      <c r="E46" s="8" t="str">
        <f t="shared" si="0"/>
        <v>VVEO3</v>
      </c>
      <c r="F46" s="5">
        <f t="shared" si="1"/>
        <v>2.9880000000000002E-3</v>
      </c>
      <c r="I46" s="3">
        <f>VLOOKUP(E46,'[1]35 - SMLL'!$A$9:$K$222,11,0)</f>
        <v>6.0000000000000001E-3</v>
      </c>
      <c r="J46" s="3">
        <f t="shared" si="2"/>
        <v>0</v>
      </c>
      <c r="M46" s="3"/>
      <c r="Q46" s="6"/>
    </row>
    <row r="47" spans="1:17" x14ac:dyDescent="0.3">
      <c r="A47" s="10" t="s">
        <v>130</v>
      </c>
      <c r="B47" s="11">
        <v>1.4E-2</v>
      </c>
      <c r="E47" s="8" t="str">
        <f t="shared" si="0"/>
        <v>BRAP3</v>
      </c>
      <c r="F47" s="5">
        <f t="shared" si="1"/>
        <v>6.9719999999999999E-3</v>
      </c>
      <c r="I47" s="3">
        <f>VLOOKUP(E47,'[1]35 - SMLL'!$A$9:$K$222,11,0)</f>
        <v>1.4E-2</v>
      </c>
      <c r="J47" s="3">
        <f t="shared" si="2"/>
        <v>0</v>
      </c>
      <c r="M47" s="3"/>
      <c r="Q47" s="6"/>
    </row>
    <row r="48" spans="1:17" x14ac:dyDescent="0.3">
      <c r="A48" s="10" t="s">
        <v>75</v>
      </c>
      <c r="B48" s="11">
        <v>1.7000000000000001E-2</v>
      </c>
      <c r="E48" s="8" t="str">
        <f t="shared" si="0"/>
        <v>MDNE3</v>
      </c>
      <c r="F48" s="5">
        <f t="shared" si="1"/>
        <v>8.4660000000000013E-3</v>
      </c>
      <c r="I48" s="3">
        <f>VLOOKUP(E48,'[1]35 - SMLL'!$A$9:$K$222,11,0)</f>
        <v>1.7000000000000001E-2</v>
      </c>
      <c r="J48" s="3">
        <f t="shared" si="2"/>
        <v>0</v>
      </c>
      <c r="M48" s="3"/>
      <c r="Q48" s="6"/>
    </row>
    <row r="49" spans="1:17" x14ac:dyDescent="0.3">
      <c r="A49" s="10" t="s">
        <v>31</v>
      </c>
      <c r="B49" s="11">
        <v>1.2E-2</v>
      </c>
      <c r="E49" s="8" t="str">
        <f t="shared" si="0"/>
        <v>PSSA3</v>
      </c>
      <c r="F49" s="5">
        <f t="shared" si="1"/>
        <v>5.9760000000000004E-3</v>
      </c>
      <c r="I49" s="3">
        <f>VLOOKUP(E49,'[1]35 - SMLL'!$A$9:$K$222,11,0)</f>
        <v>1.2E-2</v>
      </c>
      <c r="J49" s="3">
        <f t="shared" si="2"/>
        <v>0</v>
      </c>
      <c r="M49" s="3"/>
      <c r="Q49" s="6"/>
    </row>
    <row r="50" spans="1:17" x14ac:dyDescent="0.3">
      <c r="A50" s="10" t="s">
        <v>123</v>
      </c>
      <c r="B50" s="11">
        <v>1.2E-2</v>
      </c>
      <c r="E50" s="8" t="str">
        <f t="shared" si="0"/>
        <v>SEER3</v>
      </c>
      <c r="F50" s="5">
        <f t="shared" si="1"/>
        <v>5.9760000000000004E-3</v>
      </c>
      <c r="I50" s="3">
        <f>VLOOKUP(E50,'[1]35 - SMLL'!$A$9:$K$222,11,0)</f>
        <v>1.2E-2</v>
      </c>
      <c r="J50" s="3">
        <f t="shared" si="2"/>
        <v>0</v>
      </c>
      <c r="M50" s="3"/>
      <c r="Q50" s="6"/>
    </row>
    <row r="51" spans="1:17" x14ac:dyDescent="0.3">
      <c r="A51" s="10" t="s">
        <v>109</v>
      </c>
      <c r="B51" s="11">
        <v>1.7000000000000001E-2</v>
      </c>
      <c r="E51" s="8" t="str">
        <f t="shared" si="0"/>
        <v>CAML3</v>
      </c>
      <c r="F51" s="5">
        <f t="shared" si="1"/>
        <v>8.4660000000000013E-3</v>
      </c>
      <c r="I51" s="3">
        <f>VLOOKUP(E51,'[1]35 - SMLL'!$A$9:$K$222,11,0)</f>
        <v>1.7000000000000001E-2</v>
      </c>
      <c r="J51" s="3">
        <f t="shared" si="2"/>
        <v>0</v>
      </c>
      <c r="M51" s="3"/>
      <c r="Q51" s="6"/>
    </row>
    <row r="52" spans="1:17" x14ac:dyDescent="0.3">
      <c r="A52" s="10" t="s">
        <v>124</v>
      </c>
      <c r="B52" s="11">
        <v>1.4E-2</v>
      </c>
      <c r="E52" s="8" t="str">
        <f t="shared" si="0"/>
        <v>HBRE3</v>
      </c>
      <c r="F52" s="5">
        <f t="shared" si="1"/>
        <v>6.9719999999999999E-3</v>
      </c>
      <c r="I52" s="3">
        <f>VLOOKUP(E52,'[1]35 - SMLL'!$A$9:$K$222,11,0)</f>
        <v>1.4E-2</v>
      </c>
      <c r="J52" s="3">
        <f t="shared" si="2"/>
        <v>0</v>
      </c>
      <c r="M52" s="3"/>
      <c r="Q52" s="6"/>
    </row>
    <row r="53" spans="1:17" x14ac:dyDescent="0.3">
      <c r="A53" s="10" t="s">
        <v>8</v>
      </c>
      <c r="B53" s="11">
        <v>1.2E-2</v>
      </c>
      <c r="E53" s="8" t="str">
        <f t="shared" si="0"/>
        <v>BBSE3</v>
      </c>
      <c r="F53" s="5">
        <f t="shared" si="1"/>
        <v>5.9760000000000004E-3</v>
      </c>
      <c r="I53" s="3">
        <f>VLOOKUP(E53,'[1]35 - SMLL'!$A$9:$K$222,11,0)</f>
        <v>1.2E-2</v>
      </c>
      <c r="J53" s="3">
        <f t="shared" si="2"/>
        <v>0</v>
      </c>
      <c r="M53" s="3"/>
      <c r="Q53" s="6"/>
    </row>
    <row r="54" spans="1:17" x14ac:dyDescent="0.3">
      <c r="A54" s="10" t="s">
        <v>125</v>
      </c>
      <c r="B54" s="11">
        <v>1.6E-2</v>
      </c>
      <c r="E54" s="8" t="str">
        <f t="shared" si="0"/>
        <v>TAEE3</v>
      </c>
      <c r="F54" s="5">
        <f t="shared" si="1"/>
        <v>7.9679999999999994E-3</v>
      </c>
      <c r="I54" s="3">
        <f>VLOOKUP(E54,'[1]35 - SMLL'!$A$9:$K$222,11,0)</f>
        <v>1.6E-2</v>
      </c>
      <c r="J54" s="3">
        <f t="shared" si="2"/>
        <v>0</v>
      </c>
      <c r="M54" s="3"/>
      <c r="Q54" s="6"/>
    </row>
    <row r="55" spans="1:17" x14ac:dyDescent="0.3">
      <c r="A55" s="10" t="s">
        <v>99</v>
      </c>
      <c r="B55" s="11">
        <v>1.6E-2</v>
      </c>
      <c r="E55" s="8" t="str">
        <f t="shared" si="0"/>
        <v>TAEE4</v>
      </c>
      <c r="F55" s="5">
        <f t="shared" si="1"/>
        <v>7.9679999999999994E-3</v>
      </c>
      <c r="I55" s="3">
        <f>VLOOKUP(E55,'[1]35 - SMLL'!$A$9:$K$222,11,0)</f>
        <v>1.6E-2</v>
      </c>
      <c r="J55" s="3">
        <f t="shared" si="2"/>
        <v>0</v>
      </c>
      <c r="M55" s="3"/>
      <c r="Q55" s="6"/>
    </row>
    <row r="56" spans="1:17" x14ac:dyDescent="0.3">
      <c r="A56" s="10" t="s">
        <v>126</v>
      </c>
      <c r="B56" s="11">
        <v>1.4999999999999999E-2</v>
      </c>
      <c r="E56" s="8" t="str">
        <f t="shared" si="0"/>
        <v>AZZA3</v>
      </c>
      <c r="F56" s="5">
        <f t="shared" si="1"/>
        <v>7.4700000000000001E-3</v>
      </c>
      <c r="I56" s="3">
        <f>VLOOKUP(E56,'[1]35 - SMLL'!$A$9:$K$222,11,0)</f>
        <v>1.4999999999999999E-2</v>
      </c>
      <c r="J56" s="3">
        <f t="shared" si="2"/>
        <v>0</v>
      </c>
      <c r="M56" s="3"/>
      <c r="Q56" s="6"/>
    </row>
    <row r="57" spans="1:17" x14ac:dyDescent="0.3">
      <c r="A57" s="10" t="s">
        <v>65</v>
      </c>
      <c r="B57" s="11">
        <v>1.2999999999999999E-2</v>
      </c>
      <c r="E57" s="8" t="str">
        <f t="shared" si="0"/>
        <v>BRBI11</v>
      </c>
      <c r="F57" s="5">
        <f t="shared" si="1"/>
        <v>6.4739999999999997E-3</v>
      </c>
      <c r="I57" s="3">
        <f>VLOOKUP(E57,'[1]35 - SMLL'!$A$9:$K$222,11,0)</f>
        <v>1.2999999999999999E-2</v>
      </c>
      <c r="J57" s="3">
        <f t="shared" si="2"/>
        <v>0</v>
      </c>
      <c r="M57" s="3"/>
      <c r="Q57" s="6"/>
    </row>
    <row r="58" spans="1:17" x14ac:dyDescent="0.3">
      <c r="A58" s="10" t="s">
        <v>88</v>
      </c>
      <c r="B58" s="11">
        <v>2.1000000000000001E-2</v>
      </c>
      <c r="E58" s="8" t="str">
        <f t="shared" si="0"/>
        <v>CPLE3</v>
      </c>
      <c r="F58" s="5">
        <f t="shared" si="1"/>
        <v>1.0458E-2</v>
      </c>
      <c r="I58" s="3">
        <f>VLOOKUP(E58,'[1]35 - SMLL'!$A$9:$K$222,11,0)</f>
        <v>2.1000000000000001E-2</v>
      </c>
      <c r="J58" s="3">
        <f t="shared" si="2"/>
        <v>0</v>
      </c>
      <c r="M58" s="3"/>
      <c r="Q58" s="6"/>
    </row>
    <row r="59" spans="1:17" x14ac:dyDescent="0.3">
      <c r="A59" s="10" t="s">
        <v>27</v>
      </c>
      <c r="B59" s="11">
        <v>1.4999999999999999E-2</v>
      </c>
      <c r="E59" s="8" t="str">
        <f t="shared" si="0"/>
        <v>BRAP4</v>
      </c>
      <c r="F59" s="5">
        <f t="shared" si="1"/>
        <v>7.4700000000000001E-3</v>
      </c>
      <c r="I59" s="3">
        <f>VLOOKUP(E59,'[1]35 - SMLL'!$A$9:$K$222,11,0)</f>
        <v>1.4999999999999999E-2</v>
      </c>
      <c r="J59" s="3">
        <f t="shared" si="2"/>
        <v>0</v>
      </c>
      <c r="M59" s="3"/>
      <c r="Q59" s="6"/>
    </row>
    <row r="60" spans="1:17" x14ac:dyDescent="0.3">
      <c r="A60" s="10" t="s">
        <v>56</v>
      </c>
      <c r="B60" s="11">
        <v>1.7999999999999999E-2</v>
      </c>
      <c r="E60" s="8" t="str">
        <f t="shared" si="0"/>
        <v>DIRR3</v>
      </c>
      <c r="F60" s="5">
        <f t="shared" si="1"/>
        <v>8.9639999999999997E-3</v>
      </c>
      <c r="I60" s="3">
        <f>VLOOKUP(E60,'[1]35 - SMLL'!$A$9:$K$222,11,0)</f>
        <v>1.7999999999999999E-2</v>
      </c>
      <c r="J60" s="3">
        <f t="shared" si="2"/>
        <v>0</v>
      </c>
      <c r="M60" s="3"/>
      <c r="Q60" s="6"/>
    </row>
    <row r="61" spans="1:17" x14ac:dyDescent="0.3">
      <c r="A61" s="10" t="s">
        <v>21</v>
      </c>
      <c r="B61" s="11">
        <v>1.6E-2</v>
      </c>
      <c r="E61" s="8" t="str">
        <f t="shared" si="0"/>
        <v>CMIG4</v>
      </c>
      <c r="F61" s="5">
        <f t="shared" si="1"/>
        <v>7.9679999999999994E-3</v>
      </c>
      <c r="I61" s="3">
        <f>VLOOKUP(E61,'[1]35 - SMLL'!$A$9:$K$222,11,0)</f>
        <v>1.6E-2</v>
      </c>
      <c r="J61" s="3">
        <f t="shared" si="2"/>
        <v>0</v>
      </c>
      <c r="M61" s="3"/>
      <c r="Q61" s="6"/>
    </row>
    <row r="62" spans="1:17" x14ac:dyDescent="0.3">
      <c r="A62" s="10" t="s">
        <v>127</v>
      </c>
      <c r="B62" s="11">
        <v>1.6E-2</v>
      </c>
      <c r="E62" s="8" t="str">
        <f t="shared" si="0"/>
        <v>FESA4</v>
      </c>
      <c r="F62" s="5">
        <f t="shared" si="1"/>
        <v>7.9679999999999994E-3</v>
      </c>
      <c r="I62" s="3">
        <f>VLOOKUP(E62,'[1]35 - SMLL'!$A$9:$K$222,11,0)</f>
        <v>1.6E-2</v>
      </c>
      <c r="J62" s="3">
        <f t="shared" si="2"/>
        <v>0</v>
      </c>
      <c r="M62" s="3"/>
      <c r="Q62" s="6"/>
    </row>
    <row r="63" spans="1:17" x14ac:dyDescent="0.3">
      <c r="A63" s="10" t="s">
        <v>128</v>
      </c>
      <c r="B63" s="11">
        <v>2.7E-2</v>
      </c>
      <c r="E63" s="8" t="str">
        <f t="shared" si="0"/>
        <v>LREN3</v>
      </c>
      <c r="F63" s="5">
        <f t="shared" si="1"/>
        <v>1.3446E-2</v>
      </c>
      <c r="I63" s="3">
        <f>VLOOKUP(E63,'[1]35 - SMLL'!$A$9:$K$222,11,0)</f>
        <v>2.7E-2</v>
      </c>
      <c r="J63" s="3">
        <f t="shared" si="2"/>
        <v>0</v>
      </c>
      <c r="M63" s="3"/>
      <c r="Q63" s="6"/>
    </row>
    <row r="64" spans="1:17" x14ac:dyDescent="0.3">
      <c r="A64" s="10" t="s">
        <v>32</v>
      </c>
      <c r="B64" s="11">
        <v>0.01</v>
      </c>
      <c r="E64" s="8" t="str">
        <f t="shared" si="0"/>
        <v>CSMG3</v>
      </c>
      <c r="F64" s="5">
        <f t="shared" si="1"/>
        <v>4.9800000000000001E-3</v>
      </c>
      <c r="I64" s="3">
        <f>VLOOKUP(E64,'[1]35 - SMLL'!$A$9:$K$222,11,0)</f>
        <v>0</v>
      </c>
      <c r="J64" s="3">
        <f t="shared" si="2"/>
        <v>0.01</v>
      </c>
      <c r="M64" s="3"/>
      <c r="Q64" s="6"/>
    </row>
    <row r="65" spans="1:17" x14ac:dyDescent="0.3">
      <c r="A65" s="10"/>
      <c r="B65" s="11"/>
      <c r="E65" s="8" t="s">
        <v>82</v>
      </c>
      <c r="F65" s="5">
        <v>0.5</v>
      </c>
      <c r="I65" s="3"/>
      <c r="J65" s="3"/>
      <c r="M65" s="3"/>
      <c r="Q65" s="6"/>
    </row>
    <row r="66" spans="1:17" x14ac:dyDescent="0.3">
      <c r="A66" s="10"/>
      <c r="B66" s="11"/>
      <c r="E66" s="8" t="s">
        <v>85</v>
      </c>
      <c r="F66" s="5">
        <v>2E-3</v>
      </c>
      <c r="I66" s="3"/>
      <c r="J66" s="3"/>
      <c r="M66" s="3"/>
      <c r="Q66" s="6"/>
    </row>
    <row r="67" spans="1:17" x14ac:dyDescent="0.3">
      <c r="A67" s="10"/>
      <c r="B67" s="11"/>
      <c r="J67" s="3"/>
      <c r="M67" s="3"/>
      <c r="Q67" s="6"/>
    </row>
    <row r="68" spans="1:17" x14ac:dyDescent="0.3">
      <c r="A68" s="10"/>
      <c r="B68" s="11"/>
      <c r="J68" s="3"/>
      <c r="M68" s="3"/>
      <c r="Q68" s="6"/>
    </row>
    <row r="69" spans="1:17" x14ac:dyDescent="0.3">
      <c r="A69" s="10"/>
      <c r="B69" s="11"/>
      <c r="J69" s="3"/>
      <c r="M69" s="3"/>
      <c r="Q69" s="6"/>
    </row>
    <row r="70" spans="1:17" x14ac:dyDescent="0.3">
      <c r="A70" s="10"/>
      <c r="B70" s="11"/>
      <c r="J70" s="3"/>
      <c r="M70" s="3"/>
      <c r="Q70" s="6"/>
    </row>
    <row r="71" spans="1:17" x14ac:dyDescent="0.3">
      <c r="A71" s="10"/>
      <c r="B71" s="11"/>
      <c r="J71" s="3"/>
      <c r="M71" s="3"/>
      <c r="Q71" s="6"/>
    </row>
    <row r="72" spans="1:17" x14ac:dyDescent="0.3">
      <c r="A72" s="10"/>
      <c r="B72" s="11"/>
      <c r="M72" s="3"/>
      <c r="Q72" s="6"/>
    </row>
    <row r="73" spans="1:17" x14ac:dyDescent="0.3">
      <c r="A73" s="10"/>
      <c r="B73" s="11"/>
      <c r="M73" s="3"/>
      <c r="Q73" s="6"/>
    </row>
    <row r="74" spans="1:17" x14ac:dyDescent="0.3">
      <c r="A74" s="10"/>
      <c r="B74" s="11"/>
      <c r="M74" s="3"/>
      <c r="Q74" s="6"/>
    </row>
    <row r="75" spans="1:17" x14ac:dyDescent="0.3">
      <c r="A75" s="10"/>
      <c r="B75" s="11"/>
      <c r="M75" s="3"/>
      <c r="Q75" s="6"/>
    </row>
    <row r="76" spans="1:17" x14ac:dyDescent="0.3">
      <c r="A76" s="10"/>
      <c r="B76" s="11"/>
      <c r="M76" s="3"/>
      <c r="Q76" s="6"/>
    </row>
    <row r="77" spans="1:17" x14ac:dyDescent="0.3">
      <c r="A77" s="10"/>
      <c r="B77" s="11"/>
      <c r="M77" s="3"/>
      <c r="Q77" s="6"/>
    </row>
    <row r="78" spans="1:17" x14ac:dyDescent="0.3">
      <c r="A78" s="10"/>
      <c r="B78" s="11"/>
      <c r="M78" s="3"/>
      <c r="Q78" s="6"/>
    </row>
    <row r="79" spans="1:17" x14ac:dyDescent="0.3">
      <c r="A79" s="10"/>
      <c r="B79" s="11"/>
      <c r="M79" s="3"/>
      <c r="Q79" s="6"/>
    </row>
    <row r="80" spans="1:17" x14ac:dyDescent="0.3">
      <c r="A80" s="10"/>
      <c r="B80" s="11"/>
      <c r="M80" s="3"/>
      <c r="Q80" s="6"/>
    </row>
    <row r="81" spans="1:17" x14ac:dyDescent="0.3">
      <c r="A81" s="10"/>
      <c r="B81" s="11"/>
      <c r="M81" s="3"/>
      <c r="Q81" s="6"/>
    </row>
    <row r="82" spans="1:17" x14ac:dyDescent="0.3">
      <c r="A82" s="10"/>
      <c r="B82" s="11"/>
      <c r="M82" s="3"/>
      <c r="Q82" s="6"/>
    </row>
    <row r="83" spans="1:17" x14ac:dyDescent="0.3">
      <c r="A83" s="10"/>
      <c r="B83" s="11"/>
      <c r="M83" s="3"/>
      <c r="Q83" s="6"/>
    </row>
    <row r="84" spans="1:17" x14ac:dyDescent="0.3">
      <c r="A84" s="10"/>
      <c r="B84" s="11"/>
      <c r="M84" s="3"/>
      <c r="Q84" s="6"/>
    </row>
    <row r="85" spans="1:17" x14ac:dyDescent="0.3">
      <c r="A85" s="10"/>
      <c r="B85" s="11"/>
      <c r="M85" s="3"/>
      <c r="Q85" s="6"/>
    </row>
    <row r="86" spans="1:17" x14ac:dyDescent="0.3">
      <c r="A86" s="10"/>
      <c r="B86" s="11"/>
      <c r="M86" s="3"/>
      <c r="Q86" s="6"/>
    </row>
    <row r="87" spans="1:17" x14ac:dyDescent="0.3">
      <c r="A87" s="10"/>
      <c r="B87" s="11"/>
      <c r="M87" s="3"/>
      <c r="Q87" s="6"/>
    </row>
    <row r="88" spans="1:17" x14ac:dyDescent="0.3">
      <c r="A88" s="10"/>
      <c r="B88" s="11"/>
      <c r="M88" s="3"/>
      <c r="Q88" s="6"/>
    </row>
    <row r="89" spans="1:17" x14ac:dyDescent="0.3">
      <c r="A89" s="10"/>
      <c r="B89" s="11"/>
      <c r="M89" s="3"/>
      <c r="Q89" s="6"/>
    </row>
    <row r="90" spans="1:17" x14ac:dyDescent="0.3">
      <c r="A90" s="10"/>
      <c r="B90" s="11"/>
      <c r="M90" s="3"/>
      <c r="Q90" s="6"/>
    </row>
    <row r="91" spans="1:17" x14ac:dyDescent="0.3">
      <c r="A91" s="10"/>
      <c r="B91" s="11"/>
      <c r="M91" s="3"/>
      <c r="Q91" s="6"/>
    </row>
    <row r="92" spans="1:17" x14ac:dyDescent="0.3">
      <c r="A92" s="10"/>
      <c r="B92" s="11"/>
      <c r="M92" s="3"/>
      <c r="Q92" s="6"/>
    </row>
    <row r="93" spans="1:17" x14ac:dyDescent="0.3">
      <c r="A93" s="10"/>
      <c r="B93" s="11"/>
      <c r="M93" s="3"/>
      <c r="Q93" s="6"/>
    </row>
    <row r="94" spans="1:17" x14ac:dyDescent="0.3">
      <c r="A94" s="10"/>
      <c r="B94" s="11"/>
      <c r="M94" s="3"/>
      <c r="Q94" s="6"/>
    </row>
    <row r="95" spans="1:17" x14ac:dyDescent="0.3">
      <c r="A95" s="10"/>
      <c r="B95" s="11"/>
      <c r="M95" s="3"/>
      <c r="Q95" s="6"/>
    </row>
    <row r="96" spans="1:17" x14ac:dyDescent="0.3">
      <c r="A96" s="10"/>
      <c r="B96" s="11"/>
      <c r="M96" s="3"/>
      <c r="Q96" s="6"/>
    </row>
    <row r="97" spans="1:17" x14ac:dyDescent="0.3">
      <c r="A97" s="10"/>
      <c r="B97" s="11"/>
      <c r="M97" s="3"/>
      <c r="Q97" s="6"/>
    </row>
    <row r="98" spans="1:17" x14ac:dyDescent="0.3">
      <c r="A98" s="10"/>
      <c r="B98" s="11"/>
      <c r="M98" s="3"/>
      <c r="Q98" s="6"/>
    </row>
    <row r="99" spans="1:17" x14ac:dyDescent="0.3">
      <c r="A99" s="10"/>
      <c r="B99" s="11"/>
      <c r="M99" s="3"/>
      <c r="Q99" s="6"/>
    </row>
    <row r="100" spans="1:17" x14ac:dyDescent="0.3">
      <c r="A100" s="10"/>
      <c r="B100" s="11"/>
      <c r="M100" s="3"/>
      <c r="Q100" s="6"/>
    </row>
    <row r="101" spans="1:17" x14ac:dyDescent="0.3">
      <c r="A101" s="10"/>
      <c r="B101" s="11"/>
      <c r="M101" s="3"/>
      <c r="Q101" s="6"/>
    </row>
    <row r="102" spans="1:17" x14ac:dyDescent="0.3">
      <c r="A102" s="10"/>
      <c r="B102" s="11"/>
      <c r="M102" s="3"/>
      <c r="Q102" s="6"/>
    </row>
    <row r="103" spans="1:17" x14ac:dyDescent="0.3">
      <c r="A103" s="10"/>
      <c r="B103" s="11"/>
      <c r="M103" s="3"/>
      <c r="Q103" s="6"/>
    </row>
    <row r="104" spans="1:17" x14ac:dyDescent="0.3">
      <c r="A104" s="10"/>
      <c r="B104" s="11"/>
      <c r="M104" s="3"/>
      <c r="Q104" s="6"/>
    </row>
    <row r="105" spans="1:17" x14ac:dyDescent="0.3">
      <c r="A105" s="10"/>
      <c r="B105" s="11"/>
      <c r="M105" s="3"/>
      <c r="Q105" s="6"/>
    </row>
    <row r="106" spans="1:17" x14ac:dyDescent="0.3">
      <c r="A106" s="10"/>
      <c r="B106" s="11"/>
      <c r="M106" s="3"/>
      <c r="Q106" s="6"/>
    </row>
    <row r="107" spans="1:17" x14ac:dyDescent="0.3">
      <c r="A107" s="10"/>
      <c r="B107" s="11"/>
      <c r="M107" s="3"/>
      <c r="Q107" s="6"/>
    </row>
    <row r="108" spans="1:17" x14ac:dyDescent="0.3">
      <c r="A108" s="10"/>
      <c r="B108" s="11"/>
      <c r="M108" s="3"/>
      <c r="Q108" s="6"/>
    </row>
    <row r="109" spans="1:17" x14ac:dyDescent="0.3">
      <c r="A109" s="10"/>
      <c r="B109" s="11"/>
      <c r="M109" s="3"/>
      <c r="Q109" s="6"/>
    </row>
    <row r="110" spans="1:17" x14ac:dyDescent="0.3">
      <c r="A110" s="10"/>
      <c r="B110" s="11"/>
      <c r="M110" s="3"/>
      <c r="Q110" s="6"/>
    </row>
    <row r="111" spans="1:17" x14ac:dyDescent="0.3">
      <c r="A111" s="10"/>
      <c r="B111" s="11"/>
      <c r="M111" s="3"/>
      <c r="Q111" s="6"/>
    </row>
    <row r="112" spans="1:17" x14ac:dyDescent="0.3">
      <c r="A112" s="10"/>
      <c r="B112" s="11"/>
      <c r="M112" s="3"/>
      <c r="Q112" s="6"/>
    </row>
    <row r="113" spans="1:17" x14ac:dyDescent="0.3">
      <c r="A113" s="10"/>
      <c r="B113" s="11"/>
      <c r="M113" s="3"/>
      <c r="Q113" s="6"/>
    </row>
    <row r="114" spans="1:17" x14ac:dyDescent="0.3">
      <c r="A114" s="10"/>
      <c r="B114" s="11"/>
      <c r="M114" s="3"/>
      <c r="Q114" s="6"/>
    </row>
    <row r="115" spans="1:17" x14ac:dyDescent="0.3">
      <c r="A115" s="10"/>
      <c r="B115" s="11"/>
      <c r="M115" s="3"/>
      <c r="Q115" s="6"/>
    </row>
    <row r="116" spans="1:17" x14ac:dyDescent="0.3">
      <c r="A116" s="10"/>
      <c r="B116" s="11"/>
      <c r="M116" s="3"/>
      <c r="Q116" s="6"/>
    </row>
    <row r="117" spans="1:17" x14ac:dyDescent="0.3">
      <c r="A117" s="10"/>
      <c r="B117" s="11"/>
      <c r="M117" s="3"/>
      <c r="Q117" s="6"/>
    </row>
    <row r="118" spans="1:17" x14ac:dyDescent="0.3">
      <c r="A118" s="10"/>
      <c r="B118" s="11"/>
      <c r="M118" s="3"/>
      <c r="Q118" s="6"/>
    </row>
    <row r="119" spans="1:17" x14ac:dyDescent="0.3">
      <c r="A119" s="10"/>
      <c r="B119" s="11"/>
      <c r="M119" s="3"/>
      <c r="Q119" s="6"/>
    </row>
    <row r="120" spans="1:17" x14ac:dyDescent="0.3">
      <c r="A120" s="10"/>
      <c r="B120" s="11"/>
      <c r="M120" s="3"/>
      <c r="Q120" s="6"/>
    </row>
    <row r="121" spans="1:17" x14ac:dyDescent="0.3">
      <c r="A121" s="10"/>
      <c r="B121" s="11"/>
      <c r="M121" s="3"/>
      <c r="Q121" s="6"/>
    </row>
    <row r="122" spans="1:17" x14ac:dyDescent="0.3">
      <c r="A122" s="10"/>
      <c r="B122" s="11"/>
      <c r="M122" s="3"/>
      <c r="Q122" s="6"/>
    </row>
    <row r="123" spans="1:17" x14ac:dyDescent="0.3">
      <c r="A123" s="10"/>
      <c r="B123" s="11"/>
      <c r="M123" s="3"/>
      <c r="Q123" s="6"/>
    </row>
    <row r="124" spans="1:17" x14ac:dyDescent="0.3">
      <c r="A124" s="10"/>
      <c r="B124" s="11"/>
      <c r="M124" s="3"/>
      <c r="Q124" s="6"/>
    </row>
    <row r="125" spans="1:17" x14ac:dyDescent="0.3">
      <c r="A125" s="10"/>
      <c r="B125" s="11"/>
      <c r="M125" s="3"/>
      <c r="Q125" s="6"/>
    </row>
    <row r="126" spans="1:17" x14ac:dyDescent="0.3">
      <c r="A126" s="10"/>
      <c r="B126" s="11"/>
      <c r="M126" s="3"/>
      <c r="Q126" s="6"/>
    </row>
    <row r="127" spans="1:17" x14ac:dyDescent="0.3">
      <c r="A127" s="10"/>
      <c r="B127" s="11"/>
      <c r="M127" s="3"/>
      <c r="Q127" s="6"/>
    </row>
    <row r="128" spans="1:17" x14ac:dyDescent="0.3">
      <c r="A128" s="10"/>
      <c r="B128" s="11"/>
      <c r="M128" s="3"/>
      <c r="Q128" s="6"/>
    </row>
    <row r="129" spans="1:17" x14ac:dyDescent="0.3">
      <c r="A129" s="10"/>
      <c r="B129" s="11"/>
      <c r="M129" s="3"/>
      <c r="Q129" s="6"/>
    </row>
    <row r="130" spans="1:17" x14ac:dyDescent="0.3">
      <c r="A130" s="10"/>
      <c r="B130" s="11"/>
      <c r="M130" s="3"/>
      <c r="Q130" s="6"/>
    </row>
    <row r="131" spans="1:17" x14ac:dyDescent="0.3">
      <c r="A131" s="10"/>
      <c r="B131" s="11"/>
      <c r="M131" s="3"/>
      <c r="Q131" s="6"/>
    </row>
    <row r="132" spans="1:17" x14ac:dyDescent="0.3">
      <c r="A132" s="10"/>
      <c r="B132" s="11"/>
      <c r="M132" s="3"/>
      <c r="Q132" s="6"/>
    </row>
    <row r="133" spans="1:17" x14ac:dyDescent="0.3">
      <c r="A133" s="10"/>
      <c r="B133" s="11"/>
      <c r="M133" s="3"/>
      <c r="Q133" s="6"/>
    </row>
    <row r="134" spans="1:17" x14ac:dyDescent="0.3">
      <c r="A134" s="10"/>
      <c r="B134" s="11"/>
      <c r="M134" s="3"/>
      <c r="Q134" s="6"/>
    </row>
    <row r="135" spans="1:17" x14ac:dyDescent="0.3">
      <c r="A135" s="10"/>
      <c r="B135" s="11"/>
      <c r="M135" s="3"/>
      <c r="Q135" s="6"/>
    </row>
    <row r="136" spans="1:17" x14ac:dyDescent="0.3">
      <c r="A136" s="10"/>
      <c r="B136" s="11"/>
      <c r="M136" s="3"/>
      <c r="Q136" s="6"/>
    </row>
    <row r="137" spans="1:17" x14ac:dyDescent="0.3">
      <c r="A137" s="10"/>
      <c r="B137" s="11"/>
      <c r="M137" s="3"/>
      <c r="Q137" s="6"/>
    </row>
    <row r="138" spans="1:17" x14ac:dyDescent="0.3">
      <c r="A138" s="10"/>
      <c r="B138" s="11"/>
      <c r="M138" s="3"/>
      <c r="Q138" s="6"/>
    </row>
    <row r="139" spans="1:17" x14ac:dyDescent="0.3">
      <c r="A139" s="10"/>
      <c r="B139" s="11"/>
      <c r="M139" s="3"/>
      <c r="Q139" s="6"/>
    </row>
    <row r="140" spans="1:17" x14ac:dyDescent="0.3">
      <c r="A140" s="10"/>
      <c r="B140" s="11"/>
      <c r="M140" s="3"/>
      <c r="Q140" s="6"/>
    </row>
    <row r="141" spans="1:17" x14ac:dyDescent="0.3">
      <c r="A141" s="10"/>
      <c r="B141" s="11"/>
      <c r="M141" s="3"/>
      <c r="Q141" s="6"/>
    </row>
    <row r="142" spans="1:17" x14ac:dyDescent="0.3">
      <c r="A142" s="10"/>
      <c r="B142" s="11"/>
      <c r="M142" s="3"/>
      <c r="Q142" s="6"/>
    </row>
    <row r="143" spans="1:17" x14ac:dyDescent="0.3">
      <c r="A143" s="10"/>
      <c r="B143" s="11"/>
      <c r="M143" s="3"/>
      <c r="Q143" s="6"/>
    </row>
    <row r="144" spans="1:17" x14ac:dyDescent="0.3">
      <c r="A144" s="10"/>
      <c r="B144" s="11"/>
      <c r="M144" s="3"/>
      <c r="Q144" s="6"/>
    </row>
    <row r="145" spans="1:17" x14ac:dyDescent="0.3">
      <c r="A145" s="10"/>
      <c r="B145" s="11"/>
      <c r="M145" s="3"/>
      <c r="Q145" s="6"/>
    </row>
    <row r="146" spans="1:17" x14ac:dyDescent="0.3">
      <c r="A146" s="10"/>
      <c r="B146" s="11"/>
      <c r="M146" s="3"/>
      <c r="Q146" s="6"/>
    </row>
    <row r="147" spans="1:17" x14ac:dyDescent="0.3">
      <c r="A147" s="10"/>
      <c r="B147" s="11"/>
      <c r="M147" s="3"/>
      <c r="Q147" s="6"/>
    </row>
    <row r="148" spans="1:17" x14ac:dyDescent="0.3">
      <c r="A148" s="10"/>
      <c r="B148" s="11"/>
      <c r="M148" s="3"/>
      <c r="Q148" s="6"/>
    </row>
    <row r="149" spans="1:17" x14ac:dyDescent="0.3">
      <c r="A149" s="10"/>
      <c r="B149" s="11"/>
      <c r="M149" s="3"/>
      <c r="Q149" s="6"/>
    </row>
    <row r="150" spans="1:17" x14ac:dyDescent="0.3">
      <c r="A150" s="10"/>
      <c r="B150" s="11"/>
      <c r="M150" s="3"/>
      <c r="Q150" s="6"/>
    </row>
    <row r="151" spans="1:17" x14ac:dyDescent="0.3">
      <c r="A151" s="10"/>
      <c r="B151" s="11"/>
      <c r="M151" s="3"/>
      <c r="Q151" s="6"/>
    </row>
    <row r="152" spans="1:17" x14ac:dyDescent="0.3">
      <c r="A152" s="10"/>
      <c r="B152" s="11"/>
      <c r="M152" s="3"/>
      <c r="Q152" s="6"/>
    </row>
    <row r="153" spans="1:17" x14ac:dyDescent="0.3">
      <c r="A153" s="10"/>
      <c r="B153" s="11"/>
      <c r="M153" s="3"/>
      <c r="Q153" s="6"/>
    </row>
    <row r="154" spans="1:17" x14ac:dyDescent="0.3">
      <c r="A154" s="10"/>
      <c r="B154" s="11"/>
      <c r="M154" s="3"/>
      <c r="Q154" s="6"/>
    </row>
    <row r="155" spans="1:17" x14ac:dyDescent="0.3">
      <c r="A155" s="10"/>
      <c r="B155" s="11"/>
      <c r="M155" s="3"/>
      <c r="Q155" s="6"/>
    </row>
    <row r="156" spans="1:17" x14ac:dyDescent="0.3">
      <c r="A156" s="10"/>
      <c r="B156" s="11"/>
      <c r="M156" s="3"/>
      <c r="Q156" s="6"/>
    </row>
    <row r="157" spans="1:17" x14ac:dyDescent="0.3">
      <c r="A157" s="10"/>
      <c r="B157" s="11"/>
      <c r="M157" s="3"/>
      <c r="Q157" s="6"/>
    </row>
    <row r="158" spans="1:17" x14ac:dyDescent="0.3">
      <c r="A158" s="10"/>
      <c r="B158" s="11"/>
      <c r="M158" s="3"/>
      <c r="Q158" s="6"/>
    </row>
    <row r="159" spans="1:17" x14ac:dyDescent="0.3">
      <c r="A159" s="10"/>
      <c r="B159" s="11"/>
      <c r="M159" s="3"/>
      <c r="Q159" s="6"/>
    </row>
    <row r="160" spans="1:17" x14ac:dyDescent="0.3">
      <c r="A160" s="10"/>
      <c r="B160" s="11"/>
      <c r="M160" s="3"/>
      <c r="Q160" s="6"/>
    </row>
    <row r="161" spans="1:17" x14ac:dyDescent="0.3">
      <c r="A161" s="10"/>
      <c r="B161" s="11"/>
      <c r="M161" s="3"/>
      <c r="Q161" s="6"/>
    </row>
    <row r="162" spans="1:17" x14ac:dyDescent="0.3">
      <c r="A162" s="10"/>
      <c r="B162" s="11"/>
      <c r="M162" s="3"/>
      <c r="Q162" s="6"/>
    </row>
    <row r="163" spans="1:17" x14ac:dyDescent="0.3">
      <c r="A163" s="10"/>
      <c r="B163" s="11"/>
      <c r="M163" s="3"/>
      <c r="Q163" s="6"/>
    </row>
    <row r="164" spans="1:17" x14ac:dyDescent="0.3">
      <c r="A164" s="10"/>
      <c r="B164" s="11"/>
      <c r="M164" s="3"/>
      <c r="Q164" s="6"/>
    </row>
    <row r="165" spans="1:17" x14ac:dyDescent="0.3">
      <c r="A165" s="10"/>
      <c r="B165" s="11"/>
      <c r="M165" s="3"/>
      <c r="Q165" s="6"/>
    </row>
    <row r="166" spans="1:17" x14ac:dyDescent="0.3">
      <c r="A166" s="10"/>
      <c r="B166" s="11"/>
      <c r="M166" s="3"/>
      <c r="Q166" s="6"/>
    </row>
    <row r="167" spans="1:17" x14ac:dyDescent="0.3">
      <c r="A167" s="10"/>
      <c r="B167" s="11"/>
      <c r="M167" s="3"/>
      <c r="Q167" s="6"/>
    </row>
    <row r="168" spans="1:17" x14ac:dyDescent="0.3">
      <c r="A168" s="10"/>
      <c r="B168" s="11"/>
      <c r="M168" s="3"/>
      <c r="Q168" s="6"/>
    </row>
    <row r="169" spans="1:17" x14ac:dyDescent="0.3">
      <c r="A169" s="10"/>
      <c r="B169" s="11"/>
      <c r="M169" s="3"/>
      <c r="Q169" s="6"/>
    </row>
    <row r="170" spans="1:17" x14ac:dyDescent="0.3">
      <c r="A170" s="10"/>
      <c r="B170" s="11"/>
      <c r="M170" s="3"/>
      <c r="Q170" s="6"/>
    </row>
    <row r="171" spans="1:17" x14ac:dyDescent="0.3">
      <c r="A171" s="10"/>
      <c r="B171" s="11"/>
      <c r="M171" s="3"/>
      <c r="Q171" s="6"/>
    </row>
    <row r="172" spans="1:17" x14ac:dyDescent="0.3">
      <c r="A172" s="10"/>
      <c r="B172" s="11"/>
      <c r="M172" s="3"/>
      <c r="Q172" s="6"/>
    </row>
    <row r="173" spans="1:17" x14ac:dyDescent="0.3">
      <c r="A173" s="10"/>
      <c r="B173" s="11"/>
      <c r="M173" s="3"/>
      <c r="Q173" s="6"/>
    </row>
    <row r="174" spans="1:17" x14ac:dyDescent="0.3">
      <c r="A174" s="10"/>
      <c r="B174" s="11"/>
      <c r="M174" s="3"/>
      <c r="Q174" s="6"/>
    </row>
    <row r="175" spans="1:17" x14ac:dyDescent="0.3">
      <c r="A175" s="10"/>
      <c r="B175" s="11"/>
      <c r="M175" s="3"/>
      <c r="Q175" s="6"/>
    </row>
    <row r="176" spans="1:17" x14ac:dyDescent="0.3">
      <c r="A176" s="10"/>
      <c r="B176" s="11"/>
      <c r="M176" s="3"/>
      <c r="Q176" s="6"/>
    </row>
    <row r="177" spans="1:17" x14ac:dyDescent="0.3">
      <c r="A177" s="10"/>
      <c r="B177" s="11"/>
      <c r="M177" s="3"/>
      <c r="Q177" s="6"/>
    </row>
    <row r="178" spans="1:17" x14ac:dyDescent="0.3">
      <c r="A178" s="10"/>
      <c r="B178" s="11"/>
      <c r="M178" s="3"/>
      <c r="Q178" s="6"/>
    </row>
    <row r="179" spans="1:17" x14ac:dyDescent="0.3">
      <c r="A179" s="10"/>
      <c r="B179" s="11"/>
      <c r="M179" s="3"/>
      <c r="Q179" s="6"/>
    </row>
    <row r="180" spans="1:17" x14ac:dyDescent="0.3">
      <c r="A180" s="10"/>
      <c r="B180" s="11"/>
      <c r="M180" s="3"/>
      <c r="Q180" s="6"/>
    </row>
    <row r="181" spans="1:17" x14ac:dyDescent="0.3">
      <c r="A181" s="10"/>
      <c r="B181" s="11"/>
      <c r="M181" s="3"/>
      <c r="Q181" s="6"/>
    </row>
    <row r="182" spans="1:17" x14ac:dyDescent="0.3">
      <c r="A182" s="10"/>
      <c r="B182" s="11"/>
      <c r="M182" s="3"/>
      <c r="Q182" s="6"/>
    </row>
    <row r="183" spans="1:17" x14ac:dyDescent="0.3">
      <c r="A183" s="10"/>
      <c r="B183" s="11"/>
      <c r="M183" s="3"/>
      <c r="Q183" s="6"/>
    </row>
    <row r="184" spans="1:17" x14ac:dyDescent="0.3">
      <c r="A184" s="10"/>
      <c r="B184" s="11"/>
      <c r="M184" s="3"/>
      <c r="Q184" s="6"/>
    </row>
    <row r="185" spans="1:17" x14ac:dyDescent="0.3">
      <c r="A185" s="10"/>
      <c r="B185" s="11"/>
      <c r="M185" s="3"/>
      <c r="Q185" s="6"/>
    </row>
    <row r="186" spans="1:17" x14ac:dyDescent="0.3">
      <c r="A186" s="10"/>
      <c r="B186" s="11"/>
      <c r="M186" s="3"/>
      <c r="Q186" s="6"/>
    </row>
    <row r="187" spans="1:17" x14ac:dyDescent="0.3">
      <c r="A187" s="10"/>
      <c r="B187" s="11"/>
      <c r="M187" s="3"/>
      <c r="Q187" s="6"/>
    </row>
    <row r="188" spans="1:17" x14ac:dyDescent="0.3">
      <c r="A188" s="10"/>
      <c r="B188" s="11"/>
      <c r="M188" s="3"/>
      <c r="Q188" s="6"/>
    </row>
    <row r="189" spans="1:17" x14ac:dyDescent="0.3">
      <c r="A189" s="10"/>
      <c r="B189" s="11"/>
      <c r="M189" s="3"/>
      <c r="Q189" s="6"/>
    </row>
    <row r="190" spans="1:17" x14ac:dyDescent="0.3">
      <c r="A190" s="10"/>
      <c r="B190" s="11"/>
      <c r="M190" s="3"/>
      <c r="Q190" s="6"/>
    </row>
    <row r="191" spans="1:17" x14ac:dyDescent="0.3">
      <c r="A191" s="10"/>
      <c r="B191" s="11"/>
      <c r="M191" s="3"/>
      <c r="Q191" s="6"/>
    </row>
    <row r="192" spans="1:17" x14ac:dyDescent="0.3">
      <c r="A192" s="10"/>
      <c r="B192" s="11"/>
      <c r="M192" s="3"/>
      <c r="Q192" s="6"/>
    </row>
    <row r="193" spans="1:17" x14ac:dyDescent="0.3">
      <c r="A193" s="10"/>
      <c r="B193" s="11"/>
      <c r="M193" s="3"/>
      <c r="Q193" s="6"/>
    </row>
    <row r="194" spans="1:17" x14ac:dyDescent="0.3">
      <c r="A194" s="10"/>
      <c r="B194" s="11"/>
      <c r="M194" s="3"/>
      <c r="Q194" s="6"/>
    </row>
    <row r="195" spans="1:17" x14ac:dyDescent="0.3">
      <c r="A195" s="10"/>
      <c r="B195" s="11"/>
      <c r="M195" s="3"/>
      <c r="Q195" s="6"/>
    </row>
    <row r="196" spans="1:17" x14ac:dyDescent="0.3">
      <c r="A196" s="10"/>
      <c r="B196" s="11"/>
      <c r="M196" s="3"/>
      <c r="Q196" s="6"/>
    </row>
    <row r="197" spans="1:17" x14ac:dyDescent="0.3">
      <c r="A197" s="10"/>
      <c r="B197" s="11"/>
      <c r="M197" s="3"/>
      <c r="Q197" s="6"/>
    </row>
    <row r="198" spans="1:17" x14ac:dyDescent="0.3">
      <c r="A198" s="10"/>
      <c r="B198" s="11"/>
      <c r="M198" s="3"/>
      <c r="Q198" s="6"/>
    </row>
    <row r="199" spans="1:17" x14ac:dyDescent="0.3">
      <c r="A199" s="10"/>
      <c r="B199" s="11"/>
      <c r="M199" s="3"/>
      <c r="Q199" s="6"/>
    </row>
    <row r="200" spans="1:17" x14ac:dyDescent="0.3">
      <c r="A200" s="10"/>
      <c r="B200" s="11"/>
      <c r="M200" s="3"/>
      <c r="Q200" s="6"/>
    </row>
    <row r="201" spans="1:17" x14ac:dyDescent="0.3">
      <c r="A201" s="10"/>
      <c r="B201" s="11"/>
      <c r="M201" s="3"/>
      <c r="Q201" s="6"/>
    </row>
    <row r="202" spans="1:17" x14ac:dyDescent="0.3">
      <c r="A202" s="10"/>
      <c r="B202" s="11"/>
      <c r="M202" s="3"/>
      <c r="Q202" s="6"/>
    </row>
    <row r="203" spans="1:17" x14ac:dyDescent="0.3">
      <c r="A203" s="10"/>
      <c r="B203" s="11"/>
      <c r="M203" s="3"/>
      <c r="Q203" s="6"/>
    </row>
    <row r="204" spans="1:17" x14ac:dyDescent="0.3">
      <c r="A204" s="10"/>
      <c r="B204" s="11"/>
    </row>
    <row r="205" spans="1:17" x14ac:dyDescent="0.3">
      <c r="A205" s="10"/>
      <c r="B205" s="11"/>
    </row>
    <row r="206" spans="1:17" x14ac:dyDescent="0.3">
      <c r="A206" s="10"/>
      <c r="B206" s="11"/>
    </row>
    <row r="207" spans="1:17" x14ac:dyDescent="0.3">
      <c r="A207" s="10"/>
      <c r="B207" s="11"/>
    </row>
    <row r="208" spans="1:17" x14ac:dyDescent="0.3">
      <c r="A208" s="10"/>
      <c r="B208" s="11"/>
    </row>
    <row r="209" spans="1:2" x14ac:dyDescent="0.3">
      <c r="A209" s="10"/>
      <c r="B209" s="11"/>
    </row>
    <row r="210" spans="1:2" x14ac:dyDescent="0.3">
      <c r="A210" s="10"/>
      <c r="B210" s="11"/>
    </row>
    <row r="211" spans="1:2" x14ac:dyDescent="0.3">
      <c r="A211" s="10"/>
      <c r="B211" s="11"/>
    </row>
    <row r="212" spans="1:2" x14ac:dyDescent="0.3">
      <c r="A212" s="10"/>
      <c r="B212" s="11"/>
    </row>
    <row r="213" spans="1:2" x14ac:dyDescent="0.3">
      <c r="A213" s="10"/>
      <c r="B213" s="11"/>
    </row>
    <row r="214" spans="1:2" x14ac:dyDescent="0.3">
      <c r="A214" s="10"/>
      <c r="B214" s="11"/>
    </row>
    <row r="215" spans="1:2" x14ac:dyDescent="0.3">
      <c r="A215" s="10"/>
      <c r="B215" s="11"/>
    </row>
    <row r="216" spans="1:2" x14ac:dyDescent="0.3">
      <c r="A216" s="10"/>
      <c r="B216" s="11"/>
    </row>
    <row r="217" spans="1:2" x14ac:dyDescent="0.3">
      <c r="A217" s="10"/>
      <c r="B217" s="11"/>
    </row>
    <row r="218" spans="1:2" x14ac:dyDescent="0.3">
      <c r="A218" s="10"/>
      <c r="B218" s="11"/>
    </row>
    <row r="219" spans="1:2" x14ac:dyDescent="0.3">
      <c r="A219" s="10"/>
      <c r="B219" s="11"/>
    </row>
    <row r="220" spans="1:2" x14ac:dyDescent="0.3">
      <c r="A220" s="10"/>
      <c r="B220" s="11"/>
    </row>
    <row r="221" spans="1:2" x14ac:dyDescent="0.3">
      <c r="A221" s="10"/>
      <c r="B221" s="11"/>
    </row>
    <row r="222" spans="1:2" x14ac:dyDescent="0.3">
      <c r="A222" s="10"/>
      <c r="B222" s="11"/>
    </row>
    <row r="223" spans="1:2" x14ac:dyDescent="0.3">
      <c r="A223" s="10"/>
      <c r="B223" s="11"/>
    </row>
    <row r="224" spans="1:2" x14ac:dyDescent="0.3">
      <c r="A224" s="10"/>
      <c r="B224" s="11"/>
    </row>
    <row r="225" spans="1:2" x14ac:dyDescent="0.3">
      <c r="A225" s="10"/>
      <c r="B225" s="11"/>
    </row>
    <row r="226" spans="1:2" x14ac:dyDescent="0.3">
      <c r="A226" s="10"/>
      <c r="B226" s="11"/>
    </row>
    <row r="227" spans="1:2" x14ac:dyDescent="0.3">
      <c r="A227" s="10"/>
      <c r="B227" s="11"/>
    </row>
    <row r="228" spans="1:2" x14ac:dyDescent="0.3">
      <c r="A228" s="10"/>
      <c r="B228" s="11"/>
    </row>
    <row r="229" spans="1:2" x14ac:dyDescent="0.3">
      <c r="A229" s="10"/>
      <c r="B229" s="11"/>
    </row>
    <row r="230" spans="1:2" x14ac:dyDescent="0.3">
      <c r="A230" s="10"/>
      <c r="B230" s="11"/>
    </row>
    <row r="231" spans="1:2" x14ac:dyDescent="0.3">
      <c r="A231" s="10"/>
      <c r="B231" s="11"/>
    </row>
    <row r="232" spans="1:2" x14ac:dyDescent="0.3">
      <c r="A232" s="10"/>
      <c r="B232" s="11"/>
    </row>
    <row r="233" spans="1:2" x14ac:dyDescent="0.3">
      <c r="A233" s="10"/>
      <c r="B233" s="11"/>
    </row>
    <row r="234" spans="1:2" x14ac:dyDescent="0.3">
      <c r="A234" s="10"/>
      <c r="B234" s="11"/>
    </row>
    <row r="235" spans="1:2" x14ac:dyDescent="0.3">
      <c r="A235" s="10"/>
      <c r="B235" s="11"/>
    </row>
    <row r="236" spans="1:2" x14ac:dyDescent="0.3">
      <c r="A236" s="10"/>
      <c r="B236" s="11"/>
    </row>
    <row r="237" spans="1:2" x14ac:dyDescent="0.3">
      <c r="A237" s="10"/>
      <c r="B237" s="11"/>
    </row>
    <row r="238" spans="1:2" x14ac:dyDescent="0.3">
      <c r="A238" s="10"/>
      <c r="B238" s="11"/>
    </row>
    <row r="239" spans="1:2" x14ac:dyDescent="0.3">
      <c r="A239" s="10"/>
      <c r="B239" s="11"/>
    </row>
    <row r="240" spans="1:2" x14ac:dyDescent="0.3">
      <c r="A240" s="10"/>
      <c r="B240" s="11"/>
    </row>
    <row r="241" spans="1:2" x14ac:dyDescent="0.3">
      <c r="A241" s="10"/>
      <c r="B241" s="11"/>
    </row>
    <row r="242" spans="1:2" x14ac:dyDescent="0.3">
      <c r="A242" s="10"/>
      <c r="B242" s="11"/>
    </row>
    <row r="243" spans="1:2" x14ac:dyDescent="0.3">
      <c r="A243" s="10"/>
      <c r="B243" s="11"/>
    </row>
    <row r="244" spans="1:2" x14ac:dyDescent="0.3">
      <c r="A244" s="10"/>
      <c r="B244" s="11"/>
    </row>
    <row r="245" spans="1:2" x14ac:dyDescent="0.3">
      <c r="A245" s="10"/>
      <c r="B245" s="11"/>
    </row>
    <row r="246" spans="1:2" x14ac:dyDescent="0.3">
      <c r="A246" s="10"/>
      <c r="B246" s="11"/>
    </row>
    <row r="247" spans="1:2" x14ac:dyDescent="0.3">
      <c r="A247" s="10"/>
      <c r="B247" s="11"/>
    </row>
    <row r="248" spans="1:2" x14ac:dyDescent="0.3">
      <c r="A248" s="10"/>
      <c r="B248" s="11"/>
    </row>
    <row r="249" spans="1:2" x14ac:dyDescent="0.3">
      <c r="A249" s="10"/>
      <c r="B249" s="11"/>
    </row>
    <row r="250" spans="1:2" x14ac:dyDescent="0.3">
      <c r="A250" s="10"/>
      <c r="B250" s="11"/>
    </row>
    <row r="251" spans="1:2" x14ac:dyDescent="0.3">
      <c r="A251" s="10"/>
      <c r="B251" s="11"/>
    </row>
  </sheetData>
  <conditionalFormatting sqref="J2:J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C110-B8F2-4AE2-B665-998F4795C114}">
  <sheetPr codeName="Planilha6">
    <tabColor theme="3" tint="0.749992370372631"/>
  </sheetPr>
  <dimension ref="A1:K204"/>
  <sheetViews>
    <sheetView workbookViewId="0">
      <selection activeCell="G38" sqref="G38"/>
    </sheetView>
  </sheetViews>
  <sheetFormatPr defaultRowHeight="14.4" x14ac:dyDescent="0.3"/>
  <cols>
    <col min="1" max="1" width="19.88671875" customWidth="1"/>
    <col min="2" max="2" width="19.6640625" style="4" bestFit="1" customWidth="1"/>
    <col min="5" max="5" width="9.109375" style="8"/>
    <col min="6" max="6" width="9.109375" style="5"/>
    <col min="10" max="10" width="12.109375" bestFit="1" customWidth="1"/>
    <col min="11" max="11" width="20.44140625" bestFit="1" customWidth="1"/>
    <col min="13" max="13" width="12.109375" bestFit="1" customWidth="1"/>
  </cols>
  <sheetData>
    <row r="1" spans="1:11" ht="15" thickBot="1" x14ac:dyDescent="0.35">
      <c r="A1" s="1" t="s">
        <v>0</v>
      </c>
      <c r="B1" s="2" t="s">
        <v>79</v>
      </c>
      <c r="C1" s="3">
        <f>SUM(B:B)</f>
        <v>1.0000000000000004</v>
      </c>
      <c r="E1" s="8" t="s">
        <v>0</v>
      </c>
      <c r="F1" s="5" t="s">
        <v>80</v>
      </c>
      <c r="G1" s="5">
        <f>SUM(F:F)</f>
        <v>0.99999999999999978</v>
      </c>
    </row>
    <row r="2" spans="1:11" x14ac:dyDescent="0.3">
      <c r="A2" s="14" t="s">
        <v>46</v>
      </c>
      <c r="B2" s="11">
        <v>1.4E-2</v>
      </c>
      <c r="E2" s="8" t="str">
        <f>A2</f>
        <v>WIZC3</v>
      </c>
      <c r="F2" s="5">
        <f>(1-$F$73-$F$74-$F$75)*B2</f>
        <v>6.971999999999999E-3</v>
      </c>
      <c r="I2" s="3">
        <f>VLOOKUP(A2,'[1]36 - LP'!$A$9:$K$222,11,0)</f>
        <v>1.4E-2</v>
      </c>
      <c r="J2" s="3">
        <f>B2-I2</f>
        <v>0</v>
      </c>
      <c r="K2" s="15"/>
    </row>
    <row r="3" spans="1:11" x14ac:dyDescent="0.3">
      <c r="A3" s="14" t="s">
        <v>64</v>
      </c>
      <c r="B3" s="11">
        <v>0.01</v>
      </c>
      <c r="E3" s="8" t="str">
        <f t="shared" ref="E3:E66" si="0">A3</f>
        <v>BMGB4</v>
      </c>
      <c r="F3" s="5">
        <f t="shared" ref="F3:F66" si="1">(1-$F$73-$F$74-$F$75)*B3</f>
        <v>4.9799999999999992E-3</v>
      </c>
      <c r="I3" s="3">
        <f>VLOOKUP(A3,'[1]36 - LP'!$A$9:$K$222,11,0)</f>
        <v>0.01</v>
      </c>
      <c r="J3" s="3">
        <f t="shared" ref="J3:J66" si="2">B3-I3</f>
        <v>0</v>
      </c>
      <c r="K3" s="15"/>
    </row>
    <row r="4" spans="1:11" x14ac:dyDescent="0.3">
      <c r="A4" s="14" t="s">
        <v>48</v>
      </c>
      <c r="B4" s="11">
        <v>8.9999999999999993E-3</v>
      </c>
      <c r="E4" s="8" t="str">
        <f t="shared" si="0"/>
        <v>JHSF3</v>
      </c>
      <c r="F4" s="5">
        <f t="shared" si="1"/>
        <v>4.481999999999999E-3</v>
      </c>
      <c r="I4" s="3">
        <f>VLOOKUP(A4,'[1]36 - LP'!$A$9:$K$222,11,0)</f>
        <v>8.9999999999999993E-3</v>
      </c>
      <c r="J4" s="3">
        <f t="shared" si="2"/>
        <v>0</v>
      </c>
      <c r="K4" s="15"/>
    </row>
    <row r="5" spans="1:11" x14ac:dyDescent="0.3">
      <c r="A5" s="14" t="s">
        <v>105</v>
      </c>
      <c r="B5" s="11">
        <v>8.0000000000000002E-3</v>
      </c>
      <c r="E5" s="8" t="str">
        <f t="shared" si="0"/>
        <v>RIAA3</v>
      </c>
      <c r="F5" s="5">
        <f t="shared" si="1"/>
        <v>3.9839999999999997E-3</v>
      </c>
      <c r="I5" s="3">
        <f>VLOOKUP(A5,'[1]36 - LP'!$A$9:$K$222,11,0)</f>
        <v>8.0000000000000002E-3</v>
      </c>
      <c r="J5" s="3">
        <f t="shared" si="2"/>
        <v>0</v>
      </c>
      <c r="K5" s="15"/>
    </row>
    <row r="6" spans="1:11" x14ac:dyDescent="0.3">
      <c r="A6" s="14" t="s">
        <v>98</v>
      </c>
      <c r="B6" s="11">
        <v>7.0000000000000001E-3</v>
      </c>
      <c r="E6" s="8" t="str">
        <f t="shared" si="0"/>
        <v>ALLD3</v>
      </c>
      <c r="F6" s="5">
        <f t="shared" si="1"/>
        <v>3.4859999999999995E-3</v>
      </c>
      <c r="I6" s="3">
        <f>VLOOKUP(A6,'[1]36 - LP'!$A$9:$K$222,11,0)</f>
        <v>7.0000000000000001E-3</v>
      </c>
      <c r="J6" s="3">
        <f t="shared" si="2"/>
        <v>0</v>
      </c>
      <c r="K6" s="15"/>
    </row>
    <row r="7" spans="1:11" x14ac:dyDescent="0.3">
      <c r="A7" s="14" t="s">
        <v>87</v>
      </c>
      <c r="B7" s="11">
        <v>7.0000000000000001E-3</v>
      </c>
      <c r="E7" s="8" t="str">
        <f t="shared" si="0"/>
        <v>CSED3</v>
      </c>
      <c r="F7" s="5">
        <f t="shared" si="1"/>
        <v>3.4859999999999995E-3</v>
      </c>
      <c r="I7" s="3">
        <f>VLOOKUP(A7,'[1]36 - LP'!$A$9:$K$222,11,0)</f>
        <v>7.0000000000000001E-3</v>
      </c>
      <c r="J7" s="3">
        <f t="shared" si="2"/>
        <v>0</v>
      </c>
      <c r="K7" s="15"/>
    </row>
    <row r="8" spans="1:11" x14ac:dyDescent="0.3">
      <c r="A8" s="14" t="s">
        <v>29</v>
      </c>
      <c r="B8" s="11">
        <v>8.0000000000000002E-3</v>
      </c>
      <c r="E8" s="8" t="str">
        <f t="shared" si="0"/>
        <v>SYNE3</v>
      </c>
      <c r="F8" s="5">
        <f t="shared" si="1"/>
        <v>3.9839999999999997E-3</v>
      </c>
      <c r="I8" s="3">
        <f>VLOOKUP(A8,'[1]36 - LP'!$A$9:$K$222,11,0)</f>
        <v>8.0000000000000002E-3</v>
      </c>
      <c r="J8" s="3">
        <f t="shared" si="2"/>
        <v>0</v>
      </c>
      <c r="K8" s="15"/>
    </row>
    <row r="9" spans="1:11" x14ac:dyDescent="0.3">
      <c r="A9" s="14" t="s">
        <v>89</v>
      </c>
      <c r="B9" s="11">
        <v>8.9999999999999993E-3</v>
      </c>
      <c r="E9" s="8" t="str">
        <f t="shared" si="0"/>
        <v>POMO3</v>
      </c>
      <c r="F9" s="5">
        <f t="shared" si="1"/>
        <v>4.481999999999999E-3</v>
      </c>
      <c r="I9" s="3">
        <f>VLOOKUP(A9,'[1]36 - LP'!$A$9:$K$222,11,0)</f>
        <v>8.9999999999999993E-3</v>
      </c>
      <c r="J9" s="3">
        <f t="shared" si="2"/>
        <v>0</v>
      </c>
      <c r="K9" s="15"/>
    </row>
    <row r="10" spans="1:11" x14ac:dyDescent="0.3">
      <c r="A10" s="14" t="s">
        <v>112</v>
      </c>
      <c r="B10" s="11">
        <v>1.2999999999999999E-2</v>
      </c>
      <c r="E10" s="8" t="str">
        <f t="shared" si="0"/>
        <v>SHUL4</v>
      </c>
      <c r="F10" s="5">
        <f t="shared" si="1"/>
        <v>6.4739999999999989E-3</v>
      </c>
      <c r="I10" s="3">
        <f>VLOOKUP(A10,'[1]36 - LP'!$A$9:$K$222,11,0)</f>
        <v>1.2999999999999999E-2</v>
      </c>
      <c r="J10" s="3">
        <f t="shared" si="2"/>
        <v>0</v>
      </c>
      <c r="K10" s="15"/>
    </row>
    <row r="11" spans="1:11" x14ac:dyDescent="0.3">
      <c r="A11" s="14" t="s">
        <v>97</v>
      </c>
      <c r="B11" s="11">
        <v>0.01</v>
      </c>
      <c r="E11" s="8" t="str">
        <f t="shared" si="0"/>
        <v>FIQE3</v>
      </c>
      <c r="F11" s="5">
        <f t="shared" si="1"/>
        <v>4.9799999999999992E-3</v>
      </c>
      <c r="I11" s="3">
        <f>VLOOKUP(A11,'[1]36 - LP'!$A$9:$K$222,11,0)</f>
        <v>0.01</v>
      </c>
      <c r="J11" s="3">
        <f t="shared" si="2"/>
        <v>0</v>
      </c>
      <c r="K11" s="15"/>
    </row>
    <row r="12" spans="1:11" x14ac:dyDescent="0.3">
      <c r="A12" s="14" t="s">
        <v>50</v>
      </c>
      <c r="B12" s="11">
        <v>1.4E-2</v>
      </c>
      <c r="E12" s="8" t="str">
        <f t="shared" si="0"/>
        <v>MTRE3</v>
      </c>
      <c r="F12" s="5">
        <f t="shared" si="1"/>
        <v>6.971999999999999E-3</v>
      </c>
      <c r="I12" s="3">
        <f>VLOOKUP(A12,'[1]36 - LP'!$A$9:$K$222,11,0)</f>
        <v>1.4E-2</v>
      </c>
      <c r="J12" s="3">
        <f t="shared" si="2"/>
        <v>0</v>
      </c>
      <c r="K12" s="15"/>
    </row>
    <row r="13" spans="1:11" x14ac:dyDescent="0.3">
      <c r="A13" s="14" t="s">
        <v>26</v>
      </c>
      <c r="B13" s="11">
        <v>1.2E-2</v>
      </c>
      <c r="E13" s="8" t="str">
        <f t="shared" si="0"/>
        <v>BRSR6</v>
      </c>
      <c r="F13" s="5">
        <f t="shared" si="1"/>
        <v>5.9759999999999995E-3</v>
      </c>
      <c r="I13" s="3">
        <f>VLOOKUP(A13,'[1]36 - LP'!$A$9:$K$222,11,0)</f>
        <v>1.2E-2</v>
      </c>
      <c r="J13" s="3">
        <f t="shared" si="2"/>
        <v>0</v>
      </c>
      <c r="K13" s="15"/>
    </row>
    <row r="14" spans="1:11" x14ac:dyDescent="0.3">
      <c r="A14" s="14" t="s">
        <v>62</v>
      </c>
      <c r="B14" s="11">
        <v>0.01</v>
      </c>
      <c r="E14" s="8" t="str">
        <f t="shared" si="0"/>
        <v>GRND3</v>
      </c>
      <c r="F14" s="5">
        <f t="shared" si="1"/>
        <v>4.9799999999999992E-3</v>
      </c>
      <c r="I14" s="3">
        <f>VLOOKUP(A14,'[1]36 - LP'!$A$9:$K$222,11,0)</f>
        <v>0.01</v>
      </c>
      <c r="J14" s="3">
        <f t="shared" si="2"/>
        <v>0</v>
      </c>
      <c r="K14" s="15"/>
    </row>
    <row r="15" spans="1:11" x14ac:dyDescent="0.3">
      <c r="A15" s="14" t="s">
        <v>23</v>
      </c>
      <c r="B15" s="11">
        <v>2.3E-2</v>
      </c>
      <c r="E15" s="8" t="str">
        <f t="shared" si="0"/>
        <v>TIMS3</v>
      </c>
      <c r="F15" s="5">
        <f t="shared" si="1"/>
        <v>1.1453999999999999E-2</v>
      </c>
      <c r="I15" s="3">
        <f>VLOOKUP(A15,'[1]36 - LP'!$A$9:$K$222,11,0)</f>
        <v>2.3E-2</v>
      </c>
      <c r="J15" s="3">
        <f t="shared" si="2"/>
        <v>0</v>
      </c>
      <c r="K15" s="15"/>
    </row>
    <row r="16" spans="1:11" x14ac:dyDescent="0.3">
      <c r="A16" s="14" t="s">
        <v>47</v>
      </c>
      <c r="B16" s="11">
        <v>1.0999999999999999E-2</v>
      </c>
      <c r="E16" s="8" t="str">
        <f t="shared" si="0"/>
        <v>SAPR4</v>
      </c>
      <c r="F16" s="5">
        <f t="shared" si="1"/>
        <v>5.4779999999999994E-3</v>
      </c>
      <c r="I16" s="3">
        <f>VLOOKUP(A16,'[1]36 - LP'!$A$9:$K$222,11,0)</f>
        <v>1.0999999999999999E-2</v>
      </c>
      <c r="J16" s="3">
        <f t="shared" si="2"/>
        <v>0</v>
      </c>
      <c r="K16" s="15"/>
    </row>
    <row r="17" spans="1:11" x14ac:dyDescent="0.3">
      <c r="A17" s="14" t="s">
        <v>113</v>
      </c>
      <c r="B17" s="11">
        <v>8.9999999999999993E-3</v>
      </c>
      <c r="E17" s="8" t="str">
        <f t="shared" si="0"/>
        <v>PFRM3</v>
      </c>
      <c r="F17" s="5">
        <f t="shared" si="1"/>
        <v>4.481999999999999E-3</v>
      </c>
      <c r="I17" s="3">
        <f>VLOOKUP(A17,'[1]36 - LP'!$A$9:$K$222,11,0)</f>
        <v>8.9999999999999993E-3</v>
      </c>
      <c r="J17" s="3">
        <f t="shared" si="2"/>
        <v>0</v>
      </c>
      <c r="K17" s="15"/>
    </row>
    <row r="18" spans="1:11" x14ac:dyDescent="0.3">
      <c r="A18" s="14" t="s">
        <v>131</v>
      </c>
      <c r="B18" s="11">
        <v>8.0000000000000002E-3</v>
      </c>
      <c r="E18" s="8" t="str">
        <f t="shared" si="0"/>
        <v>SAPR3</v>
      </c>
      <c r="F18" s="5">
        <f t="shared" si="1"/>
        <v>3.9839999999999997E-3</v>
      </c>
      <c r="I18" s="3">
        <f>VLOOKUP(A18,'[1]36 - LP'!$A$9:$K$222,11,0)</f>
        <v>8.0000000000000002E-3</v>
      </c>
      <c r="J18" s="3">
        <f t="shared" si="2"/>
        <v>0</v>
      </c>
      <c r="K18" s="15"/>
    </row>
    <row r="19" spans="1:11" x14ac:dyDescent="0.3">
      <c r="A19" s="14" t="s">
        <v>114</v>
      </c>
      <c r="B19" s="11">
        <v>0.01</v>
      </c>
      <c r="E19" s="8" t="str">
        <f t="shared" si="0"/>
        <v>DEXP3</v>
      </c>
      <c r="F19" s="5">
        <f t="shared" si="1"/>
        <v>4.9799999999999992E-3</v>
      </c>
      <c r="I19" s="3">
        <f>VLOOKUP(A19,'[1]36 - LP'!$A$9:$K$222,11,0)</f>
        <v>0.01</v>
      </c>
      <c r="J19" s="3">
        <f t="shared" si="2"/>
        <v>0</v>
      </c>
      <c r="K19" s="15"/>
    </row>
    <row r="20" spans="1:11" x14ac:dyDescent="0.3">
      <c r="A20" s="14" t="s">
        <v>3</v>
      </c>
      <c r="B20" s="11">
        <v>4.3999999999999997E-2</v>
      </c>
      <c r="E20" s="8" t="str">
        <f t="shared" si="0"/>
        <v>PETR4</v>
      </c>
      <c r="F20" s="5">
        <f t="shared" si="1"/>
        <v>2.1911999999999997E-2</v>
      </c>
      <c r="I20" s="3">
        <f>VLOOKUP(A20,'[1]36 - LP'!$A$9:$K$222,11,0)</f>
        <v>3.4000000000000002E-2</v>
      </c>
      <c r="J20" s="3">
        <f t="shared" si="2"/>
        <v>9.999999999999995E-3</v>
      </c>
      <c r="K20" s="15"/>
    </row>
    <row r="21" spans="1:11" x14ac:dyDescent="0.3">
      <c r="A21" s="14" t="s">
        <v>28</v>
      </c>
      <c r="B21" s="11">
        <v>1.0999999999999999E-2</v>
      </c>
      <c r="E21" s="8" t="str">
        <f t="shared" si="0"/>
        <v>LEVE3</v>
      </c>
      <c r="F21" s="5">
        <f t="shared" si="1"/>
        <v>5.4779999999999994E-3</v>
      </c>
      <c r="I21" s="3">
        <f>VLOOKUP(A21,'[1]36 - LP'!$A$9:$K$222,11,0)</f>
        <v>1.0999999999999999E-2</v>
      </c>
      <c r="J21" s="3">
        <f t="shared" si="2"/>
        <v>0</v>
      </c>
      <c r="K21" s="15"/>
    </row>
    <row r="22" spans="1:11" x14ac:dyDescent="0.3">
      <c r="A22" s="14" t="s">
        <v>5</v>
      </c>
      <c r="B22" s="11">
        <v>0.04</v>
      </c>
      <c r="E22" s="8" t="str">
        <f t="shared" si="0"/>
        <v>PETR3</v>
      </c>
      <c r="F22" s="5">
        <f t="shared" si="1"/>
        <v>1.9919999999999997E-2</v>
      </c>
      <c r="I22" s="3">
        <f>VLOOKUP(A22,'[1]36 - LP'!$A$9:$K$222,11,0)</f>
        <v>3.2000000000000001E-2</v>
      </c>
      <c r="J22" s="3">
        <f t="shared" si="2"/>
        <v>8.0000000000000002E-3</v>
      </c>
      <c r="K22" s="15"/>
    </row>
    <row r="23" spans="1:11" x14ac:dyDescent="0.3">
      <c r="A23" s="14" t="s">
        <v>90</v>
      </c>
      <c r="B23" s="11">
        <v>1.4999999999999999E-2</v>
      </c>
      <c r="E23" s="8" t="str">
        <f t="shared" si="0"/>
        <v>ABCB4</v>
      </c>
      <c r="F23" s="5">
        <f t="shared" si="1"/>
        <v>7.4699999999999992E-3</v>
      </c>
      <c r="I23" s="3">
        <f>VLOOKUP(A23,'[1]36 - LP'!$A$9:$K$222,11,0)</f>
        <v>1.4999999999999999E-2</v>
      </c>
      <c r="J23" s="3">
        <f t="shared" si="2"/>
        <v>0</v>
      </c>
      <c r="K23" s="15"/>
    </row>
    <row r="24" spans="1:11" x14ac:dyDescent="0.3">
      <c r="A24" s="14" t="s">
        <v>107</v>
      </c>
      <c r="B24" s="11">
        <v>8.0000000000000002E-3</v>
      </c>
      <c r="E24" s="8" t="str">
        <f t="shared" si="0"/>
        <v>ALPA4</v>
      </c>
      <c r="F24" s="5">
        <f t="shared" si="1"/>
        <v>3.9839999999999997E-3</v>
      </c>
      <c r="I24" s="3">
        <f>VLOOKUP(A24,'[1]36 - LP'!$A$9:$K$222,11,0)</f>
        <v>8.0000000000000002E-3</v>
      </c>
      <c r="J24" s="3">
        <f t="shared" si="2"/>
        <v>0</v>
      </c>
      <c r="K24" s="15"/>
    </row>
    <row r="25" spans="1:11" x14ac:dyDescent="0.3">
      <c r="A25" s="14" t="s">
        <v>78</v>
      </c>
      <c r="B25" s="11">
        <v>1.0999999999999999E-2</v>
      </c>
      <c r="E25" s="8" t="str">
        <f t="shared" si="0"/>
        <v>SAPR11</v>
      </c>
      <c r="F25" s="5">
        <f t="shared" si="1"/>
        <v>5.4779999999999994E-3</v>
      </c>
      <c r="I25" s="3">
        <f>VLOOKUP(A25,'[1]36 - LP'!$A$9:$K$222,11,0)</f>
        <v>1.0999999999999999E-2</v>
      </c>
      <c r="J25" s="3">
        <f t="shared" si="2"/>
        <v>0</v>
      </c>
      <c r="K25" s="15"/>
    </row>
    <row r="26" spans="1:11" x14ac:dyDescent="0.3">
      <c r="A26" s="14" t="s">
        <v>16</v>
      </c>
      <c r="B26" s="11">
        <v>0.01</v>
      </c>
      <c r="E26" s="8" t="str">
        <f t="shared" si="0"/>
        <v>POMO4</v>
      </c>
      <c r="F26" s="5">
        <f t="shared" si="1"/>
        <v>4.9799999999999992E-3</v>
      </c>
      <c r="I26" s="3">
        <f>VLOOKUP(A26,'[1]36 - LP'!$A$9:$K$222,11,0)</f>
        <v>0.01</v>
      </c>
      <c r="J26" s="3">
        <f t="shared" si="2"/>
        <v>0</v>
      </c>
      <c r="K26" s="15"/>
    </row>
    <row r="27" spans="1:11" x14ac:dyDescent="0.3">
      <c r="A27" s="14" t="s">
        <v>115</v>
      </c>
      <c r="B27" s="11">
        <v>8.9999999999999993E-3</v>
      </c>
      <c r="E27" s="8" t="str">
        <f t="shared" si="0"/>
        <v>LOGG3</v>
      </c>
      <c r="F27" s="5">
        <f t="shared" si="1"/>
        <v>4.481999999999999E-3</v>
      </c>
      <c r="I27" s="3">
        <f>VLOOKUP(A27,'[1]36 - LP'!$A$9:$K$222,11,0)</f>
        <v>8.9999999999999993E-3</v>
      </c>
      <c r="J27" s="3">
        <f t="shared" si="2"/>
        <v>0</v>
      </c>
      <c r="K27" s="15"/>
    </row>
    <row r="28" spans="1:11" x14ac:dyDescent="0.3">
      <c r="A28" s="14" t="s">
        <v>116</v>
      </c>
      <c r="B28" s="11">
        <v>0.01</v>
      </c>
      <c r="E28" s="8" t="str">
        <f t="shared" si="0"/>
        <v>ODPV3</v>
      </c>
      <c r="F28" s="5">
        <f t="shared" si="1"/>
        <v>4.9799999999999992E-3</v>
      </c>
      <c r="I28" s="3">
        <f>VLOOKUP(A28,'[1]36 - LP'!$A$9:$K$222,11,0)</f>
        <v>0.01</v>
      </c>
      <c r="J28" s="3">
        <f t="shared" si="2"/>
        <v>0</v>
      </c>
      <c r="K28" s="15"/>
    </row>
    <row r="29" spans="1:11" x14ac:dyDescent="0.3">
      <c r="A29" s="14" t="s">
        <v>117</v>
      </c>
      <c r="B29" s="11">
        <v>1.0999999999999999E-2</v>
      </c>
      <c r="E29" s="8" t="str">
        <f t="shared" si="0"/>
        <v>EVEN3</v>
      </c>
      <c r="F29" s="5">
        <f t="shared" si="1"/>
        <v>5.4779999999999994E-3</v>
      </c>
      <c r="I29" s="3">
        <f>VLOOKUP(A29,'[1]36 - LP'!$A$9:$K$222,11,0)</f>
        <v>1.0999999999999999E-2</v>
      </c>
      <c r="J29" s="3">
        <f t="shared" si="2"/>
        <v>0</v>
      </c>
      <c r="K29" s="15"/>
    </row>
    <row r="30" spans="1:11" x14ac:dyDescent="0.3">
      <c r="A30" s="14" t="s">
        <v>30</v>
      </c>
      <c r="B30" s="11">
        <v>8.9999999999999993E-3</v>
      </c>
      <c r="E30" s="8" t="str">
        <f t="shared" si="0"/>
        <v>CURY3</v>
      </c>
      <c r="F30" s="5">
        <f t="shared" si="1"/>
        <v>4.481999999999999E-3</v>
      </c>
      <c r="I30" s="3">
        <f>VLOOKUP(A30,'[1]36 - LP'!$A$9:$K$222,11,0)</f>
        <v>8.9999999999999993E-3</v>
      </c>
      <c r="J30" s="3">
        <f t="shared" si="2"/>
        <v>0</v>
      </c>
      <c r="K30" s="15"/>
    </row>
    <row r="31" spans="1:11" x14ac:dyDescent="0.3">
      <c r="A31" s="14" t="s">
        <v>45</v>
      </c>
      <c r="B31" s="11">
        <v>1.4E-2</v>
      </c>
      <c r="E31" s="8" t="str">
        <f t="shared" si="0"/>
        <v>ALOS3</v>
      </c>
      <c r="F31" s="5">
        <f t="shared" si="1"/>
        <v>6.971999999999999E-3</v>
      </c>
      <c r="I31" s="3">
        <f>VLOOKUP(A31,'[1]36 - LP'!$A$9:$K$222,11,0)</f>
        <v>1.4E-2</v>
      </c>
      <c r="J31" s="3">
        <f t="shared" si="2"/>
        <v>0</v>
      </c>
      <c r="K31" s="15"/>
    </row>
    <row r="32" spans="1:11" x14ac:dyDescent="0.3">
      <c r="A32" s="14" t="s">
        <v>118</v>
      </c>
      <c r="B32" s="11">
        <v>2.1000000000000001E-2</v>
      </c>
      <c r="E32" s="8" t="str">
        <f t="shared" si="0"/>
        <v>ITSA3</v>
      </c>
      <c r="F32" s="5">
        <f t="shared" si="1"/>
        <v>1.0458E-2</v>
      </c>
      <c r="I32" s="3">
        <f>VLOOKUP(A32,'[1]36 - LP'!$A$9:$K$222,11,0)</f>
        <v>2.1000000000000001E-2</v>
      </c>
      <c r="J32" s="3">
        <f t="shared" si="2"/>
        <v>0</v>
      </c>
      <c r="K32" s="15"/>
    </row>
    <row r="33" spans="1:11" x14ac:dyDescent="0.3">
      <c r="A33" s="14" t="s">
        <v>106</v>
      </c>
      <c r="B33" s="11">
        <v>1.2E-2</v>
      </c>
      <c r="E33" s="8" t="str">
        <f t="shared" si="0"/>
        <v>MELK3</v>
      </c>
      <c r="F33" s="5">
        <f t="shared" si="1"/>
        <v>5.9759999999999995E-3</v>
      </c>
      <c r="I33" s="3">
        <f>VLOOKUP(A33,'[1]36 - LP'!$A$9:$K$222,11,0)</f>
        <v>1.2E-2</v>
      </c>
      <c r="J33" s="3">
        <f t="shared" si="2"/>
        <v>0</v>
      </c>
      <c r="K33" s="15"/>
    </row>
    <row r="34" spans="1:11" x14ac:dyDescent="0.3">
      <c r="A34" s="14" t="s">
        <v>42</v>
      </c>
      <c r="B34" s="11">
        <v>1.6E-2</v>
      </c>
      <c r="E34" s="8" t="str">
        <f t="shared" si="0"/>
        <v>VLID3</v>
      </c>
      <c r="F34" s="5">
        <f t="shared" si="1"/>
        <v>7.9679999999999994E-3</v>
      </c>
      <c r="I34" s="3">
        <f>VLOOKUP(A34,'[1]36 - LP'!$A$9:$K$222,11,0)</f>
        <v>1.6E-2</v>
      </c>
      <c r="J34" s="3">
        <f t="shared" si="2"/>
        <v>0</v>
      </c>
      <c r="K34" s="15"/>
    </row>
    <row r="35" spans="1:11" x14ac:dyDescent="0.3">
      <c r="A35" s="14" t="s">
        <v>53</v>
      </c>
      <c r="B35" s="11">
        <v>5.0000000000000001E-3</v>
      </c>
      <c r="E35" s="8" t="str">
        <f t="shared" si="0"/>
        <v>TRIS3</v>
      </c>
      <c r="F35" s="5">
        <f t="shared" si="1"/>
        <v>2.4899999999999996E-3</v>
      </c>
      <c r="I35" s="3">
        <f>VLOOKUP(A35,'[1]36 - LP'!$A$9:$K$222,11,0)</f>
        <v>5.0000000000000001E-3</v>
      </c>
      <c r="J35" s="3">
        <f t="shared" si="2"/>
        <v>0</v>
      </c>
      <c r="K35" s="15"/>
    </row>
    <row r="36" spans="1:11" x14ac:dyDescent="0.3">
      <c r="A36" s="14" t="s">
        <v>96</v>
      </c>
      <c r="B36" s="11">
        <v>1.2E-2</v>
      </c>
      <c r="E36" s="8" t="str">
        <f t="shared" si="0"/>
        <v>VULC3</v>
      </c>
      <c r="F36" s="5">
        <f t="shared" si="1"/>
        <v>5.9759999999999995E-3</v>
      </c>
      <c r="I36" s="3">
        <f>VLOOKUP(A36,'[1]36 - LP'!$A$9:$K$222,11,0)</f>
        <v>1.2E-2</v>
      </c>
      <c r="J36" s="3">
        <f t="shared" si="2"/>
        <v>0</v>
      </c>
      <c r="K36" s="15"/>
    </row>
    <row r="37" spans="1:11" x14ac:dyDescent="0.3">
      <c r="A37" s="14" t="s">
        <v>119</v>
      </c>
      <c r="B37" s="11">
        <v>0.01</v>
      </c>
      <c r="E37" s="8" t="str">
        <f t="shared" si="0"/>
        <v>INTB3</v>
      </c>
      <c r="F37" s="5">
        <f t="shared" si="1"/>
        <v>4.9799999999999992E-3</v>
      </c>
      <c r="I37" s="3">
        <f>VLOOKUP(A37,'[1]36 - LP'!$A$9:$K$222,11,0)</f>
        <v>0.01</v>
      </c>
      <c r="J37" s="3">
        <f t="shared" si="2"/>
        <v>0</v>
      </c>
      <c r="K37" s="15"/>
    </row>
    <row r="38" spans="1:11" x14ac:dyDescent="0.3">
      <c r="A38" s="14" t="s">
        <v>104</v>
      </c>
      <c r="B38" s="11">
        <v>7.0000000000000001E-3</v>
      </c>
      <c r="E38" s="8" t="str">
        <f t="shared" si="0"/>
        <v>BMEB4</v>
      </c>
      <c r="F38" s="5">
        <f t="shared" si="1"/>
        <v>3.4859999999999995E-3</v>
      </c>
      <c r="I38" s="3">
        <f>VLOOKUP(A38,'[1]36 - LP'!$A$9:$K$222,11,0)</f>
        <v>7.0000000000000001E-3</v>
      </c>
      <c r="J38" s="3">
        <f t="shared" si="2"/>
        <v>0</v>
      </c>
      <c r="K38" s="15"/>
    </row>
    <row r="39" spans="1:11" x14ac:dyDescent="0.3">
      <c r="A39" s="14" t="s">
        <v>120</v>
      </c>
      <c r="B39" s="11">
        <v>6.0000000000000001E-3</v>
      </c>
      <c r="E39" s="8" t="str">
        <f t="shared" si="0"/>
        <v>MLAS3</v>
      </c>
      <c r="F39" s="5">
        <f t="shared" si="1"/>
        <v>2.9879999999999998E-3</v>
      </c>
      <c r="I39" s="3">
        <f>VLOOKUP(A39,'[1]36 - LP'!$A$9:$K$222,11,0)</f>
        <v>6.0000000000000001E-3</v>
      </c>
      <c r="J39" s="3">
        <f t="shared" si="2"/>
        <v>0</v>
      </c>
      <c r="K39" s="15"/>
    </row>
    <row r="40" spans="1:11" x14ac:dyDescent="0.3">
      <c r="A40" s="14" t="s">
        <v>91</v>
      </c>
      <c r="B40" s="11">
        <v>2.3E-2</v>
      </c>
      <c r="E40" s="8" t="str">
        <f t="shared" si="0"/>
        <v>ALUP11</v>
      </c>
      <c r="F40" s="5">
        <f t="shared" si="1"/>
        <v>1.1453999999999999E-2</v>
      </c>
      <c r="I40" s="3">
        <f>VLOOKUP(A40,'[1]36 - LP'!$A$9:$K$222,11,0)</f>
        <v>2.3E-2</v>
      </c>
      <c r="J40" s="3">
        <f t="shared" si="2"/>
        <v>0</v>
      </c>
      <c r="K40" s="15"/>
    </row>
    <row r="41" spans="1:11" x14ac:dyDescent="0.3">
      <c r="A41" s="14" t="s">
        <v>108</v>
      </c>
      <c r="B41" s="11">
        <v>1.0999999999999999E-2</v>
      </c>
      <c r="E41" s="8" t="str">
        <f t="shared" si="0"/>
        <v>PNVL3</v>
      </c>
      <c r="F41" s="5">
        <f t="shared" si="1"/>
        <v>5.4779999999999994E-3</v>
      </c>
      <c r="I41" s="3">
        <f>VLOOKUP(A41,'[1]36 - LP'!$A$9:$K$222,11,0)</f>
        <v>1.0999999999999999E-2</v>
      </c>
      <c r="J41" s="3">
        <f t="shared" si="2"/>
        <v>0</v>
      </c>
      <c r="K41" s="15"/>
    </row>
    <row r="42" spans="1:11" x14ac:dyDescent="0.3">
      <c r="A42" s="14" t="s">
        <v>59</v>
      </c>
      <c r="B42" s="11">
        <v>1.6E-2</v>
      </c>
      <c r="E42" s="8" t="str">
        <f t="shared" si="0"/>
        <v>RECV3</v>
      </c>
      <c r="F42" s="5">
        <f t="shared" si="1"/>
        <v>7.9679999999999994E-3</v>
      </c>
      <c r="I42" s="3">
        <f>VLOOKUP(A42,'[1]36 - LP'!$A$9:$K$222,11,0)</f>
        <v>1.6E-2</v>
      </c>
      <c r="J42" s="3">
        <f t="shared" si="2"/>
        <v>0</v>
      </c>
      <c r="K42" s="15"/>
    </row>
    <row r="43" spans="1:11" x14ac:dyDescent="0.3">
      <c r="A43" s="14" t="s">
        <v>95</v>
      </c>
      <c r="B43" s="11">
        <v>1.2999999999999999E-2</v>
      </c>
      <c r="E43" s="8" t="str">
        <f t="shared" si="0"/>
        <v>OPCT3</v>
      </c>
      <c r="F43" s="5">
        <f t="shared" si="1"/>
        <v>6.4739999999999989E-3</v>
      </c>
      <c r="I43" s="3">
        <f>VLOOKUP(A43,'[1]36 - LP'!$A$9:$K$222,11,0)</f>
        <v>1.2999999999999999E-2</v>
      </c>
      <c r="J43" s="3">
        <f t="shared" si="2"/>
        <v>0</v>
      </c>
      <c r="K43" s="15"/>
    </row>
    <row r="44" spans="1:11" x14ac:dyDescent="0.3">
      <c r="A44" s="14" t="s">
        <v>38</v>
      </c>
      <c r="B44" s="11">
        <v>1.2E-2</v>
      </c>
      <c r="E44" s="8" t="str">
        <f t="shared" si="0"/>
        <v>LAVV3</v>
      </c>
      <c r="F44" s="5">
        <f t="shared" si="1"/>
        <v>5.9759999999999995E-3</v>
      </c>
      <c r="I44" s="3">
        <f>VLOOKUP(A44,'[1]36 - LP'!$A$9:$K$222,11,0)</f>
        <v>1.2E-2</v>
      </c>
      <c r="J44" s="3">
        <f t="shared" si="2"/>
        <v>0</v>
      </c>
      <c r="K44" s="15"/>
    </row>
    <row r="45" spans="1:11" x14ac:dyDescent="0.3">
      <c r="A45" s="14" t="s">
        <v>13</v>
      </c>
      <c r="B45" s="11">
        <v>1.4999999999999999E-2</v>
      </c>
      <c r="E45" s="8" t="str">
        <f t="shared" si="0"/>
        <v>VIVT3</v>
      </c>
      <c r="F45" s="5">
        <f t="shared" si="1"/>
        <v>7.4699999999999992E-3</v>
      </c>
      <c r="I45" s="3">
        <f>VLOOKUP(A45,'[1]36 - LP'!$A$9:$K$222,11,0)</f>
        <v>1.4999999999999999E-2</v>
      </c>
      <c r="J45" s="3">
        <f t="shared" si="2"/>
        <v>0</v>
      </c>
      <c r="K45" s="15"/>
    </row>
    <row r="46" spans="1:11" x14ac:dyDescent="0.3">
      <c r="A46" s="14" t="s">
        <v>100</v>
      </c>
      <c r="B46" s="11">
        <v>0.01</v>
      </c>
      <c r="E46" s="8" t="str">
        <f t="shared" si="0"/>
        <v>PINE4</v>
      </c>
      <c r="F46" s="5">
        <f t="shared" si="1"/>
        <v>4.9799999999999992E-3</v>
      </c>
      <c r="I46" s="3">
        <f>VLOOKUP(A46,'[1]36 - LP'!$A$9:$K$222,11,0)</f>
        <v>0.01</v>
      </c>
      <c r="J46" s="3">
        <f t="shared" si="2"/>
        <v>0</v>
      </c>
      <c r="K46" s="15"/>
    </row>
    <row r="47" spans="1:11" x14ac:dyDescent="0.3">
      <c r="A47" s="14" t="s">
        <v>73</v>
      </c>
      <c r="B47" s="11">
        <v>0.01</v>
      </c>
      <c r="E47" s="8" t="str">
        <f t="shared" si="0"/>
        <v>BMOB3</v>
      </c>
      <c r="F47" s="5">
        <f t="shared" si="1"/>
        <v>4.9799999999999992E-3</v>
      </c>
      <c r="I47" s="3">
        <f>VLOOKUP(A47,'[1]36 - LP'!$A$9:$K$222,11,0)</f>
        <v>0.01</v>
      </c>
      <c r="J47" s="3">
        <f t="shared" si="2"/>
        <v>0</v>
      </c>
      <c r="K47" s="15"/>
    </row>
    <row r="48" spans="1:11" x14ac:dyDescent="0.3">
      <c r="A48" s="14" t="s">
        <v>121</v>
      </c>
      <c r="B48" s="11">
        <v>1.0999999999999999E-2</v>
      </c>
      <c r="E48" s="8" t="str">
        <f t="shared" si="0"/>
        <v>POSI3</v>
      </c>
      <c r="F48" s="5">
        <f t="shared" si="1"/>
        <v>5.4779999999999994E-3</v>
      </c>
      <c r="I48" s="3">
        <f>VLOOKUP(A48,'[1]36 - LP'!$A$9:$K$222,11,0)</f>
        <v>1.0999999999999999E-2</v>
      </c>
      <c r="J48" s="3">
        <f t="shared" si="2"/>
        <v>0</v>
      </c>
      <c r="K48" s="15"/>
    </row>
    <row r="49" spans="1:11" x14ac:dyDescent="0.3">
      <c r="A49" s="14" t="s">
        <v>68</v>
      </c>
      <c r="B49" s="11">
        <v>2.5999999999999999E-2</v>
      </c>
      <c r="E49" s="8" t="str">
        <f t="shared" si="0"/>
        <v>ITSA4</v>
      </c>
      <c r="F49" s="5">
        <f t="shared" si="1"/>
        <v>1.2947999999999998E-2</v>
      </c>
      <c r="I49" s="3">
        <f>VLOOKUP(A49,'[1]36 - LP'!$A$9:$K$222,11,0)</f>
        <v>2.5999999999999999E-2</v>
      </c>
      <c r="J49" s="3">
        <f t="shared" si="2"/>
        <v>0</v>
      </c>
      <c r="K49" s="15"/>
    </row>
    <row r="50" spans="1:11" x14ac:dyDescent="0.3">
      <c r="A50" s="14" t="s">
        <v>66</v>
      </c>
      <c r="B50" s="11">
        <v>1.7000000000000001E-2</v>
      </c>
      <c r="E50" s="8" t="str">
        <f t="shared" si="0"/>
        <v>ABEV3</v>
      </c>
      <c r="F50" s="5">
        <f t="shared" si="1"/>
        <v>8.4659999999999996E-3</v>
      </c>
      <c r="I50" s="3">
        <f>VLOOKUP(A50,'[1]36 - LP'!$A$9:$K$222,11,0)</f>
        <v>1.7000000000000001E-2</v>
      </c>
      <c r="J50" s="3">
        <f t="shared" si="2"/>
        <v>0</v>
      </c>
      <c r="K50" s="15"/>
    </row>
    <row r="51" spans="1:11" x14ac:dyDescent="0.3">
      <c r="A51" s="14" t="s">
        <v>122</v>
      </c>
      <c r="B51" s="11">
        <v>4.0000000000000001E-3</v>
      </c>
      <c r="E51" s="8" t="str">
        <f t="shared" si="0"/>
        <v>VVEO3</v>
      </c>
      <c r="F51" s="5">
        <f t="shared" si="1"/>
        <v>1.9919999999999998E-3</v>
      </c>
      <c r="I51" s="3">
        <f>VLOOKUP(A51,'[1]36 - LP'!$A$9:$K$222,11,0)</f>
        <v>4.0000000000000001E-3</v>
      </c>
      <c r="J51" s="3">
        <f t="shared" si="2"/>
        <v>0</v>
      </c>
      <c r="K51" s="15"/>
    </row>
    <row r="52" spans="1:11" x14ac:dyDescent="0.3">
      <c r="A52" s="14" t="s">
        <v>130</v>
      </c>
      <c r="B52" s="11">
        <v>0</v>
      </c>
      <c r="E52" s="8" t="str">
        <f t="shared" si="0"/>
        <v>BRAP3</v>
      </c>
      <c r="F52" s="5">
        <f t="shared" si="1"/>
        <v>0</v>
      </c>
      <c r="I52" s="3">
        <f>VLOOKUP(A52,'[1]36 - LP'!$A$9:$K$222,11,0)</f>
        <v>2.5999999999999999E-2</v>
      </c>
      <c r="J52" s="3">
        <f t="shared" si="2"/>
        <v>-2.5999999999999999E-2</v>
      </c>
      <c r="K52" s="15"/>
    </row>
    <row r="53" spans="1:11" x14ac:dyDescent="0.3">
      <c r="A53" s="14" t="s">
        <v>75</v>
      </c>
      <c r="B53" s="11">
        <v>7.0000000000000001E-3</v>
      </c>
      <c r="E53" s="8" t="str">
        <f t="shared" si="0"/>
        <v>MDNE3</v>
      </c>
      <c r="F53" s="5">
        <f t="shared" si="1"/>
        <v>3.4859999999999995E-3</v>
      </c>
      <c r="I53" s="3">
        <f>VLOOKUP(A53,'[1]36 - LP'!$A$9:$K$222,11,0)</f>
        <v>7.0000000000000001E-3</v>
      </c>
      <c r="J53" s="3">
        <f t="shared" si="2"/>
        <v>0</v>
      </c>
      <c r="K53" s="15"/>
    </row>
    <row r="54" spans="1:11" x14ac:dyDescent="0.3">
      <c r="A54" s="14" t="s">
        <v>31</v>
      </c>
      <c r="B54" s="11">
        <v>1.4E-2</v>
      </c>
      <c r="E54" s="8" t="str">
        <f t="shared" si="0"/>
        <v>PSSA3</v>
      </c>
      <c r="F54" s="5">
        <f t="shared" si="1"/>
        <v>6.971999999999999E-3</v>
      </c>
      <c r="I54" s="3">
        <f>VLOOKUP(A54,'[1]36 - LP'!$A$9:$K$222,11,0)</f>
        <v>1.4E-2</v>
      </c>
      <c r="J54" s="3">
        <f t="shared" si="2"/>
        <v>0</v>
      </c>
      <c r="K54" s="15"/>
    </row>
    <row r="55" spans="1:11" x14ac:dyDescent="0.3">
      <c r="A55" s="14" t="s">
        <v>123</v>
      </c>
      <c r="B55" s="11">
        <v>6.0000000000000001E-3</v>
      </c>
      <c r="E55" s="8" t="str">
        <f t="shared" si="0"/>
        <v>SEER3</v>
      </c>
      <c r="F55" s="5">
        <f t="shared" si="1"/>
        <v>2.9879999999999998E-3</v>
      </c>
      <c r="I55" s="3">
        <f>VLOOKUP(A55,'[1]36 - LP'!$A$9:$K$222,11,0)</f>
        <v>6.0000000000000001E-3</v>
      </c>
      <c r="J55" s="3">
        <f t="shared" si="2"/>
        <v>0</v>
      </c>
      <c r="K55" s="15"/>
    </row>
    <row r="56" spans="1:11" x14ac:dyDescent="0.3">
      <c r="A56" s="14" t="s">
        <v>109</v>
      </c>
      <c r="B56" s="11">
        <v>8.9999999999999993E-3</v>
      </c>
      <c r="E56" s="8" t="str">
        <f t="shared" si="0"/>
        <v>CAML3</v>
      </c>
      <c r="F56" s="5">
        <f t="shared" si="1"/>
        <v>4.481999999999999E-3</v>
      </c>
      <c r="I56" s="3">
        <f>VLOOKUP(A56,'[1]36 - LP'!$A$9:$K$222,11,0)</f>
        <v>8.9999999999999993E-3</v>
      </c>
      <c r="J56" s="3">
        <f t="shared" si="2"/>
        <v>0</v>
      </c>
      <c r="K56" s="15"/>
    </row>
    <row r="57" spans="1:11" x14ac:dyDescent="0.3">
      <c r="A57" s="14" t="s">
        <v>124</v>
      </c>
      <c r="B57" s="11">
        <v>7.0000000000000001E-3</v>
      </c>
      <c r="E57" s="8" t="str">
        <f t="shared" si="0"/>
        <v>HBRE3</v>
      </c>
      <c r="F57" s="5">
        <f t="shared" si="1"/>
        <v>3.4859999999999995E-3</v>
      </c>
      <c r="I57" s="3">
        <f>VLOOKUP(A57,'[1]36 - LP'!$A$9:$K$222,11,0)</f>
        <v>7.0000000000000001E-3</v>
      </c>
      <c r="J57" s="3">
        <f t="shared" si="2"/>
        <v>0</v>
      </c>
      <c r="K57" s="15"/>
    </row>
    <row r="58" spans="1:11" x14ac:dyDescent="0.3">
      <c r="A58" s="14" t="s">
        <v>94</v>
      </c>
      <c r="B58" s="11">
        <v>2.5999999999999999E-2</v>
      </c>
      <c r="E58" s="8" t="str">
        <f t="shared" si="0"/>
        <v>ITUB3</v>
      </c>
      <c r="F58" s="5">
        <f t="shared" si="1"/>
        <v>1.2947999999999998E-2</v>
      </c>
      <c r="I58" s="3">
        <f>VLOOKUP(A58,'[1]36 - LP'!$A$9:$K$222,11,0)</f>
        <v>2.5999999999999999E-2</v>
      </c>
      <c r="J58" s="3">
        <f t="shared" si="2"/>
        <v>0</v>
      </c>
      <c r="K58" s="15"/>
    </row>
    <row r="59" spans="1:11" x14ac:dyDescent="0.3">
      <c r="A59" s="14" t="s">
        <v>8</v>
      </c>
      <c r="B59" s="11">
        <v>0.03</v>
      </c>
      <c r="E59" s="8" t="str">
        <f t="shared" si="0"/>
        <v>BBSE3</v>
      </c>
      <c r="F59" s="5">
        <f t="shared" si="1"/>
        <v>1.4939999999999998E-2</v>
      </c>
      <c r="I59" s="3">
        <f>VLOOKUP(A59,'[1]36 - LP'!$A$9:$K$222,11,0)</f>
        <v>0.03</v>
      </c>
      <c r="J59" s="3">
        <f t="shared" si="2"/>
        <v>0</v>
      </c>
      <c r="K59" s="15"/>
    </row>
    <row r="60" spans="1:11" x14ac:dyDescent="0.3">
      <c r="A60" s="14" t="s">
        <v>125</v>
      </c>
      <c r="B60" s="11">
        <v>1.9E-2</v>
      </c>
      <c r="E60" s="8" t="str">
        <f t="shared" si="0"/>
        <v>TAEE3</v>
      </c>
      <c r="F60" s="5">
        <f t="shared" si="1"/>
        <v>9.4619999999999982E-3</v>
      </c>
      <c r="I60" s="3">
        <f>VLOOKUP(A60,'[1]36 - LP'!$A$9:$K$222,11,0)</f>
        <v>1.9E-2</v>
      </c>
      <c r="J60" s="3">
        <f t="shared" si="2"/>
        <v>0</v>
      </c>
      <c r="K60" s="15"/>
    </row>
    <row r="61" spans="1:11" x14ac:dyDescent="0.3">
      <c r="A61" s="14" t="s">
        <v>99</v>
      </c>
      <c r="B61" s="11">
        <v>2.1000000000000001E-2</v>
      </c>
      <c r="E61" s="8" t="str">
        <f t="shared" si="0"/>
        <v>TAEE4</v>
      </c>
      <c r="F61" s="5">
        <f t="shared" si="1"/>
        <v>1.0458E-2</v>
      </c>
      <c r="I61" s="3">
        <f>VLOOKUP(A61,'[1]36 - LP'!$A$9:$K$222,11,0)</f>
        <v>2.1000000000000001E-2</v>
      </c>
      <c r="J61" s="3">
        <f t="shared" si="2"/>
        <v>0</v>
      </c>
      <c r="K61" s="15"/>
    </row>
    <row r="62" spans="1:11" x14ac:dyDescent="0.3">
      <c r="A62" s="14" t="s">
        <v>126</v>
      </c>
      <c r="B62" s="11">
        <v>7.0000000000000001E-3</v>
      </c>
      <c r="E62" s="8" t="str">
        <f t="shared" si="0"/>
        <v>AZZA3</v>
      </c>
      <c r="F62" s="5">
        <f t="shared" si="1"/>
        <v>3.4859999999999995E-3</v>
      </c>
      <c r="I62" s="3">
        <f>VLOOKUP(A62,'[1]36 - LP'!$A$9:$K$222,11,0)</f>
        <v>7.0000000000000001E-3</v>
      </c>
      <c r="J62" s="3">
        <f t="shared" si="2"/>
        <v>0</v>
      </c>
      <c r="K62" s="15"/>
    </row>
    <row r="63" spans="1:11" x14ac:dyDescent="0.3">
      <c r="A63" s="14" t="s">
        <v>103</v>
      </c>
      <c r="B63" s="11">
        <v>1.9E-2</v>
      </c>
      <c r="E63" s="8" t="str">
        <f t="shared" si="0"/>
        <v>AXIA6</v>
      </c>
      <c r="F63" s="5">
        <f t="shared" si="1"/>
        <v>9.4619999999999982E-3</v>
      </c>
      <c r="I63" s="3">
        <f>VLOOKUP(A63,'[1]36 - LP'!$A$9:$K$222,11,0)</f>
        <v>1.9E-2</v>
      </c>
      <c r="J63" s="3">
        <f t="shared" si="2"/>
        <v>0</v>
      </c>
      <c r="K63" s="15"/>
    </row>
    <row r="64" spans="1:11" x14ac:dyDescent="0.3">
      <c r="A64" s="14" t="s">
        <v>12</v>
      </c>
      <c r="B64" s="11">
        <v>2.7E-2</v>
      </c>
      <c r="E64" s="8" t="str">
        <f t="shared" si="0"/>
        <v>BBDC3</v>
      </c>
      <c r="F64" s="5">
        <f t="shared" si="1"/>
        <v>1.3445999999999998E-2</v>
      </c>
      <c r="I64" s="3">
        <f>VLOOKUP(A64,'[1]36 - LP'!$A$9:$K$222,11,0)</f>
        <v>2.7E-2</v>
      </c>
      <c r="J64" s="3">
        <f t="shared" si="2"/>
        <v>0</v>
      </c>
      <c r="K64" s="15"/>
    </row>
    <row r="65" spans="1:11" x14ac:dyDescent="0.3">
      <c r="A65" s="14" t="s">
        <v>65</v>
      </c>
      <c r="B65" s="11">
        <v>1.0999999999999999E-2</v>
      </c>
      <c r="E65" s="8" t="str">
        <f t="shared" si="0"/>
        <v>BRBI11</v>
      </c>
      <c r="F65" s="5">
        <f t="shared" si="1"/>
        <v>5.4779999999999994E-3</v>
      </c>
      <c r="I65" s="3">
        <f>VLOOKUP(A65,'[1]36 - LP'!$A$9:$K$222,11,0)</f>
        <v>1.0999999999999999E-2</v>
      </c>
      <c r="J65" s="3">
        <f t="shared" si="2"/>
        <v>0</v>
      </c>
      <c r="K65" s="15"/>
    </row>
    <row r="66" spans="1:11" x14ac:dyDescent="0.3">
      <c r="A66" s="14" t="s">
        <v>88</v>
      </c>
      <c r="B66" s="11">
        <v>1.7999999999999999E-2</v>
      </c>
      <c r="E66" s="8" t="str">
        <f t="shared" si="0"/>
        <v>CPLE3</v>
      </c>
      <c r="F66" s="5">
        <f t="shared" si="1"/>
        <v>8.963999999999998E-3</v>
      </c>
      <c r="I66" s="3">
        <f>VLOOKUP(A66,'[1]36 - LP'!$A$9:$K$222,11,0)</f>
        <v>1.7999999999999999E-2</v>
      </c>
      <c r="J66" s="3">
        <f t="shared" si="2"/>
        <v>0</v>
      </c>
      <c r="K66" s="15"/>
    </row>
    <row r="67" spans="1:11" x14ac:dyDescent="0.3">
      <c r="A67" s="14" t="s">
        <v>27</v>
      </c>
      <c r="B67" s="11">
        <v>4.4999999999999998E-2</v>
      </c>
      <c r="E67" s="8" t="str">
        <f t="shared" ref="E67:E72" si="3">A67</f>
        <v>BRAP4</v>
      </c>
      <c r="F67" s="5">
        <f t="shared" ref="F67:F72" si="4">(1-$F$73-$F$74-$F$75)*B67</f>
        <v>2.2409999999999996E-2</v>
      </c>
      <c r="I67" s="3">
        <f>VLOOKUP(A67,'[1]36 - LP'!$A$9:$K$222,11,0)</f>
        <v>2.5999999999999999E-2</v>
      </c>
      <c r="J67" s="3">
        <f t="shared" ref="J67:J72" si="5">B67-I67</f>
        <v>1.9E-2</v>
      </c>
      <c r="K67" s="15"/>
    </row>
    <row r="68" spans="1:11" x14ac:dyDescent="0.3">
      <c r="A68" s="14" t="s">
        <v>56</v>
      </c>
      <c r="B68" s="11">
        <v>8.9999999999999993E-3</v>
      </c>
      <c r="E68" s="8" t="str">
        <f t="shared" si="3"/>
        <v>DIRR3</v>
      </c>
      <c r="F68" s="5">
        <f t="shared" si="4"/>
        <v>4.481999999999999E-3</v>
      </c>
      <c r="I68" s="3">
        <f>VLOOKUP(A68,'[1]36 - LP'!$A$9:$K$222,11,0)</f>
        <v>8.9999999999999993E-3</v>
      </c>
      <c r="J68" s="3">
        <f t="shared" si="5"/>
        <v>0</v>
      </c>
      <c r="K68" s="15"/>
    </row>
    <row r="69" spans="1:11" x14ac:dyDescent="0.3">
      <c r="A69" s="14" t="s">
        <v>21</v>
      </c>
      <c r="B69" s="11">
        <v>0.03</v>
      </c>
      <c r="E69" s="8" t="str">
        <f t="shared" si="3"/>
        <v>CMIG4</v>
      </c>
      <c r="F69" s="5">
        <f t="shared" si="4"/>
        <v>1.4939999999999998E-2</v>
      </c>
      <c r="I69" s="3">
        <f>VLOOKUP(A69,'[1]36 - LP'!$A$9:$K$222,11,0)</f>
        <v>0.03</v>
      </c>
      <c r="J69" s="3">
        <f t="shared" si="5"/>
        <v>0</v>
      </c>
      <c r="K69" s="15"/>
    </row>
    <row r="70" spans="1:11" x14ac:dyDescent="0.3">
      <c r="A70" s="14" t="s">
        <v>127</v>
      </c>
      <c r="B70" s="11">
        <v>0.01</v>
      </c>
      <c r="E70" s="8" t="str">
        <f t="shared" si="3"/>
        <v>FESA4</v>
      </c>
      <c r="F70" s="5">
        <f t="shared" si="4"/>
        <v>4.9799999999999992E-3</v>
      </c>
      <c r="I70" s="3">
        <f>VLOOKUP(A70,'[1]36 - LP'!$A$9:$K$222,11,0)</f>
        <v>0.01</v>
      </c>
      <c r="J70" s="3">
        <f t="shared" si="5"/>
        <v>0</v>
      </c>
      <c r="K70" s="15"/>
    </row>
    <row r="71" spans="1:11" x14ac:dyDescent="0.3">
      <c r="A71" s="14" t="s">
        <v>128</v>
      </c>
      <c r="B71" s="11">
        <v>1.0999999999999999E-2</v>
      </c>
      <c r="E71" s="8" t="str">
        <f t="shared" si="3"/>
        <v>LREN3</v>
      </c>
      <c r="F71" s="5">
        <f t="shared" si="4"/>
        <v>5.4779999999999994E-3</v>
      </c>
      <c r="I71" s="3">
        <f>VLOOKUP(A71,'[1]36 - LP'!$A$9:$K$222,11,0)</f>
        <v>1.0999999999999999E-2</v>
      </c>
      <c r="J71" s="3">
        <f t="shared" si="5"/>
        <v>0</v>
      </c>
      <c r="K71" s="15"/>
    </row>
    <row r="72" spans="1:11" x14ac:dyDescent="0.3">
      <c r="A72" s="14" t="s">
        <v>2</v>
      </c>
      <c r="B72" s="11">
        <v>3.3000000000000002E-2</v>
      </c>
      <c r="E72" s="8" t="str">
        <f t="shared" si="3"/>
        <v>VALE3</v>
      </c>
      <c r="F72" s="5">
        <f t="shared" si="4"/>
        <v>1.6433999999999997E-2</v>
      </c>
      <c r="I72" s="3">
        <f>VLOOKUP(A72,'[1]36 - LP'!$A$9:$K$222,11,0)</f>
        <v>2.5999999999999999E-2</v>
      </c>
      <c r="J72" s="3">
        <f t="shared" si="5"/>
        <v>7.0000000000000027E-3</v>
      </c>
      <c r="K72" s="15"/>
    </row>
    <row r="73" spans="1:11" x14ac:dyDescent="0.3">
      <c r="A73" s="14"/>
      <c r="B73" s="11"/>
      <c r="E73" s="8" t="s">
        <v>81</v>
      </c>
      <c r="F73" s="5">
        <v>0.3</v>
      </c>
      <c r="I73" s="3"/>
      <c r="J73" s="3"/>
      <c r="K73" s="15"/>
    </row>
    <row r="74" spans="1:11" x14ac:dyDescent="0.3">
      <c r="A74" s="14"/>
      <c r="B74" s="11"/>
      <c r="E74" s="8" t="s">
        <v>71</v>
      </c>
      <c r="F74" s="5">
        <v>0.2</v>
      </c>
      <c r="I74" s="3"/>
      <c r="J74" s="3"/>
      <c r="K74" s="15"/>
    </row>
    <row r="75" spans="1:11" x14ac:dyDescent="0.3">
      <c r="A75" s="14"/>
      <c r="B75" s="11"/>
      <c r="E75" s="8" t="s">
        <v>85</v>
      </c>
      <c r="F75" s="5">
        <v>2E-3</v>
      </c>
      <c r="I75" s="3"/>
      <c r="J75" s="3"/>
      <c r="K75" s="15"/>
    </row>
    <row r="76" spans="1:11" x14ac:dyDescent="0.3">
      <c r="A76" s="14"/>
      <c r="B76" s="11"/>
      <c r="K76" s="15"/>
    </row>
    <row r="77" spans="1:11" x14ac:dyDescent="0.3">
      <c r="A77" s="14"/>
      <c r="B77" s="11"/>
      <c r="K77" s="15"/>
    </row>
    <row r="78" spans="1:11" x14ac:dyDescent="0.3">
      <c r="A78" s="14"/>
      <c r="B78" s="11"/>
      <c r="K78" s="15"/>
    </row>
    <row r="79" spans="1:11" x14ac:dyDescent="0.3">
      <c r="A79" s="14"/>
      <c r="B79" s="11"/>
      <c r="K79" s="15"/>
    </row>
    <row r="80" spans="1:11" x14ac:dyDescent="0.3">
      <c r="A80" s="14"/>
      <c r="B80" s="11"/>
      <c r="K80" s="15"/>
    </row>
    <row r="81" spans="1:11" x14ac:dyDescent="0.3">
      <c r="A81" s="14"/>
      <c r="B81" s="11"/>
      <c r="K81" s="15"/>
    </row>
    <row r="82" spans="1:11" x14ac:dyDescent="0.3">
      <c r="A82" s="14"/>
      <c r="B82" s="11"/>
      <c r="K82" s="15"/>
    </row>
    <row r="83" spans="1:11" x14ac:dyDescent="0.3">
      <c r="A83" s="14"/>
      <c r="B83" s="11"/>
      <c r="K83" s="15"/>
    </row>
    <row r="84" spans="1:11" x14ac:dyDescent="0.3">
      <c r="A84" s="14"/>
      <c r="B84" s="11"/>
      <c r="K84" s="15"/>
    </row>
    <row r="85" spans="1:11" x14ac:dyDescent="0.3">
      <c r="A85" s="14"/>
      <c r="B85" s="11"/>
      <c r="K85" s="15"/>
    </row>
    <row r="86" spans="1:11" x14ac:dyDescent="0.3">
      <c r="A86" s="14"/>
      <c r="B86" s="11"/>
      <c r="K86" s="15"/>
    </row>
    <row r="87" spans="1:11" x14ac:dyDescent="0.3">
      <c r="A87" s="14"/>
      <c r="B87" s="11"/>
      <c r="K87" s="15"/>
    </row>
    <row r="88" spans="1:11" x14ac:dyDescent="0.3">
      <c r="A88" s="14"/>
      <c r="B88" s="11"/>
      <c r="K88" s="15"/>
    </row>
    <row r="89" spans="1:11" x14ac:dyDescent="0.3">
      <c r="A89" s="14"/>
      <c r="B89" s="11"/>
      <c r="K89" s="15"/>
    </row>
    <row r="90" spans="1:11" x14ac:dyDescent="0.3">
      <c r="A90" s="14"/>
      <c r="B90" s="11"/>
      <c r="K90" s="15"/>
    </row>
    <row r="91" spans="1:11" x14ac:dyDescent="0.3">
      <c r="A91" s="14"/>
      <c r="B91" s="11"/>
      <c r="K91" s="15"/>
    </row>
    <row r="92" spans="1:11" x14ac:dyDescent="0.3">
      <c r="A92" s="14"/>
      <c r="B92" s="11"/>
      <c r="K92" s="15"/>
    </row>
    <row r="93" spans="1:11" x14ac:dyDescent="0.3">
      <c r="A93" s="14"/>
      <c r="B93" s="11"/>
      <c r="K93" s="15"/>
    </row>
    <row r="94" spans="1:11" x14ac:dyDescent="0.3">
      <c r="A94" s="14"/>
      <c r="B94" s="11"/>
      <c r="K94" s="15"/>
    </row>
    <row r="95" spans="1:11" x14ac:dyDescent="0.3">
      <c r="A95" s="14"/>
      <c r="B95" s="11"/>
      <c r="K95" s="15"/>
    </row>
    <row r="96" spans="1:11" x14ac:dyDescent="0.3">
      <c r="A96" s="14"/>
      <c r="B96" s="11"/>
      <c r="K96" s="15"/>
    </row>
    <row r="97" spans="1:11" x14ac:dyDescent="0.3">
      <c r="A97" s="14"/>
      <c r="B97" s="11"/>
      <c r="K97" s="15"/>
    </row>
    <row r="98" spans="1:11" x14ac:dyDescent="0.3">
      <c r="A98" s="14"/>
      <c r="B98" s="11"/>
      <c r="K98" s="15"/>
    </row>
    <row r="99" spans="1:11" x14ac:dyDescent="0.3">
      <c r="A99" s="14"/>
      <c r="B99" s="11"/>
      <c r="K99" s="15"/>
    </row>
    <row r="100" spans="1:11" x14ac:dyDescent="0.3">
      <c r="A100" s="14"/>
      <c r="B100" s="11"/>
      <c r="K100" s="15"/>
    </row>
    <row r="101" spans="1:11" x14ac:dyDescent="0.3">
      <c r="A101" s="14"/>
      <c r="B101" s="11"/>
      <c r="K101" s="15"/>
    </row>
    <row r="102" spans="1:11" x14ac:dyDescent="0.3">
      <c r="A102" s="14"/>
      <c r="B102" s="11"/>
      <c r="K102" s="15"/>
    </row>
    <row r="103" spans="1:11" x14ac:dyDescent="0.3">
      <c r="A103" s="14"/>
      <c r="B103" s="11"/>
      <c r="K103" s="15"/>
    </row>
    <row r="104" spans="1:11" x14ac:dyDescent="0.3">
      <c r="A104" s="14"/>
      <c r="B104" s="11"/>
      <c r="K104" s="15"/>
    </row>
    <row r="105" spans="1:11" x14ac:dyDescent="0.3">
      <c r="A105" s="14"/>
      <c r="B105" s="11"/>
      <c r="K105" s="15"/>
    </row>
    <row r="106" spans="1:11" x14ac:dyDescent="0.3">
      <c r="A106" s="14"/>
      <c r="B106" s="11"/>
      <c r="K106" s="15"/>
    </row>
    <row r="107" spans="1:11" x14ac:dyDescent="0.3">
      <c r="A107" s="14"/>
      <c r="B107" s="11"/>
      <c r="K107" s="15"/>
    </row>
    <row r="108" spans="1:11" x14ac:dyDescent="0.3">
      <c r="A108" s="14"/>
      <c r="B108" s="11"/>
      <c r="K108" s="15"/>
    </row>
    <row r="109" spans="1:11" x14ac:dyDescent="0.3">
      <c r="A109" s="14"/>
      <c r="B109" s="11"/>
      <c r="K109" s="15"/>
    </row>
    <row r="110" spans="1:11" x14ac:dyDescent="0.3">
      <c r="A110" s="14"/>
      <c r="B110" s="11"/>
      <c r="K110" s="15"/>
    </row>
    <row r="111" spans="1:11" x14ac:dyDescent="0.3">
      <c r="A111" s="14"/>
      <c r="B111" s="11"/>
      <c r="K111" s="15"/>
    </row>
    <row r="112" spans="1:11" x14ac:dyDescent="0.3">
      <c r="A112" s="14"/>
      <c r="B112" s="11"/>
      <c r="K112" s="15"/>
    </row>
    <row r="113" spans="1:11" x14ac:dyDescent="0.3">
      <c r="A113" s="14"/>
      <c r="B113" s="11"/>
      <c r="K113" s="15"/>
    </row>
    <row r="114" spans="1:11" x14ac:dyDescent="0.3">
      <c r="A114" s="14"/>
      <c r="B114" s="11"/>
      <c r="K114" s="15"/>
    </row>
    <row r="115" spans="1:11" x14ac:dyDescent="0.3">
      <c r="A115" s="14"/>
      <c r="B115" s="11"/>
      <c r="K115" s="15"/>
    </row>
    <row r="116" spans="1:11" x14ac:dyDescent="0.3">
      <c r="A116" s="14"/>
      <c r="B116" s="11"/>
      <c r="K116" s="15"/>
    </row>
    <row r="117" spans="1:11" x14ac:dyDescent="0.3">
      <c r="A117" s="14"/>
      <c r="B117" s="11"/>
      <c r="K117" s="15"/>
    </row>
    <row r="118" spans="1:11" x14ac:dyDescent="0.3">
      <c r="A118" s="14"/>
      <c r="B118" s="11"/>
      <c r="K118" s="15"/>
    </row>
    <row r="119" spans="1:11" x14ac:dyDescent="0.3">
      <c r="A119" s="14"/>
      <c r="B119" s="11"/>
      <c r="K119" s="15"/>
    </row>
    <row r="120" spans="1:11" x14ac:dyDescent="0.3">
      <c r="A120" s="14"/>
      <c r="B120" s="11"/>
      <c r="K120" s="15"/>
    </row>
    <row r="121" spans="1:11" x14ac:dyDescent="0.3">
      <c r="A121" s="14"/>
      <c r="B121" s="11"/>
      <c r="K121" s="15"/>
    </row>
    <row r="122" spans="1:11" x14ac:dyDescent="0.3">
      <c r="A122" s="14"/>
      <c r="B122" s="11"/>
      <c r="K122" s="15"/>
    </row>
    <row r="123" spans="1:11" x14ac:dyDescent="0.3">
      <c r="A123" s="14"/>
      <c r="B123" s="11"/>
      <c r="K123" s="15"/>
    </row>
    <row r="124" spans="1:11" x14ac:dyDescent="0.3">
      <c r="A124" s="14"/>
      <c r="B124" s="11"/>
      <c r="K124" s="15"/>
    </row>
    <row r="125" spans="1:11" x14ac:dyDescent="0.3">
      <c r="A125" s="14"/>
      <c r="B125" s="11"/>
      <c r="K125" s="15"/>
    </row>
    <row r="126" spans="1:11" x14ac:dyDescent="0.3">
      <c r="A126" s="14"/>
      <c r="B126" s="11"/>
      <c r="K126" s="15"/>
    </row>
    <row r="127" spans="1:11" x14ac:dyDescent="0.3">
      <c r="A127" s="14"/>
      <c r="B127" s="11"/>
      <c r="K127" s="15"/>
    </row>
    <row r="128" spans="1:11" x14ac:dyDescent="0.3">
      <c r="A128" s="14"/>
      <c r="B128" s="11"/>
      <c r="K128" s="15"/>
    </row>
    <row r="129" spans="1:11" x14ac:dyDescent="0.3">
      <c r="A129" s="14"/>
      <c r="B129" s="11"/>
      <c r="K129" s="15"/>
    </row>
    <row r="130" spans="1:11" x14ac:dyDescent="0.3">
      <c r="A130" s="14"/>
      <c r="B130" s="11"/>
      <c r="K130" s="15"/>
    </row>
    <row r="131" spans="1:11" x14ac:dyDescent="0.3">
      <c r="A131" s="14"/>
      <c r="B131" s="11"/>
      <c r="K131" s="15"/>
    </row>
    <row r="132" spans="1:11" x14ac:dyDescent="0.3">
      <c r="A132" s="14"/>
      <c r="B132" s="11"/>
      <c r="K132" s="15"/>
    </row>
    <row r="133" spans="1:11" x14ac:dyDescent="0.3">
      <c r="A133" s="14"/>
      <c r="B133" s="11"/>
      <c r="K133" s="15"/>
    </row>
    <row r="134" spans="1:11" x14ac:dyDescent="0.3">
      <c r="A134" s="14"/>
      <c r="B134" s="11"/>
      <c r="K134" s="15"/>
    </row>
    <row r="135" spans="1:11" x14ac:dyDescent="0.3">
      <c r="A135" s="14"/>
      <c r="B135" s="11"/>
      <c r="K135" s="15"/>
    </row>
    <row r="136" spans="1:11" x14ac:dyDescent="0.3">
      <c r="A136" s="14"/>
      <c r="B136" s="11"/>
      <c r="K136" s="15"/>
    </row>
    <row r="137" spans="1:11" x14ac:dyDescent="0.3">
      <c r="A137" s="14"/>
      <c r="B137" s="11"/>
      <c r="K137" s="15"/>
    </row>
    <row r="138" spans="1:11" x14ac:dyDescent="0.3">
      <c r="A138" s="14"/>
      <c r="B138" s="11"/>
      <c r="K138" s="15"/>
    </row>
    <row r="139" spans="1:11" x14ac:dyDescent="0.3">
      <c r="A139" s="14"/>
      <c r="B139" s="11"/>
      <c r="K139" s="15"/>
    </row>
    <row r="140" spans="1:11" x14ac:dyDescent="0.3">
      <c r="A140" s="14"/>
      <c r="B140" s="11"/>
      <c r="K140" s="15"/>
    </row>
    <row r="141" spans="1:11" x14ac:dyDescent="0.3">
      <c r="A141" s="14"/>
      <c r="B141" s="11"/>
      <c r="K141" s="15"/>
    </row>
    <row r="142" spans="1:11" x14ac:dyDescent="0.3">
      <c r="A142" s="14"/>
      <c r="B142" s="11"/>
      <c r="K142" s="15"/>
    </row>
    <row r="143" spans="1:11" x14ac:dyDescent="0.3">
      <c r="A143" s="14"/>
      <c r="B143" s="11"/>
      <c r="K143" s="15"/>
    </row>
    <row r="144" spans="1:11" x14ac:dyDescent="0.3">
      <c r="A144" s="14"/>
      <c r="B144" s="11"/>
      <c r="K144" s="15"/>
    </row>
    <row r="145" spans="1:11" x14ac:dyDescent="0.3">
      <c r="A145" s="14"/>
      <c r="B145" s="11"/>
      <c r="K145" s="15"/>
    </row>
    <row r="146" spans="1:11" x14ac:dyDescent="0.3">
      <c r="A146" s="14"/>
      <c r="B146" s="11"/>
      <c r="K146" s="15"/>
    </row>
    <row r="147" spans="1:11" x14ac:dyDescent="0.3">
      <c r="A147" s="14"/>
      <c r="B147" s="11"/>
      <c r="K147" s="15"/>
    </row>
    <row r="148" spans="1:11" x14ac:dyDescent="0.3">
      <c r="A148" s="14"/>
      <c r="B148" s="11"/>
      <c r="K148" s="15"/>
    </row>
    <row r="149" spans="1:11" x14ac:dyDescent="0.3">
      <c r="A149" s="14"/>
      <c r="B149" s="11"/>
      <c r="K149" s="15"/>
    </row>
    <row r="150" spans="1:11" x14ac:dyDescent="0.3">
      <c r="A150" s="14"/>
      <c r="B150" s="11"/>
      <c r="K150" s="15"/>
    </row>
    <row r="151" spans="1:11" x14ac:dyDescent="0.3">
      <c r="A151" s="14"/>
      <c r="B151" s="11"/>
      <c r="K151" s="15"/>
    </row>
    <row r="152" spans="1:11" x14ac:dyDescent="0.3">
      <c r="A152" s="14"/>
      <c r="B152" s="11"/>
      <c r="K152" s="15"/>
    </row>
    <row r="153" spans="1:11" x14ac:dyDescent="0.3">
      <c r="A153" s="14"/>
      <c r="B153" s="11"/>
      <c r="K153" s="15"/>
    </row>
    <row r="154" spans="1:11" x14ac:dyDescent="0.3">
      <c r="A154" s="14"/>
      <c r="B154" s="11"/>
      <c r="K154" s="15"/>
    </row>
    <row r="155" spans="1:11" x14ac:dyDescent="0.3">
      <c r="A155" s="14"/>
      <c r="B155" s="11"/>
      <c r="K155" s="15"/>
    </row>
    <row r="156" spans="1:11" x14ac:dyDescent="0.3">
      <c r="A156" s="14"/>
      <c r="B156" s="11"/>
      <c r="K156" s="15"/>
    </row>
    <row r="157" spans="1:11" x14ac:dyDescent="0.3">
      <c r="A157" s="14"/>
      <c r="B157" s="11"/>
      <c r="K157" s="15"/>
    </row>
    <row r="158" spans="1:11" x14ac:dyDescent="0.3">
      <c r="A158" s="14"/>
      <c r="B158" s="11"/>
      <c r="K158" s="15"/>
    </row>
    <row r="159" spans="1:11" x14ac:dyDescent="0.3">
      <c r="A159" s="14"/>
      <c r="B159" s="11"/>
      <c r="K159" s="15"/>
    </row>
    <row r="160" spans="1:11" x14ac:dyDescent="0.3">
      <c r="A160" s="14"/>
      <c r="B160" s="11"/>
      <c r="K160" s="15"/>
    </row>
    <row r="161" spans="1:11" x14ac:dyDescent="0.3">
      <c r="A161" s="14"/>
      <c r="B161" s="11"/>
      <c r="K161" s="15"/>
    </row>
    <row r="162" spans="1:11" x14ac:dyDescent="0.3">
      <c r="A162" s="14"/>
      <c r="B162" s="11"/>
      <c r="K162" s="15"/>
    </row>
    <row r="163" spans="1:11" x14ac:dyDescent="0.3">
      <c r="A163" s="14"/>
      <c r="B163" s="11"/>
      <c r="K163" s="15"/>
    </row>
    <row r="164" spans="1:11" x14ac:dyDescent="0.3">
      <c r="A164" s="14"/>
      <c r="B164" s="11"/>
      <c r="K164" s="15"/>
    </row>
    <row r="165" spans="1:11" x14ac:dyDescent="0.3">
      <c r="A165" s="14"/>
      <c r="B165" s="11"/>
      <c r="K165" s="15"/>
    </row>
    <row r="166" spans="1:11" x14ac:dyDescent="0.3">
      <c r="A166" s="14"/>
      <c r="B166" s="11"/>
      <c r="K166" s="15"/>
    </row>
    <row r="167" spans="1:11" x14ac:dyDescent="0.3">
      <c r="A167" s="14"/>
      <c r="B167" s="11"/>
      <c r="K167" s="15"/>
    </row>
    <row r="168" spans="1:11" x14ac:dyDescent="0.3">
      <c r="A168" s="14"/>
      <c r="B168" s="11"/>
      <c r="K168" s="15"/>
    </row>
    <row r="169" spans="1:11" x14ac:dyDescent="0.3">
      <c r="A169" s="14"/>
      <c r="B169" s="11"/>
      <c r="K169" s="15"/>
    </row>
    <row r="170" spans="1:11" x14ac:dyDescent="0.3">
      <c r="A170" s="14"/>
      <c r="B170" s="11"/>
      <c r="K170" s="15"/>
    </row>
    <row r="171" spans="1:11" x14ac:dyDescent="0.3">
      <c r="A171" s="14"/>
      <c r="B171" s="11"/>
      <c r="K171" s="15"/>
    </row>
    <row r="172" spans="1:11" x14ac:dyDescent="0.3">
      <c r="A172" s="14"/>
      <c r="B172" s="11"/>
      <c r="K172" s="15"/>
    </row>
    <row r="173" spans="1:11" x14ac:dyDescent="0.3">
      <c r="A173" s="14"/>
      <c r="B173" s="11"/>
      <c r="K173" s="15"/>
    </row>
    <row r="174" spans="1:11" x14ac:dyDescent="0.3">
      <c r="A174" s="14"/>
      <c r="B174" s="11"/>
      <c r="K174" s="15"/>
    </row>
    <row r="175" spans="1:11" x14ac:dyDescent="0.3">
      <c r="A175" s="14"/>
      <c r="B175" s="11"/>
      <c r="K175" s="15"/>
    </row>
    <row r="176" spans="1:11" x14ac:dyDescent="0.3">
      <c r="A176" s="14"/>
      <c r="B176" s="11"/>
      <c r="K176" s="15"/>
    </row>
    <row r="177" spans="1:11" x14ac:dyDescent="0.3">
      <c r="A177" s="14"/>
      <c r="B177" s="11"/>
      <c r="K177" s="15"/>
    </row>
    <row r="178" spans="1:11" x14ac:dyDescent="0.3">
      <c r="A178" s="14"/>
      <c r="B178" s="11"/>
      <c r="K178" s="15"/>
    </row>
    <row r="179" spans="1:11" x14ac:dyDescent="0.3">
      <c r="A179" s="14"/>
      <c r="B179" s="11"/>
      <c r="K179" s="15"/>
    </row>
    <row r="180" spans="1:11" x14ac:dyDescent="0.3">
      <c r="A180" s="14"/>
      <c r="B180" s="11"/>
      <c r="K180" s="15"/>
    </row>
    <row r="181" spans="1:11" x14ac:dyDescent="0.3">
      <c r="A181" s="14"/>
      <c r="B181" s="11"/>
      <c r="K181" s="15"/>
    </row>
    <row r="182" spans="1:11" x14ac:dyDescent="0.3">
      <c r="A182" s="14"/>
      <c r="B182" s="11"/>
      <c r="K182" s="15"/>
    </row>
    <row r="183" spans="1:11" x14ac:dyDescent="0.3">
      <c r="A183" s="14"/>
      <c r="B183" s="11"/>
      <c r="K183" s="15"/>
    </row>
    <row r="184" spans="1:11" x14ac:dyDescent="0.3">
      <c r="A184" s="14"/>
      <c r="B184" s="11"/>
      <c r="K184" s="15"/>
    </row>
    <row r="185" spans="1:11" x14ac:dyDescent="0.3">
      <c r="A185" s="14"/>
      <c r="B185" s="11"/>
      <c r="K185" s="15"/>
    </row>
    <row r="186" spans="1:11" x14ac:dyDescent="0.3">
      <c r="A186" s="14"/>
      <c r="B186" s="11"/>
      <c r="K186" s="15"/>
    </row>
    <row r="187" spans="1:11" x14ac:dyDescent="0.3">
      <c r="A187" s="14"/>
      <c r="B187" s="11"/>
      <c r="K187" s="15"/>
    </row>
    <row r="188" spans="1:11" x14ac:dyDescent="0.3">
      <c r="A188" s="14"/>
      <c r="B188" s="11"/>
      <c r="K188" s="15"/>
    </row>
    <row r="189" spans="1:11" x14ac:dyDescent="0.3">
      <c r="A189" s="14"/>
      <c r="B189" s="11"/>
      <c r="K189" s="15"/>
    </row>
    <row r="190" spans="1:11" x14ac:dyDescent="0.3">
      <c r="A190" s="14"/>
      <c r="B190" s="11"/>
      <c r="K190" s="15"/>
    </row>
    <row r="191" spans="1:11" x14ac:dyDescent="0.3">
      <c r="A191" s="14"/>
      <c r="B191" s="11"/>
      <c r="K191" s="15"/>
    </row>
    <row r="192" spans="1:11" x14ac:dyDescent="0.3">
      <c r="A192" s="14"/>
      <c r="B192" s="11"/>
      <c r="K192" s="15"/>
    </row>
    <row r="193" spans="1:11" x14ac:dyDescent="0.3">
      <c r="A193" s="14"/>
      <c r="B193" s="11"/>
      <c r="K193" s="15"/>
    </row>
    <row r="194" spans="1:11" x14ac:dyDescent="0.3">
      <c r="A194" s="14"/>
      <c r="B194" s="11"/>
      <c r="K194" s="15"/>
    </row>
    <row r="195" spans="1:11" x14ac:dyDescent="0.3">
      <c r="A195" s="14"/>
      <c r="B195" s="11"/>
      <c r="K195" s="15"/>
    </row>
    <row r="196" spans="1:11" x14ac:dyDescent="0.3">
      <c r="A196" s="14"/>
      <c r="B196" s="11"/>
      <c r="K196" s="15"/>
    </row>
    <row r="197" spans="1:11" x14ac:dyDescent="0.3">
      <c r="A197" s="14"/>
      <c r="B197" s="11"/>
      <c r="K197" s="15"/>
    </row>
    <row r="198" spans="1:11" x14ac:dyDescent="0.3">
      <c r="A198" s="14"/>
      <c r="B198" s="11"/>
      <c r="K198" s="15"/>
    </row>
    <row r="199" spans="1:11" x14ac:dyDescent="0.3">
      <c r="A199" s="14"/>
      <c r="B199" s="11"/>
      <c r="K199" s="15"/>
    </row>
    <row r="200" spans="1:11" x14ac:dyDescent="0.3">
      <c r="A200" s="14"/>
      <c r="B200" s="11"/>
      <c r="K200" s="15"/>
    </row>
    <row r="201" spans="1:11" x14ac:dyDescent="0.3">
      <c r="A201" s="14"/>
      <c r="B201" s="11"/>
      <c r="K201" s="15"/>
    </row>
    <row r="202" spans="1:11" x14ac:dyDescent="0.3">
      <c r="A202" s="14"/>
      <c r="B202" s="11"/>
      <c r="K202" s="15"/>
    </row>
    <row r="203" spans="1:11" x14ac:dyDescent="0.3">
      <c r="A203" s="14"/>
      <c r="B203" s="11"/>
      <c r="K203" s="15"/>
    </row>
    <row r="204" spans="1:11" x14ac:dyDescent="0.3">
      <c r="A204" s="14"/>
      <c r="B204" s="11"/>
      <c r="K204" s="15"/>
    </row>
  </sheetData>
  <sortState xmlns:xlrd2="http://schemas.microsoft.com/office/spreadsheetml/2017/richdata2" ref="A2:B205">
    <sortCondition descending="1" ref="B2:B205"/>
  </sortState>
  <conditionalFormatting sqref="J2:J7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3C86-1269-4C05-9358-58AAC1D35CD8}">
  <sheetPr codeName="Planilha7">
    <tabColor theme="3" tint="0.749992370372631"/>
  </sheetPr>
  <dimension ref="A1:K202"/>
  <sheetViews>
    <sheetView workbookViewId="0">
      <selection activeCell="J2" sqref="J2:J39"/>
    </sheetView>
  </sheetViews>
  <sheetFormatPr defaultRowHeight="14.4" x14ac:dyDescent="0.3"/>
  <cols>
    <col min="1" max="1" width="19.88671875" customWidth="1"/>
    <col min="2" max="2" width="19.6640625" style="4" bestFit="1" customWidth="1"/>
    <col min="5" max="6" width="9.109375" style="8"/>
    <col min="10" max="10" width="12.109375" bestFit="1" customWidth="1"/>
    <col min="13" max="13" width="12.109375" bestFit="1" customWidth="1"/>
  </cols>
  <sheetData>
    <row r="1" spans="1:11" ht="15" thickBot="1" x14ac:dyDescent="0.35">
      <c r="A1" s="1" t="s">
        <v>0</v>
      </c>
      <c r="B1" s="2" t="s">
        <v>79</v>
      </c>
      <c r="C1" s="3">
        <f>SUM(B:B)</f>
        <v>1.0000000000000004</v>
      </c>
      <c r="E1" s="8" t="s">
        <v>0</v>
      </c>
      <c r="F1" s="8" t="s">
        <v>80</v>
      </c>
      <c r="G1" s="3">
        <f>SUM(F:F)</f>
        <v>1</v>
      </c>
    </row>
    <row r="2" spans="1:11" x14ac:dyDescent="0.3">
      <c r="A2" s="14" t="s">
        <v>105</v>
      </c>
      <c r="B2" s="11">
        <v>1.6E-2</v>
      </c>
      <c r="E2" s="8" t="str">
        <f>A2</f>
        <v>RIAA3</v>
      </c>
      <c r="F2" s="5">
        <f t="shared" ref="F2:F39" si="0">(1-$F$40-$F$41)*B2</f>
        <v>7.9520000000000007E-3</v>
      </c>
      <c r="I2" s="3">
        <f>VLOOKUP(A2,'[1]37 - ISEE'!$A$9:$K$222,11,0)</f>
        <v>1.6E-2</v>
      </c>
      <c r="J2" s="3">
        <f>B2-I2</f>
        <v>0</v>
      </c>
      <c r="K2" s="6"/>
    </row>
    <row r="3" spans="1:11" x14ac:dyDescent="0.3">
      <c r="A3" s="14" t="s">
        <v>48</v>
      </c>
      <c r="B3" s="11">
        <v>0.01</v>
      </c>
      <c r="E3" s="8" t="str">
        <f t="shared" ref="E3:E38" si="1">A3</f>
        <v>JHSF3</v>
      </c>
      <c r="F3" s="5">
        <f t="shared" si="0"/>
        <v>4.9700000000000005E-3</v>
      </c>
      <c r="I3" s="3">
        <f>VLOOKUP(A3,'[1]37 - ISEE'!$A$9:$K$222,11,0)</f>
        <v>0</v>
      </c>
      <c r="J3" s="3">
        <f t="shared" ref="J3:J39" si="2">B3-I3</f>
        <v>0.01</v>
      </c>
      <c r="K3" s="6"/>
    </row>
    <row r="4" spans="1:11" x14ac:dyDescent="0.3">
      <c r="A4" s="14" t="s">
        <v>50</v>
      </c>
      <c r="B4" s="11">
        <v>3.4000000000000002E-2</v>
      </c>
      <c r="E4" s="8" t="str">
        <f t="shared" si="1"/>
        <v>MTRE3</v>
      </c>
      <c r="F4" s="5">
        <f t="shared" si="0"/>
        <v>1.6898E-2</v>
      </c>
      <c r="I4" s="3">
        <f>VLOOKUP(A4,'[1]37 - ISEE'!$A$9:$K$222,11,0)</f>
        <v>3.5000000000000003E-2</v>
      </c>
      <c r="J4" s="3">
        <f t="shared" si="2"/>
        <v>-1.0000000000000009E-3</v>
      </c>
      <c r="K4" s="6"/>
    </row>
    <row r="5" spans="1:11" x14ac:dyDescent="0.3">
      <c r="A5" s="14" t="s">
        <v>26</v>
      </c>
      <c r="B5" s="11">
        <v>0.01</v>
      </c>
      <c r="E5" s="8" t="str">
        <f t="shared" si="1"/>
        <v>BRSR6</v>
      </c>
      <c r="F5" s="5">
        <f t="shared" si="0"/>
        <v>4.9700000000000005E-3</v>
      </c>
      <c r="I5" s="3">
        <f>VLOOKUP(A5,'[1]37 - ISEE'!$A$9:$K$222,11,0)</f>
        <v>0</v>
      </c>
      <c r="J5" s="3">
        <f t="shared" si="2"/>
        <v>0.01</v>
      </c>
      <c r="K5" s="6"/>
    </row>
    <row r="6" spans="1:11" x14ac:dyDescent="0.3">
      <c r="A6" s="14" t="s">
        <v>62</v>
      </c>
      <c r="B6" s="11">
        <v>0.01</v>
      </c>
      <c r="E6" s="8" t="str">
        <f t="shared" si="1"/>
        <v>GRND3</v>
      </c>
      <c r="F6" s="5">
        <f t="shared" si="0"/>
        <v>4.9700000000000005E-3</v>
      </c>
      <c r="I6" s="3">
        <f>VLOOKUP(A6,'[1]37 - ISEE'!$A$9:$K$222,11,0)</f>
        <v>0</v>
      </c>
      <c r="J6" s="3">
        <f t="shared" si="2"/>
        <v>0.01</v>
      </c>
      <c r="K6" s="6"/>
    </row>
    <row r="7" spans="1:11" x14ac:dyDescent="0.3">
      <c r="A7" s="14" t="s">
        <v>23</v>
      </c>
      <c r="B7" s="11">
        <v>3.1E-2</v>
      </c>
      <c r="E7" s="8" t="str">
        <f t="shared" si="1"/>
        <v>TIMS3</v>
      </c>
      <c r="F7" s="5">
        <f t="shared" si="0"/>
        <v>1.5407000000000001E-2</v>
      </c>
      <c r="I7" s="3">
        <f>VLOOKUP(A7,'[1]37 - ISEE'!$A$9:$K$222,11,0)</f>
        <v>3.1E-2</v>
      </c>
      <c r="J7" s="3">
        <f t="shared" si="2"/>
        <v>0</v>
      </c>
      <c r="K7" s="6"/>
    </row>
    <row r="8" spans="1:11" x14ac:dyDescent="0.3">
      <c r="A8" s="14" t="s">
        <v>28</v>
      </c>
      <c r="B8" s="11">
        <v>0.01</v>
      </c>
      <c r="E8" s="8" t="str">
        <f t="shared" si="1"/>
        <v>LEVE3</v>
      </c>
      <c r="F8" s="5">
        <f t="shared" si="0"/>
        <v>4.9700000000000005E-3</v>
      </c>
      <c r="I8" s="3">
        <f>VLOOKUP(A8,'[1]37 - ISEE'!$A$9:$K$222,11,0)</f>
        <v>0</v>
      </c>
      <c r="J8" s="3">
        <f t="shared" si="2"/>
        <v>0.01</v>
      </c>
      <c r="K8" s="6"/>
    </row>
    <row r="9" spans="1:11" x14ac:dyDescent="0.3">
      <c r="A9" s="14" t="s">
        <v>90</v>
      </c>
      <c r="B9" s="11">
        <v>0.01</v>
      </c>
      <c r="E9" s="8" t="str">
        <f t="shared" si="1"/>
        <v>ABCB4</v>
      </c>
      <c r="F9" s="5">
        <f t="shared" si="0"/>
        <v>4.9700000000000005E-3</v>
      </c>
      <c r="I9" s="3">
        <f>VLOOKUP(A9,'[1]37 - ISEE'!$A$9:$K$222,11,0)</f>
        <v>0</v>
      </c>
      <c r="J9" s="3">
        <f t="shared" si="2"/>
        <v>0.01</v>
      </c>
      <c r="K9" s="6"/>
    </row>
    <row r="10" spans="1:11" x14ac:dyDescent="0.3">
      <c r="A10" s="14" t="s">
        <v>78</v>
      </c>
      <c r="B10" s="11">
        <v>2.1999999999999999E-2</v>
      </c>
      <c r="E10" s="8" t="str">
        <f t="shared" si="1"/>
        <v>SAPR11</v>
      </c>
      <c r="F10" s="5">
        <f t="shared" si="0"/>
        <v>1.0933999999999999E-2</v>
      </c>
      <c r="I10" s="3">
        <f>VLOOKUP(A10,'[1]37 - ISEE'!$A$9:$K$222,11,0)</f>
        <v>2.1999999999999999E-2</v>
      </c>
      <c r="J10" s="3">
        <f t="shared" si="2"/>
        <v>0</v>
      </c>
      <c r="K10" s="6"/>
    </row>
    <row r="11" spans="1:11" x14ac:dyDescent="0.3">
      <c r="A11" s="14" t="s">
        <v>116</v>
      </c>
      <c r="B11" s="11">
        <v>1.7999999999999999E-2</v>
      </c>
      <c r="E11" s="8" t="str">
        <f t="shared" si="1"/>
        <v>ODPV3</v>
      </c>
      <c r="F11" s="5">
        <f t="shared" si="0"/>
        <v>8.9459999999999991E-3</v>
      </c>
      <c r="I11" s="3">
        <f>VLOOKUP(A11,'[1]37 - ISEE'!$A$9:$K$222,11,0)</f>
        <v>1.7999999999999999E-2</v>
      </c>
      <c r="J11" s="3">
        <f t="shared" si="2"/>
        <v>0</v>
      </c>
      <c r="K11" s="6"/>
    </row>
    <row r="12" spans="1:11" x14ac:dyDescent="0.3">
      <c r="A12" s="14" t="s">
        <v>30</v>
      </c>
      <c r="B12" s="11">
        <v>0.01</v>
      </c>
      <c r="E12" s="8" t="str">
        <f t="shared" si="1"/>
        <v>CURY3</v>
      </c>
      <c r="F12" s="5">
        <f t="shared" si="0"/>
        <v>4.9700000000000005E-3</v>
      </c>
      <c r="I12" s="3">
        <f>VLOOKUP(A12,'[1]37 - ISEE'!$A$9:$K$222,11,0)</f>
        <v>0</v>
      </c>
      <c r="J12" s="3">
        <f t="shared" si="2"/>
        <v>0.01</v>
      </c>
      <c r="K12" s="6"/>
    </row>
    <row r="13" spans="1:11" x14ac:dyDescent="0.3">
      <c r="A13" s="14" t="s">
        <v>45</v>
      </c>
      <c r="B13" s="11">
        <v>4.9000000000000002E-2</v>
      </c>
      <c r="E13" s="8" t="str">
        <f t="shared" si="1"/>
        <v>ALOS3</v>
      </c>
      <c r="F13" s="5">
        <f t="shared" si="0"/>
        <v>2.4353E-2</v>
      </c>
      <c r="I13" s="3">
        <f>VLOOKUP(A13,'[1]37 - ISEE'!$A$9:$K$222,11,0)</f>
        <v>4.9000000000000002E-2</v>
      </c>
      <c r="J13" s="3">
        <f t="shared" si="2"/>
        <v>0</v>
      </c>
      <c r="K13" s="6"/>
    </row>
    <row r="14" spans="1:11" x14ac:dyDescent="0.3">
      <c r="A14" s="14" t="s">
        <v>95</v>
      </c>
      <c r="B14" s="11">
        <v>2.1999999999999999E-2</v>
      </c>
      <c r="E14" s="8" t="str">
        <f t="shared" si="1"/>
        <v>OPCT3</v>
      </c>
      <c r="F14" s="5">
        <f t="shared" si="0"/>
        <v>1.0933999999999999E-2</v>
      </c>
      <c r="I14" s="3">
        <f>VLOOKUP(A14,'[1]37 - ISEE'!$A$9:$K$222,11,0)</f>
        <v>2.1999999999999999E-2</v>
      </c>
      <c r="J14" s="3">
        <f t="shared" si="2"/>
        <v>0</v>
      </c>
      <c r="K14" s="6"/>
    </row>
    <row r="15" spans="1:11" x14ac:dyDescent="0.3">
      <c r="A15" s="14" t="s">
        <v>13</v>
      </c>
      <c r="B15" s="11">
        <v>2.8000000000000001E-2</v>
      </c>
      <c r="E15" s="8" t="str">
        <f t="shared" si="1"/>
        <v>VIVT3</v>
      </c>
      <c r="F15" s="5">
        <f t="shared" si="0"/>
        <v>1.3916E-2</v>
      </c>
      <c r="I15" s="3">
        <f>VLOOKUP(A15,'[1]37 - ISEE'!$A$9:$K$222,11,0)</f>
        <v>2.8000000000000001E-2</v>
      </c>
      <c r="J15" s="3">
        <f t="shared" si="2"/>
        <v>0</v>
      </c>
      <c r="K15" s="6"/>
    </row>
    <row r="16" spans="1:11" x14ac:dyDescent="0.3">
      <c r="A16" s="14" t="s">
        <v>68</v>
      </c>
      <c r="B16" s="11">
        <v>5.0999999999999997E-2</v>
      </c>
      <c r="E16" s="8" t="str">
        <f t="shared" si="1"/>
        <v>ITSA4</v>
      </c>
      <c r="F16" s="5">
        <f t="shared" si="0"/>
        <v>2.5346999999999998E-2</v>
      </c>
      <c r="I16" s="3">
        <f>VLOOKUP(A16,'[1]37 - ISEE'!$A$9:$K$222,11,0)</f>
        <v>5.0999999999999997E-2</v>
      </c>
      <c r="J16" s="3">
        <f t="shared" si="2"/>
        <v>0</v>
      </c>
      <c r="K16" s="6"/>
    </row>
    <row r="17" spans="1:11" x14ac:dyDescent="0.3">
      <c r="A17" s="14" t="s">
        <v>66</v>
      </c>
      <c r="B17" s="11">
        <v>2.4E-2</v>
      </c>
      <c r="E17" s="8" t="str">
        <f t="shared" si="1"/>
        <v>ABEV3</v>
      </c>
      <c r="F17" s="5">
        <f t="shared" si="0"/>
        <v>1.1927999999999999E-2</v>
      </c>
      <c r="I17" s="3">
        <f>VLOOKUP(A17,'[1]37 - ISEE'!$A$9:$K$222,11,0)</f>
        <v>2.4E-2</v>
      </c>
      <c r="J17" s="3">
        <f t="shared" si="2"/>
        <v>0</v>
      </c>
      <c r="K17" s="6"/>
    </row>
    <row r="18" spans="1:11" x14ac:dyDescent="0.3">
      <c r="A18" s="14" t="s">
        <v>31</v>
      </c>
      <c r="B18" s="11">
        <v>2.5000000000000001E-2</v>
      </c>
      <c r="E18" s="8" t="str">
        <f t="shared" si="1"/>
        <v>PSSA3</v>
      </c>
      <c r="F18" s="5">
        <f t="shared" si="0"/>
        <v>1.2425E-2</v>
      </c>
      <c r="I18" s="3">
        <f>VLOOKUP(A18,'[1]37 - ISEE'!$A$9:$K$222,11,0)</f>
        <v>2.5000000000000001E-2</v>
      </c>
      <c r="J18" s="3">
        <f t="shared" si="2"/>
        <v>0</v>
      </c>
      <c r="K18" s="6"/>
    </row>
    <row r="19" spans="1:11" x14ac:dyDescent="0.3">
      <c r="A19" s="14" t="s">
        <v>109</v>
      </c>
      <c r="B19" s="11">
        <v>2.1000000000000001E-2</v>
      </c>
      <c r="E19" s="8" t="str">
        <f t="shared" si="1"/>
        <v>CAML3</v>
      </c>
      <c r="F19" s="5">
        <f t="shared" si="0"/>
        <v>1.0437E-2</v>
      </c>
      <c r="I19" s="3">
        <f>VLOOKUP(A19,'[1]37 - ISEE'!$A$9:$K$222,11,0)</f>
        <v>2.1000000000000001E-2</v>
      </c>
      <c r="J19" s="3">
        <f t="shared" si="2"/>
        <v>0</v>
      </c>
      <c r="K19" s="6"/>
    </row>
    <row r="20" spans="1:11" x14ac:dyDescent="0.3">
      <c r="A20" s="14" t="s">
        <v>126</v>
      </c>
      <c r="B20" s="11">
        <v>0.02</v>
      </c>
      <c r="E20" s="8" t="str">
        <f t="shared" si="1"/>
        <v>AZZA3</v>
      </c>
      <c r="F20" s="5">
        <f t="shared" si="0"/>
        <v>9.9400000000000009E-3</v>
      </c>
      <c r="I20" s="3">
        <f>VLOOKUP(A20,'[1]37 - ISEE'!$A$9:$K$222,11,0)</f>
        <v>0.02</v>
      </c>
      <c r="J20" s="3">
        <f t="shared" si="2"/>
        <v>0</v>
      </c>
      <c r="K20" s="6"/>
    </row>
    <row r="21" spans="1:11" x14ac:dyDescent="0.3">
      <c r="A21" s="14" t="s">
        <v>88</v>
      </c>
      <c r="B21" s="11">
        <v>4.7E-2</v>
      </c>
      <c r="E21" s="8" t="str">
        <f t="shared" si="1"/>
        <v>CPLE3</v>
      </c>
      <c r="F21" s="5">
        <f t="shared" si="0"/>
        <v>2.3359000000000001E-2</v>
      </c>
      <c r="I21" s="3">
        <f>VLOOKUP(A21,'[1]37 - ISEE'!$A$9:$K$222,11,0)</f>
        <v>4.7E-2</v>
      </c>
      <c r="J21" s="3">
        <f t="shared" si="2"/>
        <v>0</v>
      </c>
      <c r="K21" s="6"/>
    </row>
    <row r="22" spans="1:11" x14ac:dyDescent="0.3">
      <c r="A22" s="14" t="s">
        <v>21</v>
      </c>
      <c r="B22" s="11">
        <v>3.5000000000000003E-2</v>
      </c>
      <c r="E22" s="8" t="str">
        <f t="shared" si="1"/>
        <v>CMIG4</v>
      </c>
      <c r="F22" s="5">
        <f t="shared" si="0"/>
        <v>1.7395000000000001E-2</v>
      </c>
      <c r="I22" s="3">
        <f>VLOOKUP(A22,'[1]37 - ISEE'!$A$9:$K$222,11,0)</f>
        <v>3.5000000000000003E-2</v>
      </c>
      <c r="J22" s="3">
        <f t="shared" si="2"/>
        <v>0</v>
      </c>
      <c r="K22" s="6"/>
    </row>
    <row r="23" spans="1:11" x14ac:dyDescent="0.3">
      <c r="A23" s="14" t="s">
        <v>128</v>
      </c>
      <c r="B23" s="11">
        <v>3.2000000000000001E-2</v>
      </c>
      <c r="E23" s="8" t="str">
        <f t="shared" si="1"/>
        <v>LREN3</v>
      </c>
      <c r="F23" s="5">
        <f t="shared" si="0"/>
        <v>1.5904000000000001E-2</v>
      </c>
      <c r="I23" s="3">
        <f>VLOOKUP(A23,'[1]37 - ISEE'!$A$9:$K$222,11,0)</f>
        <v>3.2000000000000001E-2</v>
      </c>
      <c r="J23" s="3">
        <f t="shared" si="2"/>
        <v>0</v>
      </c>
      <c r="K23" s="6"/>
    </row>
    <row r="24" spans="1:11" x14ac:dyDescent="0.3">
      <c r="A24" s="14" t="s">
        <v>61</v>
      </c>
      <c r="B24" s="11">
        <v>2.5999999999999999E-2</v>
      </c>
      <c r="E24" s="8" t="str">
        <f t="shared" si="1"/>
        <v>RANI3</v>
      </c>
      <c r="F24" s="5">
        <f t="shared" si="0"/>
        <v>1.2921999999999999E-2</v>
      </c>
      <c r="I24" s="3">
        <f>VLOOKUP(A24,'[1]37 - ISEE'!$A$9:$K$222,11,0)</f>
        <v>2.5999999999999999E-2</v>
      </c>
      <c r="J24" s="3">
        <f t="shared" si="2"/>
        <v>0</v>
      </c>
      <c r="K24" s="6"/>
    </row>
    <row r="25" spans="1:11" x14ac:dyDescent="0.3">
      <c r="A25" s="14" t="s">
        <v>32</v>
      </c>
      <c r="B25" s="11">
        <v>2.7E-2</v>
      </c>
      <c r="E25" s="8" t="str">
        <f t="shared" si="1"/>
        <v>CSMG3</v>
      </c>
      <c r="F25" s="5">
        <f t="shared" si="0"/>
        <v>1.3419E-2</v>
      </c>
      <c r="I25" s="3">
        <f>VLOOKUP(A25,'[1]37 - ISEE'!$A$9:$K$222,11,0)</f>
        <v>2.7E-2</v>
      </c>
      <c r="J25" s="3">
        <f t="shared" si="2"/>
        <v>0</v>
      </c>
      <c r="K25" s="6"/>
    </row>
    <row r="26" spans="1:11" x14ac:dyDescent="0.3">
      <c r="A26" s="14" t="s">
        <v>93</v>
      </c>
      <c r="B26" s="11">
        <v>0.04</v>
      </c>
      <c r="E26" s="8" t="str">
        <f t="shared" si="1"/>
        <v>IGTI11</v>
      </c>
      <c r="F26" s="5">
        <f t="shared" si="0"/>
        <v>1.9880000000000002E-2</v>
      </c>
      <c r="I26" s="3">
        <f>VLOOKUP(A26,'[1]37 - ISEE'!$A$9:$K$222,11,0)</f>
        <v>4.2000000000000003E-2</v>
      </c>
      <c r="J26" s="3">
        <f t="shared" si="2"/>
        <v>-2.0000000000000018E-3</v>
      </c>
      <c r="K26" s="6"/>
    </row>
    <row r="27" spans="1:11" x14ac:dyDescent="0.3">
      <c r="A27" s="14" t="s">
        <v>74</v>
      </c>
      <c r="B27" s="11">
        <v>4.2500000000000003E-2</v>
      </c>
      <c r="E27" s="8" t="str">
        <f t="shared" si="1"/>
        <v>ITUB4</v>
      </c>
      <c r="F27" s="5">
        <f t="shared" si="0"/>
        <v>2.1122500000000002E-2</v>
      </c>
      <c r="I27" s="3">
        <f>VLOOKUP(A27,'[1]37 - ISEE'!$A$9:$K$222,11,0)</f>
        <v>4.7E-2</v>
      </c>
      <c r="J27" s="3">
        <f t="shared" si="2"/>
        <v>-4.4999999999999971E-3</v>
      </c>
      <c r="K27" s="6"/>
    </row>
    <row r="28" spans="1:11" x14ac:dyDescent="0.3">
      <c r="A28" s="14" t="s">
        <v>92</v>
      </c>
      <c r="B28" s="11">
        <v>4.2500000000000003E-2</v>
      </c>
      <c r="E28" s="8" t="str">
        <f t="shared" si="1"/>
        <v>FLRY3</v>
      </c>
      <c r="F28" s="5">
        <f t="shared" si="0"/>
        <v>2.1122500000000002E-2</v>
      </c>
      <c r="I28" s="3">
        <f>VLOOKUP(A28,'[1]37 - ISEE'!$A$9:$K$222,11,0)</f>
        <v>4.4999999999999998E-2</v>
      </c>
      <c r="J28" s="3">
        <f t="shared" si="2"/>
        <v>-2.4999999999999953E-3</v>
      </c>
      <c r="K28" s="6"/>
    </row>
    <row r="29" spans="1:11" x14ac:dyDescent="0.3">
      <c r="A29" s="14" t="s">
        <v>132</v>
      </c>
      <c r="B29" s="11">
        <v>0.02</v>
      </c>
      <c r="E29" s="8" t="str">
        <f t="shared" si="1"/>
        <v>SLCE3</v>
      </c>
      <c r="F29" s="5">
        <f t="shared" si="0"/>
        <v>9.9400000000000009E-3</v>
      </c>
      <c r="I29" s="3">
        <f>VLOOKUP(A29,'[1]37 - ISEE'!$A$9:$K$222,11,0)</f>
        <v>2.3E-2</v>
      </c>
      <c r="J29" s="3">
        <f t="shared" si="2"/>
        <v>-2.9999999999999992E-3</v>
      </c>
      <c r="K29" s="6"/>
    </row>
    <row r="30" spans="1:11" x14ac:dyDescent="0.3">
      <c r="A30" s="14" t="s">
        <v>133</v>
      </c>
      <c r="B30" s="11">
        <v>1.4999999999999999E-2</v>
      </c>
      <c r="E30" s="8" t="str">
        <f t="shared" si="1"/>
        <v>MDIA3</v>
      </c>
      <c r="F30" s="5">
        <f t="shared" si="0"/>
        <v>7.4549999999999998E-3</v>
      </c>
      <c r="I30" s="3">
        <f>VLOOKUP(A30,'[1]37 - ISEE'!$A$9:$K$222,11,0)</f>
        <v>1.7999999999999999E-2</v>
      </c>
      <c r="J30" s="3">
        <f t="shared" si="2"/>
        <v>-2.9999999999999992E-3</v>
      </c>
      <c r="K30" s="6"/>
    </row>
    <row r="31" spans="1:11" x14ac:dyDescent="0.3">
      <c r="A31" s="14" t="s">
        <v>7</v>
      </c>
      <c r="B31" s="11">
        <v>4.2000000000000003E-2</v>
      </c>
      <c r="E31" s="8" t="str">
        <f t="shared" si="1"/>
        <v>BBDC4</v>
      </c>
      <c r="F31" s="5">
        <f t="shared" si="0"/>
        <v>2.0874E-2</v>
      </c>
      <c r="I31" s="3">
        <f>VLOOKUP(A31,'[1]37 - ISEE'!$A$9:$K$222,11,0)</f>
        <v>4.5999999999999999E-2</v>
      </c>
      <c r="J31" s="3">
        <f t="shared" si="2"/>
        <v>-3.9999999999999966E-3</v>
      </c>
      <c r="K31" s="6"/>
    </row>
    <row r="32" spans="1:11" x14ac:dyDescent="0.3">
      <c r="A32" s="14" t="s">
        <v>134</v>
      </c>
      <c r="B32" s="11">
        <v>2.3E-2</v>
      </c>
      <c r="E32" s="8" t="str">
        <f t="shared" si="1"/>
        <v>KLBN11</v>
      </c>
      <c r="F32" s="5">
        <f t="shared" si="0"/>
        <v>1.1431E-2</v>
      </c>
      <c r="I32" s="3">
        <f>VLOOKUP(A32,'[1]37 - ISEE'!$A$9:$K$222,11,0)</f>
        <v>2.5000000000000001E-2</v>
      </c>
      <c r="J32" s="3">
        <f t="shared" si="2"/>
        <v>-2.0000000000000018E-3</v>
      </c>
      <c r="K32" s="6"/>
    </row>
    <row r="33" spans="1:11" x14ac:dyDescent="0.3">
      <c r="A33" s="14" t="s">
        <v>135</v>
      </c>
      <c r="B33" s="11">
        <v>2.5000000000000001E-2</v>
      </c>
      <c r="E33" s="8" t="str">
        <f t="shared" si="1"/>
        <v>HYPE3</v>
      </c>
      <c r="F33" s="5">
        <f t="shared" si="0"/>
        <v>1.2425E-2</v>
      </c>
      <c r="I33" s="3">
        <f>VLOOKUP(A33,'[1]37 - ISEE'!$A$9:$K$222,11,0)</f>
        <v>3.2000000000000001E-2</v>
      </c>
      <c r="J33" s="3">
        <f t="shared" si="2"/>
        <v>-6.9999999999999993E-3</v>
      </c>
      <c r="K33" s="6"/>
    </row>
    <row r="34" spans="1:11" x14ac:dyDescent="0.3">
      <c r="A34" s="14" t="s">
        <v>102</v>
      </c>
      <c r="B34" s="11">
        <v>4.4999999999999998E-2</v>
      </c>
      <c r="E34" s="8" t="str">
        <f t="shared" si="1"/>
        <v>AXIA3</v>
      </c>
      <c r="F34" s="5">
        <f t="shared" si="0"/>
        <v>2.2364999999999999E-2</v>
      </c>
      <c r="I34" s="3">
        <f>VLOOKUP(A34,'[1]37 - ISEE'!$A$9:$K$222,11,0)</f>
        <v>5.2999999999999999E-2</v>
      </c>
      <c r="J34" s="3">
        <f t="shared" si="2"/>
        <v>-8.0000000000000002E-3</v>
      </c>
      <c r="K34" s="6"/>
    </row>
    <row r="35" spans="1:11" x14ac:dyDescent="0.3">
      <c r="A35" s="14" t="s">
        <v>17</v>
      </c>
      <c r="B35" s="11">
        <v>2.7E-2</v>
      </c>
      <c r="E35" s="8" t="str">
        <f t="shared" si="1"/>
        <v>CPFE3</v>
      </c>
      <c r="F35" s="5">
        <f t="shared" si="0"/>
        <v>1.3419E-2</v>
      </c>
      <c r="I35" s="3">
        <f>VLOOKUP(A35,'[1]37 - ISEE'!$A$9:$K$222,11,0)</f>
        <v>3.2000000000000001E-2</v>
      </c>
      <c r="J35" s="3">
        <f t="shared" si="2"/>
        <v>-5.000000000000001E-3</v>
      </c>
      <c r="K35" s="6"/>
    </row>
    <row r="36" spans="1:11" x14ac:dyDescent="0.3">
      <c r="A36" s="14" t="s">
        <v>37</v>
      </c>
      <c r="B36" s="11">
        <v>3.5000000000000003E-2</v>
      </c>
      <c r="E36" s="8" t="str">
        <f t="shared" si="1"/>
        <v>ISAE4</v>
      </c>
      <c r="F36" s="5">
        <f t="shared" si="0"/>
        <v>1.7395000000000001E-2</v>
      </c>
      <c r="I36" s="3">
        <f>VLOOKUP(A36,'[1]37 - ISEE'!$A$9:$K$222,11,0)</f>
        <v>0.04</v>
      </c>
      <c r="J36" s="3">
        <f t="shared" si="2"/>
        <v>-4.9999999999999975E-3</v>
      </c>
      <c r="K36" s="6"/>
    </row>
    <row r="37" spans="1:11" x14ac:dyDescent="0.3">
      <c r="A37" s="14" t="s">
        <v>36</v>
      </c>
      <c r="B37" s="11">
        <v>3.5000000000000003E-2</v>
      </c>
      <c r="E37" s="8" t="str">
        <f t="shared" si="1"/>
        <v>VBBR3</v>
      </c>
      <c r="F37" s="5">
        <f t="shared" si="0"/>
        <v>1.7395000000000001E-2</v>
      </c>
      <c r="I37" s="3">
        <f>VLOOKUP(A37,'[1]37 - ISEE'!$A$9:$K$222,11,0)</f>
        <v>3.7999999999999999E-2</v>
      </c>
      <c r="J37" s="3">
        <f t="shared" si="2"/>
        <v>-2.9999999999999957E-3</v>
      </c>
      <c r="K37" s="6"/>
    </row>
    <row r="38" spans="1:11" x14ac:dyDescent="0.3">
      <c r="A38" s="14" t="s">
        <v>110</v>
      </c>
      <c r="B38" s="11">
        <v>0.01</v>
      </c>
      <c r="E38" s="8" t="str">
        <f t="shared" si="1"/>
        <v>JSLG3</v>
      </c>
      <c r="F38" s="5">
        <f t="shared" si="0"/>
        <v>4.9700000000000005E-3</v>
      </c>
      <c r="I38" s="3">
        <f>VLOOKUP(A38,'[1]37 - ISEE'!$A$9:$K$222,11,0)</f>
        <v>1.4E-2</v>
      </c>
      <c r="J38" s="3">
        <f t="shared" si="2"/>
        <v>-4.0000000000000001E-3</v>
      </c>
      <c r="K38" s="6"/>
    </row>
    <row r="39" spans="1:11" x14ac:dyDescent="0.3">
      <c r="A39" s="14" t="s">
        <v>60</v>
      </c>
      <c r="B39" s="11">
        <v>0.01</v>
      </c>
      <c r="E39" s="8" t="str">
        <f t="shared" ref="E39" si="3">A39</f>
        <v>CEAB3</v>
      </c>
      <c r="F39" s="5">
        <f t="shared" si="0"/>
        <v>4.9700000000000005E-3</v>
      </c>
      <c r="I39" s="3">
        <f>VLOOKUP(A39,'[1]37 - ISEE'!$A$9:$K$222,11,0)</f>
        <v>1.4999999999999999E-2</v>
      </c>
      <c r="J39" s="3">
        <f t="shared" si="2"/>
        <v>-4.9999999999999992E-3</v>
      </c>
      <c r="K39" s="6"/>
    </row>
    <row r="40" spans="1:11" x14ac:dyDescent="0.3">
      <c r="A40" s="14"/>
      <c r="B40" s="11"/>
      <c r="E40" s="8" t="s">
        <v>83</v>
      </c>
      <c r="F40" s="12">
        <v>0.5</v>
      </c>
      <c r="I40" s="3"/>
      <c r="J40" s="3"/>
      <c r="K40" s="6"/>
    </row>
    <row r="41" spans="1:11" x14ac:dyDescent="0.3">
      <c r="A41" s="14"/>
      <c r="B41" s="11"/>
      <c r="E41" s="8" t="s">
        <v>85</v>
      </c>
      <c r="F41" s="5">
        <v>3.0000000000000001E-3</v>
      </c>
      <c r="I41" s="3"/>
      <c r="J41" s="3"/>
      <c r="K41" s="6"/>
    </row>
    <row r="42" spans="1:11" x14ac:dyDescent="0.3">
      <c r="A42" s="14"/>
      <c r="B42" s="11"/>
      <c r="F42" s="5"/>
      <c r="J42" s="3"/>
      <c r="K42" s="6"/>
    </row>
    <row r="43" spans="1:11" x14ac:dyDescent="0.3">
      <c r="A43" s="14"/>
      <c r="B43" s="11"/>
      <c r="F43" s="5"/>
      <c r="J43" s="3"/>
      <c r="K43" s="6"/>
    </row>
    <row r="44" spans="1:11" x14ac:dyDescent="0.3">
      <c r="A44" s="14"/>
      <c r="B44" s="11"/>
      <c r="F44" s="5"/>
      <c r="J44" s="3"/>
      <c r="K44" s="6"/>
    </row>
    <row r="45" spans="1:11" x14ac:dyDescent="0.3">
      <c r="A45" s="14"/>
      <c r="B45" s="11"/>
      <c r="F45" s="5"/>
      <c r="J45" s="3"/>
      <c r="K45" s="6"/>
    </row>
    <row r="46" spans="1:11" x14ac:dyDescent="0.3">
      <c r="A46" s="14"/>
      <c r="B46" s="11"/>
      <c r="F46" s="5"/>
      <c r="J46" s="3"/>
      <c r="K46" s="6"/>
    </row>
    <row r="47" spans="1:11" x14ac:dyDescent="0.3">
      <c r="A47" s="14"/>
      <c r="B47" s="11"/>
      <c r="F47" s="5"/>
      <c r="J47" s="3"/>
      <c r="K47" s="6"/>
    </row>
    <row r="48" spans="1:11" x14ac:dyDescent="0.3">
      <c r="A48" s="14"/>
      <c r="B48" s="11"/>
      <c r="F48" s="5"/>
      <c r="J48" s="3"/>
      <c r="K48" s="6"/>
    </row>
    <row r="49" spans="1:11" x14ac:dyDescent="0.3">
      <c r="A49" s="14"/>
      <c r="B49" s="11"/>
      <c r="F49" s="5"/>
      <c r="J49" s="3"/>
      <c r="K49" s="6"/>
    </row>
    <row r="50" spans="1:11" x14ac:dyDescent="0.3">
      <c r="A50" s="14"/>
      <c r="B50" s="11"/>
      <c r="F50" s="5"/>
      <c r="J50" s="3"/>
      <c r="K50" s="6"/>
    </row>
    <row r="51" spans="1:11" x14ac:dyDescent="0.3">
      <c r="A51" s="14"/>
      <c r="B51" s="11"/>
      <c r="F51" s="5"/>
      <c r="J51" s="3"/>
      <c r="K51" s="6"/>
    </row>
    <row r="52" spans="1:11" x14ac:dyDescent="0.3">
      <c r="A52" s="14"/>
      <c r="B52" s="11"/>
      <c r="F52" s="5"/>
      <c r="J52" s="3"/>
      <c r="K52" s="6"/>
    </row>
    <row r="53" spans="1:11" x14ac:dyDescent="0.3">
      <c r="A53" s="14"/>
      <c r="B53" s="11"/>
      <c r="F53" s="5"/>
      <c r="J53" s="3"/>
      <c r="K53" s="6"/>
    </row>
    <row r="54" spans="1:11" x14ac:dyDescent="0.3">
      <c r="A54" s="14"/>
      <c r="B54" s="11"/>
      <c r="F54" s="5"/>
      <c r="J54" s="3"/>
      <c r="K54" s="6"/>
    </row>
    <row r="55" spans="1:11" x14ac:dyDescent="0.3">
      <c r="A55" s="14"/>
      <c r="B55" s="11"/>
      <c r="F55" s="5"/>
      <c r="J55" s="3"/>
      <c r="K55" s="6"/>
    </row>
    <row r="56" spans="1:11" x14ac:dyDescent="0.3">
      <c r="A56" s="14"/>
      <c r="B56" s="11"/>
      <c r="F56" s="5"/>
      <c r="J56" s="3"/>
      <c r="K56" s="6"/>
    </row>
    <row r="57" spans="1:11" x14ac:dyDescent="0.3">
      <c r="A57" s="14"/>
      <c r="B57" s="11"/>
      <c r="F57" s="5"/>
      <c r="J57" s="3"/>
      <c r="K57" s="6"/>
    </row>
    <row r="58" spans="1:11" x14ac:dyDescent="0.3">
      <c r="A58" s="14"/>
      <c r="B58" s="11"/>
      <c r="F58" s="5"/>
      <c r="J58" s="3"/>
      <c r="K58" s="6"/>
    </row>
    <row r="59" spans="1:11" x14ac:dyDescent="0.3">
      <c r="A59" s="14"/>
      <c r="B59" s="11"/>
      <c r="F59" s="5"/>
      <c r="J59" s="3"/>
      <c r="K59" s="6"/>
    </row>
    <row r="60" spans="1:11" x14ac:dyDescent="0.3">
      <c r="A60" s="14"/>
      <c r="B60" s="11"/>
      <c r="F60" s="5"/>
      <c r="J60" s="3"/>
      <c r="K60" s="6"/>
    </row>
    <row r="61" spans="1:11" x14ac:dyDescent="0.3">
      <c r="A61" s="14"/>
      <c r="B61" s="11"/>
      <c r="F61" s="5"/>
      <c r="J61" s="3"/>
      <c r="K61" s="6"/>
    </row>
    <row r="62" spans="1:11" x14ac:dyDescent="0.3">
      <c r="A62" s="14"/>
      <c r="B62" s="11"/>
      <c r="F62" s="5"/>
      <c r="J62" s="3"/>
      <c r="K62" s="6"/>
    </row>
    <row r="63" spans="1:11" x14ac:dyDescent="0.3">
      <c r="A63" s="14"/>
      <c r="B63" s="11"/>
      <c r="F63" s="5"/>
      <c r="J63" s="3"/>
      <c r="K63" s="6"/>
    </row>
    <row r="64" spans="1:11" x14ac:dyDescent="0.3">
      <c r="A64" s="14"/>
      <c r="B64" s="11"/>
      <c r="F64" s="5"/>
      <c r="J64" s="3"/>
      <c r="K64" s="6"/>
    </row>
    <row r="65" spans="1:11" x14ac:dyDescent="0.3">
      <c r="A65" s="14"/>
      <c r="B65" s="11"/>
      <c r="F65" s="5"/>
      <c r="J65" s="3"/>
      <c r="K65" s="6"/>
    </row>
    <row r="66" spans="1:11" x14ac:dyDescent="0.3">
      <c r="A66" s="14"/>
      <c r="B66" s="11"/>
      <c r="F66" s="5"/>
      <c r="J66" s="3"/>
      <c r="K66" s="6"/>
    </row>
    <row r="67" spans="1:11" x14ac:dyDescent="0.3">
      <c r="A67" s="14"/>
      <c r="B67" s="11"/>
      <c r="F67" s="5"/>
      <c r="J67" s="3"/>
      <c r="K67" s="6"/>
    </row>
    <row r="68" spans="1:11" x14ac:dyDescent="0.3">
      <c r="A68" s="14"/>
      <c r="B68" s="11"/>
      <c r="F68" s="5"/>
      <c r="J68" s="3"/>
      <c r="K68" s="6"/>
    </row>
    <row r="69" spans="1:11" x14ac:dyDescent="0.3">
      <c r="A69" s="14"/>
      <c r="B69" s="11"/>
      <c r="F69" s="5"/>
      <c r="J69" s="3"/>
      <c r="K69" s="6"/>
    </row>
    <row r="70" spans="1:11" x14ac:dyDescent="0.3">
      <c r="A70" s="14"/>
      <c r="B70" s="11"/>
      <c r="F70" s="5"/>
      <c r="J70" s="3"/>
      <c r="K70" s="6"/>
    </row>
    <row r="71" spans="1:11" x14ac:dyDescent="0.3">
      <c r="A71" s="14"/>
      <c r="B71" s="11"/>
      <c r="F71" s="5"/>
      <c r="K71" s="6"/>
    </row>
    <row r="72" spans="1:11" x14ac:dyDescent="0.3">
      <c r="A72" s="14"/>
      <c r="B72" s="11"/>
      <c r="K72" s="6"/>
    </row>
    <row r="73" spans="1:11" x14ac:dyDescent="0.3">
      <c r="A73" s="14"/>
      <c r="B73" s="11"/>
      <c r="K73" s="6"/>
    </row>
    <row r="74" spans="1:11" x14ac:dyDescent="0.3">
      <c r="A74" s="14"/>
      <c r="B74" s="11"/>
      <c r="K74" s="6"/>
    </row>
    <row r="75" spans="1:11" x14ac:dyDescent="0.3">
      <c r="A75" s="14"/>
      <c r="B75" s="11"/>
      <c r="K75" s="6"/>
    </row>
    <row r="76" spans="1:11" x14ac:dyDescent="0.3">
      <c r="A76" s="14"/>
      <c r="B76" s="11"/>
      <c r="K76" s="6"/>
    </row>
    <row r="77" spans="1:11" x14ac:dyDescent="0.3">
      <c r="A77" s="14"/>
      <c r="B77" s="11"/>
      <c r="K77" s="6"/>
    </row>
    <row r="78" spans="1:11" x14ac:dyDescent="0.3">
      <c r="A78" s="14"/>
      <c r="B78" s="11"/>
      <c r="K78" s="6"/>
    </row>
    <row r="79" spans="1:11" x14ac:dyDescent="0.3">
      <c r="A79" s="14"/>
      <c r="B79" s="11"/>
      <c r="K79" s="6"/>
    </row>
    <row r="80" spans="1:11" x14ac:dyDescent="0.3">
      <c r="A80" s="14"/>
      <c r="B80" s="11"/>
      <c r="K80" s="6"/>
    </row>
    <row r="81" spans="1:11" x14ac:dyDescent="0.3">
      <c r="A81" s="14"/>
      <c r="B81" s="11"/>
      <c r="K81" s="6"/>
    </row>
    <row r="82" spans="1:11" x14ac:dyDescent="0.3">
      <c r="A82" s="14"/>
      <c r="B82" s="11"/>
      <c r="K82" s="6"/>
    </row>
    <row r="83" spans="1:11" x14ac:dyDescent="0.3">
      <c r="A83" s="14"/>
      <c r="B83" s="11"/>
      <c r="K83" s="6"/>
    </row>
    <row r="84" spans="1:11" x14ac:dyDescent="0.3">
      <c r="A84" s="14"/>
      <c r="B84" s="11"/>
      <c r="K84" s="6"/>
    </row>
    <row r="85" spans="1:11" x14ac:dyDescent="0.3">
      <c r="A85" s="14"/>
      <c r="B85" s="11"/>
      <c r="K85" s="6"/>
    </row>
    <row r="86" spans="1:11" x14ac:dyDescent="0.3">
      <c r="A86" s="14"/>
      <c r="B86" s="11"/>
      <c r="K86" s="6"/>
    </row>
    <row r="87" spans="1:11" x14ac:dyDescent="0.3">
      <c r="A87" s="14"/>
      <c r="B87" s="11"/>
      <c r="K87" s="6"/>
    </row>
    <row r="88" spans="1:11" x14ac:dyDescent="0.3">
      <c r="A88" s="14"/>
      <c r="B88" s="11"/>
      <c r="K88" s="6"/>
    </row>
    <row r="89" spans="1:11" x14ac:dyDescent="0.3">
      <c r="A89" s="14"/>
      <c r="B89" s="11"/>
      <c r="K89" s="6"/>
    </row>
    <row r="90" spans="1:11" x14ac:dyDescent="0.3">
      <c r="A90" s="14"/>
      <c r="B90" s="11"/>
      <c r="K90" s="6"/>
    </row>
    <row r="91" spans="1:11" x14ac:dyDescent="0.3">
      <c r="A91" s="14"/>
      <c r="B91" s="11"/>
      <c r="K91" s="6"/>
    </row>
    <row r="92" spans="1:11" x14ac:dyDescent="0.3">
      <c r="A92" s="14"/>
      <c r="B92" s="11"/>
      <c r="K92" s="6"/>
    </row>
    <row r="93" spans="1:11" x14ac:dyDescent="0.3">
      <c r="A93" s="14"/>
      <c r="B93" s="11"/>
      <c r="K93" s="6"/>
    </row>
    <row r="94" spans="1:11" x14ac:dyDescent="0.3">
      <c r="A94" s="14"/>
      <c r="B94" s="11"/>
      <c r="K94" s="6"/>
    </row>
    <row r="95" spans="1:11" x14ac:dyDescent="0.3">
      <c r="A95" s="14"/>
      <c r="B95" s="11"/>
      <c r="K95" s="6"/>
    </row>
    <row r="96" spans="1:11" x14ac:dyDescent="0.3">
      <c r="A96" s="14"/>
      <c r="B96" s="11"/>
      <c r="K96" s="6"/>
    </row>
    <row r="97" spans="1:11" x14ac:dyDescent="0.3">
      <c r="A97" s="14"/>
      <c r="B97" s="11"/>
      <c r="K97" s="6"/>
    </row>
    <row r="98" spans="1:11" x14ac:dyDescent="0.3">
      <c r="A98" s="14"/>
      <c r="B98" s="11"/>
      <c r="K98" s="6"/>
    </row>
    <row r="99" spans="1:11" x14ac:dyDescent="0.3">
      <c r="A99" s="14"/>
      <c r="B99" s="11"/>
      <c r="K99" s="6"/>
    </row>
    <row r="100" spans="1:11" x14ac:dyDescent="0.3">
      <c r="A100" s="14"/>
      <c r="B100" s="11"/>
      <c r="K100" s="6"/>
    </row>
    <row r="101" spans="1:11" x14ac:dyDescent="0.3">
      <c r="A101" s="14"/>
      <c r="B101" s="11"/>
      <c r="K101" s="6"/>
    </row>
    <row r="102" spans="1:11" x14ac:dyDescent="0.3">
      <c r="A102" s="14"/>
      <c r="B102" s="11"/>
      <c r="K102" s="6"/>
    </row>
    <row r="103" spans="1:11" x14ac:dyDescent="0.3">
      <c r="A103" s="14"/>
      <c r="B103" s="11"/>
      <c r="K103" s="6"/>
    </row>
    <row r="104" spans="1:11" x14ac:dyDescent="0.3">
      <c r="A104" s="14"/>
      <c r="B104" s="11"/>
      <c r="K104" s="6"/>
    </row>
    <row r="105" spans="1:11" x14ac:dyDescent="0.3">
      <c r="A105" s="14"/>
      <c r="B105" s="11"/>
      <c r="K105" s="6"/>
    </row>
    <row r="106" spans="1:11" x14ac:dyDescent="0.3">
      <c r="A106" s="14"/>
      <c r="B106" s="11"/>
      <c r="K106" s="6"/>
    </row>
    <row r="107" spans="1:11" x14ac:dyDescent="0.3">
      <c r="A107" s="14"/>
      <c r="B107" s="11"/>
      <c r="K107" s="6"/>
    </row>
    <row r="108" spans="1:11" x14ac:dyDescent="0.3">
      <c r="A108" s="14"/>
      <c r="B108" s="11"/>
      <c r="K108" s="6"/>
    </row>
    <row r="109" spans="1:11" x14ac:dyDescent="0.3">
      <c r="A109" s="14"/>
      <c r="B109" s="11"/>
      <c r="K109" s="6"/>
    </row>
    <row r="110" spans="1:11" x14ac:dyDescent="0.3">
      <c r="A110" s="14"/>
      <c r="B110" s="11"/>
      <c r="K110" s="6"/>
    </row>
    <row r="111" spans="1:11" x14ac:dyDescent="0.3">
      <c r="A111" s="14"/>
      <c r="B111" s="11"/>
      <c r="K111" s="6"/>
    </row>
    <row r="112" spans="1:11" x14ac:dyDescent="0.3">
      <c r="A112" s="14"/>
      <c r="B112" s="11"/>
      <c r="K112" s="6"/>
    </row>
    <row r="113" spans="1:11" x14ac:dyDescent="0.3">
      <c r="A113" s="14"/>
      <c r="B113" s="11"/>
      <c r="K113" s="6"/>
    </row>
    <row r="114" spans="1:11" x14ac:dyDescent="0.3">
      <c r="A114" s="14"/>
      <c r="B114" s="11"/>
      <c r="K114" s="6"/>
    </row>
    <row r="115" spans="1:11" x14ac:dyDescent="0.3">
      <c r="A115" s="14"/>
      <c r="B115" s="11"/>
      <c r="K115" s="6"/>
    </row>
    <row r="116" spans="1:11" x14ac:dyDescent="0.3">
      <c r="A116" s="14"/>
      <c r="B116" s="11"/>
      <c r="K116" s="6"/>
    </row>
    <row r="117" spans="1:11" x14ac:dyDescent="0.3">
      <c r="A117" s="14"/>
      <c r="B117" s="11"/>
      <c r="K117" s="6"/>
    </row>
    <row r="118" spans="1:11" x14ac:dyDescent="0.3">
      <c r="A118" s="14"/>
      <c r="B118" s="11"/>
      <c r="K118" s="6"/>
    </row>
    <row r="119" spans="1:11" x14ac:dyDescent="0.3">
      <c r="A119" s="14"/>
      <c r="B119" s="11"/>
      <c r="K119" s="6"/>
    </row>
    <row r="120" spans="1:11" x14ac:dyDescent="0.3">
      <c r="A120" s="14"/>
      <c r="B120" s="11"/>
      <c r="K120" s="6"/>
    </row>
    <row r="121" spans="1:11" x14ac:dyDescent="0.3">
      <c r="A121" s="14"/>
      <c r="B121" s="11"/>
      <c r="K121" s="6"/>
    </row>
    <row r="122" spans="1:11" x14ac:dyDescent="0.3">
      <c r="A122" s="14"/>
      <c r="B122" s="11"/>
      <c r="K122" s="6"/>
    </row>
    <row r="123" spans="1:11" x14ac:dyDescent="0.3">
      <c r="A123" s="14"/>
      <c r="B123" s="11"/>
      <c r="K123" s="6"/>
    </row>
    <row r="124" spans="1:11" x14ac:dyDescent="0.3">
      <c r="A124" s="14"/>
      <c r="B124" s="11"/>
      <c r="K124" s="6"/>
    </row>
    <row r="125" spans="1:11" x14ac:dyDescent="0.3">
      <c r="A125" s="14"/>
      <c r="B125" s="11"/>
      <c r="K125" s="6"/>
    </row>
    <row r="126" spans="1:11" x14ac:dyDescent="0.3">
      <c r="A126" s="14"/>
      <c r="B126" s="11"/>
      <c r="K126" s="6"/>
    </row>
    <row r="127" spans="1:11" x14ac:dyDescent="0.3">
      <c r="A127" s="14"/>
      <c r="B127" s="11"/>
      <c r="K127" s="6"/>
    </row>
    <row r="128" spans="1:11" x14ac:dyDescent="0.3">
      <c r="A128" s="14"/>
      <c r="B128" s="11"/>
      <c r="K128" s="6"/>
    </row>
    <row r="129" spans="1:11" x14ac:dyDescent="0.3">
      <c r="A129" s="14"/>
      <c r="B129" s="11"/>
      <c r="K129" s="6"/>
    </row>
    <row r="130" spans="1:11" x14ac:dyDescent="0.3">
      <c r="A130" s="14"/>
      <c r="B130" s="11"/>
      <c r="K130" s="6"/>
    </row>
    <row r="131" spans="1:11" x14ac:dyDescent="0.3">
      <c r="A131" s="14"/>
      <c r="B131" s="11"/>
      <c r="K131" s="6"/>
    </row>
    <row r="132" spans="1:11" x14ac:dyDescent="0.3">
      <c r="A132" s="14"/>
      <c r="B132" s="11"/>
      <c r="K132" s="6"/>
    </row>
    <row r="133" spans="1:11" x14ac:dyDescent="0.3">
      <c r="A133" s="14"/>
      <c r="B133" s="11"/>
      <c r="K133" s="6"/>
    </row>
    <row r="134" spans="1:11" x14ac:dyDescent="0.3">
      <c r="A134" s="14"/>
      <c r="B134" s="11"/>
      <c r="K134" s="6"/>
    </row>
    <row r="135" spans="1:11" x14ac:dyDescent="0.3">
      <c r="A135" s="14"/>
      <c r="B135" s="11"/>
      <c r="K135" s="6"/>
    </row>
    <row r="136" spans="1:11" x14ac:dyDescent="0.3">
      <c r="A136" s="14"/>
      <c r="B136" s="11"/>
      <c r="K136" s="6"/>
    </row>
    <row r="137" spans="1:11" x14ac:dyDescent="0.3">
      <c r="A137" s="14"/>
      <c r="B137" s="11"/>
      <c r="K137" s="6"/>
    </row>
    <row r="138" spans="1:11" x14ac:dyDescent="0.3">
      <c r="A138" s="14"/>
      <c r="B138" s="11"/>
      <c r="K138" s="6"/>
    </row>
    <row r="139" spans="1:11" x14ac:dyDescent="0.3">
      <c r="A139" s="14"/>
      <c r="B139" s="11"/>
      <c r="K139" s="6"/>
    </row>
    <row r="140" spans="1:11" x14ac:dyDescent="0.3">
      <c r="A140" s="14"/>
      <c r="B140" s="11"/>
      <c r="K140" s="6"/>
    </row>
    <row r="141" spans="1:11" x14ac:dyDescent="0.3">
      <c r="A141" s="14"/>
      <c r="B141" s="11"/>
      <c r="K141" s="6"/>
    </row>
    <row r="142" spans="1:11" x14ac:dyDescent="0.3">
      <c r="A142" s="14"/>
      <c r="B142" s="11"/>
      <c r="K142" s="6"/>
    </row>
    <row r="143" spans="1:11" x14ac:dyDescent="0.3">
      <c r="A143" s="14"/>
      <c r="B143" s="11"/>
      <c r="K143" s="6"/>
    </row>
    <row r="144" spans="1:11" x14ac:dyDescent="0.3">
      <c r="A144" s="14"/>
      <c r="B144" s="11"/>
      <c r="K144" s="6"/>
    </row>
    <row r="145" spans="1:11" x14ac:dyDescent="0.3">
      <c r="A145" s="14"/>
      <c r="B145" s="11"/>
      <c r="K145" s="6"/>
    </row>
    <row r="146" spans="1:11" x14ac:dyDescent="0.3">
      <c r="A146" s="14"/>
      <c r="B146" s="11"/>
      <c r="K146" s="6"/>
    </row>
    <row r="147" spans="1:11" x14ac:dyDescent="0.3">
      <c r="A147" s="14"/>
      <c r="B147" s="11"/>
      <c r="K147" s="6"/>
    </row>
    <row r="148" spans="1:11" x14ac:dyDescent="0.3">
      <c r="A148" s="14"/>
      <c r="B148" s="11"/>
      <c r="K148" s="6"/>
    </row>
    <row r="149" spans="1:11" x14ac:dyDescent="0.3">
      <c r="A149" s="14"/>
      <c r="B149" s="11"/>
      <c r="K149" s="6"/>
    </row>
    <row r="150" spans="1:11" x14ac:dyDescent="0.3">
      <c r="A150" s="14"/>
      <c r="B150" s="11"/>
      <c r="K150" s="6"/>
    </row>
    <row r="151" spans="1:11" x14ac:dyDescent="0.3">
      <c r="A151" s="14"/>
      <c r="B151" s="11"/>
      <c r="K151" s="6"/>
    </row>
    <row r="152" spans="1:11" x14ac:dyDescent="0.3">
      <c r="A152" s="14"/>
      <c r="B152" s="11"/>
      <c r="K152" s="6"/>
    </row>
    <row r="153" spans="1:11" x14ac:dyDescent="0.3">
      <c r="A153" s="14"/>
      <c r="B153" s="11"/>
      <c r="K153" s="6"/>
    </row>
    <row r="154" spans="1:11" x14ac:dyDescent="0.3">
      <c r="A154" s="14"/>
      <c r="B154" s="11"/>
      <c r="K154" s="6"/>
    </row>
    <row r="155" spans="1:11" x14ac:dyDescent="0.3">
      <c r="A155" s="14"/>
      <c r="B155" s="11"/>
      <c r="K155" s="6"/>
    </row>
    <row r="156" spans="1:11" x14ac:dyDescent="0.3">
      <c r="A156" s="14"/>
      <c r="B156" s="11"/>
      <c r="K156" s="6"/>
    </row>
    <row r="157" spans="1:11" x14ac:dyDescent="0.3">
      <c r="A157" s="14"/>
      <c r="B157" s="11"/>
      <c r="K157" s="6"/>
    </row>
    <row r="158" spans="1:11" x14ac:dyDescent="0.3">
      <c r="A158" s="14"/>
      <c r="B158" s="11"/>
      <c r="K158" s="6"/>
    </row>
    <row r="159" spans="1:11" x14ac:dyDescent="0.3">
      <c r="A159" s="14"/>
      <c r="B159" s="11"/>
      <c r="K159" s="6"/>
    </row>
    <row r="160" spans="1:11" x14ac:dyDescent="0.3">
      <c r="A160" s="14"/>
      <c r="B160" s="11"/>
      <c r="K160" s="6"/>
    </row>
    <row r="161" spans="1:11" x14ac:dyDescent="0.3">
      <c r="A161" s="14"/>
      <c r="B161" s="11"/>
      <c r="K161" s="6"/>
    </row>
    <row r="162" spans="1:11" x14ac:dyDescent="0.3">
      <c r="A162" s="14"/>
      <c r="B162" s="11"/>
      <c r="K162" s="6"/>
    </row>
    <row r="163" spans="1:11" x14ac:dyDescent="0.3">
      <c r="A163" s="14"/>
      <c r="B163" s="11"/>
      <c r="K163" s="6"/>
    </row>
    <row r="164" spans="1:11" x14ac:dyDescent="0.3">
      <c r="A164" s="14"/>
      <c r="B164" s="11"/>
      <c r="K164" s="6"/>
    </row>
    <row r="165" spans="1:11" x14ac:dyDescent="0.3">
      <c r="A165" s="14"/>
      <c r="B165" s="11"/>
      <c r="K165" s="6"/>
    </row>
    <row r="166" spans="1:11" x14ac:dyDescent="0.3">
      <c r="A166" s="14"/>
      <c r="B166" s="11"/>
      <c r="K166" s="6"/>
    </row>
    <row r="167" spans="1:11" x14ac:dyDescent="0.3">
      <c r="A167" s="14"/>
      <c r="B167" s="11"/>
      <c r="K167" s="6"/>
    </row>
    <row r="168" spans="1:11" x14ac:dyDescent="0.3">
      <c r="A168" s="14"/>
      <c r="B168" s="11"/>
      <c r="K168" s="6"/>
    </row>
    <row r="169" spans="1:11" x14ac:dyDescent="0.3">
      <c r="A169" s="14"/>
      <c r="B169" s="11"/>
      <c r="K169" s="6"/>
    </row>
    <row r="170" spans="1:11" x14ac:dyDescent="0.3">
      <c r="A170" s="14"/>
      <c r="B170" s="11"/>
      <c r="K170" s="6"/>
    </row>
    <row r="171" spans="1:11" x14ac:dyDescent="0.3">
      <c r="A171" s="14"/>
      <c r="B171" s="11"/>
      <c r="K171" s="6"/>
    </row>
    <row r="172" spans="1:11" x14ac:dyDescent="0.3">
      <c r="A172" s="14"/>
      <c r="B172" s="11"/>
      <c r="K172" s="6"/>
    </row>
    <row r="173" spans="1:11" x14ac:dyDescent="0.3">
      <c r="A173" s="14"/>
      <c r="B173" s="11"/>
      <c r="K173" s="6"/>
    </row>
    <row r="174" spans="1:11" x14ac:dyDescent="0.3">
      <c r="A174" s="14"/>
      <c r="B174" s="11"/>
      <c r="K174" s="6"/>
    </row>
    <row r="175" spans="1:11" x14ac:dyDescent="0.3">
      <c r="A175" s="14"/>
      <c r="B175" s="11"/>
      <c r="K175" s="6"/>
    </row>
    <row r="176" spans="1:11" x14ac:dyDescent="0.3">
      <c r="A176" s="14"/>
      <c r="B176" s="11"/>
      <c r="K176" s="6"/>
    </row>
    <row r="177" spans="1:11" x14ac:dyDescent="0.3">
      <c r="A177" s="14"/>
      <c r="B177" s="11"/>
      <c r="K177" s="6"/>
    </row>
    <row r="178" spans="1:11" x14ac:dyDescent="0.3">
      <c r="A178" s="14"/>
      <c r="B178" s="11"/>
      <c r="K178" s="6"/>
    </row>
    <row r="179" spans="1:11" x14ac:dyDescent="0.3">
      <c r="A179" s="14"/>
      <c r="B179" s="11"/>
      <c r="K179" s="6"/>
    </row>
    <row r="180" spans="1:11" x14ac:dyDescent="0.3">
      <c r="A180" s="14"/>
      <c r="B180" s="11"/>
      <c r="K180" s="6"/>
    </row>
    <row r="181" spans="1:11" x14ac:dyDescent="0.3">
      <c r="A181" s="14"/>
      <c r="B181" s="11"/>
      <c r="K181" s="6"/>
    </row>
    <row r="182" spans="1:11" x14ac:dyDescent="0.3">
      <c r="A182" s="14"/>
      <c r="B182" s="11"/>
      <c r="K182" s="6"/>
    </row>
    <row r="183" spans="1:11" x14ac:dyDescent="0.3">
      <c r="A183" s="14"/>
      <c r="B183" s="11"/>
      <c r="K183" s="6"/>
    </row>
    <row r="184" spans="1:11" x14ac:dyDescent="0.3">
      <c r="A184" s="14"/>
      <c r="B184" s="11"/>
      <c r="K184" s="6"/>
    </row>
    <row r="185" spans="1:11" x14ac:dyDescent="0.3">
      <c r="A185" s="14"/>
      <c r="B185" s="11"/>
      <c r="K185" s="6"/>
    </row>
    <row r="186" spans="1:11" x14ac:dyDescent="0.3">
      <c r="A186" s="14"/>
      <c r="B186" s="11"/>
      <c r="K186" s="6"/>
    </row>
    <row r="187" spans="1:11" x14ac:dyDescent="0.3">
      <c r="A187" s="14"/>
      <c r="B187" s="11"/>
      <c r="K187" s="6"/>
    </row>
    <row r="188" spans="1:11" x14ac:dyDescent="0.3">
      <c r="A188" s="14"/>
      <c r="B188" s="11"/>
      <c r="K188" s="6"/>
    </row>
    <row r="189" spans="1:11" x14ac:dyDescent="0.3">
      <c r="A189" s="14"/>
      <c r="B189" s="11"/>
      <c r="K189" s="6"/>
    </row>
    <row r="190" spans="1:11" x14ac:dyDescent="0.3">
      <c r="A190" s="14"/>
      <c r="B190" s="11"/>
      <c r="K190" s="6"/>
    </row>
    <row r="191" spans="1:11" x14ac:dyDescent="0.3">
      <c r="A191" s="14"/>
      <c r="B191" s="11"/>
      <c r="K191" s="6"/>
    </row>
    <row r="192" spans="1:11" x14ac:dyDescent="0.3">
      <c r="A192" s="14"/>
      <c r="B192" s="11"/>
      <c r="K192" s="6"/>
    </row>
    <row r="193" spans="1:11" x14ac:dyDescent="0.3">
      <c r="A193" s="14"/>
      <c r="B193" s="11"/>
      <c r="K193" s="6"/>
    </row>
    <row r="194" spans="1:11" x14ac:dyDescent="0.3">
      <c r="A194" s="14"/>
      <c r="B194" s="11"/>
      <c r="K194" s="6"/>
    </row>
    <row r="195" spans="1:11" x14ac:dyDescent="0.3">
      <c r="A195" s="14"/>
      <c r="B195" s="11"/>
      <c r="K195" s="6"/>
    </row>
    <row r="196" spans="1:11" x14ac:dyDescent="0.3">
      <c r="A196" s="14"/>
      <c r="B196" s="11"/>
      <c r="K196" s="6"/>
    </row>
    <row r="197" spans="1:11" x14ac:dyDescent="0.3">
      <c r="A197" s="14"/>
      <c r="B197" s="11"/>
      <c r="K197" s="6"/>
    </row>
    <row r="198" spans="1:11" x14ac:dyDescent="0.3">
      <c r="A198" s="14"/>
      <c r="B198" s="11"/>
      <c r="K198" s="6"/>
    </row>
    <row r="199" spans="1:11" x14ac:dyDescent="0.3">
      <c r="A199" s="14"/>
      <c r="B199" s="11"/>
      <c r="K199" s="6"/>
    </row>
    <row r="200" spans="1:11" x14ac:dyDescent="0.3">
      <c r="A200" s="14"/>
      <c r="B200" s="11"/>
      <c r="K200" s="6"/>
    </row>
    <row r="201" spans="1:11" x14ac:dyDescent="0.3">
      <c r="A201" s="14"/>
      <c r="B201" s="11"/>
      <c r="K201" s="6"/>
    </row>
    <row r="202" spans="1:11" x14ac:dyDescent="0.3">
      <c r="A202" s="14"/>
      <c r="B202" s="11"/>
      <c r="K202" s="6"/>
    </row>
  </sheetData>
  <conditionalFormatting sqref="J2:J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41D7-3359-448C-9B75-691516AC397F}">
  <sheetPr codeName="Planilha2">
    <tabColor theme="3" tint="0.749992370372631"/>
  </sheetPr>
  <dimension ref="A1:Z245"/>
  <sheetViews>
    <sheetView workbookViewId="0">
      <selection activeCell="D12" sqref="D12"/>
    </sheetView>
  </sheetViews>
  <sheetFormatPr defaultRowHeight="14.4" x14ac:dyDescent="0.3"/>
  <cols>
    <col min="1" max="1" width="19.88671875" customWidth="1"/>
    <col min="2" max="2" width="19.6640625" style="4" bestFit="1" customWidth="1"/>
    <col min="4" max="4" width="9.109375" style="8"/>
    <col min="5" max="5" width="15.6640625" customWidth="1"/>
    <col min="10" max="10" width="9.33203125" customWidth="1"/>
    <col min="13" max="13" width="13" customWidth="1"/>
    <col min="14" max="14" width="11.6640625" bestFit="1" customWidth="1"/>
    <col min="17" max="18" width="20.44140625" bestFit="1" customWidth="1"/>
    <col min="20" max="20" width="9.109375" style="3"/>
    <col min="21" max="21" width="12.6640625" customWidth="1"/>
    <col min="23" max="23" width="12.109375" bestFit="1" customWidth="1"/>
    <col min="24" max="24" width="20.44140625" bestFit="1" customWidth="1"/>
    <col min="25" max="25" width="9.109375" style="7"/>
    <col min="26" max="26" width="22.5546875" bestFit="1" customWidth="1"/>
  </cols>
  <sheetData>
    <row r="1" spans="1:26" ht="15" thickBot="1" x14ac:dyDescent="0.35">
      <c r="A1" s="1" t="s">
        <v>0</v>
      </c>
      <c r="B1" s="2" t="s">
        <v>79</v>
      </c>
      <c r="C1" s="4">
        <f>SUM(B2:B71)</f>
        <v>1.0000000000000004</v>
      </c>
      <c r="E1" s="8" t="s">
        <v>0</v>
      </c>
      <c r="F1" s="8" t="s">
        <v>86</v>
      </c>
      <c r="G1" s="16">
        <f>SUM(F2:F74)</f>
        <v>0.90000000000000036</v>
      </c>
      <c r="I1" s="19" t="s">
        <v>0</v>
      </c>
      <c r="J1" s="19" t="s">
        <v>80</v>
      </c>
      <c r="K1" s="4">
        <f>SUM(J2:J74)</f>
        <v>0.99994444444444397</v>
      </c>
      <c r="T1" s="6"/>
      <c r="U1" s="6"/>
    </row>
    <row r="2" spans="1:26" x14ac:dyDescent="0.3">
      <c r="A2" s="10" t="s">
        <v>46</v>
      </c>
      <c r="B2" s="11">
        <v>1.4E-2</v>
      </c>
      <c r="E2" s="5" t="str">
        <f t="shared" ref="E2:E65" si="0">A2</f>
        <v>WIZC3</v>
      </c>
      <c r="F2" s="5">
        <f t="shared" ref="F2:F33" si="1">(1-$F$72-$F$73-$F$74-$F$75)*B2</f>
        <v>6.2930000000000017E-3</v>
      </c>
      <c r="G2" s="5"/>
      <c r="I2" s="17" t="str">
        <f t="shared" ref="I2:I33" si="2">E2</f>
        <v>WIZC3</v>
      </c>
      <c r="J2" s="17">
        <f t="shared" ref="J2:J33" si="3">F2/$G$1</f>
        <v>6.9922222222222217E-3</v>
      </c>
      <c r="M2" s="21"/>
      <c r="U2" s="7"/>
      <c r="V2" s="7"/>
      <c r="X2" s="15"/>
      <c r="Z2" s="3"/>
    </row>
    <row r="3" spans="1:26" x14ac:dyDescent="0.3">
      <c r="A3" s="10" t="s">
        <v>48</v>
      </c>
      <c r="B3" s="11">
        <v>1.0999999999999999E-2</v>
      </c>
      <c r="E3" s="5" t="str">
        <f t="shared" si="0"/>
        <v>JHSF3</v>
      </c>
      <c r="F3" s="5">
        <f t="shared" si="1"/>
        <v>4.944500000000001E-3</v>
      </c>
      <c r="G3" s="5"/>
      <c r="I3" s="17" t="str">
        <f t="shared" si="2"/>
        <v>JHSF3</v>
      </c>
      <c r="J3" s="17">
        <f t="shared" si="3"/>
        <v>5.4938888888888876E-3</v>
      </c>
      <c r="U3" s="7"/>
      <c r="V3" s="7"/>
      <c r="X3" s="15"/>
      <c r="Z3" s="3"/>
    </row>
    <row r="4" spans="1:26" x14ac:dyDescent="0.3">
      <c r="A4" s="10" t="s">
        <v>64</v>
      </c>
      <c r="B4" s="11">
        <v>0.01</v>
      </c>
      <c r="E4" s="5" t="str">
        <f t="shared" si="0"/>
        <v>BMGB4</v>
      </c>
      <c r="F4" s="5">
        <f t="shared" si="1"/>
        <v>4.4950000000000016E-3</v>
      </c>
      <c r="G4" s="5"/>
      <c r="I4" s="17" t="str">
        <f t="shared" si="2"/>
        <v>BMGB4</v>
      </c>
      <c r="J4" s="17">
        <f t="shared" si="3"/>
        <v>4.9944444444444446E-3</v>
      </c>
      <c r="U4" s="7"/>
      <c r="V4" s="7"/>
      <c r="X4" s="15"/>
      <c r="Z4" s="3"/>
    </row>
    <row r="5" spans="1:26" x14ac:dyDescent="0.3">
      <c r="A5" s="10" t="s">
        <v>105</v>
      </c>
      <c r="B5" s="11">
        <v>8.9999999999999993E-3</v>
      </c>
      <c r="E5" s="5" t="str">
        <f t="shared" si="0"/>
        <v>RIAA3</v>
      </c>
      <c r="F5" s="5">
        <f t="shared" si="1"/>
        <v>4.0455000000000005E-3</v>
      </c>
      <c r="G5" s="5"/>
      <c r="I5" s="17" t="str">
        <f t="shared" si="2"/>
        <v>RIAA3</v>
      </c>
      <c r="J5" s="17">
        <f t="shared" si="3"/>
        <v>4.494999999999999E-3</v>
      </c>
      <c r="U5" s="7"/>
      <c r="V5" s="7"/>
      <c r="X5" s="15"/>
      <c r="Z5" s="3"/>
    </row>
    <row r="6" spans="1:26" x14ac:dyDescent="0.3">
      <c r="A6" s="10" t="s">
        <v>87</v>
      </c>
      <c r="B6" s="11">
        <v>8.9999999999999993E-3</v>
      </c>
      <c r="E6" s="5" t="str">
        <f t="shared" si="0"/>
        <v>CSED3</v>
      </c>
      <c r="F6" s="5">
        <f t="shared" si="1"/>
        <v>4.0455000000000005E-3</v>
      </c>
      <c r="G6" s="5"/>
      <c r="I6" s="17" t="str">
        <f t="shared" si="2"/>
        <v>CSED3</v>
      </c>
      <c r="J6" s="17">
        <f t="shared" si="3"/>
        <v>4.494999999999999E-3</v>
      </c>
      <c r="U6" s="7"/>
      <c r="V6" s="7"/>
      <c r="X6" s="15"/>
      <c r="Z6" s="3"/>
    </row>
    <row r="7" spans="1:26" x14ac:dyDescent="0.3">
      <c r="A7" s="10" t="s">
        <v>98</v>
      </c>
      <c r="B7" s="11">
        <v>8.9999999999999993E-3</v>
      </c>
      <c r="E7" s="5" t="str">
        <f t="shared" si="0"/>
        <v>ALLD3</v>
      </c>
      <c r="F7" s="5">
        <f t="shared" si="1"/>
        <v>4.0455000000000005E-3</v>
      </c>
      <c r="G7" s="5"/>
      <c r="I7" s="17" t="str">
        <f t="shared" si="2"/>
        <v>ALLD3</v>
      </c>
      <c r="J7" s="17">
        <f t="shared" si="3"/>
        <v>4.494999999999999E-3</v>
      </c>
      <c r="U7" s="7"/>
      <c r="V7" s="7"/>
      <c r="X7" s="15"/>
      <c r="Z7" s="3"/>
    </row>
    <row r="8" spans="1:26" x14ac:dyDescent="0.3">
      <c r="A8" s="10" t="s">
        <v>29</v>
      </c>
      <c r="B8" s="11">
        <v>8.0000000000000002E-3</v>
      </c>
      <c r="E8" s="5" t="str">
        <f t="shared" si="0"/>
        <v>SYNE3</v>
      </c>
      <c r="F8" s="5">
        <f t="shared" si="1"/>
        <v>3.5960000000000011E-3</v>
      </c>
      <c r="G8" s="5"/>
      <c r="I8" s="17" t="str">
        <f t="shared" si="2"/>
        <v>SYNE3</v>
      </c>
      <c r="J8" s="17">
        <f t="shared" si="3"/>
        <v>3.9955555555555551E-3</v>
      </c>
      <c r="U8" s="7"/>
      <c r="V8" s="7"/>
      <c r="X8" s="15"/>
      <c r="Z8" s="3"/>
    </row>
    <row r="9" spans="1:26" x14ac:dyDescent="0.3">
      <c r="A9" s="10" t="s">
        <v>89</v>
      </c>
      <c r="B9" s="11">
        <v>8.9999999999999993E-3</v>
      </c>
      <c r="E9" s="5" t="str">
        <f t="shared" si="0"/>
        <v>POMO3</v>
      </c>
      <c r="F9" s="5">
        <f t="shared" si="1"/>
        <v>4.0455000000000005E-3</v>
      </c>
      <c r="G9" s="5"/>
      <c r="I9" s="17" t="str">
        <f t="shared" si="2"/>
        <v>POMO3</v>
      </c>
      <c r="J9" s="17">
        <f t="shared" si="3"/>
        <v>4.494999999999999E-3</v>
      </c>
      <c r="U9" s="7"/>
      <c r="V9" s="7"/>
      <c r="X9" s="15"/>
      <c r="Z9" s="3"/>
    </row>
    <row r="10" spans="1:26" x14ac:dyDescent="0.3">
      <c r="A10" s="10" t="s">
        <v>112</v>
      </c>
      <c r="B10" s="11">
        <v>1.2E-2</v>
      </c>
      <c r="E10" s="5" t="str">
        <f t="shared" si="0"/>
        <v>SHUL4</v>
      </c>
      <c r="F10" s="5">
        <f t="shared" si="1"/>
        <v>5.3940000000000012E-3</v>
      </c>
      <c r="G10" s="5"/>
      <c r="I10" s="17" t="str">
        <f t="shared" si="2"/>
        <v>SHUL4</v>
      </c>
      <c r="J10" s="17">
        <f t="shared" si="3"/>
        <v>5.9933333333333323E-3</v>
      </c>
      <c r="U10" s="7"/>
      <c r="V10" s="7"/>
      <c r="X10" s="15"/>
      <c r="Z10" s="3"/>
    </row>
    <row r="11" spans="1:26" x14ac:dyDescent="0.3">
      <c r="A11" s="10" t="s">
        <v>97</v>
      </c>
      <c r="B11" s="11">
        <v>1.2E-2</v>
      </c>
      <c r="E11" s="5" t="str">
        <f t="shared" si="0"/>
        <v>FIQE3</v>
      </c>
      <c r="F11" s="5">
        <f t="shared" si="1"/>
        <v>5.3940000000000012E-3</v>
      </c>
      <c r="G11" s="5"/>
      <c r="I11" s="17" t="str">
        <f t="shared" si="2"/>
        <v>FIQE3</v>
      </c>
      <c r="J11" s="17">
        <f t="shared" si="3"/>
        <v>5.9933333333333323E-3</v>
      </c>
      <c r="U11" s="7"/>
      <c r="V11" s="7"/>
      <c r="X11" s="15"/>
      <c r="Z11" s="3"/>
    </row>
    <row r="12" spans="1:26" x14ac:dyDescent="0.3">
      <c r="A12" s="10" t="s">
        <v>50</v>
      </c>
      <c r="B12" s="11">
        <v>1.4E-2</v>
      </c>
      <c r="E12" s="5" t="str">
        <f t="shared" si="0"/>
        <v>MTRE3</v>
      </c>
      <c r="F12" s="5">
        <f t="shared" si="1"/>
        <v>6.2930000000000017E-3</v>
      </c>
      <c r="G12" s="5"/>
      <c r="I12" s="17" t="str">
        <f t="shared" si="2"/>
        <v>MTRE3</v>
      </c>
      <c r="J12" s="17">
        <f t="shared" si="3"/>
        <v>6.9922222222222217E-3</v>
      </c>
      <c r="U12" s="7"/>
      <c r="V12" s="7"/>
      <c r="X12" s="15"/>
      <c r="Z12" s="3"/>
    </row>
    <row r="13" spans="1:26" x14ac:dyDescent="0.3">
      <c r="A13" s="10" t="s">
        <v>26</v>
      </c>
      <c r="B13" s="11">
        <v>1.2E-2</v>
      </c>
      <c r="E13" s="5" t="str">
        <f t="shared" si="0"/>
        <v>BRSR6</v>
      </c>
      <c r="F13" s="5">
        <f t="shared" si="1"/>
        <v>5.3940000000000012E-3</v>
      </c>
      <c r="G13" s="5"/>
      <c r="I13" s="17" t="str">
        <f t="shared" si="2"/>
        <v>BRSR6</v>
      </c>
      <c r="J13" s="17">
        <f t="shared" si="3"/>
        <v>5.9933333333333323E-3</v>
      </c>
      <c r="U13" s="7"/>
      <c r="V13" s="7"/>
      <c r="X13" s="15"/>
      <c r="Z13" s="3"/>
    </row>
    <row r="14" spans="1:26" x14ac:dyDescent="0.3">
      <c r="A14" s="10" t="s">
        <v>62</v>
      </c>
      <c r="B14" s="11">
        <v>8.9999999999999993E-3</v>
      </c>
      <c r="E14" s="5" t="str">
        <f t="shared" si="0"/>
        <v>GRND3</v>
      </c>
      <c r="F14" s="5">
        <f t="shared" si="1"/>
        <v>4.0455000000000005E-3</v>
      </c>
      <c r="G14" s="5"/>
      <c r="I14" s="17" t="str">
        <f t="shared" si="2"/>
        <v>GRND3</v>
      </c>
      <c r="J14" s="17">
        <f t="shared" si="3"/>
        <v>4.494999999999999E-3</v>
      </c>
      <c r="U14" s="7"/>
      <c r="V14" s="7"/>
      <c r="X14" s="15"/>
      <c r="Z14" s="3"/>
    </row>
    <row r="15" spans="1:26" x14ac:dyDescent="0.3">
      <c r="A15" s="10" t="s">
        <v>23</v>
      </c>
      <c r="B15" s="11">
        <v>1.9E-2</v>
      </c>
      <c r="E15" s="5" t="str">
        <f t="shared" si="0"/>
        <v>TIMS3</v>
      </c>
      <c r="F15" s="5">
        <f t="shared" si="1"/>
        <v>8.540500000000003E-3</v>
      </c>
      <c r="G15" s="5"/>
      <c r="I15" s="17" t="str">
        <f t="shared" si="2"/>
        <v>TIMS3</v>
      </c>
      <c r="J15" s="17">
        <f t="shared" si="3"/>
        <v>9.4894444444444444E-3</v>
      </c>
      <c r="U15" s="7"/>
      <c r="V15" s="7"/>
      <c r="X15" s="15"/>
      <c r="Z15" s="3"/>
    </row>
    <row r="16" spans="1:26" x14ac:dyDescent="0.3">
      <c r="A16" s="10" t="s">
        <v>47</v>
      </c>
      <c r="B16" s="11">
        <v>1.0999999999999999E-2</v>
      </c>
      <c r="E16" s="5" t="str">
        <f t="shared" si="0"/>
        <v>SAPR4</v>
      </c>
      <c r="F16" s="5">
        <f t="shared" si="1"/>
        <v>4.944500000000001E-3</v>
      </c>
      <c r="G16" s="5"/>
      <c r="I16" s="17" t="str">
        <f t="shared" si="2"/>
        <v>SAPR4</v>
      </c>
      <c r="J16" s="17">
        <f t="shared" si="3"/>
        <v>5.4938888888888876E-3</v>
      </c>
      <c r="U16" s="7"/>
      <c r="V16" s="7"/>
      <c r="X16" s="15"/>
      <c r="Z16" s="3"/>
    </row>
    <row r="17" spans="1:26" x14ac:dyDescent="0.3">
      <c r="A17" s="10" t="s">
        <v>113</v>
      </c>
      <c r="B17" s="11">
        <v>8.0000000000000002E-3</v>
      </c>
      <c r="E17" s="5" t="str">
        <f t="shared" si="0"/>
        <v>PFRM3</v>
      </c>
      <c r="F17" s="5">
        <f t="shared" si="1"/>
        <v>3.5960000000000011E-3</v>
      </c>
      <c r="G17" s="5"/>
      <c r="I17" s="17" t="str">
        <f t="shared" si="2"/>
        <v>PFRM3</v>
      </c>
      <c r="J17" s="17">
        <f t="shared" si="3"/>
        <v>3.9955555555555551E-3</v>
      </c>
      <c r="U17" s="7"/>
      <c r="V17" s="7"/>
      <c r="X17" s="15"/>
      <c r="Z17" s="3"/>
    </row>
    <row r="18" spans="1:26" x14ac:dyDescent="0.3">
      <c r="A18" s="10" t="s">
        <v>114</v>
      </c>
      <c r="B18" s="11">
        <v>1.0999999999999999E-2</v>
      </c>
      <c r="E18" s="5" t="str">
        <f t="shared" si="0"/>
        <v>DEXP3</v>
      </c>
      <c r="F18" s="5">
        <f t="shared" si="1"/>
        <v>4.944500000000001E-3</v>
      </c>
      <c r="G18" s="5"/>
      <c r="I18" s="17" t="str">
        <f t="shared" si="2"/>
        <v>DEXP3</v>
      </c>
      <c r="J18" s="17">
        <f t="shared" si="3"/>
        <v>5.4938888888888876E-3</v>
      </c>
      <c r="U18" s="7"/>
      <c r="V18" s="7"/>
      <c r="X18" s="15"/>
      <c r="Z18" s="3"/>
    </row>
    <row r="19" spans="1:26" x14ac:dyDescent="0.3">
      <c r="A19" s="10" t="s">
        <v>3</v>
      </c>
      <c r="B19" s="11">
        <v>5.5E-2</v>
      </c>
      <c r="E19" s="5" t="str">
        <f t="shared" si="0"/>
        <v>PETR4</v>
      </c>
      <c r="F19" s="5">
        <f t="shared" si="1"/>
        <v>2.4722500000000008E-2</v>
      </c>
      <c r="G19" s="5"/>
      <c r="I19" s="17" t="str">
        <f t="shared" si="2"/>
        <v>PETR4</v>
      </c>
      <c r="J19" s="17">
        <f t="shared" si="3"/>
        <v>2.7469444444444442E-2</v>
      </c>
      <c r="U19" s="7"/>
      <c r="V19" s="7"/>
      <c r="X19" s="15"/>
      <c r="Z19" s="3"/>
    </row>
    <row r="20" spans="1:26" x14ac:dyDescent="0.3">
      <c r="A20" s="10" t="s">
        <v>28</v>
      </c>
      <c r="B20" s="11">
        <v>1.0999999999999999E-2</v>
      </c>
      <c r="E20" s="5" t="str">
        <f t="shared" si="0"/>
        <v>LEVE3</v>
      </c>
      <c r="F20" s="5">
        <f t="shared" si="1"/>
        <v>4.944500000000001E-3</v>
      </c>
      <c r="G20" s="5"/>
      <c r="I20" s="17" t="str">
        <f t="shared" si="2"/>
        <v>LEVE3</v>
      </c>
      <c r="J20" s="17">
        <f t="shared" si="3"/>
        <v>5.4938888888888876E-3</v>
      </c>
      <c r="U20" s="7"/>
      <c r="V20" s="7"/>
      <c r="X20" s="15"/>
      <c r="Z20" s="3"/>
    </row>
    <row r="21" spans="1:26" x14ac:dyDescent="0.3">
      <c r="A21" s="10" t="s">
        <v>5</v>
      </c>
      <c r="B21" s="11">
        <v>0.05</v>
      </c>
      <c r="E21" s="5" t="str">
        <f t="shared" si="0"/>
        <v>PETR3</v>
      </c>
      <c r="F21" s="5">
        <f t="shared" si="1"/>
        <v>2.2475000000000009E-2</v>
      </c>
      <c r="G21" s="5"/>
      <c r="I21" s="17" t="str">
        <f t="shared" si="2"/>
        <v>PETR3</v>
      </c>
      <c r="J21" s="17">
        <f t="shared" si="3"/>
        <v>2.4972222222222222E-2</v>
      </c>
      <c r="U21" s="7"/>
      <c r="V21" s="7"/>
      <c r="X21" s="15"/>
      <c r="Z21" s="3"/>
    </row>
    <row r="22" spans="1:26" x14ac:dyDescent="0.3">
      <c r="A22" s="10" t="s">
        <v>90</v>
      </c>
      <c r="B22" s="11">
        <v>1.4999999999999999E-2</v>
      </c>
      <c r="E22" s="5" t="str">
        <f t="shared" si="0"/>
        <v>ABCB4</v>
      </c>
      <c r="F22" s="5">
        <f t="shared" si="1"/>
        <v>6.742500000000002E-3</v>
      </c>
      <c r="G22" s="5"/>
      <c r="I22" s="17" t="str">
        <f t="shared" si="2"/>
        <v>ABCB4</v>
      </c>
      <c r="J22" s="17">
        <f t="shared" si="3"/>
        <v>7.4916666666666656E-3</v>
      </c>
      <c r="U22" s="7"/>
      <c r="V22" s="7"/>
      <c r="X22" s="15"/>
      <c r="Z22" s="3"/>
    </row>
    <row r="23" spans="1:26" x14ac:dyDescent="0.3">
      <c r="A23" s="10" t="s">
        <v>107</v>
      </c>
      <c r="B23" s="11">
        <v>8.9999999999999993E-3</v>
      </c>
      <c r="E23" s="5" t="str">
        <f t="shared" si="0"/>
        <v>ALPA4</v>
      </c>
      <c r="F23" s="5">
        <f t="shared" si="1"/>
        <v>4.0455000000000005E-3</v>
      </c>
      <c r="G23" s="5"/>
      <c r="I23" s="17" t="str">
        <f t="shared" si="2"/>
        <v>ALPA4</v>
      </c>
      <c r="J23" s="17">
        <f t="shared" si="3"/>
        <v>4.494999999999999E-3</v>
      </c>
      <c r="U23" s="7"/>
      <c r="V23" s="7"/>
      <c r="X23" s="15"/>
      <c r="Z23" s="3"/>
    </row>
    <row r="24" spans="1:26" x14ac:dyDescent="0.3">
      <c r="A24" s="10" t="s">
        <v>78</v>
      </c>
      <c r="B24" s="11">
        <v>1.0999999999999999E-2</v>
      </c>
      <c r="E24" s="5" t="str">
        <f t="shared" si="0"/>
        <v>SAPR11</v>
      </c>
      <c r="F24" s="5">
        <f t="shared" si="1"/>
        <v>4.944500000000001E-3</v>
      </c>
      <c r="G24" s="5"/>
      <c r="I24" s="17" t="str">
        <f t="shared" si="2"/>
        <v>SAPR11</v>
      </c>
      <c r="J24" s="17">
        <f t="shared" si="3"/>
        <v>5.4938888888888876E-3</v>
      </c>
      <c r="U24" s="7"/>
      <c r="V24" s="7"/>
      <c r="X24" s="15"/>
      <c r="Z24" s="3"/>
    </row>
    <row r="25" spans="1:26" x14ac:dyDescent="0.3">
      <c r="A25" s="10" t="s">
        <v>16</v>
      </c>
      <c r="B25" s="11">
        <v>0.01</v>
      </c>
      <c r="E25" s="5" t="str">
        <f t="shared" si="0"/>
        <v>POMO4</v>
      </c>
      <c r="F25" s="5">
        <f t="shared" si="1"/>
        <v>4.4950000000000016E-3</v>
      </c>
      <c r="G25" s="5"/>
      <c r="I25" s="17" t="str">
        <f t="shared" si="2"/>
        <v>POMO4</v>
      </c>
      <c r="J25" s="17">
        <f t="shared" si="3"/>
        <v>4.9944444444444446E-3</v>
      </c>
      <c r="U25" s="7"/>
      <c r="V25" s="7"/>
      <c r="X25" s="15"/>
      <c r="Z25" s="3"/>
    </row>
    <row r="26" spans="1:26" x14ac:dyDescent="0.3">
      <c r="A26" s="10" t="s">
        <v>115</v>
      </c>
      <c r="B26" s="11">
        <v>0.01</v>
      </c>
      <c r="E26" s="5" t="str">
        <f t="shared" si="0"/>
        <v>LOGG3</v>
      </c>
      <c r="F26" s="5">
        <f t="shared" si="1"/>
        <v>4.4950000000000016E-3</v>
      </c>
      <c r="G26" s="5"/>
      <c r="I26" s="17" t="str">
        <f t="shared" si="2"/>
        <v>LOGG3</v>
      </c>
      <c r="J26" s="17">
        <f t="shared" si="3"/>
        <v>4.9944444444444446E-3</v>
      </c>
      <c r="U26" s="7"/>
      <c r="V26" s="7"/>
      <c r="X26" s="15"/>
      <c r="Z26" s="3"/>
    </row>
    <row r="27" spans="1:26" x14ac:dyDescent="0.3">
      <c r="A27" s="10" t="s">
        <v>116</v>
      </c>
      <c r="B27" s="11">
        <v>0.01</v>
      </c>
      <c r="E27" s="5" t="str">
        <f t="shared" si="0"/>
        <v>ODPV3</v>
      </c>
      <c r="F27" s="5">
        <f t="shared" si="1"/>
        <v>4.4950000000000016E-3</v>
      </c>
      <c r="G27" s="5"/>
      <c r="I27" s="17" t="str">
        <f t="shared" si="2"/>
        <v>ODPV3</v>
      </c>
      <c r="J27" s="17">
        <f t="shared" si="3"/>
        <v>4.9944444444444446E-3</v>
      </c>
      <c r="U27" s="7"/>
      <c r="V27" s="7"/>
      <c r="X27" s="15"/>
      <c r="Z27" s="3"/>
    </row>
    <row r="28" spans="1:26" x14ac:dyDescent="0.3">
      <c r="A28" s="10" t="s">
        <v>117</v>
      </c>
      <c r="B28" s="11">
        <v>1.0999999999999999E-2</v>
      </c>
      <c r="E28" s="5" t="str">
        <f t="shared" si="0"/>
        <v>EVEN3</v>
      </c>
      <c r="F28" s="5">
        <f t="shared" si="1"/>
        <v>4.944500000000001E-3</v>
      </c>
      <c r="G28" s="5"/>
      <c r="I28" s="17" t="str">
        <f t="shared" si="2"/>
        <v>EVEN3</v>
      </c>
      <c r="J28" s="17">
        <f t="shared" si="3"/>
        <v>5.4938888888888876E-3</v>
      </c>
      <c r="U28" s="7"/>
      <c r="V28" s="7"/>
      <c r="X28" s="15"/>
      <c r="Z28" s="3"/>
    </row>
    <row r="29" spans="1:26" x14ac:dyDescent="0.3">
      <c r="A29" s="10" t="s">
        <v>30</v>
      </c>
      <c r="B29" s="11">
        <v>1.0999999999999999E-2</v>
      </c>
      <c r="E29" s="5" t="str">
        <f t="shared" si="0"/>
        <v>CURY3</v>
      </c>
      <c r="F29" s="5">
        <f t="shared" si="1"/>
        <v>4.944500000000001E-3</v>
      </c>
      <c r="G29" s="5"/>
      <c r="I29" s="17" t="str">
        <f t="shared" si="2"/>
        <v>CURY3</v>
      </c>
      <c r="J29" s="17">
        <f t="shared" si="3"/>
        <v>5.4938888888888876E-3</v>
      </c>
      <c r="U29" s="7"/>
      <c r="V29" s="7"/>
      <c r="X29" s="15"/>
      <c r="Z29" s="3"/>
    </row>
    <row r="30" spans="1:26" x14ac:dyDescent="0.3">
      <c r="A30" s="10" t="s">
        <v>45</v>
      </c>
      <c r="B30" s="11">
        <v>1.6E-2</v>
      </c>
      <c r="E30" s="5" t="str">
        <f t="shared" si="0"/>
        <v>ALOS3</v>
      </c>
      <c r="F30" s="5">
        <f t="shared" si="1"/>
        <v>7.1920000000000022E-3</v>
      </c>
      <c r="G30" s="5"/>
      <c r="I30" s="17" t="str">
        <f t="shared" si="2"/>
        <v>ALOS3</v>
      </c>
      <c r="J30" s="17">
        <f t="shared" si="3"/>
        <v>7.9911111111111103E-3</v>
      </c>
      <c r="U30" s="7"/>
      <c r="V30" s="7"/>
      <c r="X30" s="15"/>
      <c r="Z30" s="3"/>
    </row>
    <row r="31" spans="1:26" x14ac:dyDescent="0.3">
      <c r="A31" s="10" t="s">
        <v>118</v>
      </c>
      <c r="B31" s="11">
        <v>2.1000000000000001E-2</v>
      </c>
      <c r="E31" s="5" t="str">
        <f t="shared" si="0"/>
        <v>ITSA3</v>
      </c>
      <c r="F31" s="5">
        <f t="shared" si="1"/>
        <v>9.4395000000000034E-3</v>
      </c>
      <c r="G31" s="5"/>
      <c r="I31" s="17" t="str">
        <f t="shared" si="2"/>
        <v>ITSA3</v>
      </c>
      <c r="J31" s="17">
        <f t="shared" si="3"/>
        <v>1.0488333333333334E-2</v>
      </c>
      <c r="U31" s="7"/>
      <c r="V31" s="7"/>
      <c r="X31" s="15"/>
      <c r="Z31" s="3"/>
    </row>
    <row r="32" spans="1:26" x14ac:dyDescent="0.3">
      <c r="A32" s="10" t="s">
        <v>106</v>
      </c>
      <c r="B32" s="11">
        <v>1.15E-2</v>
      </c>
      <c r="E32" s="5" t="str">
        <f t="shared" si="0"/>
        <v>MELK3</v>
      </c>
      <c r="F32" s="5">
        <f t="shared" si="1"/>
        <v>5.1692500000000011E-3</v>
      </c>
      <c r="G32" s="5"/>
      <c r="I32" s="17" t="str">
        <f t="shared" si="2"/>
        <v>MELK3</v>
      </c>
      <c r="J32" s="17">
        <f t="shared" si="3"/>
        <v>5.7436111111111099E-3</v>
      </c>
      <c r="U32" s="7"/>
      <c r="V32" s="7"/>
      <c r="X32" s="15"/>
      <c r="Z32" s="3"/>
    </row>
    <row r="33" spans="1:26" x14ac:dyDescent="0.3">
      <c r="A33" s="10" t="s">
        <v>42</v>
      </c>
      <c r="B33" s="11">
        <v>1.2500000000000001E-2</v>
      </c>
      <c r="E33" s="5" t="str">
        <f t="shared" si="0"/>
        <v>VLID3</v>
      </c>
      <c r="F33" s="5">
        <f t="shared" si="1"/>
        <v>5.6187500000000022E-3</v>
      </c>
      <c r="G33" s="5"/>
      <c r="I33" s="17" t="str">
        <f t="shared" si="2"/>
        <v>VLID3</v>
      </c>
      <c r="J33" s="17">
        <f t="shared" si="3"/>
        <v>6.2430555555555555E-3</v>
      </c>
      <c r="U33" s="7"/>
      <c r="V33" s="7"/>
      <c r="X33" s="15"/>
      <c r="Z33" s="3"/>
    </row>
    <row r="34" spans="1:26" x14ac:dyDescent="0.3">
      <c r="A34" s="10" t="s">
        <v>53</v>
      </c>
      <c r="B34" s="11">
        <v>5.0000000000000001E-3</v>
      </c>
      <c r="E34" s="5" t="str">
        <f t="shared" si="0"/>
        <v>TRIS3</v>
      </c>
      <c r="F34" s="5">
        <f t="shared" ref="F34:F66" si="4">(1-$F$72-$F$73-$F$74-$F$75)*B34</f>
        <v>2.2475000000000008E-3</v>
      </c>
      <c r="G34" s="5"/>
      <c r="I34" s="17" t="str">
        <f t="shared" ref="I34:I66" si="5">E34</f>
        <v>TRIS3</v>
      </c>
      <c r="J34" s="17">
        <f t="shared" ref="J34:J66" si="6">F34/$G$1</f>
        <v>2.4972222222222223E-3</v>
      </c>
      <c r="U34" s="7"/>
      <c r="V34" s="7"/>
      <c r="X34" s="15"/>
      <c r="Z34" s="3"/>
    </row>
    <row r="35" spans="1:26" x14ac:dyDescent="0.3">
      <c r="A35" s="10" t="s">
        <v>96</v>
      </c>
      <c r="B35" s="11">
        <v>1.2E-2</v>
      </c>
      <c r="E35" s="5" t="str">
        <f t="shared" si="0"/>
        <v>VULC3</v>
      </c>
      <c r="F35" s="5">
        <f t="shared" si="4"/>
        <v>5.3940000000000012E-3</v>
      </c>
      <c r="G35" s="5"/>
      <c r="I35" s="17" t="str">
        <f t="shared" si="5"/>
        <v>VULC3</v>
      </c>
      <c r="J35" s="17">
        <f t="shared" si="6"/>
        <v>5.9933333333333323E-3</v>
      </c>
      <c r="U35" s="7"/>
      <c r="V35" s="7"/>
      <c r="X35" s="15"/>
      <c r="Z35" s="3"/>
    </row>
    <row r="36" spans="1:26" x14ac:dyDescent="0.3">
      <c r="A36" s="10" t="s">
        <v>119</v>
      </c>
      <c r="B36" s="11">
        <v>1.0999999999999999E-2</v>
      </c>
      <c r="E36" s="5" t="str">
        <f t="shared" si="0"/>
        <v>INTB3</v>
      </c>
      <c r="F36" s="5">
        <f t="shared" si="4"/>
        <v>4.944500000000001E-3</v>
      </c>
      <c r="G36" s="5"/>
      <c r="I36" s="17" t="str">
        <f t="shared" si="5"/>
        <v>INTB3</v>
      </c>
      <c r="J36" s="17">
        <f t="shared" si="6"/>
        <v>5.4938888888888876E-3</v>
      </c>
      <c r="U36" s="7"/>
      <c r="V36" s="7"/>
      <c r="X36" s="15"/>
      <c r="Z36" s="3"/>
    </row>
    <row r="37" spans="1:26" x14ac:dyDescent="0.3">
      <c r="A37" s="10" t="s">
        <v>104</v>
      </c>
      <c r="B37" s="11">
        <v>8.0000000000000002E-3</v>
      </c>
      <c r="E37" s="5" t="str">
        <f t="shared" si="0"/>
        <v>BMEB4</v>
      </c>
      <c r="F37" s="5">
        <f t="shared" si="4"/>
        <v>3.5960000000000011E-3</v>
      </c>
      <c r="G37" s="5"/>
      <c r="I37" s="17" t="str">
        <f t="shared" si="5"/>
        <v>BMEB4</v>
      </c>
      <c r="J37" s="17">
        <f t="shared" si="6"/>
        <v>3.9955555555555551E-3</v>
      </c>
      <c r="U37" s="7"/>
      <c r="V37" s="7"/>
      <c r="X37" s="15"/>
      <c r="Z37" s="3"/>
    </row>
    <row r="38" spans="1:26" x14ac:dyDescent="0.3">
      <c r="A38" s="10" t="s">
        <v>120</v>
      </c>
      <c r="B38" s="11">
        <v>7.0000000000000001E-3</v>
      </c>
      <c r="E38" s="5" t="str">
        <f t="shared" si="0"/>
        <v>MLAS3</v>
      </c>
      <c r="F38" s="5">
        <f t="shared" si="4"/>
        <v>3.1465000000000009E-3</v>
      </c>
      <c r="G38" s="5"/>
      <c r="I38" s="17" t="str">
        <f t="shared" si="5"/>
        <v>MLAS3</v>
      </c>
      <c r="J38" s="17">
        <f t="shared" si="6"/>
        <v>3.4961111111111109E-3</v>
      </c>
      <c r="U38" s="7"/>
      <c r="V38" s="7"/>
      <c r="X38" s="15"/>
      <c r="Z38" s="3"/>
    </row>
    <row r="39" spans="1:26" x14ac:dyDescent="0.3">
      <c r="A39" s="10" t="s">
        <v>91</v>
      </c>
      <c r="B39" s="11">
        <v>0.02</v>
      </c>
      <c r="E39" s="5" t="str">
        <f t="shared" si="0"/>
        <v>ALUP11</v>
      </c>
      <c r="F39" s="5">
        <f t="shared" si="4"/>
        <v>8.9900000000000032E-3</v>
      </c>
      <c r="G39" s="5"/>
      <c r="I39" s="17" t="str">
        <f t="shared" si="5"/>
        <v>ALUP11</v>
      </c>
      <c r="J39" s="17">
        <f t="shared" si="6"/>
        <v>9.9888888888888892E-3</v>
      </c>
      <c r="U39" s="7"/>
      <c r="V39" s="7"/>
      <c r="X39" s="15"/>
      <c r="Z39" s="3"/>
    </row>
    <row r="40" spans="1:26" x14ac:dyDescent="0.3">
      <c r="A40" s="10" t="s">
        <v>108</v>
      </c>
      <c r="B40" s="11">
        <v>1.2E-2</v>
      </c>
      <c r="E40" s="5" t="str">
        <f t="shared" si="0"/>
        <v>PNVL3</v>
      </c>
      <c r="F40" s="5">
        <f t="shared" si="4"/>
        <v>5.3940000000000012E-3</v>
      </c>
      <c r="G40" s="5"/>
      <c r="I40" s="17" t="str">
        <f t="shared" si="5"/>
        <v>PNVL3</v>
      </c>
      <c r="J40" s="17">
        <f t="shared" si="6"/>
        <v>5.9933333333333323E-3</v>
      </c>
      <c r="U40" s="7"/>
      <c r="V40" s="7"/>
      <c r="X40" s="15"/>
      <c r="Z40" s="3"/>
    </row>
    <row r="41" spans="1:26" x14ac:dyDescent="0.3">
      <c r="A41" s="10" t="s">
        <v>59</v>
      </c>
      <c r="B41" s="11">
        <v>1.4999999999999999E-2</v>
      </c>
      <c r="E41" s="5" t="str">
        <f t="shared" si="0"/>
        <v>RECV3</v>
      </c>
      <c r="F41" s="5">
        <f t="shared" si="4"/>
        <v>6.742500000000002E-3</v>
      </c>
      <c r="G41" s="5"/>
      <c r="I41" s="17" t="str">
        <f t="shared" si="5"/>
        <v>RECV3</v>
      </c>
      <c r="J41" s="17">
        <f t="shared" si="6"/>
        <v>7.4916666666666656E-3</v>
      </c>
      <c r="U41" s="7"/>
      <c r="V41" s="7"/>
      <c r="X41" s="15"/>
      <c r="Z41" s="3"/>
    </row>
    <row r="42" spans="1:26" x14ac:dyDescent="0.3">
      <c r="A42" s="10" t="s">
        <v>95</v>
      </c>
      <c r="B42" s="11">
        <v>1.4E-2</v>
      </c>
      <c r="E42" s="5" t="str">
        <f t="shared" si="0"/>
        <v>OPCT3</v>
      </c>
      <c r="F42" s="5">
        <f t="shared" si="4"/>
        <v>6.2930000000000017E-3</v>
      </c>
      <c r="G42" s="5"/>
      <c r="I42" s="17" t="str">
        <f t="shared" si="5"/>
        <v>OPCT3</v>
      </c>
      <c r="J42" s="17">
        <f t="shared" si="6"/>
        <v>6.9922222222222217E-3</v>
      </c>
      <c r="U42" s="7"/>
      <c r="V42" s="7"/>
      <c r="X42" s="15"/>
      <c r="Z42" s="3"/>
    </row>
    <row r="43" spans="1:26" x14ac:dyDescent="0.3">
      <c r="A43" s="10" t="s">
        <v>38</v>
      </c>
      <c r="B43" s="11">
        <v>1.0999999999999999E-2</v>
      </c>
      <c r="E43" s="5" t="str">
        <f t="shared" si="0"/>
        <v>LAVV3</v>
      </c>
      <c r="F43" s="5">
        <f t="shared" si="4"/>
        <v>4.944500000000001E-3</v>
      </c>
      <c r="G43" s="5"/>
      <c r="I43" s="17" t="str">
        <f t="shared" si="5"/>
        <v>LAVV3</v>
      </c>
      <c r="J43" s="17">
        <f t="shared" si="6"/>
        <v>5.4938888888888876E-3</v>
      </c>
      <c r="U43" s="7"/>
      <c r="V43" s="7"/>
      <c r="X43" s="15"/>
      <c r="Z43" s="3"/>
    </row>
    <row r="44" spans="1:26" x14ac:dyDescent="0.3">
      <c r="A44" s="10" t="s">
        <v>13</v>
      </c>
      <c r="B44" s="11">
        <v>1.6E-2</v>
      </c>
      <c r="E44" s="5" t="str">
        <f t="shared" si="0"/>
        <v>VIVT3</v>
      </c>
      <c r="F44" s="5">
        <f t="shared" si="4"/>
        <v>7.1920000000000022E-3</v>
      </c>
      <c r="G44" s="5"/>
      <c r="I44" s="17" t="str">
        <f t="shared" si="5"/>
        <v>VIVT3</v>
      </c>
      <c r="J44" s="17">
        <f t="shared" si="6"/>
        <v>7.9911111111111103E-3</v>
      </c>
      <c r="U44" s="7"/>
      <c r="V44" s="7"/>
      <c r="X44" s="15"/>
      <c r="Z44" s="3"/>
    </row>
    <row r="45" spans="1:26" x14ac:dyDescent="0.3">
      <c r="A45" s="10" t="s">
        <v>100</v>
      </c>
      <c r="B45" s="11">
        <v>8.9999999999999993E-3</v>
      </c>
      <c r="E45" s="5" t="str">
        <f t="shared" si="0"/>
        <v>PINE4</v>
      </c>
      <c r="F45" s="5">
        <f t="shared" si="4"/>
        <v>4.0455000000000005E-3</v>
      </c>
      <c r="G45" s="5"/>
      <c r="I45" s="17" t="str">
        <f t="shared" si="5"/>
        <v>PINE4</v>
      </c>
      <c r="J45" s="17">
        <f t="shared" si="6"/>
        <v>4.494999999999999E-3</v>
      </c>
      <c r="U45" s="7"/>
      <c r="V45" s="7"/>
      <c r="X45" s="15"/>
      <c r="Z45" s="3"/>
    </row>
    <row r="46" spans="1:26" x14ac:dyDescent="0.3">
      <c r="A46" s="10" t="s">
        <v>73</v>
      </c>
      <c r="B46" s="11">
        <v>0.01</v>
      </c>
      <c r="E46" s="5" t="str">
        <f t="shared" si="0"/>
        <v>BMOB3</v>
      </c>
      <c r="F46" s="5">
        <f t="shared" si="4"/>
        <v>4.4950000000000016E-3</v>
      </c>
      <c r="G46" s="5"/>
      <c r="I46" s="17" t="str">
        <f t="shared" si="5"/>
        <v>BMOB3</v>
      </c>
      <c r="J46" s="17">
        <f t="shared" si="6"/>
        <v>4.9944444444444446E-3</v>
      </c>
      <c r="U46" s="7"/>
      <c r="V46" s="7"/>
      <c r="X46" s="15"/>
      <c r="Z46" s="3"/>
    </row>
    <row r="47" spans="1:26" x14ac:dyDescent="0.3">
      <c r="A47" s="10" t="s">
        <v>121</v>
      </c>
      <c r="B47" s="11">
        <v>0.01</v>
      </c>
      <c r="E47" s="5" t="str">
        <f t="shared" si="0"/>
        <v>POSI3</v>
      </c>
      <c r="F47" s="5">
        <f t="shared" si="4"/>
        <v>4.4950000000000016E-3</v>
      </c>
      <c r="G47" s="5"/>
      <c r="I47" s="17" t="str">
        <f t="shared" si="5"/>
        <v>POSI3</v>
      </c>
      <c r="J47" s="17">
        <f t="shared" si="6"/>
        <v>4.9944444444444446E-3</v>
      </c>
      <c r="U47" s="7"/>
      <c r="V47" s="7"/>
      <c r="X47" s="15"/>
      <c r="Z47" s="3"/>
    </row>
    <row r="48" spans="1:26" x14ac:dyDescent="0.3">
      <c r="A48" s="10" t="s">
        <v>68</v>
      </c>
      <c r="B48" s="11">
        <v>2.5000000000000001E-2</v>
      </c>
      <c r="E48" s="5" t="str">
        <f t="shared" si="0"/>
        <v>ITSA4</v>
      </c>
      <c r="F48" s="5">
        <f t="shared" si="4"/>
        <v>1.1237500000000004E-2</v>
      </c>
      <c r="G48" s="5"/>
      <c r="I48" s="17" t="str">
        <f t="shared" si="5"/>
        <v>ITSA4</v>
      </c>
      <c r="J48" s="17">
        <f t="shared" si="6"/>
        <v>1.2486111111111111E-2</v>
      </c>
      <c r="U48" s="7"/>
      <c r="V48" s="7"/>
      <c r="X48" s="15"/>
      <c r="Z48" s="3"/>
    </row>
    <row r="49" spans="1:26" x14ac:dyDescent="0.3">
      <c r="A49" s="10" t="s">
        <v>66</v>
      </c>
      <c r="B49" s="11">
        <v>1.7000000000000001E-2</v>
      </c>
      <c r="E49" s="5" t="str">
        <f t="shared" si="0"/>
        <v>ABEV3</v>
      </c>
      <c r="F49" s="5">
        <f t="shared" si="4"/>
        <v>7.6415000000000025E-3</v>
      </c>
      <c r="G49" s="5"/>
      <c r="I49" s="17" t="str">
        <f t="shared" si="5"/>
        <v>ABEV3</v>
      </c>
      <c r="J49" s="17">
        <f t="shared" si="6"/>
        <v>8.490555555555555E-3</v>
      </c>
      <c r="U49" s="7"/>
      <c r="V49" s="7"/>
      <c r="X49" s="15"/>
      <c r="Z49" s="3"/>
    </row>
    <row r="50" spans="1:26" x14ac:dyDescent="0.3">
      <c r="A50" s="10" t="s">
        <v>122</v>
      </c>
      <c r="B50" s="11">
        <v>4.0000000000000001E-3</v>
      </c>
      <c r="E50" s="5" t="str">
        <f t="shared" si="0"/>
        <v>VVEO3</v>
      </c>
      <c r="F50" s="5">
        <f t="shared" si="4"/>
        <v>1.7980000000000006E-3</v>
      </c>
      <c r="G50" s="5"/>
      <c r="I50" s="17" t="str">
        <f t="shared" si="5"/>
        <v>VVEO3</v>
      </c>
      <c r="J50" s="17">
        <f t="shared" si="6"/>
        <v>1.9977777777777776E-3</v>
      </c>
      <c r="U50" s="7"/>
      <c r="V50" s="7"/>
      <c r="X50" s="15"/>
      <c r="Z50" s="3"/>
    </row>
    <row r="51" spans="1:26" x14ac:dyDescent="0.3">
      <c r="A51" s="10" t="s">
        <v>75</v>
      </c>
      <c r="B51" s="11">
        <v>7.0000000000000001E-3</v>
      </c>
      <c r="E51" s="5" t="str">
        <f t="shared" si="0"/>
        <v>MDNE3</v>
      </c>
      <c r="F51" s="5">
        <f t="shared" si="4"/>
        <v>3.1465000000000009E-3</v>
      </c>
      <c r="G51" s="5"/>
      <c r="I51" s="17" t="str">
        <f t="shared" si="5"/>
        <v>MDNE3</v>
      </c>
      <c r="J51" s="17">
        <f t="shared" si="6"/>
        <v>3.4961111111111109E-3</v>
      </c>
      <c r="U51" s="7"/>
      <c r="V51" s="7"/>
      <c r="X51" s="15"/>
      <c r="Z51" s="3"/>
    </row>
    <row r="52" spans="1:26" x14ac:dyDescent="0.3">
      <c r="A52" s="10" t="s">
        <v>31</v>
      </c>
      <c r="B52" s="11">
        <v>1.2999999999999999E-2</v>
      </c>
      <c r="E52" s="5" t="str">
        <f t="shared" si="0"/>
        <v>PSSA3</v>
      </c>
      <c r="F52" s="5">
        <f t="shared" si="4"/>
        <v>5.8435000000000015E-3</v>
      </c>
      <c r="G52" s="5"/>
      <c r="I52" s="17" t="str">
        <f t="shared" si="5"/>
        <v>PSSA3</v>
      </c>
      <c r="J52" s="17">
        <f t="shared" si="6"/>
        <v>6.492777777777777E-3</v>
      </c>
      <c r="U52" s="7"/>
      <c r="V52" s="7"/>
      <c r="X52" s="15"/>
      <c r="Z52" s="3"/>
    </row>
    <row r="53" spans="1:26" x14ac:dyDescent="0.3">
      <c r="A53" s="10" t="s">
        <v>123</v>
      </c>
      <c r="B53" s="11">
        <v>6.0000000000000001E-3</v>
      </c>
      <c r="E53" s="5" t="str">
        <f t="shared" si="0"/>
        <v>SEER3</v>
      </c>
      <c r="F53" s="5">
        <f t="shared" si="4"/>
        <v>2.6970000000000006E-3</v>
      </c>
      <c r="G53" s="5"/>
      <c r="I53" s="17" t="str">
        <f t="shared" si="5"/>
        <v>SEER3</v>
      </c>
      <c r="J53" s="17">
        <f t="shared" si="6"/>
        <v>2.9966666666666661E-3</v>
      </c>
      <c r="U53" s="7"/>
      <c r="V53" s="7"/>
      <c r="X53" s="15"/>
      <c r="Z53" s="3"/>
    </row>
    <row r="54" spans="1:26" x14ac:dyDescent="0.3">
      <c r="A54" s="10" t="s">
        <v>109</v>
      </c>
      <c r="B54" s="11">
        <v>0.01</v>
      </c>
      <c r="E54" s="5" t="str">
        <f t="shared" si="0"/>
        <v>CAML3</v>
      </c>
      <c r="F54" s="5">
        <f t="shared" si="4"/>
        <v>4.4950000000000016E-3</v>
      </c>
      <c r="G54" s="5"/>
      <c r="I54" s="17" t="str">
        <f t="shared" si="5"/>
        <v>CAML3</v>
      </c>
      <c r="J54" s="17">
        <f t="shared" si="6"/>
        <v>4.9944444444444446E-3</v>
      </c>
      <c r="U54" s="7"/>
      <c r="V54" s="7"/>
      <c r="X54" s="15"/>
      <c r="Z54" s="3"/>
    </row>
    <row r="55" spans="1:26" x14ac:dyDescent="0.3">
      <c r="A55" s="10" t="s">
        <v>124</v>
      </c>
      <c r="B55" s="11">
        <v>8.0000000000000002E-3</v>
      </c>
      <c r="E55" s="5" t="str">
        <f t="shared" si="0"/>
        <v>HBRE3</v>
      </c>
      <c r="F55" s="5">
        <f t="shared" si="4"/>
        <v>3.5960000000000011E-3</v>
      </c>
      <c r="G55" s="5"/>
      <c r="I55" s="17" t="str">
        <f t="shared" si="5"/>
        <v>HBRE3</v>
      </c>
      <c r="J55" s="17">
        <f t="shared" si="6"/>
        <v>3.9955555555555551E-3</v>
      </c>
      <c r="U55" s="7"/>
      <c r="V55" s="7"/>
      <c r="X55" s="15"/>
      <c r="Z55" s="3"/>
    </row>
    <row r="56" spans="1:26" x14ac:dyDescent="0.3">
      <c r="A56" s="10" t="s">
        <v>94</v>
      </c>
      <c r="B56" s="11">
        <v>2.3E-2</v>
      </c>
      <c r="E56" s="5" t="str">
        <f t="shared" si="0"/>
        <v>ITUB3</v>
      </c>
      <c r="F56" s="5">
        <f t="shared" si="4"/>
        <v>1.0338500000000002E-2</v>
      </c>
      <c r="G56" s="5"/>
      <c r="I56" s="17" t="str">
        <f t="shared" si="5"/>
        <v>ITUB3</v>
      </c>
      <c r="J56" s="17">
        <f t="shared" si="6"/>
        <v>1.148722222222222E-2</v>
      </c>
      <c r="U56" s="7"/>
      <c r="V56" s="7"/>
      <c r="X56" s="15"/>
      <c r="Z56" s="3"/>
    </row>
    <row r="57" spans="1:26" x14ac:dyDescent="0.3">
      <c r="A57" s="10" t="s">
        <v>8</v>
      </c>
      <c r="B57" s="11">
        <v>0.02</v>
      </c>
      <c r="E57" s="5" t="str">
        <f t="shared" si="0"/>
        <v>BBSE3</v>
      </c>
      <c r="F57" s="5">
        <f t="shared" si="4"/>
        <v>8.9900000000000032E-3</v>
      </c>
      <c r="G57" s="5"/>
      <c r="I57" s="17" t="str">
        <f t="shared" si="5"/>
        <v>BBSE3</v>
      </c>
      <c r="J57" s="17">
        <f t="shared" si="6"/>
        <v>9.9888888888888892E-3</v>
      </c>
      <c r="U57" s="7"/>
      <c r="V57" s="7"/>
      <c r="X57" s="15"/>
      <c r="Z57" s="3"/>
    </row>
    <row r="58" spans="1:26" x14ac:dyDescent="0.3">
      <c r="A58" s="10" t="s">
        <v>125</v>
      </c>
      <c r="B58" s="11">
        <v>1.7999999999999999E-2</v>
      </c>
      <c r="E58" s="5" t="str">
        <f t="shared" si="0"/>
        <v>TAEE3</v>
      </c>
      <c r="F58" s="5">
        <f t="shared" si="4"/>
        <v>8.091000000000001E-3</v>
      </c>
      <c r="G58" s="5"/>
      <c r="I58" s="17" t="str">
        <f t="shared" si="5"/>
        <v>TAEE3</v>
      </c>
      <c r="J58" s="17">
        <f t="shared" si="6"/>
        <v>8.989999999999998E-3</v>
      </c>
      <c r="U58" s="7"/>
      <c r="V58" s="7"/>
      <c r="X58" s="15"/>
      <c r="Z58" s="3"/>
    </row>
    <row r="59" spans="1:26" x14ac:dyDescent="0.3">
      <c r="A59" s="10" t="s">
        <v>99</v>
      </c>
      <c r="B59" s="11">
        <v>1.7000000000000001E-2</v>
      </c>
      <c r="E59" s="5" t="str">
        <f t="shared" si="0"/>
        <v>TAEE4</v>
      </c>
      <c r="F59" s="5">
        <f t="shared" si="4"/>
        <v>7.6415000000000025E-3</v>
      </c>
      <c r="G59" s="5"/>
      <c r="I59" s="17" t="str">
        <f t="shared" si="5"/>
        <v>TAEE4</v>
      </c>
      <c r="J59" s="17">
        <f t="shared" si="6"/>
        <v>8.490555555555555E-3</v>
      </c>
      <c r="U59" s="7"/>
      <c r="V59" s="7"/>
      <c r="X59" s="15"/>
      <c r="Z59" s="3"/>
    </row>
    <row r="60" spans="1:26" x14ac:dyDescent="0.3">
      <c r="A60" s="10" t="s">
        <v>126</v>
      </c>
      <c r="B60" s="11">
        <v>6.0000000000000001E-3</v>
      </c>
      <c r="E60" s="5" t="str">
        <f t="shared" si="0"/>
        <v>AZZA3</v>
      </c>
      <c r="F60" s="5">
        <f t="shared" si="4"/>
        <v>2.6970000000000006E-3</v>
      </c>
      <c r="G60" s="5"/>
      <c r="I60" s="17" t="str">
        <f t="shared" si="5"/>
        <v>AZZA3</v>
      </c>
      <c r="J60" s="17">
        <f t="shared" si="6"/>
        <v>2.9966666666666661E-3</v>
      </c>
      <c r="U60" s="7"/>
      <c r="V60" s="7"/>
      <c r="X60" s="15"/>
      <c r="Z60" s="3"/>
    </row>
    <row r="61" spans="1:26" x14ac:dyDescent="0.3">
      <c r="A61" s="10" t="s">
        <v>103</v>
      </c>
      <c r="B61" s="11">
        <v>2.3E-2</v>
      </c>
      <c r="E61" s="5" t="str">
        <f t="shared" si="0"/>
        <v>AXIA6</v>
      </c>
      <c r="F61" s="5">
        <f t="shared" si="4"/>
        <v>1.0338500000000002E-2</v>
      </c>
      <c r="G61" s="5"/>
      <c r="I61" s="17" t="str">
        <f t="shared" si="5"/>
        <v>AXIA6</v>
      </c>
      <c r="J61" s="17">
        <f t="shared" si="6"/>
        <v>1.148722222222222E-2</v>
      </c>
      <c r="U61" s="7"/>
      <c r="V61" s="7"/>
      <c r="X61" s="15"/>
      <c r="Z61" s="3"/>
    </row>
    <row r="62" spans="1:26" x14ac:dyDescent="0.3">
      <c r="A62" s="10" t="s">
        <v>12</v>
      </c>
      <c r="B62" s="11">
        <v>2.3E-2</v>
      </c>
      <c r="E62" s="5" t="str">
        <f t="shared" si="0"/>
        <v>BBDC3</v>
      </c>
      <c r="F62" s="5">
        <f t="shared" si="4"/>
        <v>1.0338500000000002E-2</v>
      </c>
      <c r="G62" s="5"/>
      <c r="I62" s="17" t="str">
        <f t="shared" si="5"/>
        <v>BBDC3</v>
      </c>
      <c r="J62" s="17">
        <f t="shared" si="6"/>
        <v>1.148722222222222E-2</v>
      </c>
      <c r="U62" s="7"/>
      <c r="V62" s="7"/>
      <c r="X62" s="15"/>
      <c r="Z62" s="3"/>
    </row>
    <row r="63" spans="1:26" x14ac:dyDescent="0.3">
      <c r="A63" s="10" t="s">
        <v>65</v>
      </c>
      <c r="B63" s="11">
        <v>1.0999999999999999E-2</v>
      </c>
      <c r="E63" s="5" t="str">
        <f t="shared" si="0"/>
        <v>BRBI11</v>
      </c>
      <c r="F63" s="5">
        <f t="shared" si="4"/>
        <v>4.944500000000001E-3</v>
      </c>
      <c r="G63" s="5"/>
      <c r="I63" s="17" t="str">
        <f t="shared" si="5"/>
        <v>BRBI11</v>
      </c>
      <c r="J63" s="17">
        <f t="shared" si="6"/>
        <v>5.4938888888888876E-3</v>
      </c>
      <c r="U63" s="7"/>
      <c r="V63" s="7"/>
      <c r="X63" s="15"/>
      <c r="Z63" s="3"/>
    </row>
    <row r="64" spans="1:26" x14ac:dyDescent="0.3">
      <c r="A64" s="10" t="s">
        <v>88</v>
      </c>
      <c r="B64" s="11">
        <v>2.1999999999999999E-2</v>
      </c>
      <c r="E64" s="5" t="str">
        <f t="shared" si="0"/>
        <v>CPLE3</v>
      </c>
      <c r="F64" s="5">
        <f t="shared" si="4"/>
        <v>9.889000000000002E-3</v>
      </c>
      <c r="G64" s="5"/>
      <c r="I64" s="17" t="str">
        <f t="shared" si="5"/>
        <v>CPLE3</v>
      </c>
      <c r="J64" s="17">
        <f t="shared" si="6"/>
        <v>1.0987777777777775E-2</v>
      </c>
      <c r="U64" s="7"/>
      <c r="V64" s="7"/>
      <c r="X64" s="15"/>
      <c r="Z64" s="3"/>
    </row>
    <row r="65" spans="1:26" x14ac:dyDescent="0.3">
      <c r="A65" s="10" t="s">
        <v>27</v>
      </c>
      <c r="B65" s="11">
        <v>5.0000000000000001E-3</v>
      </c>
      <c r="E65" s="5" t="str">
        <f t="shared" si="0"/>
        <v>BRAP4</v>
      </c>
      <c r="F65" s="5">
        <f t="shared" si="4"/>
        <v>2.2475000000000008E-3</v>
      </c>
      <c r="G65" s="5"/>
      <c r="I65" s="17" t="str">
        <f t="shared" si="5"/>
        <v>BRAP4</v>
      </c>
      <c r="J65" s="17">
        <f t="shared" si="6"/>
        <v>2.4972222222222223E-3</v>
      </c>
      <c r="U65" s="7"/>
      <c r="V65" s="7"/>
      <c r="X65" s="15"/>
      <c r="Z65" s="3"/>
    </row>
    <row r="66" spans="1:26" x14ac:dyDescent="0.3">
      <c r="A66" s="10" t="s">
        <v>56</v>
      </c>
      <c r="B66" s="11">
        <v>7.4999999999999997E-3</v>
      </c>
      <c r="E66" s="5" t="str">
        <f>A66</f>
        <v>DIRR3</v>
      </c>
      <c r="F66" s="5">
        <f t="shared" si="4"/>
        <v>3.371250000000001E-3</v>
      </c>
      <c r="G66" s="5"/>
      <c r="I66" s="17" t="str">
        <f t="shared" si="5"/>
        <v>DIRR3</v>
      </c>
      <c r="J66" s="17">
        <f t="shared" si="6"/>
        <v>3.7458333333333328E-3</v>
      </c>
      <c r="U66" s="7"/>
      <c r="V66" s="7"/>
      <c r="X66" s="15"/>
      <c r="Z66" s="3"/>
    </row>
    <row r="67" spans="1:26" x14ac:dyDescent="0.3">
      <c r="A67" s="10" t="s">
        <v>21</v>
      </c>
      <c r="B67" s="11">
        <v>1.7500000000000002E-2</v>
      </c>
      <c r="E67" s="5" t="str">
        <f t="shared" ref="E67:E71" si="7">A67</f>
        <v>CMIG4</v>
      </c>
      <c r="F67" s="5">
        <f t="shared" ref="F67:F71" si="8">(1-$F$72-$F$73-$F$74-$F$75)*B67</f>
        <v>7.8662500000000034E-3</v>
      </c>
      <c r="G67" s="5"/>
      <c r="I67" s="17" t="str">
        <f t="shared" ref="I67:I71" si="9">E67</f>
        <v>CMIG4</v>
      </c>
      <c r="J67" s="17">
        <f t="shared" ref="J67:J71" si="10">F67/$G$1</f>
        <v>8.7402777777777774E-3</v>
      </c>
    </row>
    <row r="68" spans="1:26" x14ac:dyDescent="0.3">
      <c r="A68" s="10" t="s">
        <v>127</v>
      </c>
      <c r="B68" s="11">
        <v>8.0000000000000002E-3</v>
      </c>
      <c r="E68" s="5" t="str">
        <f t="shared" si="7"/>
        <v>FESA4</v>
      </c>
      <c r="F68" s="5">
        <f t="shared" si="8"/>
        <v>3.5960000000000011E-3</v>
      </c>
      <c r="G68" s="5"/>
      <c r="I68" s="17" t="str">
        <f t="shared" si="9"/>
        <v>FESA4</v>
      </c>
      <c r="J68" s="17">
        <f t="shared" si="10"/>
        <v>3.9955555555555551E-3</v>
      </c>
    </row>
    <row r="69" spans="1:26" x14ac:dyDescent="0.3">
      <c r="A69" s="10" t="s">
        <v>128</v>
      </c>
      <c r="B69" s="11">
        <v>0.01</v>
      </c>
      <c r="E69" s="5" t="str">
        <f t="shared" si="7"/>
        <v>LREN3</v>
      </c>
      <c r="F69" s="5">
        <f t="shared" si="8"/>
        <v>4.4950000000000016E-3</v>
      </c>
      <c r="I69" s="17" t="str">
        <f t="shared" si="9"/>
        <v>LREN3</v>
      </c>
      <c r="J69" s="17">
        <f t="shared" si="10"/>
        <v>4.9944444444444446E-3</v>
      </c>
    </row>
    <row r="70" spans="1:26" x14ac:dyDescent="0.3">
      <c r="A70" s="10" t="s">
        <v>74</v>
      </c>
      <c r="B70" s="11">
        <v>3.1E-2</v>
      </c>
      <c r="E70" s="5" t="str">
        <f t="shared" si="7"/>
        <v>ITUB4</v>
      </c>
      <c r="F70" s="5">
        <f t="shared" si="8"/>
        <v>1.3934500000000004E-2</v>
      </c>
      <c r="I70" s="17" t="str">
        <f t="shared" si="9"/>
        <v>ITUB4</v>
      </c>
      <c r="J70" s="17">
        <f t="shared" si="10"/>
        <v>1.5482777777777776E-2</v>
      </c>
    </row>
    <row r="71" spans="1:26" x14ac:dyDescent="0.3">
      <c r="A71" s="10" t="s">
        <v>2</v>
      </c>
      <c r="B71" s="11">
        <v>5.7000000000000002E-2</v>
      </c>
      <c r="C71" s="6"/>
      <c r="E71" s="5" t="str">
        <f t="shared" si="7"/>
        <v>VALE3</v>
      </c>
      <c r="F71" s="5">
        <f t="shared" si="8"/>
        <v>2.5621500000000009E-2</v>
      </c>
      <c r="I71" s="17" t="str">
        <f t="shared" si="9"/>
        <v>VALE3</v>
      </c>
      <c r="J71" s="17">
        <f t="shared" si="10"/>
        <v>2.8468333333333332E-2</v>
      </c>
    </row>
    <row r="72" spans="1:26" x14ac:dyDescent="0.3">
      <c r="A72" s="10"/>
      <c r="B72" s="11"/>
      <c r="C72" s="6"/>
      <c r="E72" s="12" t="s">
        <v>71</v>
      </c>
      <c r="F72" s="13">
        <v>0.375</v>
      </c>
      <c r="I72" s="17" t="str">
        <f>E72</f>
        <v>BOVA11</v>
      </c>
      <c r="J72" s="17">
        <f>F72/$G$1</f>
        <v>0.41666666666666652</v>
      </c>
    </row>
    <row r="73" spans="1:26" x14ac:dyDescent="0.3">
      <c r="A73" s="10"/>
      <c r="B73" s="11"/>
      <c r="C73" s="6"/>
      <c r="E73" s="12" t="s">
        <v>81</v>
      </c>
      <c r="F73" s="13">
        <v>7.4999999999999997E-2</v>
      </c>
      <c r="I73" s="17" t="str">
        <f>E73</f>
        <v>DIVO11</v>
      </c>
      <c r="J73" s="17">
        <f>F73/$G$1</f>
        <v>8.3333333333333301E-2</v>
      </c>
    </row>
    <row r="74" spans="1:26" x14ac:dyDescent="0.3">
      <c r="A74" s="10"/>
      <c r="B74" s="11"/>
      <c r="C74" s="6"/>
      <c r="E74" s="5" t="s">
        <v>85</v>
      </c>
      <c r="F74" s="5">
        <v>5.0000000000000001E-4</v>
      </c>
      <c r="I74" s="17" t="str">
        <f>E74</f>
        <v>BRL Curncy</v>
      </c>
      <c r="J74" s="17">
        <f>F74</f>
        <v>5.0000000000000001E-4</v>
      </c>
    </row>
    <row r="75" spans="1:26" x14ac:dyDescent="0.3">
      <c r="A75" s="10"/>
      <c r="B75" s="11"/>
      <c r="C75" s="6"/>
      <c r="E75" s="20" t="s">
        <v>101</v>
      </c>
      <c r="F75" s="18">
        <v>0.1</v>
      </c>
    </row>
    <row r="76" spans="1:26" x14ac:dyDescent="0.3">
      <c r="A76" s="10"/>
      <c r="B76" s="11"/>
      <c r="C76" s="6"/>
    </row>
    <row r="77" spans="1:26" x14ac:dyDescent="0.3">
      <c r="A77" s="10"/>
      <c r="B77" s="11"/>
      <c r="C77" s="6"/>
    </row>
    <row r="78" spans="1:26" x14ac:dyDescent="0.3">
      <c r="A78" s="10"/>
      <c r="B78" s="11"/>
      <c r="C78" s="6"/>
    </row>
    <row r="79" spans="1:26" x14ac:dyDescent="0.3">
      <c r="A79" s="10"/>
      <c r="B79" s="11"/>
      <c r="C79" s="6"/>
    </row>
    <row r="80" spans="1:26" x14ac:dyDescent="0.3">
      <c r="A80" s="10"/>
      <c r="B80" s="11"/>
      <c r="C80" s="6"/>
    </row>
    <row r="81" spans="1:3" x14ac:dyDescent="0.3">
      <c r="A81" s="10"/>
      <c r="B81" s="11"/>
      <c r="C81" s="6"/>
    </row>
    <row r="82" spans="1:3" x14ac:dyDescent="0.3">
      <c r="A82" s="10"/>
      <c r="B82" s="11"/>
      <c r="C82" s="6"/>
    </row>
    <row r="83" spans="1:3" x14ac:dyDescent="0.3">
      <c r="A83" s="10"/>
      <c r="B83" s="11"/>
      <c r="C83" s="6"/>
    </row>
    <row r="84" spans="1:3" x14ac:dyDescent="0.3">
      <c r="A84" s="10"/>
      <c r="B84" s="11"/>
      <c r="C84" s="6"/>
    </row>
    <row r="85" spans="1:3" x14ac:dyDescent="0.3">
      <c r="A85" s="10"/>
      <c r="B85" s="11"/>
      <c r="C85" s="6"/>
    </row>
    <row r="86" spans="1:3" x14ac:dyDescent="0.3">
      <c r="A86" s="10"/>
      <c r="B86" s="11"/>
      <c r="C86" s="6"/>
    </row>
    <row r="87" spans="1:3" x14ac:dyDescent="0.3">
      <c r="A87" s="10"/>
      <c r="B87" s="11"/>
      <c r="C87" s="6"/>
    </row>
    <row r="88" spans="1:3" x14ac:dyDescent="0.3">
      <c r="A88" s="10"/>
      <c r="B88" s="11"/>
      <c r="C88" s="6"/>
    </row>
    <row r="89" spans="1:3" x14ac:dyDescent="0.3">
      <c r="A89" s="10"/>
      <c r="B89" s="11"/>
      <c r="C89" s="6"/>
    </row>
    <row r="90" spans="1:3" x14ac:dyDescent="0.3">
      <c r="A90" s="10"/>
      <c r="B90" s="11"/>
      <c r="C90" s="6"/>
    </row>
    <row r="91" spans="1:3" x14ac:dyDescent="0.3">
      <c r="A91" s="10"/>
      <c r="B91" s="11"/>
      <c r="C91" s="6"/>
    </row>
    <row r="92" spans="1:3" x14ac:dyDescent="0.3">
      <c r="A92" s="10"/>
      <c r="B92" s="11"/>
      <c r="C92" s="6"/>
    </row>
    <row r="93" spans="1:3" x14ac:dyDescent="0.3">
      <c r="A93" s="10"/>
      <c r="B93" s="11"/>
      <c r="C93" s="6"/>
    </row>
    <row r="94" spans="1:3" x14ac:dyDescent="0.3">
      <c r="A94" s="10"/>
      <c r="B94" s="11"/>
      <c r="C94" s="6"/>
    </row>
    <row r="95" spans="1:3" x14ac:dyDescent="0.3">
      <c r="A95" s="10"/>
      <c r="B95" s="11"/>
      <c r="C95" s="6"/>
    </row>
    <row r="96" spans="1:3" x14ac:dyDescent="0.3">
      <c r="A96" s="10"/>
      <c r="B96" s="11"/>
      <c r="C96" s="6"/>
    </row>
    <row r="97" spans="1:3" x14ac:dyDescent="0.3">
      <c r="A97" s="10"/>
      <c r="B97" s="11"/>
      <c r="C97" s="6"/>
    </row>
    <row r="98" spans="1:3" x14ac:dyDescent="0.3">
      <c r="A98" s="10"/>
      <c r="B98" s="11"/>
      <c r="C98" s="6"/>
    </row>
    <row r="99" spans="1:3" x14ac:dyDescent="0.3">
      <c r="A99" s="10"/>
      <c r="B99" s="11"/>
      <c r="C99" s="6"/>
    </row>
    <row r="100" spans="1:3" x14ac:dyDescent="0.3">
      <c r="A100" s="10"/>
      <c r="B100" s="11"/>
      <c r="C100" s="6"/>
    </row>
    <row r="101" spans="1:3" x14ac:dyDescent="0.3">
      <c r="A101" s="10"/>
      <c r="B101" s="11"/>
      <c r="C101" s="6"/>
    </row>
    <row r="102" spans="1:3" x14ac:dyDescent="0.3">
      <c r="A102" s="10"/>
      <c r="B102" s="11"/>
      <c r="C102" s="6"/>
    </row>
    <row r="103" spans="1:3" x14ac:dyDescent="0.3">
      <c r="A103" s="10"/>
      <c r="B103" s="11"/>
      <c r="C103" s="6"/>
    </row>
    <row r="104" spans="1:3" x14ac:dyDescent="0.3">
      <c r="A104" s="10"/>
      <c r="B104" s="11"/>
      <c r="C104" s="6"/>
    </row>
    <row r="105" spans="1:3" x14ac:dyDescent="0.3">
      <c r="A105" s="10"/>
      <c r="B105" s="11"/>
      <c r="C105" s="6"/>
    </row>
    <row r="106" spans="1:3" x14ac:dyDescent="0.3">
      <c r="A106" s="10"/>
      <c r="B106" s="11"/>
      <c r="C106" s="6"/>
    </row>
    <row r="107" spans="1:3" x14ac:dyDescent="0.3">
      <c r="A107" s="10"/>
      <c r="B107" s="11"/>
      <c r="C107" s="6"/>
    </row>
    <row r="108" spans="1:3" x14ac:dyDescent="0.3">
      <c r="A108" s="10"/>
      <c r="B108" s="11"/>
      <c r="C108" s="6"/>
    </row>
    <row r="109" spans="1:3" x14ac:dyDescent="0.3">
      <c r="A109" s="10"/>
      <c r="B109" s="11"/>
      <c r="C109" s="6"/>
    </row>
    <row r="110" spans="1:3" x14ac:dyDescent="0.3">
      <c r="A110" s="10"/>
      <c r="B110" s="11"/>
      <c r="C110" s="6"/>
    </row>
    <row r="111" spans="1:3" x14ac:dyDescent="0.3">
      <c r="A111" s="10"/>
      <c r="B111" s="11"/>
      <c r="C111" s="6"/>
    </row>
    <row r="112" spans="1:3" x14ac:dyDescent="0.3">
      <c r="A112" s="10"/>
      <c r="B112" s="11"/>
      <c r="C112" s="6"/>
    </row>
    <row r="113" spans="1:3" x14ac:dyDescent="0.3">
      <c r="A113" s="10"/>
      <c r="B113" s="11"/>
      <c r="C113" s="6"/>
    </row>
    <row r="114" spans="1:3" x14ac:dyDescent="0.3">
      <c r="A114" s="10"/>
      <c r="B114" s="11"/>
      <c r="C114" s="6"/>
    </row>
    <row r="115" spans="1:3" x14ac:dyDescent="0.3">
      <c r="A115" s="10"/>
      <c r="B115" s="11"/>
      <c r="C115" s="6"/>
    </row>
    <row r="116" spans="1:3" x14ac:dyDescent="0.3">
      <c r="A116" s="10"/>
      <c r="B116" s="11"/>
      <c r="C116" s="6"/>
    </row>
    <row r="117" spans="1:3" x14ac:dyDescent="0.3">
      <c r="A117" s="10"/>
      <c r="B117" s="11"/>
      <c r="C117" s="6"/>
    </row>
    <row r="118" spans="1:3" x14ac:dyDescent="0.3">
      <c r="A118" s="10"/>
      <c r="B118" s="11"/>
      <c r="C118" s="6"/>
    </row>
    <row r="119" spans="1:3" x14ac:dyDescent="0.3">
      <c r="A119" s="10"/>
      <c r="B119" s="11"/>
      <c r="C119" s="6"/>
    </row>
    <row r="120" spans="1:3" x14ac:dyDescent="0.3">
      <c r="A120" s="10"/>
      <c r="B120" s="11"/>
      <c r="C120" s="6"/>
    </row>
    <row r="121" spans="1:3" x14ac:dyDescent="0.3">
      <c r="A121" s="10"/>
      <c r="B121" s="11"/>
      <c r="C121" s="6"/>
    </row>
    <row r="122" spans="1:3" x14ac:dyDescent="0.3">
      <c r="A122" s="10"/>
      <c r="B122" s="11"/>
      <c r="C122" s="6"/>
    </row>
    <row r="123" spans="1:3" x14ac:dyDescent="0.3">
      <c r="A123" s="10"/>
      <c r="B123" s="11"/>
      <c r="C123" s="6"/>
    </row>
    <row r="124" spans="1:3" x14ac:dyDescent="0.3">
      <c r="A124" s="10"/>
      <c r="B124" s="11"/>
      <c r="C124" s="6"/>
    </row>
    <row r="125" spans="1:3" x14ac:dyDescent="0.3">
      <c r="A125" s="10"/>
      <c r="B125" s="11"/>
      <c r="C125" s="6"/>
    </row>
    <row r="126" spans="1:3" x14ac:dyDescent="0.3">
      <c r="A126" s="10"/>
      <c r="B126" s="11"/>
      <c r="C126" s="6"/>
    </row>
    <row r="127" spans="1:3" x14ac:dyDescent="0.3">
      <c r="A127" s="10"/>
      <c r="B127" s="11"/>
      <c r="C127" s="6"/>
    </row>
    <row r="128" spans="1:3" x14ac:dyDescent="0.3">
      <c r="A128" s="10"/>
      <c r="B128" s="11"/>
      <c r="C128" s="6"/>
    </row>
    <row r="129" spans="1:3" x14ac:dyDescent="0.3">
      <c r="A129" s="10"/>
      <c r="B129" s="11"/>
      <c r="C129" s="6"/>
    </row>
    <row r="130" spans="1:3" x14ac:dyDescent="0.3">
      <c r="A130" s="10"/>
      <c r="B130" s="11"/>
      <c r="C130" s="6"/>
    </row>
    <row r="131" spans="1:3" x14ac:dyDescent="0.3">
      <c r="A131" s="10"/>
      <c r="B131" s="11"/>
      <c r="C131" s="6"/>
    </row>
    <row r="132" spans="1:3" x14ac:dyDescent="0.3">
      <c r="A132" s="10"/>
      <c r="B132" s="11"/>
      <c r="C132" s="6"/>
    </row>
    <row r="133" spans="1:3" x14ac:dyDescent="0.3">
      <c r="A133" s="10"/>
      <c r="B133" s="11"/>
      <c r="C133" s="6"/>
    </row>
    <row r="134" spans="1:3" x14ac:dyDescent="0.3">
      <c r="A134" s="10"/>
      <c r="B134" s="11"/>
      <c r="C134" s="6"/>
    </row>
    <row r="135" spans="1:3" x14ac:dyDescent="0.3">
      <c r="A135" s="10"/>
      <c r="B135" s="11"/>
      <c r="C135" s="6"/>
    </row>
    <row r="136" spans="1:3" x14ac:dyDescent="0.3">
      <c r="A136" s="10"/>
      <c r="B136" s="11"/>
      <c r="C136" s="6"/>
    </row>
    <row r="137" spans="1:3" x14ac:dyDescent="0.3">
      <c r="A137" s="10"/>
      <c r="B137" s="11"/>
      <c r="C137" s="6"/>
    </row>
    <row r="138" spans="1:3" x14ac:dyDescent="0.3">
      <c r="A138" s="10"/>
      <c r="B138" s="11"/>
      <c r="C138" s="6"/>
    </row>
    <row r="139" spans="1:3" x14ac:dyDescent="0.3">
      <c r="A139" s="10"/>
      <c r="B139" s="11"/>
      <c r="C139" s="6"/>
    </row>
    <row r="140" spans="1:3" x14ac:dyDescent="0.3">
      <c r="A140" s="10"/>
      <c r="B140" s="11"/>
      <c r="C140" s="6"/>
    </row>
    <row r="141" spans="1:3" x14ac:dyDescent="0.3">
      <c r="A141" s="10"/>
      <c r="B141" s="11"/>
      <c r="C141" s="6"/>
    </row>
    <row r="142" spans="1:3" x14ac:dyDescent="0.3">
      <c r="A142" s="10"/>
      <c r="B142" s="11"/>
      <c r="C142" s="6"/>
    </row>
    <row r="143" spans="1:3" x14ac:dyDescent="0.3">
      <c r="A143" s="10"/>
      <c r="B143" s="11"/>
      <c r="C143" s="6"/>
    </row>
    <row r="144" spans="1:3" x14ac:dyDescent="0.3">
      <c r="A144" s="10"/>
      <c r="B144" s="11"/>
      <c r="C144" s="6"/>
    </row>
    <row r="145" spans="1:3" x14ac:dyDescent="0.3">
      <c r="A145" s="10"/>
      <c r="B145" s="11"/>
      <c r="C145" s="6"/>
    </row>
    <row r="146" spans="1:3" x14ac:dyDescent="0.3">
      <c r="A146" s="10"/>
      <c r="B146" s="11"/>
      <c r="C146" s="6"/>
    </row>
    <row r="147" spans="1:3" x14ac:dyDescent="0.3">
      <c r="A147" s="10"/>
      <c r="B147" s="11"/>
      <c r="C147" s="6"/>
    </row>
    <row r="148" spans="1:3" x14ac:dyDescent="0.3">
      <c r="A148" s="10"/>
      <c r="B148" s="11"/>
      <c r="C148" s="6"/>
    </row>
    <row r="149" spans="1:3" x14ac:dyDescent="0.3">
      <c r="A149" s="10"/>
      <c r="B149" s="11"/>
      <c r="C149" s="6"/>
    </row>
    <row r="150" spans="1:3" x14ac:dyDescent="0.3">
      <c r="A150" s="10"/>
      <c r="B150" s="11"/>
      <c r="C150" s="6"/>
    </row>
    <row r="151" spans="1:3" x14ac:dyDescent="0.3">
      <c r="A151" s="10"/>
      <c r="B151" s="11"/>
      <c r="C151" s="6"/>
    </row>
    <row r="152" spans="1:3" x14ac:dyDescent="0.3">
      <c r="A152" s="10"/>
      <c r="B152" s="11"/>
      <c r="C152" s="6"/>
    </row>
    <row r="153" spans="1:3" x14ac:dyDescent="0.3">
      <c r="A153" s="10"/>
      <c r="B153" s="11"/>
      <c r="C153" s="6"/>
    </row>
    <row r="154" spans="1:3" x14ac:dyDescent="0.3">
      <c r="A154" s="10"/>
      <c r="B154" s="11"/>
      <c r="C154" s="6"/>
    </row>
    <row r="155" spans="1:3" x14ac:dyDescent="0.3">
      <c r="A155" s="10"/>
      <c r="B155" s="11"/>
      <c r="C155" s="6"/>
    </row>
    <row r="156" spans="1:3" x14ac:dyDescent="0.3">
      <c r="A156" s="10"/>
      <c r="B156" s="11"/>
      <c r="C156" s="6"/>
    </row>
    <row r="157" spans="1:3" x14ac:dyDescent="0.3">
      <c r="A157" s="10"/>
      <c r="B157" s="11"/>
      <c r="C157" s="6"/>
    </row>
    <row r="158" spans="1:3" x14ac:dyDescent="0.3">
      <c r="A158" s="10"/>
      <c r="B158" s="11"/>
      <c r="C158" s="6"/>
    </row>
    <row r="159" spans="1:3" x14ac:dyDescent="0.3">
      <c r="A159" s="10"/>
      <c r="B159" s="11"/>
      <c r="C159" s="6"/>
    </row>
    <row r="160" spans="1:3" x14ac:dyDescent="0.3">
      <c r="A160" s="10"/>
      <c r="B160" s="11"/>
      <c r="C160" s="6"/>
    </row>
    <row r="161" spans="1:3" x14ac:dyDescent="0.3">
      <c r="A161" s="10"/>
      <c r="B161" s="11"/>
      <c r="C161" s="6"/>
    </row>
    <row r="162" spans="1:3" x14ac:dyDescent="0.3">
      <c r="A162" s="10"/>
      <c r="B162" s="11"/>
      <c r="C162" s="6"/>
    </row>
    <row r="163" spans="1:3" x14ac:dyDescent="0.3">
      <c r="A163" s="10"/>
      <c r="B163" s="11"/>
      <c r="C163" s="6"/>
    </row>
    <row r="164" spans="1:3" x14ac:dyDescent="0.3">
      <c r="A164" s="10"/>
      <c r="B164" s="11"/>
      <c r="C164" s="6"/>
    </row>
    <row r="165" spans="1:3" x14ac:dyDescent="0.3">
      <c r="A165" s="10"/>
      <c r="B165" s="11"/>
      <c r="C165" s="6"/>
    </row>
    <row r="166" spans="1:3" x14ac:dyDescent="0.3">
      <c r="A166" s="10"/>
      <c r="B166" s="11"/>
      <c r="C166" s="6"/>
    </row>
    <row r="167" spans="1:3" x14ac:dyDescent="0.3">
      <c r="A167" s="10"/>
      <c r="B167" s="11"/>
      <c r="C167" s="6"/>
    </row>
    <row r="168" spans="1:3" x14ac:dyDescent="0.3">
      <c r="A168" s="10"/>
      <c r="B168" s="11"/>
      <c r="C168" s="6"/>
    </row>
    <row r="169" spans="1:3" x14ac:dyDescent="0.3">
      <c r="A169" s="10"/>
      <c r="B169" s="11"/>
      <c r="C169" s="6"/>
    </row>
    <row r="170" spans="1:3" x14ac:dyDescent="0.3">
      <c r="A170" s="10"/>
      <c r="B170" s="11"/>
      <c r="C170" s="6"/>
    </row>
    <row r="171" spans="1:3" x14ac:dyDescent="0.3">
      <c r="A171" s="10"/>
      <c r="B171" s="11"/>
      <c r="C171" s="6"/>
    </row>
    <row r="172" spans="1:3" x14ac:dyDescent="0.3">
      <c r="A172" s="10"/>
      <c r="B172" s="11"/>
      <c r="C172" s="6"/>
    </row>
    <row r="173" spans="1:3" x14ac:dyDescent="0.3">
      <c r="A173" s="10"/>
      <c r="B173" s="11"/>
      <c r="C173" s="6"/>
    </row>
    <row r="174" spans="1:3" x14ac:dyDescent="0.3">
      <c r="A174" s="10"/>
      <c r="B174" s="11"/>
      <c r="C174" s="6"/>
    </row>
    <row r="175" spans="1:3" x14ac:dyDescent="0.3">
      <c r="A175" s="10"/>
      <c r="B175" s="11"/>
      <c r="C175" s="6"/>
    </row>
    <row r="176" spans="1:3" x14ac:dyDescent="0.3">
      <c r="A176" s="10"/>
      <c r="B176" s="11"/>
      <c r="C176" s="6"/>
    </row>
    <row r="177" spans="1:3" x14ac:dyDescent="0.3">
      <c r="A177" s="10"/>
      <c r="B177" s="11"/>
      <c r="C177" s="6"/>
    </row>
    <row r="178" spans="1:3" x14ac:dyDescent="0.3">
      <c r="A178" s="10"/>
      <c r="B178" s="11"/>
      <c r="C178" s="6"/>
    </row>
    <row r="179" spans="1:3" x14ac:dyDescent="0.3">
      <c r="A179" s="10"/>
      <c r="B179" s="11"/>
      <c r="C179" s="6"/>
    </row>
    <row r="180" spans="1:3" x14ac:dyDescent="0.3">
      <c r="A180" s="10"/>
      <c r="B180" s="11"/>
      <c r="C180" s="6"/>
    </row>
    <row r="181" spans="1:3" x14ac:dyDescent="0.3">
      <c r="A181" s="10"/>
      <c r="B181" s="11"/>
      <c r="C181" s="6"/>
    </row>
    <row r="182" spans="1:3" x14ac:dyDescent="0.3">
      <c r="A182" s="10"/>
      <c r="B182" s="11"/>
      <c r="C182" s="6"/>
    </row>
    <row r="183" spans="1:3" x14ac:dyDescent="0.3">
      <c r="A183" s="10"/>
      <c r="B183" s="11"/>
      <c r="C183" s="6"/>
    </row>
    <row r="184" spans="1:3" x14ac:dyDescent="0.3">
      <c r="A184" s="10"/>
      <c r="B184" s="11"/>
      <c r="C184" s="6"/>
    </row>
    <row r="185" spans="1:3" x14ac:dyDescent="0.3">
      <c r="A185" s="10"/>
      <c r="B185" s="11"/>
      <c r="C185" s="6"/>
    </row>
    <row r="186" spans="1:3" x14ac:dyDescent="0.3">
      <c r="A186" s="10"/>
      <c r="B186" s="11"/>
      <c r="C186" s="6"/>
    </row>
    <row r="187" spans="1:3" x14ac:dyDescent="0.3">
      <c r="A187" s="10"/>
      <c r="B187" s="11"/>
      <c r="C187" s="6"/>
    </row>
    <row r="188" spans="1:3" x14ac:dyDescent="0.3">
      <c r="A188" s="10"/>
      <c r="B188" s="11"/>
      <c r="C188" s="6"/>
    </row>
    <row r="189" spans="1:3" x14ac:dyDescent="0.3">
      <c r="A189" s="10"/>
      <c r="B189" s="11"/>
      <c r="C189" s="6"/>
    </row>
    <row r="190" spans="1:3" x14ac:dyDescent="0.3">
      <c r="A190" s="10"/>
      <c r="B190" s="11"/>
      <c r="C190" s="6"/>
    </row>
    <row r="191" spans="1:3" x14ac:dyDescent="0.3">
      <c r="A191" s="10"/>
      <c r="B191" s="11"/>
      <c r="C191" s="6"/>
    </row>
    <row r="192" spans="1:3" x14ac:dyDescent="0.3">
      <c r="A192" s="10"/>
      <c r="B192" s="11"/>
      <c r="C192" s="6"/>
    </row>
    <row r="193" spans="1:3" x14ac:dyDescent="0.3">
      <c r="A193" s="10"/>
      <c r="B193" s="11"/>
      <c r="C193" s="6"/>
    </row>
    <row r="194" spans="1:3" x14ac:dyDescent="0.3">
      <c r="A194" s="10"/>
      <c r="B194" s="11"/>
      <c r="C194" s="6"/>
    </row>
    <row r="195" spans="1:3" x14ac:dyDescent="0.3">
      <c r="A195" s="10"/>
      <c r="B195" s="11"/>
      <c r="C195" s="6"/>
    </row>
    <row r="196" spans="1:3" x14ac:dyDescent="0.3">
      <c r="A196" s="10"/>
      <c r="B196" s="11"/>
      <c r="C196" s="6"/>
    </row>
    <row r="197" spans="1:3" x14ac:dyDescent="0.3">
      <c r="A197" s="10"/>
      <c r="B197" s="11"/>
      <c r="C197" s="6"/>
    </row>
    <row r="198" spans="1:3" x14ac:dyDescent="0.3">
      <c r="A198" s="10"/>
      <c r="B198" s="11"/>
      <c r="C198" s="6"/>
    </row>
    <row r="199" spans="1:3" x14ac:dyDescent="0.3">
      <c r="C199" s="6"/>
    </row>
    <row r="200" spans="1:3" x14ac:dyDescent="0.3">
      <c r="C200" s="6"/>
    </row>
    <row r="201" spans="1:3" x14ac:dyDescent="0.3">
      <c r="C201" s="6"/>
    </row>
    <row r="202" spans="1:3" x14ac:dyDescent="0.3">
      <c r="C202" s="6"/>
    </row>
    <row r="203" spans="1:3" x14ac:dyDescent="0.3">
      <c r="C203" s="6"/>
    </row>
    <row r="204" spans="1:3" x14ac:dyDescent="0.3">
      <c r="C204" s="6"/>
    </row>
    <row r="205" spans="1:3" x14ac:dyDescent="0.3">
      <c r="C205" s="6"/>
    </row>
    <row r="206" spans="1:3" x14ac:dyDescent="0.3">
      <c r="C206" s="6"/>
    </row>
    <row r="207" spans="1:3" x14ac:dyDescent="0.3">
      <c r="C207" s="6"/>
    </row>
    <row r="208" spans="1:3" x14ac:dyDescent="0.3">
      <c r="C208" s="6"/>
    </row>
    <row r="209" spans="3:3" x14ac:dyDescent="0.3">
      <c r="C209" s="6"/>
    </row>
    <row r="210" spans="3:3" x14ac:dyDescent="0.3">
      <c r="C210" s="6"/>
    </row>
    <row r="211" spans="3:3" x14ac:dyDescent="0.3">
      <c r="C211" s="6"/>
    </row>
    <row r="212" spans="3:3" x14ac:dyDescent="0.3">
      <c r="C212" s="6"/>
    </row>
    <row r="213" spans="3:3" x14ac:dyDescent="0.3">
      <c r="C213" s="6"/>
    </row>
    <row r="214" spans="3:3" x14ac:dyDescent="0.3">
      <c r="C214" s="6"/>
    </row>
    <row r="215" spans="3:3" x14ac:dyDescent="0.3">
      <c r="C215" s="6"/>
    </row>
    <row r="216" spans="3:3" x14ac:dyDescent="0.3">
      <c r="C216" s="6"/>
    </row>
    <row r="217" spans="3:3" x14ac:dyDescent="0.3">
      <c r="C217" s="6"/>
    </row>
    <row r="218" spans="3:3" x14ac:dyDescent="0.3">
      <c r="C218" s="6"/>
    </row>
    <row r="219" spans="3:3" x14ac:dyDescent="0.3">
      <c r="C219" s="6"/>
    </row>
    <row r="220" spans="3:3" x14ac:dyDescent="0.3">
      <c r="C220" s="6"/>
    </row>
    <row r="221" spans="3:3" x14ac:dyDescent="0.3">
      <c r="C221" s="6"/>
    </row>
    <row r="222" spans="3:3" x14ac:dyDescent="0.3">
      <c r="C222" s="6"/>
    </row>
    <row r="223" spans="3:3" x14ac:dyDescent="0.3">
      <c r="C223" s="6"/>
    </row>
    <row r="224" spans="3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D5AE-BDC5-40CC-81A9-36AE51996E82}">
  <sheetPr codeName="Planilha8"/>
  <dimension ref="A1:M253"/>
  <sheetViews>
    <sheetView workbookViewId="0">
      <selection activeCell="G1" sqref="G1"/>
    </sheetView>
  </sheetViews>
  <sheetFormatPr defaultRowHeight="14.4" x14ac:dyDescent="0.3"/>
  <cols>
    <col min="1" max="1" width="19.88671875" customWidth="1"/>
    <col min="2" max="2" width="19.6640625" style="4" bestFit="1" customWidth="1"/>
    <col min="4" max="4" width="9.109375" style="8"/>
    <col min="10" max="10" width="9.33203125" customWidth="1"/>
    <col min="13" max="13" width="12.109375" bestFit="1" customWidth="1"/>
  </cols>
  <sheetData>
    <row r="1" spans="1:13" ht="15" thickBot="1" x14ac:dyDescent="0.35">
      <c r="A1" s="1" t="s">
        <v>0</v>
      </c>
      <c r="B1" s="2" t="s">
        <v>84</v>
      </c>
      <c r="C1" s="4">
        <f>SUM(B2:B76)</f>
        <v>1.0050312725314967</v>
      </c>
      <c r="E1" s="8" t="s">
        <v>0</v>
      </c>
      <c r="F1" s="8" t="s">
        <v>86</v>
      </c>
      <c r="G1" s="4">
        <f>SUM(F2:F69)</f>
        <v>0.95001404136664203</v>
      </c>
      <c r="H1" s="4"/>
      <c r="I1" s="8" t="s">
        <v>0</v>
      </c>
      <c r="J1" s="8" t="s">
        <v>80</v>
      </c>
      <c r="K1" s="4">
        <f>SUM(J2:J69)</f>
        <v>1</v>
      </c>
    </row>
    <row r="2" spans="1:13" x14ac:dyDescent="0.3">
      <c r="A2" s="10" t="s">
        <v>4</v>
      </c>
      <c r="B2" s="11">
        <v>6.4000000000000001E-2</v>
      </c>
      <c r="E2" s="5" t="str">
        <f t="shared" ref="E2:E65" si="0">A2</f>
        <v>BBAS3</v>
      </c>
      <c r="F2" s="5">
        <f>(1-0.55-0.1%)*B2</f>
        <v>2.8735999999999998E-2</v>
      </c>
      <c r="I2" s="5" t="str">
        <f t="shared" ref="I2:I33" si="1">E2</f>
        <v>BBAS3</v>
      </c>
      <c r="J2" s="5">
        <f t="shared" ref="J2:J33" si="2">F2/$G$1</f>
        <v>3.0247973975902339E-2</v>
      </c>
      <c r="M2" t="b">
        <f>J2='pesos PREVI'!J2</f>
        <v>0</v>
      </c>
    </row>
    <row r="3" spans="1:13" x14ac:dyDescent="0.3">
      <c r="A3" s="14" t="s">
        <v>2</v>
      </c>
      <c r="B3" s="11">
        <v>5.6000000000000001E-2</v>
      </c>
      <c r="E3" s="5" t="str">
        <f t="shared" si="0"/>
        <v>VALE3</v>
      </c>
      <c r="F3" s="5">
        <f t="shared" ref="F3:F66" si="3">(1-0.55-0.1%)*B3</f>
        <v>2.5144E-2</v>
      </c>
      <c r="I3" s="5" t="str">
        <f t="shared" si="1"/>
        <v>VALE3</v>
      </c>
      <c r="J3" s="5">
        <f t="shared" si="2"/>
        <v>2.646697722891455E-2</v>
      </c>
      <c r="M3" t="b">
        <f>J3='pesos PREVI'!J3</f>
        <v>0</v>
      </c>
    </row>
    <row r="4" spans="1:13" x14ac:dyDescent="0.3">
      <c r="A4" s="14" t="s">
        <v>3</v>
      </c>
      <c r="B4" s="11">
        <v>5.2865620487824588E-2</v>
      </c>
      <c r="E4" s="5" t="str">
        <f t="shared" si="0"/>
        <v>PETR4</v>
      </c>
      <c r="F4" s="5">
        <f t="shared" si="3"/>
        <v>2.3736663599033238E-2</v>
      </c>
      <c r="I4" s="5" t="str">
        <f t="shared" si="1"/>
        <v>PETR4</v>
      </c>
      <c r="J4" s="5">
        <f t="shared" si="2"/>
        <v>2.4985592386494497E-2</v>
      </c>
      <c r="M4" t="b">
        <f>J4='pesos PREVI'!J4</f>
        <v>0</v>
      </c>
    </row>
    <row r="5" spans="1:13" x14ac:dyDescent="0.3">
      <c r="A5" s="14" t="s">
        <v>5</v>
      </c>
      <c r="B5" s="11">
        <v>5.1033345696100636E-2</v>
      </c>
      <c r="E5" s="5" t="str">
        <f t="shared" si="0"/>
        <v>PETR3</v>
      </c>
      <c r="F5" s="5">
        <f t="shared" si="3"/>
        <v>2.2913972217549185E-2</v>
      </c>
      <c r="I5" s="5" t="str">
        <f t="shared" si="1"/>
        <v>PETR3</v>
      </c>
      <c r="J5" s="5">
        <f t="shared" si="2"/>
        <v>2.4119614258107498E-2</v>
      </c>
      <c r="M5" t="b">
        <f>J5='pesos PREVI'!J5</f>
        <v>0</v>
      </c>
    </row>
    <row r="6" spans="1:13" x14ac:dyDescent="0.3">
      <c r="A6" s="14" t="s">
        <v>74</v>
      </c>
      <c r="B6" s="11">
        <v>0.04</v>
      </c>
      <c r="E6" s="5" t="str">
        <f t="shared" si="0"/>
        <v>ITUB4</v>
      </c>
      <c r="F6" s="5">
        <f t="shared" si="3"/>
        <v>1.796E-2</v>
      </c>
      <c r="I6" s="5" t="str">
        <f t="shared" si="1"/>
        <v>ITUB4</v>
      </c>
      <c r="J6" s="5">
        <f t="shared" si="2"/>
        <v>1.8904983734938964E-2</v>
      </c>
      <c r="M6" t="b">
        <f>J6='pesos PREVI'!J6</f>
        <v>0</v>
      </c>
    </row>
    <row r="7" spans="1:13" x14ac:dyDescent="0.3">
      <c r="A7" s="14" t="s">
        <v>6</v>
      </c>
      <c r="B7" s="11">
        <v>3.2127479788210289E-2</v>
      </c>
      <c r="E7" s="5" t="str">
        <f t="shared" si="0"/>
        <v>JBSS3</v>
      </c>
      <c r="F7" s="5">
        <f t="shared" si="3"/>
        <v>1.4425238424906419E-2</v>
      </c>
      <c r="I7" s="5" t="str">
        <f t="shared" si="1"/>
        <v>JBSS3</v>
      </c>
      <c r="J7" s="5">
        <f t="shared" si="2"/>
        <v>1.5184237071017395E-2</v>
      </c>
      <c r="M7" t="b">
        <f>J7='pesos PREVI'!J7</f>
        <v>0</v>
      </c>
    </row>
    <row r="8" spans="1:13" x14ac:dyDescent="0.3">
      <c r="A8" s="14" t="s">
        <v>8</v>
      </c>
      <c r="B8" s="11">
        <v>2.9499999999999998E-2</v>
      </c>
      <c r="E8" s="5" t="str">
        <f t="shared" si="0"/>
        <v>BBSE3</v>
      </c>
      <c r="F8" s="5">
        <f t="shared" si="3"/>
        <v>1.3245499999999999E-2</v>
      </c>
      <c r="I8" s="5" t="str">
        <f t="shared" si="1"/>
        <v>BBSE3</v>
      </c>
      <c r="J8" s="5">
        <f t="shared" si="2"/>
        <v>1.3942425504517485E-2</v>
      </c>
      <c r="M8" t="b">
        <f>J8='pesos PREVI'!J8</f>
        <v>0</v>
      </c>
    </row>
    <row r="9" spans="1:13" x14ac:dyDescent="0.3">
      <c r="A9" s="14" t="s">
        <v>9</v>
      </c>
      <c r="B9" s="11">
        <v>2.3426589738220888E-2</v>
      </c>
      <c r="E9" s="5" t="str">
        <f t="shared" si="0"/>
        <v>ELET3</v>
      </c>
      <c r="F9" s="5">
        <f t="shared" si="3"/>
        <v>1.0518538792461177E-2</v>
      </c>
      <c r="I9" s="5" t="str">
        <f t="shared" si="1"/>
        <v>ELET3</v>
      </c>
      <c r="J9" s="5">
        <f t="shared" si="2"/>
        <v>1.1071982449153847E-2</v>
      </c>
      <c r="M9" t="b">
        <f>J9='pesos PREVI'!J9</f>
        <v>0</v>
      </c>
    </row>
    <row r="10" spans="1:13" x14ac:dyDescent="0.3">
      <c r="A10" s="14" t="s">
        <v>10</v>
      </c>
      <c r="B10" s="11">
        <v>2.115970063067214E-2</v>
      </c>
      <c r="E10" s="5" t="str">
        <f t="shared" si="0"/>
        <v>SBSP3</v>
      </c>
      <c r="F10" s="5">
        <f t="shared" si="3"/>
        <v>9.5007055831717903E-3</v>
      </c>
      <c r="I10" s="5" t="str">
        <f t="shared" si="1"/>
        <v>SBSP3</v>
      </c>
      <c r="J10" s="5">
        <f t="shared" si="2"/>
        <v>1.0000594906475863E-2</v>
      </c>
      <c r="M10" t="b">
        <f>J10='pesos PREVI'!J10</f>
        <v>0</v>
      </c>
    </row>
    <row r="11" spans="1:13" x14ac:dyDescent="0.3">
      <c r="A11" s="14" t="s">
        <v>15</v>
      </c>
      <c r="B11" s="11">
        <v>2.0952559686780038E-2</v>
      </c>
      <c r="E11" s="5" t="str">
        <f t="shared" si="0"/>
        <v>CMIN3</v>
      </c>
      <c r="F11" s="5">
        <f t="shared" si="3"/>
        <v>9.4076992993642368E-3</v>
      </c>
      <c r="I11" s="5" t="str">
        <f t="shared" si="1"/>
        <v>CMIN3</v>
      </c>
      <c r="J11" s="5">
        <f t="shared" si="2"/>
        <v>9.9026950020978614E-3</v>
      </c>
      <c r="M11" t="b">
        <f>J11='pesos PREVI'!J11</f>
        <v>0</v>
      </c>
    </row>
    <row r="12" spans="1:13" x14ac:dyDescent="0.3">
      <c r="A12" s="14" t="s">
        <v>7</v>
      </c>
      <c r="B12" s="11">
        <v>2.0931286454782608E-2</v>
      </c>
      <c r="E12" s="5" t="str">
        <f t="shared" si="0"/>
        <v>BBDC4</v>
      </c>
      <c r="F12" s="5">
        <f t="shared" si="3"/>
        <v>9.3981476181973899E-3</v>
      </c>
      <c r="I12" s="5" t="str">
        <f t="shared" si="1"/>
        <v>BBDC4</v>
      </c>
      <c r="J12" s="5">
        <f t="shared" si="2"/>
        <v>9.8926407494753354E-3</v>
      </c>
      <c r="M12" t="b">
        <f>J12='pesos PREVI'!J12</f>
        <v>0</v>
      </c>
    </row>
    <row r="13" spans="1:13" x14ac:dyDescent="0.3">
      <c r="A13" s="14" t="s">
        <v>19</v>
      </c>
      <c r="B13" s="11">
        <v>2.0545216231094544E-2</v>
      </c>
      <c r="E13" s="5" t="str">
        <f t="shared" si="0"/>
        <v>MRFG3</v>
      </c>
      <c r="F13" s="5">
        <f t="shared" si="3"/>
        <v>9.2248020877614498E-3</v>
      </c>
      <c r="I13" s="5" t="str">
        <f t="shared" si="1"/>
        <v>MRFG3</v>
      </c>
      <c r="J13" s="5">
        <f t="shared" si="2"/>
        <v>9.7101744669911595E-3</v>
      </c>
      <c r="M13" t="b">
        <f>J13='pesos PREVI'!J13</f>
        <v>0</v>
      </c>
    </row>
    <row r="14" spans="1:13" x14ac:dyDescent="0.3">
      <c r="A14" s="14" t="s">
        <v>12</v>
      </c>
      <c r="B14" s="11">
        <v>1.9598791303445127E-2</v>
      </c>
      <c r="E14" s="5" t="str">
        <f t="shared" si="0"/>
        <v>BBDC3</v>
      </c>
      <c r="F14" s="5">
        <f t="shared" si="3"/>
        <v>8.7998572952468612E-3</v>
      </c>
      <c r="I14" s="5" t="str">
        <f t="shared" si="1"/>
        <v>BBDC3</v>
      </c>
      <c r="J14" s="5">
        <f t="shared" si="2"/>
        <v>9.2628707704023334E-3</v>
      </c>
      <c r="M14" t="b">
        <f>J14='pesos PREVI'!J14</f>
        <v>0</v>
      </c>
    </row>
    <row r="15" spans="1:13" x14ac:dyDescent="0.3">
      <c r="A15" s="14" t="s">
        <v>16</v>
      </c>
      <c r="B15" s="11">
        <v>1.7999999999999999E-2</v>
      </c>
      <c r="E15" s="5" t="str">
        <f t="shared" si="0"/>
        <v>POMO4</v>
      </c>
      <c r="F15" s="5">
        <f t="shared" si="3"/>
        <v>8.0819999999999989E-3</v>
      </c>
      <c r="I15" s="5" t="str">
        <f t="shared" si="1"/>
        <v>POMO4</v>
      </c>
      <c r="J15" s="5">
        <f t="shared" si="2"/>
        <v>8.5072426807225321E-3</v>
      </c>
      <c r="M15" t="b">
        <f>J15='pesos PREVI'!J15</f>
        <v>0</v>
      </c>
    </row>
    <row r="16" spans="1:13" x14ac:dyDescent="0.3">
      <c r="A16" s="14" t="s">
        <v>76</v>
      </c>
      <c r="B16" s="11">
        <v>1.7000000000000001E-2</v>
      </c>
      <c r="E16" s="5" t="str">
        <f t="shared" si="0"/>
        <v>MGLU3</v>
      </c>
      <c r="F16" s="5">
        <f t="shared" si="3"/>
        <v>7.633E-3</v>
      </c>
      <c r="I16" s="5" t="str">
        <f t="shared" si="1"/>
        <v>MGLU3</v>
      </c>
      <c r="J16" s="5">
        <f t="shared" si="2"/>
        <v>8.0346180873490606E-3</v>
      </c>
      <c r="M16" t="b">
        <f>J16='pesos PREVI'!J16</f>
        <v>0</v>
      </c>
    </row>
    <row r="17" spans="1:13" x14ac:dyDescent="0.3">
      <c r="A17" s="14" t="s">
        <v>17</v>
      </c>
      <c r="B17" s="11">
        <v>1.6801848920806103E-2</v>
      </c>
      <c r="E17" s="5" t="str">
        <f t="shared" si="0"/>
        <v>CPFE3</v>
      </c>
      <c r="F17" s="5">
        <f t="shared" si="3"/>
        <v>7.544030165441939E-3</v>
      </c>
      <c r="I17" s="5" t="str">
        <f t="shared" si="1"/>
        <v>CPFE3</v>
      </c>
      <c r="J17" s="5">
        <f t="shared" si="2"/>
        <v>7.9409670141185277E-3</v>
      </c>
      <c r="M17" t="b">
        <f>J17='pesos PREVI'!J17</f>
        <v>0</v>
      </c>
    </row>
    <row r="18" spans="1:13" x14ac:dyDescent="0.3">
      <c r="A18" s="14" t="s">
        <v>26</v>
      </c>
      <c r="B18" s="11">
        <v>1.5615219612080561E-2</v>
      </c>
      <c r="E18" s="5" t="str">
        <f t="shared" si="0"/>
        <v>BRSR6</v>
      </c>
      <c r="F18" s="5">
        <f t="shared" si="3"/>
        <v>7.0112336058241716E-3</v>
      </c>
      <c r="I18" s="5" t="str">
        <f t="shared" si="1"/>
        <v>BRSR6</v>
      </c>
      <c r="J18" s="5">
        <f t="shared" si="2"/>
        <v>7.3801368195970732E-3</v>
      </c>
      <c r="M18" t="b">
        <f>J18='pesos PREVI'!J18</f>
        <v>0</v>
      </c>
    </row>
    <row r="19" spans="1:13" x14ac:dyDescent="0.3">
      <c r="A19" s="14" t="s">
        <v>14</v>
      </c>
      <c r="B19" s="11">
        <v>1.5465147332778172E-2</v>
      </c>
      <c r="E19" s="5" t="str">
        <f t="shared" si="0"/>
        <v>CSNA3</v>
      </c>
      <c r="F19" s="5">
        <f t="shared" si="3"/>
        <v>6.9438511524173982E-3</v>
      </c>
      <c r="I19" s="5" t="str">
        <f t="shared" si="1"/>
        <v>CSNA3</v>
      </c>
      <c r="J19" s="5">
        <f t="shared" si="2"/>
        <v>7.3092089696151505E-3</v>
      </c>
      <c r="M19" t="b">
        <f>J19='pesos PREVI'!J19</f>
        <v>0</v>
      </c>
    </row>
    <row r="20" spans="1:13" x14ac:dyDescent="0.3">
      <c r="A20" s="14" t="s">
        <v>18</v>
      </c>
      <c r="B20" s="11">
        <v>1.5462924284289446E-2</v>
      </c>
      <c r="E20" s="5" t="str">
        <f t="shared" si="0"/>
        <v>CXSE3</v>
      </c>
      <c r="F20" s="5">
        <f t="shared" si="3"/>
        <v>6.94285300364596E-3</v>
      </c>
      <c r="I20" s="5" t="str">
        <f t="shared" si="1"/>
        <v>CXSE3</v>
      </c>
      <c r="J20" s="5">
        <f t="shared" si="2"/>
        <v>7.3081583022271161E-3</v>
      </c>
      <c r="M20" t="b">
        <f>J20='pesos PREVI'!J20</f>
        <v>0</v>
      </c>
    </row>
    <row r="21" spans="1:13" x14ac:dyDescent="0.3">
      <c r="A21" s="14" t="s">
        <v>29</v>
      </c>
      <c r="B21" s="11">
        <v>1.4849025118304392E-2</v>
      </c>
      <c r="E21" s="5" t="str">
        <f t="shared" si="0"/>
        <v>SYNE3</v>
      </c>
      <c r="F21" s="5">
        <f t="shared" si="3"/>
        <v>6.6672122781186718E-3</v>
      </c>
      <c r="I21" s="5" t="str">
        <f t="shared" si="1"/>
        <v>SYNE3</v>
      </c>
      <c r="J21" s="5">
        <f t="shared" si="2"/>
        <v>7.0180144585311162E-3</v>
      </c>
      <c r="M21" t="b">
        <f>J21='pesos PREVI'!J21</f>
        <v>0</v>
      </c>
    </row>
    <row r="22" spans="1:13" x14ac:dyDescent="0.3">
      <c r="A22" s="14" t="s">
        <v>41</v>
      </c>
      <c r="B22" s="11">
        <v>1.3703764834263336E-2</v>
      </c>
      <c r="E22" s="5" t="str">
        <f t="shared" si="0"/>
        <v>ANIM3</v>
      </c>
      <c r="F22" s="5">
        <f t="shared" si="3"/>
        <v>6.1529904105842373E-3</v>
      </c>
      <c r="I22" s="5" t="str">
        <f t="shared" si="1"/>
        <v>ANIM3</v>
      </c>
      <c r="J22" s="5">
        <f t="shared" si="2"/>
        <v>6.4767362824794221E-3</v>
      </c>
      <c r="M22" t="b">
        <f>J22='pesos PREVI'!J22</f>
        <v>0</v>
      </c>
    </row>
    <row r="23" spans="1:13" x14ac:dyDescent="0.3">
      <c r="A23" s="14" t="s">
        <v>38</v>
      </c>
      <c r="B23" s="11">
        <v>1.3251380427384912E-2</v>
      </c>
      <c r="E23" s="5" t="str">
        <f t="shared" si="0"/>
        <v>LAVV3</v>
      </c>
      <c r="F23" s="5">
        <f t="shared" si="3"/>
        <v>5.9498698118958249E-3</v>
      </c>
      <c r="I23" s="5" t="str">
        <f t="shared" si="1"/>
        <v>LAVV3</v>
      </c>
      <c r="J23" s="5">
        <f t="shared" si="2"/>
        <v>6.2629282861300069E-3</v>
      </c>
      <c r="M23" t="b">
        <f>J23='pesos PREVI'!J23</f>
        <v>0</v>
      </c>
    </row>
    <row r="24" spans="1:13" x14ac:dyDescent="0.3">
      <c r="A24" s="14" t="s">
        <v>22</v>
      </c>
      <c r="B24" s="11">
        <v>1.3230328368970212E-2</v>
      </c>
      <c r="E24" s="5" t="str">
        <f t="shared" si="0"/>
        <v>GOAU4</v>
      </c>
      <c r="F24" s="5">
        <f t="shared" si="3"/>
        <v>5.9404174376676243E-3</v>
      </c>
      <c r="I24" s="5" t="str">
        <f t="shared" si="1"/>
        <v>GOAU4</v>
      </c>
      <c r="J24" s="5">
        <f t="shared" si="2"/>
        <v>6.2529785655820848E-3</v>
      </c>
      <c r="M24" t="b">
        <f>J24='pesos PREVI'!J24</f>
        <v>0</v>
      </c>
    </row>
    <row r="25" spans="1:13" x14ac:dyDescent="0.3">
      <c r="A25" s="14" t="s">
        <v>25</v>
      </c>
      <c r="B25" s="11">
        <v>1.309122103704231E-2</v>
      </c>
      <c r="E25" s="5" t="str">
        <f t="shared" si="0"/>
        <v>BEEF3</v>
      </c>
      <c r="F25" s="5">
        <f t="shared" si="3"/>
        <v>5.8779582456319965E-3</v>
      </c>
      <c r="I25" s="5" t="str">
        <f t="shared" si="1"/>
        <v>BEEF3</v>
      </c>
      <c r="J25" s="5">
        <f t="shared" si="2"/>
        <v>6.1872330193943909E-3</v>
      </c>
      <c r="M25" t="b">
        <f>J25='pesos PREVI'!J25</f>
        <v>0</v>
      </c>
    </row>
    <row r="26" spans="1:13" x14ac:dyDescent="0.3">
      <c r="A26" s="14" t="s">
        <v>30</v>
      </c>
      <c r="B26" s="11">
        <v>1.3026542425298569E-2</v>
      </c>
      <c r="E26" s="5" t="str">
        <f t="shared" si="0"/>
        <v>CURY3</v>
      </c>
      <c r="F26" s="5">
        <f t="shared" si="3"/>
        <v>5.8489175489590574E-3</v>
      </c>
      <c r="I26" s="5" t="str">
        <f t="shared" si="1"/>
        <v>CURY3</v>
      </c>
      <c r="J26" s="5">
        <f t="shared" si="2"/>
        <v>6.156664316819045E-3</v>
      </c>
      <c r="M26" t="b">
        <f>J26='pesos PREVI'!J26</f>
        <v>0</v>
      </c>
    </row>
    <row r="27" spans="1:13" x14ac:dyDescent="0.3">
      <c r="A27" s="14" t="s">
        <v>28</v>
      </c>
      <c r="B27" s="11">
        <v>1.2856274583763105E-2</v>
      </c>
      <c r="E27" s="5" t="str">
        <f t="shared" si="0"/>
        <v>LEVE3</v>
      </c>
      <c r="F27" s="5">
        <f t="shared" si="3"/>
        <v>5.7724672881096332E-3</v>
      </c>
      <c r="I27" s="5" t="str">
        <f t="shared" si="1"/>
        <v>LEVE3</v>
      </c>
      <c r="J27" s="5">
        <f t="shared" si="2"/>
        <v>6.0761915474487668E-3</v>
      </c>
      <c r="M27" t="b">
        <f>J27='pesos PREVI'!J27</f>
        <v>0</v>
      </c>
    </row>
    <row r="28" spans="1:13" x14ac:dyDescent="0.3">
      <c r="A28" s="14" t="s">
        <v>43</v>
      </c>
      <c r="B28" s="11">
        <v>1.2297664399304114E-2</v>
      </c>
      <c r="E28" s="5" t="str">
        <f t="shared" si="0"/>
        <v>COGN3</v>
      </c>
      <c r="F28" s="5">
        <f t="shared" si="3"/>
        <v>5.5216513152875468E-3</v>
      </c>
      <c r="I28" s="5" t="str">
        <f t="shared" si="1"/>
        <v>COGN3</v>
      </c>
      <c r="J28" s="5">
        <f t="shared" si="2"/>
        <v>5.8121786361645554E-3</v>
      </c>
      <c r="M28" t="b">
        <f>J28='pesos PREVI'!J28</f>
        <v>0</v>
      </c>
    </row>
    <row r="29" spans="1:13" x14ac:dyDescent="0.3">
      <c r="A29" s="14" t="s">
        <v>53</v>
      </c>
      <c r="B29" s="11">
        <v>1.2168011409805547E-2</v>
      </c>
      <c r="E29" s="5" t="str">
        <f t="shared" si="0"/>
        <v>TRIS3</v>
      </c>
      <c r="F29" s="5">
        <f t="shared" si="3"/>
        <v>5.4634371230026894E-3</v>
      </c>
      <c r="I29" s="5" t="str">
        <f t="shared" si="1"/>
        <v>TRIS3</v>
      </c>
      <c r="J29" s="5">
        <f t="shared" si="2"/>
        <v>5.7509014447231386E-3</v>
      </c>
      <c r="M29" t="b">
        <f>J29='pesos PREVI'!J29</f>
        <v>0</v>
      </c>
    </row>
    <row r="30" spans="1:13" x14ac:dyDescent="0.3">
      <c r="A30" s="14" t="s">
        <v>39</v>
      </c>
      <c r="B30" s="11">
        <v>1.2167141580245722E-2</v>
      </c>
      <c r="E30" s="5" t="str">
        <f t="shared" si="0"/>
        <v>PLPL3</v>
      </c>
      <c r="F30" s="5">
        <f t="shared" si="3"/>
        <v>5.4630465695303292E-3</v>
      </c>
      <c r="I30" s="5" t="str">
        <f t="shared" si="1"/>
        <v>PLPL3</v>
      </c>
      <c r="J30" s="5">
        <f t="shared" si="2"/>
        <v>5.7504903418811237E-3</v>
      </c>
      <c r="M30" t="b">
        <f>J30='pesos PREVI'!J30</f>
        <v>0</v>
      </c>
    </row>
    <row r="31" spans="1:13" x14ac:dyDescent="0.3">
      <c r="A31" s="14" t="s">
        <v>77</v>
      </c>
      <c r="B31" s="11">
        <v>1.209810943867084E-2</v>
      </c>
      <c r="E31" s="5" t="str">
        <f t="shared" si="0"/>
        <v>PRIO3</v>
      </c>
      <c r="F31" s="5">
        <f t="shared" si="3"/>
        <v>5.4320511379632071E-3</v>
      </c>
      <c r="I31" s="5" t="str">
        <f t="shared" si="1"/>
        <v>PRIO3</v>
      </c>
      <c r="J31" s="5">
        <f t="shared" si="2"/>
        <v>5.7178640540395944E-3</v>
      </c>
      <c r="M31" t="b">
        <f>J31='pesos PREVI'!J31</f>
        <v>0</v>
      </c>
    </row>
    <row r="32" spans="1:13" x14ac:dyDescent="0.3">
      <c r="A32" s="14" t="s">
        <v>33</v>
      </c>
      <c r="B32" s="11">
        <v>1.2097395565766994E-2</v>
      </c>
      <c r="E32" s="5" t="str">
        <f t="shared" si="0"/>
        <v>ELET6</v>
      </c>
      <c r="F32" s="5">
        <f t="shared" si="3"/>
        <v>5.4317306090293799E-3</v>
      </c>
      <c r="I32" s="5" t="str">
        <f t="shared" si="1"/>
        <v>ELET6</v>
      </c>
      <c r="J32" s="5">
        <f t="shared" si="2"/>
        <v>5.7175266601486941E-3</v>
      </c>
      <c r="M32" t="b">
        <f>J32='pesos PREVI'!J32</f>
        <v>0</v>
      </c>
    </row>
    <row r="33" spans="1:13" x14ac:dyDescent="0.3">
      <c r="A33" s="14" t="s">
        <v>40</v>
      </c>
      <c r="B33" s="11">
        <v>1.1800578299013842E-2</v>
      </c>
      <c r="E33" s="5" t="str">
        <f t="shared" si="0"/>
        <v>UNIP6</v>
      </c>
      <c r="F33" s="5">
        <f t="shared" si="3"/>
        <v>5.2984596562572145E-3</v>
      </c>
      <c r="I33" s="5" t="str">
        <f t="shared" si="1"/>
        <v>UNIP6</v>
      </c>
      <c r="J33" s="5">
        <f t="shared" si="2"/>
        <v>5.5772435201432592E-3</v>
      </c>
      <c r="M33" t="b">
        <f>J33='pesos PREVI'!J33</f>
        <v>0</v>
      </c>
    </row>
    <row r="34" spans="1:13" x14ac:dyDescent="0.3">
      <c r="A34" s="14" t="s">
        <v>20</v>
      </c>
      <c r="B34" s="11">
        <v>1.1738963718086729E-2</v>
      </c>
      <c r="E34" s="5" t="str">
        <f t="shared" si="0"/>
        <v>CMIG3</v>
      </c>
      <c r="F34" s="5">
        <f t="shared" si="3"/>
        <v>5.2707947094209409E-3</v>
      </c>
      <c r="I34" s="5" t="str">
        <f t="shared" ref="I34:I69" si="4">E34</f>
        <v>CMIG3</v>
      </c>
      <c r="J34" s="5">
        <f t="shared" ref="J34:J69" si="5">F34/$G$1</f>
        <v>5.5481229538867057E-3</v>
      </c>
      <c r="M34" t="b">
        <f>J34='pesos PREVI'!J34</f>
        <v>0</v>
      </c>
    </row>
    <row r="35" spans="1:13" x14ac:dyDescent="0.3">
      <c r="A35" s="14" t="s">
        <v>32</v>
      </c>
      <c r="B35" s="11">
        <v>1.1707687562591901E-2</v>
      </c>
      <c r="E35" s="5" t="str">
        <f t="shared" si="0"/>
        <v>CSMG3</v>
      </c>
      <c r="F35" s="5">
        <f t="shared" si="3"/>
        <v>5.2567517156037634E-3</v>
      </c>
      <c r="I35" s="5" t="str">
        <f t="shared" si="4"/>
        <v>CSMG3</v>
      </c>
      <c r="J35" s="5">
        <f t="shared" si="5"/>
        <v>5.5333410736136774E-3</v>
      </c>
      <c r="M35" t="b">
        <f>J35='pesos PREVI'!J35</f>
        <v>0</v>
      </c>
    </row>
    <row r="36" spans="1:13" x14ac:dyDescent="0.3">
      <c r="A36" s="14" t="s">
        <v>24</v>
      </c>
      <c r="B36" s="11">
        <v>1.1667425463849041E-2</v>
      </c>
      <c r="E36" s="5" t="str">
        <f t="shared" si="0"/>
        <v>TGMA3</v>
      </c>
      <c r="F36" s="5">
        <f t="shared" si="3"/>
        <v>5.2386740332682194E-3</v>
      </c>
      <c r="I36" s="5" t="str">
        <f t="shared" si="4"/>
        <v>TGMA3</v>
      </c>
      <c r="J36" s="5">
        <f t="shared" si="5"/>
        <v>5.5143122155669709E-3</v>
      </c>
      <c r="M36" t="b">
        <f>J36='pesos PREVI'!J36</f>
        <v>0</v>
      </c>
    </row>
    <row r="37" spans="1:13" x14ac:dyDescent="0.3">
      <c r="A37" s="14" t="s">
        <v>35</v>
      </c>
      <c r="B37" s="11">
        <v>1.1554392048781167E-2</v>
      </c>
      <c r="E37" s="5" t="str">
        <f t="shared" si="0"/>
        <v>AURE3</v>
      </c>
      <c r="F37" s="5">
        <f t="shared" si="3"/>
        <v>5.1879220299027437E-3</v>
      </c>
      <c r="I37" s="5" t="str">
        <f t="shared" si="4"/>
        <v>AURE3</v>
      </c>
      <c r="J37" s="5">
        <f t="shared" si="5"/>
        <v>5.4608898437329013E-3</v>
      </c>
      <c r="M37" t="b">
        <f>J37='pesos PREVI'!J37</f>
        <v>0</v>
      </c>
    </row>
    <row r="38" spans="1:13" x14ac:dyDescent="0.3">
      <c r="A38" s="14" t="s">
        <v>27</v>
      </c>
      <c r="B38" s="11">
        <v>1.1273375755950599E-2</v>
      </c>
      <c r="E38" s="5" t="str">
        <f t="shared" si="0"/>
        <v>BRAP4</v>
      </c>
      <c r="F38" s="5">
        <f t="shared" si="3"/>
        <v>5.0617457144218189E-3</v>
      </c>
      <c r="I38" s="5" t="str">
        <f t="shared" si="4"/>
        <v>BRAP4</v>
      </c>
      <c r="J38" s="5">
        <f t="shared" si="5"/>
        <v>5.3280746326025332E-3</v>
      </c>
      <c r="M38" t="b">
        <f>J38='pesos PREVI'!J38</f>
        <v>0</v>
      </c>
    </row>
    <row r="39" spans="1:13" x14ac:dyDescent="0.3">
      <c r="A39" s="14" t="s">
        <v>44</v>
      </c>
      <c r="B39" s="11">
        <v>1.1263604390177123E-2</v>
      </c>
      <c r="E39" s="5" t="str">
        <f t="shared" si="0"/>
        <v>MULT3</v>
      </c>
      <c r="F39" s="5">
        <f t="shared" si="3"/>
        <v>5.0573583711895275E-3</v>
      </c>
      <c r="I39" s="5" t="str">
        <f t="shared" si="4"/>
        <v>MULT3</v>
      </c>
      <c r="J39" s="5">
        <f t="shared" si="5"/>
        <v>5.3234564448271402E-3</v>
      </c>
      <c r="M39" t="b">
        <f>J39='pesos PREVI'!J39</f>
        <v>0</v>
      </c>
    </row>
    <row r="40" spans="1:13" x14ac:dyDescent="0.3">
      <c r="A40" s="14" t="s">
        <v>49</v>
      </c>
      <c r="B40" s="11">
        <v>1.0974031680885142E-2</v>
      </c>
      <c r="E40" s="5" t="str">
        <f t="shared" si="0"/>
        <v>FRAS3</v>
      </c>
      <c r="F40" s="5">
        <f t="shared" si="3"/>
        <v>4.9273402247174284E-3</v>
      </c>
      <c r="I40" s="5" t="str">
        <f t="shared" si="4"/>
        <v>FRAS3</v>
      </c>
      <c r="J40" s="5">
        <f t="shared" si="5"/>
        <v>5.1865972608459623E-3</v>
      </c>
      <c r="M40" t="b">
        <f>J40='pesos PREVI'!J40</f>
        <v>0</v>
      </c>
    </row>
    <row r="41" spans="1:13" x14ac:dyDescent="0.3">
      <c r="A41" s="14" t="s">
        <v>37</v>
      </c>
      <c r="B41" s="11">
        <v>1.0833538266213787E-2</v>
      </c>
      <c r="E41" s="5" t="str">
        <f t="shared" si="0"/>
        <v>ISAE4</v>
      </c>
      <c r="F41" s="5">
        <f t="shared" si="3"/>
        <v>4.8642586815299902E-3</v>
      </c>
      <c r="I41" s="5" t="str">
        <f t="shared" si="4"/>
        <v>ISAE4</v>
      </c>
      <c r="J41" s="5">
        <f t="shared" si="5"/>
        <v>5.1201966178652629E-3</v>
      </c>
      <c r="M41" t="b">
        <f>J41='pesos PREVI'!J41</f>
        <v>0</v>
      </c>
    </row>
    <row r="42" spans="1:13" x14ac:dyDescent="0.3">
      <c r="A42" s="14" t="s">
        <v>48</v>
      </c>
      <c r="B42" s="11">
        <v>1.0591518980264674E-2</v>
      </c>
      <c r="E42" s="5" t="str">
        <f t="shared" si="0"/>
        <v>JHSF3</v>
      </c>
      <c r="F42" s="5">
        <f t="shared" si="3"/>
        <v>4.755592022138838E-3</v>
      </c>
      <c r="I42" s="5" t="str">
        <f t="shared" si="4"/>
        <v>JHSF3</v>
      </c>
      <c r="J42" s="5">
        <f t="shared" si="5"/>
        <v>5.0058123512550243E-3</v>
      </c>
      <c r="M42" t="b">
        <f>J42='pesos PREVI'!J42</f>
        <v>0</v>
      </c>
    </row>
    <row r="43" spans="1:13" x14ac:dyDescent="0.3">
      <c r="A43" s="14" t="s">
        <v>56</v>
      </c>
      <c r="B43" s="11">
        <v>1.0560232621886653E-2</v>
      </c>
      <c r="E43" s="5" t="str">
        <f t="shared" si="0"/>
        <v>DIRR3</v>
      </c>
      <c r="F43" s="5">
        <f t="shared" si="3"/>
        <v>4.7415444472271064E-3</v>
      </c>
      <c r="I43" s="5" t="str">
        <f t="shared" si="4"/>
        <v>DIRR3</v>
      </c>
      <c r="J43" s="5">
        <f t="shared" si="5"/>
        <v>4.9910256488484746E-3</v>
      </c>
      <c r="M43" t="b">
        <f>J43='pesos PREVI'!J43</f>
        <v>0</v>
      </c>
    </row>
    <row r="44" spans="1:13" x14ac:dyDescent="0.3">
      <c r="A44" s="14" t="s">
        <v>46</v>
      </c>
      <c r="B44" s="11">
        <v>1.0557080893688748E-2</v>
      </c>
      <c r="E44" s="5" t="str">
        <f t="shared" si="0"/>
        <v>WIZC3</v>
      </c>
      <c r="F44" s="5">
        <f t="shared" si="3"/>
        <v>4.7401293212662472E-3</v>
      </c>
      <c r="I44" s="5" t="str">
        <f t="shared" si="4"/>
        <v>WIZC3</v>
      </c>
      <c r="J44" s="5">
        <f t="shared" si="5"/>
        <v>4.9895360645905162E-3</v>
      </c>
      <c r="M44" t="b">
        <f>J44='pesos PREVI'!J44</f>
        <v>0</v>
      </c>
    </row>
    <row r="45" spans="1:13" x14ac:dyDescent="0.3">
      <c r="A45" s="14" t="s">
        <v>36</v>
      </c>
      <c r="B45" s="11">
        <v>1.0422180432436911E-2</v>
      </c>
      <c r="E45" s="5" t="str">
        <f t="shared" si="0"/>
        <v>VBBR3</v>
      </c>
      <c r="F45" s="5">
        <f t="shared" si="3"/>
        <v>4.6795590141641722E-3</v>
      </c>
      <c r="I45" s="5" t="str">
        <f t="shared" si="4"/>
        <v>VBBR3</v>
      </c>
      <c r="J45" s="5">
        <f t="shared" si="5"/>
        <v>4.9257787889454728E-3</v>
      </c>
      <c r="M45" t="b">
        <f>J45='pesos PREVI'!J45</f>
        <v>0</v>
      </c>
    </row>
    <row r="46" spans="1:13" x14ac:dyDescent="0.3">
      <c r="A46" s="14" t="s">
        <v>31</v>
      </c>
      <c r="B46" s="11">
        <v>1.0335023820433005E-2</v>
      </c>
      <c r="E46" s="5" t="str">
        <f t="shared" si="0"/>
        <v>PSSA3</v>
      </c>
      <c r="F46" s="5">
        <f t="shared" si="3"/>
        <v>4.6404256953744187E-3</v>
      </c>
      <c r="I46" s="5" t="str">
        <f t="shared" si="4"/>
        <v>PSSA3</v>
      </c>
      <c r="J46" s="5">
        <f t="shared" si="5"/>
        <v>4.8845864306373173E-3</v>
      </c>
      <c r="M46" t="b">
        <f>J46='pesos PREVI'!J46</f>
        <v>0</v>
      </c>
    </row>
    <row r="47" spans="1:13" x14ac:dyDescent="0.3">
      <c r="A47" s="14" t="s">
        <v>21</v>
      </c>
      <c r="B47" s="11">
        <v>1.029138470614523E-2</v>
      </c>
      <c r="E47" s="5" t="str">
        <f t="shared" si="0"/>
        <v>CMIG4</v>
      </c>
      <c r="F47" s="5">
        <f t="shared" si="3"/>
        <v>4.6208317330592077E-3</v>
      </c>
      <c r="I47" s="5" t="str">
        <f t="shared" si="4"/>
        <v>CMIG4</v>
      </c>
      <c r="J47" s="5">
        <f t="shared" si="5"/>
        <v>4.8639615119918794E-3</v>
      </c>
      <c r="M47" t="b">
        <f>J47='pesos PREVI'!J47</f>
        <v>0</v>
      </c>
    </row>
    <row r="48" spans="1:13" x14ac:dyDescent="0.3">
      <c r="A48" s="14" t="s">
        <v>59</v>
      </c>
      <c r="B48" s="11">
        <v>1.0162856963637674E-2</v>
      </c>
      <c r="E48" s="5" t="str">
        <f t="shared" si="0"/>
        <v>RECV3</v>
      </c>
      <c r="F48" s="5">
        <f t="shared" si="3"/>
        <v>4.5631227766733153E-3</v>
      </c>
      <c r="I48" s="5" t="str">
        <f t="shared" si="4"/>
        <v>RECV3</v>
      </c>
      <c r="J48" s="5">
        <f t="shared" si="5"/>
        <v>4.8032161399520351E-3</v>
      </c>
      <c r="M48" t="b">
        <f>J48='pesos PREVI'!J48</f>
        <v>0</v>
      </c>
    </row>
    <row r="49" spans="1:13" x14ac:dyDescent="0.3">
      <c r="A49" s="14" t="s">
        <v>61</v>
      </c>
      <c r="B49" s="11">
        <v>1.0013996336918553E-2</v>
      </c>
      <c r="E49" s="5" t="str">
        <f t="shared" si="0"/>
        <v>RANI3</v>
      </c>
      <c r="F49" s="5">
        <f t="shared" si="3"/>
        <v>4.4962843552764295E-3</v>
      </c>
      <c r="I49" s="5" t="str">
        <f t="shared" si="4"/>
        <v>RANI3</v>
      </c>
      <c r="J49" s="5">
        <f t="shared" si="5"/>
        <v>4.7328609467795898E-3</v>
      </c>
      <c r="M49" t="b">
        <f>J49='pesos PREVI'!J49</f>
        <v>0</v>
      </c>
    </row>
    <row r="50" spans="1:13" x14ac:dyDescent="0.3">
      <c r="A50" s="14" t="s">
        <v>47</v>
      </c>
      <c r="B50" s="11">
        <v>9.8996194668131005E-3</v>
      </c>
      <c r="E50" s="5" t="str">
        <f t="shared" si="0"/>
        <v>SAPR4</v>
      </c>
      <c r="F50" s="5">
        <f t="shared" si="3"/>
        <v>4.4449291405990812E-3</v>
      </c>
      <c r="I50" s="5" t="str">
        <f t="shared" si="4"/>
        <v>SAPR4</v>
      </c>
      <c r="J50" s="5">
        <f t="shared" si="5"/>
        <v>4.6788036250546691E-3</v>
      </c>
      <c r="M50" t="b">
        <f>J50='pesos PREVI'!J50</f>
        <v>0</v>
      </c>
    </row>
    <row r="51" spans="1:13" x14ac:dyDescent="0.3">
      <c r="A51" s="14" t="s">
        <v>34</v>
      </c>
      <c r="B51" s="11">
        <v>9.7543334669110034E-3</v>
      </c>
      <c r="E51" s="5" t="str">
        <f t="shared" si="0"/>
        <v>ECOR3</v>
      </c>
      <c r="F51" s="5">
        <f t="shared" si="3"/>
        <v>4.3796957266430403E-3</v>
      </c>
      <c r="I51" s="5" t="str">
        <f t="shared" si="4"/>
        <v>ECOR3</v>
      </c>
      <c r="J51" s="5">
        <f t="shared" si="5"/>
        <v>4.6101378884280831E-3</v>
      </c>
      <c r="M51" t="b">
        <f>J51='pesos PREVI'!J51</f>
        <v>0</v>
      </c>
    </row>
    <row r="52" spans="1:13" x14ac:dyDescent="0.3">
      <c r="A52" s="14" t="s">
        <v>42</v>
      </c>
      <c r="B52" s="11">
        <v>9.697371968731508E-3</v>
      </c>
      <c r="E52" s="5" t="str">
        <f t="shared" si="0"/>
        <v>VLID3</v>
      </c>
      <c r="F52" s="5">
        <f t="shared" si="3"/>
        <v>4.3541200139604469E-3</v>
      </c>
      <c r="I52" s="5" t="str">
        <f t="shared" si="4"/>
        <v>VLID3</v>
      </c>
      <c r="J52" s="5">
        <f t="shared" si="5"/>
        <v>4.5832164835130544E-3</v>
      </c>
      <c r="M52" t="b">
        <f>J52='pesos PREVI'!J52</f>
        <v>0</v>
      </c>
    </row>
    <row r="53" spans="1:13" x14ac:dyDescent="0.3">
      <c r="A53" s="14" t="s">
        <v>55</v>
      </c>
      <c r="B53" s="11">
        <v>9.6081346778249428E-3</v>
      </c>
      <c r="E53" s="5" t="str">
        <f t="shared" si="0"/>
        <v>MYPK3</v>
      </c>
      <c r="F53" s="5">
        <f t="shared" si="3"/>
        <v>4.3140524703433993E-3</v>
      </c>
      <c r="I53" s="5" t="str">
        <f t="shared" si="4"/>
        <v>MYPK3</v>
      </c>
      <c r="J53" s="5">
        <f t="shared" si="5"/>
        <v>4.541040745184589E-3</v>
      </c>
      <c r="M53" t="b">
        <f>J53='pesos PREVI'!J53</f>
        <v>0</v>
      </c>
    </row>
    <row r="54" spans="1:13" x14ac:dyDescent="0.3">
      <c r="A54" s="14" t="s">
        <v>11</v>
      </c>
      <c r="B54" s="11">
        <v>9.3786291220952812E-3</v>
      </c>
      <c r="E54" s="5" t="str">
        <f t="shared" si="0"/>
        <v>GGBR4</v>
      </c>
      <c r="F54" s="5">
        <f t="shared" si="3"/>
        <v>4.2110044758207812E-3</v>
      </c>
      <c r="I54" s="5" t="str">
        <f t="shared" si="4"/>
        <v>GGBR4</v>
      </c>
      <c r="J54" s="5">
        <f t="shared" si="5"/>
        <v>4.4325707752309049E-3</v>
      </c>
      <c r="M54" t="b">
        <f>J54='pesos PREVI'!J54</f>
        <v>0</v>
      </c>
    </row>
    <row r="55" spans="1:13" x14ac:dyDescent="0.3">
      <c r="A55" s="14" t="s">
        <v>63</v>
      </c>
      <c r="B55" s="11">
        <v>9.1164293997888814E-3</v>
      </c>
      <c r="E55" s="5" t="str">
        <f t="shared" si="0"/>
        <v>TAEE11</v>
      </c>
      <c r="F55" s="5">
        <f t="shared" si="3"/>
        <v>4.0932768005052071E-3</v>
      </c>
      <c r="I55" s="5" t="str">
        <f t="shared" si="4"/>
        <v>TAEE11</v>
      </c>
      <c r="J55" s="5">
        <f t="shared" si="5"/>
        <v>4.3086487380932037E-3</v>
      </c>
      <c r="M55" t="b">
        <f>J55='pesos PREVI'!J55</f>
        <v>0</v>
      </c>
    </row>
    <row r="56" spans="1:13" x14ac:dyDescent="0.3">
      <c r="A56" s="14" t="s">
        <v>58</v>
      </c>
      <c r="B56" s="11">
        <v>8.0000000000000002E-3</v>
      </c>
      <c r="E56" s="5" t="str">
        <f t="shared" si="0"/>
        <v>YDUQ3</v>
      </c>
      <c r="F56" s="5">
        <f t="shared" si="3"/>
        <v>3.5919999999999997E-3</v>
      </c>
      <c r="I56" s="5" t="str">
        <f t="shared" si="4"/>
        <v>YDUQ3</v>
      </c>
      <c r="J56" s="5">
        <f t="shared" si="5"/>
        <v>3.7809967469877924E-3</v>
      </c>
      <c r="M56" t="b">
        <f>J56='pesos PREVI'!J56</f>
        <v>0</v>
      </c>
    </row>
    <row r="57" spans="1:13" x14ac:dyDescent="0.3">
      <c r="A57" s="14" t="s">
        <v>64</v>
      </c>
      <c r="B57" s="11">
        <v>7.4999999999999997E-3</v>
      </c>
      <c r="E57" s="5" t="str">
        <f t="shared" si="0"/>
        <v>BMGB4</v>
      </c>
      <c r="F57" s="5">
        <f t="shared" si="3"/>
        <v>3.3674999999999994E-3</v>
      </c>
      <c r="I57" s="5" t="str">
        <f t="shared" si="4"/>
        <v>BMGB4</v>
      </c>
      <c r="J57" s="5">
        <f t="shared" si="5"/>
        <v>3.5446844503010553E-3</v>
      </c>
      <c r="M57" t="b">
        <f>J57='pesos PREVI'!J57</f>
        <v>0</v>
      </c>
    </row>
    <row r="58" spans="1:13" x14ac:dyDescent="0.3">
      <c r="A58" s="14" t="s">
        <v>54</v>
      </c>
      <c r="B58" s="11">
        <v>6.4999999999999997E-3</v>
      </c>
      <c r="E58" s="5" t="str">
        <f t="shared" si="0"/>
        <v>LIGT3</v>
      </c>
      <c r="F58" s="5">
        <f t="shared" si="3"/>
        <v>2.9184999999999997E-3</v>
      </c>
      <c r="I58" s="5" t="str">
        <f t="shared" si="4"/>
        <v>LIGT3</v>
      </c>
      <c r="J58" s="5">
        <f t="shared" si="5"/>
        <v>3.0720598569275812E-3</v>
      </c>
      <c r="M58" t="b">
        <f>J58='pesos PREVI'!J58</f>
        <v>0</v>
      </c>
    </row>
    <row r="59" spans="1:13" x14ac:dyDescent="0.3">
      <c r="A59" s="14" t="s">
        <v>73</v>
      </c>
      <c r="B59" s="11">
        <v>6.0000000000000001E-3</v>
      </c>
      <c r="E59" s="5" t="str">
        <f t="shared" si="0"/>
        <v>BMOB3</v>
      </c>
      <c r="F59" s="5">
        <f t="shared" si="3"/>
        <v>2.6939999999999998E-3</v>
      </c>
      <c r="I59" s="5" t="str">
        <f t="shared" si="4"/>
        <v>BMOB3</v>
      </c>
      <c r="J59" s="5">
        <f t="shared" si="5"/>
        <v>2.8357475602408446E-3</v>
      </c>
      <c r="M59" t="b">
        <f>J59='pesos PREVI'!J59</f>
        <v>0</v>
      </c>
    </row>
    <row r="60" spans="1:13" x14ac:dyDescent="0.3">
      <c r="A60" s="14" t="s">
        <v>50</v>
      </c>
      <c r="B60" s="11">
        <v>5.0000000000000001E-3</v>
      </c>
      <c r="E60" s="5" t="str">
        <f t="shared" si="0"/>
        <v>MTRE3</v>
      </c>
      <c r="F60" s="5">
        <f t="shared" si="3"/>
        <v>2.245E-3</v>
      </c>
      <c r="I60" s="5" t="str">
        <f t="shared" si="4"/>
        <v>MTRE3</v>
      </c>
      <c r="J60" s="5">
        <f t="shared" si="5"/>
        <v>2.3631229668673705E-3</v>
      </c>
      <c r="M60" t="b">
        <f>J60='pesos PREVI'!J60</f>
        <v>0</v>
      </c>
    </row>
    <row r="61" spans="1:13" x14ac:dyDescent="0.3">
      <c r="A61" s="14" t="s">
        <v>67</v>
      </c>
      <c r="B61" s="11">
        <v>3.6899045276269889E-3</v>
      </c>
      <c r="E61" s="5" t="str">
        <f t="shared" si="0"/>
        <v>CYRE3</v>
      </c>
      <c r="F61" s="5">
        <f t="shared" si="3"/>
        <v>1.6567671329045179E-3</v>
      </c>
      <c r="I61" s="5" t="str">
        <f t="shared" si="4"/>
        <v>CYRE3</v>
      </c>
      <c r="J61" s="5">
        <f t="shared" si="5"/>
        <v>1.7439396269566464E-3</v>
      </c>
      <c r="M61" t="b">
        <f>J61='pesos PREVI'!J61</f>
        <v>0</v>
      </c>
    </row>
    <row r="62" spans="1:13" x14ac:dyDescent="0.3">
      <c r="A62" s="14" t="s">
        <v>62</v>
      </c>
      <c r="B62" s="11">
        <v>3.5005111223726489E-3</v>
      </c>
      <c r="E62" s="5" t="str">
        <f t="shared" si="0"/>
        <v>GRND3</v>
      </c>
      <c r="F62" s="5">
        <f t="shared" si="3"/>
        <v>1.5717294939453191E-3</v>
      </c>
      <c r="I62" s="5" t="str">
        <f t="shared" si="4"/>
        <v>GRND3</v>
      </c>
      <c r="J62" s="5">
        <f t="shared" si="5"/>
        <v>1.6544276458106964E-3</v>
      </c>
      <c r="M62" t="b">
        <f>J62='pesos PREVI'!J62</f>
        <v>0</v>
      </c>
    </row>
    <row r="63" spans="1:13" x14ac:dyDescent="0.3">
      <c r="A63" s="14" t="s">
        <v>65</v>
      </c>
      <c r="B63" s="11">
        <v>3.389534122061535E-3</v>
      </c>
      <c r="E63" s="5" t="str">
        <f t="shared" si="0"/>
        <v>BRBI11</v>
      </c>
      <c r="F63" s="5">
        <f t="shared" si="3"/>
        <v>1.5219008208056291E-3</v>
      </c>
      <c r="I63" s="5" t="str">
        <f t="shared" si="4"/>
        <v>BRBI11</v>
      </c>
      <c r="J63" s="5">
        <f t="shared" si="5"/>
        <v>1.6019771861648484E-3</v>
      </c>
      <c r="M63" t="b">
        <f>J63='pesos PREVI'!J63</f>
        <v>0</v>
      </c>
    </row>
    <row r="64" spans="1:13" x14ac:dyDescent="0.3">
      <c r="A64" s="14" t="s">
        <v>57</v>
      </c>
      <c r="B64" s="11">
        <v>3.1263433604050411E-3</v>
      </c>
      <c r="E64" s="5" t="str">
        <f t="shared" si="0"/>
        <v>TEND3</v>
      </c>
      <c r="F64" s="5">
        <f t="shared" si="3"/>
        <v>1.4037281688218633E-3</v>
      </c>
      <c r="I64" s="5" t="str">
        <f t="shared" si="4"/>
        <v>TEND3</v>
      </c>
      <c r="J64" s="5">
        <f t="shared" si="5"/>
        <v>1.477586759457293E-3</v>
      </c>
      <c r="M64" t="b">
        <f>J64='pesos PREVI'!J64</f>
        <v>0</v>
      </c>
    </row>
    <row r="65" spans="1:13" x14ac:dyDescent="0.3">
      <c r="A65" s="14" t="s">
        <v>51</v>
      </c>
      <c r="B65" s="11">
        <v>2.5000000000000001E-3</v>
      </c>
      <c r="E65" s="5" t="str">
        <f t="shared" si="0"/>
        <v>BHIA3</v>
      </c>
      <c r="F65" s="5">
        <f t="shared" si="3"/>
        <v>1.1225E-3</v>
      </c>
      <c r="I65" s="5" t="str">
        <f t="shared" si="4"/>
        <v>BHIA3</v>
      </c>
      <c r="J65" s="5">
        <f t="shared" si="5"/>
        <v>1.1815614834336853E-3</v>
      </c>
      <c r="M65" t="b">
        <f>J65='pesos PREVI'!J65</f>
        <v>0</v>
      </c>
    </row>
    <row r="66" spans="1:13" x14ac:dyDescent="0.3">
      <c r="A66" s="14" t="s">
        <v>52</v>
      </c>
      <c r="B66" s="11">
        <v>2.3E-3</v>
      </c>
      <c r="E66" s="5" t="str">
        <f>A66</f>
        <v>AGRO3</v>
      </c>
      <c r="F66" s="5">
        <f t="shared" si="3"/>
        <v>1.0326999999999999E-3</v>
      </c>
      <c r="I66" s="5" t="str">
        <f t="shared" si="4"/>
        <v>AGRO3</v>
      </c>
      <c r="J66" s="5">
        <f t="shared" si="5"/>
        <v>1.0870365647589904E-3</v>
      </c>
      <c r="M66" t="b">
        <f>J66='pesos PREVI'!J66</f>
        <v>0</v>
      </c>
    </row>
    <row r="67" spans="1:13" x14ac:dyDescent="0.3">
      <c r="A67" s="14" t="s">
        <v>69</v>
      </c>
      <c r="B67" s="11">
        <v>2.5000000000000001E-3</v>
      </c>
      <c r="E67" s="12" t="s">
        <v>71</v>
      </c>
      <c r="F67" s="13">
        <v>0.4</v>
      </c>
      <c r="I67" s="5" t="str">
        <f t="shared" si="4"/>
        <v>BOVA11</v>
      </c>
      <c r="J67" s="5">
        <f t="shared" si="5"/>
        <v>0.42104640835053375</v>
      </c>
      <c r="M67" t="b">
        <f>J67='pesos PREVI'!J72</f>
        <v>0</v>
      </c>
    </row>
    <row r="68" spans="1:13" x14ac:dyDescent="0.3">
      <c r="A68" s="14" t="s">
        <v>70</v>
      </c>
      <c r="B68" s="11">
        <v>2.5000000000000001E-3</v>
      </c>
      <c r="E68" s="12" t="s">
        <v>81</v>
      </c>
      <c r="F68" s="13">
        <v>0.1</v>
      </c>
      <c r="I68" s="5" t="str">
        <f t="shared" si="4"/>
        <v>DIVO11</v>
      </c>
      <c r="J68" s="5">
        <f t="shared" si="5"/>
        <v>0.10526160208763344</v>
      </c>
      <c r="M68" t="b">
        <f>J68='pesos PREVI'!J73</f>
        <v>0</v>
      </c>
    </row>
    <row r="69" spans="1:13" x14ac:dyDescent="0.3">
      <c r="A69" s="14"/>
      <c r="B69" s="11"/>
      <c r="E69" s="5" t="s">
        <v>85</v>
      </c>
      <c r="F69" s="5">
        <v>1E-3</v>
      </c>
      <c r="I69" s="5" t="str">
        <f t="shared" si="4"/>
        <v>BRL Curncy</v>
      </c>
      <c r="J69" s="5">
        <f t="shared" si="5"/>
        <v>1.0526160208763344E-3</v>
      </c>
      <c r="M69" t="b">
        <f>J69='pesos PREVI'!J74</f>
        <v>0</v>
      </c>
    </row>
    <row r="70" spans="1:13" x14ac:dyDescent="0.3">
      <c r="A70" s="14"/>
      <c r="B70" s="11"/>
    </row>
    <row r="71" spans="1:13" x14ac:dyDescent="0.3">
      <c r="A71" s="14"/>
      <c r="B71" s="11"/>
      <c r="E71" s="5"/>
      <c r="F71" s="5"/>
      <c r="I71" s="5"/>
    </row>
    <row r="72" spans="1:13" x14ac:dyDescent="0.3">
      <c r="A72" s="14"/>
      <c r="B72" s="11"/>
      <c r="E72" s="5"/>
      <c r="F72" s="5"/>
      <c r="I72" s="5"/>
    </row>
    <row r="73" spans="1:13" x14ac:dyDescent="0.3">
      <c r="A73" s="14"/>
      <c r="B73" s="11"/>
      <c r="E73" s="5"/>
      <c r="F73" s="5"/>
      <c r="I73" s="5"/>
    </row>
    <row r="74" spans="1:13" x14ac:dyDescent="0.3">
      <c r="A74" s="14"/>
      <c r="B74" s="11"/>
      <c r="E74" s="5"/>
      <c r="F74" s="5"/>
      <c r="I74" s="5"/>
    </row>
    <row r="75" spans="1:13" x14ac:dyDescent="0.3">
      <c r="A75" s="14"/>
      <c r="B75" s="11"/>
      <c r="E75" s="5"/>
      <c r="F75" s="5"/>
      <c r="I75" s="5"/>
    </row>
    <row r="76" spans="1:13" x14ac:dyDescent="0.3">
      <c r="A76" s="14"/>
      <c r="B76" s="11"/>
      <c r="E76" s="5"/>
      <c r="F76" s="5"/>
      <c r="I76" s="5"/>
    </row>
    <row r="77" spans="1:13" x14ac:dyDescent="0.3">
      <c r="A77" s="14"/>
      <c r="B77" s="11"/>
    </row>
    <row r="78" spans="1:13" x14ac:dyDescent="0.3">
      <c r="A78" s="14"/>
      <c r="B78" s="11"/>
    </row>
    <row r="79" spans="1:13" x14ac:dyDescent="0.3">
      <c r="A79" s="14"/>
      <c r="B79" s="11"/>
      <c r="C79" s="6"/>
    </row>
    <row r="80" spans="1:13" x14ac:dyDescent="0.3">
      <c r="A80" s="14"/>
      <c r="B80" s="11"/>
      <c r="C80" s="6"/>
    </row>
    <row r="81" spans="1:3" x14ac:dyDescent="0.3">
      <c r="A81" s="14"/>
      <c r="B81" s="11"/>
      <c r="C81" s="6"/>
    </row>
    <row r="82" spans="1:3" x14ac:dyDescent="0.3">
      <c r="A82" s="14"/>
      <c r="B82" s="11"/>
      <c r="C82" s="6"/>
    </row>
    <row r="83" spans="1:3" x14ac:dyDescent="0.3">
      <c r="A83" s="14"/>
      <c r="B83" s="11"/>
      <c r="C83" s="6"/>
    </row>
    <row r="84" spans="1:3" x14ac:dyDescent="0.3">
      <c r="A84" s="14"/>
      <c r="B84" s="11"/>
      <c r="C84" s="6"/>
    </row>
    <row r="85" spans="1:3" x14ac:dyDescent="0.3">
      <c r="A85" s="14"/>
      <c r="B85" s="11"/>
      <c r="C85" s="6"/>
    </row>
    <row r="86" spans="1:3" x14ac:dyDescent="0.3">
      <c r="A86" s="14"/>
      <c r="B86" s="11"/>
      <c r="C86" s="6"/>
    </row>
    <row r="87" spans="1:3" x14ac:dyDescent="0.3">
      <c r="A87" s="14"/>
      <c r="B87" s="11"/>
      <c r="C87" s="6"/>
    </row>
    <row r="88" spans="1:3" x14ac:dyDescent="0.3">
      <c r="A88" s="14"/>
      <c r="B88" s="11"/>
      <c r="C88" s="6"/>
    </row>
    <row r="89" spans="1:3" x14ac:dyDescent="0.3">
      <c r="A89" s="14"/>
      <c r="B89" s="11"/>
      <c r="C89" s="6"/>
    </row>
    <row r="90" spans="1:3" x14ac:dyDescent="0.3">
      <c r="A90" s="14"/>
      <c r="B90" s="11"/>
      <c r="C90" s="6"/>
    </row>
    <row r="91" spans="1:3" x14ac:dyDescent="0.3">
      <c r="A91" s="14"/>
      <c r="B91" s="11"/>
      <c r="C91" s="6"/>
    </row>
    <row r="92" spans="1:3" x14ac:dyDescent="0.3">
      <c r="A92" s="14"/>
      <c r="B92" s="11"/>
      <c r="C92" s="6"/>
    </row>
    <row r="93" spans="1:3" x14ac:dyDescent="0.3">
      <c r="A93" s="14"/>
      <c r="B93" s="11"/>
      <c r="C93" s="6"/>
    </row>
    <row r="94" spans="1:3" x14ac:dyDescent="0.3">
      <c r="A94" s="14"/>
      <c r="B94" s="11"/>
      <c r="C94" s="6"/>
    </row>
    <row r="95" spans="1:3" x14ac:dyDescent="0.3">
      <c r="A95" s="14"/>
      <c r="B95" s="11"/>
      <c r="C95" s="6"/>
    </row>
    <row r="96" spans="1:3" x14ac:dyDescent="0.3">
      <c r="A96" s="14"/>
      <c r="B96" s="11"/>
      <c r="C96" s="6"/>
    </row>
    <row r="97" spans="1:3" x14ac:dyDescent="0.3">
      <c r="A97" s="14"/>
      <c r="B97" s="11"/>
      <c r="C97" s="6"/>
    </row>
    <row r="98" spans="1:3" x14ac:dyDescent="0.3">
      <c r="A98" s="14"/>
      <c r="B98" s="11"/>
      <c r="C98" s="6"/>
    </row>
    <row r="99" spans="1:3" x14ac:dyDescent="0.3">
      <c r="A99" s="14"/>
      <c r="B99" s="11"/>
      <c r="C99" s="6"/>
    </row>
    <row r="100" spans="1:3" x14ac:dyDescent="0.3">
      <c r="A100" s="14"/>
      <c r="B100" s="11"/>
      <c r="C100" s="6"/>
    </row>
    <row r="101" spans="1:3" x14ac:dyDescent="0.3">
      <c r="A101" s="14"/>
      <c r="B101" s="11"/>
      <c r="C101" s="6"/>
    </row>
    <row r="102" spans="1:3" x14ac:dyDescent="0.3">
      <c r="A102" s="14"/>
      <c r="B102" s="11"/>
      <c r="C102" s="6"/>
    </row>
    <row r="103" spans="1:3" x14ac:dyDescent="0.3">
      <c r="A103" s="14"/>
      <c r="B103" s="11"/>
      <c r="C103" s="6"/>
    </row>
    <row r="104" spans="1:3" x14ac:dyDescent="0.3">
      <c r="A104" s="14"/>
      <c r="B104" s="11"/>
      <c r="C104" s="6"/>
    </row>
    <row r="105" spans="1:3" x14ac:dyDescent="0.3">
      <c r="A105" s="14"/>
      <c r="B105" s="11"/>
      <c r="C105" s="6"/>
    </row>
    <row r="106" spans="1:3" x14ac:dyDescent="0.3">
      <c r="A106" s="14"/>
      <c r="B106" s="11"/>
      <c r="C106" s="6"/>
    </row>
    <row r="107" spans="1:3" x14ac:dyDescent="0.3">
      <c r="A107" s="14"/>
      <c r="B107" s="11"/>
      <c r="C107" s="6"/>
    </row>
    <row r="108" spans="1:3" x14ac:dyDescent="0.3">
      <c r="A108" s="14"/>
      <c r="B108" s="11"/>
      <c r="C108" s="6"/>
    </row>
    <row r="109" spans="1:3" x14ac:dyDescent="0.3">
      <c r="A109" s="14"/>
      <c r="B109" s="11"/>
      <c r="C109" s="6"/>
    </row>
    <row r="110" spans="1:3" x14ac:dyDescent="0.3">
      <c r="A110" s="14"/>
      <c r="B110" s="11"/>
      <c r="C110" s="6"/>
    </row>
    <row r="111" spans="1:3" x14ac:dyDescent="0.3">
      <c r="A111" s="14"/>
      <c r="B111" s="11"/>
      <c r="C111" s="6"/>
    </row>
    <row r="112" spans="1:3" x14ac:dyDescent="0.3">
      <c r="A112" s="14"/>
      <c r="B112" s="11"/>
      <c r="C112" s="6"/>
    </row>
    <row r="113" spans="1:3" x14ac:dyDescent="0.3">
      <c r="A113" s="14"/>
      <c r="B113" s="11"/>
      <c r="C113" s="6"/>
    </row>
    <row r="114" spans="1:3" x14ac:dyDescent="0.3">
      <c r="A114" s="14"/>
      <c r="B114" s="11"/>
      <c r="C114" s="6"/>
    </row>
    <row r="115" spans="1:3" x14ac:dyDescent="0.3">
      <c r="A115" s="14"/>
      <c r="B115" s="11"/>
      <c r="C115" s="6"/>
    </row>
    <row r="116" spans="1:3" x14ac:dyDescent="0.3">
      <c r="A116" s="14"/>
      <c r="B116" s="11"/>
      <c r="C116" s="6"/>
    </row>
    <row r="117" spans="1:3" x14ac:dyDescent="0.3">
      <c r="A117" s="14"/>
      <c r="B117" s="11"/>
      <c r="C117" s="6"/>
    </row>
    <row r="118" spans="1:3" x14ac:dyDescent="0.3">
      <c r="A118" s="14"/>
      <c r="B118" s="11"/>
      <c r="C118" s="6"/>
    </row>
    <row r="119" spans="1:3" x14ac:dyDescent="0.3">
      <c r="A119" s="14"/>
      <c r="B119" s="11"/>
      <c r="C119" s="6"/>
    </row>
    <row r="120" spans="1:3" x14ac:dyDescent="0.3">
      <c r="A120" s="14"/>
      <c r="B120" s="11"/>
      <c r="C120" s="6"/>
    </row>
    <row r="121" spans="1:3" x14ac:dyDescent="0.3">
      <c r="A121" s="14"/>
      <c r="B121" s="11"/>
      <c r="C121" s="6"/>
    </row>
    <row r="122" spans="1:3" x14ac:dyDescent="0.3">
      <c r="A122" s="14"/>
      <c r="B122" s="11"/>
      <c r="C122" s="6"/>
    </row>
    <row r="123" spans="1:3" x14ac:dyDescent="0.3">
      <c r="A123" s="14"/>
      <c r="B123" s="11"/>
      <c r="C123" s="6"/>
    </row>
    <row r="124" spans="1:3" x14ac:dyDescent="0.3">
      <c r="A124" s="14"/>
      <c r="B124" s="11"/>
      <c r="C124" s="6"/>
    </row>
    <row r="125" spans="1:3" x14ac:dyDescent="0.3">
      <c r="A125" s="14"/>
      <c r="B125" s="11"/>
      <c r="C125" s="6"/>
    </row>
    <row r="126" spans="1:3" x14ac:dyDescent="0.3">
      <c r="A126" s="14"/>
      <c r="B126" s="11"/>
      <c r="C126" s="6"/>
    </row>
    <row r="127" spans="1:3" x14ac:dyDescent="0.3">
      <c r="A127" s="14"/>
      <c r="B127" s="11"/>
      <c r="C127" s="6"/>
    </row>
    <row r="128" spans="1:3" x14ac:dyDescent="0.3">
      <c r="A128" s="14"/>
      <c r="B128" s="11"/>
      <c r="C128" s="6"/>
    </row>
    <row r="129" spans="1:3" x14ac:dyDescent="0.3">
      <c r="A129" s="14"/>
      <c r="B129" s="11"/>
      <c r="C129" s="6"/>
    </row>
    <row r="130" spans="1:3" x14ac:dyDescent="0.3">
      <c r="A130" s="14"/>
      <c r="B130" s="11"/>
      <c r="C130" s="6"/>
    </row>
    <row r="131" spans="1:3" x14ac:dyDescent="0.3">
      <c r="A131" s="14"/>
      <c r="B131" s="11"/>
      <c r="C131" s="6"/>
    </row>
    <row r="132" spans="1:3" x14ac:dyDescent="0.3">
      <c r="A132" s="14"/>
      <c r="B132" s="11"/>
      <c r="C132" s="6"/>
    </row>
    <row r="133" spans="1:3" x14ac:dyDescent="0.3">
      <c r="A133" s="14"/>
      <c r="B133" s="11"/>
      <c r="C133" s="6"/>
    </row>
    <row r="134" spans="1:3" x14ac:dyDescent="0.3">
      <c r="A134" s="14"/>
      <c r="B134" s="11"/>
      <c r="C134" s="6"/>
    </row>
    <row r="135" spans="1:3" x14ac:dyDescent="0.3">
      <c r="A135" s="14"/>
      <c r="B135" s="11"/>
      <c r="C135" s="6"/>
    </row>
    <row r="136" spans="1:3" x14ac:dyDescent="0.3">
      <c r="A136" s="14"/>
      <c r="B136" s="11"/>
      <c r="C136" s="6"/>
    </row>
    <row r="137" spans="1:3" x14ac:dyDescent="0.3">
      <c r="A137" s="14"/>
      <c r="B137" s="11"/>
      <c r="C137" s="6"/>
    </row>
    <row r="138" spans="1:3" x14ac:dyDescent="0.3">
      <c r="A138" s="14"/>
      <c r="B138" s="11"/>
      <c r="C138" s="6"/>
    </row>
    <row r="139" spans="1:3" x14ac:dyDescent="0.3">
      <c r="A139" s="14"/>
      <c r="B139" s="11"/>
      <c r="C139" s="6"/>
    </row>
    <row r="140" spans="1:3" x14ac:dyDescent="0.3">
      <c r="A140" s="14"/>
      <c r="B140" s="11"/>
      <c r="C140" s="6"/>
    </row>
    <row r="141" spans="1:3" x14ac:dyDescent="0.3">
      <c r="A141" s="14"/>
      <c r="B141" s="11"/>
      <c r="C141" s="6"/>
    </row>
    <row r="142" spans="1:3" x14ac:dyDescent="0.3">
      <c r="A142" s="14"/>
      <c r="B142" s="11"/>
      <c r="C142" s="6"/>
    </row>
    <row r="143" spans="1:3" x14ac:dyDescent="0.3">
      <c r="A143" s="14"/>
      <c r="B143" s="11"/>
      <c r="C143" s="6"/>
    </row>
    <row r="144" spans="1:3" x14ac:dyDescent="0.3">
      <c r="A144" s="14"/>
      <c r="B144" s="11"/>
      <c r="C144" s="6"/>
    </row>
    <row r="145" spans="1:3" x14ac:dyDescent="0.3">
      <c r="A145" s="14"/>
      <c r="B145" s="11"/>
      <c r="C145" s="6"/>
    </row>
    <row r="146" spans="1:3" x14ac:dyDescent="0.3">
      <c r="A146" s="14"/>
      <c r="B146" s="11"/>
      <c r="C146" s="6"/>
    </row>
    <row r="147" spans="1:3" x14ac:dyDescent="0.3">
      <c r="A147" s="14"/>
      <c r="B147" s="11"/>
      <c r="C147" s="6"/>
    </row>
    <row r="148" spans="1:3" x14ac:dyDescent="0.3">
      <c r="A148" s="14"/>
      <c r="B148" s="11"/>
      <c r="C148" s="6"/>
    </row>
    <row r="149" spans="1:3" x14ac:dyDescent="0.3">
      <c r="A149" s="14"/>
      <c r="B149" s="11"/>
      <c r="C149" s="6"/>
    </row>
    <row r="150" spans="1:3" x14ac:dyDescent="0.3">
      <c r="A150" s="14"/>
      <c r="B150" s="11"/>
      <c r="C150" s="6"/>
    </row>
    <row r="151" spans="1:3" x14ac:dyDescent="0.3">
      <c r="A151" s="14"/>
      <c r="B151" s="11"/>
      <c r="C151" s="6"/>
    </row>
    <row r="152" spans="1:3" x14ac:dyDescent="0.3">
      <c r="A152" s="14"/>
      <c r="B152" s="11"/>
      <c r="C152" s="6"/>
    </row>
    <row r="153" spans="1:3" x14ac:dyDescent="0.3">
      <c r="A153" s="14"/>
      <c r="B153" s="11"/>
      <c r="C153" s="6"/>
    </row>
    <row r="154" spans="1:3" x14ac:dyDescent="0.3">
      <c r="A154" s="14"/>
      <c r="B154" s="11"/>
      <c r="C154" s="6"/>
    </row>
    <row r="155" spans="1:3" x14ac:dyDescent="0.3">
      <c r="A155" s="14"/>
      <c r="B155" s="11"/>
      <c r="C155" s="6"/>
    </row>
    <row r="156" spans="1:3" x14ac:dyDescent="0.3">
      <c r="A156" s="14"/>
      <c r="B156" s="11"/>
      <c r="C156" s="6"/>
    </row>
    <row r="157" spans="1:3" x14ac:dyDescent="0.3">
      <c r="A157" s="14"/>
      <c r="B157" s="11"/>
      <c r="C157" s="6"/>
    </row>
    <row r="158" spans="1:3" x14ac:dyDescent="0.3">
      <c r="A158" s="14"/>
      <c r="B158" s="11"/>
      <c r="C158" s="6"/>
    </row>
    <row r="159" spans="1:3" x14ac:dyDescent="0.3">
      <c r="A159" s="14"/>
      <c r="B159" s="11"/>
      <c r="C159" s="6"/>
    </row>
    <row r="160" spans="1:3" x14ac:dyDescent="0.3">
      <c r="A160" s="14"/>
      <c r="B160" s="11"/>
      <c r="C160" s="6"/>
    </row>
    <row r="161" spans="1:3" x14ac:dyDescent="0.3">
      <c r="A161" s="14"/>
      <c r="B161" s="11"/>
      <c r="C161" s="6"/>
    </row>
    <row r="162" spans="1:3" x14ac:dyDescent="0.3">
      <c r="A162" s="14"/>
      <c r="B162" s="11"/>
      <c r="C162" s="6"/>
    </row>
    <row r="163" spans="1:3" x14ac:dyDescent="0.3">
      <c r="A163" s="14"/>
      <c r="B163" s="11"/>
      <c r="C163" s="6"/>
    </row>
    <row r="164" spans="1:3" x14ac:dyDescent="0.3">
      <c r="A164" s="14"/>
      <c r="B164" s="11"/>
      <c r="C164" s="6"/>
    </row>
    <row r="165" spans="1:3" x14ac:dyDescent="0.3">
      <c r="A165" s="14"/>
      <c r="B165" s="11"/>
      <c r="C165" s="6"/>
    </row>
    <row r="166" spans="1:3" x14ac:dyDescent="0.3">
      <c r="A166" s="14"/>
      <c r="B166" s="11"/>
      <c r="C166" s="6"/>
    </row>
    <row r="167" spans="1:3" x14ac:dyDescent="0.3">
      <c r="A167" s="14"/>
      <c r="B167" s="11"/>
      <c r="C167" s="6"/>
    </row>
    <row r="168" spans="1:3" x14ac:dyDescent="0.3">
      <c r="A168" s="14"/>
      <c r="B168" s="11"/>
      <c r="C168" s="6"/>
    </row>
    <row r="169" spans="1:3" x14ac:dyDescent="0.3">
      <c r="A169" s="14"/>
      <c r="B169" s="11"/>
      <c r="C169" s="6"/>
    </row>
    <row r="170" spans="1:3" x14ac:dyDescent="0.3">
      <c r="A170" s="14"/>
      <c r="B170" s="11"/>
      <c r="C170" s="6"/>
    </row>
    <row r="171" spans="1:3" x14ac:dyDescent="0.3">
      <c r="A171" s="14"/>
      <c r="B171" s="11"/>
      <c r="C171" s="6"/>
    </row>
    <row r="172" spans="1:3" x14ac:dyDescent="0.3">
      <c r="A172" s="14"/>
      <c r="B172" s="11"/>
      <c r="C172" s="6"/>
    </row>
    <row r="173" spans="1:3" x14ac:dyDescent="0.3">
      <c r="A173" s="14"/>
      <c r="B173" s="11"/>
      <c r="C173" s="6"/>
    </row>
    <row r="174" spans="1:3" x14ac:dyDescent="0.3">
      <c r="A174" s="14"/>
      <c r="B174" s="11"/>
      <c r="C174" s="6"/>
    </row>
    <row r="175" spans="1:3" x14ac:dyDescent="0.3">
      <c r="A175" s="14"/>
      <c r="B175" s="11"/>
      <c r="C175" s="6"/>
    </row>
    <row r="176" spans="1:3" x14ac:dyDescent="0.3">
      <c r="A176" s="14"/>
      <c r="B176" s="11"/>
      <c r="C176" s="6"/>
    </row>
    <row r="177" spans="1:3" x14ac:dyDescent="0.3">
      <c r="A177" s="14"/>
      <c r="B177" s="11"/>
      <c r="C177" s="6"/>
    </row>
    <row r="178" spans="1:3" x14ac:dyDescent="0.3">
      <c r="A178" s="14"/>
      <c r="B178" s="11"/>
      <c r="C178" s="6"/>
    </row>
    <row r="179" spans="1:3" x14ac:dyDescent="0.3">
      <c r="A179" s="14"/>
      <c r="B179" s="11"/>
      <c r="C179" s="6"/>
    </row>
    <row r="180" spans="1:3" x14ac:dyDescent="0.3">
      <c r="A180" s="14"/>
      <c r="B180" s="11"/>
      <c r="C180" s="6"/>
    </row>
    <row r="181" spans="1:3" x14ac:dyDescent="0.3">
      <c r="A181" s="14"/>
      <c r="B181" s="11"/>
      <c r="C181" s="6"/>
    </row>
    <row r="182" spans="1:3" x14ac:dyDescent="0.3">
      <c r="A182" s="14"/>
      <c r="B182" s="11"/>
      <c r="C182" s="6"/>
    </row>
    <row r="183" spans="1:3" x14ac:dyDescent="0.3">
      <c r="A183" s="14"/>
      <c r="B183" s="11"/>
      <c r="C183" s="6"/>
    </row>
    <row r="184" spans="1:3" x14ac:dyDescent="0.3">
      <c r="A184" s="14"/>
      <c r="B184" s="11"/>
      <c r="C184" s="6"/>
    </row>
    <row r="185" spans="1:3" x14ac:dyDescent="0.3">
      <c r="A185" s="14"/>
      <c r="B185" s="11"/>
      <c r="C185" s="6"/>
    </row>
    <row r="186" spans="1:3" x14ac:dyDescent="0.3">
      <c r="A186" s="14"/>
      <c r="B186" s="11"/>
      <c r="C186" s="6"/>
    </row>
    <row r="187" spans="1:3" x14ac:dyDescent="0.3">
      <c r="A187" s="14"/>
      <c r="B187" s="11"/>
      <c r="C187" s="6"/>
    </row>
    <row r="188" spans="1:3" x14ac:dyDescent="0.3">
      <c r="A188" s="14"/>
      <c r="B188" s="11"/>
      <c r="C188" s="6"/>
    </row>
    <row r="189" spans="1:3" x14ac:dyDescent="0.3">
      <c r="A189" s="14"/>
      <c r="B189" s="11"/>
      <c r="C189" s="6"/>
    </row>
    <row r="190" spans="1:3" x14ac:dyDescent="0.3">
      <c r="A190" s="14"/>
      <c r="B190" s="11"/>
      <c r="C190" s="6"/>
    </row>
    <row r="191" spans="1:3" x14ac:dyDescent="0.3">
      <c r="A191" s="14"/>
      <c r="B191" s="11"/>
      <c r="C191" s="6"/>
    </row>
    <row r="192" spans="1:3" x14ac:dyDescent="0.3">
      <c r="A192" s="14"/>
      <c r="B192" s="11"/>
      <c r="C192" s="6"/>
    </row>
    <row r="193" spans="1:3" x14ac:dyDescent="0.3">
      <c r="A193" s="14"/>
      <c r="B193" s="11"/>
      <c r="C193" s="6"/>
    </row>
    <row r="194" spans="1:3" x14ac:dyDescent="0.3">
      <c r="A194" s="14"/>
      <c r="B194" s="11"/>
      <c r="C194" s="6"/>
    </row>
    <row r="195" spans="1:3" x14ac:dyDescent="0.3">
      <c r="A195" s="14"/>
      <c r="B195" s="11"/>
      <c r="C195" s="6"/>
    </row>
    <row r="196" spans="1:3" x14ac:dyDescent="0.3">
      <c r="A196" s="14"/>
      <c r="B196" s="11"/>
      <c r="C196" s="6"/>
    </row>
    <row r="197" spans="1:3" x14ac:dyDescent="0.3">
      <c r="A197" s="14"/>
      <c r="B197" s="11"/>
      <c r="C197" s="6"/>
    </row>
    <row r="198" spans="1:3" x14ac:dyDescent="0.3">
      <c r="A198" s="14"/>
      <c r="B198" s="11"/>
      <c r="C198" s="6"/>
    </row>
    <row r="199" spans="1:3" x14ac:dyDescent="0.3">
      <c r="A199" s="14"/>
      <c r="B199" s="11"/>
      <c r="C199" s="6"/>
    </row>
    <row r="200" spans="1:3" x14ac:dyDescent="0.3">
      <c r="A200" s="14"/>
      <c r="B200" s="11"/>
      <c r="C200" s="6"/>
    </row>
    <row r="201" spans="1:3" x14ac:dyDescent="0.3">
      <c r="A201" s="14"/>
      <c r="B201" s="11"/>
      <c r="C201" s="6"/>
    </row>
    <row r="202" spans="1:3" x14ac:dyDescent="0.3">
      <c r="A202" s="14"/>
      <c r="B202" s="11"/>
      <c r="C202" s="6"/>
    </row>
    <row r="203" spans="1:3" x14ac:dyDescent="0.3">
      <c r="A203" s="14"/>
      <c r="B203" s="11"/>
      <c r="C203" s="6"/>
    </row>
    <row r="204" spans="1:3" x14ac:dyDescent="0.3">
      <c r="A204" s="14"/>
      <c r="B204" s="11"/>
      <c r="C204" s="6"/>
    </row>
    <row r="205" spans="1:3" x14ac:dyDescent="0.3">
      <c r="A205" s="14"/>
      <c r="B205" s="11"/>
      <c r="C205" s="6"/>
    </row>
    <row r="206" spans="1:3" x14ac:dyDescent="0.3">
      <c r="A206" s="14"/>
      <c r="B206" s="11"/>
      <c r="C206" s="6"/>
    </row>
    <row r="207" spans="1:3" x14ac:dyDescent="0.3">
      <c r="C207" s="6"/>
    </row>
    <row r="208" spans="1:3" x14ac:dyDescent="0.3">
      <c r="C208" s="6"/>
    </row>
    <row r="209" spans="3:3" x14ac:dyDescent="0.3">
      <c r="C209" s="6"/>
    </row>
    <row r="210" spans="3:3" x14ac:dyDescent="0.3">
      <c r="C210" s="6"/>
    </row>
    <row r="211" spans="3:3" x14ac:dyDescent="0.3">
      <c r="C211" s="6"/>
    </row>
    <row r="212" spans="3:3" x14ac:dyDescent="0.3">
      <c r="C212" s="6"/>
    </row>
    <row r="213" spans="3:3" x14ac:dyDescent="0.3">
      <c r="C213" s="6"/>
    </row>
    <row r="214" spans="3:3" x14ac:dyDescent="0.3">
      <c r="C214" s="6"/>
    </row>
    <row r="215" spans="3:3" x14ac:dyDescent="0.3">
      <c r="C215" s="6"/>
    </row>
    <row r="216" spans="3:3" x14ac:dyDescent="0.3">
      <c r="C216" s="6"/>
    </row>
    <row r="217" spans="3:3" x14ac:dyDescent="0.3">
      <c r="C217" s="6"/>
    </row>
    <row r="218" spans="3:3" x14ac:dyDescent="0.3">
      <c r="C218" s="6"/>
    </row>
    <row r="219" spans="3:3" x14ac:dyDescent="0.3">
      <c r="C219" s="6"/>
    </row>
    <row r="220" spans="3:3" x14ac:dyDescent="0.3">
      <c r="C220" s="6"/>
    </row>
    <row r="221" spans="3:3" x14ac:dyDescent="0.3">
      <c r="C221" s="6"/>
    </row>
    <row r="222" spans="3:3" x14ac:dyDescent="0.3">
      <c r="C222" s="6"/>
    </row>
    <row r="223" spans="3:3" x14ac:dyDescent="0.3">
      <c r="C223" s="6"/>
    </row>
    <row r="224" spans="3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  <row r="246" spans="3:3" x14ac:dyDescent="0.3">
      <c r="C246" s="6"/>
    </row>
    <row r="247" spans="3:3" x14ac:dyDescent="0.3">
      <c r="C247" s="6"/>
    </row>
    <row r="248" spans="3:3" x14ac:dyDescent="0.3">
      <c r="C248" s="6"/>
    </row>
    <row r="249" spans="3:3" x14ac:dyDescent="0.3">
      <c r="C249" s="6"/>
    </row>
    <row r="250" spans="3:3" x14ac:dyDescent="0.3">
      <c r="C250" s="6"/>
    </row>
    <row r="251" spans="3:3" x14ac:dyDescent="0.3">
      <c r="C251" s="6"/>
    </row>
    <row r="252" spans="3:3" x14ac:dyDescent="0.3">
      <c r="C252" s="6"/>
    </row>
    <row r="253" spans="3:3" x14ac:dyDescent="0.3">
      <c r="C253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1ec665-647b-47ee-b819-f240e3bfb916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46f8f2ff-b3e0-4f7f-a061-170f9f76ea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EE4BB4AAEF184DA2B7D8AFC04324BE" ma:contentTypeVersion="15" ma:contentTypeDescription="Crie um novo documento." ma:contentTypeScope="" ma:versionID="7bf422fe7e95b23500501b8d61b310f1">
  <xsd:schema xmlns:xsd="http://www.w3.org/2001/XMLSchema" xmlns:xs="http://www.w3.org/2001/XMLSchema" xmlns:p="http://schemas.microsoft.com/office/2006/metadata/properties" xmlns:ns1="http://schemas.microsoft.com/sharepoint/v3" xmlns:ns2="941ec665-647b-47ee-b819-f240e3bfb916" xmlns:ns3="46f8f2ff-b3e0-4f7f-a061-170f9f76ea5d" targetNamespace="http://schemas.microsoft.com/office/2006/metadata/properties" ma:root="true" ma:fieldsID="f410549679adb802343158425a9492d4" ns1:_="" ns2:_="" ns3:_="">
    <xsd:import namespace="http://schemas.microsoft.com/sharepoint/v3"/>
    <xsd:import namespace="941ec665-647b-47ee-b819-f240e3bfb916"/>
    <xsd:import namespace="46f8f2ff-b3e0-4f7f-a061-170f9f76e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ec665-647b-47ee-b819-f240e3bfb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b74486-4571-4958-a072-e02accf382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8f2ff-b3e0-4f7f-a061-170f9f76ea5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fa08f74-879d-4bae-af4f-f7083ddcc35b}" ma:internalName="TaxCatchAll" ma:showField="CatchAllData" ma:web="46f8f2ff-b3e0-4f7f-a061-170f9f76e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001BA-7739-42CD-9709-49CA0BFA507D}">
  <ds:schemaRefs>
    <ds:schemaRef ds:uri="http://schemas.microsoft.com/office/2006/metadata/properties"/>
    <ds:schemaRef ds:uri="http://schemas.microsoft.com/office/infopath/2007/PartnerControls"/>
    <ds:schemaRef ds:uri="941ec665-647b-47ee-b819-f240e3bfb916"/>
    <ds:schemaRef ds:uri="http://schemas.microsoft.com/sharepoint/v3"/>
    <ds:schemaRef ds:uri="46f8f2ff-b3e0-4f7f-a061-170f9f76ea5d"/>
  </ds:schemaRefs>
</ds:datastoreItem>
</file>

<file path=customXml/itemProps2.xml><?xml version="1.0" encoding="utf-8"?>
<ds:datastoreItem xmlns:ds="http://schemas.openxmlformats.org/officeDocument/2006/customXml" ds:itemID="{F82FA086-A28D-45E4-87AD-D135F12579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297672-225D-4B72-B2B3-EF01FF4A3C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41ec665-647b-47ee-b819-f240e3bfb916"/>
    <ds:schemaRef ds:uri="46f8f2ff-b3e0-4f7f-a061-170f9f76ea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pesos VGBLs</vt:lpstr>
      <vt:lpstr>pesos FIA</vt:lpstr>
      <vt:lpstr>pesos vgbl30</vt:lpstr>
      <vt:lpstr>pesos vgbl65</vt:lpstr>
      <vt:lpstr>pesos smal</vt:lpstr>
      <vt:lpstr>pesos dividendos</vt:lpstr>
      <vt:lpstr>pesos ASG</vt:lpstr>
      <vt:lpstr>pesos PREVI</vt:lpstr>
      <vt:lpstr>pesos 501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Paiva Reis</dc:creator>
  <cp:lastModifiedBy>Paulo Roberto Fonteles Guimaraes</cp:lastModifiedBy>
  <dcterms:created xsi:type="dcterms:W3CDTF">2025-02-26T13:42:10Z</dcterms:created>
  <dcterms:modified xsi:type="dcterms:W3CDTF">2026-05-26T17:27:58Z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2025-02-26T13:47:49Z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daea202d-4493-4567-9cdd-0a85a1760a79</vt:lpwstr>
  </property>
  <property fmtid="{D5CDD505-2E9C-101B-9397-08002B2CF9AE}" pid="8" name="MSIP_Label_6459b2e0-2ec4-47e6-afc1-6e3f8b684f6a_ContentBits">
    <vt:lpwstr>0</vt:lpwstr>
  </property>
  <property fmtid="{D5CDD505-2E9C-101B-9397-08002B2CF9AE}" pid="9" name="MSIP_Label_6459b2e0-2ec4-47e6-afc1-6e3f8b684f6a_Tag">
    <vt:lpwstr>10, 0, 1, 1</vt:lpwstr>
  </property>
  <property fmtid="{D5CDD505-2E9C-101B-9397-08002B2CF9AE}" pid="10" name="ContentTypeId">
    <vt:lpwstr>0x01010031EE4BB4AAEF184DA2B7D8AFC04324BE</vt:lpwstr>
  </property>
</Properties>
</file>