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hidePivotFieldList="1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sicoob-my.sharepoint.com/personal/paulo_fonteles_sicoob_com_br/Documents/Renda Variável/Multifatorial 3.0/Rebalanceamentos/4T25/"/>
    </mc:Choice>
  </mc:AlternateContent>
  <xr:revisionPtr revIDLastSave="583" documentId="8_{E320AD5F-9E0D-45D3-ADB6-843D0B463536}" xr6:coauthVersionLast="47" xr6:coauthVersionMax="47" xr10:uidLastSave="{D1D28512-757D-4683-B4F5-ED351183A2E7}"/>
  <bookViews>
    <workbookView xWindow="28680" yWindow="-120" windowWidth="29040" windowHeight="15720" tabRatio="565" activeTab="4" xr2:uid="{00000000-000D-0000-FFFF-FFFF00000000}"/>
  </bookViews>
  <sheets>
    <sheet name="29 - FIA" sheetId="1" r:id="rId1"/>
    <sheet name="29" sheetId="13" r:id="rId2"/>
    <sheet name="35 - SMLL" sheetId="4" r:id="rId3"/>
    <sheet name="36 - LP" sheetId="5" r:id="rId4"/>
    <sheet name="37 - ISEE" sheetId="6" r:id="rId5"/>
    <sheet name="Planilha6" sheetId="7" r:id="rId6"/>
    <sheet name="Mandato Ibov" sheetId="9" r:id="rId7"/>
    <sheet name="Mandato Smll" sheetId="10" r:id="rId8"/>
    <sheet name="Mandato LP" sheetId="11" r:id="rId9"/>
    <sheet name="Mandato ISEE" sheetId="12" r:id="rId10"/>
  </sheets>
  <externalReferences>
    <externalReference r:id="rId11"/>
  </externalReferences>
  <definedNames>
    <definedName name="_xlnm._FilterDatabase" localSheetId="1" hidden="1">'29'!$D$147:$E$240</definedName>
    <definedName name="_xlnm._FilterDatabase" localSheetId="0" hidden="1">'29 - FIA'!$A$8:$BK$226</definedName>
    <definedName name="_xlnm._FilterDatabase" localSheetId="2" hidden="1">'35 - SMLL'!$A$8:$BL$222</definedName>
    <definedName name="_xlnm._FilterDatabase" localSheetId="3" hidden="1">'36 - LP'!$A$8:$BM$226</definedName>
    <definedName name="_xlnm._FilterDatabase" localSheetId="4" hidden="1">'37 - ISEE'!$A$8:$BK$226</definedName>
    <definedName name="_xlnm._FilterDatabase" localSheetId="9" hidden="1">'Mandato ISEE'!$A$1:$C$215</definedName>
    <definedName name="_xlnm._FilterDatabase" localSheetId="5" hidden="1">Planilha6!$A$1:$A$219</definedName>
  </definedNames>
  <calcPr calcId="191029"/>
  <pivotCaches>
    <pivotCache cacheId="0" r:id="rId12"/>
    <pivotCache cacheId="1" r:id="rId13"/>
    <pivotCache cacheId="3" r:id="rId14"/>
    <pivotCache cacheId="8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9" i="5" l="1"/>
  <c r="B76" i="5"/>
  <c r="BM222" i="1"/>
  <c r="BM221" i="1"/>
  <c r="BM220" i="1"/>
  <c r="BM219" i="1"/>
  <c r="BM218" i="1"/>
  <c r="BM217" i="1"/>
  <c r="BM216" i="1"/>
  <c r="BM215" i="1"/>
  <c r="BM214" i="1"/>
  <c r="BM213" i="1"/>
  <c r="BM212" i="1"/>
  <c r="BM211" i="1"/>
  <c r="BM210" i="1"/>
  <c r="BM209" i="1"/>
  <c r="BM208" i="1"/>
  <c r="BM207" i="1"/>
  <c r="BM206" i="1"/>
  <c r="BM205" i="1"/>
  <c r="BM204" i="1"/>
  <c r="BM203" i="1"/>
  <c r="BM202" i="1"/>
  <c r="BM201" i="1"/>
  <c r="BM200" i="1"/>
  <c r="BM199" i="1"/>
  <c r="BM198" i="1"/>
  <c r="BM197" i="1"/>
  <c r="BM196" i="1"/>
  <c r="BM195" i="1"/>
  <c r="BM194" i="1"/>
  <c r="BM193" i="1"/>
  <c r="BM192" i="1"/>
  <c r="BM191" i="1"/>
  <c r="BM190" i="1"/>
  <c r="BM189" i="1"/>
  <c r="BM188" i="1"/>
  <c r="BM187" i="1"/>
  <c r="BM186" i="1"/>
  <c r="BM185" i="1"/>
  <c r="BM184" i="1"/>
  <c r="BM183" i="1"/>
  <c r="BM182" i="1"/>
  <c r="BM181" i="1"/>
  <c r="BM180" i="1"/>
  <c r="BM179" i="1"/>
  <c r="BM178" i="1"/>
  <c r="BM177" i="1"/>
  <c r="BM176" i="1"/>
  <c r="BM175" i="1"/>
  <c r="BM174" i="1"/>
  <c r="BM173" i="1"/>
  <c r="BM172" i="1"/>
  <c r="BM171" i="1"/>
  <c r="BM170" i="1"/>
  <c r="BM169" i="1"/>
  <c r="BM168" i="1"/>
  <c r="BM167" i="1"/>
  <c r="BM166" i="1"/>
  <c r="BM165" i="1"/>
  <c r="BM164" i="1"/>
  <c r="BM163" i="1"/>
  <c r="BM162" i="1"/>
  <c r="BM161" i="1"/>
  <c r="BM160" i="1"/>
  <c r="BM159" i="1"/>
  <c r="BM158" i="1"/>
  <c r="BM157" i="1"/>
  <c r="BM156" i="1"/>
  <c r="BM155" i="1"/>
  <c r="BM154" i="1"/>
  <c r="BM153" i="1"/>
  <c r="BM152" i="1"/>
  <c r="BM151" i="1"/>
  <c r="BM150" i="1"/>
  <c r="BM149" i="1"/>
  <c r="BM148" i="1"/>
  <c r="BM147" i="1"/>
  <c r="BM146" i="1"/>
  <c r="BM145" i="1"/>
  <c r="BM144" i="1"/>
  <c r="BM143" i="1"/>
  <c r="BM142" i="1"/>
  <c r="BM141" i="1"/>
  <c r="BM140" i="1"/>
  <c r="BM139" i="1"/>
  <c r="BM138" i="1"/>
  <c r="BM137" i="1"/>
  <c r="BM136" i="1"/>
  <c r="BM135" i="1"/>
  <c r="BM134" i="1"/>
  <c r="BM133" i="1"/>
  <c r="BM132" i="1"/>
  <c r="BM131" i="1"/>
  <c r="BM130" i="1"/>
  <c r="BM129" i="1"/>
  <c r="BM128" i="1"/>
  <c r="BM127" i="1"/>
  <c r="BM126" i="1"/>
  <c r="BM125" i="1"/>
  <c r="BM124" i="1"/>
  <c r="BM123" i="1"/>
  <c r="BM122" i="1"/>
  <c r="BM121" i="1"/>
  <c r="BM120" i="1"/>
  <c r="BM119" i="1"/>
  <c r="BM118" i="1"/>
  <c r="BM117" i="1"/>
  <c r="BM116" i="1"/>
  <c r="BM115" i="1"/>
  <c r="BM114" i="1"/>
  <c r="BM113" i="1"/>
  <c r="BM112" i="1"/>
  <c r="BM111" i="1"/>
  <c r="BM110" i="1"/>
  <c r="BM109" i="1"/>
  <c r="BM108" i="1"/>
  <c r="BM107" i="1"/>
  <c r="BM106" i="1"/>
  <c r="BM105" i="1"/>
  <c r="BM104" i="1"/>
  <c r="BM103" i="1"/>
  <c r="BM102" i="1"/>
  <c r="BM101" i="1"/>
  <c r="BM100" i="1"/>
  <c r="BM99" i="1"/>
  <c r="BM98" i="1"/>
  <c r="BM97" i="1"/>
  <c r="BM96" i="1"/>
  <c r="BM95" i="1"/>
  <c r="BM94" i="1"/>
  <c r="BM93" i="1"/>
  <c r="BM92" i="1"/>
  <c r="BM91" i="1"/>
  <c r="BM90" i="1"/>
  <c r="BM89" i="1"/>
  <c r="BM88" i="1"/>
  <c r="BM87" i="1"/>
  <c r="BM86" i="1"/>
  <c r="BM85" i="1"/>
  <c r="BM84" i="1"/>
  <c r="BM83" i="1"/>
  <c r="BM82" i="1"/>
  <c r="BM81" i="1"/>
  <c r="BM80" i="1"/>
  <c r="BM79" i="1"/>
  <c r="BM78" i="1"/>
  <c r="BM77" i="1"/>
  <c r="BM76" i="1"/>
  <c r="BM75" i="1"/>
  <c r="BM74" i="1"/>
  <c r="BM73" i="1"/>
  <c r="BM72" i="1"/>
  <c r="BM71" i="1"/>
  <c r="BM70" i="1"/>
  <c r="BM69" i="1"/>
  <c r="BM68" i="1"/>
  <c r="BM67" i="1"/>
  <c r="BM66" i="1"/>
  <c r="BM65" i="1"/>
  <c r="BM64" i="1"/>
  <c r="BM63" i="1"/>
  <c r="BM62" i="1"/>
  <c r="BM61" i="1"/>
  <c r="BM60" i="1"/>
  <c r="BM59" i="1"/>
  <c r="BM58" i="1"/>
  <c r="BM57" i="1"/>
  <c r="BM56" i="1"/>
  <c r="BM55" i="1"/>
  <c r="BM54" i="1"/>
  <c r="BM53" i="1"/>
  <c r="BM52" i="1"/>
  <c r="BM51" i="1"/>
  <c r="BM50" i="1"/>
  <c r="BM49" i="1"/>
  <c r="BM48" i="1"/>
  <c r="BM47" i="1"/>
  <c r="BM46" i="1"/>
  <c r="BM45" i="1"/>
  <c r="BM44" i="1"/>
  <c r="BM43" i="1"/>
  <c r="BM42" i="1"/>
  <c r="BM41" i="1"/>
  <c r="BM40" i="1"/>
  <c r="BM39" i="1"/>
  <c r="BM38" i="1"/>
  <c r="BM37" i="1"/>
  <c r="BM36" i="1"/>
  <c r="BM35" i="1"/>
  <c r="BM34" i="1"/>
  <c r="BM33" i="1"/>
  <c r="BM32" i="1"/>
  <c r="BM31" i="1"/>
  <c r="BM30" i="1"/>
  <c r="BM29" i="1"/>
  <c r="BM28" i="1"/>
  <c r="BM27" i="1"/>
  <c r="BM26" i="1"/>
  <c r="BM25" i="1"/>
  <c r="BM24" i="1"/>
  <c r="BM23" i="1"/>
  <c r="BM22" i="1"/>
  <c r="BM21" i="1"/>
  <c r="BM20" i="1"/>
  <c r="BM19" i="1"/>
  <c r="BM18" i="1"/>
  <c r="BM17" i="1"/>
  <c r="BM16" i="1"/>
  <c r="BM15" i="1"/>
  <c r="BM14" i="1"/>
  <c r="BM13" i="1"/>
  <c r="BM12" i="1"/>
  <c r="BM11" i="1"/>
  <c r="BM10" i="1"/>
  <c r="BM9" i="1"/>
  <c r="L2" i="6"/>
  <c r="E7" i="6"/>
  <c r="E1" i="6"/>
  <c r="D10" i="6"/>
  <c r="B11" i="6"/>
  <c r="D11" i="6" s="1"/>
  <c r="B12" i="6"/>
  <c r="C12" i="6" s="1"/>
  <c r="B13" i="6"/>
  <c r="C13" i="6" s="1"/>
  <c r="B14" i="6"/>
  <c r="C14" i="6" s="1"/>
  <c r="B15" i="6"/>
  <c r="C16" i="6"/>
  <c r="B17" i="6"/>
  <c r="D17" i="6" s="1"/>
  <c r="B18" i="6"/>
  <c r="C18" i="6" s="1"/>
  <c r="D19" i="6"/>
  <c r="C20" i="6"/>
  <c r="D21" i="6"/>
  <c r="B22" i="6"/>
  <c r="C22" i="6" s="1"/>
  <c r="B23" i="6"/>
  <c r="C23" i="6" s="1"/>
  <c r="B24" i="6"/>
  <c r="C24" i="6" s="1"/>
  <c r="B25" i="6"/>
  <c r="C25" i="6" s="1"/>
  <c r="B26" i="6"/>
  <c r="C26" i="6" s="1"/>
  <c r="B27" i="6"/>
  <c r="D27" i="6" s="1"/>
  <c r="C28" i="6"/>
  <c r="B29" i="6"/>
  <c r="C29" i="6" s="1"/>
  <c r="C30" i="6"/>
  <c r="B31" i="6"/>
  <c r="C31" i="6" s="1"/>
  <c r="B32" i="6"/>
  <c r="C32" i="6" s="1"/>
  <c r="B33" i="6"/>
  <c r="D33" i="6" s="1"/>
  <c r="B34" i="6"/>
  <c r="D34" i="6" s="1"/>
  <c r="B35" i="6"/>
  <c r="D35" i="6" s="1"/>
  <c r="B36" i="6"/>
  <c r="C36" i="6" s="1"/>
  <c r="C37" i="6"/>
  <c r="B38" i="6"/>
  <c r="C38" i="6" s="1"/>
  <c r="B39" i="6"/>
  <c r="C39" i="6" s="1"/>
  <c r="B40" i="6"/>
  <c r="C40" i="6" s="1"/>
  <c r="B41" i="6"/>
  <c r="C41" i="6" s="1"/>
  <c r="B42" i="6"/>
  <c r="D42" i="6" s="1"/>
  <c r="B43" i="6"/>
  <c r="D43" i="6" s="1"/>
  <c r="B44" i="6"/>
  <c r="C44" i="6" s="1"/>
  <c r="B45" i="6"/>
  <c r="C45" i="6" s="1"/>
  <c r="B46" i="6"/>
  <c r="C46" i="6" s="1"/>
  <c r="B47" i="6"/>
  <c r="C47" i="6" s="1"/>
  <c r="B48" i="6"/>
  <c r="C48" i="6" s="1"/>
  <c r="B49" i="6"/>
  <c r="D49" i="6" s="1"/>
  <c r="B50" i="6"/>
  <c r="C50" i="6" s="1"/>
  <c r="B51" i="6"/>
  <c r="D51" i="6" s="1"/>
  <c r="B52" i="6"/>
  <c r="C52" i="6" s="1"/>
  <c r="B53" i="6"/>
  <c r="C53" i="6" s="1"/>
  <c r="B54" i="6"/>
  <c r="C54" i="6" s="1"/>
  <c r="B55" i="6"/>
  <c r="C55" i="6" s="1"/>
  <c r="B56" i="6"/>
  <c r="C56" i="6" s="1"/>
  <c r="B57" i="6"/>
  <c r="C57" i="6" s="1"/>
  <c r="B58" i="6"/>
  <c r="C58" i="6" s="1"/>
  <c r="B59" i="6"/>
  <c r="D59" i="6" s="1"/>
  <c r="B60" i="6"/>
  <c r="C60" i="6" s="1"/>
  <c r="B61" i="6"/>
  <c r="C61" i="6" s="1"/>
  <c r="B62" i="6"/>
  <c r="C62" i="6" s="1"/>
  <c r="B63" i="6"/>
  <c r="C63" i="6" s="1"/>
  <c r="B64" i="6"/>
  <c r="C64" i="6" s="1"/>
  <c r="B65" i="6"/>
  <c r="D65" i="6" s="1"/>
  <c r="B66" i="6"/>
  <c r="C66" i="6" s="1"/>
  <c r="B67" i="6"/>
  <c r="D67" i="6" s="1"/>
  <c r="B68" i="6"/>
  <c r="C68" i="6" s="1"/>
  <c r="B69" i="6"/>
  <c r="C69" i="6" s="1"/>
  <c r="B70" i="6"/>
  <c r="C70" i="6" s="1"/>
  <c r="B71" i="6"/>
  <c r="C71" i="6" s="1"/>
  <c r="B72" i="6"/>
  <c r="C72" i="6" s="1"/>
  <c r="B73" i="6"/>
  <c r="C73" i="6" s="1"/>
  <c r="B74" i="6"/>
  <c r="D74" i="6" s="1"/>
  <c r="B75" i="6"/>
  <c r="D75" i="6" s="1"/>
  <c r="B76" i="6"/>
  <c r="C76" i="6" s="1"/>
  <c r="B77" i="6"/>
  <c r="C77" i="6" s="1"/>
  <c r="B78" i="6"/>
  <c r="C78" i="6" s="1"/>
  <c r="B79" i="6"/>
  <c r="C79" i="6" s="1"/>
  <c r="B80" i="6"/>
  <c r="C80" i="6" s="1"/>
  <c r="B81" i="6"/>
  <c r="D81" i="6" s="1"/>
  <c r="C82" i="6"/>
  <c r="B83" i="6"/>
  <c r="D83" i="6" s="1"/>
  <c r="B84" i="6"/>
  <c r="C84" i="6" s="1"/>
  <c r="B85" i="6"/>
  <c r="D85" i="6" s="1"/>
  <c r="C86" i="6"/>
  <c r="C87" i="6"/>
  <c r="B88" i="6"/>
  <c r="C88" i="6" s="1"/>
  <c r="B89" i="6"/>
  <c r="C89" i="6" s="1"/>
  <c r="B90" i="6"/>
  <c r="C90" i="6" s="1"/>
  <c r="B91" i="6"/>
  <c r="D91" i="6" s="1"/>
  <c r="B92" i="6"/>
  <c r="C92" i="6" s="1"/>
  <c r="C93" i="6"/>
  <c r="B94" i="6"/>
  <c r="C94" i="6" s="1"/>
  <c r="C95" i="6"/>
  <c r="C96" i="6"/>
  <c r="B97" i="6"/>
  <c r="D97" i="6" s="1"/>
  <c r="B98" i="6"/>
  <c r="D98" i="6" s="1"/>
  <c r="B99" i="6"/>
  <c r="D99" i="6" s="1"/>
  <c r="C100" i="6"/>
  <c r="C101" i="6"/>
  <c r="C102" i="6"/>
  <c r="C103" i="6"/>
  <c r="C104" i="6"/>
  <c r="B105" i="6"/>
  <c r="C105" i="6" s="1"/>
  <c r="C106" i="6"/>
  <c r="D107" i="6"/>
  <c r="B108" i="6"/>
  <c r="C108" i="6" s="1"/>
  <c r="B109" i="6"/>
  <c r="C109" i="6" s="1"/>
  <c r="B110" i="6"/>
  <c r="C110" i="6" s="1"/>
  <c r="B111" i="6"/>
  <c r="C111" i="6" s="1"/>
  <c r="C112" i="6"/>
  <c r="B113" i="6"/>
  <c r="D113" i="6" s="1"/>
  <c r="B114" i="6"/>
  <c r="C114" i="6" s="1"/>
  <c r="B115" i="6"/>
  <c r="D115" i="6" s="1"/>
  <c r="B116" i="6"/>
  <c r="C116" i="6" s="1"/>
  <c r="B117" i="6"/>
  <c r="C117" i="6" s="1"/>
  <c r="B118" i="6"/>
  <c r="C118" i="6" s="1"/>
  <c r="B119" i="6"/>
  <c r="C119" i="6" s="1"/>
  <c r="B120" i="6"/>
  <c r="C120" i="6" s="1"/>
  <c r="B121" i="6"/>
  <c r="C121" i="6" s="1"/>
  <c r="B122" i="6"/>
  <c r="C122" i="6" s="1"/>
  <c r="B123" i="6"/>
  <c r="D123" i="6" s="1"/>
  <c r="B124" i="6"/>
  <c r="C124" i="6" s="1"/>
  <c r="B125" i="6"/>
  <c r="C125" i="6" s="1"/>
  <c r="B126" i="6"/>
  <c r="C126" i="6" s="1"/>
  <c r="B127" i="6"/>
  <c r="C127" i="6" s="1"/>
  <c r="B128" i="6"/>
  <c r="C128" i="6" s="1"/>
  <c r="B129" i="6"/>
  <c r="D129" i="6" s="1"/>
  <c r="B130" i="6"/>
  <c r="C130" i="6" s="1"/>
  <c r="B131" i="6"/>
  <c r="D131" i="6" s="1"/>
  <c r="B132" i="6"/>
  <c r="C132" i="6" s="1"/>
  <c r="B133" i="6"/>
  <c r="C133" i="6" s="1"/>
  <c r="B134" i="6"/>
  <c r="C134" i="6" s="1"/>
  <c r="B135" i="6"/>
  <c r="C135" i="6" s="1"/>
  <c r="B136" i="6"/>
  <c r="C136" i="6" s="1"/>
  <c r="B137" i="6"/>
  <c r="C137" i="6" s="1"/>
  <c r="B138" i="6"/>
  <c r="D138" i="6" s="1"/>
  <c r="B139" i="6"/>
  <c r="D139" i="6" s="1"/>
  <c r="B140" i="6"/>
  <c r="C140" i="6" s="1"/>
  <c r="B141" i="6"/>
  <c r="C141" i="6" s="1"/>
  <c r="B142" i="6"/>
  <c r="C142" i="6" s="1"/>
  <c r="B143" i="6"/>
  <c r="C143" i="6" s="1"/>
  <c r="B144" i="6"/>
  <c r="C144" i="6" s="1"/>
  <c r="B145" i="6"/>
  <c r="D145" i="6" s="1"/>
  <c r="B146" i="6"/>
  <c r="C146" i="6" s="1"/>
  <c r="B147" i="6"/>
  <c r="D147" i="6" s="1"/>
  <c r="B148" i="6"/>
  <c r="D148" i="6" s="1"/>
  <c r="B149" i="6"/>
  <c r="D149" i="6" s="1"/>
  <c r="B150" i="6"/>
  <c r="C150" i="6" s="1"/>
  <c r="B151" i="6"/>
  <c r="C151" i="6" s="1"/>
  <c r="B152" i="6"/>
  <c r="C152" i="6" s="1"/>
  <c r="B153" i="6"/>
  <c r="C153" i="6" s="1"/>
  <c r="B154" i="6"/>
  <c r="C154" i="6" s="1"/>
  <c r="B155" i="6"/>
  <c r="D155" i="6" s="1"/>
  <c r="B156" i="6"/>
  <c r="C156" i="6" s="1"/>
  <c r="B157" i="6"/>
  <c r="C157" i="6" s="1"/>
  <c r="B158" i="6"/>
  <c r="C158" i="6" s="1"/>
  <c r="B159" i="6"/>
  <c r="C159" i="6" s="1"/>
  <c r="B160" i="6"/>
  <c r="C160" i="6" s="1"/>
  <c r="B161" i="6"/>
  <c r="D161" i="6" s="1"/>
  <c r="B162" i="6"/>
  <c r="D162" i="6" s="1"/>
  <c r="B163" i="6"/>
  <c r="D163" i="6" s="1"/>
  <c r="B164" i="6"/>
  <c r="C164" i="6" s="1"/>
  <c r="B165" i="6"/>
  <c r="C165" i="6" s="1"/>
  <c r="B166" i="6"/>
  <c r="C166" i="6" s="1"/>
  <c r="B167" i="6"/>
  <c r="C167" i="6" s="1"/>
  <c r="B168" i="6"/>
  <c r="C168" i="6" s="1"/>
  <c r="B169" i="6"/>
  <c r="C169" i="6" s="1"/>
  <c r="B170" i="6"/>
  <c r="C170" i="6" s="1"/>
  <c r="B171" i="6"/>
  <c r="D171" i="6" s="1"/>
  <c r="B172" i="6"/>
  <c r="C172" i="6" s="1"/>
  <c r="B173" i="6"/>
  <c r="C173" i="6" s="1"/>
  <c r="B174" i="6"/>
  <c r="C174" i="6" s="1"/>
  <c r="B175" i="6"/>
  <c r="C175" i="6" s="1"/>
  <c r="B176" i="6"/>
  <c r="C176" i="6" s="1"/>
  <c r="B177" i="6"/>
  <c r="D177" i="6" s="1"/>
  <c r="B178" i="6"/>
  <c r="C178" i="6" s="1"/>
  <c r="B179" i="6"/>
  <c r="D179" i="6" s="1"/>
  <c r="B180" i="6"/>
  <c r="C180" i="6" s="1"/>
  <c r="B181" i="6"/>
  <c r="C181" i="6" s="1"/>
  <c r="B182" i="6"/>
  <c r="C182" i="6" s="1"/>
  <c r="B183" i="6"/>
  <c r="C183" i="6" s="1"/>
  <c r="B184" i="6"/>
  <c r="C184" i="6" s="1"/>
  <c r="B185" i="6"/>
  <c r="C185" i="6" s="1"/>
  <c r="B186" i="6"/>
  <c r="C186" i="6" s="1"/>
  <c r="B187" i="6"/>
  <c r="D187" i="6" s="1"/>
  <c r="B188" i="6"/>
  <c r="C188" i="6" s="1"/>
  <c r="B189" i="6"/>
  <c r="C189" i="6" s="1"/>
  <c r="B190" i="6"/>
  <c r="C190" i="6" s="1"/>
  <c r="B191" i="6"/>
  <c r="C191" i="6" s="1"/>
  <c r="B192" i="6"/>
  <c r="C192" i="6" s="1"/>
  <c r="B193" i="6"/>
  <c r="D193" i="6" s="1"/>
  <c r="B194" i="6"/>
  <c r="C194" i="6" s="1"/>
  <c r="B195" i="6"/>
  <c r="D195" i="6" s="1"/>
  <c r="B196" i="6"/>
  <c r="C196" i="6" s="1"/>
  <c r="B197" i="6"/>
  <c r="C197" i="6" s="1"/>
  <c r="B198" i="6"/>
  <c r="C198" i="6" s="1"/>
  <c r="B199" i="6"/>
  <c r="C199" i="6" s="1"/>
  <c r="B200" i="6"/>
  <c r="C200" i="6" s="1"/>
  <c r="B201" i="6"/>
  <c r="C201" i="6" s="1"/>
  <c r="B202" i="6"/>
  <c r="D202" i="6" s="1"/>
  <c r="B203" i="6"/>
  <c r="D203" i="6" s="1"/>
  <c r="B204" i="6"/>
  <c r="C204" i="6" s="1"/>
  <c r="B205" i="6"/>
  <c r="C205" i="6" s="1"/>
  <c r="B206" i="6"/>
  <c r="C206" i="6" s="1"/>
  <c r="B207" i="6"/>
  <c r="C207" i="6" s="1"/>
  <c r="B208" i="6"/>
  <c r="C208" i="6" s="1"/>
  <c r="B209" i="6"/>
  <c r="D209" i="6" s="1"/>
  <c r="B210" i="6"/>
  <c r="C210" i="6" s="1"/>
  <c r="B211" i="6"/>
  <c r="D211" i="6" s="1"/>
  <c r="B212" i="6"/>
  <c r="D212" i="6" s="1"/>
  <c r="B213" i="6"/>
  <c r="D213" i="6" s="1"/>
  <c r="B214" i="6"/>
  <c r="C214" i="6" s="1"/>
  <c r="B215" i="6"/>
  <c r="C215" i="6" s="1"/>
  <c r="B216" i="6"/>
  <c r="C216" i="6" s="1"/>
  <c r="B217" i="6"/>
  <c r="C217" i="6" s="1"/>
  <c r="B218" i="6"/>
  <c r="C218" i="6" s="1"/>
  <c r="B219" i="6"/>
  <c r="D219" i="6" s="1"/>
  <c r="B220" i="6"/>
  <c r="C220" i="6" s="1"/>
  <c r="B221" i="6"/>
  <c r="C221" i="6" s="1"/>
  <c r="B222" i="6"/>
  <c r="C222" i="6" s="1"/>
  <c r="B9" i="6"/>
  <c r="D9" i="6" s="1"/>
  <c r="K7" i="6"/>
  <c r="P223" i="5"/>
  <c r="P224" i="5"/>
  <c r="P225" i="5"/>
  <c r="P226" i="5"/>
  <c r="G7" i="6"/>
  <c r="F7" i="6"/>
  <c r="G6" i="6"/>
  <c r="F6" i="6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C27" i="5" s="1"/>
  <c r="E28" i="5"/>
  <c r="E29" i="5"/>
  <c r="C29" i="5" s="1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C62" i="5" s="1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9" i="5"/>
  <c r="G6" i="5"/>
  <c r="F6" i="5"/>
  <c r="L2" i="5"/>
  <c r="K7" i="5"/>
  <c r="D29" i="5"/>
  <c r="B10" i="5"/>
  <c r="B11" i="5"/>
  <c r="D11" i="5" s="1"/>
  <c r="B12" i="5"/>
  <c r="B13" i="5"/>
  <c r="D13" i="5" s="1"/>
  <c r="B14" i="5"/>
  <c r="D14" i="5" s="1"/>
  <c r="B15" i="5"/>
  <c r="D15" i="5" s="1"/>
  <c r="B16" i="5"/>
  <c r="B17" i="5"/>
  <c r="B18" i="5"/>
  <c r="D18" i="5" s="1"/>
  <c r="B19" i="5"/>
  <c r="D19" i="5" s="1"/>
  <c r="B20" i="5"/>
  <c r="D20" i="5" s="1"/>
  <c r="B21" i="5"/>
  <c r="D21" i="5" s="1"/>
  <c r="B22" i="5"/>
  <c r="D22" i="5" s="1"/>
  <c r="B23" i="5"/>
  <c r="D23" i="5" s="1"/>
  <c r="B24" i="5"/>
  <c r="D24" i="5" s="1"/>
  <c r="B25" i="5"/>
  <c r="D25" i="5" s="1"/>
  <c r="B26" i="5"/>
  <c r="B28" i="5"/>
  <c r="B30" i="5"/>
  <c r="D30" i="5" s="1"/>
  <c r="B31" i="5"/>
  <c r="D31" i="5" s="1"/>
  <c r="B32" i="5"/>
  <c r="B33" i="5"/>
  <c r="B34" i="5"/>
  <c r="D34" i="5" s="1"/>
  <c r="B35" i="5"/>
  <c r="B36" i="5"/>
  <c r="B37" i="5"/>
  <c r="B38" i="5"/>
  <c r="D38" i="5" s="1"/>
  <c r="B39" i="5"/>
  <c r="D39" i="5" s="1"/>
  <c r="B40" i="5"/>
  <c r="D40" i="5" s="1"/>
  <c r="B41" i="5"/>
  <c r="D41" i="5" s="1"/>
  <c r="B42" i="5"/>
  <c r="B43" i="5"/>
  <c r="B44" i="5"/>
  <c r="B45" i="5"/>
  <c r="B46" i="5"/>
  <c r="D46" i="5" s="1"/>
  <c r="B47" i="5"/>
  <c r="D47" i="5" s="1"/>
  <c r="B48" i="5"/>
  <c r="B49" i="5"/>
  <c r="B50" i="5"/>
  <c r="D50" i="5" s="1"/>
  <c r="B51" i="5"/>
  <c r="B52" i="5"/>
  <c r="D52" i="5" s="1"/>
  <c r="B53" i="5"/>
  <c r="D53" i="5" s="1"/>
  <c r="B54" i="5"/>
  <c r="D54" i="5" s="1"/>
  <c r="B55" i="5"/>
  <c r="D55" i="5" s="1"/>
  <c r="B56" i="5"/>
  <c r="D56" i="5" s="1"/>
  <c r="B57" i="5"/>
  <c r="D57" i="5" s="1"/>
  <c r="B58" i="5"/>
  <c r="D59" i="5"/>
  <c r="B60" i="5"/>
  <c r="B61" i="5"/>
  <c r="D62" i="5"/>
  <c r="B63" i="5"/>
  <c r="B64" i="5"/>
  <c r="B65" i="5"/>
  <c r="B66" i="5"/>
  <c r="D66" i="5" s="1"/>
  <c r="B67" i="5"/>
  <c r="D67" i="5" s="1"/>
  <c r="B68" i="5"/>
  <c r="D68" i="5" s="1"/>
  <c r="B69" i="5"/>
  <c r="D69" i="5" s="1"/>
  <c r="B70" i="5"/>
  <c r="D70" i="5" s="1"/>
  <c r="B71" i="5"/>
  <c r="D71" i="5" s="1"/>
  <c r="B72" i="5"/>
  <c r="D72" i="5" s="1"/>
  <c r="B73" i="5"/>
  <c r="D73" i="5" s="1"/>
  <c r="B74" i="5"/>
  <c r="D75" i="5"/>
  <c r="B77" i="5"/>
  <c r="D77" i="5" s="1"/>
  <c r="B78" i="5"/>
  <c r="D78" i="5" s="1"/>
  <c r="D79" i="5"/>
  <c r="B80" i="5"/>
  <c r="B81" i="5"/>
  <c r="B82" i="5"/>
  <c r="D82" i="5" s="1"/>
  <c r="B83" i="5"/>
  <c r="D83" i="5" s="1"/>
  <c r="B84" i="5"/>
  <c r="D84" i="5" s="1"/>
  <c r="B85" i="5"/>
  <c r="D85" i="5" s="1"/>
  <c r="B86" i="5"/>
  <c r="D86" i="5" s="1"/>
  <c r="B87" i="5"/>
  <c r="D87" i="5" s="1"/>
  <c r="B88" i="5"/>
  <c r="D88" i="5" s="1"/>
  <c r="B89" i="5"/>
  <c r="D89" i="5" s="1"/>
  <c r="B90" i="5"/>
  <c r="B91" i="5"/>
  <c r="B92" i="5"/>
  <c r="B93" i="5"/>
  <c r="B94" i="5"/>
  <c r="D94" i="5" s="1"/>
  <c r="B95" i="5"/>
  <c r="D95" i="5" s="1"/>
  <c r="B96" i="5"/>
  <c r="B97" i="5"/>
  <c r="B98" i="5"/>
  <c r="D98" i="5" s="1"/>
  <c r="B99" i="5"/>
  <c r="D99" i="5" s="1"/>
  <c r="B100" i="5"/>
  <c r="D100" i="5" s="1"/>
  <c r="B101" i="5"/>
  <c r="D101" i="5" s="1"/>
  <c r="B102" i="5"/>
  <c r="D102" i="5" s="1"/>
  <c r="B103" i="5"/>
  <c r="D103" i="5" s="1"/>
  <c r="B104" i="5"/>
  <c r="D104" i="5" s="1"/>
  <c r="B105" i="5"/>
  <c r="D105" i="5" s="1"/>
  <c r="B106" i="5"/>
  <c r="B107" i="5"/>
  <c r="D107" i="5" s="1"/>
  <c r="B108" i="5"/>
  <c r="B109" i="5"/>
  <c r="B110" i="5"/>
  <c r="D110" i="5" s="1"/>
  <c r="B111" i="5"/>
  <c r="D111" i="5" s="1"/>
  <c r="B112" i="5"/>
  <c r="B113" i="5"/>
  <c r="B114" i="5"/>
  <c r="D114" i="5" s="1"/>
  <c r="B115" i="5"/>
  <c r="B116" i="5"/>
  <c r="B117" i="5"/>
  <c r="B118" i="5"/>
  <c r="D118" i="5" s="1"/>
  <c r="B119" i="5"/>
  <c r="D119" i="5" s="1"/>
  <c r="B120" i="5"/>
  <c r="D120" i="5" s="1"/>
  <c r="B121" i="5"/>
  <c r="D121" i="5" s="1"/>
  <c r="B122" i="5"/>
  <c r="B123" i="5"/>
  <c r="B124" i="5"/>
  <c r="B125" i="5"/>
  <c r="D125" i="5" s="1"/>
  <c r="B126" i="5"/>
  <c r="D126" i="5" s="1"/>
  <c r="B127" i="5"/>
  <c r="D127" i="5" s="1"/>
  <c r="B128" i="5"/>
  <c r="B129" i="5"/>
  <c r="B130" i="5"/>
  <c r="D130" i="5" s="1"/>
  <c r="B131" i="5"/>
  <c r="B132" i="5"/>
  <c r="D132" i="5" s="1"/>
  <c r="D133" i="5"/>
  <c r="B134" i="5"/>
  <c r="D134" i="5" s="1"/>
  <c r="B135" i="5"/>
  <c r="D135" i="5" s="1"/>
  <c r="B136" i="5"/>
  <c r="D136" i="5" s="1"/>
  <c r="B137" i="5"/>
  <c r="D137" i="5" s="1"/>
  <c r="B138" i="5"/>
  <c r="B139" i="5"/>
  <c r="D139" i="5" s="1"/>
  <c r="B140" i="5"/>
  <c r="B141" i="5"/>
  <c r="D141" i="5" s="1"/>
  <c r="B142" i="5"/>
  <c r="D142" i="5" s="1"/>
  <c r="B143" i="5"/>
  <c r="D143" i="5" s="1"/>
  <c r="B144" i="5"/>
  <c r="B145" i="5"/>
  <c r="B146" i="5"/>
  <c r="D146" i="5" s="1"/>
  <c r="B147" i="5"/>
  <c r="B148" i="5"/>
  <c r="D148" i="5" s="1"/>
  <c r="B149" i="5"/>
  <c r="D149" i="5" s="1"/>
  <c r="B150" i="5"/>
  <c r="D150" i="5" s="1"/>
  <c r="B151" i="5"/>
  <c r="D151" i="5" s="1"/>
  <c r="B152" i="5"/>
  <c r="D152" i="5" s="1"/>
  <c r="B153" i="5"/>
  <c r="D153" i="5" s="1"/>
  <c r="B154" i="5"/>
  <c r="B155" i="5"/>
  <c r="B156" i="5"/>
  <c r="B157" i="5"/>
  <c r="D157" i="5" s="1"/>
  <c r="B158" i="5"/>
  <c r="D158" i="5" s="1"/>
  <c r="B159" i="5"/>
  <c r="D159" i="5" s="1"/>
  <c r="B160" i="5"/>
  <c r="B161" i="5"/>
  <c r="B162" i="5"/>
  <c r="D162" i="5" s="1"/>
  <c r="B163" i="5"/>
  <c r="B164" i="5"/>
  <c r="B165" i="5"/>
  <c r="B166" i="5"/>
  <c r="D166" i="5" s="1"/>
  <c r="B167" i="5"/>
  <c r="D167" i="5" s="1"/>
  <c r="B168" i="5"/>
  <c r="D168" i="5" s="1"/>
  <c r="B169" i="5"/>
  <c r="D169" i="5" s="1"/>
  <c r="B170" i="5"/>
  <c r="B171" i="5"/>
  <c r="D171" i="5" s="1"/>
  <c r="B172" i="5"/>
  <c r="B173" i="5"/>
  <c r="B174" i="5"/>
  <c r="D174" i="5" s="1"/>
  <c r="B175" i="5"/>
  <c r="D175" i="5" s="1"/>
  <c r="B176" i="5"/>
  <c r="B177" i="5"/>
  <c r="B178" i="5"/>
  <c r="D178" i="5" s="1"/>
  <c r="B179" i="5"/>
  <c r="B180" i="5"/>
  <c r="D180" i="5" s="1"/>
  <c r="B181" i="5"/>
  <c r="D181" i="5" s="1"/>
  <c r="B182" i="5"/>
  <c r="D182" i="5" s="1"/>
  <c r="B183" i="5"/>
  <c r="D183" i="5" s="1"/>
  <c r="B184" i="5"/>
  <c r="D184" i="5" s="1"/>
  <c r="B185" i="5"/>
  <c r="D185" i="5" s="1"/>
  <c r="B186" i="5"/>
  <c r="B187" i="5"/>
  <c r="B188" i="5"/>
  <c r="B189" i="5"/>
  <c r="B190" i="5"/>
  <c r="D190" i="5" s="1"/>
  <c r="B191" i="5"/>
  <c r="D191" i="5" s="1"/>
  <c r="B192" i="5"/>
  <c r="B193" i="5"/>
  <c r="B194" i="5"/>
  <c r="D194" i="5" s="1"/>
  <c r="B195" i="5"/>
  <c r="B196" i="5"/>
  <c r="D196" i="5" s="1"/>
  <c r="B197" i="5"/>
  <c r="D197" i="5" s="1"/>
  <c r="B198" i="5"/>
  <c r="D198" i="5" s="1"/>
  <c r="B199" i="5"/>
  <c r="D199" i="5" s="1"/>
  <c r="B200" i="5"/>
  <c r="D200" i="5" s="1"/>
  <c r="B201" i="5"/>
  <c r="D201" i="5" s="1"/>
  <c r="B202" i="5"/>
  <c r="B203" i="5"/>
  <c r="B204" i="5"/>
  <c r="B205" i="5"/>
  <c r="D205" i="5" s="1"/>
  <c r="B206" i="5"/>
  <c r="D206" i="5" s="1"/>
  <c r="B207" i="5"/>
  <c r="D207" i="5" s="1"/>
  <c r="B208" i="5"/>
  <c r="B209" i="5"/>
  <c r="B210" i="5"/>
  <c r="D210" i="5" s="1"/>
  <c r="B211" i="5"/>
  <c r="B212" i="5"/>
  <c r="D212" i="5" s="1"/>
  <c r="B213" i="5"/>
  <c r="D213" i="5" s="1"/>
  <c r="B214" i="5"/>
  <c r="D214" i="5" s="1"/>
  <c r="B215" i="5"/>
  <c r="D215" i="5" s="1"/>
  <c r="B216" i="5"/>
  <c r="D216" i="5" s="1"/>
  <c r="B217" i="5"/>
  <c r="D217" i="5" s="1"/>
  <c r="B218" i="5"/>
  <c r="B219" i="5"/>
  <c r="D219" i="5" s="1"/>
  <c r="B220" i="5"/>
  <c r="B221" i="5"/>
  <c r="B222" i="5"/>
  <c r="D222" i="5" s="1"/>
  <c r="B9" i="5"/>
  <c r="L2" i="4"/>
  <c r="K7" i="4"/>
  <c r="G6" i="4"/>
  <c r="F6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9" i="4"/>
  <c r="B10" i="4"/>
  <c r="D10" i="4" s="1"/>
  <c r="B11" i="4"/>
  <c r="D11" i="4" s="1"/>
  <c r="B12" i="4"/>
  <c r="D12" i="4" s="1"/>
  <c r="B13" i="4"/>
  <c r="D13" i="4" s="1"/>
  <c r="B14" i="4"/>
  <c r="D14" i="4" s="1"/>
  <c r="B15" i="4"/>
  <c r="D15" i="4" s="1"/>
  <c r="B16" i="4"/>
  <c r="D16" i="4" s="1"/>
  <c r="B17" i="4"/>
  <c r="D17" i="4" s="1"/>
  <c r="B18" i="4"/>
  <c r="B19" i="4"/>
  <c r="B21" i="4"/>
  <c r="B22" i="4"/>
  <c r="D22" i="4" s="1"/>
  <c r="B23" i="4"/>
  <c r="D23" i="4" s="1"/>
  <c r="B24" i="4"/>
  <c r="D25" i="4"/>
  <c r="B26" i="4"/>
  <c r="D26" i="4" s="1"/>
  <c r="B27" i="4"/>
  <c r="D27" i="4" s="1"/>
  <c r="B28" i="4"/>
  <c r="D28" i="4" s="1"/>
  <c r="B29" i="4"/>
  <c r="D29" i="4" s="1"/>
  <c r="B30" i="4"/>
  <c r="D30" i="4" s="1"/>
  <c r="B31" i="4"/>
  <c r="D31" i="4" s="1"/>
  <c r="D32" i="4"/>
  <c r="D33" i="4"/>
  <c r="B34" i="4"/>
  <c r="D34" i="4" s="1"/>
  <c r="D35" i="4"/>
  <c r="B36" i="4"/>
  <c r="D37" i="4"/>
  <c r="D38" i="4"/>
  <c r="B39" i="4"/>
  <c r="D39" i="4" s="1"/>
  <c r="B40" i="4"/>
  <c r="B41" i="4"/>
  <c r="D41" i="4" s="1"/>
  <c r="B42" i="4"/>
  <c r="D42" i="4" s="1"/>
  <c r="B43" i="4"/>
  <c r="D43" i="4" s="1"/>
  <c r="B44" i="4"/>
  <c r="D44" i="4" s="1"/>
  <c r="B45" i="4"/>
  <c r="D45" i="4" s="1"/>
  <c r="B46" i="4"/>
  <c r="D46" i="4" s="1"/>
  <c r="B47" i="4"/>
  <c r="D47" i="4" s="1"/>
  <c r="B48" i="4"/>
  <c r="D48" i="4" s="1"/>
  <c r="B50" i="4"/>
  <c r="D50" i="4" s="1"/>
  <c r="B51" i="4"/>
  <c r="B52" i="4"/>
  <c r="B53" i="4"/>
  <c r="B54" i="4"/>
  <c r="D54" i="4" s="1"/>
  <c r="B55" i="4"/>
  <c r="D55" i="4" s="1"/>
  <c r="B56" i="4"/>
  <c r="B57" i="4"/>
  <c r="D57" i="4" s="1"/>
  <c r="B58" i="4"/>
  <c r="D58" i="4" s="1"/>
  <c r="B59" i="4"/>
  <c r="D59" i="4" s="1"/>
  <c r="B60" i="4"/>
  <c r="D60" i="4" s="1"/>
  <c r="B61" i="4"/>
  <c r="B63" i="4"/>
  <c r="D63" i="4" s="1"/>
  <c r="B64" i="4"/>
  <c r="D64" i="4" s="1"/>
  <c r="B65" i="4"/>
  <c r="D66" i="4"/>
  <c r="B67" i="4"/>
  <c r="B68" i="4"/>
  <c r="B69" i="4"/>
  <c r="D69" i="4" s="1"/>
  <c r="B70" i="4"/>
  <c r="D70" i="4" s="1"/>
  <c r="B73" i="4"/>
  <c r="D73" i="4" s="1"/>
  <c r="B74" i="4"/>
  <c r="D74" i="4" s="1"/>
  <c r="B75" i="4"/>
  <c r="D75" i="4" s="1"/>
  <c r="B76" i="4"/>
  <c r="D76" i="4" s="1"/>
  <c r="B77" i="4"/>
  <c r="D77" i="4" s="1"/>
  <c r="B78" i="4"/>
  <c r="B79" i="4"/>
  <c r="D79" i="4" s="1"/>
  <c r="B80" i="4"/>
  <c r="B82" i="4"/>
  <c r="D82" i="4" s="1"/>
  <c r="B83" i="4"/>
  <c r="D83" i="4" s="1"/>
  <c r="B84" i="4"/>
  <c r="B85" i="4"/>
  <c r="B86" i="4"/>
  <c r="D86" i="4" s="1"/>
  <c r="B87" i="4"/>
  <c r="D87" i="4" s="1"/>
  <c r="B88" i="4"/>
  <c r="D88" i="4" s="1"/>
  <c r="B89" i="4"/>
  <c r="D89" i="4" s="1"/>
  <c r="B90" i="4"/>
  <c r="D90" i="4" s="1"/>
  <c r="B91" i="4"/>
  <c r="D91" i="4" s="1"/>
  <c r="B92" i="4"/>
  <c r="D92" i="4" s="1"/>
  <c r="B93" i="4"/>
  <c r="D93" i="4" s="1"/>
  <c r="B94" i="4"/>
  <c r="B95" i="4"/>
  <c r="D95" i="4" s="1"/>
  <c r="B96" i="4"/>
  <c r="D96" i="4" s="1"/>
  <c r="B97" i="4"/>
  <c r="B98" i="4"/>
  <c r="D98" i="4" s="1"/>
  <c r="B99" i="4"/>
  <c r="B100" i="4"/>
  <c r="D100" i="4" s="1"/>
  <c r="B101" i="4"/>
  <c r="D101" i="4" s="1"/>
  <c r="B102" i="4"/>
  <c r="B103" i="4"/>
  <c r="B104" i="4"/>
  <c r="D104" i="4" s="1"/>
  <c r="B105" i="4"/>
  <c r="D105" i="4" s="1"/>
  <c r="B106" i="4"/>
  <c r="D106" i="4" s="1"/>
  <c r="B107" i="4"/>
  <c r="D107" i="4" s="1"/>
  <c r="B108" i="4"/>
  <c r="D108" i="4" s="1"/>
  <c r="B109" i="4"/>
  <c r="D109" i="4" s="1"/>
  <c r="B110" i="4"/>
  <c r="B111" i="4"/>
  <c r="D111" i="4" s="1"/>
  <c r="B112" i="4"/>
  <c r="D112" i="4" s="1"/>
  <c r="B113" i="4"/>
  <c r="B114" i="4"/>
  <c r="D114" i="4" s="1"/>
  <c r="B115" i="4"/>
  <c r="D115" i="4" s="1"/>
  <c r="B116" i="4"/>
  <c r="B117" i="4"/>
  <c r="B118" i="4"/>
  <c r="D118" i="4" s="1"/>
  <c r="B119" i="4"/>
  <c r="D119" i="4" s="1"/>
  <c r="B120" i="4"/>
  <c r="D120" i="4" s="1"/>
  <c r="B121" i="4"/>
  <c r="D121" i="4" s="1"/>
  <c r="B122" i="4"/>
  <c r="D122" i="4" s="1"/>
  <c r="B123" i="4"/>
  <c r="D123" i="4" s="1"/>
  <c r="B124" i="4"/>
  <c r="D124" i="4" s="1"/>
  <c r="B125" i="4"/>
  <c r="D125" i="4" s="1"/>
  <c r="B126" i="4"/>
  <c r="B127" i="4"/>
  <c r="D127" i="4" s="1"/>
  <c r="B128" i="4"/>
  <c r="D128" i="4" s="1"/>
  <c r="B129" i="4"/>
  <c r="B130" i="4"/>
  <c r="D130" i="4" s="1"/>
  <c r="B131" i="4"/>
  <c r="D131" i="4" s="1"/>
  <c r="B132" i="4"/>
  <c r="B133" i="4"/>
  <c r="B134" i="4"/>
  <c r="D134" i="4" s="1"/>
  <c r="B135" i="4"/>
  <c r="D135" i="4" s="1"/>
  <c r="B136" i="4"/>
  <c r="B137" i="4"/>
  <c r="D137" i="4" s="1"/>
  <c r="B138" i="4"/>
  <c r="D138" i="4" s="1"/>
  <c r="B139" i="4"/>
  <c r="D139" i="4" s="1"/>
  <c r="B140" i="4"/>
  <c r="D140" i="4" s="1"/>
  <c r="B141" i="4"/>
  <c r="B142" i="4"/>
  <c r="B143" i="4"/>
  <c r="D143" i="4" s="1"/>
  <c r="B144" i="4"/>
  <c r="D144" i="4" s="1"/>
  <c r="B145" i="4"/>
  <c r="B146" i="4"/>
  <c r="D146" i="4" s="1"/>
  <c r="B147" i="4"/>
  <c r="D147" i="4" s="1"/>
  <c r="B148" i="4"/>
  <c r="B149" i="4"/>
  <c r="B150" i="4"/>
  <c r="D150" i="4" s="1"/>
  <c r="B151" i="4"/>
  <c r="B152" i="4"/>
  <c r="D152" i="4" s="1"/>
  <c r="B153" i="4"/>
  <c r="D153" i="4" s="1"/>
  <c r="B154" i="4"/>
  <c r="D154" i="4" s="1"/>
  <c r="B155" i="4"/>
  <c r="D155" i="4" s="1"/>
  <c r="B156" i="4"/>
  <c r="B157" i="4"/>
  <c r="D157" i="4" s="1"/>
  <c r="B158" i="4"/>
  <c r="B159" i="4"/>
  <c r="D159" i="4" s="1"/>
  <c r="B160" i="4"/>
  <c r="D160" i="4" s="1"/>
  <c r="B161" i="4"/>
  <c r="D161" i="4" s="1"/>
  <c r="B162" i="4"/>
  <c r="D162" i="4" s="1"/>
  <c r="B163" i="4"/>
  <c r="D163" i="4" s="1"/>
  <c r="B164" i="4"/>
  <c r="B165" i="4"/>
  <c r="B166" i="4"/>
  <c r="D166" i="4" s="1"/>
  <c r="B167" i="4"/>
  <c r="D167" i="4" s="1"/>
  <c r="B168" i="4"/>
  <c r="B169" i="4"/>
  <c r="D169" i="4" s="1"/>
  <c r="B170" i="4"/>
  <c r="D170" i="4" s="1"/>
  <c r="B171" i="4"/>
  <c r="D171" i="4" s="1"/>
  <c r="B172" i="4"/>
  <c r="D172" i="4" s="1"/>
  <c r="B173" i="4"/>
  <c r="D173" i="4" s="1"/>
  <c r="B174" i="4"/>
  <c r="D174" i="4" s="1"/>
  <c r="B175" i="4"/>
  <c r="D175" i="4" s="1"/>
  <c r="B176" i="4"/>
  <c r="D176" i="4" s="1"/>
  <c r="B177" i="4"/>
  <c r="D177" i="4" s="1"/>
  <c r="B178" i="4"/>
  <c r="D178" i="4" s="1"/>
  <c r="B179" i="4"/>
  <c r="D179" i="4" s="1"/>
  <c r="B180" i="4"/>
  <c r="D180" i="4" s="1"/>
  <c r="B181" i="4"/>
  <c r="D181" i="4" s="1"/>
  <c r="B182" i="4"/>
  <c r="D182" i="4" s="1"/>
  <c r="B183" i="4"/>
  <c r="D183" i="4" s="1"/>
  <c r="B184" i="4"/>
  <c r="B185" i="4"/>
  <c r="D185" i="4" s="1"/>
  <c r="B186" i="4"/>
  <c r="D186" i="4" s="1"/>
  <c r="B187" i="4"/>
  <c r="D187" i="4" s="1"/>
  <c r="B188" i="4"/>
  <c r="D188" i="4" s="1"/>
  <c r="B189" i="4"/>
  <c r="D189" i="4" s="1"/>
  <c r="B190" i="4"/>
  <c r="D190" i="4" s="1"/>
  <c r="B191" i="4"/>
  <c r="D191" i="4" s="1"/>
  <c r="B192" i="4"/>
  <c r="D192" i="4" s="1"/>
  <c r="B193" i="4"/>
  <c r="B194" i="4"/>
  <c r="D194" i="4" s="1"/>
  <c r="B195" i="4"/>
  <c r="D195" i="4" s="1"/>
  <c r="B196" i="4"/>
  <c r="B197" i="4"/>
  <c r="B198" i="4"/>
  <c r="D198" i="4" s="1"/>
  <c r="B199" i="4"/>
  <c r="D199" i="4" s="1"/>
  <c r="B200" i="4"/>
  <c r="D200" i="4" s="1"/>
  <c r="B201" i="4"/>
  <c r="D201" i="4" s="1"/>
  <c r="B202" i="4"/>
  <c r="D202" i="4" s="1"/>
  <c r="B203" i="4"/>
  <c r="D203" i="4" s="1"/>
  <c r="B204" i="4"/>
  <c r="D204" i="4" s="1"/>
  <c r="B205" i="4"/>
  <c r="D205" i="4" s="1"/>
  <c r="B206" i="4"/>
  <c r="B207" i="4"/>
  <c r="D207" i="4" s="1"/>
  <c r="B208" i="4"/>
  <c r="D208" i="4" s="1"/>
  <c r="B209" i="4"/>
  <c r="B210" i="4"/>
  <c r="D210" i="4" s="1"/>
  <c r="B211" i="4"/>
  <c r="B212" i="4"/>
  <c r="D212" i="4" s="1"/>
  <c r="B213" i="4"/>
  <c r="B214" i="4"/>
  <c r="D214" i="4" s="1"/>
  <c r="B215" i="4"/>
  <c r="D215" i="4" s="1"/>
  <c r="B216" i="4"/>
  <c r="B217" i="4"/>
  <c r="D217" i="4" s="1"/>
  <c r="B218" i="4"/>
  <c r="D218" i="4" s="1"/>
  <c r="B219" i="4"/>
  <c r="D219" i="4" s="1"/>
  <c r="B220" i="4"/>
  <c r="B221" i="4"/>
  <c r="D221" i="4" s="1"/>
  <c r="B222" i="4"/>
  <c r="D9" i="4"/>
  <c r="AA4" i="13"/>
  <c r="AA5" i="13"/>
  <c r="AA6" i="13"/>
  <c r="AA7" i="13"/>
  <c r="AA8" i="13"/>
  <c r="AA9" i="13"/>
  <c r="AA10" i="13"/>
  <c r="AA11" i="13"/>
  <c r="AA12" i="13"/>
  <c r="AA13" i="13"/>
  <c r="AA14" i="13"/>
  <c r="AA15" i="13"/>
  <c r="AA16" i="13"/>
  <c r="AA17" i="13"/>
  <c r="AA18" i="13"/>
  <c r="AA19" i="13"/>
  <c r="AA20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39" i="13"/>
  <c r="AA40" i="13"/>
  <c r="AA41" i="13"/>
  <c r="AA42" i="13"/>
  <c r="AA43" i="13"/>
  <c r="AA44" i="13"/>
  <c r="AA45" i="13"/>
  <c r="AA46" i="13"/>
  <c r="AA47" i="13"/>
  <c r="AA48" i="13"/>
  <c r="AA49" i="13"/>
  <c r="AA50" i="13"/>
  <c r="AA51" i="13"/>
  <c r="AA52" i="13"/>
  <c r="AA53" i="13"/>
  <c r="AA54" i="13"/>
  <c r="AA55" i="13"/>
  <c r="AA56" i="13"/>
  <c r="AA57" i="13"/>
  <c r="AA58" i="13"/>
  <c r="AA59" i="13"/>
  <c r="AA60" i="13"/>
  <c r="AA61" i="13"/>
  <c r="AA62" i="13"/>
  <c r="AA63" i="13"/>
  <c r="AA64" i="13"/>
  <c r="AA65" i="13"/>
  <c r="AA66" i="13"/>
  <c r="AA67" i="13"/>
  <c r="AA68" i="13"/>
  <c r="AA69" i="13"/>
  <c r="AA70" i="13"/>
  <c r="AA71" i="13"/>
  <c r="AA72" i="13"/>
  <c r="AA73" i="13"/>
  <c r="AA74" i="13"/>
  <c r="AA75" i="13"/>
  <c r="AA76" i="13"/>
  <c r="AA77" i="13"/>
  <c r="AA78" i="13"/>
  <c r="AA79" i="13"/>
  <c r="AA80" i="13"/>
  <c r="AA81" i="13"/>
  <c r="AA82" i="13"/>
  <c r="AA83" i="13"/>
  <c r="AA84" i="13"/>
  <c r="AA85" i="13"/>
  <c r="AA86" i="13"/>
  <c r="AA87" i="13"/>
  <c r="AA88" i="13"/>
  <c r="AA89" i="13"/>
  <c r="AA90" i="13"/>
  <c r="AA91" i="13"/>
  <c r="AA92" i="13"/>
  <c r="AA93" i="13"/>
  <c r="AA94" i="13"/>
  <c r="AA95" i="13"/>
  <c r="AA3" i="13"/>
  <c r="V70" i="13"/>
  <c r="V71" i="13"/>
  <c r="V72" i="13"/>
  <c r="V73" i="13"/>
  <c r="V74" i="13"/>
  <c r="V75" i="13"/>
  <c r="V76" i="13"/>
  <c r="V77" i="13"/>
  <c r="V78" i="13"/>
  <c r="V79" i="13"/>
  <c r="V80" i="13"/>
  <c r="V81" i="13"/>
  <c r="V82" i="13"/>
  <c r="V83" i="13"/>
  <c r="V84" i="13"/>
  <c r="V85" i="13"/>
  <c r="V86" i="13"/>
  <c r="V87" i="13"/>
  <c r="V88" i="13"/>
  <c r="V89" i="13"/>
  <c r="V90" i="13"/>
  <c r="V91" i="13"/>
  <c r="V92" i="13"/>
  <c r="V93" i="13"/>
  <c r="V94" i="13"/>
  <c r="V95" i="13"/>
  <c r="AJ4" i="13"/>
  <c r="AJ5" i="13"/>
  <c r="AJ6" i="13"/>
  <c r="AJ7" i="13"/>
  <c r="AJ8" i="13"/>
  <c r="AJ9" i="13"/>
  <c r="AJ10" i="13"/>
  <c r="AJ11" i="13"/>
  <c r="AJ12" i="13"/>
  <c r="AJ13" i="13"/>
  <c r="AJ14" i="13"/>
  <c r="AJ15" i="13"/>
  <c r="AJ16" i="13"/>
  <c r="AJ17" i="13"/>
  <c r="AJ18" i="13"/>
  <c r="AJ19" i="13"/>
  <c r="AJ20" i="13"/>
  <c r="AJ21" i="13"/>
  <c r="AJ22" i="13"/>
  <c r="AJ23" i="13"/>
  <c r="AJ24" i="13"/>
  <c r="AJ25" i="13"/>
  <c r="AJ26" i="13"/>
  <c r="AJ27" i="13"/>
  <c r="AJ28" i="13"/>
  <c r="AJ29" i="13"/>
  <c r="AJ30" i="13"/>
  <c r="AJ31" i="13"/>
  <c r="AJ32" i="13"/>
  <c r="AJ33" i="13"/>
  <c r="AJ34" i="13"/>
  <c r="AJ35" i="13"/>
  <c r="AJ36" i="13"/>
  <c r="AJ37" i="13"/>
  <c r="AJ38" i="13"/>
  <c r="AJ39" i="13"/>
  <c r="AJ40" i="13"/>
  <c r="AJ41" i="13"/>
  <c r="AJ42" i="13"/>
  <c r="AJ43" i="13"/>
  <c r="AJ44" i="13"/>
  <c r="AJ45" i="13"/>
  <c r="AJ46" i="13"/>
  <c r="AJ47" i="13"/>
  <c r="AJ48" i="13"/>
  <c r="AJ49" i="13"/>
  <c r="AJ50" i="13"/>
  <c r="AJ51" i="13"/>
  <c r="AJ52" i="13"/>
  <c r="AJ53" i="13"/>
  <c r="AJ54" i="13"/>
  <c r="AJ55" i="13"/>
  <c r="AJ56" i="13"/>
  <c r="AJ57" i="13"/>
  <c r="AJ58" i="13"/>
  <c r="AJ59" i="13"/>
  <c r="AJ60" i="13"/>
  <c r="AJ61" i="13"/>
  <c r="AJ62" i="13"/>
  <c r="AJ63" i="13"/>
  <c r="AJ64" i="13"/>
  <c r="AJ65" i="13"/>
  <c r="AJ66" i="13"/>
  <c r="AJ67" i="13"/>
  <c r="AJ68" i="13"/>
  <c r="AJ69" i="13"/>
  <c r="AJ70" i="13"/>
  <c r="AJ71" i="13"/>
  <c r="AJ72" i="13"/>
  <c r="AJ73" i="13"/>
  <c r="AJ74" i="13"/>
  <c r="AJ75" i="13"/>
  <c r="AJ76" i="13"/>
  <c r="AJ77" i="13"/>
  <c r="AJ78" i="13"/>
  <c r="AJ79" i="13"/>
  <c r="AJ80" i="13"/>
  <c r="AJ81" i="13"/>
  <c r="AJ82" i="13"/>
  <c r="AJ83" i="13"/>
  <c r="AJ84" i="13"/>
  <c r="AJ85" i="13"/>
  <c r="AJ86" i="13"/>
  <c r="AJ87" i="13"/>
  <c r="AJ88" i="13"/>
  <c r="AJ89" i="13"/>
  <c r="AJ90" i="13"/>
  <c r="AJ91" i="13"/>
  <c r="AJ92" i="13"/>
  <c r="AJ93" i="13"/>
  <c r="AJ94" i="13"/>
  <c r="AJ95" i="13"/>
  <c r="AJ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3" i="13"/>
  <c r="L213" i="13"/>
  <c r="L219" i="13"/>
  <c r="L176" i="13"/>
  <c r="L180" i="13"/>
  <c r="L179" i="13"/>
  <c r="L151" i="13"/>
  <c r="L142" i="13"/>
  <c r="L140" i="13"/>
  <c r="L230" i="13"/>
  <c r="L229" i="13"/>
  <c r="L228" i="13"/>
  <c r="L227" i="13"/>
  <c r="L226" i="13"/>
  <c r="L225" i="13"/>
  <c r="L224" i="13"/>
  <c r="L223" i="13"/>
  <c r="L222" i="13"/>
  <c r="L221" i="13"/>
  <c r="L220" i="13"/>
  <c r="L218" i="13"/>
  <c r="L217" i="13"/>
  <c r="L216" i="13"/>
  <c r="L215" i="13"/>
  <c r="L214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78" i="13"/>
  <c r="L177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0" i="13"/>
  <c r="L149" i="13"/>
  <c r="L148" i="13"/>
  <c r="L147" i="13"/>
  <c r="L146" i="13"/>
  <c r="L145" i="13"/>
  <c r="L144" i="13"/>
  <c r="L143" i="13"/>
  <c r="L141" i="13"/>
  <c r="L139" i="13"/>
  <c r="L138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I4" i="13"/>
  <c r="J4" i="13" s="1"/>
  <c r="V4" i="13" s="1"/>
  <c r="I5" i="13"/>
  <c r="J5" i="13" s="1"/>
  <c r="L5" i="13" s="1"/>
  <c r="I6" i="13"/>
  <c r="J6" i="13" s="1"/>
  <c r="V6" i="13" s="1"/>
  <c r="I7" i="13"/>
  <c r="J7" i="13" s="1"/>
  <c r="V7" i="13" s="1"/>
  <c r="I8" i="13"/>
  <c r="J8" i="13" s="1"/>
  <c r="V8" i="13" s="1"/>
  <c r="I9" i="13"/>
  <c r="J9" i="13" s="1"/>
  <c r="V9" i="13" s="1"/>
  <c r="I10" i="13"/>
  <c r="J10" i="13" s="1"/>
  <c r="V10" i="13" s="1"/>
  <c r="I11" i="13"/>
  <c r="J11" i="13" s="1"/>
  <c r="V11" i="13" s="1"/>
  <c r="I12" i="13"/>
  <c r="J12" i="13" s="1"/>
  <c r="V12" i="13" s="1"/>
  <c r="I13" i="13"/>
  <c r="J13" i="13" s="1"/>
  <c r="V13" i="13" s="1"/>
  <c r="I14" i="13"/>
  <c r="J14" i="13" s="1"/>
  <c r="V14" i="13" s="1"/>
  <c r="I15" i="13"/>
  <c r="J15" i="13" s="1"/>
  <c r="V15" i="13" s="1"/>
  <c r="I16" i="13"/>
  <c r="J16" i="13" s="1"/>
  <c r="V16" i="13" s="1"/>
  <c r="I17" i="13"/>
  <c r="J17" i="13" s="1"/>
  <c r="V17" i="13" s="1"/>
  <c r="I18" i="13"/>
  <c r="J18" i="13" s="1"/>
  <c r="V18" i="13" s="1"/>
  <c r="I19" i="13"/>
  <c r="J19" i="13" s="1"/>
  <c r="V19" i="13" s="1"/>
  <c r="I20" i="13"/>
  <c r="J20" i="13" s="1"/>
  <c r="V20" i="13" s="1"/>
  <c r="I21" i="13"/>
  <c r="J21" i="13" s="1"/>
  <c r="V21" i="13" s="1"/>
  <c r="I22" i="13"/>
  <c r="J22" i="13" s="1"/>
  <c r="V22" i="13" s="1"/>
  <c r="I23" i="13"/>
  <c r="J23" i="13" s="1"/>
  <c r="V23" i="13" s="1"/>
  <c r="I24" i="13"/>
  <c r="J24" i="13" s="1"/>
  <c r="V24" i="13" s="1"/>
  <c r="I25" i="13"/>
  <c r="J25" i="13" s="1"/>
  <c r="V25" i="13" s="1"/>
  <c r="I26" i="13"/>
  <c r="J26" i="13" s="1"/>
  <c r="V26" i="13" s="1"/>
  <c r="I27" i="13"/>
  <c r="J27" i="13" s="1"/>
  <c r="V27" i="13" s="1"/>
  <c r="I28" i="13"/>
  <c r="J28" i="13" s="1"/>
  <c r="V28" i="13" s="1"/>
  <c r="I29" i="13"/>
  <c r="J29" i="13" s="1"/>
  <c r="V29" i="13" s="1"/>
  <c r="I30" i="13"/>
  <c r="J30" i="13" s="1"/>
  <c r="V30" i="13" s="1"/>
  <c r="I31" i="13"/>
  <c r="J31" i="13" s="1"/>
  <c r="V31" i="13" s="1"/>
  <c r="I32" i="13"/>
  <c r="J32" i="13" s="1"/>
  <c r="V32" i="13" s="1"/>
  <c r="I33" i="13"/>
  <c r="J33" i="13" s="1"/>
  <c r="V33" i="13" s="1"/>
  <c r="I34" i="13"/>
  <c r="J34" i="13" s="1"/>
  <c r="V34" i="13" s="1"/>
  <c r="I35" i="13"/>
  <c r="J35" i="13" s="1"/>
  <c r="V35" i="13" s="1"/>
  <c r="I36" i="13"/>
  <c r="J36" i="13" s="1"/>
  <c r="V36" i="13" s="1"/>
  <c r="I37" i="13"/>
  <c r="J37" i="13" s="1"/>
  <c r="V37" i="13" s="1"/>
  <c r="I38" i="13"/>
  <c r="J38" i="13" s="1"/>
  <c r="V38" i="13" s="1"/>
  <c r="I39" i="13"/>
  <c r="J39" i="13" s="1"/>
  <c r="V39" i="13" s="1"/>
  <c r="I40" i="13"/>
  <c r="J40" i="13" s="1"/>
  <c r="V40" i="13" s="1"/>
  <c r="I41" i="13"/>
  <c r="J41" i="13" s="1"/>
  <c r="V41" i="13" s="1"/>
  <c r="I42" i="13"/>
  <c r="J42" i="13" s="1"/>
  <c r="V42" i="13" s="1"/>
  <c r="I43" i="13"/>
  <c r="J43" i="13" s="1"/>
  <c r="V43" i="13" s="1"/>
  <c r="I44" i="13"/>
  <c r="J44" i="13" s="1"/>
  <c r="V44" i="13" s="1"/>
  <c r="I45" i="13"/>
  <c r="J45" i="13" s="1"/>
  <c r="V45" i="13" s="1"/>
  <c r="I46" i="13"/>
  <c r="J46" i="13" s="1"/>
  <c r="V46" i="13" s="1"/>
  <c r="I47" i="13"/>
  <c r="J47" i="13" s="1"/>
  <c r="V47" i="13" s="1"/>
  <c r="I48" i="13"/>
  <c r="J48" i="13" s="1"/>
  <c r="V48" i="13" s="1"/>
  <c r="I49" i="13"/>
  <c r="J49" i="13" s="1"/>
  <c r="V49" i="13" s="1"/>
  <c r="I50" i="13"/>
  <c r="J50" i="13" s="1"/>
  <c r="V50" i="13" s="1"/>
  <c r="I51" i="13"/>
  <c r="J51" i="13" s="1"/>
  <c r="V51" i="13" s="1"/>
  <c r="I52" i="13"/>
  <c r="J52" i="13" s="1"/>
  <c r="V52" i="13" s="1"/>
  <c r="I53" i="13"/>
  <c r="J53" i="13" s="1"/>
  <c r="V53" i="13" s="1"/>
  <c r="I54" i="13"/>
  <c r="J54" i="13" s="1"/>
  <c r="V54" i="13" s="1"/>
  <c r="I55" i="13"/>
  <c r="J55" i="13" s="1"/>
  <c r="V55" i="13" s="1"/>
  <c r="I56" i="13"/>
  <c r="J56" i="13" s="1"/>
  <c r="V56" i="13" s="1"/>
  <c r="I57" i="13"/>
  <c r="J57" i="13" s="1"/>
  <c r="V57" i="13" s="1"/>
  <c r="I58" i="13"/>
  <c r="J58" i="13" s="1"/>
  <c r="V58" i="13" s="1"/>
  <c r="I59" i="13"/>
  <c r="J59" i="13" s="1"/>
  <c r="V59" i="13" s="1"/>
  <c r="I60" i="13"/>
  <c r="J60" i="13" s="1"/>
  <c r="V60" i="13" s="1"/>
  <c r="I61" i="13"/>
  <c r="J61" i="13" s="1"/>
  <c r="V61" i="13" s="1"/>
  <c r="I62" i="13"/>
  <c r="J62" i="13" s="1"/>
  <c r="V62" i="13" s="1"/>
  <c r="I63" i="13"/>
  <c r="J63" i="13" s="1"/>
  <c r="V63" i="13" s="1"/>
  <c r="I64" i="13"/>
  <c r="J64" i="13" s="1"/>
  <c r="V64" i="13" s="1"/>
  <c r="I65" i="13"/>
  <c r="J65" i="13" s="1"/>
  <c r="V65" i="13" s="1"/>
  <c r="I66" i="13"/>
  <c r="J66" i="13" s="1"/>
  <c r="V66" i="13" s="1"/>
  <c r="I67" i="13"/>
  <c r="J67" i="13" s="1"/>
  <c r="V67" i="13" s="1"/>
  <c r="I68" i="13"/>
  <c r="J68" i="13" s="1"/>
  <c r="V68" i="13" s="1"/>
  <c r="I69" i="13"/>
  <c r="J69" i="13" s="1"/>
  <c r="V69" i="13" s="1"/>
  <c r="I3" i="13"/>
  <c r="J3" i="13" s="1"/>
  <c r="V3" i="13" s="1"/>
  <c r="C26" i="5" l="1"/>
  <c r="C10" i="5"/>
  <c r="C218" i="5"/>
  <c r="C202" i="5"/>
  <c r="C186" i="5"/>
  <c r="C170" i="5"/>
  <c r="C154" i="5"/>
  <c r="C138" i="5"/>
  <c r="C122" i="5"/>
  <c r="C106" i="5"/>
  <c r="C90" i="5"/>
  <c r="C74" i="5"/>
  <c r="C58" i="5"/>
  <c r="C42" i="5"/>
  <c r="C221" i="5"/>
  <c r="C189" i="5"/>
  <c r="C173" i="5"/>
  <c r="C109" i="5"/>
  <c r="C93" i="5"/>
  <c r="C61" i="5"/>
  <c r="C45" i="5"/>
  <c r="C203" i="5"/>
  <c r="C187" i="5"/>
  <c r="C155" i="5"/>
  <c r="C123" i="5"/>
  <c r="C91" i="5"/>
  <c r="C43" i="5"/>
  <c r="C148" i="6"/>
  <c r="D116" i="6"/>
  <c r="D37" i="6"/>
  <c r="D52" i="6"/>
  <c r="D101" i="6"/>
  <c r="C21" i="6"/>
  <c r="D130" i="6"/>
  <c r="C213" i="6"/>
  <c r="D197" i="6"/>
  <c r="D164" i="6"/>
  <c r="C149" i="6"/>
  <c r="C59" i="6"/>
  <c r="C155" i="6"/>
  <c r="D58" i="6"/>
  <c r="C42" i="6"/>
  <c r="C219" i="6"/>
  <c r="D210" i="6"/>
  <c r="C115" i="6"/>
  <c r="D20" i="6"/>
  <c r="C27" i="6"/>
  <c r="C202" i="6"/>
  <c r="D106" i="6"/>
  <c r="C187" i="6"/>
  <c r="C179" i="6"/>
  <c r="D84" i="6"/>
  <c r="D170" i="6"/>
  <c r="D165" i="6"/>
  <c r="C74" i="6"/>
  <c r="D69" i="6"/>
  <c r="C212" i="6"/>
  <c r="D122" i="6"/>
  <c r="D82" i="6"/>
  <c r="D36" i="6"/>
  <c r="C211" i="6"/>
  <c r="C34" i="6"/>
  <c r="C162" i="6"/>
  <c r="D66" i="6"/>
  <c r="D194" i="6"/>
  <c r="C19" i="6"/>
  <c r="D18" i="6"/>
  <c r="C147" i="6"/>
  <c r="D186" i="6"/>
  <c r="D146" i="6"/>
  <c r="D100" i="6"/>
  <c r="C10" i="6"/>
  <c r="C98" i="6"/>
  <c r="D180" i="6"/>
  <c r="C138" i="6"/>
  <c r="C91" i="6"/>
  <c r="C51" i="6"/>
  <c r="D133" i="6"/>
  <c r="C85" i="6"/>
  <c r="C123" i="6"/>
  <c r="C83" i="6"/>
  <c r="D188" i="6"/>
  <c r="D169" i="6"/>
  <c r="D124" i="6"/>
  <c r="D105" i="6"/>
  <c r="D60" i="6"/>
  <c r="D41" i="6"/>
  <c r="D204" i="6"/>
  <c r="D185" i="6"/>
  <c r="D140" i="6"/>
  <c r="D121" i="6"/>
  <c r="D76" i="6"/>
  <c r="D57" i="6"/>
  <c r="D12" i="6"/>
  <c r="C203" i="6"/>
  <c r="D181" i="6"/>
  <c r="C163" i="6"/>
  <c r="C139" i="6"/>
  <c r="D117" i="6"/>
  <c r="C99" i="6"/>
  <c r="C75" i="6"/>
  <c r="D53" i="6"/>
  <c r="C35" i="6"/>
  <c r="C11" i="6"/>
  <c r="D220" i="6"/>
  <c r="D201" i="6"/>
  <c r="D156" i="6"/>
  <c r="D137" i="6"/>
  <c r="D92" i="6"/>
  <c r="D73" i="6"/>
  <c r="D28" i="6"/>
  <c r="D218" i="6"/>
  <c r="D178" i="6"/>
  <c r="D154" i="6"/>
  <c r="D114" i="6"/>
  <c r="D90" i="6"/>
  <c r="D50" i="6"/>
  <c r="D26" i="6"/>
  <c r="D196" i="6"/>
  <c r="D132" i="6"/>
  <c r="D68" i="6"/>
  <c r="D217" i="6"/>
  <c r="D172" i="6"/>
  <c r="D153" i="6"/>
  <c r="D108" i="6"/>
  <c r="D89" i="6"/>
  <c r="D44" i="6"/>
  <c r="D25" i="6"/>
  <c r="C195" i="6"/>
  <c r="C171" i="6"/>
  <c r="C131" i="6"/>
  <c r="C107" i="6"/>
  <c r="C67" i="6"/>
  <c r="C43" i="6"/>
  <c r="D221" i="6"/>
  <c r="D205" i="6"/>
  <c r="D189" i="6"/>
  <c r="D173" i="6"/>
  <c r="D157" i="6"/>
  <c r="D141" i="6"/>
  <c r="D125" i="6"/>
  <c r="D109" i="6"/>
  <c r="D93" i="6"/>
  <c r="D77" i="6"/>
  <c r="D61" i="6"/>
  <c r="D45" i="6"/>
  <c r="D29" i="6"/>
  <c r="D13" i="6"/>
  <c r="B1" i="6"/>
  <c r="C209" i="6"/>
  <c r="C193" i="6"/>
  <c r="C177" i="6"/>
  <c r="C161" i="6"/>
  <c r="C145" i="6"/>
  <c r="C129" i="6"/>
  <c r="C113" i="6"/>
  <c r="C97" i="6"/>
  <c r="C81" i="6"/>
  <c r="C65" i="6"/>
  <c r="C49" i="6"/>
  <c r="C33" i="6"/>
  <c r="C17" i="6"/>
  <c r="D216" i="6"/>
  <c r="D208" i="6"/>
  <c r="D200" i="6"/>
  <c r="D192" i="6"/>
  <c r="D184" i="6"/>
  <c r="D176" i="6"/>
  <c r="D168" i="6"/>
  <c r="D160" i="6"/>
  <c r="D152" i="6"/>
  <c r="D144" i="6"/>
  <c r="D136" i="6"/>
  <c r="D128" i="6"/>
  <c r="D120" i="6"/>
  <c r="D112" i="6"/>
  <c r="D104" i="6"/>
  <c r="D96" i="6"/>
  <c r="D88" i="6"/>
  <c r="D80" i="6"/>
  <c r="D72" i="6"/>
  <c r="D64" i="6"/>
  <c r="D56" i="6"/>
  <c r="D48" i="6"/>
  <c r="D40" i="6"/>
  <c r="D32" i="6"/>
  <c r="D24" i="6"/>
  <c r="D16" i="6"/>
  <c r="C9" i="6"/>
  <c r="D215" i="6"/>
  <c r="D207" i="6"/>
  <c r="D199" i="6"/>
  <c r="D191" i="6"/>
  <c r="D183" i="6"/>
  <c r="D175" i="6"/>
  <c r="D167" i="6"/>
  <c r="D159" i="6"/>
  <c r="D151" i="6"/>
  <c r="D143" i="6"/>
  <c r="D135" i="6"/>
  <c r="D127" i="6"/>
  <c r="D119" i="6"/>
  <c r="D111" i="6"/>
  <c r="D103" i="6"/>
  <c r="D95" i="6"/>
  <c r="D87" i="6"/>
  <c r="D79" i="6"/>
  <c r="D71" i="6"/>
  <c r="D63" i="6"/>
  <c r="D55" i="6"/>
  <c r="D47" i="6"/>
  <c r="D39" i="6"/>
  <c r="D31" i="6"/>
  <c r="D23" i="6"/>
  <c r="D15" i="6"/>
  <c r="C15" i="6"/>
  <c r="D222" i="6"/>
  <c r="D214" i="6"/>
  <c r="D206" i="6"/>
  <c r="D198" i="6"/>
  <c r="D190" i="6"/>
  <c r="D182" i="6"/>
  <c r="D174" i="6"/>
  <c r="D166" i="6"/>
  <c r="D158" i="6"/>
  <c r="D150" i="6"/>
  <c r="D142" i="6"/>
  <c r="D134" i="6"/>
  <c r="D126" i="6"/>
  <c r="D118" i="6"/>
  <c r="D110" i="6"/>
  <c r="D102" i="6"/>
  <c r="D94" i="6"/>
  <c r="D86" i="6"/>
  <c r="D78" i="6"/>
  <c r="D70" i="6"/>
  <c r="D62" i="6"/>
  <c r="D54" i="6"/>
  <c r="D46" i="6"/>
  <c r="D38" i="6"/>
  <c r="D30" i="6"/>
  <c r="D22" i="6"/>
  <c r="D14" i="6"/>
  <c r="B7" i="6"/>
  <c r="C22" i="5"/>
  <c r="C63" i="5"/>
  <c r="C200" i="5"/>
  <c r="C184" i="5"/>
  <c r="C168" i="5"/>
  <c r="C136" i="5"/>
  <c r="C79" i="5"/>
  <c r="C179" i="5"/>
  <c r="C152" i="5"/>
  <c r="C220" i="5"/>
  <c r="C204" i="5"/>
  <c r="C188" i="5"/>
  <c r="C172" i="5"/>
  <c r="C156" i="5"/>
  <c r="C140" i="5"/>
  <c r="C124" i="5"/>
  <c r="C108" i="5"/>
  <c r="C92" i="5"/>
  <c r="C76" i="5"/>
  <c r="C60" i="5"/>
  <c r="C44" i="5"/>
  <c r="C28" i="5"/>
  <c r="C12" i="5"/>
  <c r="C40" i="5"/>
  <c r="C195" i="5"/>
  <c r="C163" i="5"/>
  <c r="C147" i="5"/>
  <c r="C131" i="5"/>
  <c r="C115" i="5"/>
  <c r="C99" i="5"/>
  <c r="C83" i="5"/>
  <c r="C67" i="5"/>
  <c r="C51" i="5"/>
  <c r="C35" i="5"/>
  <c r="C19" i="5"/>
  <c r="D147" i="5"/>
  <c r="C209" i="5"/>
  <c r="C193" i="5"/>
  <c r="C177" i="5"/>
  <c r="C161" i="5"/>
  <c r="C145" i="5"/>
  <c r="C129" i="5"/>
  <c r="C113" i="5"/>
  <c r="C97" i="5"/>
  <c r="C81" i="5"/>
  <c r="C65" i="5"/>
  <c r="C49" i="5"/>
  <c r="C33" i="5"/>
  <c r="C17" i="5"/>
  <c r="C198" i="5"/>
  <c r="C217" i="5"/>
  <c r="C185" i="5"/>
  <c r="C153" i="5"/>
  <c r="C137" i="5"/>
  <c r="C121" i="5"/>
  <c r="C105" i="5"/>
  <c r="C89" i="5"/>
  <c r="C73" i="5"/>
  <c r="C57" i="5"/>
  <c r="C25" i="5"/>
  <c r="C120" i="5"/>
  <c r="C72" i="5"/>
  <c r="C56" i="5"/>
  <c r="C24" i="5"/>
  <c r="C150" i="5"/>
  <c r="B1" i="5"/>
  <c r="D173" i="5"/>
  <c r="C86" i="5"/>
  <c r="C206" i="5"/>
  <c r="C205" i="5"/>
  <c r="C158" i="5"/>
  <c r="C142" i="5"/>
  <c r="C207" i="5"/>
  <c r="C191" i="5"/>
  <c r="C175" i="5"/>
  <c r="C159" i="5"/>
  <c r="C143" i="5"/>
  <c r="C127" i="5"/>
  <c r="C111" i="5"/>
  <c r="C95" i="5"/>
  <c r="C31" i="5"/>
  <c r="D131" i="5"/>
  <c r="C141" i="5"/>
  <c r="C30" i="5"/>
  <c r="D195" i="5"/>
  <c r="D115" i="5"/>
  <c r="C47" i="5"/>
  <c r="C157" i="5"/>
  <c r="C46" i="5"/>
  <c r="C211" i="5"/>
  <c r="D109" i="5"/>
  <c r="D45" i="5"/>
  <c r="C135" i="5"/>
  <c r="C23" i="5"/>
  <c r="C199" i="5"/>
  <c r="C151" i="5"/>
  <c r="C87" i="5"/>
  <c r="C134" i="5"/>
  <c r="C102" i="5"/>
  <c r="D63" i="5"/>
  <c r="C126" i="5"/>
  <c r="C119" i="5"/>
  <c r="D189" i="5"/>
  <c r="D61" i="5"/>
  <c r="C125" i="5"/>
  <c r="C14" i="5"/>
  <c r="C118" i="5"/>
  <c r="C9" i="5"/>
  <c r="C215" i="5"/>
  <c r="C166" i="5"/>
  <c r="C110" i="5"/>
  <c r="C13" i="5"/>
  <c r="C216" i="5"/>
  <c r="C104" i="5"/>
  <c r="C39" i="5"/>
  <c r="C103" i="5"/>
  <c r="C71" i="5"/>
  <c r="C38" i="5"/>
  <c r="D9" i="5"/>
  <c r="D179" i="5"/>
  <c r="D51" i="5"/>
  <c r="C222" i="5"/>
  <c r="C94" i="5"/>
  <c r="C214" i="5"/>
  <c r="D221" i="5"/>
  <c r="D93" i="5"/>
  <c r="C201" i="5"/>
  <c r="C88" i="5"/>
  <c r="C181" i="5"/>
  <c r="C165" i="5"/>
  <c r="C149" i="5"/>
  <c r="C133" i="5"/>
  <c r="C117" i="5"/>
  <c r="C101" i="5"/>
  <c r="C85" i="5"/>
  <c r="C69" i="5"/>
  <c r="C53" i="5"/>
  <c r="C37" i="5"/>
  <c r="C21" i="5"/>
  <c r="D211" i="5"/>
  <c r="D165" i="5"/>
  <c r="D37" i="5"/>
  <c r="C190" i="5"/>
  <c r="C77" i="5"/>
  <c r="C182" i="5"/>
  <c r="C70" i="5"/>
  <c r="C212" i="5"/>
  <c r="C196" i="5"/>
  <c r="C180" i="5"/>
  <c r="C164" i="5"/>
  <c r="C148" i="5"/>
  <c r="C132" i="5"/>
  <c r="C116" i="5"/>
  <c r="C100" i="5"/>
  <c r="C84" i="5"/>
  <c r="C68" i="5"/>
  <c r="C52" i="5"/>
  <c r="C36" i="5"/>
  <c r="C20" i="5"/>
  <c r="D164" i="5"/>
  <c r="D36" i="5"/>
  <c r="C169" i="5"/>
  <c r="C55" i="5"/>
  <c r="E1" i="5"/>
  <c r="C15" i="5"/>
  <c r="C78" i="5"/>
  <c r="C183" i="5"/>
  <c r="D163" i="5"/>
  <c r="D117" i="5"/>
  <c r="D35" i="5"/>
  <c r="C174" i="5"/>
  <c r="C54" i="5"/>
  <c r="D116" i="5"/>
  <c r="C167" i="5"/>
  <c r="C41" i="5"/>
  <c r="C213" i="5"/>
  <c r="C197" i="5"/>
  <c r="C210" i="5"/>
  <c r="C178" i="5"/>
  <c r="C146" i="5"/>
  <c r="C114" i="5"/>
  <c r="C82" i="5"/>
  <c r="C66" i="5"/>
  <c r="C34" i="5"/>
  <c r="C18" i="5"/>
  <c r="C194" i="5"/>
  <c r="C162" i="5"/>
  <c r="C130" i="5"/>
  <c r="C98" i="5"/>
  <c r="C50" i="5"/>
  <c r="C208" i="5"/>
  <c r="C192" i="5"/>
  <c r="C176" i="5"/>
  <c r="C160" i="5"/>
  <c r="C144" i="5"/>
  <c r="C128" i="5"/>
  <c r="C112" i="5"/>
  <c r="C96" i="5"/>
  <c r="C80" i="5"/>
  <c r="C64" i="5"/>
  <c r="C48" i="5"/>
  <c r="C32" i="5"/>
  <c r="C16" i="5"/>
  <c r="E7" i="5"/>
  <c r="D209" i="5"/>
  <c r="D193" i="5"/>
  <c r="D177" i="5"/>
  <c r="D161" i="5"/>
  <c r="D145" i="5"/>
  <c r="D129" i="5"/>
  <c r="D113" i="5"/>
  <c r="D97" i="5"/>
  <c r="D81" i="5"/>
  <c r="D65" i="5"/>
  <c r="D49" i="5"/>
  <c r="D33" i="5"/>
  <c r="D17" i="5"/>
  <c r="D208" i="5"/>
  <c r="D192" i="5"/>
  <c r="D176" i="5"/>
  <c r="D160" i="5"/>
  <c r="D144" i="5"/>
  <c r="D128" i="5"/>
  <c r="D112" i="5"/>
  <c r="D96" i="5"/>
  <c r="D80" i="5"/>
  <c r="D64" i="5"/>
  <c r="D48" i="5"/>
  <c r="D32" i="5"/>
  <c r="D16" i="5"/>
  <c r="D220" i="5"/>
  <c r="D204" i="5"/>
  <c r="D188" i="5"/>
  <c r="D172" i="5"/>
  <c r="D156" i="5"/>
  <c r="D140" i="5"/>
  <c r="D124" i="5"/>
  <c r="D108" i="5"/>
  <c r="D92" i="5"/>
  <c r="D76" i="5"/>
  <c r="D60" i="5"/>
  <c r="D44" i="5"/>
  <c r="D28" i="5"/>
  <c r="D12" i="5"/>
  <c r="D218" i="5"/>
  <c r="D202" i="5"/>
  <c r="D186" i="5"/>
  <c r="D170" i="5"/>
  <c r="D154" i="5"/>
  <c r="D138" i="5"/>
  <c r="D122" i="5"/>
  <c r="D106" i="5"/>
  <c r="D90" i="5"/>
  <c r="D74" i="5"/>
  <c r="D58" i="5"/>
  <c r="D42" i="5"/>
  <c r="D26" i="5"/>
  <c r="D10" i="5"/>
  <c r="D203" i="5"/>
  <c r="D123" i="5"/>
  <c r="D43" i="5"/>
  <c r="D187" i="5"/>
  <c r="D155" i="5"/>
  <c r="D91" i="5"/>
  <c r="D27" i="5"/>
  <c r="B7" i="5"/>
  <c r="C219" i="5"/>
  <c r="C171" i="5"/>
  <c r="C139" i="5"/>
  <c r="C107" i="5"/>
  <c r="C75" i="5"/>
  <c r="C59" i="5"/>
  <c r="C11" i="5"/>
  <c r="C213" i="4"/>
  <c r="C165" i="4"/>
  <c r="C117" i="4"/>
  <c r="C85" i="4"/>
  <c r="C53" i="4"/>
  <c r="C21" i="4"/>
  <c r="C116" i="4"/>
  <c r="C63" i="4"/>
  <c r="C52" i="4"/>
  <c r="C20" i="4"/>
  <c r="C68" i="4"/>
  <c r="C184" i="4"/>
  <c r="C103" i="4"/>
  <c r="C65" i="4"/>
  <c r="C152" i="4"/>
  <c r="C81" i="4"/>
  <c r="C195" i="4"/>
  <c r="C163" i="4"/>
  <c r="C192" i="4"/>
  <c r="C206" i="4"/>
  <c r="C94" i="4"/>
  <c r="C78" i="4"/>
  <c r="C216" i="4"/>
  <c r="C88" i="4"/>
  <c r="C132" i="4"/>
  <c r="C86" i="4"/>
  <c r="C55" i="4"/>
  <c r="C197" i="4"/>
  <c r="C149" i="4"/>
  <c r="C131" i="4"/>
  <c r="C209" i="4"/>
  <c r="C145" i="4"/>
  <c r="C97" i="4"/>
  <c r="C22" i="4"/>
  <c r="C80" i="4"/>
  <c r="C220" i="4"/>
  <c r="C133" i="4"/>
  <c r="C196" i="4"/>
  <c r="C199" i="4"/>
  <c r="D62" i="4"/>
  <c r="C180" i="4"/>
  <c r="C164" i="4"/>
  <c r="C36" i="4"/>
  <c r="D220" i="4"/>
  <c r="D36" i="4"/>
  <c r="D156" i="4"/>
  <c r="C129" i="4"/>
  <c r="C113" i="4"/>
  <c r="C49" i="4"/>
  <c r="D141" i="4"/>
  <c r="D61" i="4"/>
  <c r="C19" i="4"/>
  <c r="C140" i="4"/>
  <c r="C127" i="4"/>
  <c r="C104" i="4"/>
  <c r="D19" i="4"/>
  <c r="C30" i="4"/>
  <c r="C29" i="4"/>
  <c r="C198" i="4"/>
  <c r="C160" i="4"/>
  <c r="C39" i="4"/>
  <c r="C72" i="4"/>
  <c r="C56" i="4"/>
  <c r="C40" i="4"/>
  <c r="C9" i="4"/>
  <c r="C147" i="4"/>
  <c r="C38" i="4"/>
  <c r="C12" i="4"/>
  <c r="C174" i="4"/>
  <c r="C71" i="4"/>
  <c r="C95" i="4"/>
  <c r="C102" i="4"/>
  <c r="C221" i="4"/>
  <c r="C182" i="4"/>
  <c r="C75" i="4"/>
  <c r="D213" i="4"/>
  <c r="C161" i="4"/>
  <c r="C74" i="4"/>
  <c r="C168" i="4"/>
  <c r="C136" i="4"/>
  <c r="C24" i="4"/>
  <c r="C181" i="4"/>
  <c r="C87" i="4"/>
  <c r="C73" i="4"/>
  <c r="D49" i="4"/>
  <c r="C17" i="4"/>
  <c r="C151" i="4"/>
  <c r="C119" i="4"/>
  <c r="C107" i="4"/>
  <c r="C37" i="4"/>
  <c r="C16" i="4"/>
  <c r="C202" i="4"/>
  <c r="C212" i="4"/>
  <c r="C200" i="4"/>
  <c r="D149" i="4"/>
  <c r="D117" i="4"/>
  <c r="C58" i="4"/>
  <c r="C211" i="4"/>
  <c r="C99" i="4"/>
  <c r="C67" i="4"/>
  <c r="C51" i="4"/>
  <c r="C219" i="4"/>
  <c r="C179" i="4"/>
  <c r="C167" i="4"/>
  <c r="C83" i="4"/>
  <c r="C69" i="4"/>
  <c r="C148" i="4"/>
  <c r="C100" i="4"/>
  <c r="C84" i="4"/>
  <c r="B7" i="4"/>
  <c r="C218" i="4"/>
  <c r="C186" i="4"/>
  <c r="C166" i="4"/>
  <c r="C156" i="4"/>
  <c r="C135" i="4"/>
  <c r="C115" i="4"/>
  <c r="D56" i="4"/>
  <c r="C35" i="4"/>
  <c r="C23" i="4"/>
  <c r="C193" i="4"/>
  <c r="C123" i="4"/>
  <c r="C91" i="4"/>
  <c r="C42" i="4"/>
  <c r="C43" i="4"/>
  <c r="C15" i="4"/>
  <c r="C175" i="4"/>
  <c r="D165" i="4"/>
  <c r="C154" i="4"/>
  <c r="C143" i="4"/>
  <c r="C222" i="4"/>
  <c r="C158" i="4"/>
  <c r="C142" i="4"/>
  <c r="C126" i="4"/>
  <c r="C110" i="4"/>
  <c r="C62" i="4"/>
  <c r="D216" i="4"/>
  <c r="C205" i="4"/>
  <c r="C153" i="4"/>
  <c r="D133" i="4"/>
  <c r="D102" i="4"/>
  <c r="C90" i="4"/>
  <c r="C41" i="4"/>
  <c r="D21" i="4"/>
  <c r="C10" i="4"/>
  <c r="C121" i="4"/>
  <c r="C101" i="4"/>
  <c r="C173" i="4"/>
  <c r="C120" i="4"/>
  <c r="C76" i="4"/>
  <c r="C169" i="4"/>
  <c r="D52" i="4"/>
  <c r="C46" i="4"/>
  <c r="C33" i="4"/>
  <c r="D196" i="4"/>
  <c r="C190" i="4"/>
  <c r="C176" i="4"/>
  <c r="D136" i="4"/>
  <c r="C130" i="4"/>
  <c r="D84" i="4"/>
  <c r="D78" i="4"/>
  <c r="D71" i="4"/>
  <c r="D65" i="4"/>
  <c r="C45" i="4"/>
  <c r="C32" i="4"/>
  <c r="D126" i="4"/>
  <c r="C98" i="4"/>
  <c r="C25" i="4"/>
  <c r="C215" i="4"/>
  <c r="D209" i="4"/>
  <c r="C189" i="4"/>
  <c r="D110" i="4"/>
  <c r="D103" i="4"/>
  <c r="C57" i="4"/>
  <c r="C177" i="4"/>
  <c r="D222" i="4"/>
  <c r="C201" i="4"/>
  <c r="D168" i="4"/>
  <c r="C162" i="4"/>
  <c r="C155" i="4"/>
  <c r="C122" i="4"/>
  <c r="D116" i="4"/>
  <c r="D97" i="4"/>
  <c r="C77" i="4"/>
  <c r="C70" i="4"/>
  <c r="C64" i="4"/>
  <c r="D51" i="4"/>
  <c r="C44" i="4"/>
  <c r="C31" i="4"/>
  <c r="D24" i="4"/>
  <c r="C18" i="4"/>
  <c r="C11" i="4"/>
  <c r="C114" i="4"/>
  <c r="C214" i="4"/>
  <c r="C208" i="4"/>
  <c r="C188" i="4"/>
  <c r="D142" i="4"/>
  <c r="D129" i="4"/>
  <c r="C109" i="4"/>
  <c r="C89" i="4"/>
  <c r="D18" i="4"/>
  <c r="D148" i="4"/>
  <c r="C96" i="4"/>
  <c r="C50" i="4"/>
  <c r="C207" i="4"/>
  <c r="C194" i="4"/>
  <c r="C187" i="4"/>
  <c r="C141" i="4"/>
  <c r="C134" i="4"/>
  <c r="C128" i="4"/>
  <c r="C108" i="4"/>
  <c r="C82" i="4"/>
  <c r="E7" i="4"/>
  <c r="D206" i="4"/>
  <c r="D193" i="4"/>
  <c r="D81" i="4"/>
  <c r="D68" i="4"/>
  <c r="B1" i="4"/>
  <c r="C185" i="4"/>
  <c r="C172" i="4"/>
  <c r="C159" i="4"/>
  <c r="C146" i="4"/>
  <c r="C139" i="4"/>
  <c r="C106" i="4"/>
  <c r="D94" i="4"/>
  <c r="C61" i="4"/>
  <c r="C54" i="4"/>
  <c r="C48" i="4"/>
  <c r="C28" i="4"/>
  <c r="E1" i="4"/>
  <c r="D113" i="4"/>
  <c r="C178" i="4"/>
  <c r="C171" i="4"/>
  <c r="C138" i="4"/>
  <c r="D132" i="4"/>
  <c r="C105" i="4"/>
  <c r="C93" i="4"/>
  <c r="D80" i="4"/>
  <c r="D67" i="4"/>
  <c r="C60" i="4"/>
  <c r="C47" i="4"/>
  <c r="D40" i="4"/>
  <c r="C34" i="4"/>
  <c r="C27" i="4"/>
  <c r="C217" i="4"/>
  <c r="D211" i="4"/>
  <c r="C204" i="4"/>
  <c r="C191" i="4"/>
  <c r="D184" i="4"/>
  <c r="D158" i="4"/>
  <c r="D151" i="4"/>
  <c r="D145" i="4"/>
  <c r="C125" i="4"/>
  <c r="C118" i="4"/>
  <c r="C112" i="4"/>
  <c r="D53" i="4"/>
  <c r="C14" i="4"/>
  <c r="D197" i="4"/>
  <c r="C170" i="4"/>
  <c r="D164" i="4"/>
  <c r="C137" i="4"/>
  <c r="D99" i="4"/>
  <c r="C92" i="4"/>
  <c r="D85" i="4"/>
  <c r="C79" i="4"/>
  <c r="D72" i="4"/>
  <c r="C66" i="4"/>
  <c r="C59" i="4"/>
  <c r="C26" i="4"/>
  <c r="D20" i="4"/>
  <c r="C210" i="4"/>
  <c r="C203" i="4"/>
  <c r="C183" i="4"/>
  <c r="C157" i="4"/>
  <c r="C150" i="4"/>
  <c r="C144" i="4"/>
  <c r="C124" i="4"/>
  <c r="C111" i="4"/>
  <c r="C13" i="4"/>
  <c r="V5" i="13"/>
  <c r="W5" i="13" s="1"/>
  <c r="W86" i="13"/>
  <c r="W92" i="13"/>
  <c r="W75" i="13"/>
  <c r="W77" i="13"/>
  <c r="W81" i="13"/>
  <c r="W94" i="13"/>
  <c r="W90" i="13"/>
  <c r="W89" i="13"/>
  <c r="W73" i="13"/>
  <c r="W69" i="13"/>
  <c r="W67" i="13"/>
  <c r="W37" i="13"/>
  <c r="W68" i="13"/>
  <c r="W4" i="13"/>
  <c r="W52" i="13"/>
  <c r="W49" i="13"/>
  <c r="W17" i="13"/>
  <c r="W36" i="13"/>
  <c r="W35" i="13"/>
  <c r="W64" i="13"/>
  <c r="W31" i="13"/>
  <c r="W59" i="13"/>
  <c r="W43" i="13"/>
  <c r="W27" i="13"/>
  <c r="W10" i="13"/>
  <c r="W57" i="13"/>
  <c r="W25" i="13"/>
  <c r="W9" i="13"/>
  <c r="W54" i="13"/>
  <c r="W29" i="13"/>
  <c r="W42" i="13"/>
  <c r="W39" i="13"/>
  <c r="K79" i="13"/>
  <c r="K55" i="13"/>
  <c r="W55" i="13" s="1"/>
  <c r="K78" i="13"/>
  <c r="L78" i="13" s="1"/>
  <c r="K24" i="13"/>
  <c r="L24" i="13" s="1"/>
  <c r="K40" i="13"/>
  <c r="L40" i="13" s="1"/>
  <c r="K77" i="13"/>
  <c r="L77" i="13" s="1"/>
  <c r="K9" i="13"/>
  <c r="L9" i="13" s="1"/>
  <c r="K57" i="13"/>
  <c r="L57" i="13" s="1"/>
  <c r="K92" i="13"/>
  <c r="L92" i="13" s="1"/>
  <c r="K76" i="13"/>
  <c r="L76" i="13" s="1"/>
  <c r="K26" i="13"/>
  <c r="L26" i="13" s="1"/>
  <c r="K11" i="13"/>
  <c r="W11" i="13" s="1"/>
  <c r="K27" i="13"/>
  <c r="L27" i="13" s="1"/>
  <c r="K43" i="13"/>
  <c r="L43" i="13" s="1"/>
  <c r="K59" i="13"/>
  <c r="L59" i="13" s="1"/>
  <c r="K90" i="13"/>
  <c r="L90" i="13" s="1"/>
  <c r="K74" i="13"/>
  <c r="L74" i="13" s="1"/>
  <c r="K12" i="13"/>
  <c r="L12" i="13" s="1"/>
  <c r="K28" i="13"/>
  <c r="L28" i="13" s="1"/>
  <c r="K44" i="13"/>
  <c r="L44" i="13" s="1"/>
  <c r="K60" i="13"/>
  <c r="L60" i="13" s="1"/>
  <c r="K89" i="13"/>
  <c r="L89" i="13" s="1"/>
  <c r="K73" i="13"/>
  <c r="L73" i="13" s="1"/>
  <c r="K10" i="13"/>
  <c r="L10" i="13" s="1"/>
  <c r="K13" i="13"/>
  <c r="L13" i="13" s="1"/>
  <c r="K29" i="13"/>
  <c r="L29" i="13" s="1"/>
  <c r="K45" i="13"/>
  <c r="L45" i="13" s="1"/>
  <c r="K61" i="13"/>
  <c r="L61" i="13" s="1"/>
  <c r="K88" i="13"/>
  <c r="L88" i="13" s="1"/>
  <c r="K72" i="13"/>
  <c r="L72" i="13" s="1"/>
  <c r="K14" i="13"/>
  <c r="L14" i="13" s="1"/>
  <c r="K30" i="13"/>
  <c r="K46" i="13"/>
  <c r="L46" i="13" s="1"/>
  <c r="K62" i="13"/>
  <c r="L62" i="13" s="1"/>
  <c r="K87" i="13"/>
  <c r="L87" i="13" s="1"/>
  <c r="K71" i="13"/>
  <c r="L71" i="13" s="1"/>
  <c r="K39" i="13"/>
  <c r="L39" i="13" s="1"/>
  <c r="K8" i="13"/>
  <c r="L8" i="13" s="1"/>
  <c r="K15" i="13"/>
  <c r="L15" i="13" s="1"/>
  <c r="K31" i="13"/>
  <c r="L31" i="13" s="1"/>
  <c r="K47" i="13"/>
  <c r="L47" i="13" s="1"/>
  <c r="K63" i="13"/>
  <c r="W63" i="13" s="1"/>
  <c r="K86" i="13"/>
  <c r="L86" i="13" s="1"/>
  <c r="K70" i="13"/>
  <c r="L70" i="13" s="1"/>
  <c r="K16" i="13"/>
  <c r="L16" i="13" s="1"/>
  <c r="K32" i="13"/>
  <c r="L32" i="13" s="1"/>
  <c r="K48" i="13"/>
  <c r="L48" i="13" s="1"/>
  <c r="K64" i="13"/>
  <c r="L64" i="13" s="1"/>
  <c r="K85" i="13"/>
  <c r="L85" i="13" s="1"/>
  <c r="K23" i="13"/>
  <c r="L23" i="13" s="1"/>
  <c r="K56" i="13"/>
  <c r="L56" i="13" s="1"/>
  <c r="K75" i="13"/>
  <c r="L75" i="13" s="1"/>
  <c r="K65" i="13"/>
  <c r="L65" i="13" s="1"/>
  <c r="K83" i="13"/>
  <c r="L83" i="13" s="1"/>
  <c r="K19" i="13"/>
  <c r="L19" i="13" s="1"/>
  <c r="K35" i="13"/>
  <c r="L35" i="13" s="1"/>
  <c r="K51" i="13"/>
  <c r="L51" i="13" s="1"/>
  <c r="K67" i="13"/>
  <c r="L67" i="13" s="1"/>
  <c r="K82" i="13"/>
  <c r="L82" i="13" s="1"/>
  <c r="K7" i="13"/>
  <c r="L7" i="13" s="1"/>
  <c r="K41" i="13"/>
  <c r="K91" i="13"/>
  <c r="L91" i="13" s="1"/>
  <c r="L30" i="13"/>
  <c r="K84" i="13"/>
  <c r="L84" i="13" s="1"/>
  <c r="K50" i="13"/>
  <c r="L50" i="13" s="1"/>
  <c r="L41" i="13"/>
  <c r="K3" i="13"/>
  <c r="L3" i="13" s="1"/>
  <c r="K20" i="13"/>
  <c r="L20" i="13" s="1"/>
  <c r="K36" i="13"/>
  <c r="K52" i="13"/>
  <c r="L52" i="13" s="1"/>
  <c r="K68" i="13"/>
  <c r="L68" i="13" s="1"/>
  <c r="K81" i="13"/>
  <c r="L81" i="13" s="1"/>
  <c r="K93" i="13"/>
  <c r="L93" i="13" s="1"/>
  <c r="K42" i="13"/>
  <c r="L42" i="13" s="1"/>
  <c r="K17" i="13"/>
  <c r="L17" i="13" s="1"/>
  <c r="K49" i="13"/>
  <c r="L49" i="13" s="1"/>
  <c r="K18" i="13"/>
  <c r="L18" i="13" s="1"/>
  <c r="K66" i="13"/>
  <c r="L66" i="13" s="1"/>
  <c r="K4" i="13"/>
  <c r="L4" i="13" s="1"/>
  <c r="K21" i="13"/>
  <c r="L21" i="13" s="1"/>
  <c r="K37" i="13"/>
  <c r="L37" i="13" s="1"/>
  <c r="K53" i="13"/>
  <c r="W53" i="13" s="1"/>
  <c r="K69" i="13"/>
  <c r="L69" i="13" s="1"/>
  <c r="K80" i="13"/>
  <c r="L80" i="13" s="1"/>
  <c r="K94" i="13"/>
  <c r="L94" i="13" s="1"/>
  <c r="L53" i="13"/>
  <c r="L36" i="13"/>
  <c r="K25" i="13"/>
  <c r="L25" i="13" s="1"/>
  <c r="K58" i="13"/>
  <c r="L58" i="13" s="1"/>
  <c r="K33" i="13"/>
  <c r="L33" i="13" s="1"/>
  <c r="K34" i="13"/>
  <c r="L34" i="13" s="1"/>
  <c r="K6" i="13"/>
  <c r="L6" i="13" s="1"/>
  <c r="K22" i="13"/>
  <c r="L22" i="13" s="1"/>
  <c r="K38" i="13"/>
  <c r="L38" i="13" s="1"/>
  <c r="K54" i="13"/>
  <c r="L54" i="13" s="1"/>
  <c r="K95" i="13"/>
  <c r="AM4" i="6" l="1"/>
  <c r="R4" i="6"/>
  <c r="L3" i="6"/>
  <c r="BE4" i="6"/>
  <c r="BA4" i="6"/>
  <c r="Z4" i="6"/>
  <c r="AP4" i="6"/>
  <c r="AI4" i="6"/>
  <c r="AA4" i="6"/>
  <c r="BK4" i="6"/>
  <c r="AF4" i="6"/>
  <c r="BG4" i="6"/>
  <c r="AH4" i="6"/>
  <c r="AK4" i="6"/>
  <c r="AX4" i="6"/>
  <c r="S4" i="6"/>
  <c r="BC4" i="6"/>
  <c r="AY4" i="6"/>
  <c r="AQ4" i="6"/>
  <c r="AW4" i="6"/>
  <c r="AB4" i="6"/>
  <c r="T4" i="6"/>
  <c r="X4" i="6"/>
  <c r="AR4" i="6"/>
  <c r="AJ4" i="6"/>
  <c r="AN4" i="6"/>
  <c r="BH4" i="6"/>
  <c r="AZ4" i="6"/>
  <c r="BD4" i="6"/>
  <c r="F3" i="6"/>
  <c r="AV4" i="6"/>
  <c r="BI4" i="6"/>
  <c r="AL4" i="6"/>
  <c r="U4" i="6"/>
  <c r="V4" i="6"/>
  <c r="AD4" i="6"/>
  <c r="BB4" i="6"/>
  <c r="Y4" i="6"/>
  <c r="W4" i="6"/>
  <c r="BF4" i="6"/>
  <c r="AC4" i="6"/>
  <c r="O3" i="6"/>
  <c r="AS4" i="6"/>
  <c r="AT4" i="6"/>
  <c r="AE4" i="6"/>
  <c r="AO4" i="6"/>
  <c r="AU4" i="6"/>
  <c r="BJ4" i="6"/>
  <c r="AG4" i="6"/>
  <c r="AL4" i="5"/>
  <c r="AM4" i="5"/>
  <c r="X4" i="5"/>
  <c r="AT4" i="5"/>
  <c r="BG4" i="5"/>
  <c r="AA4" i="5"/>
  <c r="AZ4" i="5"/>
  <c r="Z4" i="5"/>
  <c r="AD4" i="5"/>
  <c r="BE4" i="5"/>
  <c r="BB4" i="5"/>
  <c r="BM4" i="5"/>
  <c r="AO4" i="5"/>
  <c r="BH4" i="5"/>
  <c r="AY4" i="5"/>
  <c r="AI4" i="5"/>
  <c r="AC4" i="5"/>
  <c r="AS4" i="5"/>
  <c r="AR4" i="5"/>
  <c r="AB4" i="5"/>
  <c r="S4" i="5"/>
  <c r="BI4" i="5"/>
  <c r="AU4" i="5"/>
  <c r="BJ4" i="5"/>
  <c r="O3" i="5"/>
  <c r="AW4" i="5"/>
  <c r="Y4" i="5"/>
  <c r="V4" i="5"/>
  <c r="AE4" i="5"/>
  <c r="BC4" i="5"/>
  <c r="AQ4" i="5"/>
  <c r="AH4" i="5"/>
  <c r="AX4" i="5"/>
  <c r="AV4" i="5"/>
  <c r="F3" i="5"/>
  <c r="W4" i="5"/>
  <c r="BF4" i="5"/>
  <c r="AP4" i="5"/>
  <c r="AG4" i="5"/>
  <c r="AK4" i="5"/>
  <c r="BL4" i="5"/>
  <c r="AF4" i="5"/>
  <c r="BD4" i="5"/>
  <c r="BA4" i="5"/>
  <c r="T4" i="5"/>
  <c r="U4" i="5"/>
  <c r="AJ4" i="5"/>
  <c r="BK4" i="5"/>
  <c r="AN4" i="5"/>
  <c r="L3" i="5"/>
  <c r="BK4" i="4"/>
  <c r="AK4" i="4"/>
  <c r="V4" i="4"/>
  <c r="BH4" i="4"/>
  <c r="O3" i="4"/>
  <c r="Z4" i="4"/>
  <c r="BG4" i="4"/>
  <c r="AR4" i="4"/>
  <c r="AC4" i="4"/>
  <c r="AV4" i="4"/>
  <c r="BC4" i="4"/>
  <c r="AA4" i="4"/>
  <c r="AM4" i="4"/>
  <c r="AS4" i="4"/>
  <c r="BL4" i="4"/>
  <c r="AI4" i="4"/>
  <c r="AY4" i="4"/>
  <c r="AG4" i="4"/>
  <c r="AP4" i="4"/>
  <c r="U4" i="4"/>
  <c r="W4" i="4"/>
  <c r="AF4" i="4"/>
  <c r="BI4" i="4"/>
  <c r="AX4" i="4"/>
  <c r="AJ4" i="4"/>
  <c r="BF4" i="4"/>
  <c r="S4" i="4"/>
  <c r="BA4" i="4"/>
  <c r="L3" i="4"/>
  <c r="AQ4" i="4"/>
  <c r="AZ4" i="4"/>
  <c r="X4" i="4"/>
  <c r="T4" i="4"/>
  <c r="AN4" i="4"/>
  <c r="BD4" i="4"/>
  <c r="AL4" i="4"/>
  <c r="AT4" i="4"/>
  <c r="AO4" i="4"/>
  <c r="BJ4" i="4"/>
  <c r="AW4" i="4"/>
  <c r="BE4" i="4"/>
  <c r="AU4" i="4"/>
  <c r="AB4" i="4"/>
  <c r="AD4" i="4"/>
  <c r="Y4" i="4"/>
  <c r="BB4" i="4"/>
  <c r="AE4" i="4"/>
  <c r="AH4" i="4"/>
  <c r="F3" i="4"/>
  <c r="L79" i="13"/>
  <c r="W79" i="13"/>
  <c r="W45" i="13"/>
  <c r="W38" i="13"/>
  <c r="W20" i="13"/>
  <c r="W40" i="13"/>
  <c r="W60" i="13"/>
  <c r="W14" i="13"/>
  <c r="W91" i="13"/>
  <c r="L63" i="13"/>
  <c r="W7" i="13"/>
  <c r="W30" i="13"/>
  <c r="W33" i="13"/>
  <c r="W3" i="13"/>
  <c r="W85" i="13"/>
  <c r="L55" i="13"/>
  <c r="W41" i="13"/>
  <c r="W62" i="13"/>
  <c r="W65" i="13"/>
  <c r="W82" i="13"/>
  <c r="W15" i="13"/>
  <c r="W51" i="13"/>
  <c r="W84" i="13"/>
  <c r="W70" i="13"/>
  <c r="W12" i="13"/>
  <c r="W58" i="13"/>
  <c r="W47" i="13"/>
  <c r="W50" i="13"/>
  <c r="W80" i="13"/>
  <c r="W26" i="13"/>
  <c r="W13" i="13"/>
  <c r="W44" i="13"/>
  <c r="W18" i="13"/>
  <c r="W71" i="13"/>
  <c r="W87" i="13"/>
  <c r="W56" i="13"/>
  <c r="W28" i="13"/>
  <c r="W23" i="13"/>
  <c r="W78" i="13"/>
  <c r="L11" i="13"/>
  <c r="W6" i="13"/>
  <c r="W61" i="13"/>
  <c r="W16" i="13"/>
  <c r="W34" i="13"/>
  <c r="W72" i="13"/>
  <c r="W93" i="13"/>
  <c r="W46" i="13"/>
  <c r="L95" i="13"/>
  <c r="W95" i="13"/>
  <c r="W8" i="13"/>
  <c r="W22" i="13"/>
  <c r="W32" i="13"/>
  <c r="W66" i="13"/>
  <c r="W76" i="13"/>
  <c r="W88" i="13"/>
  <c r="W21" i="13"/>
  <c r="W24" i="13"/>
  <c r="W48" i="13"/>
  <c r="W19" i="13"/>
  <c r="W74" i="13"/>
  <c r="W83" i="13"/>
  <c r="X9" i="13" l="1"/>
  <c r="Y9" i="13" s="1"/>
  <c r="X42" i="13"/>
  <c r="Y42" i="13" s="1"/>
  <c r="X32" i="13"/>
  <c r="Y32" i="13" s="1"/>
  <c r="X56" i="13"/>
  <c r="Y56" i="13" s="1"/>
  <c r="X38" i="13"/>
  <c r="Y38" i="13" s="1"/>
  <c r="M57" i="13"/>
  <c r="O57" i="13" s="1"/>
  <c r="M29" i="13"/>
  <c r="O29" i="13" s="1"/>
  <c r="X64" i="13"/>
  <c r="Y64" i="13" s="1"/>
  <c r="X22" i="13"/>
  <c r="Y22" i="13" s="1"/>
  <c r="X8" i="13"/>
  <c r="Y8" i="13" s="1"/>
  <c r="X18" i="13"/>
  <c r="Y18" i="13" s="1"/>
  <c r="X27" i="13"/>
  <c r="Y27" i="13" s="1"/>
  <c r="X17" i="13"/>
  <c r="Y17" i="13" s="1"/>
  <c r="X34" i="13"/>
  <c r="Y34" i="13" s="1"/>
  <c r="X37" i="13"/>
  <c r="Y37" i="13" s="1"/>
  <c r="X65" i="13"/>
  <c r="Y65" i="13" s="1"/>
  <c r="M24" i="13"/>
  <c r="O24" i="13" s="1"/>
  <c r="X53" i="13"/>
  <c r="Y53" i="13" s="1"/>
  <c r="X63" i="13"/>
  <c r="Y63" i="13" s="1"/>
  <c r="X19" i="13"/>
  <c r="Y19" i="13" s="1"/>
  <c r="X7" i="13"/>
  <c r="Y7" i="13" s="1"/>
  <c r="X61" i="13"/>
  <c r="Y61" i="13" s="1"/>
  <c r="X6" i="13"/>
  <c r="Y6" i="13" s="1"/>
  <c r="X14" i="13"/>
  <c r="Y14" i="13" s="1"/>
  <c r="X52" i="13"/>
  <c r="Y52" i="13" s="1"/>
  <c r="X36" i="13"/>
  <c r="Y36" i="13" s="1"/>
  <c r="X46" i="13"/>
  <c r="Y46" i="13" s="1"/>
  <c r="X5" i="13"/>
  <c r="Y5" i="13" s="1"/>
  <c r="X57" i="13"/>
  <c r="Y57" i="13" s="1"/>
  <c r="X50" i="13"/>
  <c r="Y50" i="13" s="1"/>
  <c r="X69" i="13"/>
  <c r="Y69" i="13" s="1"/>
  <c r="X58" i="13"/>
  <c r="Y58" i="13" s="1"/>
  <c r="X12" i="13"/>
  <c r="Y12" i="13" s="1"/>
  <c r="X4" i="13"/>
  <c r="Y4" i="13" s="1"/>
  <c r="X21" i="13"/>
  <c r="Y21" i="13" s="1"/>
  <c r="X60" i="13"/>
  <c r="Y60" i="13" s="1"/>
  <c r="X43" i="13"/>
  <c r="Y43" i="13" s="1"/>
  <c r="X54" i="13"/>
  <c r="Y54" i="13" s="1"/>
  <c r="X41" i="13"/>
  <c r="Y41" i="13" s="1"/>
  <c r="X44" i="13"/>
  <c r="Y44" i="13" s="1"/>
  <c r="X13" i="13"/>
  <c r="Y13" i="13" s="1"/>
  <c r="W1" i="13"/>
  <c r="X84" i="13"/>
  <c r="Y84" i="13" s="1"/>
  <c r="X76" i="13"/>
  <c r="Y76" i="13" s="1"/>
  <c r="X85" i="13"/>
  <c r="Y85" i="13" s="1"/>
  <c r="X72" i="13"/>
  <c r="Y72" i="13" s="1"/>
  <c r="X75" i="13"/>
  <c r="Y75" i="13" s="1"/>
  <c r="X91" i="13"/>
  <c r="Y91" i="13" s="1"/>
  <c r="X82" i="13"/>
  <c r="Y82" i="13" s="1"/>
  <c r="X70" i="13"/>
  <c r="Y70" i="13" s="1"/>
  <c r="X86" i="13"/>
  <c r="Y86" i="13" s="1"/>
  <c r="X88" i="13"/>
  <c r="Y88" i="13" s="1"/>
  <c r="X83" i="13"/>
  <c r="Y83" i="13" s="1"/>
  <c r="X71" i="13"/>
  <c r="Y71" i="13" s="1"/>
  <c r="X87" i="13"/>
  <c r="Y87" i="13" s="1"/>
  <c r="X73" i="13"/>
  <c r="Y73" i="13" s="1"/>
  <c r="X89" i="13"/>
  <c r="Y89" i="13" s="1"/>
  <c r="X74" i="13"/>
  <c r="Y74" i="13" s="1"/>
  <c r="X90" i="13"/>
  <c r="Y90" i="13" s="1"/>
  <c r="X92" i="13"/>
  <c r="Y92" i="13" s="1"/>
  <c r="X77" i="13"/>
  <c r="Y77" i="13" s="1"/>
  <c r="X93" i="13"/>
  <c r="Y93" i="13" s="1"/>
  <c r="X78" i="13"/>
  <c r="Y78" i="13" s="1"/>
  <c r="X94" i="13"/>
  <c r="Y94" i="13" s="1"/>
  <c r="X79" i="13"/>
  <c r="Y79" i="13" s="1"/>
  <c r="X95" i="13"/>
  <c r="Y95" i="13" s="1"/>
  <c r="X80" i="13"/>
  <c r="Y80" i="13" s="1"/>
  <c r="X81" i="13"/>
  <c r="Y81" i="13" s="1"/>
  <c r="X35" i="13"/>
  <c r="Y35" i="13" s="1"/>
  <c r="X30" i="13"/>
  <c r="Y30" i="13" s="1"/>
  <c r="X47" i="13"/>
  <c r="Y47" i="13" s="1"/>
  <c r="X31" i="13"/>
  <c r="Y31" i="13" s="1"/>
  <c r="X51" i="13"/>
  <c r="Y51" i="13" s="1"/>
  <c r="X40" i="13"/>
  <c r="Y40" i="13" s="1"/>
  <c r="X39" i="13"/>
  <c r="Y39" i="13" s="1"/>
  <c r="X67" i="13"/>
  <c r="Y67" i="13" s="1"/>
  <c r="X45" i="13"/>
  <c r="Y45" i="13" s="1"/>
  <c r="X62" i="13"/>
  <c r="Y62" i="13" s="1"/>
  <c r="X49" i="13"/>
  <c r="Y49" i="13" s="1"/>
  <c r="X59" i="13"/>
  <c r="Y59" i="13" s="1"/>
  <c r="X10" i="13"/>
  <c r="Y10" i="13" s="1"/>
  <c r="X26" i="13"/>
  <c r="Y26" i="13" s="1"/>
  <c r="X33" i="13"/>
  <c r="Y33" i="13" s="1"/>
  <c r="X25" i="13"/>
  <c r="Y25" i="13" s="1"/>
  <c r="X16" i="13"/>
  <c r="Y16" i="13" s="1"/>
  <c r="X29" i="13"/>
  <c r="Y29" i="13" s="1"/>
  <c r="X48" i="13"/>
  <c r="Y48" i="13" s="1"/>
  <c r="X24" i="13"/>
  <c r="Y24" i="13" s="1"/>
  <c r="X11" i="13"/>
  <c r="Y11" i="13" s="1"/>
  <c r="X23" i="13"/>
  <c r="Y23" i="13" s="1"/>
  <c r="X66" i="13"/>
  <c r="Y66" i="13" s="1"/>
  <c r="X28" i="13"/>
  <c r="Y28" i="13" s="1"/>
  <c r="X15" i="13"/>
  <c r="Y15" i="13" s="1"/>
  <c r="X20" i="13"/>
  <c r="Y20" i="13" s="1"/>
  <c r="X55" i="13"/>
  <c r="Y55" i="13" s="1"/>
  <c r="X68" i="13"/>
  <c r="Y68" i="13" s="1"/>
  <c r="X3" i="13"/>
  <c r="Y3" i="13" s="1"/>
  <c r="M34" i="13"/>
  <c r="O34" i="13" s="1"/>
  <c r="M31" i="13"/>
  <c r="O31" i="13" s="1"/>
  <c r="M21" i="13"/>
  <c r="O21" i="13" s="1"/>
  <c r="M37" i="13"/>
  <c r="O37" i="13" s="1"/>
  <c r="M67" i="13"/>
  <c r="O67" i="13" s="1"/>
  <c r="M44" i="13"/>
  <c r="O44" i="13" s="1"/>
  <c r="M72" i="13"/>
  <c r="O72" i="13" s="1"/>
  <c r="M54" i="13"/>
  <c r="O54" i="13" s="1"/>
  <c r="M52" i="13"/>
  <c r="O52" i="13" s="1"/>
  <c r="M13" i="13"/>
  <c r="O13" i="13" s="1"/>
  <c r="M28" i="13"/>
  <c r="O28" i="13" s="1"/>
  <c r="M69" i="13"/>
  <c r="O69" i="13" s="1"/>
  <c r="M7" i="13"/>
  <c r="O7" i="13" s="1"/>
  <c r="M25" i="13"/>
  <c r="O25" i="13" s="1"/>
  <c r="M87" i="13"/>
  <c r="O87" i="13" s="1"/>
  <c r="M80" i="13"/>
  <c r="O80" i="13" s="1"/>
  <c r="M23" i="13"/>
  <c r="O23" i="13" s="1"/>
  <c r="M15" i="13"/>
  <c r="O15" i="13" s="1"/>
  <c r="M35" i="13"/>
  <c r="O35" i="13" s="1"/>
  <c r="M55" i="13"/>
  <c r="O55" i="13" s="1"/>
  <c r="M95" i="13"/>
  <c r="O95" i="13" s="1"/>
  <c r="M47" i="13"/>
  <c r="O47" i="13" s="1"/>
  <c r="M94" i="13"/>
  <c r="O94" i="13" s="1"/>
  <c r="M83" i="13"/>
  <c r="O83" i="13" s="1"/>
  <c r="M11" i="13"/>
  <c r="O11" i="13" s="1"/>
  <c r="M12" i="13"/>
  <c r="O12" i="13" s="1"/>
  <c r="M48" i="13"/>
  <c r="O48" i="13" s="1"/>
  <c r="M4" i="13"/>
  <c r="O4" i="13" s="1"/>
  <c r="M39" i="13"/>
  <c r="O39" i="13" s="1"/>
  <c r="M75" i="13"/>
  <c r="O75" i="13" s="1"/>
  <c r="M9" i="13"/>
  <c r="O9" i="13" s="1"/>
  <c r="M19" i="13"/>
  <c r="O19" i="13" s="1"/>
  <c r="M79" i="13"/>
  <c r="O79" i="13" s="1"/>
  <c r="M86" i="13"/>
  <c r="O86" i="13" s="1"/>
  <c r="M62" i="13"/>
  <c r="O62" i="13" s="1"/>
  <c r="M76" i="13"/>
  <c r="O76" i="13" s="1"/>
  <c r="M51" i="13"/>
  <c r="O51" i="13" s="1"/>
  <c r="M41" i="13"/>
  <c r="O41" i="13" s="1"/>
  <c r="M18" i="13"/>
  <c r="O18" i="13" s="1"/>
  <c r="M93" i="13"/>
  <c r="O93" i="13" s="1"/>
  <c r="M78" i="13"/>
  <c r="O78" i="13" s="1"/>
  <c r="M59" i="13"/>
  <c r="O59" i="13" s="1"/>
  <c r="M60" i="13"/>
  <c r="O60" i="13" s="1"/>
  <c r="M85" i="13"/>
  <c r="O85" i="13" s="1"/>
  <c r="M58" i="13"/>
  <c r="O58" i="13" s="1"/>
  <c r="M61" i="13"/>
  <c r="O61" i="13" s="1"/>
  <c r="M6" i="13"/>
  <c r="O6" i="13" s="1"/>
  <c r="M40" i="13"/>
  <c r="O40" i="13" s="1"/>
  <c r="M91" i="13"/>
  <c r="O91" i="13" s="1"/>
  <c r="M88" i="13"/>
  <c r="O88" i="13" s="1"/>
  <c r="M38" i="13"/>
  <c r="O38" i="13" s="1"/>
  <c r="M16" i="13"/>
  <c r="O16" i="13" s="1"/>
  <c r="M89" i="13"/>
  <c r="O89" i="13" s="1"/>
  <c r="M73" i="13"/>
  <c r="O73" i="13" s="1"/>
  <c r="M77" i="13"/>
  <c r="O77" i="13" s="1"/>
  <c r="M26" i="13"/>
  <c r="O26" i="13" s="1"/>
  <c r="M3" i="13"/>
  <c r="O3" i="13" s="1"/>
  <c r="M30" i="13"/>
  <c r="O30" i="13" s="1"/>
  <c r="M66" i="13"/>
  <c r="O66" i="13" s="1"/>
  <c r="M84" i="13"/>
  <c r="O84" i="13" s="1"/>
  <c r="M46" i="13"/>
  <c r="O46" i="13" s="1"/>
  <c r="M65" i="13"/>
  <c r="O65" i="13" s="1"/>
  <c r="M81" i="13"/>
  <c r="O81" i="13" s="1"/>
  <c r="L1" i="13"/>
  <c r="P84" i="13" s="1"/>
  <c r="Q84" i="13" s="1"/>
  <c r="R84" i="13" s="1"/>
  <c r="S84" i="13" s="1"/>
  <c r="M10" i="13"/>
  <c r="O10" i="13" s="1"/>
  <c r="M32" i="13"/>
  <c r="O32" i="13" s="1"/>
  <c r="M70" i="13"/>
  <c r="O70" i="13" s="1"/>
  <c r="M64" i="13"/>
  <c r="O64" i="13" s="1"/>
  <c r="M74" i="13"/>
  <c r="O74" i="13" s="1"/>
  <c r="M36" i="13"/>
  <c r="O36" i="13" s="1"/>
  <c r="M90" i="13"/>
  <c r="O90" i="13" s="1"/>
  <c r="M56" i="13"/>
  <c r="O56" i="13" s="1"/>
  <c r="M53" i="13"/>
  <c r="O53" i="13" s="1"/>
  <c r="M5" i="13"/>
  <c r="O5" i="13" s="1"/>
  <c r="M49" i="13"/>
  <c r="O49" i="13" s="1"/>
  <c r="M50" i="13"/>
  <c r="O50" i="13" s="1"/>
  <c r="M8" i="13"/>
  <c r="O8" i="13" s="1"/>
  <c r="M27" i="13"/>
  <c r="O27" i="13" s="1"/>
  <c r="M63" i="13"/>
  <c r="O63" i="13" s="1"/>
  <c r="M20" i="13"/>
  <c r="O20" i="13" s="1"/>
  <c r="M22" i="13"/>
  <c r="O22" i="13" s="1"/>
  <c r="M92" i="13"/>
  <c r="O92" i="13" s="1"/>
  <c r="M82" i="13"/>
  <c r="O82" i="13" s="1"/>
  <c r="M33" i="13"/>
  <c r="O33" i="13" s="1"/>
  <c r="M42" i="13"/>
  <c r="O42" i="13" s="1"/>
  <c r="M68" i="13"/>
  <c r="O68" i="13" s="1"/>
  <c r="M71" i="13"/>
  <c r="O71" i="13" s="1"/>
  <c r="M17" i="13"/>
  <c r="O17" i="13" s="1"/>
  <c r="M43" i="13"/>
  <c r="O43" i="13" s="1"/>
  <c r="M45" i="13"/>
  <c r="O45" i="13" s="1"/>
  <c r="M14" i="13"/>
  <c r="O14" i="13" s="1"/>
  <c r="P46" i="13" l="1"/>
  <c r="Q46" i="13" s="1"/>
  <c r="R46" i="13" s="1"/>
  <c r="S46" i="13" s="1"/>
  <c r="P62" i="13"/>
  <c r="Q62" i="13" s="1"/>
  <c r="R62" i="13" s="1"/>
  <c r="S62" i="13" s="1"/>
  <c r="P28" i="13"/>
  <c r="Q28" i="13" s="1"/>
  <c r="R28" i="13" s="1"/>
  <c r="S28" i="13" s="1"/>
  <c r="P68" i="13"/>
  <c r="Q68" i="13" s="1"/>
  <c r="R68" i="13" s="1"/>
  <c r="S68" i="13" s="1"/>
  <c r="P12" i="13"/>
  <c r="Q12" i="13" s="1"/>
  <c r="R12" i="13" s="1"/>
  <c r="S12" i="13" s="1"/>
  <c r="P33" i="13"/>
  <c r="Q33" i="13" s="1"/>
  <c r="R33" i="13" s="1"/>
  <c r="S33" i="13" s="1"/>
  <c r="P17" i="13"/>
  <c r="Q17" i="13" s="1"/>
  <c r="R17" i="13" s="1"/>
  <c r="S17" i="13" s="1"/>
  <c r="P43" i="13"/>
  <c r="Q43" i="13" s="1"/>
  <c r="R43" i="13" s="1"/>
  <c r="S43" i="13" s="1"/>
  <c r="P11" i="13"/>
  <c r="Q11" i="13" s="1"/>
  <c r="R11" i="13" s="1"/>
  <c r="S11" i="13" s="1"/>
  <c r="P30" i="13"/>
  <c r="Q30" i="13" s="1"/>
  <c r="R30" i="13" s="1"/>
  <c r="S30" i="13" s="1"/>
  <c r="P75" i="13"/>
  <c r="Q75" i="13" s="1"/>
  <c r="R75" i="13" s="1"/>
  <c r="S75" i="13" s="1"/>
  <c r="P52" i="13"/>
  <c r="Q52" i="13" s="1"/>
  <c r="R52" i="13" s="1"/>
  <c r="S52" i="13" s="1"/>
  <c r="P64" i="13"/>
  <c r="Q64" i="13" s="1"/>
  <c r="R64" i="13" s="1"/>
  <c r="S64" i="13" s="1"/>
  <c r="P48" i="13"/>
  <c r="Q48" i="13" s="1"/>
  <c r="R48" i="13" s="1"/>
  <c r="S48" i="13" s="1"/>
  <c r="P4" i="13"/>
  <c r="Q4" i="13" s="1"/>
  <c r="R4" i="13" s="1"/>
  <c r="S4" i="13" s="1"/>
  <c r="P32" i="13"/>
  <c r="Q32" i="13" s="1"/>
  <c r="R32" i="13" s="1"/>
  <c r="S32" i="13" s="1"/>
  <c r="P50" i="13"/>
  <c r="Q50" i="13" s="1"/>
  <c r="R50" i="13" s="1"/>
  <c r="S50" i="13" s="1"/>
  <c r="P89" i="13"/>
  <c r="Q89" i="13" s="1"/>
  <c r="R89" i="13" s="1"/>
  <c r="S89" i="13" s="1"/>
  <c r="P26" i="13"/>
  <c r="Q26" i="13" s="1"/>
  <c r="R26" i="13" s="1"/>
  <c r="S26" i="13" s="1"/>
  <c r="P69" i="13"/>
  <c r="Q69" i="13" s="1"/>
  <c r="R69" i="13" s="1"/>
  <c r="S69" i="13" s="1"/>
  <c r="P3" i="13"/>
  <c r="Q3" i="13" s="1"/>
  <c r="R3" i="13" s="1"/>
  <c r="S3" i="13" s="1"/>
  <c r="P90" i="13"/>
  <c r="Q90" i="13" s="1"/>
  <c r="R90" i="13" s="1"/>
  <c r="S90" i="13" s="1"/>
  <c r="P16" i="13"/>
  <c r="Q16" i="13" s="1"/>
  <c r="R16" i="13" s="1"/>
  <c r="S16" i="13" s="1"/>
  <c r="P79" i="13"/>
  <c r="Q79" i="13" s="1"/>
  <c r="R79" i="13" s="1"/>
  <c r="S79" i="13" s="1"/>
  <c r="P25" i="13"/>
  <c r="Q25" i="13" s="1"/>
  <c r="R25" i="13" s="1"/>
  <c r="S25" i="13" s="1"/>
  <c r="P57" i="13"/>
  <c r="Q57" i="13" s="1"/>
  <c r="R57" i="13" s="1"/>
  <c r="S57" i="13" s="1"/>
  <c r="P53" i="13"/>
  <c r="Q53" i="13" s="1"/>
  <c r="R53" i="13" s="1"/>
  <c r="S53" i="13" s="1"/>
  <c r="P58" i="13"/>
  <c r="Q58" i="13" s="1"/>
  <c r="R58" i="13" s="1"/>
  <c r="S58" i="13" s="1"/>
  <c r="P8" i="13"/>
  <c r="Q8" i="13" s="1"/>
  <c r="R8" i="13" s="1"/>
  <c r="S8" i="13" s="1"/>
  <c r="P19" i="13"/>
  <c r="Q19" i="13" s="1"/>
  <c r="R19" i="13" s="1"/>
  <c r="S19" i="13" s="1"/>
  <c r="P31" i="13"/>
  <c r="Q31" i="13" s="1"/>
  <c r="R31" i="13" s="1"/>
  <c r="S31" i="13" s="1"/>
  <c r="P40" i="13"/>
  <c r="Q40" i="13" s="1"/>
  <c r="R40" i="13" s="1"/>
  <c r="S40" i="13" s="1"/>
  <c r="P86" i="13"/>
  <c r="Q86" i="13" s="1"/>
  <c r="R86" i="13" s="1"/>
  <c r="S86" i="13" s="1"/>
  <c r="P21" i="13"/>
  <c r="Q21" i="13" s="1"/>
  <c r="R21" i="13" s="1"/>
  <c r="S21" i="13" s="1"/>
  <c r="P14" i="13"/>
  <c r="Q14" i="13" s="1"/>
  <c r="R14" i="13" s="1"/>
  <c r="S14" i="13" s="1"/>
  <c r="P24" i="13"/>
  <c r="Q24" i="13" s="1"/>
  <c r="R24" i="13" s="1"/>
  <c r="S24" i="13" s="1"/>
  <c r="P74" i="13"/>
  <c r="Q74" i="13" s="1"/>
  <c r="R74" i="13" s="1"/>
  <c r="S74" i="13" s="1"/>
  <c r="P82" i="13"/>
  <c r="Q82" i="13" s="1"/>
  <c r="R82" i="13" s="1"/>
  <c r="S82" i="13" s="1"/>
  <c r="P77" i="13"/>
  <c r="Q77" i="13" s="1"/>
  <c r="R77" i="13" s="1"/>
  <c r="S77" i="13" s="1"/>
  <c r="P66" i="13"/>
  <c r="Q66" i="13" s="1"/>
  <c r="R66" i="13" s="1"/>
  <c r="S66" i="13" s="1"/>
  <c r="P95" i="13"/>
  <c r="Q95" i="13" s="1"/>
  <c r="R95" i="13" s="1"/>
  <c r="S95" i="13" s="1"/>
  <c r="P61" i="13"/>
  <c r="Q61" i="13" s="1"/>
  <c r="R61" i="13" s="1"/>
  <c r="S61" i="13" s="1"/>
  <c r="P55" i="13"/>
  <c r="Q55" i="13" s="1"/>
  <c r="R55" i="13" s="1"/>
  <c r="S55" i="13" s="1"/>
  <c r="P38" i="13"/>
  <c r="Q38" i="13" s="1"/>
  <c r="R38" i="13" s="1"/>
  <c r="S38" i="13" s="1"/>
  <c r="P59" i="13"/>
  <c r="Q59" i="13" s="1"/>
  <c r="R59" i="13" s="1"/>
  <c r="S59" i="13" s="1"/>
  <c r="P51" i="13"/>
  <c r="Q51" i="13" s="1"/>
  <c r="R51" i="13" s="1"/>
  <c r="S51" i="13" s="1"/>
  <c r="P47" i="13"/>
  <c r="Q47" i="13" s="1"/>
  <c r="R47" i="13" s="1"/>
  <c r="S47" i="13" s="1"/>
  <c r="P35" i="13"/>
  <c r="Q35" i="13" s="1"/>
  <c r="R35" i="13" s="1"/>
  <c r="S35" i="13" s="1"/>
  <c r="P44" i="13"/>
  <c r="Q44" i="13" s="1"/>
  <c r="R44" i="13" s="1"/>
  <c r="S44" i="13" s="1"/>
  <c r="P18" i="13"/>
  <c r="Q18" i="13" s="1"/>
  <c r="R18" i="13" s="1"/>
  <c r="S18" i="13" s="1"/>
  <c r="P63" i="13"/>
  <c r="Q63" i="13" s="1"/>
  <c r="R63" i="13" s="1"/>
  <c r="S63" i="13" s="1"/>
  <c r="P45" i="13"/>
  <c r="Q45" i="13" s="1"/>
  <c r="R45" i="13" s="1"/>
  <c r="S45" i="13" s="1"/>
  <c r="P39" i="13"/>
  <c r="Q39" i="13" s="1"/>
  <c r="R39" i="13" s="1"/>
  <c r="S39" i="13" s="1"/>
  <c r="P22" i="13"/>
  <c r="Q22" i="13" s="1"/>
  <c r="R22" i="13" s="1"/>
  <c r="S22" i="13" s="1"/>
  <c r="P73" i="13"/>
  <c r="Q73" i="13" s="1"/>
  <c r="R73" i="13" s="1"/>
  <c r="S73" i="13" s="1"/>
  <c r="P41" i="13"/>
  <c r="Q41" i="13" s="1"/>
  <c r="R41" i="13" s="1"/>
  <c r="S41" i="13" s="1"/>
  <c r="P42" i="13"/>
  <c r="Q42" i="13" s="1"/>
  <c r="R42" i="13" s="1"/>
  <c r="S42" i="13" s="1"/>
  <c r="P20" i="13"/>
  <c r="Q20" i="13" s="1"/>
  <c r="R20" i="13" s="1"/>
  <c r="S20" i="13" s="1"/>
  <c r="P85" i="13"/>
  <c r="Q85" i="13" s="1"/>
  <c r="R85" i="13" s="1"/>
  <c r="S85" i="13" s="1"/>
  <c r="P88" i="13"/>
  <c r="Q88" i="13" s="1"/>
  <c r="R88" i="13" s="1"/>
  <c r="S88" i="13" s="1"/>
  <c r="P70" i="13"/>
  <c r="Q70" i="13" s="1"/>
  <c r="R70" i="13" s="1"/>
  <c r="S70" i="13" s="1"/>
  <c r="P54" i="13"/>
  <c r="Q54" i="13" s="1"/>
  <c r="R54" i="13" s="1"/>
  <c r="S54" i="13" s="1"/>
  <c r="P81" i="13"/>
  <c r="Q81" i="13" s="1"/>
  <c r="R81" i="13" s="1"/>
  <c r="S81" i="13" s="1"/>
  <c r="P15" i="13"/>
  <c r="Q15" i="13" s="1"/>
  <c r="R15" i="13" s="1"/>
  <c r="S15" i="13" s="1"/>
  <c r="P29" i="13"/>
  <c r="Q29" i="13" s="1"/>
  <c r="R29" i="13" s="1"/>
  <c r="S29" i="13" s="1"/>
  <c r="P23" i="13"/>
  <c r="Q23" i="13" s="1"/>
  <c r="R23" i="13" s="1"/>
  <c r="S23" i="13" s="1"/>
  <c r="P6" i="13"/>
  <c r="Q6" i="13" s="1"/>
  <c r="R6" i="13" s="1"/>
  <c r="S6" i="13" s="1"/>
  <c r="P9" i="13"/>
  <c r="Q9" i="13" s="1"/>
  <c r="R9" i="13" s="1"/>
  <c r="S9" i="13" s="1"/>
  <c r="P80" i="13"/>
  <c r="Q80" i="13" s="1"/>
  <c r="R80" i="13" s="1"/>
  <c r="S80" i="13" s="1"/>
  <c r="P72" i="13"/>
  <c r="Q72" i="13" s="1"/>
  <c r="R72" i="13" s="1"/>
  <c r="S72" i="13" s="1"/>
  <c r="P10" i="13"/>
  <c r="Q10" i="13" s="1"/>
  <c r="R10" i="13" s="1"/>
  <c r="S10" i="13" s="1"/>
  <c r="P37" i="13"/>
  <c r="Q37" i="13" s="1"/>
  <c r="R37" i="13" s="1"/>
  <c r="S37" i="13" s="1"/>
  <c r="P83" i="13"/>
  <c r="Q83" i="13" s="1"/>
  <c r="R83" i="13" s="1"/>
  <c r="S83" i="13" s="1"/>
  <c r="P93" i="13"/>
  <c r="Q93" i="13" s="1"/>
  <c r="R93" i="13" s="1"/>
  <c r="S93" i="13" s="1"/>
  <c r="P5" i="13"/>
  <c r="Q5" i="13" s="1"/>
  <c r="R5" i="13" s="1"/>
  <c r="S5" i="13" s="1"/>
  <c r="P34" i="13"/>
  <c r="Q34" i="13" s="1"/>
  <c r="R34" i="13" s="1"/>
  <c r="S34" i="13" s="1"/>
  <c r="P65" i="13"/>
  <c r="Q65" i="13" s="1"/>
  <c r="R65" i="13" s="1"/>
  <c r="S65" i="13" s="1"/>
  <c r="P94" i="13"/>
  <c r="Q94" i="13" s="1"/>
  <c r="R94" i="13" s="1"/>
  <c r="S94" i="13" s="1"/>
  <c r="P13" i="13"/>
  <c r="Q13" i="13" s="1"/>
  <c r="R13" i="13" s="1"/>
  <c r="S13" i="13" s="1"/>
  <c r="P7" i="13"/>
  <c r="Q7" i="13" s="1"/>
  <c r="R7" i="13" s="1"/>
  <c r="S7" i="13" s="1"/>
  <c r="P60" i="13"/>
  <c r="Q60" i="13" s="1"/>
  <c r="R60" i="13" s="1"/>
  <c r="S60" i="13" s="1"/>
  <c r="P56" i="13"/>
  <c r="Q56" i="13" s="1"/>
  <c r="R56" i="13" s="1"/>
  <c r="S56" i="13" s="1"/>
  <c r="P27" i="13"/>
  <c r="Q27" i="13" s="1"/>
  <c r="R27" i="13" s="1"/>
  <c r="S27" i="13" s="1"/>
  <c r="P36" i="13"/>
  <c r="Q36" i="13" s="1"/>
  <c r="R36" i="13" s="1"/>
  <c r="S36" i="13" s="1"/>
  <c r="P67" i="13"/>
  <c r="Q67" i="13" s="1"/>
  <c r="R67" i="13" s="1"/>
  <c r="S67" i="13" s="1"/>
  <c r="P87" i="13"/>
  <c r="Q87" i="13" s="1"/>
  <c r="R87" i="13" s="1"/>
  <c r="S87" i="13" s="1"/>
  <c r="P71" i="13"/>
  <c r="Q71" i="13" s="1"/>
  <c r="R71" i="13" s="1"/>
  <c r="S71" i="13" s="1"/>
  <c r="P49" i="13"/>
  <c r="Q49" i="13" s="1"/>
  <c r="R49" i="13" s="1"/>
  <c r="S49" i="13" s="1"/>
  <c r="P78" i="13"/>
  <c r="Q78" i="13" s="1"/>
  <c r="R78" i="13" s="1"/>
  <c r="S78" i="13" s="1"/>
  <c r="P92" i="13"/>
  <c r="Q92" i="13" s="1"/>
  <c r="R92" i="13" s="1"/>
  <c r="S92" i="13" s="1"/>
  <c r="P76" i="13"/>
  <c r="Q76" i="13" s="1"/>
  <c r="R76" i="13" s="1"/>
  <c r="S76" i="13" s="1"/>
  <c r="P91" i="13"/>
  <c r="Q91" i="13" s="1"/>
  <c r="R91" i="13" s="1"/>
  <c r="S91" i="13" s="1"/>
  <c r="T84" i="13"/>
  <c r="T12" i="13" l="1"/>
  <c r="T46" i="13"/>
  <c r="T28" i="13"/>
  <c r="T62" i="13"/>
  <c r="T17" i="13"/>
  <c r="T68" i="13"/>
  <c r="T33" i="13"/>
  <c r="T8" i="13"/>
  <c r="T43" i="13"/>
  <c r="T75" i="13"/>
  <c r="T20" i="13"/>
  <c r="T70" i="13"/>
  <c r="T85" i="13"/>
  <c r="T76" i="13"/>
  <c r="T32" i="13"/>
  <c r="T53" i="13"/>
  <c r="T5" i="13"/>
  <c r="T48" i="13"/>
  <c r="T50" i="13"/>
  <c r="T88" i="13"/>
  <c r="T92" i="13"/>
  <c r="T57" i="13"/>
  <c r="T30" i="13"/>
  <c r="T63" i="13"/>
  <c r="T24" i="13"/>
  <c r="T64" i="13"/>
  <c r="T58" i="13"/>
  <c r="T55" i="13"/>
  <c r="T3" i="13"/>
  <c r="T69" i="13"/>
  <c r="T38" i="13"/>
  <c r="T6" i="13"/>
  <c r="T26" i="13"/>
  <c r="T27" i="13"/>
  <c r="T52" i="13"/>
  <c r="T61" i="13"/>
  <c r="T34" i="13"/>
  <c r="T93" i="13"/>
  <c r="T11" i="13"/>
  <c r="T80" i="13"/>
  <c r="T49" i="13"/>
  <c r="T66" i="13"/>
  <c r="T91" i="13"/>
  <c r="T29" i="13"/>
  <c r="T59" i="13"/>
  <c r="T23" i="13"/>
  <c r="T86" i="13"/>
  <c r="T79" i="13"/>
  <c r="T21" i="13"/>
  <c r="T54" i="13"/>
  <c r="T19" i="13"/>
  <c r="T41" i="13"/>
  <c r="T47" i="13"/>
  <c r="T9" i="13"/>
  <c r="T89" i="13"/>
  <c r="T44" i="13"/>
  <c r="T95" i="13"/>
  <c r="T87" i="13"/>
  <c r="T78" i="13"/>
  <c r="T15" i="13"/>
  <c r="T90" i="13"/>
  <c r="T22" i="13"/>
  <c r="T42" i="13"/>
  <c r="T81" i="13"/>
  <c r="T71" i="13"/>
  <c r="T14" i="13"/>
  <c r="T73" i="13"/>
  <c r="T56" i="13"/>
  <c r="T31" i="13"/>
  <c r="T82" i="13"/>
  <c r="T7" i="13"/>
  <c r="T25" i="13"/>
  <c r="T67" i="13"/>
  <c r="T77" i="13"/>
  <c r="T35" i="13"/>
  <c r="T4" i="13"/>
  <c r="T60" i="13"/>
  <c r="T39" i="13"/>
  <c r="T13" i="13"/>
  <c r="T83" i="13"/>
  <c r="T16" i="13"/>
  <c r="T37" i="13"/>
  <c r="T10" i="13"/>
  <c r="T36" i="13"/>
  <c r="T18" i="13"/>
  <c r="T94" i="13"/>
  <c r="T45" i="13"/>
  <c r="T74" i="13"/>
  <c r="T51" i="13"/>
  <c r="T72" i="13"/>
  <c r="T40" i="13"/>
  <c r="T65" i="13"/>
  <c r="T1" i="13" l="1"/>
  <c r="U1" i="13" l="1"/>
  <c r="X1" i="13"/>
  <c r="K7" i="1" l="1"/>
  <c r="D27" i="1"/>
  <c r="D29" i="1"/>
  <c r="D133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C27" i="1" s="1"/>
  <c r="E28" i="1"/>
  <c r="E29" i="1"/>
  <c r="C29" i="1" s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C133" i="1" s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9" i="1"/>
  <c r="B10" i="1"/>
  <c r="B11" i="1"/>
  <c r="B12" i="1"/>
  <c r="B13" i="1"/>
  <c r="D14" i="1"/>
  <c r="B15" i="1"/>
  <c r="B16" i="1"/>
  <c r="B17" i="1"/>
  <c r="B18" i="1"/>
  <c r="D19" i="1"/>
  <c r="B20" i="1"/>
  <c r="B21" i="1"/>
  <c r="B22" i="1"/>
  <c r="B23" i="1"/>
  <c r="B24" i="1"/>
  <c r="B26" i="1"/>
  <c r="B28" i="1"/>
  <c r="B30" i="1"/>
  <c r="B31" i="1"/>
  <c r="B32" i="1"/>
  <c r="B33" i="1"/>
  <c r="B34" i="1"/>
  <c r="B35" i="1"/>
  <c r="D36" i="1"/>
  <c r="B37" i="1"/>
  <c r="B38" i="1"/>
  <c r="B39" i="1"/>
  <c r="D40" i="1"/>
  <c r="D41" i="1"/>
  <c r="B42" i="1"/>
  <c r="B43" i="1"/>
  <c r="B44" i="1"/>
  <c r="B45" i="1"/>
  <c r="B46" i="1"/>
  <c r="B47" i="1"/>
  <c r="B48" i="1"/>
  <c r="B49" i="1"/>
  <c r="B50" i="1"/>
  <c r="D51" i="1"/>
  <c r="B52" i="1"/>
  <c r="B53" i="1"/>
  <c r="D54" i="1"/>
  <c r="D55" i="1"/>
  <c r="B56" i="1"/>
  <c r="D57" i="1"/>
  <c r="B59" i="1"/>
  <c r="D59" i="1" s="1"/>
  <c r="D60" i="1"/>
  <c r="B61" i="1"/>
  <c r="D62" i="1"/>
  <c r="D63" i="1"/>
  <c r="B64" i="1"/>
  <c r="B65" i="1"/>
  <c r="B66" i="1"/>
  <c r="B67" i="1"/>
  <c r="B68" i="1"/>
  <c r="B69" i="1"/>
  <c r="D70" i="1"/>
  <c r="B71" i="1"/>
  <c r="B72" i="1"/>
  <c r="B73" i="1"/>
  <c r="B74" i="1"/>
  <c r="D75" i="1"/>
  <c r="D76" i="1"/>
  <c r="D77" i="1"/>
  <c r="B78" i="1"/>
  <c r="D79" i="1"/>
  <c r="B80" i="1"/>
  <c r="D80" i="1" s="1"/>
  <c r="B81" i="1"/>
  <c r="D81" i="1" s="1"/>
  <c r="B82" i="1"/>
  <c r="D82" i="1" s="1"/>
  <c r="B83" i="1"/>
  <c r="D83" i="1" s="1"/>
  <c r="B84" i="1"/>
  <c r="D84" i="1" s="1"/>
  <c r="B85" i="1"/>
  <c r="D85" i="1" s="1"/>
  <c r="B86" i="1"/>
  <c r="B87" i="1"/>
  <c r="D87" i="1" s="1"/>
  <c r="B88" i="1"/>
  <c r="D88" i="1" s="1"/>
  <c r="B89" i="1"/>
  <c r="D89" i="1" s="1"/>
  <c r="B90" i="1"/>
  <c r="B91" i="1"/>
  <c r="D91" i="1" s="1"/>
  <c r="B92" i="1"/>
  <c r="D92" i="1" s="1"/>
  <c r="B93" i="1"/>
  <c r="D93" i="1" s="1"/>
  <c r="B94" i="1"/>
  <c r="D94" i="1" s="1"/>
  <c r="B95" i="1"/>
  <c r="D95" i="1" s="1"/>
  <c r="B96" i="1"/>
  <c r="D96" i="1" s="1"/>
  <c r="B97" i="1"/>
  <c r="D97" i="1" s="1"/>
  <c r="B98" i="1"/>
  <c r="D98" i="1" s="1"/>
  <c r="B99" i="1"/>
  <c r="D99" i="1" s="1"/>
  <c r="B100" i="1"/>
  <c r="D100" i="1" s="1"/>
  <c r="B101" i="1"/>
  <c r="D101" i="1" s="1"/>
  <c r="B102" i="1"/>
  <c r="D102" i="1" s="1"/>
  <c r="B103" i="1"/>
  <c r="D103" i="1" s="1"/>
  <c r="B104" i="1"/>
  <c r="D104" i="1" s="1"/>
  <c r="B105" i="1"/>
  <c r="D105" i="1" s="1"/>
  <c r="B106" i="1"/>
  <c r="B107" i="1"/>
  <c r="D107" i="1" s="1"/>
  <c r="B108" i="1"/>
  <c r="D108" i="1" s="1"/>
  <c r="B109" i="1"/>
  <c r="D109" i="1" s="1"/>
  <c r="B110" i="1"/>
  <c r="D110" i="1" s="1"/>
  <c r="B111" i="1"/>
  <c r="D111" i="1" s="1"/>
  <c r="B112" i="1"/>
  <c r="D112" i="1" s="1"/>
  <c r="B113" i="1"/>
  <c r="D113" i="1" s="1"/>
  <c r="B114" i="1"/>
  <c r="D114" i="1" s="1"/>
  <c r="B115" i="1"/>
  <c r="D115" i="1" s="1"/>
  <c r="B116" i="1"/>
  <c r="D116" i="1" s="1"/>
  <c r="B117" i="1"/>
  <c r="D117" i="1" s="1"/>
  <c r="B118" i="1"/>
  <c r="D118" i="1" s="1"/>
  <c r="B119" i="1"/>
  <c r="D119" i="1" s="1"/>
  <c r="B120" i="1"/>
  <c r="D120" i="1" s="1"/>
  <c r="B121" i="1"/>
  <c r="D121" i="1" s="1"/>
  <c r="B122" i="1"/>
  <c r="B123" i="1"/>
  <c r="D123" i="1" s="1"/>
  <c r="B124" i="1"/>
  <c r="D124" i="1" s="1"/>
  <c r="B125" i="1"/>
  <c r="D125" i="1" s="1"/>
  <c r="B126" i="1"/>
  <c r="D126" i="1" s="1"/>
  <c r="B127" i="1"/>
  <c r="D127" i="1" s="1"/>
  <c r="B128" i="1"/>
  <c r="D128" i="1" s="1"/>
  <c r="B129" i="1"/>
  <c r="D129" i="1" s="1"/>
  <c r="B130" i="1"/>
  <c r="D130" i="1" s="1"/>
  <c r="B131" i="1"/>
  <c r="D131" i="1" s="1"/>
  <c r="B132" i="1"/>
  <c r="D132" i="1" s="1"/>
  <c r="B134" i="1"/>
  <c r="D134" i="1" s="1"/>
  <c r="B135" i="1"/>
  <c r="D135" i="1" s="1"/>
  <c r="B136" i="1"/>
  <c r="D136" i="1" s="1"/>
  <c r="B137" i="1"/>
  <c r="D137" i="1" s="1"/>
  <c r="B138" i="1"/>
  <c r="D138" i="1" s="1"/>
  <c r="B139" i="1"/>
  <c r="D139" i="1" s="1"/>
  <c r="B140" i="1"/>
  <c r="D140" i="1" s="1"/>
  <c r="B141" i="1"/>
  <c r="D141" i="1" s="1"/>
  <c r="B142" i="1"/>
  <c r="D142" i="1" s="1"/>
  <c r="B143" i="1"/>
  <c r="D143" i="1" s="1"/>
  <c r="B144" i="1"/>
  <c r="D144" i="1" s="1"/>
  <c r="B145" i="1"/>
  <c r="D145" i="1" s="1"/>
  <c r="B146" i="1"/>
  <c r="D146" i="1" s="1"/>
  <c r="B147" i="1"/>
  <c r="D147" i="1" s="1"/>
  <c r="B148" i="1"/>
  <c r="D148" i="1" s="1"/>
  <c r="B149" i="1"/>
  <c r="D149" i="1" s="1"/>
  <c r="B150" i="1"/>
  <c r="D150" i="1" s="1"/>
  <c r="B151" i="1"/>
  <c r="D151" i="1" s="1"/>
  <c r="B152" i="1"/>
  <c r="D152" i="1" s="1"/>
  <c r="B153" i="1"/>
  <c r="D153" i="1" s="1"/>
  <c r="B154" i="1"/>
  <c r="D154" i="1" s="1"/>
  <c r="B155" i="1"/>
  <c r="D155" i="1" s="1"/>
  <c r="B156" i="1"/>
  <c r="D156" i="1" s="1"/>
  <c r="B157" i="1"/>
  <c r="D157" i="1" s="1"/>
  <c r="B158" i="1"/>
  <c r="D158" i="1" s="1"/>
  <c r="B159" i="1"/>
  <c r="D159" i="1" s="1"/>
  <c r="B160" i="1"/>
  <c r="D160" i="1" s="1"/>
  <c r="B161" i="1"/>
  <c r="D161" i="1" s="1"/>
  <c r="B162" i="1"/>
  <c r="D162" i="1" s="1"/>
  <c r="B163" i="1"/>
  <c r="D163" i="1" s="1"/>
  <c r="B164" i="1"/>
  <c r="D164" i="1" s="1"/>
  <c r="B165" i="1"/>
  <c r="D165" i="1" s="1"/>
  <c r="B166" i="1"/>
  <c r="D166" i="1" s="1"/>
  <c r="B167" i="1"/>
  <c r="D167" i="1" s="1"/>
  <c r="B168" i="1"/>
  <c r="D168" i="1" s="1"/>
  <c r="B169" i="1"/>
  <c r="D169" i="1" s="1"/>
  <c r="B170" i="1"/>
  <c r="D170" i="1" s="1"/>
  <c r="B171" i="1"/>
  <c r="D171" i="1" s="1"/>
  <c r="B172" i="1"/>
  <c r="D172" i="1" s="1"/>
  <c r="B173" i="1"/>
  <c r="D173" i="1" s="1"/>
  <c r="B174" i="1"/>
  <c r="D174" i="1" s="1"/>
  <c r="B175" i="1"/>
  <c r="D175" i="1" s="1"/>
  <c r="B176" i="1"/>
  <c r="D176" i="1" s="1"/>
  <c r="B177" i="1"/>
  <c r="D177" i="1" s="1"/>
  <c r="B178" i="1"/>
  <c r="D178" i="1" s="1"/>
  <c r="B179" i="1"/>
  <c r="D179" i="1" s="1"/>
  <c r="B180" i="1"/>
  <c r="D180" i="1" s="1"/>
  <c r="B181" i="1"/>
  <c r="D181" i="1" s="1"/>
  <c r="B182" i="1"/>
  <c r="D182" i="1" s="1"/>
  <c r="B183" i="1"/>
  <c r="D183" i="1" s="1"/>
  <c r="B184" i="1"/>
  <c r="D184" i="1" s="1"/>
  <c r="B185" i="1"/>
  <c r="D185" i="1" s="1"/>
  <c r="B186" i="1"/>
  <c r="D186" i="1" s="1"/>
  <c r="B187" i="1"/>
  <c r="D187" i="1" s="1"/>
  <c r="B188" i="1"/>
  <c r="D188" i="1" s="1"/>
  <c r="B189" i="1"/>
  <c r="D189" i="1" s="1"/>
  <c r="B190" i="1"/>
  <c r="D190" i="1" s="1"/>
  <c r="B191" i="1"/>
  <c r="D191" i="1" s="1"/>
  <c r="B192" i="1"/>
  <c r="D192" i="1" s="1"/>
  <c r="B193" i="1"/>
  <c r="D193" i="1" s="1"/>
  <c r="B194" i="1"/>
  <c r="D194" i="1" s="1"/>
  <c r="B195" i="1"/>
  <c r="D195" i="1" s="1"/>
  <c r="B196" i="1"/>
  <c r="D196" i="1" s="1"/>
  <c r="B197" i="1"/>
  <c r="D197" i="1" s="1"/>
  <c r="B198" i="1"/>
  <c r="D198" i="1" s="1"/>
  <c r="B199" i="1"/>
  <c r="D199" i="1" s="1"/>
  <c r="B200" i="1"/>
  <c r="D200" i="1" s="1"/>
  <c r="B201" i="1"/>
  <c r="D201" i="1" s="1"/>
  <c r="B202" i="1"/>
  <c r="D202" i="1" s="1"/>
  <c r="B203" i="1"/>
  <c r="D203" i="1" s="1"/>
  <c r="B204" i="1"/>
  <c r="D204" i="1" s="1"/>
  <c r="B205" i="1"/>
  <c r="D205" i="1" s="1"/>
  <c r="B206" i="1"/>
  <c r="D206" i="1" s="1"/>
  <c r="B207" i="1"/>
  <c r="D207" i="1" s="1"/>
  <c r="B208" i="1"/>
  <c r="D208" i="1" s="1"/>
  <c r="B209" i="1"/>
  <c r="D209" i="1" s="1"/>
  <c r="B210" i="1"/>
  <c r="D210" i="1" s="1"/>
  <c r="B211" i="1"/>
  <c r="D211" i="1" s="1"/>
  <c r="B212" i="1"/>
  <c r="D212" i="1" s="1"/>
  <c r="B213" i="1"/>
  <c r="D213" i="1" s="1"/>
  <c r="B214" i="1"/>
  <c r="D214" i="1" s="1"/>
  <c r="B215" i="1"/>
  <c r="D215" i="1" s="1"/>
  <c r="B216" i="1"/>
  <c r="D216" i="1" s="1"/>
  <c r="B217" i="1"/>
  <c r="D217" i="1" s="1"/>
  <c r="B218" i="1"/>
  <c r="D218" i="1" s="1"/>
  <c r="B219" i="1"/>
  <c r="D219" i="1" s="1"/>
  <c r="B220" i="1"/>
  <c r="D220" i="1" s="1"/>
  <c r="B221" i="1"/>
  <c r="D221" i="1" s="1"/>
  <c r="B222" i="1"/>
  <c r="D222" i="1" s="1"/>
  <c r="B9" i="1"/>
  <c r="L2" i="1"/>
  <c r="N10" i="6"/>
  <c r="O10" i="6" s="1"/>
  <c r="P10" i="6"/>
  <c r="Q10" i="6" s="1"/>
  <c r="N11" i="6"/>
  <c r="O11" i="6" s="1"/>
  <c r="P11" i="6"/>
  <c r="Q11" i="6" s="1"/>
  <c r="N12" i="6"/>
  <c r="O12" i="6" s="1"/>
  <c r="P12" i="6"/>
  <c r="Q12" i="6" s="1"/>
  <c r="N13" i="6"/>
  <c r="O13" i="6" s="1"/>
  <c r="P13" i="6"/>
  <c r="Q13" i="6" s="1"/>
  <c r="N14" i="6"/>
  <c r="O14" i="6" s="1"/>
  <c r="P14" i="6"/>
  <c r="Q14" i="6" s="1"/>
  <c r="N15" i="6"/>
  <c r="O15" i="6" s="1"/>
  <c r="P15" i="6"/>
  <c r="Q15" i="6" s="1"/>
  <c r="N16" i="6"/>
  <c r="O16" i="6" s="1"/>
  <c r="P16" i="6"/>
  <c r="Q16" i="6" s="1"/>
  <c r="N17" i="6"/>
  <c r="O17" i="6" s="1"/>
  <c r="P17" i="6"/>
  <c r="Q17" i="6" s="1"/>
  <c r="N18" i="6"/>
  <c r="O18" i="6" s="1"/>
  <c r="P18" i="6"/>
  <c r="Q18" i="6" s="1"/>
  <c r="N19" i="6"/>
  <c r="O19" i="6" s="1"/>
  <c r="P19" i="6"/>
  <c r="Q19" i="6" s="1"/>
  <c r="N20" i="6"/>
  <c r="O20" i="6" s="1"/>
  <c r="P20" i="6"/>
  <c r="Q20" i="6" s="1"/>
  <c r="N21" i="6"/>
  <c r="O21" i="6" s="1"/>
  <c r="P21" i="6"/>
  <c r="Q21" i="6" s="1"/>
  <c r="N22" i="6"/>
  <c r="O22" i="6" s="1"/>
  <c r="P22" i="6"/>
  <c r="Q22" i="6" s="1"/>
  <c r="N23" i="6"/>
  <c r="O23" i="6" s="1"/>
  <c r="P23" i="6"/>
  <c r="Q23" i="6" s="1"/>
  <c r="N24" i="6"/>
  <c r="O24" i="6" s="1"/>
  <c r="P24" i="6"/>
  <c r="Q24" i="6" s="1"/>
  <c r="N25" i="6"/>
  <c r="O25" i="6" s="1"/>
  <c r="P25" i="6"/>
  <c r="Q25" i="6" s="1"/>
  <c r="N26" i="6"/>
  <c r="O26" i="6" s="1"/>
  <c r="P26" i="6"/>
  <c r="Q26" i="6" s="1"/>
  <c r="N27" i="6"/>
  <c r="O27" i="6" s="1"/>
  <c r="P27" i="6"/>
  <c r="Q27" i="6" s="1"/>
  <c r="N28" i="6"/>
  <c r="O28" i="6" s="1"/>
  <c r="P28" i="6"/>
  <c r="Q28" i="6" s="1"/>
  <c r="N29" i="6"/>
  <c r="O29" i="6" s="1"/>
  <c r="P29" i="6"/>
  <c r="Q29" i="6" s="1"/>
  <c r="N30" i="6"/>
  <c r="O30" i="6" s="1"/>
  <c r="P30" i="6"/>
  <c r="Q30" i="6" s="1"/>
  <c r="N31" i="6"/>
  <c r="O31" i="6" s="1"/>
  <c r="P31" i="6"/>
  <c r="Q31" i="6" s="1"/>
  <c r="N32" i="6"/>
  <c r="O32" i="6" s="1"/>
  <c r="P32" i="6"/>
  <c r="Q32" i="6" s="1"/>
  <c r="N33" i="6"/>
  <c r="O33" i="6" s="1"/>
  <c r="P33" i="6"/>
  <c r="Q33" i="6" s="1"/>
  <c r="N34" i="6"/>
  <c r="O34" i="6" s="1"/>
  <c r="P34" i="6"/>
  <c r="Q34" i="6" s="1"/>
  <c r="N35" i="6"/>
  <c r="O35" i="6" s="1"/>
  <c r="P35" i="6"/>
  <c r="Q35" i="6" s="1"/>
  <c r="N36" i="6"/>
  <c r="O36" i="6" s="1"/>
  <c r="P36" i="6"/>
  <c r="Q36" i="6" s="1"/>
  <c r="N37" i="6"/>
  <c r="O37" i="6" s="1"/>
  <c r="P37" i="6"/>
  <c r="Q37" i="6" s="1"/>
  <c r="N38" i="6"/>
  <c r="O38" i="6" s="1"/>
  <c r="P38" i="6"/>
  <c r="Q38" i="6" s="1"/>
  <c r="N39" i="6"/>
  <c r="O39" i="6" s="1"/>
  <c r="P39" i="6"/>
  <c r="Q39" i="6" s="1"/>
  <c r="N40" i="6"/>
  <c r="O40" i="6" s="1"/>
  <c r="P40" i="6"/>
  <c r="Q40" i="6" s="1"/>
  <c r="N41" i="6"/>
  <c r="O41" i="6" s="1"/>
  <c r="P41" i="6"/>
  <c r="Q41" i="6" s="1"/>
  <c r="N42" i="6"/>
  <c r="O42" i="6" s="1"/>
  <c r="P42" i="6"/>
  <c r="Q42" i="6" s="1"/>
  <c r="N43" i="6"/>
  <c r="O43" i="6" s="1"/>
  <c r="P43" i="6"/>
  <c r="Q43" i="6" s="1"/>
  <c r="N44" i="6"/>
  <c r="O44" i="6" s="1"/>
  <c r="P44" i="6"/>
  <c r="Q44" i="6" s="1"/>
  <c r="N45" i="6"/>
  <c r="O45" i="6" s="1"/>
  <c r="P45" i="6"/>
  <c r="Q45" i="6" s="1"/>
  <c r="N46" i="6"/>
  <c r="O46" i="6" s="1"/>
  <c r="P46" i="6"/>
  <c r="Q46" i="6" s="1"/>
  <c r="N47" i="6"/>
  <c r="O47" i="6" s="1"/>
  <c r="P47" i="6"/>
  <c r="Q47" i="6" s="1"/>
  <c r="N48" i="6"/>
  <c r="O48" i="6" s="1"/>
  <c r="P48" i="6"/>
  <c r="Q48" i="6" s="1"/>
  <c r="N49" i="6"/>
  <c r="O49" i="6" s="1"/>
  <c r="P49" i="6"/>
  <c r="Q49" i="6" s="1"/>
  <c r="N50" i="6"/>
  <c r="O50" i="6" s="1"/>
  <c r="P50" i="6"/>
  <c r="Q50" i="6" s="1"/>
  <c r="N51" i="6"/>
  <c r="O51" i="6" s="1"/>
  <c r="P51" i="6"/>
  <c r="Q51" i="6" s="1"/>
  <c r="N52" i="6"/>
  <c r="O52" i="6" s="1"/>
  <c r="P52" i="6"/>
  <c r="Q52" i="6" s="1"/>
  <c r="N53" i="6"/>
  <c r="O53" i="6" s="1"/>
  <c r="P53" i="6"/>
  <c r="Q53" i="6" s="1"/>
  <c r="N54" i="6"/>
  <c r="O54" i="6" s="1"/>
  <c r="P54" i="6"/>
  <c r="Q54" i="6" s="1"/>
  <c r="N55" i="6"/>
  <c r="O55" i="6" s="1"/>
  <c r="P55" i="6"/>
  <c r="Q55" i="6" s="1"/>
  <c r="N56" i="6"/>
  <c r="O56" i="6" s="1"/>
  <c r="P56" i="6"/>
  <c r="Q56" i="6" s="1"/>
  <c r="N57" i="6"/>
  <c r="O57" i="6" s="1"/>
  <c r="P57" i="6"/>
  <c r="Q57" i="6" s="1"/>
  <c r="N58" i="6"/>
  <c r="O58" i="6" s="1"/>
  <c r="P58" i="6"/>
  <c r="Q58" i="6" s="1"/>
  <c r="N59" i="6"/>
  <c r="O59" i="6" s="1"/>
  <c r="P59" i="6"/>
  <c r="Q59" i="6" s="1"/>
  <c r="N60" i="6"/>
  <c r="O60" i="6" s="1"/>
  <c r="P60" i="6"/>
  <c r="Q60" i="6" s="1"/>
  <c r="N61" i="6"/>
  <c r="O61" i="6" s="1"/>
  <c r="P61" i="6"/>
  <c r="Q61" i="6" s="1"/>
  <c r="N62" i="6"/>
  <c r="O62" i="6" s="1"/>
  <c r="P62" i="6"/>
  <c r="Q62" i="6" s="1"/>
  <c r="N63" i="6"/>
  <c r="O63" i="6" s="1"/>
  <c r="P63" i="6"/>
  <c r="Q63" i="6" s="1"/>
  <c r="N64" i="6"/>
  <c r="O64" i="6" s="1"/>
  <c r="P64" i="6"/>
  <c r="Q64" i="6" s="1"/>
  <c r="N65" i="6"/>
  <c r="O65" i="6" s="1"/>
  <c r="P65" i="6"/>
  <c r="Q65" i="6" s="1"/>
  <c r="N66" i="6"/>
  <c r="O66" i="6" s="1"/>
  <c r="P66" i="6"/>
  <c r="Q66" i="6" s="1"/>
  <c r="N67" i="6"/>
  <c r="O67" i="6" s="1"/>
  <c r="P67" i="6"/>
  <c r="Q67" i="6" s="1"/>
  <c r="N68" i="6"/>
  <c r="O68" i="6" s="1"/>
  <c r="P68" i="6"/>
  <c r="Q68" i="6" s="1"/>
  <c r="N69" i="6"/>
  <c r="O69" i="6" s="1"/>
  <c r="P69" i="6"/>
  <c r="Q69" i="6" s="1"/>
  <c r="N70" i="6"/>
  <c r="O70" i="6" s="1"/>
  <c r="P70" i="6"/>
  <c r="Q70" i="6" s="1"/>
  <c r="N71" i="6"/>
  <c r="O71" i="6" s="1"/>
  <c r="P71" i="6"/>
  <c r="Q71" i="6" s="1"/>
  <c r="N72" i="6"/>
  <c r="O72" i="6" s="1"/>
  <c r="P72" i="6"/>
  <c r="Q72" i="6" s="1"/>
  <c r="N73" i="6"/>
  <c r="O73" i="6" s="1"/>
  <c r="P73" i="6"/>
  <c r="Q73" i="6" s="1"/>
  <c r="N74" i="6"/>
  <c r="O74" i="6" s="1"/>
  <c r="P74" i="6"/>
  <c r="Q74" i="6" s="1"/>
  <c r="N75" i="6"/>
  <c r="O75" i="6" s="1"/>
  <c r="P75" i="6"/>
  <c r="Q75" i="6" s="1"/>
  <c r="N76" i="6"/>
  <c r="O76" i="6" s="1"/>
  <c r="P76" i="6"/>
  <c r="Q76" i="6" s="1"/>
  <c r="N77" i="6"/>
  <c r="O77" i="6" s="1"/>
  <c r="P77" i="6"/>
  <c r="Q77" i="6" s="1"/>
  <c r="N78" i="6"/>
  <c r="O78" i="6" s="1"/>
  <c r="P78" i="6"/>
  <c r="Q78" i="6" s="1"/>
  <c r="N79" i="6"/>
  <c r="O79" i="6" s="1"/>
  <c r="P79" i="6"/>
  <c r="Q79" i="6" s="1"/>
  <c r="N80" i="6"/>
  <c r="O80" i="6" s="1"/>
  <c r="P80" i="6"/>
  <c r="Q80" i="6" s="1"/>
  <c r="N81" i="6"/>
  <c r="O81" i="6" s="1"/>
  <c r="P81" i="6"/>
  <c r="Q81" i="6" s="1"/>
  <c r="N82" i="6"/>
  <c r="O82" i="6" s="1"/>
  <c r="P82" i="6"/>
  <c r="Q82" i="6" s="1"/>
  <c r="N83" i="6"/>
  <c r="O83" i="6" s="1"/>
  <c r="P83" i="6"/>
  <c r="Q83" i="6" s="1"/>
  <c r="N84" i="6"/>
  <c r="O84" i="6" s="1"/>
  <c r="P84" i="6"/>
  <c r="Q84" i="6" s="1"/>
  <c r="N85" i="6"/>
  <c r="O85" i="6" s="1"/>
  <c r="P85" i="6"/>
  <c r="Q85" i="6" s="1"/>
  <c r="N86" i="6"/>
  <c r="O86" i="6" s="1"/>
  <c r="P86" i="6"/>
  <c r="Q86" i="6" s="1"/>
  <c r="N87" i="6"/>
  <c r="O87" i="6" s="1"/>
  <c r="P87" i="6"/>
  <c r="Q87" i="6" s="1"/>
  <c r="N88" i="6"/>
  <c r="O88" i="6" s="1"/>
  <c r="P88" i="6"/>
  <c r="Q88" i="6" s="1"/>
  <c r="N89" i="6"/>
  <c r="O89" i="6" s="1"/>
  <c r="P89" i="6"/>
  <c r="Q89" i="6" s="1"/>
  <c r="N90" i="6"/>
  <c r="O90" i="6" s="1"/>
  <c r="P90" i="6"/>
  <c r="Q90" i="6" s="1"/>
  <c r="N91" i="6"/>
  <c r="O91" i="6" s="1"/>
  <c r="P91" i="6"/>
  <c r="Q91" i="6" s="1"/>
  <c r="N92" i="6"/>
  <c r="O92" i="6" s="1"/>
  <c r="P92" i="6"/>
  <c r="Q92" i="6" s="1"/>
  <c r="N93" i="6"/>
  <c r="O93" i="6" s="1"/>
  <c r="P93" i="6"/>
  <c r="Q93" i="6" s="1"/>
  <c r="N94" i="6"/>
  <c r="O94" i="6" s="1"/>
  <c r="P94" i="6"/>
  <c r="Q94" i="6" s="1"/>
  <c r="N95" i="6"/>
  <c r="O95" i="6" s="1"/>
  <c r="P95" i="6"/>
  <c r="Q95" i="6" s="1"/>
  <c r="N96" i="6"/>
  <c r="O96" i="6" s="1"/>
  <c r="P96" i="6"/>
  <c r="Q96" i="6" s="1"/>
  <c r="N97" i="6"/>
  <c r="O97" i="6" s="1"/>
  <c r="P97" i="6"/>
  <c r="Q97" i="6" s="1"/>
  <c r="N98" i="6"/>
  <c r="O98" i="6" s="1"/>
  <c r="P98" i="6"/>
  <c r="Q98" i="6" s="1"/>
  <c r="N99" i="6"/>
  <c r="O99" i="6" s="1"/>
  <c r="P99" i="6"/>
  <c r="Q99" i="6" s="1"/>
  <c r="N100" i="6"/>
  <c r="O100" i="6" s="1"/>
  <c r="P100" i="6"/>
  <c r="Q100" i="6" s="1"/>
  <c r="N101" i="6"/>
  <c r="O101" i="6" s="1"/>
  <c r="P101" i="6"/>
  <c r="Q101" i="6" s="1"/>
  <c r="N102" i="6"/>
  <c r="O102" i="6" s="1"/>
  <c r="P102" i="6"/>
  <c r="Q102" i="6" s="1"/>
  <c r="N103" i="6"/>
  <c r="O103" i="6" s="1"/>
  <c r="P103" i="6"/>
  <c r="Q103" i="6" s="1"/>
  <c r="N104" i="6"/>
  <c r="O104" i="6" s="1"/>
  <c r="P104" i="6"/>
  <c r="Q104" i="6" s="1"/>
  <c r="N105" i="6"/>
  <c r="O105" i="6" s="1"/>
  <c r="P105" i="6"/>
  <c r="Q105" i="6" s="1"/>
  <c r="N106" i="6"/>
  <c r="O106" i="6" s="1"/>
  <c r="P106" i="6"/>
  <c r="Q106" i="6" s="1"/>
  <c r="N107" i="6"/>
  <c r="O107" i="6" s="1"/>
  <c r="P107" i="6"/>
  <c r="Q107" i="6" s="1"/>
  <c r="N108" i="6"/>
  <c r="O108" i="6" s="1"/>
  <c r="P108" i="6"/>
  <c r="Q108" i="6" s="1"/>
  <c r="N109" i="6"/>
  <c r="O109" i="6" s="1"/>
  <c r="P109" i="6"/>
  <c r="Q109" i="6" s="1"/>
  <c r="N110" i="6"/>
  <c r="O110" i="6" s="1"/>
  <c r="P110" i="6"/>
  <c r="Q110" i="6" s="1"/>
  <c r="N111" i="6"/>
  <c r="O111" i="6" s="1"/>
  <c r="P111" i="6"/>
  <c r="Q111" i="6" s="1"/>
  <c r="N112" i="6"/>
  <c r="O112" i="6" s="1"/>
  <c r="P112" i="6"/>
  <c r="Q112" i="6" s="1"/>
  <c r="N113" i="6"/>
  <c r="O113" i="6" s="1"/>
  <c r="P113" i="6"/>
  <c r="Q113" i="6" s="1"/>
  <c r="N114" i="6"/>
  <c r="O114" i="6" s="1"/>
  <c r="P114" i="6"/>
  <c r="Q114" i="6" s="1"/>
  <c r="N115" i="6"/>
  <c r="O115" i="6" s="1"/>
  <c r="P115" i="6"/>
  <c r="Q115" i="6" s="1"/>
  <c r="N116" i="6"/>
  <c r="O116" i="6" s="1"/>
  <c r="P116" i="6"/>
  <c r="Q116" i="6" s="1"/>
  <c r="N117" i="6"/>
  <c r="O117" i="6" s="1"/>
  <c r="P117" i="6"/>
  <c r="Q117" i="6" s="1"/>
  <c r="N118" i="6"/>
  <c r="O118" i="6" s="1"/>
  <c r="P118" i="6"/>
  <c r="Q118" i="6" s="1"/>
  <c r="N119" i="6"/>
  <c r="O119" i="6" s="1"/>
  <c r="P119" i="6"/>
  <c r="Q119" i="6" s="1"/>
  <c r="N120" i="6"/>
  <c r="O120" i="6" s="1"/>
  <c r="P120" i="6"/>
  <c r="Q120" i="6" s="1"/>
  <c r="N121" i="6"/>
  <c r="O121" i="6" s="1"/>
  <c r="P121" i="6"/>
  <c r="Q121" i="6" s="1"/>
  <c r="N122" i="6"/>
  <c r="O122" i="6" s="1"/>
  <c r="P122" i="6"/>
  <c r="Q122" i="6" s="1"/>
  <c r="N123" i="6"/>
  <c r="O123" i="6" s="1"/>
  <c r="P123" i="6"/>
  <c r="Q123" i="6" s="1"/>
  <c r="N124" i="6"/>
  <c r="O124" i="6" s="1"/>
  <c r="P124" i="6"/>
  <c r="Q124" i="6" s="1"/>
  <c r="N125" i="6"/>
  <c r="O125" i="6" s="1"/>
  <c r="P125" i="6"/>
  <c r="Q125" i="6" s="1"/>
  <c r="N126" i="6"/>
  <c r="O126" i="6" s="1"/>
  <c r="P126" i="6"/>
  <c r="Q126" i="6" s="1"/>
  <c r="N127" i="6"/>
  <c r="O127" i="6" s="1"/>
  <c r="P127" i="6"/>
  <c r="Q127" i="6" s="1"/>
  <c r="N128" i="6"/>
  <c r="O128" i="6" s="1"/>
  <c r="P128" i="6"/>
  <c r="Q128" i="6" s="1"/>
  <c r="N129" i="6"/>
  <c r="O129" i="6" s="1"/>
  <c r="P129" i="6"/>
  <c r="Q129" i="6" s="1"/>
  <c r="N130" i="6"/>
  <c r="O130" i="6" s="1"/>
  <c r="P130" i="6"/>
  <c r="Q130" i="6" s="1"/>
  <c r="N131" i="6"/>
  <c r="O131" i="6" s="1"/>
  <c r="P131" i="6"/>
  <c r="Q131" i="6" s="1"/>
  <c r="N132" i="6"/>
  <c r="O132" i="6" s="1"/>
  <c r="P132" i="6"/>
  <c r="Q132" i="6" s="1"/>
  <c r="N133" i="6"/>
  <c r="O133" i="6" s="1"/>
  <c r="P133" i="6"/>
  <c r="Q133" i="6" s="1"/>
  <c r="N134" i="6"/>
  <c r="O134" i="6" s="1"/>
  <c r="P134" i="6"/>
  <c r="Q134" i="6" s="1"/>
  <c r="N135" i="6"/>
  <c r="O135" i="6" s="1"/>
  <c r="P135" i="6"/>
  <c r="Q135" i="6" s="1"/>
  <c r="N136" i="6"/>
  <c r="O136" i="6" s="1"/>
  <c r="P136" i="6"/>
  <c r="Q136" i="6" s="1"/>
  <c r="N137" i="6"/>
  <c r="O137" i="6" s="1"/>
  <c r="P137" i="6"/>
  <c r="Q137" i="6" s="1"/>
  <c r="N138" i="6"/>
  <c r="O138" i="6" s="1"/>
  <c r="P138" i="6"/>
  <c r="Q138" i="6" s="1"/>
  <c r="N139" i="6"/>
  <c r="O139" i="6" s="1"/>
  <c r="P139" i="6"/>
  <c r="Q139" i="6" s="1"/>
  <c r="N140" i="6"/>
  <c r="O140" i="6" s="1"/>
  <c r="P140" i="6"/>
  <c r="Q140" i="6" s="1"/>
  <c r="N141" i="6"/>
  <c r="O141" i="6" s="1"/>
  <c r="P141" i="6"/>
  <c r="Q141" i="6" s="1"/>
  <c r="N142" i="6"/>
  <c r="O142" i="6" s="1"/>
  <c r="P142" i="6"/>
  <c r="Q142" i="6" s="1"/>
  <c r="N143" i="6"/>
  <c r="O143" i="6" s="1"/>
  <c r="P143" i="6"/>
  <c r="Q143" i="6" s="1"/>
  <c r="N144" i="6"/>
  <c r="O144" i="6" s="1"/>
  <c r="P144" i="6"/>
  <c r="Q144" i="6" s="1"/>
  <c r="N145" i="6"/>
  <c r="O145" i="6" s="1"/>
  <c r="P145" i="6"/>
  <c r="Q145" i="6" s="1"/>
  <c r="N146" i="6"/>
  <c r="O146" i="6" s="1"/>
  <c r="P146" i="6"/>
  <c r="Q146" i="6" s="1"/>
  <c r="N147" i="6"/>
  <c r="O147" i="6" s="1"/>
  <c r="P147" i="6"/>
  <c r="Q147" i="6" s="1"/>
  <c r="N148" i="6"/>
  <c r="O148" i="6" s="1"/>
  <c r="P148" i="6"/>
  <c r="Q148" i="6" s="1"/>
  <c r="N149" i="6"/>
  <c r="O149" i="6" s="1"/>
  <c r="P149" i="6"/>
  <c r="Q149" i="6" s="1"/>
  <c r="N150" i="6"/>
  <c r="O150" i="6" s="1"/>
  <c r="P150" i="6"/>
  <c r="Q150" i="6" s="1"/>
  <c r="N151" i="6"/>
  <c r="O151" i="6" s="1"/>
  <c r="P151" i="6"/>
  <c r="Q151" i="6" s="1"/>
  <c r="N152" i="6"/>
  <c r="O152" i="6" s="1"/>
  <c r="P152" i="6"/>
  <c r="Q152" i="6" s="1"/>
  <c r="N153" i="6"/>
  <c r="O153" i="6" s="1"/>
  <c r="P153" i="6"/>
  <c r="Q153" i="6" s="1"/>
  <c r="N154" i="6"/>
  <c r="O154" i="6" s="1"/>
  <c r="P154" i="6"/>
  <c r="Q154" i="6" s="1"/>
  <c r="N155" i="6"/>
  <c r="O155" i="6" s="1"/>
  <c r="P155" i="6"/>
  <c r="Q155" i="6" s="1"/>
  <c r="N156" i="6"/>
  <c r="O156" i="6" s="1"/>
  <c r="P156" i="6"/>
  <c r="Q156" i="6" s="1"/>
  <c r="N157" i="6"/>
  <c r="O157" i="6" s="1"/>
  <c r="P157" i="6"/>
  <c r="Q157" i="6" s="1"/>
  <c r="N158" i="6"/>
  <c r="O158" i="6" s="1"/>
  <c r="P158" i="6"/>
  <c r="Q158" i="6" s="1"/>
  <c r="N159" i="6"/>
  <c r="O159" i="6" s="1"/>
  <c r="P159" i="6"/>
  <c r="Q159" i="6" s="1"/>
  <c r="N160" i="6"/>
  <c r="O160" i="6" s="1"/>
  <c r="P160" i="6"/>
  <c r="Q160" i="6" s="1"/>
  <c r="N161" i="6"/>
  <c r="O161" i="6" s="1"/>
  <c r="P161" i="6"/>
  <c r="Q161" i="6" s="1"/>
  <c r="N162" i="6"/>
  <c r="O162" i="6" s="1"/>
  <c r="P162" i="6"/>
  <c r="Q162" i="6" s="1"/>
  <c r="N163" i="6"/>
  <c r="O163" i="6" s="1"/>
  <c r="P163" i="6"/>
  <c r="Q163" i="6" s="1"/>
  <c r="N164" i="6"/>
  <c r="O164" i="6" s="1"/>
  <c r="P164" i="6"/>
  <c r="Q164" i="6" s="1"/>
  <c r="N165" i="6"/>
  <c r="O165" i="6" s="1"/>
  <c r="P165" i="6"/>
  <c r="Q165" i="6" s="1"/>
  <c r="N166" i="6"/>
  <c r="O166" i="6" s="1"/>
  <c r="P166" i="6"/>
  <c r="Q166" i="6" s="1"/>
  <c r="N167" i="6"/>
  <c r="O167" i="6" s="1"/>
  <c r="P167" i="6"/>
  <c r="Q167" i="6" s="1"/>
  <c r="N168" i="6"/>
  <c r="O168" i="6" s="1"/>
  <c r="P168" i="6"/>
  <c r="Q168" i="6" s="1"/>
  <c r="N169" i="6"/>
  <c r="O169" i="6" s="1"/>
  <c r="P169" i="6"/>
  <c r="Q169" i="6" s="1"/>
  <c r="N170" i="6"/>
  <c r="O170" i="6" s="1"/>
  <c r="P170" i="6"/>
  <c r="Q170" i="6" s="1"/>
  <c r="N171" i="6"/>
  <c r="O171" i="6" s="1"/>
  <c r="P171" i="6"/>
  <c r="Q171" i="6" s="1"/>
  <c r="N172" i="6"/>
  <c r="O172" i="6" s="1"/>
  <c r="P172" i="6"/>
  <c r="Q172" i="6" s="1"/>
  <c r="N173" i="6"/>
  <c r="O173" i="6" s="1"/>
  <c r="P173" i="6"/>
  <c r="Q173" i="6" s="1"/>
  <c r="N174" i="6"/>
  <c r="O174" i="6" s="1"/>
  <c r="P174" i="6"/>
  <c r="Q174" i="6" s="1"/>
  <c r="N175" i="6"/>
  <c r="O175" i="6" s="1"/>
  <c r="P175" i="6"/>
  <c r="Q175" i="6" s="1"/>
  <c r="N176" i="6"/>
  <c r="O176" i="6" s="1"/>
  <c r="P176" i="6"/>
  <c r="Q176" i="6" s="1"/>
  <c r="N177" i="6"/>
  <c r="O177" i="6" s="1"/>
  <c r="P177" i="6"/>
  <c r="Q177" i="6" s="1"/>
  <c r="N178" i="6"/>
  <c r="O178" i="6" s="1"/>
  <c r="P178" i="6"/>
  <c r="Q178" i="6" s="1"/>
  <c r="N179" i="6"/>
  <c r="O179" i="6" s="1"/>
  <c r="P179" i="6"/>
  <c r="Q179" i="6" s="1"/>
  <c r="N180" i="6"/>
  <c r="O180" i="6" s="1"/>
  <c r="P180" i="6"/>
  <c r="Q180" i="6" s="1"/>
  <c r="N181" i="6"/>
  <c r="O181" i="6" s="1"/>
  <c r="P181" i="6"/>
  <c r="Q181" i="6" s="1"/>
  <c r="N182" i="6"/>
  <c r="O182" i="6" s="1"/>
  <c r="P182" i="6"/>
  <c r="Q182" i="6" s="1"/>
  <c r="N183" i="6"/>
  <c r="O183" i="6" s="1"/>
  <c r="P183" i="6"/>
  <c r="Q183" i="6" s="1"/>
  <c r="N184" i="6"/>
  <c r="O184" i="6" s="1"/>
  <c r="P184" i="6"/>
  <c r="Q184" i="6" s="1"/>
  <c r="N185" i="6"/>
  <c r="O185" i="6" s="1"/>
  <c r="P185" i="6"/>
  <c r="Q185" i="6" s="1"/>
  <c r="N186" i="6"/>
  <c r="O186" i="6" s="1"/>
  <c r="P186" i="6"/>
  <c r="Q186" i="6" s="1"/>
  <c r="N187" i="6"/>
  <c r="O187" i="6" s="1"/>
  <c r="P187" i="6"/>
  <c r="Q187" i="6" s="1"/>
  <c r="N188" i="6"/>
  <c r="O188" i="6" s="1"/>
  <c r="P188" i="6"/>
  <c r="Q188" i="6" s="1"/>
  <c r="N189" i="6"/>
  <c r="O189" i="6" s="1"/>
  <c r="P189" i="6"/>
  <c r="Q189" i="6" s="1"/>
  <c r="N190" i="6"/>
  <c r="O190" i="6" s="1"/>
  <c r="P190" i="6"/>
  <c r="Q190" i="6" s="1"/>
  <c r="N191" i="6"/>
  <c r="O191" i="6" s="1"/>
  <c r="P191" i="6"/>
  <c r="Q191" i="6" s="1"/>
  <c r="N192" i="6"/>
  <c r="O192" i="6" s="1"/>
  <c r="P192" i="6"/>
  <c r="Q192" i="6" s="1"/>
  <c r="N193" i="6"/>
  <c r="O193" i="6" s="1"/>
  <c r="P193" i="6"/>
  <c r="Q193" i="6" s="1"/>
  <c r="N194" i="6"/>
  <c r="O194" i="6" s="1"/>
  <c r="P194" i="6"/>
  <c r="Q194" i="6" s="1"/>
  <c r="N195" i="6"/>
  <c r="O195" i="6" s="1"/>
  <c r="P195" i="6"/>
  <c r="Q195" i="6" s="1"/>
  <c r="N196" i="6"/>
  <c r="O196" i="6" s="1"/>
  <c r="P196" i="6"/>
  <c r="Q196" i="6" s="1"/>
  <c r="N197" i="6"/>
  <c r="O197" i="6" s="1"/>
  <c r="P197" i="6"/>
  <c r="Q197" i="6" s="1"/>
  <c r="N198" i="6"/>
  <c r="O198" i="6" s="1"/>
  <c r="P198" i="6"/>
  <c r="Q198" i="6" s="1"/>
  <c r="N199" i="6"/>
  <c r="O199" i="6" s="1"/>
  <c r="P199" i="6"/>
  <c r="Q199" i="6" s="1"/>
  <c r="N200" i="6"/>
  <c r="O200" i="6" s="1"/>
  <c r="P200" i="6"/>
  <c r="Q200" i="6" s="1"/>
  <c r="N201" i="6"/>
  <c r="O201" i="6" s="1"/>
  <c r="P201" i="6"/>
  <c r="Q201" i="6" s="1"/>
  <c r="N202" i="6"/>
  <c r="O202" i="6" s="1"/>
  <c r="P202" i="6"/>
  <c r="Q202" i="6" s="1"/>
  <c r="N203" i="6"/>
  <c r="O203" i="6" s="1"/>
  <c r="P203" i="6"/>
  <c r="Q203" i="6" s="1"/>
  <c r="N204" i="6"/>
  <c r="O204" i="6" s="1"/>
  <c r="P204" i="6"/>
  <c r="Q204" i="6" s="1"/>
  <c r="N205" i="6"/>
  <c r="O205" i="6" s="1"/>
  <c r="P205" i="6"/>
  <c r="Q205" i="6" s="1"/>
  <c r="N206" i="6"/>
  <c r="O206" i="6" s="1"/>
  <c r="P206" i="6"/>
  <c r="Q206" i="6" s="1"/>
  <c r="N207" i="6"/>
  <c r="O207" i="6" s="1"/>
  <c r="P207" i="6"/>
  <c r="Q207" i="6" s="1"/>
  <c r="N208" i="6"/>
  <c r="O208" i="6" s="1"/>
  <c r="P208" i="6"/>
  <c r="Q208" i="6" s="1"/>
  <c r="N209" i="6"/>
  <c r="O209" i="6" s="1"/>
  <c r="P209" i="6"/>
  <c r="Q209" i="6" s="1"/>
  <c r="N210" i="6"/>
  <c r="O210" i="6" s="1"/>
  <c r="P210" i="6"/>
  <c r="Q210" i="6" s="1"/>
  <c r="N211" i="6"/>
  <c r="O211" i="6" s="1"/>
  <c r="P211" i="6"/>
  <c r="Q211" i="6" s="1"/>
  <c r="N212" i="6"/>
  <c r="O212" i="6" s="1"/>
  <c r="P212" i="6"/>
  <c r="Q212" i="6" s="1"/>
  <c r="N213" i="6"/>
  <c r="O213" i="6" s="1"/>
  <c r="P213" i="6"/>
  <c r="Q213" i="6" s="1"/>
  <c r="N214" i="6"/>
  <c r="O214" i="6" s="1"/>
  <c r="P214" i="6"/>
  <c r="Q214" i="6" s="1"/>
  <c r="N215" i="6"/>
  <c r="O215" i="6" s="1"/>
  <c r="P215" i="6"/>
  <c r="Q215" i="6" s="1"/>
  <c r="N216" i="6"/>
  <c r="O216" i="6" s="1"/>
  <c r="P216" i="6"/>
  <c r="Q216" i="6" s="1"/>
  <c r="N217" i="6"/>
  <c r="O217" i="6" s="1"/>
  <c r="P217" i="6"/>
  <c r="Q217" i="6" s="1"/>
  <c r="N218" i="6"/>
  <c r="O218" i="6" s="1"/>
  <c r="P218" i="6"/>
  <c r="Q218" i="6" s="1"/>
  <c r="N219" i="6"/>
  <c r="O219" i="6" s="1"/>
  <c r="P219" i="6"/>
  <c r="Q219" i="6" s="1"/>
  <c r="N220" i="6"/>
  <c r="O220" i="6" s="1"/>
  <c r="P220" i="6"/>
  <c r="Q220" i="6" s="1"/>
  <c r="N221" i="6"/>
  <c r="O221" i="6" s="1"/>
  <c r="P221" i="6"/>
  <c r="Q221" i="6" s="1"/>
  <c r="N222" i="6"/>
  <c r="O222" i="6" s="1"/>
  <c r="P222" i="6"/>
  <c r="Q222" i="6" s="1"/>
  <c r="P9" i="6"/>
  <c r="N9" i="6"/>
  <c r="N10" i="5"/>
  <c r="Q10" i="5"/>
  <c r="R10" i="5" s="1"/>
  <c r="N11" i="5"/>
  <c r="Q11" i="5"/>
  <c r="R11" i="5" s="1"/>
  <c r="N12" i="5"/>
  <c r="Q12" i="5"/>
  <c r="R12" i="5" s="1"/>
  <c r="N13" i="5"/>
  <c r="Q13" i="5"/>
  <c r="R13" i="5" s="1"/>
  <c r="N14" i="5"/>
  <c r="Q14" i="5"/>
  <c r="R14" i="5" s="1"/>
  <c r="N15" i="5"/>
  <c r="Q15" i="5"/>
  <c r="R15" i="5" s="1"/>
  <c r="N16" i="5"/>
  <c r="Q16" i="5"/>
  <c r="R16" i="5" s="1"/>
  <c r="N17" i="5"/>
  <c r="Q17" i="5"/>
  <c r="R17" i="5" s="1"/>
  <c r="N18" i="5"/>
  <c r="Q18" i="5"/>
  <c r="R18" i="5" s="1"/>
  <c r="N19" i="5"/>
  <c r="Q19" i="5"/>
  <c r="R19" i="5" s="1"/>
  <c r="N20" i="5"/>
  <c r="Q20" i="5"/>
  <c r="R20" i="5" s="1"/>
  <c r="N21" i="5"/>
  <c r="Q21" i="5"/>
  <c r="R21" i="5" s="1"/>
  <c r="N22" i="5"/>
  <c r="Q22" i="5"/>
  <c r="R22" i="5" s="1"/>
  <c r="N23" i="5"/>
  <c r="Q23" i="5"/>
  <c r="R23" i="5" s="1"/>
  <c r="N24" i="5"/>
  <c r="Q24" i="5"/>
  <c r="R24" i="5" s="1"/>
  <c r="N25" i="5"/>
  <c r="Q25" i="5"/>
  <c r="R25" i="5" s="1"/>
  <c r="N26" i="5"/>
  <c r="Q26" i="5"/>
  <c r="R26" i="5" s="1"/>
  <c r="N27" i="5"/>
  <c r="Q27" i="5"/>
  <c r="R27" i="5" s="1"/>
  <c r="N28" i="5"/>
  <c r="Q28" i="5"/>
  <c r="R28" i="5" s="1"/>
  <c r="N29" i="5"/>
  <c r="Q29" i="5"/>
  <c r="R29" i="5" s="1"/>
  <c r="N30" i="5"/>
  <c r="Q30" i="5"/>
  <c r="R30" i="5" s="1"/>
  <c r="N31" i="5"/>
  <c r="Q31" i="5"/>
  <c r="R31" i="5" s="1"/>
  <c r="N32" i="5"/>
  <c r="Q32" i="5"/>
  <c r="R32" i="5" s="1"/>
  <c r="N33" i="5"/>
  <c r="Q33" i="5"/>
  <c r="R33" i="5" s="1"/>
  <c r="N34" i="5"/>
  <c r="Q34" i="5"/>
  <c r="R34" i="5" s="1"/>
  <c r="N35" i="5"/>
  <c r="Q35" i="5"/>
  <c r="R35" i="5" s="1"/>
  <c r="N36" i="5"/>
  <c r="Q36" i="5"/>
  <c r="R36" i="5" s="1"/>
  <c r="N37" i="5"/>
  <c r="Q37" i="5"/>
  <c r="R37" i="5" s="1"/>
  <c r="N38" i="5"/>
  <c r="Q38" i="5"/>
  <c r="R38" i="5" s="1"/>
  <c r="N39" i="5"/>
  <c r="Q39" i="5"/>
  <c r="R39" i="5" s="1"/>
  <c r="N40" i="5"/>
  <c r="Q40" i="5"/>
  <c r="R40" i="5" s="1"/>
  <c r="N41" i="5"/>
  <c r="Q41" i="5"/>
  <c r="R41" i="5" s="1"/>
  <c r="N42" i="5"/>
  <c r="Q42" i="5"/>
  <c r="R42" i="5" s="1"/>
  <c r="N43" i="5"/>
  <c r="Q43" i="5"/>
  <c r="R43" i="5" s="1"/>
  <c r="N44" i="5"/>
  <c r="Q44" i="5"/>
  <c r="R44" i="5" s="1"/>
  <c r="N45" i="5"/>
  <c r="Q45" i="5"/>
  <c r="R45" i="5" s="1"/>
  <c r="N46" i="5"/>
  <c r="Q46" i="5"/>
  <c r="R46" i="5" s="1"/>
  <c r="N47" i="5"/>
  <c r="Q47" i="5"/>
  <c r="R47" i="5" s="1"/>
  <c r="N48" i="5"/>
  <c r="Q48" i="5"/>
  <c r="R48" i="5" s="1"/>
  <c r="N49" i="5"/>
  <c r="Q49" i="5"/>
  <c r="R49" i="5" s="1"/>
  <c r="N50" i="5"/>
  <c r="Q50" i="5"/>
  <c r="R50" i="5" s="1"/>
  <c r="N51" i="5"/>
  <c r="Q51" i="5"/>
  <c r="R51" i="5" s="1"/>
  <c r="N52" i="5"/>
  <c r="Q52" i="5"/>
  <c r="R52" i="5" s="1"/>
  <c r="N53" i="5"/>
  <c r="Q53" i="5"/>
  <c r="R53" i="5" s="1"/>
  <c r="N54" i="5"/>
  <c r="Q54" i="5"/>
  <c r="R54" i="5" s="1"/>
  <c r="N55" i="5"/>
  <c r="Q55" i="5"/>
  <c r="R55" i="5" s="1"/>
  <c r="N56" i="5"/>
  <c r="Q56" i="5"/>
  <c r="R56" i="5" s="1"/>
  <c r="N57" i="5"/>
  <c r="Q57" i="5"/>
  <c r="R57" i="5" s="1"/>
  <c r="N58" i="5"/>
  <c r="Q58" i="5"/>
  <c r="R58" i="5" s="1"/>
  <c r="N59" i="5"/>
  <c r="Q59" i="5"/>
  <c r="R59" i="5" s="1"/>
  <c r="N60" i="5"/>
  <c r="Q60" i="5"/>
  <c r="R60" i="5" s="1"/>
  <c r="N61" i="5"/>
  <c r="Q61" i="5"/>
  <c r="R61" i="5" s="1"/>
  <c r="N62" i="5"/>
  <c r="Q62" i="5"/>
  <c r="R62" i="5" s="1"/>
  <c r="N63" i="5"/>
  <c r="Q63" i="5"/>
  <c r="R63" i="5" s="1"/>
  <c r="N64" i="5"/>
  <c r="Q64" i="5"/>
  <c r="R64" i="5" s="1"/>
  <c r="N65" i="5"/>
  <c r="Q65" i="5"/>
  <c r="R65" i="5" s="1"/>
  <c r="N66" i="5"/>
  <c r="Q66" i="5"/>
  <c r="R66" i="5" s="1"/>
  <c r="N67" i="5"/>
  <c r="Q67" i="5"/>
  <c r="R67" i="5" s="1"/>
  <c r="N68" i="5"/>
  <c r="Q68" i="5"/>
  <c r="R68" i="5" s="1"/>
  <c r="N69" i="5"/>
  <c r="Q69" i="5"/>
  <c r="R69" i="5" s="1"/>
  <c r="N70" i="5"/>
  <c r="Q70" i="5"/>
  <c r="R70" i="5" s="1"/>
  <c r="N71" i="5"/>
  <c r="Q71" i="5"/>
  <c r="R71" i="5" s="1"/>
  <c r="N72" i="5"/>
  <c r="Q72" i="5"/>
  <c r="R72" i="5" s="1"/>
  <c r="N73" i="5"/>
  <c r="Q73" i="5"/>
  <c r="R73" i="5" s="1"/>
  <c r="N74" i="5"/>
  <c r="Q74" i="5"/>
  <c r="R74" i="5" s="1"/>
  <c r="N75" i="5"/>
  <c r="Q75" i="5"/>
  <c r="R75" i="5" s="1"/>
  <c r="N76" i="5"/>
  <c r="Q76" i="5"/>
  <c r="R76" i="5" s="1"/>
  <c r="N77" i="5"/>
  <c r="Q77" i="5"/>
  <c r="R77" i="5" s="1"/>
  <c r="N78" i="5"/>
  <c r="Q78" i="5"/>
  <c r="R78" i="5" s="1"/>
  <c r="N79" i="5"/>
  <c r="Q79" i="5"/>
  <c r="R79" i="5" s="1"/>
  <c r="N80" i="5"/>
  <c r="Q80" i="5"/>
  <c r="R80" i="5" s="1"/>
  <c r="N81" i="5"/>
  <c r="Q81" i="5"/>
  <c r="R81" i="5" s="1"/>
  <c r="N82" i="5"/>
  <c r="Q82" i="5"/>
  <c r="R82" i="5" s="1"/>
  <c r="N83" i="5"/>
  <c r="Q83" i="5"/>
  <c r="R83" i="5" s="1"/>
  <c r="N84" i="5"/>
  <c r="Q84" i="5"/>
  <c r="R84" i="5" s="1"/>
  <c r="N85" i="5"/>
  <c r="Q85" i="5"/>
  <c r="R85" i="5" s="1"/>
  <c r="N86" i="5"/>
  <c r="Q86" i="5"/>
  <c r="R86" i="5" s="1"/>
  <c r="N87" i="5"/>
  <c r="Q87" i="5"/>
  <c r="R87" i="5" s="1"/>
  <c r="N88" i="5"/>
  <c r="Q88" i="5"/>
  <c r="R88" i="5" s="1"/>
  <c r="N89" i="5"/>
  <c r="Q89" i="5"/>
  <c r="R89" i="5" s="1"/>
  <c r="N90" i="5"/>
  <c r="Q90" i="5"/>
  <c r="R90" i="5" s="1"/>
  <c r="N91" i="5"/>
  <c r="Q91" i="5"/>
  <c r="R91" i="5" s="1"/>
  <c r="N92" i="5"/>
  <c r="Q92" i="5"/>
  <c r="R92" i="5" s="1"/>
  <c r="N93" i="5"/>
  <c r="Q93" i="5"/>
  <c r="R93" i="5" s="1"/>
  <c r="N94" i="5"/>
  <c r="Q94" i="5"/>
  <c r="R94" i="5" s="1"/>
  <c r="N95" i="5"/>
  <c r="Q95" i="5"/>
  <c r="R95" i="5" s="1"/>
  <c r="N96" i="5"/>
  <c r="Q96" i="5"/>
  <c r="R96" i="5" s="1"/>
  <c r="N97" i="5"/>
  <c r="Q97" i="5"/>
  <c r="R97" i="5" s="1"/>
  <c r="N98" i="5"/>
  <c r="Q98" i="5"/>
  <c r="R98" i="5" s="1"/>
  <c r="N99" i="5"/>
  <c r="Q99" i="5"/>
  <c r="R99" i="5" s="1"/>
  <c r="N100" i="5"/>
  <c r="Q100" i="5"/>
  <c r="R100" i="5" s="1"/>
  <c r="N101" i="5"/>
  <c r="Q101" i="5"/>
  <c r="R101" i="5" s="1"/>
  <c r="N102" i="5"/>
  <c r="Q102" i="5"/>
  <c r="R102" i="5" s="1"/>
  <c r="N103" i="5"/>
  <c r="Q103" i="5"/>
  <c r="R103" i="5" s="1"/>
  <c r="N104" i="5"/>
  <c r="Q104" i="5"/>
  <c r="R104" i="5" s="1"/>
  <c r="N105" i="5"/>
  <c r="Q105" i="5"/>
  <c r="R105" i="5" s="1"/>
  <c r="N106" i="5"/>
  <c r="Q106" i="5"/>
  <c r="R106" i="5" s="1"/>
  <c r="N107" i="5"/>
  <c r="Q107" i="5"/>
  <c r="R107" i="5" s="1"/>
  <c r="N108" i="5"/>
  <c r="Q108" i="5"/>
  <c r="R108" i="5" s="1"/>
  <c r="N109" i="5"/>
  <c r="Q109" i="5"/>
  <c r="R109" i="5" s="1"/>
  <c r="N110" i="5"/>
  <c r="Q110" i="5"/>
  <c r="R110" i="5" s="1"/>
  <c r="N111" i="5"/>
  <c r="Q111" i="5"/>
  <c r="R111" i="5" s="1"/>
  <c r="N112" i="5"/>
  <c r="Q112" i="5"/>
  <c r="R112" i="5" s="1"/>
  <c r="N113" i="5"/>
  <c r="Q113" i="5"/>
  <c r="R113" i="5" s="1"/>
  <c r="N114" i="5"/>
  <c r="Q114" i="5"/>
  <c r="R114" i="5" s="1"/>
  <c r="N115" i="5"/>
  <c r="Q115" i="5"/>
  <c r="R115" i="5" s="1"/>
  <c r="N116" i="5"/>
  <c r="Q116" i="5"/>
  <c r="R116" i="5" s="1"/>
  <c r="N117" i="5"/>
  <c r="Q117" i="5"/>
  <c r="R117" i="5" s="1"/>
  <c r="N118" i="5"/>
  <c r="Q118" i="5"/>
  <c r="R118" i="5" s="1"/>
  <c r="N119" i="5"/>
  <c r="Q119" i="5"/>
  <c r="R119" i="5" s="1"/>
  <c r="N120" i="5"/>
  <c r="Q120" i="5"/>
  <c r="R120" i="5" s="1"/>
  <c r="N121" i="5"/>
  <c r="Q121" i="5"/>
  <c r="R121" i="5" s="1"/>
  <c r="N122" i="5"/>
  <c r="Q122" i="5"/>
  <c r="R122" i="5" s="1"/>
  <c r="N123" i="5"/>
  <c r="Q123" i="5"/>
  <c r="R123" i="5" s="1"/>
  <c r="N124" i="5"/>
  <c r="Q124" i="5"/>
  <c r="R124" i="5" s="1"/>
  <c r="N125" i="5"/>
  <c r="Q125" i="5"/>
  <c r="R125" i="5" s="1"/>
  <c r="N126" i="5"/>
  <c r="Q126" i="5"/>
  <c r="R126" i="5" s="1"/>
  <c r="N127" i="5"/>
  <c r="Q127" i="5"/>
  <c r="R127" i="5" s="1"/>
  <c r="N128" i="5"/>
  <c r="Q128" i="5"/>
  <c r="R128" i="5" s="1"/>
  <c r="N129" i="5"/>
  <c r="Q129" i="5"/>
  <c r="R129" i="5" s="1"/>
  <c r="N130" i="5"/>
  <c r="Q130" i="5"/>
  <c r="R130" i="5" s="1"/>
  <c r="N131" i="5"/>
  <c r="Q131" i="5"/>
  <c r="R131" i="5" s="1"/>
  <c r="N132" i="5"/>
  <c r="Q132" i="5"/>
  <c r="R132" i="5" s="1"/>
  <c r="N133" i="5"/>
  <c r="Q133" i="5"/>
  <c r="R133" i="5" s="1"/>
  <c r="N134" i="5"/>
  <c r="Q134" i="5"/>
  <c r="R134" i="5" s="1"/>
  <c r="N135" i="5"/>
  <c r="Q135" i="5"/>
  <c r="R135" i="5" s="1"/>
  <c r="N136" i="5"/>
  <c r="Q136" i="5"/>
  <c r="R136" i="5" s="1"/>
  <c r="N137" i="5"/>
  <c r="Q137" i="5"/>
  <c r="R137" i="5" s="1"/>
  <c r="N138" i="5"/>
  <c r="Q138" i="5"/>
  <c r="R138" i="5" s="1"/>
  <c r="N139" i="5"/>
  <c r="Q139" i="5"/>
  <c r="R139" i="5" s="1"/>
  <c r="N140" i="5"/>
  <c r="Q140" i="5"/>
  <c r="R140" i="5" s="1"/>
  <c r="N141" i="5"/>
  <c r="Q141" i="5"/>
  <c r="R141" i="5" s="1"/>
  <c r="N142" i="5"/>
  <c r="Q142" i="5"/>
  <c r="R142" i="5" s="1"/>
  <c r="N143" i="5"/>
  <c r="Q143" i="5"/>
  <c r="R143" i="5" s="1"/>
  <c r="N144" i="5"/>
  <c r="Q144" i="5"/>
  <c r="R144" i="5" s="1"/>
  <c r="N145" i="5"/>
  <c r="Q145" i="5"/>
  <c r="R145" i="5" s="1"/>
  <c r="N146" i="5"/>
  <c r="Q146" i="5"/>
  <c r="R146" i="5" s="1"/>
  <c r="N147" i="5"/>
  <c r="Q147" i="5"/>
  <c r="R147" i="5" s="1"/>
  <c r="N148" i="5"/>
  <c r="Q148" i="5"/>
  <c r="R148" i="5" s="1"/>
  <c r="N149" i="5"/>
  <c r="Q149" i="5"/>
  <c r="R149" i="5" s="1"/>
  <c r="N150" i="5"/>
  <c r="Q150" i="5"/>
  <c r="R150" i="5" s="1"/>
  <c r="N151" i="5"/>
  <c r="Q151" i="5"/>
  <c r="R151" i="5" s="1"/>
  <c r="N152" i="5"/>
  <c r="Q152" i="5"/>
  <c r="R152" i="5" s="1"/>
  <c r="N153" i="5"/>
  <c r="Q153" i="5"/>
  <c r="R153" i="5" s="1"/>
  <c r="N154" i="5"/>
  <c r="Q154" i="5"/>
  <c r="R154" i="5" s="1"/>
  <c r="N155" i="5"/>
  <c r="Q155" i="5"/>
  <c r="R155" i="5" s="1"/>
  <c r="N156" i="5"/>
  <c r="Q156" i="5"/>
  <c r="R156" i="5" s="1"/>
  <c r="N157" i="5"/>
  <c r="Q157" i="5"/>
  <c r="R157" i="5" s="1"/>
  <c r="N158" i="5"/>
  <c r="Q158" i="5"/>
  <c r="R158" i="5" s="1"/>
  <c r="N159" i="5"/>
  <c r="Q159" i="5"/>
  <c r="R159" i="5" s="1"/>
  <c r="N160" i="5"/>
  <c r="Q160" i="5"/>
  <c r="R160" i="5" s="1"/>
  <c r="N161" i="5"/>
  <c r="Q161" i="5"/>
  <c r="R161" i="5" s="1"/>
  <c r="N162" i="5"/>
  <c r="Q162" i="5"/>
  <c r="R162" i="5" s="1"/>
  <c r="N163" i="5"/>
  <c r="Q163" i="5"/>
  <c r="R163" i="5" s="1"/>
  <c r="N164" i="5"/>
  <c r="Q164" i="5"/>
  <c r="R164" i="5" s="1"/>
  <c r="N165" i="5"/>
  <c r="Q165" i="5"/>
  <c r="R165" i="5" s="1"/>
  <c r="N166" i="5"/>
  <c r="Q166" i="5"/>
  <c r="R166" i="5" s="1"/>
  <c r="N167" i="5"/>
  <c r="Q167" i="5"/>
  <c r="R167" i="5" s="1"/>
  <c r="N168" i="5"/>
  <c r="Q168" i="5"/>
  <c r="R168" i="5" s="1"/>
  <c r="N169" i="5"/>
  <c r="Q169" i="5"/>
  <c r="R169" i="5" s="1"/>
  <c r="N170" i="5"/>
  <c r="Q170" i="5"/>
  <c r="R170" i="5" s="1"/>
  <c r="N171" i="5"/>
  <c r="Q171" i="5"/>
  <c r="R171" i="5" s="1"/>
  <c r="N172" i="5"/>
  <c r="Q172" i="5"/>
  <c r="R172" i="5" s="1"/>
  <c r="N173" i="5"/>
  <c r="Q173" i="5"/>
  <c r="R173" i="5" s="1"/>
  <c r="N174" i="5"/>
  <c r="Q174" i="5"/>
  <c r="R174" i="5" s="1"/>
  <c r="N175" i="5"/>
  <c r="Q175" i="5"/>
  <c r="R175" i="5" s="1"/>
  <c r="N176" i="5"/>
  <c r="Q176" i="5"/>
  <c r="R176" i="5" s="1"/>
  <c r="N177" i="5"/>
  <c r="Q177" i="5"/>
  <c r="R177" i="5" s="1"/>
  <c r="N178" i="5"/>
  <c r="Q178" i="5"/>
  <c r="R178" i="5" s="1"/>
  <c r="N179" i="5"/>
  <c r="Q179" i="5"/>
  <c r="R179" i="5" s="1"/>
  <c r="N180" i="5"/>
  <c r="Q180" i="5"/>
  <c r="R180" i="5" s="1"/>
  <c r="N181" i="5"/>
  <c r="Q181" i="5"/>
  <c r="R181" i="5" s="1"/>
  <c r="N182" i="5"/>
  <c r="Q182" i="5"/>
  <c r="R182" i="5" s="1"/>
  <c r="N183" i="5"/>
  <c r="Q183" i="5"/>
  <c r="R183" i="5" s="1"/>
  <c r="N184" i="5"/>
  <c r="Q184" i="5"/>
  <c r="R184" i="5" s="1"/>
  <c r="N185" i="5"/>
  <c r="Q185" i="5"/>
  <c r="R185" i="5" s="1"/>
  <c r="N186" i="5"/>
  <c r="Q186" i="5"/>
  <c r="R186" i="5" s="1"/>
  <c r="N187" i="5"/>
  <c r="Q187" i="5"/>
  <c r="R187" i="5" s="1"/>
  <c r="N188" i="5"/>
  <c r="Q188" i="5"/>
  <c r="R188" i="5" s="1"/>
  <c r="N189" i="5"/>
  <c r="Q189" i="5"/>
  <c r="R189" i="5" s="1"/>
  <c r="N190" i="5"/>
  <c r="Q190" i="5"/>
  <c r="R190" i="5" s="1"/>
  <c r="N191" i="5"/>
  <c r="Q191" i="5"/>
  <c r="R191" i="5" s="1"/>
  <c r="N192" i="5"/>
  <c r="Q192" i="5"/>
  <c r="R192" i="5" s="1"/>
  <c r="N193" i="5"/>
  <c r="Q193" i="5"/>
  <c r="R193" i="5" s="1"/>
  <c r="N194" i="5"/>
  <c r="Q194" i="5"/>
  <c r="R194" i="5" s="1"/>
  <c r="N195" i="5"/>
  <c r="Q195" i="5"/>
  <c r="R195" i="5" s="1"/>
  <c r="N196" i="5"/>
  <c r="Q196" i="5"/>
  <c r="R196" i="5" s="1"/>
  <c r="N197" i="5"/>
  <c r="Q197" i="5"/>
  <c r="R197" i="5" s="1"/>
  <c r="N198" i="5"/>
  <c r="Q198" i="5"/>
  <c r="R198" i="5" s="1"/>
  <c r="N199" i="5"/>
  <c r="Q199" i="5"/>
  <c r="R199" i="5" s="1"/>
  <c r="N200" i="5"/>
  <c r="Q200" i="5"/>
  <c r="R200" i="5" s="1"/>
  <c r="N201" i="5"/>
  <c r="Q201" i="5"/>
  <c r="R201" i="5" s="1"/>
  <c r="N202" i="5"/>
  <c r="Q202" i="5"/>
  <c r="R202" i="5" s="1"/>
  <c r="N203" i="5"/>
  <c r="Q203" i="5"/>
  <c r="R203" i="5" s="1"/>
  <c r="N204" i="5"/>
  <c r="Q204" i="5"/>
  <c r="R204" i="5" s="1"/>
  <c r="N205" i="5"/>
  <c r="Q205" i="5"/>
  <c r="R205" i="5" s="1"/>
  <c r="N206" i="5"/>
  <c r="Q206" i="5"/>
  <c r="R206" i="5" s="1"/>
  <c r="N207" i="5"/>
  <c r="Q207" i="5"/>
  <c r="R207" i="5" s="1"/>
  <c r="N208" i="5"/>
  <c r="Q208" i="5"/>
  <c r="R208" i="5" s="1"/>
  <c r="N209" i="5"/>
  <c r="Q209" i="5"/>
  <c r="R209" i="5" s="1"/>
  <c r="N210" i="5"/>
  <c r="Q210" i="5"/>
  <c r="R210" i="5" s="1"/>
  <c r="N211" i="5"/>
  <c r="Q211" i="5"/>
  <c r="R211" i="5" s="1"/>
  <c r="N212" i="5"/>
  <c r="Q212" i="5"/>
  <c r="R212" i="5" s="1"/>
  <c r="N213" i="5"/>
  <c r="Q213" i="5"/>
  <c r="R213" i="5" s="1"/>
  <c r="N214" i="5"/>
  <c r="Q214" i="5"/>
  <c r="R214" i="5" s="1"/>
  <c r="N215" i="5"/>
  <c r="Q215" i="5"/>
  <c r="R215" i="5" s="1"/>
  <c r="N216" i="5"/>
  <c r="Q216" i="5"/>
  <c r="R216" i="5" s="1"/>
  <c r="N217" i="5"/>
  <c r="Q217" i="5"/>
  <c r="R217" i="5" s="1"/>
  <c r="N218" i="5"/>
  <c r="Q218" i="5"/>
  <c r="R218" i="5" s="1"/>
  <c r="N219" i="5"/>
  <c r="Q219" i="5"/>
  <c r="R219" i="5" s="1"/>
  <c r="N220" i="5"/>
  <c r="Q220" i="5"/>
  <c r="R220" i="5" s="1"/>
  <c r="N221" i="5"/>
  <c r="Q221" i="5"/>
  <c r="R221" i="5" s="1"/>
  <c r="N222" i="5"/>
  <c r="Q222" i="5"/>
  <c r="R222" i="5" s="1"/>
  <c r="Q9" i="5"/>
  <c r="N9" i="5"/>
  <c r="P9" i="5" s="1"/>
  <c r="N10" i="4"/>
  <c r="Q10" i="4"/>
  <c r="R10" i="4" s="1"/>
  <c r="N11" i="4"/>
  <c r="Q11" i="4"/>
  <c r="R11" i="4" s="1"/>
  <c r="N12" i="4"/>
  <c r="Q12" i="4"/>
  <c r="R12" i="4" s="1"/>
  <c r="N13" i="4"/>
  <c r="Q13" i="4"/>
  <c r="R13" i="4" s="1"/>
  <c r="N14" i="4"/>
  <c r="Q14" i="4"/>
  <c r="R14" i="4" s="1"/>
  <c r="N15" i="4"/>
  <c r="Q15" i="4"/>
  <c r="R15" i="4" s="1"/>
  <c r="N16" i="4"/>
  <c r="Q16" i="4"/>
  <c r="R16" i="4" s="1"/>
  <c r="N17" i="4"/>
  <c r="Q17" i="4"/>
  <c r="R17" i="4" s="1"/>
  <c r="N18" i="4"/>
  <c r="Q18" i="4"/>
  <c r="R18" i="4" s="1"/>
  <c r="N19" i="4"/>
  <c r="Q19" i="4"/>
  <c r="R19" i="4" s="1"/>
  <c r="N20" i="4"/>
  <c r="Q20" i="4"/>
  <c r="R20" i="4" s="1"/>
  <c r="N21" i="4"/>
  <c r="Q21" i="4"/>
  <c r="R21" i="4" s="1"/>
  <c r="N22" i="4"/>
  <c r="Q22" i="4"/>
  <c r="R22" i="4" s="1"/>
  <c r="N23" i="4"/>
  <c r="Q23" i="4"/>
  <c r="R23" i="4" s="1"/>
  <c r="N24" i="4"/>
  <c r="Q24" i="4"/>
  <c r="R24" i="4" s="1"/>
  <c r="N25" i="4"/>
  <c r="Q25" i="4"/>
  <c r="R25" i="4" s="1"/>
  <c r="N26" i="4"/>
  <c r="Q26" i="4"/>
  <c r="R26" i="4" s="1"/>
  <c r="N27" i="4"/>
  <c r="Q27" i="4"/>
  <c r="R27" i="4" s="1"/>
  <c r="N28" i="4"/>
  <c r="Q28" i="4"/>
  <c r="R28" i="4" s="1"/>
  <c r="N29" i="4"/>
  <c r="Q29" i="4"/>
  <c r="R29" i="4" s="1"/>
  <c r="N30" i="4"/>
  <c r="Q30" i="4"/>
  <c r="R30" i="4" s="1"/>
  <c r="N31" i="4"/>
  <c r="Q31" i="4"/>
  <c r="R31" i="4" s="1"/>
  <c r="N32" i="4"/>
  <c r="Q32" i="4"/>
  <c r="R32" i="4" s="1"/>
  <c r="N33" i="4"/>
  <c r="Q33" i="4"/>
  <c r="R33" i="4" s="1"/>
  <c r="N34" i="4"/>
  <c r="Q34" i="4"/>
  <c r="R34" i="4" s="1"/>
  <c r="N35" i="4"/>
  <c r="Q35" i="4"/>
  <c r="R35" i="4" s="1"/>
  <c r="N36" i="4"/>
  <c r="Q36" i="4"/>
  <c r="R36" i="4" s="1"/>
  <c r="N37" i="4"/>
  <c r="Q37" i="4"/>
  <c r="R37" i="4" s="1"/>
  <c r="N38" i="4"/>
  <c r="Q38" i="4"/>
  <c r="R38" i="4" s="1"/>
  <c r="N39" i="4"/>
  <c r="Q39" i="4"/>
  <c r="R39" i="4" s="1"/>
  <c r="N40" i="4"/>
  <c r="Q40" i="4"/>
  <c r="R40" i="4" s="1"/>
  <c r="N41" i="4"/>
  <c r="Q41" i="4"/>
  <c r="R41" i="4" s="1"/>
  <c r="N42" i="4"/>
  <c r="Q42" i="4"/>
  <c r="R42" i="4" s="1"/>
  <c r="N43" i="4"/>
  <c r="Q43" i="4"/>
  <c r="R43" i="4" s="1"/>
  <c r="N44" i="4"/>
  <c r="Q44" i="4"/>
  <c r="R44" i="4" s="1"/>
  <c r="N45" i="4"/>
  <c r="Q45" i="4"/>
  <c r="R45" i="4" s="1"/>
  <c r="N46" i="4"/>
  <c r="Q46" i="4"/>
  <c r="R46" i="4" s="1"/>
  <c r="N47" i="4"/>
  <c r="Q47" i="4"/>
  <c r="R47" i="4" s="1"/>
  <c r="N48" i="4"/>
  <c r="Q48" i="4"/>
  <c r="R48" i="4" s="1"/>
  <c r="N49" i="4"/>
  <c r="Q49" i="4"/>
  <c r="R49" i="4" s="1"/>
  <c r="N50" i="4"/>
  <c r="Q50" i="4"/>
  <c r="R50" i="4" s="1"/>
  <c r="N51" i="4"/>
  <c r="Q51" i="4"/>
  <c r="R51" i="4" s="1"/>
  <c r="N52" i="4"/>
  <c r="Q52" i="4"/>
  <c r="R52" i="4" s="1"/>
  <c r="N53" i="4"/>
  <c r="Q53" i="4"/>
  <c r="R53" i="4" s="1"/>
  <c r="N54" i="4"/>
  <c r="Q54" i="4"/>
  <c r="R54" i="4" s="1"/>
  <c r="N55" i="4"/>
  <c r="Q55" i="4"/>
  <c r="R55" i="4" s="1"/>
  <c r="N56" i="4"/>
  <c r="Q56" i="4"/>
  <c r="R56" i="4" s="1"/>
  <c r="N57" i="4"/>
  <c r="Q57" i="4"/>
  <c r="R57" i="4" s="1"/>
  <c r="N58" i="4"/>
  <c r="Q58" i="4"/>
  <c r="R58" i="4" s="1"/>
  <c r="N59" i="4"/>
  <c r="Q59" i="4"/>
  <c r="R59" i="4" s="1"/>
  <c r="N60" i="4"/>
  <c r="Q60" i="4"/>
  <c r="R60" i="4" s="1"/>
  <c r="N61" i="4"/>
  <c r="Q61" i="4"/>
  <c r="R61" i="4" s="1"/>
  <c r="N62" i="4"/>
  <c r="Q62" i="4"/>
  <c r="R62" i="4" s="1"/>
  <c r="N63" i="4"/>
  <c r="Q63" i="4"/>
  <c r="R63" i="4" s="1"/>
  <c r="N64" i="4"/>
  <c r="Q64" i="4"/>
  <c r="R64" i="4" s="1"/>
  <c r="N65" i="4"/>
  <c r="Q65" i="4"/>
  <c r="R65" i="4" s="1"/>
  <c r="N66" i="4"/>
  <c r="Q66" i="4"/>
  <c r="R66" i="4" s="1"/>
  <c r="N67" i="4"/>
  <c r="Q67" i="4"/>
  <c r="R67" i="4" s="1"/>
  <c r="N68" i="4"/>
  <c r="Q68" i="4"/>
  <c r="R68" i="4" s="1"/>
  <c r="N69" i="4"/>
  <c r="Q69" i="4"/>
  <c r="R69" i="4" s="1"/>
  <c r="N70" i="4"/>
  <c r="Q70" i="4"/>
  <c r="R70" i="4" s="1"/>
  <c r="N71" i="4"/>
  <c r="Q71" i="4"/>
  <c r="R71" i="4" s="1"/>
  <c r="N72" i="4"/>
  <c r="Q72" i="4"/>
  <c r="R72" i="4" s="1"/>
  <c r="N73" i="4"/>
  <c r="Q73" i="4"/>
  <c r="R73" i="4" s="1"/>
  <c r="N74" i="4"/>
  <c r="Q74" i="4"/>
  <c r="R74" i="4" s="1"/>
  <c r="N75" i="4"/>
  <c r="Q75" i="4"/>
  <c r="R75" i="4" s="1"/>
  <c r="N76" i="4"/>
  <c r="Q76" i="4"/>
  <c r="R76" i="4" s="1"/>
  <c r="N77" i="4"/>
  <c r="Q77" i="4"/>
  <c r="R77" i="4" s="1"/>
  <c r="N78" i="4"/>
  <c r="Q78" i="4"/>
  <c r="R78" i="4" s="1"/>
  <c r="N79" i="4"/>
  <c r="Q79" i="4"/>
  <c r="R79" i="4" s="1"/>
  <c r="N80" i="4"/>
  <c r="Q80" i="4"/>
  <c r="R80" i="4" s="1"/>
  <c r="N81" i="4"/>
  <c r="Q81" i="4"/>
  <c r="R81" i="4" s="1"/>
  <c r="N82" i="4"/>
  <c r="Q82" i="4"/>
  <c r="R82" i="4" s="1"/>
  <c r="N83" i="4"/>
  <c r="Q83" i="4"/>
  <c r="R83" i="4" s="1"/>
  <c r="N84" i="4"/>
  <c r="Q84" i="4"/>
  <c r="R84" i="4" s="1"/>
  <c r="N85" i="4"/>
  <c r="Q85" i="4"/>
  <c r="R85" i="4" s="1"/>
  <c r="N86" i="4"/>
  <c r="Q86" i="4"/>
  <c r="R86" i="4" s="1"/>
  <c r="N87" i="4"/>
  <c r="Q87" i="4"/>
  <c r="R87" i="4" s="1"/>
  <c r="N88" i="4"/>
  <c r="Q88" i="4"/>
  <c r="R88" i="4" s="1"/>
  <c r="N89" i="4"/>
  <c r="Q89" i="4"/>
  <c r="R89" i="4" s="1"/>
  <c r="N90" i="4"/>
  <c r="Q90" i="4"/>
  <c r="R90" i="4" s="1"/>
  <c r="N91" i="4"/>
  <c r="Q91" i="4"/>
  <c r="R91" i="4" s="1"/>
  <c r="N92" i="4"/>
  <c r="Q92" i="4"/>
  <c r="R92" i="4" s="1"/>
  <c r="N93" i="4"/>
  <c r="Q93" i="4"/>
  <c r="R93" i="4" s="1"/>
  <c r="N94" i="4"/>
  <c r="Q94" i="4"/>
  <c r="R94" i="4" s="1"/>
  <c r="N95" i="4"/>
  <c r="Q95" i="4"/>
  <c r="R95" i="4" s="1"/>
  <c r="N96" i="4"/>
  <c r="Q96" i="4"/>
  <c r="R96" i="4" s="1"/>
  <c r="N97" i="4"/>
  <c r="Q97" i="4"/>
  <c r="R97" i="4" s="1"/>
  <c r="N98" i="4"/>
  <c r="Q98" i="4"/>
  <c r="R98" i="4" s="1"/>
  <c r="N99" i="4"/>
  <c r="Q99" i="4"/>
  <c r="R99" i="4" s="1"/>
  <c r="N100" i="4"/>
  <c r="Q100" i="4"/>
  <c r="R100" i="4" s="1"/>
  <c r="N101" i="4"/>
  <c r="Q101" i="4"/>
  <c r="R101" i="4" s="1"/>
  <c r="N102" i="4"/>
  <c r="Q102" i="4"/>
  <c r="R102" i="4" s="1"/>
  <c r="N103" i="4"/>
  <c r="Q103" i="4"/>
  <c r="R103" i="4" s="1"/>
  <c r="N104" i="4"/>
  <c r="Q104" i="4"/>
  <c r="R104" i="4" s="1"/>
  <c r="N105" i="4"/>
  <c r="Q105" i="4"/>
  <c r="R105" i="4" s="1"/>
  <c r="N106" i="4"/>
  <c r="Q106" i="4"/>
  <c r="R106" i="4" s="1"/>
  <c r="N107" i="4"/>
  <c r="Q107" i="4"/>
  <c r="R107" i="4" s="1"/>
  <c r="N108" i="4"/>
  <c r="Q108" i="4"/>
  <c r="R108" i="4" s="1"/>
  <c r="N109" i="4"/>
  <c r="Q109" i="4"/>
  <c r="R109" i="4" s="1"/>
  <c r="N110" i="4"/>
  <c r="Q110" i="4"/>
  <c r="R110" i="4" s="1"/>
  <c r="N111" i="4"/>
  <c r="Q111" i="4"/>
  <c r="R111" i="4" s="1"/>
  <c r="N112" i="4"/>
  <c r="Q112" i="4"/>
  <c r="R112" i="4" s="1"/>
  <c r="N113" i="4"/>
  <c r="Q113" i="4"/>
  <c r="R113" i="4" s="1"/>
  <c r="N114" i="4"/>
  <c r="Q114" i="4"/>
  <c r="R114" i="4" s="1"/>
  <c r="N115" i="4"/>
  <c r="Q115" i="4"/>
  <c r="R115" i="4" s="1"/>
  <c r="N116" i="4"/>
  <c r="Q116" i="4"/>
  <c r="R116" i="4" s="1"/>
  <c r="N117" i="4"/>
  <c r="Q117" i="4"/>
  <c r="R117" i="4" s="1"/>
  <c r="N118" i="4"/>
  <c r="Q118" i="4"/>
  <c r="R118" i="4" s="1"/>
  <c r="N119" i="4"/>
  <c r="Q119" i="4"/>
  <c r="R119" i="4" s="1"/>
  <c r="N120" i="4"/>
  <c r="Q120" i="4"/>
  <c r="R120" i="4" s="1"/>
  <c r="N121" i="4"/>
  <c r="Q121" i="4"/>
  <c r="R121" i="4" s="1"/>
  <c r="N122" i="4"/>
  <c r="Q122" i="4"/>
  <c r="R122" i="4" s="1"/>
  <c r="N123" i="4"/>
  <c r="Q123" i="4"/>
  <c r="R123" i="4" s="1"/>
  <c r="N124" i="4"/>
  <c r="Q124" i="4"/>
  <c r="R124" i="4" s="1"/>
  <c r="N125" i="4"/>
  <c r="Q125" i="4"/>
  <c r="R125" i="4" s="1"/>
  <c r="N126" i="4"/>
  <c r="Q126" i="4"/>
  <c r="R126" i="4" s="1"/>
  <c r="N127" i="4"/>
  <c r="Q127" i="4"/>
  <c r="R127" i="4" s="1"/>
  <c r="N128" i="4"/>
  <c r="Q128" i="4"/>
  <c r="R128" i="4" s="1"/>
  <c r="N129" i="4"/>
  <c r="Q129" i="4"/>
  <c r="R129" i="4" s="1"/>
  <c r="N130" i="4"/>
  <c r="Q130" i="4"/>
  <c r="R130" i="4" s="1"/>
  <c r="N131" i="4"/>
  <c r="Q131" i="4"/>
  <c r="R131" i="4" s="1"/>
  <c r="N132" i="4"/>
  <c r="Q132" i="4"/>
  <c r="R132" i="4" s="1"/>
  <c r="N133" i="4"/>
  <c r="Q133" i="4"/>
  <c r="R133" i="4" s="1"/>
  <c r="N134" i="4"/>
  <c r="Q134" i="4"/>
  <c r="R134" i="4" s="1"/>
  <c r="N135" i="4"/>
  <c r="Q135" i="4"/>
  <c r="R135" i="4" s="1"/>
  <c r="N136" i="4"/>
  <c r="Q136" i="4"/>
  <c r="R136" i="4" s="1"/>
  <c r="N137" i="4"/>
  <c r="Q137" i="4"/>
  <c r="R137" i="4" s="1"/>
  <c r="N138" i="4"/>
  <c r="Q138" i="4"/>
  <c r="R138" i="4" s="1"/>
  <c r="N139" i="4"/>
  <c r="Q139" i="4"/>
  <c r="R139" i="4" s="1"/>
  <c r="N140" i="4"/>
  <c r="Q140" i="4"/>
  <c r="R140" i="4" s="1"/>
  <c r="N141" i="4"/>
  <c r="Q141" i="4"/>
  <c r="R141" i="4" s="1"/>
  <c r="N142" i="4"/>
  <c r="Q142" i="4"/>
  <c r="R142" i="4" s="1"/>
  <c r="N143" i="4"/>
  <c r="Q143" i="4"/>
  <c r="R143" i="4" s="1"/>
  <c r="N144" i="4"/>
  <c r="Q144" i="4"/>
  <c r="R144" i="4" s="1"/>
  <c r="N145" i="4"/>
  <c r="Q145" i="4"/>
  <c r="R145" i="4" s="1"/>
  <c r="N146" i="4"/>
  <c r="Q146" i="4"/>
  <c r="R146" i="4" s="1"/>
  <c r="N147" i="4"/>
  <c r="Q147" i="4"/>
  <c r="R147" i="4" s="1"/>
  <c r="N148" i="4"/>
  <c r="Q148" i="4"/>
  <c r="R148" i="4" s="1"/>
  <c r="N149" i="4"/>
  <c r="Q149" i="4"/>
  <c r="R149" i="4" s="1"/>
  <c r="N150" i="4"/>
  <c r="Q150" i="4"/>
  <c r="R150" i="4" s="1"/>
  <c r="N151" i="4"/>
  <c r="Q151" i="4"/>
  <c r="R151" i="4" s="1"/>
  <c r="N152" i="4"/>
  <c r="Q152" i="4"/>
  <c r="R152" i="4" s="1"/>
  <c r="N153" i="4"/>
  <c r="Q153" i="4"/>
  <c r="R153" i="4" s="1"/>
  <c r="N154" i="4"/>
  <c r="Q154" i="4"/>
  <c r="R154" i="4" s="1"/>
  <c r="N155" i="4"/>
  <c r="Q155" i="4"/>
  <c r="R155" i="4" s="1"/>
  <c r="N156" i="4"/>
  <c r="Q156" i="4"/>
  <c r="R156" i="4" s="1"/>
  <c r="N157" i="4"/>
  <c r="Q157" i="4"/>
  <c r="R157" i="4" s="1"/>
  <c r="N158" i="4"/>
  <c r="Q158" i="4"/>
  <c r="R158" i="4" s="1"/>
  <c r="N159" i="4"/>
  <c r="Q159" i="4"/>
  <c r="R159" i="4" s="1"/>
  <c r="N160" i="4"/>
  <c r="Q160" i="4"/>
  <c r="R160" i="4" s="1"/>
  <c r="N161" i="4"/>
  <c r="Q161" i="4"/>
  <c r="R161" i="4" s="1"/>
  <c r="N162" i="4"/>
  <c r="Q162" i="4"/>
  <c r="R162" i="4" s="1"/>
  <c r="N163" i="4"/>
  <c r="Q163" i="4"/>
  <c r="R163" i="4" s="1"/>
  <c r="N164" i="4"/>
  <c r="Q164" i="4"/>
  <c r="R164" i="4" s="1"/>
  <c r="N165" i="4"/>
  <c r="Q165" i="4"/>
  <c r="R165" i="4" s="1"/>
  <c r="N166" i="4"/>
  <c r="Q166" i="4"/>
  <c r="R166" i="4" s="1"/>
  <c r="N167" i="4"/>
  <c r="Q167" i="4"/>
  <c r="R167" i="4" s="1"/>
  <c r="N168" i="4"/>
  <c r="Q168" i="4"/>
  <c r="R168" i="4" s="1"/>
  <c r="N169" i="4"/>
  <c r="Q169" i="4"/>
  <c r="R169" i="4" s="1"/>
  <c r="N170" i="4"/>
  <c r="Q170" i="4"/>
  <c r="R170" i="4" s="1"/>
  <c r="N171" i="4"/>
  <c r="Q171" i="4"/>
  <c r="R171" i="4" s="1"/>
  <c r="N172" i="4"/>
  <c r="Q172" i="4"/>
  <c r="R172" i="4" s="1"/>
  <c r="N173" i="4"/>
  <c r="Q173" i="4"/>
  <c r="R173" i="4" s="1"/>
  <c r="N174" i="4"/>
  <c r="Q174" i="4"/>
  <c r="R174" i="4" s="1"/>
  <c r="N175" i="4"/>
  <c r="Q175" i="4"/>
  <c r="R175" i="4" s="1"/>
  <c r="N176" i="4"/>
  <c r="Q176" i="4"/>
  <c r="R176" i="4" s="1"/>
  <c r="N177" i="4"/>
  <c r="Q177" i="4"/>
  <c r="R177" i="4" s="1"/>
  <c r="N178" i="4"/>
  <c r="Q178" i="4"/>
  <c r="R178" i="4" s="1"/>
  <c r="N179" i="4"/>
  <c r="Q179" i="4"/>
  <c r="R179" i="4" s="1"/>
  <c r="N180" i="4"/>
  <c r="Q180" i="4"/>
  <c r="R180" i="4" s="1"/>
  <c r="N181" i="4"/>
  <c r="Q181" i="4"/>
  <c r="R181" i="4" s="1"/>
  <c r="N182" i="4"/>
  <c r="Q182" i="4"/>
  <c r="R182" i="4" s="1"/>
  <c r="N183" i="4"/>
  <c r="Q183" i="4"/>
  <c r="R183" i="4" s="1"/>
  <c r="N184" i="4"/>
  <c r="Q184" i="4"/>
  <c r="R184" i="4" s="1"/>
  <c r="N185" i="4"/>
  <c r="Q185" i="4"/>
  <c r="R185" i="4" s="1"/>
  <c r="N186" i="4"/>
  <c r="Q186" i="4"/>
  <c r="R186" i="4" s="1"/>
  <c r="N187" i="4"/>
  <c r="Q187" i="4"/>
  <c r="R187" i="4" s="1"/>
  <c r="N188" i="4"/>
  <c r="Q188" i="4"/>
  <c r="R188" i="4" s="1"/>
  <c r="N189" i="4"/>
  <c r="Q189" i="4"/>
  <c r="R189" i="4" s="1"/>
  <c r="N190" i="4"/>
  <c r="Q190" i="4"/>
  <c r="R190" i="4" s="1"/>
  <c r="N191" i="4"/>
  <c r="Q191" i="4"/>
  <c r="R191" i="4" s="1"/>
  <c r="N192" i="4"/>
  <c r="Q192" i="4"/>
  <c r="R192" i="4" s="1"/>
  <c r="N193" i="4"/>
  <c r="Q193" i="4"/>
  <c r="R193" i="4" s="1"/>
  <c r="N194" i="4"/>
  <c r="Q194" i="4"/>
  <c r="R194" i="4" s="1"/>
  <c r="N195" i="4"/>
  <c r="Q195" i="4"/>
  <c r="R195" i="4" s="1"/>
  <c r="N196" i="4"/>
  <c r="Q196" i="4"/>
  <c r="R196" i="4" s="1"/>
  <c r="N197" i="4"/>
  <c r="Q197" i="4"/>
  <c r="R197" i="4" s="1"/>
  <c r="N198" i="4"/>
  <c r="Q198" i="4"/>
  <c r="R198" i="4" s="1"/>
  <c r="N199" i="4"/>
  <c r="Q199" i="4"/>
  <c r="R199" i="4" s="1"/>
  <c r="N200" i="4"/>
  <c r="Q200" i="4"/>
  <c r="R200" i="4" s="1"/>
  <c r="N201" i="4"/>
  <c r="Q201" i="4"/>
  <c r="R201" i="4" s="1"/>
  <c r="N202" i="4"/>
  <c r="Q202" i="4"/>
  <c r="R202" i="4" s="1"/>
  <c r="N203" i="4"/>
  <c r="Q203" i="4"/>
  <c r="R203" i="4" s="1"/>
  <c r="N204" i="4"/>
  <c r="Q204" i="4"/>
  <c r="R204" i="4" s="1"/>
  <c r="N205" i="4"/>
  <c r="Q205" i="4"/>
  <c r="R205" i="4" s="1"/>
  <c r="N206" i="4"/>
  <c r="Q206" i="4"/>
  <c r="R206" i="4" s="1"/>
  <c r="N207" i="4"/>
  <c r="Q207" i="4"/>
  <c r="R207" i="4" s="1"/>
  <c r="N208" i="4"/>
  <c r="Q208" i="4"/>
  <c r="R208" i="4" s="1"/>
  <c r="N209" i="4"/>
  <c r="Q209" i="4"/>
  <c r="R209" i="4" s="1"/>
  <c r="N210" i="4"/>
  <c r="Q210" i="4"/>
  <c r="R210" i="4" s="1"/>
  <c r="N211" i="4"/>
  <c r="Q211" i="4"/>
  <c r="R211" i="4" s="1"/>
  <c r="N212" i="4"/>
  <c r="Q212" i="4"/>
  <c r="R212" i="4" s="1"/>
  <c r="N213" i="4"/>
  <c r="Q213" i="4"/>
  <c r="R213" i="4" s="1"/>
  <c r="N214" i="4"/>
  <c r="Q214" i="4"/>
  <c r="R214" i="4" s="1"/>
  <c r="N215" i="4"/>
  <c r="Q215" i="4"/>
  <c r="R215" i="4" s="1"/>
  <c r="N216" i="4"/>
  <c r="Q216" i="4"/>
  <c r="R216" i="4" s="1"/>
  <c r="N217" i="4"/>
  <c r="Q217" i="4"/>
  <c r="R217" i="4" s="1"/>
  <c r="N218" i="4"/>
  <c r="Q218" i="4"/>
  <c r="R218" i="4" s="1"/>
  <c r="N219" i="4"/>
  <c r="Q219" i="4"/>
  <c r="R219" i="4" s="1"/>
  <c r="N220" i="4"/>
  <c r="Q220" i="4"/>
  <c r="R220" i="4" s="1"/>
  <c r="N221" i="4"/>
  <c r="Q221" i="4"/>
  <c r="R221" i="4" s="1"/>
  <c r="N222" i="4"/>
  <c r="Q222" i="4"/>
  <c r="R222" i="4" s="1"/>
  <c r="Q9" i="4"/>
  <c r="N9" i="4"/>
  <c r="M10" i="1"/>
  <c r="N10" i="1" s="1"/>
  <c r="P10" i="1"/>
  <c r="Q10" i="1" s="1"/>
  <c r="M11" i="1"/>
  <c r="N11" i="1" s="1"/>
  <c r="P11" i="1"/>
  <c r="Q11" i="1" s="1"/>
  <c r="M12" i="1"/>
  <c r="N12" i="1" s="1"/>
  <c r="P12" i="1"/>
  <c r="Q12" i="1" s="1"/>
  <c r="M13" i="1"/>
  <c r="N13" i="1" s="1"/>
  <c r="P13" i="1"/>
  <c r="Q13" i="1" s="1"/>
  <c r="M14" i="1"/>
  <c r="N14" i="1" s="1"/>
  <c r="P14" i="1"/>
  <c r="Q14" i="1" s="1"/>
  <c r="M15" i="1"/>
  <c r="N15" i="1" s="1"/>
  <c r="P15" i="1"/>
  <c r="Q15" i="1" s="1"/>
  <c r="M16" i="1"/>
  <c r="N16" i="1" s="1"/>
  <c r="P16" i="1"/>
  <c r="Q16" i="1" s="1"/>
  <c r="M17" i="1"/>
  <c r="N17" i="1" s="1"/>
  <c r="P17" i="1"/>
  <c r="Q17" i="1" s="1"/>
  <c r="M18" i="1"/>
  <c r="N18" i="1" s="1"/>
  <c r="P18" i="1"/>
  <c r="Q18" i="1" s="1"/>
  <c r="M19" i="1"/>
  <c r="N19" i="1" s="1"/>
  <c r="P19" i="1"/>
  <c r="Q19" i="1" s="1"/>
  <c r="M20" i="1"/>
  <c r="N20" i="1" s="1"/>
  <c r="P20" i="1"/>
  <c r="Q20" i="1" s="1"/>
  <c r="M21" i="1"/>
  <c r="N21" i="1" s="1"/>
  <c r="P21" i="1"/>
  <c r="Q21" i="1" s="1"/>
  <c r="M22" i="1"/>
  <c r="N22" i="1" s="1"/>
  <c r="P22" i="1"/>
  <c r="Q22" i="1" s="1"/>
  <c r="M23" i="1"/>
  <c r="N23" i="1" s="1"/>
  <c r="P23" i="1"/>
  <c r="Q23" i="1" s="1"/>
  <c r="M24" i="1"/>
  <c r="N24" i="1" s="1"/>
  <c r="P24" i="1"/>
  <c r="Q24" i="1" s="1"/>
  <c r="M25" i="1"/>
  <c r="N25" i="1" s="1"/>
  <c r="P25" i="1"/>
  <c r="Q25" i="1" s="1"/>
  <c r="M26" i="1"/>
  <c r="N26" i="1" s="1"/>
  <c r="P26" i="1"/>
  <c r="Q26" i="1" s="1"/>
  <c r="M27" i="1"/>
  <c r="N27" i="1" s="1"/>
  <c r="P27" i="1"/>
  <c r="Q27" i="1" s="1"/>
  <c r="M28" i="1"/>
  <c r="N28" i="1" s="1"/>
  <c r="P28" i="1"/>
  <c r="Q28" i="1" s="1"/>
  <c r="M29" i="1"/>
  <c r="N29" i="1" s="1"/>
  <c r="P29" i="1"/>
  <c r="Q29" i="1" s="1"/>
  <c r="M30" i="1"/>
  <c r="N30" i="1" s="1"/>
  <c r="P30" i="1"/>
  <c r="Q30" i="1" s="1"/>
  <c r="M31" i="1"/>
  <c r="N31" i="1" s="1"/>
  <c r="P31" i="1"/>
  <c r="Q31" i="1" s="1"/>
  <c r="M32" i="1"/>
  <c r="N32" i="1" s="1"/>
  <c r="P32" i="1"/>
  <c r="Q32" i="1" s="1"/>
  <c r="M33" i="1"/>
  <c r="N33" i="1" s="1"/>
  <c r="P33" i="1"/>
  <c r="Q33" i="1" s="1"/>
  <c r="M34" i="1"/>
  <c r="N34" i="1" s="1"/>
  <c r="P34" i="1"/>
  <c r="Q34" i="1" s="1"/>
  <c r="M35" i="1"/>
  <c r="N35" i="1" s="1"/>
  <c r="P35" i="1"/>
  <c r="Q35" i="1" s="1"/>
  <c r="M36" i="1"/>
  <c r="N36" i="1" s="1"/>
  <c r="P36" i="1"/>
  <c r="Q36" i="1" s="1"/>
  <c r="M37" i="1"/>
  <c r="N37" i="1" s="1"/>
  <c r="P37" i="1"/>
  <c r="Q37" i="1" s="1"/>
  <c r="M38" i="1"/>
  <c r="N38" i="1" s="1"/>
  <c r="P38" i="1"/>
  <c r="Q38" i="1" s="1"/>
  <c r="M39" i="1"/>
  <c r="N39" i="1" s="1"/>
  <c r="P39" i="1"/>
  <c r="Q39" i="1" s="1"/>
  <c r="M40" i="1"/>
  <c r="N40" i="1" s="1"/>
  <c r="P40" i="1"/>
  <c r="Q40" i="1" s="1"/>
  <c r="M41" i="1"/>
  <c r="N41" i="1" s="1"/>
  <c r="P41" i="1"/>
  <c r="Q41" i="1" s="1"/>
  <c r="M42" i="1"/>
  <c r="N42" i="1" s="1"/>
  <c r="P42" i="1"/>
  <c r="Q42" i="1" s="1"/>
  <c r="M43" i="1"/>
  <c r="N43" i="1" s="1"/>
  <c r="P43" i="1"/>
  <c r="Q43" i="1" s="1"/>
  <c r="M44" i="1"/>
  <c r="N44" i="1" s="1"/>
  <c r="P44" i="1"/>
  <c r="Q44" i="1" s="1"/>
  <c r="M45" i="1"/>
  <c r="N45" i="1" s="1"/>
  <c r="P45" i="1"/>
  <c r="Q45" i="1" s="1"/>
  <c r="M46" i="1"/>
  <c r="N46" i="1" s="1"/>
  <c r="P46" i="1"/>
  <c r="Q46" i="1" s="1"/>
  <c r="M47" i="1"/>
  <c r="N47" i="1" s="1"/>
  <c r="P47" i="1"/>
  <c r="Q47" i="1" s="1"/>
  <c r="M48" i="1"/>
  <c r="N48" i="1" s="1"/>
  <c r="P48" i="1"/>
  <c r="Q48" i="1" s="1"/>
  <c r="M49" i="1"/>
  <c r="N49" i="1" s="1"/>
  <c r="P49" i="1"/>
  <c r="Q49" i="1" s="1"/>
  <c r="M50" i="1"/>
  <c r="N50" i="1" s="1"/>
  <c r="P50" i="1"/>
  <c r="Q50" i="1" s="1"/>
  <c r="M51" i="1"/>
  <c r="N51" i="1" s="1"/>
  <c r="P51" i="1"/>
  <c r="Q51" i="1" s="1"/>
  <c r="M52" i="1"/>
  <c r="N52" i="1" s="1"/>
  <c r="P52" i="1"/>
  <c r="Q52" i="1" s="1"/>
  <c r="M53" i="1"/>
  <c r="N53" i="1" s="1"/>
  <c r="P53" i="1"/>
  <c r="Q53" i="1" s="1"/>
  <c r="M54" i="1"/>
  <c r="N54" i="1" s="1"/>
  <c r="P54" i="1"/>
  <c r="Q54" i="1" s="1"/>
  <c r="M55" i="1"/>
  <c r="N55" i="1" s="1"/>
  <c r="P55" i="1"/>
  <c r="Q55" i="1" s="1"/>
  <c r="M56" i="1"/>
  <c r="N56" i="1" s="1"/>
  <c r="P56" i="1"/>
  <c r="Q56" i="1" s="1"/>
  <c r="M57" i="1"/>
  <c r="N57" i="1" s="1"/>
  <c r="P57" i="1"/>
  <c r="Q57" i="1" s="1"/>
  <c r="M58" i="1"/>
  <c r="N58" i="1" s="1"/>
  <c r="P58" i="1"/>
  <c r="Q58" i="1" s="1"/>
  <c r="M59" i="1"/>
  <c r="N59" i="1" s="1"/>
  <c r="P59" i="1"/>
  <c r="Q59" i="1" s="1"/>
  <c r="M60" i="1"/>
  <c r="N60" i="1" s="1"/>
  <c r="P60" i="1"/>
  <c r="Q60" i="1" s="1"/>
  <c r="M61" i="1"/>
  <c r="N61" i="1" s="1"/>
  <c r="P61" i="1"/>
  <c r="Q61" i="1" s="1"/>
  <c r="M62" i="1"/>
  <c r="N62" i="1" s="1"/>
  <c r="P62" i="1"/>
  <c r="Q62" i="1" s="1"/>
  <c r="M63" i="1"/>
  <c r="N63" i="1" s="1"/>
  <c r="P63" i="1"/>
  <c r="Q63" i="1" s="1"/>
  <c r="M64" i="1"/>
  <c r="N64" i="1" s="1"/>
  <c r="P64" i="1"/>
  <c r="Q64" i="1" s="1"/>
  <c r="M65" i="1"/>
  <c r="N65" i="1" s="1"/>
  <c r="P65" i="1"/>
  <c r="Q65" i="1" s="1"/>
  <c r="M66" i="1"/>
  <c r="N66" i="1" s="1"/>
  <c r="P66" i="1"/>
  <c r="Q66" i="1" s="1"/>
  <c r="M67" i="1"/>
  <c r="N67" i="1" s="1"/>
  <c r="P67" i="1"/>
  <c r="Q67" i="1" s="1"/>
  <c r="M68" i="1"/>
  <c r="N68" i="1" s="1"/>
  <c r="P68" i="1"/>
  <c r="Q68" i="1" s="1"/>
  <c r="M69" i="1"/>
  <c r="N69" i="1" s="1"/>
  <c r="P69" i="1"/>
  <c r="Q69" i="1" s="1"/>
  <c r="M70" i="1"/>
  <c r="N70" i="1" s="1"/>
  <c r="P70" i="1"/>
  <c r="Q70" i="1" s="1"/>
  <c r="M71" i="1"/>
  <c r="N71" i="1" s="1"/>
  <c r="P71" i="1"/>
  <c r="Q71" i="1" s="1"/>
  <c r="M72" i="1"/>
  <c r="N72" i="1" s="1"/>
  <c r="P72" i="1"/>
  <c r="Q72" i="1" s="1"/>
  <c r="M73" i="1"/>
  <c r="N73" i="1" s="1"/>
  <c r="P73" i="1"/>
  <c r="Q73" i="1" s="1"/>
  <c r="M74" i="1"/>
  <c r="N74" i="1" s="1"/>
  <c r="P74" i="1"/>
  <c r="Q74" i="1" s="1"/>
  <c r="M75" i="1"/>
  <c r="N75" i="1" s="1"/>
  <c r="P75" i="1"/>
  <c r="Q75" i="1" s="1"/>
  <c r="M76" i="1"/>
  <c r="N76" i="1" s="1"/>
  <c r="P76" i="1"/>
  <c r="Q76" i="1" s="1"/>
  <c r="M77" i="1"/>
  <c r="N77" i="1" s="1"/>
  <c r="P77" i="1"/>
  <c r="Q77" i="1" s="1"/>
  <c r="M78" i="1"/>
  <c r="N78" i="1" s="1"/>
  <c r="P78" i="1"/>
  <c r="Q78" i="1" s="1"/>
  <c r="M79" i="1"/>
  <c r="N79" i="1" s="1"/>
  <c r="P79" i="1"/>
  <c r="Q79" i="1" s="1"/>
  <c r="M80" i="1"/>
  <c r="N80" i="1" s="1"/>
  <c r="P80" i="1"/>
  <c r="Q80" i="1" s="1"/>
  <c r="M81" i="1"/>
  <c r="N81" i="1" s="1"/>
  <c r="P81" i="1"/>
  <c r="Q81" i="1" s="1"/>
  <c r="M82" i="1"/>
  <c r="N82" i="1" s="1"/>
  <c r="P82" i="1"/>
  <c r="Q82" i="1" s="1"/>
  <c r="M83" i="1"/>
  <c r="N83" i="1" s="1"/>
  <c r="P83" i="1"/>
  <c r="Q83" i="1" s="1"/>
  <c r="M84" i="1"/>
  <c r="N84" i="1" s="1"/>
  <c r="P84" i="1"/>
  <c r="Q84" i="1" s="1"/>
  <c r="M85" i="1"/>
  <c r="N85" i="1" s="1"/>
  <c r="P85" i="1"/>
  <c r="Q85" i="1" s="1"/>
  <c r="M86" i="1"/>
  <c r="N86" i="1" s="1"/>
  <c r="P86" i="1"/>
  <c r="Q86" i="1" s="1"/>
  <c r="M87" i="1"/>
  <c r="N87" i="1" s="1"/>
  <c r="P87" i="1"/>
  <c r="Q87" i="1" s="1"/>
  <c r="M88" i="1"/>
  <c r="N88" i="1" s="1"/>
  <c r="P88" i="1"/>
  <c r="Q88" i="1" s="1"/>
  <c r="M89" i="1"/>
  <c r="N89" i="1" s="1"/>
  <c r="P89" i="1"/>
  <c r="Q89" i="1" s="1"/>
  <c r="M90" i="1"/>
  <c r="N90" i="1" s="1"/>
  <c r="P90" i="1"/>
  <c r="Q90" i="1" s="1"/>
  <c r="M91" i="1"/>
  <c r="N91" i="1" s="1"/>
  <c r="P91" i="1"/>
  <c r="Q91" i="1" s="1"/>
  <c r="M92" i="1"/>
  <c r="N92" i="1" s="1"/>
  <c r="P92" i="1"/>
  <c r="Q92" i="1" s="1"/>
  <c r="M93" i="1"/>
  <c r="N93" i="1" s="1"/>
  <c r="P93" i="1"/>
  <c r="Q93" i="1" s="1"/>
  <c r="M94" i="1"/>
  <c r="N94" i="1" s="1"/>
  <c r="P94" i="1"/>
  <c r="Q94" i="1" s="1"/>
  <c r="M95" i="1"/>
  <c r="N95" i="1" s="1"/>
  <c r="P95" i="1"/>
  <c r="Q95" i="1" s="1"/>
  <c r="M96" i="1"/>
  <c r="N96" i="1" s="1"/>
  <c r="P96" i="1"/>
  <c r="Q96" i="1" s="1"/>
  <c r="M97" i="1"/>
  <c r="N97" i="1" s="1"/>
  <c r="P97" i="1"/>
  <c r="Q97" i="1" s="1"/>
  <c r="M98" i="1"/>
  <c r="N98" i="1" s="1"/>
  <c r="P98" i="1"/>
  <c r="Q98" i="1" s="1"/>
  <c r="M99" i="1"/>
  <c r="N99" i="1" s="1"/>
  <c r="P99" i="1"/>
  <c r="Q99" i="1" s="1"/>
  <c r="M100" i="1"/>
  <c r="N100" i="1" s="1"/>
  <c r="P100" i="1"/>
  <c r="Q100" i="1" s="1"/>
  <c r="M101" i="1"/>
  <c r="N101" i="1" s="1"/>
  <c r="P101" i="1"/>
  <c r="Q101" i="1" s="1"/>
  <c r="M102" i="1"/>
  <c r="N102" i="1" s="1"/>
  <c r="P102" i="1"/>
  <c r="Q102" i="1" s="1"/>
  <c r="M103" i="1"/>
  <c r="N103" i="1" s="1"/>
  <c r="P103" i="1"/>
  <c r="Q103" i="1" s="1"/>
  <c r="M104" i="1"/>
  <c r="N104" i="1" s="1"/>
  <c r="P104" i="1"/>
  <c r="Q104" i="1" s="1"/>
  <c r="M105" i="1"/>
  <c r="N105" i="1" s="1"/>
  <c r="P105" i="1"/>
  <c r="Q105" i="1" s="1"/>
  <c r="M106" i="1"/>
  <c r="N106" i="1" s="1"/>
  <c r="P106" i="1"/>
  <c r="Q106" i="1" s="1"/>
  <c r="M107" i="1"/>
  <c r="N107" i="1" s="1"/>
  <c r="P107" i="1"/>
  <c r="Q107" i="1" s="1"/>
  <c r="M108" i="1"/>
  <c r="N108" i="1" s="1"/>
  <c r="P108" i="1"/>
  <c r="Q108" i="1" s="1"/>
  <c r="M109" i="1"/>
  <c r="N109" i="1" s="1"/>
  <c r="P109" i="1"/>
  <c r="Q109" i="1" s="1"/>
  <c r="M110" i="1"/>
  <c r="N110" i="1" s="1"/>
  <c r="P110" i="1"/>
  <c r="Q110" i="1" s="1"/>
  <c r="M111" i="1"/>
  <c r="N111" i="1" s="1"/>
  <c r="P111" i="1"/>
  <c r="Q111" i="1" s="1"/>
  <c r="M112" i="1"/>
  <c r="N112" i="1" s="1"/>
  <c r="P112" i="1"/>
  <c r="Q112" i="1" s="1"/>
  <c r="M113" i="1"/>
  <c r="N113" i="1" s="1"/>
  <c r="P113" i="1"/>
  <c r="Q113" i="1" s="1"/>
  <c r="M114" i="1"/>
  <c r="N114" i="1" s="1"/>
  <c r="P114" i="1"/>
  <c r="Q114" i="1" s="1"/>
  <c r="M115" i="1"/>
  <c r="N115" i="1" s="1"/>
  <c r="P115" i="1"/>
  <c r="Q115" i="1" s="1"/>
  <c r="M116" i="1"/>
  <c r="N116" i="1" s="1"/>
  <c r="P116" i="1"/>
  <c r="Q116" i="1" s="1"/>
  <c r="M117" i="1"/>
  <c r="N117" i="1" s="1"/>
  <c r="P117" i="1"/>
  <c r="Q117" i="1" s="1"/>
  <c r="M118" i="1"/>
  <c r="N118" i="1" s="1"/>
  <c r="P118" i="1"/>
  <c r="Q118" i="1" s="1"/>
  <c r="M119" i="1"/>
  <c r="N119" i="1" s="1"/>
  <c r="P119" i="1"/>
  <c r="Q119" i="1" s="1"/>
  <c r="M120" i="1"/>
  <c r="N120" i="1" s="1"/>
  <c r="P120" i="1"/>
  <c r="Q120" i="1" s="1"/>
  <c r="M121" i="1"/>
  <c r="N121" i="1" s="1"/>
  <c r="P121" i="1"/>
  <c r="Q121" i="1" s="1"/>
  <c r="M122" i="1"/>
  <c r="N122" i="1" s="1"/>
  <c r="P122" i="1"/>
  <c r="Q122" i="1" s="1"/>
  <c r="M123" i="1"/>
  <c r="N123" i="1" s="1"/>
  <c r="P123" i="1"/>
  <c r="Q123" i="1" s="1"/>
  <c r="M124" i="1"/>
  <c r="N124" i="1" s="1"/>
  <c r="P124" i="1"/>
  <c r="Q124" i="1" s="1"/>
  <c r="M125" i="1"/>
  <c r="N125" i="1" s="1"/>
  <c r="P125" i="1"/>
  <c r="Q125" i="1" s="1"/>
  <c r="M126" i="1"/>
  <c r="N126" i="1" s="1"/>
  <c r="P126" i="1"/>
  <c r="Q126" i="1" s="1"/>
  <c r="M127" i="1"/>
  <c r="N127" i="1" s="1"/>
  <c r="P127" i="1"/>
  <c r="Q127" i="1" s="1"/>
  <c r="M128" i="1"/>
  <c r="N128" i="1" s="1"/>
  <c r="P128" i="1"/>
  <c r="Q128" i="1" s="1"/>
  <c r="M129" i="1"/>
  <c r="N129" i="1" s="1"/>
  <c r="P129" i="1"/>
  <c r="Q129" i="1" s="1"/>
  <c r="M130" i="1"/>
  <c r="N130" i="1" s="1"/>
  <c r="P130" i="1"/>
  <c r="Q130" i="1" s="1"/>
  <c r="M131" i="1"/>
  <c r="N131" i="1" s="1"/>
  <c r="P131" i="1"/>
  <c r="Q131" i="1" s="1"/>
  <c r="M132" i="1"/>
  <c r="N132" i="1" s="1"/>
  <c r="P132" i="1"/>
  <c r="Q132" i="1" s="1"/>
  <c r="M133" i="1"/>
  <c r="N133" i="1" s="1"/>
  <c r="P133" i="1"/>
  <c r="Q133" i="1" s="1"/>
  <c r="M134" i="1"/>
  <c r="N134" i="1" s="1"/>
  <c r="P134" i="1"/>
  <c r="Q134" i="1" s="1"/>
  <c r="M135" i="1"/>
  <c r="N135" i="1" s="1"/>
  <c r="P135" i="1"/>
  <c r="Q135" i="1" s="1"/>
  <c r="M136" i="1"/>
  <c r="N136" i="1" s="1"/>
  <c r="P136" i="1"/>
  <c r="Q136" i="1" s="1"/>
  <c r="M137" i="1"/>
  <c r="N137" i="1" s="1"/>
  <c r="P137" i="1"/>
  <c r="Q137" i="1" s="1"/>
  <c r="M138" i="1"/>
  <c r="N138" i="1" s="1"/>
  <c r="P138" i="1"/>
  <c r="Q138" i="1" s="1"/>
  <c r="M139" i="1"/>
  <c r="N139" i="1" s="1"/>
  <c r="P139" i="1"/>
  <c r="Q139" i="1" s="1"/>
  <c r="M140" i="1"/>
  <c r="N140" i="1" s="1"/>
  <c r="P140" i="1"/>
  <c r="Q140" i="1" s="1"/>
  <c r="M141" i="1"/>
  <c r="N141" i="1" s="1"/>
  <c r="P141" i="1"/>
  <c r="Q141" i="1" s="1"/>
  <c r="M142" i="1"/>
  <c r="N142" i="1" s="1"/>
  <c r="P142" i="1"/>
  <c r="Q142" i="1" s="1"/>
  <c r="M143" i="1"/>
  <c r="N143" i="1" s="1"/>
  <c r="P143" i="1"/>
  <c r="Q143" i="1" s="1"/>
  <c r="M144" i="1"/>
  <c r="N144" i="1" s="1"/>
  <c r="P144" i="1"/>
  <c r="Q144" i="1" s="1"/>
  <c r="M145" i="1"/>
  <c r="N145" i="1" s="1"/>
  <c r="P145" i="1"/>
  <c r="Q145" i="1" s="1"/>
  <c r="M146" i="1"/>
  <c r="N146" i="1" s="1"/>
  <c r="P146" i="1"/>
  <c r="Q146" i="1" s="1"/>
  <c r="M147" i="1"/>
  <c r="N147" i="1" s="1"/>
  <c r="P147" i="1"/>
  <c r="Q147" i="1" s="1"/>
  <c r="M148" i="1"/>
  <c r="N148" i="1" s="1"/>
  <c r="P148" i="1"/>
  <c r="Q148" i="1" s="1"/>
  <c r="M149" i="1"/>
  <c r="N149" i="1" s="1"/>
  <c r="P149" i="1"/>
  <c r="Q149" i="1" s="1"/>
  <c r="M150" i="1"/>
  <c r="N150" i="1" s="1"/>
  <c r="P150" i="1"/>
  <c r="Q150" i="1" s="1"/>
  <c r="M151" i="1"/>
  <c r="N151" i="1" s="1"/>
  <c r="P151" i="1"/>
  <c r="Q151" i="1" s="1"/>
  <c r="M152" i="1"/>
  <c r="N152" i="1" s="1"/>
  <c r="P152" i="1"/>
  <c r="Q152" i="1" s="1"/>
  <c r="M153" i="1"/>
  <c r="N153" i="1" s="1"/>
  <c r="P153" i="1"/>
  <c r="Q153" i="1" s="1"/>
  <c r="M154" i="1"/>
  <c r="N154" i="1" s="1"/>
  <c r="P154" i="1"/>
  <c r="Q154" i="1" s="1"/>
  <c r="M155" i="1"/>
  <c r="N155" i="1" s="1"/>
  <c r="P155" i="1"/>
  <c r="Q155" i="1" s="1"/>
  <c r="M156" i="1"/>
  <c r="N156" i="1" s="1"/>
  <c r="P156" i="1"/>
  <c r="Q156" i="1" s="1"/>
  <c r="M157" i="1"/>
  <c r="N157" i="1" s="1"/>
  <c r="P157" i="1"/>
  <c r="Q157" i="1" s="1"/>
  <c r="M158" i="1"/>
  <c r="N158" i="1" s="1"/>
  <c r="P158" i="1"/>
  <c r="Q158" i="1" s="1"/>
  <c r="M159" i="1"/>
  <c r="N159" i="1" s="1"/>
  <c r="P159" i="1"/>
  <c r="Q159" i="1" s="1"/>
  <c r="M160" i="1"/>
  <c r="N160" i="1" s="1"/>
  <c r="P160" i="1"/>
  <c r="Q160" i="1" s="1"/>
  <c r="M161" i="1"/>
  <c r="N161" i="1" s="1"/>
  <c r="P161" i="1"/>
  <c r="Q161" i="1" s="1"/>
  <c r="M162" i="1"/>
  <c r="N162" i="1" s="1"/>
  <c r="P162" i="1"/>
  <c r="Q162" i="1" s="1"/>
  <c r="M163" i="1"/>
  <c r="N163" i="1" s="1"/>
  <c r="P163" i="1"/>
  <c r="Q163" i="1" s="1"/>
  <c r="M164" i="1"/>
  <c r="N164" i="1" s="1"/>
  <c r="P164" i="1"/>
  <c r="Q164" i="1" s="1"/>
  <c r="M165" i="1"/>
  <c r="N165" i="1" s="1"/>
  <c r="P165" i="1"/>
  <c r="Q165" i="1" s="1"/>
  <c r="M166" i="1"/>
  <c r="N166" i="1" s="1"/>
  <c r="P166" i="1"/>
  <c r="Q166" i="1" s="1"/>
  <c r="M167" i="1"/>
  <c r="N167" i="1" s="1"/>
  <c r="P167" i="1"/>
  <c r="Q167" i="1" s="1"/>
  <c r="M168" i="1"/>
  <c r="N168" i="1" s="1"/>
  <c r="P168" i="1"/>
  <c r="Q168" i="1" s="1"/>
  <c r="M169" i="1"/>
  <c r="N169" i="1" s="1"/>
  <c r="P169" i="1"/>
  <c r="Q169" i="1" s="1"/>
  <c r="M170" i="1"/>
  <c r="N170" i="1" s="1"/>
  <c r="P170" i="1"/>
  <c r="Q170" i="1" s="1"/>
  <c r="M171" i="1"/>
  <c r="N171" i="1" s="1"/>
  <c r="P171" i="1"/>
  <c r="Q171" i="1" s="1"/>
  <c r="M172" i="1"/>
  <c r="N172" i="1" s="1"/>
  <c r="P172" i="1"/>
  <c r="Q172" i="1" s="1"/>
  <c r="M173" i="1"/>
  <c r="N173" i="1" s="1"/>
  <c r="P173" i="1"/>
  <c r="Q173" i="1" s="1"/>
  <c r="M174" i="1"/>
  <c r="N174" i="1" s="1"/>
  <c r="P174" i="1"/>
  <c r="Q174" i="1" s="1"/>
  <c r="M175" i="1"/>
  <c r="N175" i="1" s="1"/>
  <c r="P175" i="1"/>
  <c r="Q175" i="1" s="1"/>
  <c r="M176" i="1"/>
  <c r="N176" i="1" s="1"/>
  <c r="P176" i="1"/>
  <c r="Q176" i="1" s="1"/>
  <c r="M177" i="1"/>
  <c r="N177" i="1" s="1"/>
  <c r="P177" i="1"/>
  <c r="Q177" i="1" s="1"/>
  <c r="M178" i="1"/>
  <c r="N178" i="1" s="1"/>
  <c r="P178" i="1"/>
  <c r="Q178" i="1" s="1"/>
  <c r="M179" i="1"/>
  <c r="N179" i="1" s="1"/>
  <c r="P179" i="1"/>
  <c r="Q179" i="1" s="1"/>
  <c r="M180" i="1"/>
  <c r="N180" i="1" s="1"/>
  <c r="P180" i="1"/>
  <c r="Q180" i="1" s="1"/>
  <c r="M181" i="1"/>
  <c r="N181" i="1" s="1"/>
  <c r="P181" i="1"/>
  <c r="Q181" i="1" s="1"/>
  <c r="M182" i="1"/>
  <c r="N182" i="1" s="1"/>
  <c r="P182" i="1"/>
  <c r="Q182" i="1" s="1"/>
  <c r="M183" i="1"/>
  <c r="N183" i="1" s="1"/>
  <c r="P183" i="1"/>
  <c r="Q183" i="1" s="1"/>
  <c r="M184" i="1"/>
  <c r="N184" i="1" s="1"/>
  <c r="P184" i="1"/>
  <c r="Q184" i="1" s="1"/>
  <c r="M185" i="1"/>
  <c r="N185" i="1" s="1"/>
  <c r="P185" i="1"/>
  <c r="Q185" i="1" s="1"/>
  <c r="M186" i="1"/>
  <c r="N186" i="1" s="1"/>
  <c r="P186" i="1"/>
  <c r="Q186" i="1" s="1"/>
  <c r="M187" i="1"/>
  <c r="N187" i="1" s="1"/>
  <c r="P187" i="1"/>
  <c r="Q187" i="1" s="1"/>
  <c r="M188" i="1"/>
  <c r="N188" i="1" s="1"/>
  <c r="P188" i="1"/>
  <c r="Q188" i="1" s="1"/>
  <c r="M189" i="1"/>
  <c r="N189" i="1" s="1"/>
  <c r="P189" i="1"/>
  <c r="Q189" i="1" s="1"/>
  <c r="M190" i="1"/>
  <c r="N190" i="1" s="1"/>
  <c r="P190" i="1"/>
  <c r="Q190" i="1" s="1"/>
  <c r="M191" i="1"/>
  <c r="N191" i="1" s="1"/>
  <c r="P191" i="1"/>
  <c r="Q191" i="1" s="1"/>
  <c r="M192" i="1"/>
  <c r="N192" i="1" s="1"/>
  <c r="P192" i="1"/>
  <c r="Q192" i="1" s="1"/>
  <c r="M193" i="1"/>
  <c r="N193" i="1" s="1"/>
  <c r="P193" i="1"/>
  <c r="Q193" i="1" s="1"/>
  <c r="M194" i="1"/>
  <c r="N194" i="1" s="1"/>
  <c r="P194" i="1"/>
  <c r="Q194" i="1" s="1"/>
  <c r="M195" i="1"/>
  <c r="N195" i="1" s="1"/>
  <c r="P195" i="1"/>
  <c r="Q195" i="1" s="1"/>
  <c r="M196" i="1"/>
  <c r="N196" i="1" s="1"/>
  <c r="P196" i="1"/>
  <c r="Q196" i="1" s="1"/>
  <c r="M197" i="1"/>
  <c r="N197" i="1" s="1"/>
  <c r="P197" i="1"/>
  <c r="Q197" i="1" s="1"/>
  <c r="M198" i="1"/>
  <c r="N198" i="1" s="1"/>
  <c r="P198" i="1"/>
  <c r="Q198" i="1" s="1"/>
  <c r="M199" i="1"/>
  <c r="N199" i="1" s="1"/>
  <c r="P199" i="1"/>
  <c r="Q199" i="1" s="1"/>
  <c r="M200" i="1"/>
  <c r="N200" i="1" s="1"/>
  <c r="P200" i="1"/>
  <c r="Q200" i="1" s="1"/>
  <c r="M201" i="1"/>
  <c r="N201" i="1" s="1"/>
  <c r="P201" i="1"/>
  <c r="Q201" i="1" s="1"/>
  <c r="M202" i="1"/>
  <c r="N202" i="1" s="1"/>
  <c r="P202" i="1"/>
  <c r="Q202" i="1" s="1"/>
  <c r="M203" i="1"/>
  <c r="N203" i="1" s="1"/>
  <c r="P203" i="1"/>
  <c r="Q203" i="1" s="1"/>
  <c r="M204" i="1"/>
  <c r="N204" i="1" s="1"/>
  <c r="P204" i="1"/>
  <c r="Q204" i="1" s="1"/>
  <c r="M205" i="1"/>
  <c r="N205" i="1" s="1"/>
  <c r="P205" i="1"/>
  <c r="Q205" i="1" s="1"/>
  <c r="M206" i="1"/>
  <c r="N206" i="1" s="1"/>
  <c r="P206" i="1"/>
  <c r="Q206" i="1" s="1"/>
  <c r="M207" i="1"/>
  <c r="N207" i="1" s="1"/>
  <c r="P207" i="1"/>
  <c r="Q207" i="1" s="1"/>
  <c r="M208" i="1"/>
  <c r="N208" i="1" s="1"/>
  <c r="P208" i="1"/>
  <c r="Q208" i="1" s="1"/>
  <c r="M209" i="1"/>
  <c r="N209" i="1" s="1"/>
  <c r="P209" i="1"/>
  <c r="Q209" i="1" s="1"/>
  <c r="M210" i="1"/>
  <c r="N210" i="1" s="1"/>
  <c r="P210" i="1"/>
  <c r="Q210" i="1" s="1"/>
  <c r="M211" i="1"/>
  <c r="N211" i="1" s="1"/>
  <c r="P211" i="1"/>
  <c r="Q211" i="1" s="1"/>
  <c r="M212" i="1"/>
  <c r="N212" i="1" s="1"/>
  <c r="P212" i="1"/>
  <c r="Q212" i="1" s="1"/>
  <c r="M213" i="1"/>
  <c r="N213" i="1" s="1"/>
  <c r="P213" i="1"/>
  <c r="Q213" i="1" s="1"/>
  <c r="M214" i="1"/>
  <c r="N214" i="1" s="1"/>
  <c r="P214" i="1"/>
  <c r="Q214" i="1" s="1"/>
  <c r="M215" i="1"/>
  <c r="N215" i="1" s="1"/>
  <c r="P215" i="1"/>
  <c r="Q215" i="1" s="1"/>
  <c r="M216" i="1"/>
  <c r="N216" i="1" s="1"/>
  <c r="P216" i="1"/>
  <c r="Q216" i="1" s="1"/>
  <c r="M217" i="1"/>
  <c r="N217" i="1" s="1"/>
  <c r="P217" i="1"/>
  <c r="Q217" i="1" s="1"/>
  <c r="M218" i="1"/>
  <c r="N218" i="1" s="1"/>
  <c r="P218" i="1"/>
  <c r="Q218" i="1" s="1"/>
  <c r="M219" i="1"/>
  <c r="N219" i="1" s="1"/>
  <c r="P219" i="1"/>
  <c r="Q219" i="1" s="1"/>
  <c r="M220" i="1"/>
  <c r="N220" i="1" s="1"/>
  <c r="P220" i="1"/>
  <c r="Q220" i="1" s="1"/>
  <c r="M221" i="1"/>
  <c r="N221" i="1" s="1"/>
  <c r="P221" i="1"/>
  <c r="Q221" i="1" s="1"/>
  <c r="M222" i="1"/>
  <c r="N222" i="1" s="1"/>
  <c r="P222" i="1"/>
  <c r="Q222" i="1" s="1"/>
  <c r="P9" i="1"/>
  <c r="Q9" i="1" s="1"/>
  <c r="M9" i="1"/>
  <c r="N9" i="1" s="1"/>
  <c r="J222" i="6"/>
  <c r="I222" i="6"/>
  <c r="J221" i="6"/>
  <c r="I221" i="6"/>
  <c r="J220" i="6"/>
  <c r="I220" i="6"/>
  <c r="J219" i="6"/>
  <c r="I219" i="6"/>
  <c r="J218" i="6"/>
  <c r="I218" i="6"/>
  <c r="J217" i="6"/>
  <c r="I217" i="6"/>
  <c r="J216" i="6"/>
  <c r="I216" i="6"/>
  <c r="J215" i="6"/>
  <c r="I215" i="6"/>
  <c r="J214" i="6"/>
  <c r="I214" i="6"/>
  <c r="J213" i="6"/>
  <c r="I213" i="6"/>
  <c r="J212" i="6"/>
  <c r="I212" i="6"/>
  <c r="J211" i="6"/>
  <c r="I211" i="6"/>
  <c r="J210" i="6"/>
  <c r="I210" i="6"/>
  <c r="J209" i="6"/>
  <c r="I209" i="6"/>
  <c r="J208" i="6"/>
  <c r="I208" i="6"/>
  <c r="J207" i="6"/>
  <c r="I207" i="6"/>
  <c r="J206" i="6"/>
  <c r="I206" i="6"/>
  <c r="J205" i="6"/>
  <c r="I205" i="6"/>
  <c r="J204" i="6"/>
  <c r="I204" i="6"/>
  <c r="J203" i="6"/>
  <c r="I203" i="6"/>
  <c r="J202" i="6"/>
  <c r="I202" i="6"/>
  <c r="J201" i="6"/>
  <c r="I201" i="6"/>
  <c r="J200" i="6"/>
  <c r="I200" i="6"/>
  <c r="J199" i="6"/>
  <c r="I199" i="6"/>
  <c r="J198" i="6"/>
  <c r="I198" i="6"/>
  <c r="J197" i="6"/>
  <c r="I197" i="6"/>
  <c r="J196" i="6"/>
  <c r="I196" i="6"/>
  <c r="J195" i="6"/>
  <c r="I195" i="6"/>
  <c r="J194" i="6"/>
  <c r="I194" i="6"/>
  <c r="J193" i="6"/>
  <c r="I193" i="6"/>
  <c r="J192" i="6"/>
  <c r="I192" i="6"/>
  <c r="J191" i="6"/>
  <c r="I191" i="6"/>
  <c r="J190" i="6"/>
  <c r="I190" i="6"/>
  <c r="J189" i="6"/>
  <c r="I189" i="6"/>
  <c r="J188" i="6"/>
  <c r="I188" i="6"/>
  <c r="J187" i="6"/>
  <c r="I187" i="6"/>
  <c r="J186" i="6"/>
  <c r="I186" i="6"/>
  <c r="J185" i="6"/>
  <c r="I185" i="6"/>
  <c r="J184" i="6"/>
  <c r="I184" i="6"/>
  <c r="J183" i="6"/>
  <c r="I183" i="6"/>
  <c r="J182" i="6"/>
  <c r="I182" i="6"/>
  <c r="J181" i="6"/>
  <c r="I181" i="6"/>
  <c r="J180" i="6"/>
  <c r="I180" i="6"/>
  <c r="J179" i="6"/>
  <c r="I179" i="6"/>
  <c r="J178" i="6"/>
  <c r="I178" i="6"/>
  <c r="J177" i="6"/>
  <c r="I177" i="6"/>
  <c r="J176" i="6"/>
  <c r="I176" i="6"/>
  <c r="J175" i="6"/>
  <c r="I175" i="6"/>
  <c r="J174" i="6"/>
  <c r="I174" i="6"/>
  <c r="J173" i="6"/>
  <c r="I173" i="6"/>
  <c r="J172" i="6"/>
  <c r="I172" i="6"/>
  <c r="J171" i="6"/>
  <c r="I171" i="6"/>
  <c r="J170" i="6"/>
  <c r="I170" i="6"/>
  <c r="J169" i="6"/>
  <c r="I169" i="6"/>
  <c r="J168" i="6"/>
  <c r="I168" i="6"/>
  <c r="J167" i="6"/>
  <c r="I167" i="6"/>
  <c r="J166" i="6"/>
  <c r="I166" i="6"/>
  <c r="J165" i="6"/>
  <c r="I165" i="6"/>
  <c r="J164" i="6"/>
  <c r="I164" i="6"/>
  <c r="J163" i="6"/>
  <c r="I163" i="6"/>
  <c r="J162" i="6"/>
  <c r="I162" i="6"/>
  <c r="J161" i="6"/>
  <c r="I161" i="6"/>
  <c r="J160" i="6"/>
  <c r="I160" i="6"/>
  <c r="J159" i="6"/>
  <c r="I159" i="6"/>
  <c r="J158" i="6"/>
  <c r="I158" i="6"/>
  <c r="J157" i="6"/>
  <c r="I157" i="6"/>
  <c r="J156" i="6"/>
  <c r="I156" i="6"/>
  <c r="J155" i="6"/>
  <c r="I155" i="6"/>
  <c r="J154" i="6"/>
  <c r="I154" i="6"/>
  <c r="J153" i="6"/>
  <c r="I153" i="6"/>
  <c r="J152" i="6"/>
  <c r="I152" i="6"/>
  <c r="J151" i="6"/>
  <c r="I151" i="6"/>
  <c r="J150" i="6"/>
  <c r="I150" i="6"/>
  <c r="J149" i="6"/>
  <c r="I149" i="6"/>
  <c r="J148" i="6"/>
  <c r="I148" i="6"/>
  <c r="J147" i="6"/>
  <c r="I147" i="6"/>
  <c r="J146" i="6"/>
  <c r="I146" i="6"/>
  <c r="J145" i="6"/>
  <c r="I145" i="6"/>
  <c r="J144" i="6"/>
  <c r="I144" i="6"/>
  <c r="J143" i="6"/>
  <c r="I143" i="6"/>
  <c r="J142" i="6"/>
  <c r="I142" i="6"/>
  <c r="J141" i="6"/>
  <c r="I141" i="6"/>
  <c r="J140" i="6"/>
  <c r="I140" i="6"/>
  <c r="J139" i="6"/>
  <c r="I139" i="6"/>
  <c r="J138" i="6"/>
  <c r="I138" i="6"/>
  <c r="J137" i="6"/>
  <c r="I137" i="6"/>
  <c r="J136" i="6"/>
  <c r="I136" i="6"/>
  <c r="J135" i="6"/>
  <c r="I135" i="6"/>
  <c r="J134" i="6"/>
  <c r="I134" i="6"/>
  <c r="J133" i="6"/>
  <c r="I133" i="6"/>
  <c r="J132" i="6"/>
  <c r="I132" i="6"/>
  <c r="J131" i="6"/>
  <c r="I131" i="6"/>
  <c r="J130" i="6"/>
  <c r="I130" i="6"/>
  <c r="J129" i="6"/>
  <c r="I129" i="6"/>
  <c r="J128" i="6"/>
  <c r="I128" i="6"/>
  <c r="J127" i="6"/>
  <c r="I127" i="6"/>
  <c r="J126" i="6"/>
  <c r="I126" i="6"/>
  <c r="J125" i="6"/>
  <c r="I125" i="6"/>
  <c r="J124" i="6"/>
  <c r="I124" i="6"/>
  <c r="J123" i="6"/>
  <c r="I123" i="6"/>
  <c r="J122" i="6"/>
  <c r="I122" i="6"/>
  <c r="J121" i="6"/>
  <c r="I121" i="6"/>
  <c r="J120" i="6"/>
  <c r="I120" i="6"/>
  <c r="J119" i="6"/>
  <c r="I119" i="6"/>
  <c r="J118" i="6"/>
  <c r="I118" i="6"/>
  <c r="J117" i="6"/>
  <c r="I117" i="6"/>
  <c r="J116" i="6"/>
  <c r="I116" i="6"/>
  <c r="J115" i="6"/>
  <c r="I115" i="6"/>
  <c r="J114" i="6"/>
  <c r="I114" i="6"/>
  <c r="J113" i="6"/>
  <c r="I113" i="6"/>
  <c r="J112" i="6"/>
  <c r="I112" i="6"/>
  <c r="J111" i="6"/>
  <c r="I111" i="6"/>
  <c r="J110" i="6"/>
  <c r="I110" i="6"/>
  <c r="J109" i="6"/>
  <c r="I109" i="6"/>
  <c r="J108" i="6"/>
  <c r="I108" i="6"/>
  <c r="J107" i="6"/>
  <c r="I107" i="6"/>
  <c r="J106" i="6"/>
  <c r="I106" i="6"/>
  <c r="J105" i="6"/>
  <c r="I105" i="6"/>
  <c r="J104" i="6"/>
  <c r="I104" i="6"/>
  <c r="J103" i="6"/>
  <c r="I103" i="6"/>
  <c r="J102" i="6"/>
  <c r="I102" i="6"/>
  <c r="J101" i="6"/>
  <c r="I101" i="6"/>
  <c r="J100" i="6"/>
  <c r="I100" i="6"/>
  <c r="J99" i="6"/>
  <c r="I99" i="6"/>
  <c r="J98" i="6"/>
  <c r="I98" i="6"/>
  <c r="J97" i="6"/>
  <c r="I97" i="6"/>
  <c r="J96" i="6"/>
  <c r="I96" i="6"/>
  <c r="J95" i="6"/>
  <c r="I95" i="6"/>
  <c r="J94" i="6"/>
  <c r="I94" i="6"/>
  <c r="J93" i="6"/>
  <c r="I93" i="6"/>
  <c r="J92" i="6"/>
  <c r="I92" i="6"/>
  <c r="J91" i="6"/>
  <c r="I91" i="6"/>
  <c r="J90" i="6"/>
  <c r="I90" i="6"/>
  <c r="J89" i="6"/>
  <c r="I89" i="6"/>
  <c r="J88" i="6"/>
  <c r="I88" i="6"/>
  <c r="J87" i="6"/>
  <c r="I87" i="6"/>
  <c r="J86" i="6"/>
  <c r="I86" i="6"/>
  <c r="J85" i="6"/>
  <c r="I85" i="6"/>
  <c r="J84" i="6"/>
  <c r="I84" i="6"/>
  <c r="J83" i="6"/>
  <c r="I83" i="6"/>
  <c r="J82" i="6"/>
  <c r="I82" i="6"/>
  <c r="J81" i="6"/>
  <c r="I81" i="6"/>
  <c r="J80" i="6"/>
  <c r="I80" i="6"/>
  <c r="J79" i="6"/>
  <c r="I79" i="6"/>
  <c r="J78" i="6"/>
  <c r="I78" i="6"/>
  <c r="J77" i="6"/>
  <c r="I77" i="6"/>
  <c r="J76" i="6"/>
  <c r="I76" i="6"/>
  <c r="J75" i="6"/>
  <c r="I75" i="6"/>
  <c r="J74" i="6"/>
  <c r="I74" i="6"/>
  <c r="J73" i="6"/>
  <c r="I73" i="6"/>
  <c r="J72" i="6"/>
  <c r="I72" i="6"/>
  <c r="J71" i="6"/>
  <c r="I71" i="6"/>
  <c r="J70" i="6"/>
  <c r="I70" i="6"/>
  <c r="J69" i="6"/>
  <c r="I69" i="6"/>
  <c r="J68" i="6"/>
  <c r="I68" i="6"/>
  <c r="J67" i="6"/>
  <c r="I67" i="6"/>
  <c r="J66" i="6"/>
  <c r="I66" i="6"/>
  <c r="J65" i="6"/>
  <c r="I65" i="6"/>
  <c r="J64" i="6"/>
  <c r="I64" i="6"/>
  <c r="J63" i="6"/>
  <c r="I63" i="6"/>
  <c r="J62" i="6"/>
  <c r="I62" i="6"/>
  <c r="J61" i="6"/>
  <c r="I61" i="6"/>
  <c r="J60" i="6"/>
  <c r="I60" i="6"/>
  <c r="J59" i="6"/>
  <c r="I59" i="6"/>
  <c r="J58" i="6"/>
  <c r="I58" i="6"/>
  <c r="J57" i="6"/>
  <c r="I57" i="6"/>
  <c r="J56" i="6"/>
  <c r="I56" i="6"/>
  <c r="J55" i="6"/>
  <c r="I55" i="6"/>
  <c r="J54" i="6"/>
  <c r="I54" i="6"/>
  <c r="J53" i="6"/>
  <c r="I53" i="6"/>
  <c r="J52" i="6"/>
  <c r="I52" i="6"/>
  <c r="J51" i="6"/>
  <c r="I51" i="6"/>
  <c r="J50" i="6"/>
  <c r="I50" i="6"/>
  <c r="J49" i="6"/>
  <c r="I49" i="6"/>
  <c r="J48" i="6"/>
  <c r="I48" i="6"/>
  <c r="J47" i="6"/>
  <c r="I47" i="6"/>
  <c r="J46" i="6"/>
  <c r="I46" i="6"/>
  <c r="J45" i="6"/>
  <c r="I45" i="6"/>
  <c r="J44" i="6"/>
  <c r="I44" i="6"/>
  <c r="J43" i="6"/>
  <c r="I43" i="6"/>
  <c r="J42" i="6"/>
  <c r="I42" i="6"/>
  <c r="J41" i="6"/>
  <c r="I41" i="6"/>
  <c r="J40" i="6"/>
  <c r="I40" i="6"/>
  <c r="J39" i="6"/>
  <c r="I39" i="6"/>
  <c r="J38" i="6"/>
  <c r="I38" i="6"/>
  <c r="J37" i="6"/>
  <c r="I37" i="6"/>
  <c r="J36" i="6"/>
  <c r="I36" i="6"/>
  <c r="J35" i="6"/>
  <c r="I35" i="6"/>
  <c r="J34" i="6"/>
  <c r="I34" i="6"/>
  <c r="J33" i="6"/>
  <c r="I33" i="6"/>
  <c r="J32" i="6"/>
  <c r="I32" i="6"/>
  <c r="J31" i="6"/>
  <c r="I31" i="6"/>
  <c r="J30" i="6"/>
  <c r="I30" i="6"/>
  <c r="J29" i="6"/>
  <c r="I29" i="6"/>
  <c r="J28" i="6"/>
  <c r="I28" i="6"/>
  <c r="J27" i="6"/>
  <c r="I27" i="6"/>
  <c r="J26" i="6"/>
  <c r="I26" i="6"/>
  <c r="J25" i="6"/>
  <c r="I25" i="6"/>
  <c r="J24" i="6"/>
  <c r="I24" i="6"/>
  <c r="J23" i="6"/>
  <c r="I23" i="6"/>
  <c r="J22" i="6"/>
  <c r="I22" i="6"/>
  <c r="J21" i="6"/>
  <c r="I21" i="6"/>
  <c r="J20" i="6"/>
  <c r="I20" i="6"/>
  <c r="J19" i="6"/>
  <c r="I19" i="6"/>
  <c r="J18" i="6"/>
  <c r="I18" i="6"/>
  <c r="J17" i="6"/>
  <c r="I17" i="6"/>
  <c r="J16" i="6"/>
  <c r="I16" i="6"/>
  <c r="J15" i="6"/>
  <c r="I15" i="6"/>
  <c r="J14" i="6"/>
  <c r="I14" i="6"/>
  <c r="J13" i="6"/>
  <c r="I13" i="6"/>
  <c r="J12" i="6"/>
  <c r="I12" i="6"/>
  <c r="J11" i="6"/>
  <c r="I11" i="6"/>
  <c r="J10" i="6"/>
  <c r="I10" i="6"/>
  <c r="J9" i="6"/>
  <c r="I9" i="6"/>
  <c r="J222" i="5"/>
  <c r="I222" i="5"/>
  <c r="J221" i="5"/>
  <c r="I221" i="5"/>
  <c r="J220" i="5"/>
  <c r="I220" i="5"/>
  <c r="J219" i="5"/>
  <c r="I219" i="5"/>
  <c r="J218" i="5"/>
  <c r="I218" i="5"/>
  <c r="J217" i="5"/>
  <c r="I217" i="5"/>
  <c r="J216" i="5"/>
  <c r="I216" i="5"/>
  <c r="J215" i="5"/>
  <c r="I215" i="5"/>
  <c r="J214" i="5"/>
  <c r="I214" i="5"/>
  <c r="J213" i="5"/>
  <c r="I213" i="5"/>
  <c r="J212" i="5"/>
  <c r="I212" i="5"/>
  <c r="J211" i="5"/>
  <c r="I211" i="5"/>
  <c r="J210" i="5"/>
  <c r="I210" i="5"/>
  <c r="J209" i="5"/>
  <c r="I209" i="5"/>
  <c r="J208" i="5"/>
  <c r="I208" i="5"/>
  <c r="J207" i="5"/>
  <c r="I207" i="5"/>
  <c r="J206" i="5"/>
  <c r="I206" i="5"/>
  <c r="J205" i="5"/>
  <c r="I205" i="5"/>
  <c r="J204" i="5"/>
  <c r="I204" i="5"/>
  <c r="J203" i="5"/>
  <c r="I203" i="5"/>
  <c r="J202" i="5"/>
  <c r="I202" i="5"/>
  <c r="J201" i="5"/>
  <c r="I201" i="5"/>
  <c r="J200" i="5"/>
  <c r="I200" i="5"/>
  <c r="J199" i="5"/>
  <c r="I199" i="5"/>
  <c r="J198" i="5"/>
  <c r="I198" i="5"/>
  <c r="J197" i="5"/>
  <c r="I197" i="5"/>
  <c r="J196" i="5"/>
  <c r="I196" i="5"/>
  <c r="J195" i="5"/>
  <c r="I195" i="5"/>
  <c r="J194" i="5"/>
  <c r="I194" i="5"/>
  <c r="J193" i="5"/>
  <c r="I193" i="5"/>
  <c r="J192" i="5"/>
  <c r="I192" i="5"/>
  <c r="J191" i="5"/>
  <c r="I191" i="5"/>
  <c r="J190" i="5"/>
  <c r="I190" i="5"/>
  <c r="J189" i="5"/>
  <c r="I189" i="5"/>
  <c r="J188" i="5"/>
  <c r="I188" i="5"/>
  <c r="J187" i="5"/>
  <c r="I187" i="5"/>
  <c r="J186" i="5"/>
  <c r="I186" i="5"/>
  <c r="J185" i="5"/>
  <c r="I185" i="5"/>
  <c r="J184" i="5"/>
  <c r="I184" i="5"/>
  <c r="J183" i="5"/>
  <c r="I183" i="5"/>
  <c r="J182" i="5"/>
  <c r="I182" i="5"/>
  <c r="J181" i="5"/>
  <c r="I181" i="5"/>
  <c r="J180" i="5"/>
  <c r="I180" i="5"/>
  <c r="J179" i="5"/>
  <c r="I179" i="5"/>
  <c r="J178" i="5"/>
  <c r="I178" i="5"/>
  <c r="J177" i="5"/>
  <c r="I177" i="5"/>
  <c r="J176" i="5"/>
  <c r="I176" i="5"/>
  <c r="J175" i="5"/>
  <c r="I175" i="5"/>
  <c r="J174" i="5"/>
  <c r="I174" i="5"/>
  <c r="J173" i="5"/>
  <c r="I173" i="5"/>
  <c r="J172" i="5"/>
  <c r="I172" i="5"/>
  <c r="J171" i="5"/>
  <c r="I171" i="5"/>
  <c r="J170" i="5"/>
  <c r="I170" i="5"/>
  <c r="J169" i="5"/>
  <c r="I169" i="5"/>
  <c r="J168" i="5"/>
  <c r="I168" i="5"/>
  <c r="J167" i="5"/>
  <c r="I167" i="5"/>
  <c r="J166" i="5"/>
  <c r="I166" i="5"/>
  <c r="J165" i="5"/>
  <c r="I165" i="5"/>
  <c r="J164" i="5"/>
  <c r="I164" i="5"/>
  <c r="J163" i="5"/>
  <c r="I163" i="5"/>
  <c r="J162" i="5"/>
  <c r="I162" i="5"/>
  <c r="J161" i="5"/>
  <c r="I161" i="5"/>
  <c r="J160" i="5"/>
  <c r="I160" i="5"/>
  <c r="J159" i="5"/>
  <c r="I159" i="5"/>
  <c r="J158" i="5"/>
  <c r="I158" i="5"/>
  <c r="J157" i="5"/>
  <c r="I157" i="5"/>
  <c r="J156" i="5"/>
  <c r="I156" i="5"/>
  <c r="J155" i="5"/>
  <c r="I155" i="5"/>
  <c r="J154" i="5"/>
  <c r="I154" i="5"/>
  <c r="J153" i="5"/>
  <c r="I153" i="5"/>
  <c r="J152" i="5"/>
  <c r="I152" i="5"/>
  <c r="J151" i="5"/>
  <c r="I151" i="5"/>
  <c r="J150" i="5"/>
  <c r="I150" i="5"/>
  <c r="J149" i="5"/>
  <c r="I149" i="5"/>
  <c r="J148" i="5"/>
  <c r="I148" i="5"/>
  <c r="J147" i="5"/>
  <c r="I147" i="5"/>
  <c r="J146" i="5"/>
  <c r="I146" i="5"/>
  <c r="J145" i="5"/>
  <c r="I145" i="5"/>
  <c r="J144" i="5"/>
  <c r="I144" i="5"/>
  <c r="J143" i="5"/>
  <c r="I143" i="5"/>
  <c r="J142" i="5"/>
  <c r="I142" i="5"/>
  <c r="J141" i="5"/>
  <c r="I141" i="5"/>
  <c r="J140" i="5"/>
  <c r="I140" i="5"/>
  <c r="J139" i="5"/>
  <c r="I139" i="5"/>
  <c r="J138" i="5"/>
  <c r="I138" i="5"/>
  <c r="J137" i="5"/>
  <c r="I137" i="5"/>
  <c r="J136" i="5"/>
  <c r="I136" i="5"/>
  <c r="J135" i="5"/>
  <c r="I135" i="5"/>
  <c r="J134" i="5"/>
  <c r="I134" i="5"/>
  <c r="J133" i="5"/>
  <c r="I133" i="5"/>
  <c r="J132" i="5"/>
  <c r="I132" i="5"/>
  <c r="J131" i="5"/>
  <c r="I131" i="5"/>
  <c r="J130" i="5"/>
  <c r="I130" i="5"/>
  <c r="J129" i="5"/>
  <c r="I129" i="5"/>
  <c r="J128" i="5"/>
  <c r="I128" i="5"/>
  <c r="J127" i="5"/>
  <c r="I127" i="5"/>
  <c r="J126" i="5"/>
  <c r="I126" i="5"/>
  <c r="J125" i="5"/>
  <c r="I125" i="5"/>
  <c r="J124" i="5"/>
  <c r="I124" i="5"/>
  <c r="J123" i="5"/>
  <c r="I123" i="5"/>
  <c r="J122" i="5"/>
  <c r="I122" i="5"/>
  <c r="J121" i="5"/>
  <c r="I121" i="5"/>
  <c r="J120" i="5"/>
  <c r="I120" i="5"/>
  <c r="J119" i="5"/>
  <c r="I119" i="5"/>
  <c r="J118" i="5"/>
  <c r="I118" i="5"/>
  <c r="J117" i="5"/>
  <c r="I117" i="5"/>
  <c r="J116" i="5"/>
  <c r="I116" i="5"/>
  <c r="J115" i="5"/>
  <c r="I115" i="5"/>
  <c r="J114" i="5"/>
  <c r="I114" i="5"/>
  <c r="J113" i="5"/>
  <c r="I113" i="5"/>
  <c r="J112" i="5"/>
  <c r="I112" i="5"/>
  <c r="J111" i="5"/>
  <c r="I111" i="5"/>
  <c r="J110" i="5"/>
  <c r="I110" i="5"/>
  <c r="J109" i="5"/>
  <c r="I109" i="5"/>
  <c r="J108" i="5"/>
  <c r="I108" i="5"/>
  <c r="J107" i="5"/>
  <c r="I107" i="5"/>
  <c r="J106" i="5"/>
  <c r="I106" i="5"/>
  <c r="J105" i="5"/>
  <c r="I105" i="5"/>
  <c r="J104" i="5"/>
  <c r="I104" i="5"/>
  <c r="J103" i="5"/>
  <c r="I103" i="5"/>
  <c r="J102" i="5"/>
  <c r="I102" i="5"/>
  <c r="J101" i="5"/>
  <c r="I101" i="5"/>
  <c r="J100" i="5"/>
  <c r="I100" i="5"/>
  <c r="J99" i="5"/>
  <c r="I99" i="5"/>
  <c r="J98" i="5"/>
  <c r="I98" i="5"/>
  <c r="J97" i="5"/>
  <c r="I97" i="5"/>
  <c r="J96" i="5"/>
  <c r="I96" i="5"/>
  <c r="J95" i="5"/>
  <c r="I95" i="5"/>
  <c r="J94" i="5"/>
  <c r="I94" i="5"/>
  <c r="J93" i="5"/>
  <c r="I93" i="5"/>
  <c r="J92" i="5"/>
  <c r="I92" i="5"/>
  <c r="J91" i="5"/>
  <c r="I91" i="5"/>
  <c r="J90" i="5"/>
  <c r="I90" i="5"/>
  <c r="J89" i="5"/>
  <c r="I89" i="5"/>
  <c r="J88" i="5"/>
  <c r="I88" i="5"/>
  <c r="J87" i="5"/>
  <c r="I87" i="5"/>
  <c r="J86" i="5"/>
  <c r="I86" i="5"/>
  <c r="J85" i="5"/>
  <c r="I85" i="5"/>
  <c r="J84" i="5"/>
  <c r="I84" i="5"/>
  <c r="J83" i="5"/>
  <c r="I83" i="5"/>
  <c r="J82" i="5"/>
  <c r="I82" i="5"/>
  <c r="J81" i="5"/>
  <c r="I81" i="5"/>
  <c r="J80" i="5"/>
  <c r="I80" i="5"/>
  <c r="J79" i="5"/>
  <c r="I79" i="5"/>
  <c r="J78" i="5"/>
  <c r="I78" i="5"/>
  <c r="J77" i="5"/>
  <c r="I77" i="5"/>
  <c r="J76" i="5"/>
  <c r="I76" i="5"/>
  <c r="J75" i="5"/>
  <c r="I75" i="5"/>
  <c r="J74" i="5"/>
  <c r="I74" i="5"/>
  <c r="J73" i="5"/>
  <c r="I73" i="5"/>
  <c r="J72" i="5"/>
  <c r="I72" i="5"/>
  <c r="J71" i="5"/>
  <c r="I71" i="5"/>
  <c r="J70" i="5"/>
  <c r="I70" i="5"/>
  <c r="J69" i="5"/>
  <c r="I69" i="5"/>
  <c r="J68" i="5"/>
  <c r="I68" i="5"/>
  <c r="J67" i="5"/>
  <c r="I67" i="5"/>
  <c r="J66" i="5"/>
  <c r="I66" i="5"/>
  <c r="J65" i="5"/>
  <c r="I65" i="5"/>
  <c r="J64" i="5"/>
  <c r="I64" i="5"/>
  <c r="J63" i="5"/>
  <c r="I63" i="5"/>
  <c r="J62" i="5"/>
  <c r="I62" i="5"/>
  <c r="J61" i="5"/>
  <c r="I61" i="5"/>
  <c r="J60" i="5"/>
  <c r="I60" i="5"/>
  <c r="J59" i="5"/>
  <c r="I59" i="5"/>
  <c r="J58" i="5"/>
  <c r="I58" i="5"/>
  <c r="J57" i="5"/>
  <c r="I57" i="5"/>
  <c r="J56" i="5"/>
  <c r="I56" i="5"/>
  <c r="J55" i="5"/>
  <c r="I55" i="5"/>
  <c r="J54" i="5"/>
  <c r="I54" i="5"/>
  <c r="J53" i="5"/>
  <c r="I53" i="5"/>
  <c r="J52" i="5"/>
  <c r="I52" i="5"/>
  <c r="J51" i="5"/>
  <c r="I51" i="5"/>
  <c r="J50" i="5"/>
  <c r="I50" i="5"/>
  <c r="J49" i="5"/>
  <c r="I49" i="5"/>
  <c r="J48" i="5"/>
  <c r="I48" i="5"/>
  <c r="J47" i="5"/>
  <c r="I47" i="5"/>
  <c r="J46" i="5"/>
  <c r="I46" i="5"/>
  <c r="J45" i="5"/>
  <c r="I45" i="5"/>
  <c r="J44" i="5"/>
  <c r="I44" i="5"/>
  <c r="J43" i="5"/>
  <c r="I43" i="5"/>
  <c r="J42" i="5"/>
  <c r="I42" i="5"/>
  <c r="J41" i="5"/>
  <c r="I41" i="5"/>
  <c r="J40" i="5"/>
  <c r="I40" i="5"/>
  <c r="J39" i="5"/>
  <c r="I39" i="5"/>
  <c r="J38" i="5"/>
  <c r="I38" i="5"/>
  <c r="J37" i="5"/>
  <c r="I37" i="5"/>
  <c r="J36" i="5"/>
  <c r="I36" i="5"/>
  <c r="J35" i="5"/>
  <c r="I35" i="5"/>
  <c r="J34" i="5"/>
  <c r="I34" i="5"/>
  <c r="J33" i="5"/>
  <c r="I33" i="5"/>
  <c r="J32" i="5"/>
  <c r="I32" i="5"/>
  <c r="J31" i="5"/>
  <c r="I31" i="5"/>
  <c r="J30" i="5"/>
  <c r="I30" i="5"/>
  <c r="J29" i="5"/>
  <c r="I29" i="5"/>
  <c r="J28" i="5"/>
  <c r="I28" i="5"/>
  <c r="J27" i="5"/>
  <c r="I27" i="5"/>
  <c r="J26" i="5"/>
  <c r="I26" i="5"/>
  <c r="J25" i="5"/>
  <c r="I25" i="5"/>
  <c r="J24" i="5"/>
  <c r="I24" i="5"/>
  <c r="J23" i="5"/>
  <c r="I23" i="5"/>
  <c r="J22" i="5"/>
  <c r="I22" i="5"/>
  <c r="J21" i="5"/>
  <c r="I21" i="5"/>
  <c r="J20" i="5"/>
  <c r="I20" i="5"/>
  <c r="J19" i="5"/>
  <c r="I19" i="5"/>
  <c r="J18" i="5"/>
  <c r="I18" i="5"/>
  <c r="J17" i="5"/>
  <c r="I17" i="5"/>
  <c r="J16" i="5"/>
  <c r="I16" i="5"/>
  <c r="J15" i="5"/>
  <c r="I15" i="5"/>
  <c r="J14" i="5"/>
  <c r="I14" i="5"/>
  <c r="J13" i="5"/>
  <c r="I13" i="5"/>
  <c r="J12" i="5"/>
  <c r="I12" i="5"/>
  <c r="J11" i="5"/>
  <c r="I11" i="5"/>
  <c r="J10" i="5"/>
  <c r="I10" i="5"/>
  <c r="J9" i="5"/>
  <c r="I9" i="5"/>
  <c r="J222" i="4"/>
  <c r="I222" i="4"/>
  <c r="J221" i="4"/>
  <c r="I221" i="4"/>
  <c r="J220" i="4"/>
  <c r="I220" i="4"/>
  <c r="J219" i="4"/>
  <c r="I219" i="4"/>
  <c r="J218" i="4"/>
  <c r="I218" i="4"/>
  <c r="J217" i="4"/>
  <c r="I217" i="4"/>
  <c r="J216" i="4"/>
  <c r="I216" i="4"/>
  <c r="J215" i="4"/>
  <c r="I215" i="4"/>
  <c r="J214" i="4"/>
  <c r="I214" i="4"/>
  <c r="J213" i="4"/>
  <c r="I213" i="4"/>
  <c r="J212" i="4"/>
  <c r="I212" i="4"/>
  <c r="J211" i="4"/>
  <c r="I211" i="4"/>
  <c r="J210" i="4"/>
  <c r="I210" i="4"/>
  <c r="J209" i="4"/>
  <c r="I209" i="4"/>
  <c r="J208" i="4"/>
  <c r="I208" i="4"/>
  <c r="J207" i="4"/>
  <c r="I207" i="4"/>
  <c r="J206" i="4"/>
  <c r="I206" i="4"/>
  <c r="J205" i="4"/>
  <c r="I205" i="4"/>
  <c r="J204" i="4"/>
  <c r="I204" i="4"/>
  <c r="J203" i="4"/>
  <c r="I203" i="4"/>
  <c r="J202" i="4"/>
  <c r="I202" i="4"/>
  <c r="J201" i="4"/>
  <c r="I201" i="4"/>
  <c r="J200" i="4"/>
  <c r="I200" i="4"/>
  <c r="J199" i="4"/>
  <c r="I199" i="4"/>
  <c r="J198" i="4"/>
  <c r="I198" i="4"/>
  <c r="J197" i="4"/>
  <c r="I197" i="4"/>
  <c r="J196" i="4"/>
  <c r="I196" i="4"/>
  <c r="J195" i="4"/>
  <c r="I195" i="4"/>
  <c r="J194" i="4"/>
  <c r="I194" i="4"/>
  <c r="J193" i="4"/>
  <c r="I193" i="4"/>
  <c r="J192" i="4"/>
  <c r="I192" i="4"/>
  <c r="J191" i="4"/>
  <c r="I191" i="4"/>
  <c r="J190" i="4"/>
  <c r="I190" i="4"/>
  <c r="J189" i="4"/>
  <c r="I189" i="4"/>
  <c r="J188" i="4"/>
  <c r="I188" i="4"/>
  <c r="J187" i="4"/>
  <c r="I187" i="4"/>
  <c r="J186" i="4"/>
  <c r="I186" i="4"/>
  <c r="J185" i="4"/>
  <c r="I185" i="4"/>
  <c r="J184" i="4"/>
  <c r="I184" i="4"/>
  <c r="J183" i="4"/>
  <c r="I183" i="4"/>
  <c r="J182" i="4"/>
  <c r="I182" i="4"/>
  <c r="J181" i="4"/>
  <c r="I181" i="4"/>
  <c r="J180" i="4"/>
  <c r="I180" i="4"/>
  <c r="J179" i="4"/>
  <c r="I179" i="4"/>
  <c r="J178" i="4"/>
  <c r="I178" i="4"/>
  <c r="J177" i="4"/>
  <c r="I177" i="4"/>
  <c r="J176" i="4"/>
  <c r="I176" i="4"/>
  <c r="J175" i="4"/>
  <c r="I175" i="4"/>
  <c r="J174" i="4"/>
  <c r="I174" i="4"/>
  <c r="J173" i="4"/>
  <c r="I173" i="4"/>
  <c r="J172" i="4"/>
  <c r="I172" i="4"/>
  <c r="J171" i="4"/>
  <c r="I171" i="4"/>
  <c r="J170" i="4"/>
  <c r="I170" i="4"/>
  <c r="J169" i="4"/>
  <c r="I169" i="4"/>
  <c r="J168" i="4"/>
  <c r="I168" i="4"/>
  <c r="J167" i="4"/>
  <c r="I167" i="4"/>
  <c r="J166" i="4"/>
  <c r="I166" i="4"/>
  <c r="J165" i="4"/>
  <c r="I165" i="4"/>
  <c r="J164" i="4"/>
  <c r="I164" i="4"/>
  <c r="J163" i="4"/>
  <c r="I163" i="4"/>
  <c r="J162" i="4"/>
  <c r="I162" i="4"/>
  <c r="J161" i="4"/>
  <c r="I161" i="4"/>
  <c r="J160" i="4"/>
  <c r="I160" i="4"/>
  <c r="J159" i="4"/>
  <c r="I159" i="4"/>
  <c r="J158" i="4"/>
  <c r="I158" i="4"/>
  <c r="J157" i="4"/>
  <c r="I157" i="4"/>
  <c r="J156" i="4"/>
  <c r="I156" i="4"/>
  <c r="J155" i="4"/>
  <c r="I155" i="4"/>
  <c r="J154" i="4"/>
  <c r="I154" i="4"/>
  <c r="J153" i="4"/>
  <c r="I153" i="4"/>
  <c r="J152" i="4"/>
  <c r="I152" i="4"/>
  <c r="J151" i="4"/>
  <c r="I151" i="4"/>
  <c r="J150" i="4"/>
  <c r="I150" i="4"/>
  <c r="J149" i="4"/>
  <c r="I149" i="4"/>
  <c r="J148" i="4"/>
  <c r="I148" i="4"/>
  <c r="J147" i="4"/>
  <c r="I147" i="4"/>
  <c r="J146" i="4"/>
  <c r="I146" i="4"/>
  <c r="J145" i="4"/>
  <c r="I145" i="4"/>
  <c r="J144" i="4"/>
  <c r="I144" i="4"/>
  <c r="J143" i="4"/>
  <c r="I143" i="4"/>
  <c r="J142" i="4"/>
  <c r="I142" i="4"/>
  <c r="J141" i="4"/>
  <c r="I141" i="4"/>
  <c r="J140" i="4"/>
  <c r="I140" i="4"/>
  <c r="J139" i="4"/>
  <c r="I139" i="4"/>
  <c r="J138" i="4"/>
  <c r="I138" i="4"/>
  <c r="J137" i="4"/>
  <c r="I137" i="4"/>
  <c r="J136" i="4"/>
  <c r="I136" i="4"/>
  <c r="J135" i="4"/>
  <c r="I135" i="4"/>
  <c r="J134" i="4"/>
  <c r="I134" i="4"/>
  <c r="J133" i="4"/>
  <c r="I133" i="4"/>
  <c r="J132" i="4"/>
  <c r="I132" i="4"/>
  <c r="J131" i="4"/>
  <c r="I131" i="4"/>
  <c r="J130" i="4"/>
  <c r="I130" i="4"/>
  <c r="J129" i="4"/>
  <c r="I129" i="4"/>
  <c r="J128" i="4"/>
  <c r="I128" i="4"/>
  <c r="J127" i="4"/>
  <c r="I127" i="4"/>
  <c r="J126" i="4"/>
  <c r="I126" i="4"/>
  <c r="J125" i="4"/>
  <c r="I125" i="4"/>
  <c r="J124" i="4"/>
  <c r="I124" i="4"/>
  <c r="J123" i="4"/>
  <c r="I123" i="4"/>
  <c r="J122" i="4"/>
  <c r="I122" i="4"/>
  <c r="J121" i="4"/>
  <c r="I121" i="4"/>
  <c r="J120" i="4"/>
  <c r="I120" i="4"/>
  <c r="J119" i="4"/>
  <c r="I119" i="4"/>
  <c r="J118" i="4"/>
  <c r="I118" i="4"/>
  <c r="J117" i="4"/>
  <c r="I117" i="4"/>
  <c r="J116" i="4"/>
  <c r="I116" i="4"/>
  <c r="J115" i="4"/>
  <c r="I115" i="4"/>
  <c r="J114" i="4"/>
  <c r="I114" i="4"/>
  <c r="J113" i="4"/>
  <c r="I113" i="4"/>
  <c r="J112" i="4"/>
  <c r="I112" i="4"/>
  <c r="J111" i="4"/>
  <c r="I111" i="4"/>
  <c r="J110" i="4"/>
  <c r="I110" i="4"/>
  <c r="J109" i="4"/>
  <c r="I109" i="4"/>
  <c r="J108" i="4"/>
  <c r="I108" i="4"/>
  <c r="J107" i="4"/>
  <c r="I107" i="4"/>
  <c r="J106" i="4"/>
  <c r="I106" i="4"/>
  <c r="J105" i="4"/>
  <c r="I105" i="4"/>
  <c r="J104" i="4"/>
  <c r="I104" i="4"/>
  <c r="J103" i="4"/>
  <c r="I103" i="4"/>
  <c r="J102" i="4"/>
  <c r="I102" i="4"/>
  <c r="J101" i="4"/>
  <c r="I101" i="4"/>
  <c r="J100" i="4"/>
  <c r="I100" i="4"/>
  <c r="J99" i="4"/>
  <c r="I99" i="4"/>
  <c r="J98" i="4"/>
  <c r="I98" i="4"/>
  <c r="J97" i="4"/>
  <c r="I97" i="4"/>
  <c r="J96" i="4"/>
  <c r="I96" i="4"/>
  <c r="J95" i="4"/>
  <c r="I95" i="4"/>
  <c r="J94" i="4"/>
  <c r="I94" i="4"/>
  <c r="J93" i="4"/>
  <c r="I93" i="4"/>
  <c r="J92" i="4"/>
  <c r="I92" i="4"/>
  <c r="J91" i="4"/>
  <c r="I91" i="4"/>
  <c r="J90" i="4"/>
  <c r="I90" i="4"/>
  <c r="J89" i="4"/>
  <c r="I89" i="4"/>
  <c r="J88" i="4"/>
  <c r="I88" i="4"/>
  <c r="J87" i="4"/>
  <c r="I87" i="4"/>
  <c r="J86" i="4"/>
  <c r="I86" i="4"/>
  <c r="J85" i="4"/>
  <c r="I85" i="4"/>
  <c r="J84" i="4"/>
  <c r="I84" i="4"/>
  <c r="J83" i="4"/>
  <c r="I83" i="4"/>
  <c r="J82" i="4"/>
  <c r="I82" i="4"/>
  <c r="J81" i="4"/>
  <c r="I81" i="4"/>
  <c r="J80" i="4"/>
  <c r="I80" i="4"/>
  <c r="J79" i="4"/>
  <c r="I79" i="4"/>
  <c r="J78" i="4"/>
  <c r="I78" i="4"/>
  <c r="J77" i="4"/>
  <c r="I77" i="4"/>
  <c r="J76" i="4"/>
  <c r="I76" i="4"/>
  <c r="J75" i="4"/>
  <c r="I75" i="4"/>
  <c r="J74" i="4"/>
  <c r="I74" i="4"/>
  <c r="J73" i="4"/>
  <c r="I73" i="4"/>
  <c r="J72" i="4"/>
  <c r="I72" i="4"/>
  <c r="J71" i="4"/>
  <c r="I71" i="4"/>
  <c r="J70" i="4"/>
  <c r="I70" i="4"/>
  <c r="J69" i="4"/>
  <c r="I69" i="4"/>
  <c r="J68" i="4"/>
  <c r="I68" i="4"/>
  <c r="J67" i="4"/>
  <c r="I67" i="4"/>
  <c r="J66" i="4"/>
  <c r="I66" i="4"/>
  <c r="J65" i="4"/>
  <c r="I65" i="4"/>
  <c r="J64" i="4"/>
  <c r="I64" i="4"/>
  <c r="J63" i="4"/>
  <c r="I63" i="4"/>
  <c r="J62" i="4"/>
  <c r="I62" i="4"/>
  <c r="J61" i="4"/>
  <c r="I61" i="4"/>
  <c r="J60" i="4"/>
  <c r="I60" i="4"/>
  <c r="J59" i="4"/>
  <c r="I59" i="4"/>
  <c r="J58" i="4"/>
  <c r="I58" i="4"/>
  <c r="J57" i="4"/>
  <c r="I57" i="4"/>
  <c r="J56" i="4"/>
  <c r="I56" i="4"/>
  <c r="J55" i="4"/>
  <c r="I55" i="4"/>
  <c r="J54" i="4"/>
  <c r="I54" i="4"/>
  <c r="J53" i="4"/>
  <c r="I53" i="4"/>
  <c r="J52" i="4"/>
  <c r="I52" i="4"/>
  <c r="J51" i="4"/>
  <c r="I51" i="4"/>
  <c r="J50" i="4"/>
  <c r="I50" i="4"/>
  <c r="J49" i="4"/>
  <c r="I49" i="4"/>
  <c r="J48" i="4"/>
  <c r="I48" i="4"/>
  <c r="J47" i="4"/>
  <c r="I47" i="4"/>
  <c r="J46" i="4"/>
  <c r="I46" i="4"/>
  <c r="J45" i="4"/>
  <c r="I45" i="4"/>
  <c r="J44" i="4"/>
  <c r="I44" i="4"/>
  <c r="J43" i="4"/>
  <c r="I43" i="4"/>
  <c r="J42" i="4"/>
  <c r="I42" i="4"/>
  <c r="J41" i="4"/>
  <c r="I41" i="4"/>
  <c r="J40" i="4"/>
  <c r="I40" i="4"/>
  <c r="J39" i="4"/>
  <c r="I39" i="4"/>
  <c r="J38" i="4"/>
  <c r="I38" i="4"/>
  <c r="J37" i="4"/>
  <c r="I37" i="4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I19" i="4"/>
  <c r="J18" i="4"/>
  <c r="I18" i="4"/>
  <c r="J17" i="4"/>
  <c r="I17" i="4"/>
  <c r="J16" i="4"/>
  <c r="I16" i="4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9" i="1"/>
  <c r="G7" i="5"/>
  <c r="F7" i="5"/>
  <c r="BK7" i="6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BL7" i="4"/>
  <c r="G6" i="1"/>
  <c r="F6" i="1"/>
  <c r="BJ7" i="6"/>
  <c r="BI7" i="6"/>
  <c r="BH7" i="6"/>
  <c r="BG7" i="6"/>
  <c r="BF7" i="6"/>
  <c r="BE7" i="6"/>
  <c r="BD7" i="6"/>
  <c r="BC7" i="6"/>
  <c r="BB7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S7" i="5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O196" i="5" l="1"/>
  <c r="P196" i="5"/>
  <c r="O140" i="5"/>
  <c r="P140" i="5"/>
  <c r="O60" i="5"/>
  <c r="P60" i="5"/>
  <c r="O203" i="5"/>
  <c r="P203" i="5"/>
  <c r="O147" i="5"/>
  <c r="P147" i="5"/>
  <c r="O99" i="5"/>
  <c r="P99" i="5"/>
  <c r="O75" i="5"/>
  <c r="P75" i="5"/>
  <c r="O59" i="5"/>
  <c r="P59" i="5"/>
  <c r="O43" i="5"/>
  <c r="P43" i="5"/>
  <c r="O164" i="5"/>
  <c r="P164" i="5"/>
  <c r="O44" i="5"/>
  <c r="P44" i="5"/>
  <c r="O219" i="5"/>
  <c r="P219" i="5"/>
  <c r="O171" i="5"/>
  <c r="P171" i="5"/>
  <c r="O139" i="5"/>
  <c r="P139" i="5"/>
  <c r="O83" i="5"/>
  <c r="P83" i="5"/>
  <c r="O11" i="5"/>
  <c r="P11" i="5"/>
  <c r="O218" i="5"/>
  <c r="P218" i="5"/>
  <c r="O210" i="5"/>
  <c r="P210" i="5"/>
  <c r="O202" i="5"/>
  <c r="P202" i="5"/>
  <c r="O194" i="5"/>
  <c r="P194" i="5"/>
  <c r="O186" i="5"/>
  <c r="P186" i="5"/>
  <c r="O178" i="5"/>
  <c r="P178" i="5"/>
  <c r="O170" i="5"/>
  <c r="P170" i="5"/>
  <c r="O162" i="5"/>
  <c r="P162" i="5"/>
  <c r="O154" i="5"/>
  <c r="P154" i="5"/>
  <c r="O146" i="5"/>
  <c r="P146" i="5"/>
  <c r="O138" i="5"/>
  <c r="P138" i="5"/>
  <c r="O130" i="5"/>
  <c r="P130" i="5"/>
  <c r="O122" i="5"/>
  <c r="P122" i="5"/>
  <c r="O114" i="5"/>
  <c r="P114" i="5"/>
  <c r="O106" i="5"/>
  <c r="P106" i="5"/>
  <c r="O98" i="5"/>
  <c r="P98" i="5"/>
  <c r="O90" i="5"/>
  <c r="P90" i="5"/>
  <c r="O82" i="5"/>
  <c r="P82" i="5"/>
  <c r="O74" i="5"/>
  <c r="P74" i="5"/>
  <c r="O66" i="5"/>
  <c r="P66" i="5"/>
  <c r="O58" i="5"/>
  <c r="P58" i="5"/>
  <c r="O50" i="5"/>
  <c r="P50" i="5"/>
  <c r="O42" i="5"/>
  <c r="P42" i="5"/>
  <c r="O34" i="5"/>
  <c r="P34" i="5"/>
  <c r="O26" i="5"/>
  <c r="P26" i="5"/>
  <c r="O18" i="5"/>
  <c r="P18" i="5"/>
  <c r="O10" i="5"/>
  <c r="P10" i="5"/>
  <c r="O180" i="5"/>
  <c r="P180" i="5"/>
  <c r="O76" i="5"/>
  <c r="P76" i="5"/>
  <c r="O179" i="5"/>
  <c r="P179" i="5"/>
  <c r="O123" i="5"/>
  <c r="P123" i="5"/>
  <c r="O51" i="5"/>
  <c r="P51" i="5"/>
  <c r="O220" i="5"/>
  <c r="P220" i="5"/>
  <c r="O156" i="5"/>
  <c r="P156" i="5"/>
  <c r="O84" i="5"/>
  <c r="P84" i="5"/>
  <c r="O211" i="5"/>
  <c r="P211" i="5"/>
  <c r="O163" i="5"/>
  <c r="P163" i="5"/>
  <c r="O107" i="5"/>
  <c r="P107" i="5"/>
  <c r="O91" i="5"/>
  <c r="P91" i="5"/>
  <c r="O19" i="5"/>
  <c r="P19" i="5"/>
  <c r="O217" i="5"/>
  <c r="P217" i="5"/>
  <c r="O209" i="5"/>
  <c r="P209" i="5"/>
  <c r="O201" i="5"/>
  <c r="P201" i="5"/>
  <c r="O193" i="5"/>
  <c r="P193" i="5"/>
  <c r="O185" i="5"/>
  <c r="P185" i="5"/>
  <c r="O177" i="5"/>
  <c r="P177" i="5"/>
  <c r="O169" i="5"/>
  <c r="P169" i="5"/>
  <c r="O161" i="5"/>
  <c r="P161" i="5"/>
  <c r="O153" i="5"/>
  <c r="P153" i="5"/>
  <c r="O145" i="5"/>
  <c r="P145" i="5"/>
  <c r="O137" i="5"/>
  <c r="P137" i="5"/>
  <c r="O129" i="5"/>
  <c r="P129" i="5"/>
  <c r="O121" i="5"/>
  <c r="P121" i="5"/>
  <c r="O113" i="5"/>
  <c r="P113" i="5"/>
  <c r="O105" i="5"/>
  <c r="P105" i="5"/>
  <c r="O97" i="5"/>
  <c r="P97" i="5"/>
  <c r="O89" i="5"/>
  <c r="P89" i="5"/>
  <c r="O81" i="5"/>
  <c r="P81" i="5"/>
  <c r="O73" i="5"/>
  <c r="P73" i="5"/>
  <c r="O65" i="5"/>
  <c r="P65" i="5"/>
  <c r="O57" i="5"/>
  <c r="P57" i="5"/>
  <c r="O49" i="5"/>
  <c r="P49" i="5"/>
  <c r="O41" i="5"/>
  <c r="P41" i="5"/>
  <c r="O33" i="5"/>
  <c r="P33" i="5"/>
  <c r="O25" i="5"/>
  <c r="P25" i="5"/>
  <c r="O17" i="5"/>
  <c r="P17" i="5"/>
  <c r="O172" i="5"/>
  <c r="P172" i="5"/>
  <c r="O68" i="5"/>
  <c r="P68" i="5"/>
  <c r="O187" i="5"/>
  <c r="P187" i="5"/>
  <c r="O155" i="5"/>
  <c r="P155" i="5"/>
  <c r="O131" i="5"/>
  <c r="P131" i="5"/>
  <c r="O27" i="5"/>
  <c r="P27" i="5"/>
  <c r="O212" i="5"/>
  <c r="P212" i="5"/>
  <c r="O28" i="5"/>
  <c r="P28" i="5"/>
  <c r="O195" i="5"/>
  <c r="P195" i="5"/>
  <c r="O115" i="5"/>
  <c r="P115" i="5"/>
  <c r="O67" i="5"/>
  <c r="P67" i="5"/>
  <c r="O35" i="5"/>
  <c r="P35" i="5"/>
  <c r="O216" i="5"/>
  <c r="P216" i="5"/>
  <c r="O208" i="5"/>
  <c r="P208" i="5"/>
  <c r="O200" i="5"/>
  <c r="P200" i="5"/>
  <c r="O192" i="5"/>
  <c r="P192" i="5"/>
  <c r="O184" i="5"/>
  <c r="P184" i="5"/>
  <c r="O176" i="5"/>
  <c r="P176" i="5"/>
  <c r="O168" i="5"/>
  <c r="P168" i="5"/>
  <c r="O160" i="5"/>
  <c r="P160" i="5"/>
  <c r="O152" i="5"/>
  <c r="P152" i="5"/>
  <c r="O144" i="5"/>
  <c r="P144" i="5"/>
  <c r="O136" i="5"/>
  <c r="P136" i="5"/>
  <c r="O128" i="5"/>
  <c r="P128" i="5"/>
  <c r="O120" i="5"/>
  <c r="P120" i="5"/>
  <c r="O112" i="5"/>
  <c r="P112" i="5"/>
  <c r="O104" i="5"/>
  <c r="P104" i="5"/>
  <c r="O96" i="5"/>
  <c r="P96" i="5"/>
  <c r="O88" i="5"/>
  <c r="P88" i="5"/>
  <c r="O80" i="5"/>
  <c r="P80" i="5"/>
  <c r="O72" i="5"/>
  <c r="P72" i="5"/>
  <c r="O64" i="5"/>
  <c r="P64" i="5"/>
  <c r="O56" i="5"/>
  <c r="P56" i="5"/>
  <c r="O48" i="5"/>
  <c r="P48" i="5"/>
  <c r="O40" i="5"/>
  <c r="P40" i="5"/>
  <c r="O32" i="5"/>
  <c r="P32" i="5"/>
  <c r="O24" i="5"/>
  <c r="P24" i="5"/>
  <c r="O16" i="5"/>
  <c r="P16" i="5"/>
  <c r="O148" i="5"/>
  <c r="P148" i="5"/>
  <c r="O124" i="5"/>
  <c r="P124" i="5"/>
  <c r="O52" i="5"/>
  <c r="P52" i="5"/>
  <c r="O215" i="5"/>
  <c r="P215" i="5"/>
  <c r="O207" i="5"/>
  <c r="P207" i="5"/>
  <c r="O199" i="5"/>
  <c r="P199" i="5"/>
  <c r="O191" i="5"/>
  <c r="P191" i="5"/>
  <c r="O183" i="5"/>
  <c r="P183" i="5"/>
  <c r="O175" i="5"/>
  <c r="P175" i="5"/>
  <c r="O167" i="5"/>
  <c r="P167" i="5"/>
  <c r="O159" i="5"/>
  <c r="P159" i="5"/>
  <c r="O151" i="5"/>
  <c r="P151" i="5"/>
  <c r="O143" i="5"/>
  <c r="P143" i="5"/>
  <c r="O135" i="5"/>
  <c r="P135" i="5"/>
  <c r="O127" i="5"/>
  <c r="P127" i="5"/>
  <c r="O119" i="5"/>
  <c r="P119" i="5"/>
  <c r="O111" i="5"/>
  <c r="P111" i="5"/>
  <c r="O103" i="5"/>
  <c r="P103" i="5"/>
  <c r="O95" i="5"/>
  <c r="P95" i="5"/>
  <c r="O87" i="5"/>
  <c r="P87" i="5"/>
  <c r="O79" i="5"/>
  <c r="P79" i="5"/>
  <c r="O71" i="5"/>
  <c r="P71" i="5"/>
  <c r="O63" i="5"/>
  <c r="P63" i="5"/>
  <c r="O55" i="5"/>
  <c r="P55" i="5"/>
  <c r="O47" i="5"/>
  <c r="P47" i="5"/>
  <c r="O39" i="5"/>
  <c r="P39" i="5"/>
  <c r="O31" i="5"/>
  <c r="P31" i="5"/>
  <c r="O23" i="5"/>
  <c r="P23" i="5"/>
  <c r="O15" i="5"/>
  <c r="P15" i="5"/>
  <c r="O188" i="5"/>
  <c r="P188" i="5"/>
  <c r="O132" i="5"/>
  <c r="P132" i="5"/>
  <c r="O36" i="5"/>
  <c r="P36" i="5"/>
  <c r="O204" i="5"/>
  <c r="P204" i="5"/>
  <c r="O116" i="5"/>
  <c r="P116" i="5"/>
  <c r="O20" i="5"/>
  <c r="P20" i="5"/>
  <c r="O222" i="5"/>
  <c r="P222" i="5"/>
  <c r="O214" i="5"/>
  <c r="P214" i="5"/>
  <c r="O206" i="5"/>
  <c r="P206" i="5"/>
  <c r="O198" i="5"/>
  <c r="P198" i="5"/>
  <c r="O190" i="5"/>
  <c r="P190" i="5"/>
  <c r="O182" i="5"/>
  <c r="P182" i="5"/>
  <c r="O174" i="5"/>
  <c r="P174" i="5"/>
  <c r="O166" i="5"/>
  <c r="P166" i="5"/>
  <c r="O158" i="5"/>
  <c r="P158" i="5"/>
  <c r="O150" i="5"/>
  <c r="P150" i="5"/>
  <c r="O142" i="5"/>
  <c r="P142" i="5"/>
  <c r="O134" i="5"/>
  <c r="P134" i="5"/>
  <c r="O126" i="5"/>
  <c r="P126" i="5"/>
  <c r="O118" i="5"/>
  <c r="P118" i="5"/>
  <c r="O110" i="5"/>
  <c r="P110" i="5"/>
  <c r="O102" i="5"/>
  <c r="P102" i="5"/>
  <c r="O94" i="5"/>
  <c r="P94" i="5"/>
  <c r="O86" i="5"/>
  <c r="P86" i="5"/>
  <c r="O78" i="5"/>
  <c r="P78" i="5"/>
  <c r="O70" i="5"/>
  <c r="P70" i="5"/>
  <c r="O62" i="5"/>
  <c r="P62" i="5"/>
  <c r="O54" i="5"/>
  <c r="P54" i="5"/>
  <c r="O46" i="5"/>
  <c r="P46" i="5"/>
  <c r="O38" i="5"/>
  <c r="P38" i="5"/>
  <c r="O30" i="5"/>
  <c r="P30" i="5"/>
  <c r="O22" i="5"/>
  <c r="P22" i="5"/>
  <c r="O14" i="5"/>
  <c r="P14" i="5"/>
  <c r="O108" i="5"/>
  <c r="P108" i="5"/>
  <c r="O92" i="5"/>
  <c r="P92" i="5"/>
  <c r="O221" i="5"/>
  <c r="P221" i="5"/>
  <c r="O213" i="5"/>
  <c r="P213" i="5"/>
  <c r="O205" i="5"/>
  <c r="P205" i="5"/>
  <c r="O197" i="5"/>
  <c r="P197" i="5"/>
  <c r="O189" i="5"/>
  <c r="P189" i="5"/>
  <c r="O181" i="5"/>
  <c r="P181" i="5"/>
  <c r="O173" i="5"/>
  <c r="P173" i="5"/>
  <c r="O165" i="5"/>
  <c r="P165" i="5"/>
  <c r="O157" i="5"/>
  <c r="P157" i="5"/>
  <c r="O149" i="5"/>
  <c r="P149" i="5"/>
  <c r="O141" i="5"/>
  <c r="P141" i="5"/>
  <c r="O133" i="5"/>
  <c r="P133" i="5"/>
  <c r="O125" i="5"/>
  <c r="P125" i="5"/>
  <c r="O117" i="5"/>
  <c r="P117" i="5"/>
  <c r="O109" i="5"/>
  <c r="P109" i="5"/>
  <c r="O101" i="5"/>
  <c r="P101" i="5"/>
  <c r="O93" i="5"/>
  <c r="P93" i="5"/>
  <c r="O85" i="5"/>
  <c r="P85" i="5"/>
  <c r="O77" i="5"/>
  <c r="P77" i="5"/>
  <c r="O69" i="5"/>
  <c r="P69" i="5"/>
  <c r="O61" i="5"/>
  <c r="P61" i="5"/>
  <c r="O53" i="5"/>
  <c r="P53" i="5"/>
  <c r="O45" i="5"/>
  <c r="P45" i="5"/>
  <c r="O37" i="5"/>
  <c r="P37" i="5"/>
  <c r="O29" i="5"/>
  <c r="P29" i="5"/>
  <c r="O21" i="5"/>
  <c r="P21" i="5"/>
  <c r="O13" i="5"/>
  <c r="P13" i="5"/>
  <c r="O100" i="5"/>
  <c r="P100" i="5"/>
  <c r="O12" i="5"/>
  <c r="P12" i="5"/>
  <c r="Q9" i="6"/>
  <c r="BH5" i="6" s="1"/>
  <c r="P7" i="6"/>
  <c r="O9" i="6"/>
  <c r="BE6" i="6" s="1"/>
  <c r="M2" i="6"/>
  <c r="N7" i="6"/>
  <c r="BK5" i="6"/>
  <c r="BD5" i="6"/>
  <c r="AN5" i="6"/>
  <c r="X5" i="6"/>
  <c r="AJ5" i="6"/>
  <c r="AV5" i="6"/>
  <c r="BC5" i="6"/>
  <c r="AM5" i="6"/>
  <c r="W5" i="6"/>
  <c r="BB5" i="6"/>
  <c r="AL5" i="6"/>
  <c r="BA5" i="6"/>
  <c r="AK5" i="6"/>
  <c r="U5" i="6"/>
  <c r="T5" i="6"/>
  <c r="AY5" i="6"/>
  <c r="AI5" i="6"/>
  <c r="S5" i="6"/>
  <c r="AX5" i="6"/>
  <c r="AH5" i="6"/>
  <c r="R5" i="6"/>
  <c r="AN6" i="6"/>
  <c r="BI6" i="6"/>
  <c r="AM6" i="6"/>
  <c r="O9" i="5"/>
  <c r="N7" i="5"/>
  <c r="R9" i="5"/>
  <c r="BA5" i="5" s="1"/>
  <c r="Q7" i="5"/>
  <c r="O58" i="4"/>
  <c r="P58" i="4"/>
  <c r="O169" i="4"/>
  <c r="P169" i="4"/>
  <c r="O146" i="4"/>
  <c r="P146" i="4"/>
  <c r="O177" i="4"/>
  <c r="P177" i="4"/>
  <c r="O129" i="4"/>
  <c r="P129" i="4"/>
  <c r="N7" i="4"/>
  <c r="P9" i="4"/>
  <c r="O222" i="4"/>
  <c r="P222" i="4"/>
  <c r="O214" i="4"/>
  <c r="P214" i="4"/>
  <c r="O206" i="4"/>
  <c r="P206" i="4"/>
  <c r="O198" i="4"/>
  <c r="P198" i="4"/>
  <c r="O190" i="4"/>
  <c r="P190" i="4"/>
  <c r="O182" i="4"/>
  <c r="P182" i="4"/>
  <c r="O174" i="4"/>
  <c r="P174" i="4"/>
  <c r="O166" i="4"/>
  <c r="P166" i="4"/>
  <c r="O158" i="4"/>
  <c r="P158" i="4"/>
  <c r="O150" i="4"/>
  <c r="P150" i="4"/>
  <c r="O142" i="4"/>
  <c r="P142" i="4"/>
  <c r="O134" i="4"/>
  <c r="P134" i="4"/>
  <c r="O126" i="4"/>
  <c r="P126" i="4"/>
  <c r="O118" i="4"/>
  <c r="P118" i="4"/>
  <c r="O110" i="4"/>
  <c r="P110" i="4"/>
  <c r="O102" i="4"/>
  <c r="P102" i="4"/>
  <c r="O94" i="4"/>
  <c r="P94" i="4"/>
  <c r="O86" i="4"/>
  <c r="P86" i="4"/>
  <c r="O78" i="4"/>
  <c r="P78" i="4"/>
  <c r="O70" i="4"/>
  <c r="P70" i="4"/>
  <c r="O62" i="4"/>
  <c r="P62" i="4"/>
  <c r="O54" i="4"/>
  <c r="P54" i="4"/>
  <c r="O46" i="4"/>
  <c r="P46" i="4"/>
  <c r="O38" i="4"/>
  <c r="P38" i="4"/>
  <c r="O30" i="4"/>
  <c r="P30" i="4"/>
  <c r="O22" i="4"/>
  <c r="P22" i="4"/>
  <c r="O14" i="4"/>
  <c r="P14" i="4"/>
  <c r="O154" i="4"/>
  <c r="P154" i="4"/>
  <c r="O137" i="4"/>
  <c r="P137" i="4"/>
  <c r="O202" i="4"/>
  <c r="P202" i="4"/>
  <c r="O114" i="4"/>
  <c r="P114" i="4"/>
  <c r="O50" i="4"/>
  <c r="P50" i="4"/>
  <c r="O193" i="4"/>
  <c r="P193" i="4"/>
  <c r="O221" i="4"/>
  <c r="P221" i="4"/>
  <c r="O213" i="4"/>
  <c r="P213" i="4"/>
  <c r="O205" i="4"/>
  <c r="P205" i="4"/>
  <c r="O197" i="4"/>
  <c r="P197" i="4"/>
  <c r="O189" i="4"/>
  <c r="P189" i="4"/>
  <c r="O181" i="4"/>
  <c r="P181" i="4"/>
  <c r="O173" i="4"/>
  <c r="P173" i="4"/>
  <c r="O165" i="4"/>
  <c r="P165" i="4"/>
  <c r="O157" i="4"/>
  <c r="P157" i="4"/>
  <c r="O149" i="4"/>
  <c r="P149" i="4"/>
  <c r="O141" i="4"/>
  <c r="P141" i="4"/>
  <c r="O133" i="4"/>
  <c r="P133" i="4"/>
  <c r="O125" i="4"/>
  <c r="P125" i="4"/>
  <c r="O117" i="4"/>
  <c r="P117" i="4"/>
  <c r="O109" i="4"/>
  <c r="P109" i="4"/>
  <c r="O101" i="4"/>
  <c r="P101" i="4"/>
  <c r="O93" i="4"/>
  <c r="P93" i="4"/>
  <c r="O85" i="4"/>
  <c r="P85" i="4"/>
  <c r="O77" i="4"/>
  <c r="P77" i="4"/>
  <c r="O69" i="4"/>
  <c r="P69" i="4"/>
  <c r="O61" i="4"/>
  <c r="P61" i="4"/>
  <c r="O53" i="4"/>
  <c r="P53" i="4"/>
  <c r="O45" i="4"/>
  <c r="P45" i="4"/>
  <c r="O37" i="4"/>
  <c r="P37" i="4"/>
  <c r="O29" i="4"/>
  <c r="P29" i="4"/>
  <c r="O21" i="4"/>
  <c r="P21" i="4"/>
  <c r="O13" i="4"/>
  <c r="P13" i="4"/>
  <c r="O218" i="4"/>
  <c r="P218" i="4"/>
  <c r="O178" i="4"/>
  <c r="P178" i="4"/>
  <c r="O138" i="4"/>
  <c r="P138" i="4"/>
  <c r="O18" i="4"/>
  <c r="P18" i="4"/>
  <c r="O162" i="4"/>
  <c r="P162" i="4"/>
  <c r="O122" i="4"/>
  <c r="P122" i="4"/>
  <c r="O98" i="4"/>
  <c r="P98" i="4"/>
  <c r="O42" i="4"/>
  <c r="P42" i="4"/>
  <c r="O209" i="4"/>
  <c r="P209" i="4"/>
  <c r="O220" i="4"/>
  <c r="P220" i="4"/>
  <c r="O212" i="4"/>
  <c r="P212" i="4"/>
  <c r="O204" i="4"/>
  <c r="P204" i="4"/>
  <c r="O196" i="4"/>
  <c r="P196" i="4"/>
  <c r="O188" i="4"/>
  <c r="P188" i="4"/>
  <c r="O180" i="4"/>
  <c r="P180" i="4"/>
  <c r="O172" i="4"/>
  <c r="P172" i="4"/>
  <c r="O164" i="4"/>
  <c r="P164" i="4"/>
  <c r="O156" i="4"/>
  <c r="P156" i="4"/>
  <c r="O148" i="4"/>
  <c r="P148" i="4"/>
  <c r="O140" i="4"/>
  <c r="P140" i="4"/>
  <c r="O132" i="4"/>
  <c r="P132" i="4"/>
  <c r="O124" i="4"/>
  <c r="P124" i="4"/>
  <c r="O116" i="4"/>
  <c r="P116" i="4"/>
  <c r="O108" i="4"/>
  <c r="P108" i="4"/>
  <c r="O100" i="4"/>
  <c r="P100" i="4"/>
  <c r="O92" i="4"/>
  <c r="P92" i="4"/>
  <c r="O84" i="4"/>
  <c r="P84" i="4"/>
  <c r="O76" i="4"/>
  <c r="P76" i="4"/>
  <c r="O68" i="4"/>
  <c r="P68" i="4"/>
  <c r="O60" i="4"/>
  <c r="P60" i="4"/>
  <c r="O52" i="4"/>
  <c r="P52" i="4"/>
  <c r="O44" i="4"/>
  <c r="P44" i="4"/>
  <c r="O36" i="4"/>
  <c r="P36" i="4"/>
  <c r="O28" i="4"/>
  <c r="P28" i="4"/>
  <c r="O20" i="4"/>
  <c r="P20" i="4"/>
  <c r="O12" i="4"/>
  <c r="P12" i="4"/>
  <c r="O170" i="4"/>
  <c r="P170" i="4"/>
  <c r="O145" i="4"/>
  <c r="P145" i="4"/>
  <c r="O186" i="4"/>
  <c r="P186" i="4"/>
  <c r="O130" i="4"/>
  <c r="P130" i="4"/>
  <c r="O82" i="4"/>
  <c r="P82" i="4"/>
  <c r="O74" i="4"/>
  <c r="P74" i="4"/>
  <c r="O26" i="4"/>
  <c r="P26" i="4"/>
  <c r="O185" i="4"/>
  <c r="P185" i="4"/>
  <c r="O161" i="4"/>
  <c r="P161" i="4"/>
  <c r="O121" i="4"/>
  <c r="P121" i="4"/>
  <c r="O219" i="4"/>
  <c r="P219" i="4"/>
  <c r="O211" i="4"/>
  <c r="P211" i="4"/>
  <c r="O203" i="4"/>
  <c r="P203" i="4"/>
  <c r="O195" i="4"/>
  <c r="P195" i="4"/>
  <c r="O187" i="4"/>
  <c r="P187" i="4"/>
  <c r="O179" i="4"/>
  <c r="P179" i="4"/>
  <c r="O171" i="4"/>
  <c r="P171" i="4"/>
  <c r="O163" i="4"/>
  <c r="P163" i="4"/>
  <c r="O155" i="4"/>
  <c r="P155" i="4"/>
  <c r="O147" i="4"/>
  <c r="P147" i="4"/>
  <c r="O139" i="4"/>
  <c r="P139" i="4"/>
  <c r="O131" i="4"/>
  <c r="P131" i="4"/>
  <c r="O123" i="4"/>
  <c r="P123" i="4"/>
  <c r="O115" i="4"/>
  <c r="P115" i="4"/>
  <c r="O107" i="4"/>
  <c r="P107" i="4"/>
  <c r="O99" i="4"/>
  <c r="P99" i="4"/>
  <c r="O91" i="4"/>
  <c r="P91" i="4"/>
  <c r="O83" i="4"/>
  <c r="P83" i="4"/>
  <c r="O75" i="4"/>
  <c r="P75" i="4"/>
  <c r="O67" i="4"/>
  <c r="P67" i="4"/>
  <c r="O59" i="4"/>
  <c r="P59" i="4"/>
  <c r="O51" i="4"/>
  <c r="P51" i="4"/>
  <c r="O43" i="4"/>
  <c r="P43" i="4"/>
  <c r="O35" i="4"/>
  <c r="P35" i="4"/>
  <c r="O27" i="4"/>
  <c r="P27" i="4"/>
  <c r="O19" i="4"/>
  <c r="P19" i="4"/>
  <c r="O11" i="4"/>
  <c r="P11" i="4"/>
  <c r="O210" i="4"/>
  <c r="P210" i="4"/>
  <c r="O194" i="4"/>
  <c r="P194" i="4"/>
  <c r="O106" i="4"/>
  <c r="P106" i="4"/>
  <c r="O34" i="4"/>
  <c r="P34" i="4"/>
  <c r="O217" i="4"/>
  <c r="P217" i="4"/>
  <c r="O10" i="4"/>
  <c r="P10" i="4"/>
  <c r="O113" i="4"/>
  <c r="P113" i="4"/>
  <c r="O105" i="4"/>
  <c r="P105" i="4"/>
  <c r="O97" i="4"/>
  <c r="P97" i="4"/>
  <c r="O89" i="4"/>
  <c r="P89" i="4"/>
  <c r="O81" i="4"/>
  <c r="P81" i="4"/>
  <c r="O73" i="4"/>
  <c r="P73" i="4"/>
  <c r="O65" i="4"/>
  <c r="P65" i="4"/>
  <c r="O57" i="4"/>
  <c r="P57" i="4"/>
  <c r="O49" i="4"/>
  <c r="P49" i="4"/>
  <c r="O41" i="4"/>
  <c r="P41" i="4"/>
  <c r="O33" i="4"/>
  <c r="P33" i="4"/>
  <c r="O25" i="4"/>
  <c r="P25" i="4"/>
  <c r="O17" i="4"/>
  <c r="P17" i="4"/>
  <c r="O66" i="4"/>
  <c r="P66" i="4"/>
  <c r="O153" i="4"/>
  <c r="P153" i="4"/>
  <c r="O216" i="4"/>
  <c r="P216" i="4"/>
  <c r="O208" i="4"/>
  <c r="P208" i="4"/>
  <c r="O200" i="4"/>
  <c r="P200" i="4"/>
  <c r="O192" i="4"/>
  <c r="P192" i="4"/>
  <c r="O184" i="4"/>
  <c r="P184" i="4"/>
  <c r="O176" i="4"/>
  <c r="P176" i="4"/>
  <c r="O168" i="4"/>
  <c r="P168" i="4"/>
  <c r="O160" i="4"/>
  <c r="P160" i="4"/>
  <c r="O152" i="4"/>
  <c r="P152" i="4"/>
  <c r="O144" i="4"/>
  <c r="P144" i="4"/>
  <c r="O136" i="4"/>
  <c r="P136" i="4"/>
  <c r="O128" i="4"/>
  <c r="P128" i="4"/>
  <c r="O120" i="4"/>
  <c r="P120" i="4"/>
  <c r="O112" i="4"/>
  <c r="P112" i="4"/>
  <c r="O104" i="4"/>
  <c r="P104" i="4"/>
  <c r="O96" i="4"/>
  <c r="P96" i="4"/>
  <c r="O88" i="4"/>
  <c r="P88" i="4"/>
  <c r="O80" i="4"/>
  <c r="P80" i="4"/>
  <c r="O72" i="4"/>
  <c r="P72" i="4"/>
  <c r="O64" i="4"/>
  <c r="P64" i="4"/>
  <c r="O56" i="4"/>
  <c r="P56" i="4"/>
  <c r="O48" i="4"/>
  <c r="P48" i="4"/>
  <c r="O40" i="4"/>
  <c r="P40" i="4"/>
  <c r="O32" i="4"/>
  <c r="P32" i="4"/>
  <c r="O24" i="4"/>
  <c r="P24" i="4"/>
  <c r="O16" i="4"/>
  <c r="P16" i="4"/>
  <c r="O90" i="4"/>
  <c r="P90" i="4"/>
  <c r="O201" i="4"/>
  <c r="P201" i="4"/>
  <c r="R9" i="4"/>
  <c r="Q7" i="4"/>
  <c r="O215" i="4"/>
  <c r="P215" i="4"/>
  <c r="O207" i="4"/>
  <c r="P207" i="4"/>
  <c r="O199" i="4"/>
  <c r="P199" i="4"/>
  <c r="O191" i="4"/>
  <c r="P191" i="4"/>
  <c r="O183" i="4"/>
  <c r="P183" i="4"/>
  <c r="O175" i="4"/>
  <c r="P175" i="4"/>
  <c r="O167" i="4"/>
  <c r="P167" i="4"/>
  <c r="O159" i="4"/>
  <c r="P159" i="4"/>
  <c r="O151" i="4"/>
  <c r="P151" i="4"/>
  <c r="O143" i="4"/>
  <c r="P143" i="4"/>
  <c r="O135" i="4"/>
  <c r="P135" i="4"/>
  <c r="O127" i="4"/>
  <c r="P127" i="4"/>
  <c r="O119" i="4"/>
  <c r="P119" i="4"/>
  <c r="O111" i="4"/>
  <c r="P111" i="4"/>
  <c r="O103" i="4"/>
  <c r="P103" i="4"/>
  <c r="O95" i="4"/>
  <c r="P95" i="4"/>
  <c r="O87" i="4"/>
  <c r="P87" i="4"/>
  <c r="O79" i="4"/>
  <c r="P79" i="4"/>
  <c r="O71" i="4"/>
  <c r="P71" i="4"/>
  <c r="O63" i="4"/>
  <c r="P63" i="4"/>
  <c r="O55" i="4"/>
  <c r="P55" i="4"/>
  <c r="O47" i="4"/>
  <c r="P47" i="4"/>
  <c r="O39" i="4"/>
  <c r="P39" i="4"/>
  <c r="O31" i="4"/>
  <c r="P31" i="4"/>
  <c r="O23" i="4"/>
  <c r="P23" i="4"/>
  <c r="O15" i="4"/>
  <c r="P15" i="4"/>
  <c r="O9" i="4"/>
  <c r="E1" i="1"/>
  <c r="D46" i="1"/>
  <c r="D30" i="1"/>
  <c r="D11" i="1"/>
  <c r="D9" i="1"/>
  <c r="D78" i="1"/>
  <c r="D45" i="1"/>
  <c r="D28" i="1"/>
  <c r="D72" i="1"/>
  <c r="D52" i="1"/>
  <c r="D43" i="1"/>
  <c r="D24" i="1"/>
  <c r="D17" i="1"/>
  <c r="D23" i="1"/>
  <c r="D35" i="1"/>
  <c r="D22" i="1"/>
  <c r="D20" i="1"/>
  <c r="D61" i="1"/>
  <c r="D44" i="1"/>
  <c r="D73" i="1"/>
  <c r="D56" i="1"/>
  <c r="D21" i="1"/>
  <c r="D71" i="1"/>
  <c r="D38" i="1"/>
  <c r="D86" i="1"/>
  <c r="D53" i="1"/>
  <c r="D37" i="1"/>
  <c r="D18" i="1"/>
  <c r="D67" i="1"/>
  <c r="D50" i="1"/>
  <c r="D34" i="1"/>
  <c r="D15" i="1"/>
  <c r="D66" i="1"/>
  <c r="D49" i="1"/>
  <c r="D33" i="1"/>
  <c r="D69" i="1"/>
  <c r="D65" i="1"/>
  <c r="D48" i="1"/>
  <c r="D32" i="1"/>
  <c r="D13" i="1"/>
  <c r="D39" i="1"/>
  <c r="D68" i="1"/>
  <c r="D16" i="1"/>
  <c r="D64" i="1"/>
  <c r="D47" i="1"/>
  <c r="D31" i="1"/>
  <c r="D12" i="1"/>
  <c r="E7" i="1"/>
  <c r="M7" i="1"/>
  <c r="P7" i="1"/>
  <c r="B1" i="1"/>
  <c r="F4" i="1"/>
  <c r="F5" i="1"/>
  <c r="O42" i="1"/>
  <c r="O191" i="1"/>
  <c r="O177" i="1"/>
  <c r="O143" i="1"/>
  <c r="O192" i="1"/>
  <c r="O176" i="1"/>
  <c r="O95" i="1"/>
  <c r="O81" i="1"/>
  <c r="O79" i="1"/>
  <c r="O65" i="1"/>
  <c r="O106" i="1"/>
  <c r="O145" i="1"/>
  <c r="O144" i="1"/>
  <c r="O122" i="1"/>
  <c r="O90" i="1"/>
  <c r="O129" i="1"/>
  <c r="O209" i="1"/>
  <c r="O127" i="1"/>
  <c r="O208" i="1"/>
  <c r="O113" i="1"/>
  <c r="O10" i="1"/>
  <c r="O207" i="1"/>
  <c r="O111" i="1"/>
  <c r="O74" i="1"/>
  <c r="O26" i="1"/>
  <c r="O193" i="1"/>
  <c r="O97" i="1"/>
  <c r="O63" i="1"/>
  <c r="O161" i="1"/>
  <c r="O17" i="1"/>
  <c r="O160" i="1"/>
  <c r="O16" i="1"/>
  <c r="O175" i="1"/>
  <c r="O159" i="1"/>
  <c r="O15" i="1"/>
  <c r="O94" i="1"/>
  <c r="O109" i="1"/>
  <c r="O214" i="1"/>
  <c r="O198" i="1"/>
  <c r="O182" i="1"/>
  <c r="O166" i="1"/>
  <c r="O150" i="1"/>
  <c r="O134" i="1"/>
  <c r="O118" i="1"/>
  <c r="O102" i="1"/>
  <c r="O86" i="1"/>
  <c r="O70" i="1"/>
  <c r="O54" i="1"/>
  <c r="O38" i="1"/>
  <c r="O22" i="1"/>
  <c r="O213" i="1"/>
  <c r="O197" i="1"/>
  <c r="O181" i="1"/>
  <c r="O165" i="1"/>
  <c r="O149" i="1"/>
  <c r="O133" i="1"/>
  <c r="O117" i="1"/>
  <c r="O101" i="1"/>
  <c r="O85" i="1"/>
  <c r="O69" i="1"/>
  <c r="O53" i="1"/>
  <c r="O37" i="1"/>
  <c r="O21" i="1"/>
  <c r="O174" i="1"/>
  <c r="O126" i="1"/>
  <c r="O46" i="1"/>
  <c r="O189" i="1"/>
  <c r="O157" i="1"/>
  <c r="O125" i="1"/>
  <c r="O45" i="1"/>
  <c r="O212" i="1"/>
  <c r="O196" i="1"/>
  <c r="O180" i="1"/>
  <c r="O164" i="1"/>
  <c r="O148" i="1"/>
  <c r="O132" i="1"/>
  <c r="O116" i="1"/>
  <c r="O100" i="1"/>
  <c r="O84" i="1"/>
  <c r="O68" i="1"/>
  <c r="O52" i="1"/>
  <c r="O36" i="1"/>
  <c r="O20" i="1"/>
  <c r="O9" i="1"/>
  <c r="O211" i="1"/>
  <c r="O195" i="1"/>
  <c r="O179" i="1"/>
  <c r="O163" i="1"/>
  <c r="O147" i="1"/>
  <c r="O131" i="1"/>
  <c r="O115" i="1"/>
  <c r="O99" i="1"/>
  <c r="O83" i="1"/>
  <c r="O67" i="1"/>
  <c r="O51" i="1"/>
  <c r="O35" i="1"/>
  <c r="O19" i="1"/>
  <c r="O222" i="1"/>
  <c r="O62" i="1"/>
  <c r="O13" i="1"/>
  <c r="O210" i="1"/>
  <c r="O194" i="1"/>
  <c r="O178" i="1"/>
  <c r="O162" i="1"/>
  <c r="O146" i="1"/>
  <c r="O130" i="1"/>
  <c r="O114" i="1"/>
  <c r="O98" i="1"/>
  <c r="O82" i="1"/>
  <c r="O66" i="1"/>
  <c r="O50" i="1"/>
  <c r="O34" i="1"/>
  <c r="O18" i="1"/>
  <c r="O49" i="1"/>
  <c r="O33" i="1"/>
  <c r="O128" i="1"/>
  <c r="O112" i="1"/>
  <c r="O96" i="1"/>
  <c r="O80" i="1"/>
  <c r="O64" i="1"/>
  <c r="O48" i="1"/>
  <c r="O32" i="1"/>
  <c r="O31" i="1"/>
  <c r="O190" i="1"/>
  <c r="O142" i="1"/>
  <c r="O30" i="1"/>
  <c r="O221" i="1"/>
  <c r="O205" i="1"/>
  <c r="O173" i="1"/>
  <c r="O141" i="1"/>
  <c r="O61" i="1"/>
  <c r="O204" i="1"/>
  <c r="O124" i="1"/>
  <c r="O28" i="1"/>
  <c r="O171" i="1"/>
  <c r="O123" i="1"/>
  <c r="O75" i="1"/>
  <c r="O27" i="1"/>
  <c r="O218" i="1"/>
  <c r="O202" i="1"/>
  <c r="O186" i="1"/>
  <c r="O170" i="1"/>
  <c r="O154" i="1"/>
  <c r="O138" i="1"/>
  <c r="O58" i="1"/>
  <c r="O47" i="1"/>
  <c r="O206" i="1"/>
  <c r="O158" i="1"/>
  <c r="O14" i="1"/>
  <c r="O93" i="1"/>
  <c r="O172" i="1"/>
  <c r="O140" i="1"/>
  <c r="O108" i="1"/>
  <c r="O76" i="1"/>
  <c r="O60" i="1"/>
  <c r="O12" i="1"/>
  <c r="O219" i="1"/>
  <c r="O203" i="1"/>
  <c r="O187" i="1"/>
  <c r="O155" i="1"/>
  <c r="O139" i="1"/>
  <c r="O107" i="1"/>
  <c r="O91" i="1"/>
  <c r="O59" i="1"/>
  <c r="O11" i="1"/>
  <c r="O217" i="1"/>
  <c r="O201" i="1"/>
  <c r="O185" i="1"/>
  <c r="O169" i="1"/>
  <c r="O153" i="1"/>
  <c r="O137" i="1"/>
  <c r="O121" i="1"/>
  <c r="O105" i="1"/>
  <c r="O89" i="1"/>
  <c r="O73" i="1"/>
  <c r="O57" i="1"/>
  <c r="O41" i="1"/>
  <c r="O25" i="1"/>
  <c r="O110" i="1"/>
  <c r="O77" i="1"/>
  <c r="O220" i="1"/>
  <c r="O188" i="1"/>
  <c r="O156" i="1"/>
  <c r="O92" i="1"/>
  <c r="O44" i="1"/>
  <c r="O43" i="1"/>
  <c r="O216" i="1"/>
  <c r="O200" i="1"/>
  <c r="O184" i="1"/>
  <c r="O168" i="1"/>
  <c r="O152" i="1"/>
  <c r="O136" i="1"/>
  <c r="O120" i="1"/>
  <c r="O104" i="1"/>
  <c r="O88" i="1"/>
  <c r="O72" i="1"/>
  <c r="O56" i="1"/>
  <c r="O40" i="1"/>
  <c r="O24" i="1"/>
  <c r="O78" i="1"/>
  <c r="O29" i="1"/>
  <c r="O215" i="1"/>
  <c r="O199" i="1"/>
  <c r="O183" i="1"/>
  <c r="O167" i="1"/>
  <c r="O151" i="1"/>
  <c r="O135" i="1"/>
  <c r="O119" i="1"/>
  <c r="O103" i="1"/>
  <c r="O87" i="1"/>
  <c r="O71" i="1"/>
  <c r="O55" i="1"/>
  <c r="O39" i="1"/>
  <c r="O23" i="1"/>
  <c r="C130" i="1"/>
  <c r="C114" i="1"/>
  <c r="C98" i="1"/>
  <c r="C82" i="1"/>
  <c r="C66" i="1"/>
  <c r="C50" i="1"/>
  <c r="C34" i="1"/>
  <c r="C198" i="1"/>
  <c r="C182" i="1"/>
  <c r="C150" i="1"/>
  <c r="C102" i="1"/>
  <c r="C86" i="1"/>
  <c r="C70" i="1"/>
  <c r="C54" i="1"/>
  <c r="C38" i="1"/>
  <c r="C53" i="1"/>
  <c r="C37" i="1"/>
  <c r="C25" i="1"/>
  <c r="C122" i="1"/>
  <c r="C106" i="1"/>
  <c r="C90" i="1"/>
  <c r="C74" i="1"/>
  <c r="C58" i="1"/>
  <c r="C42" i="1"/>
  <c r="D25" i="1"/>
  <c r="C219" i="1"/>
  <c r="C203" i="1"/>
  <c r="C187" i="1"/>
  <c r="C171" i="1"/>
  <c r="C155" i="1"/>
  <c r="C139" i="1"/>
  <c r="C211" i="1"/>
  <c r="C195" i="1"/>
  <c r="C179" i="1"/>
  <c r="C163" i="1"/>
  <c r="C147" i="1"/>
  <c r="C26" i="1"/>
  <c r="C10" i="1"/>
  <c r="D122" i="1"/>
  <c r="D106" i="1"/>
  <c r="D90" i="1"/>
  <c r="D74" i="1"/>
  <c r="D58" i="1"/>
  <c r="D42" i="1"/>
  <c r="D26" i="1"/>
  <c r="D10" i="1"/>
  <c r="C101" i="1"/>
  <c r="C210" i="1"/>
  <c r="C194" i="1"/>
  <c r="C178" i="1"/>
  <c r="C162" i="1"/>
  <c r="C146" i="1"/>
  <c r="C129" i="1"/>
  <c r="C113" i="1"/>
  <c r="C97" i="1"/>
  <c r="C81" i="1"/>
  <c r="C65" i="1"/>
  <c r="C49" i="1"/>
  <c r="C33" i="1"/>
  <c r="C15" i="1"/>
  <c r="C209" i="1"/>
  <c r="C193" i="1"/>
  <c r="C177" i="1"/>
  <c r="C161" i="1"/>
  <c r="C145" i="1"/>
  <c r="C174" i="1"/>
  <c r="C46" i="1"/>
  <c r="C217" i="1"/>
  <c r="C201" i="1"/>
  <c r="C185" i="1"/>
  <c r="C169" i="1"/>
  <c r="C153" i="1"/>
  <c r="C137" i="1"/>
  <c r="C222" i="1"/>
  <c r="C190" i="1"/>
  <c r="C158" i="1"/>
  <c r="C142" i="1"/>
  <c r="C126" i="1"/>
  <c r="C110" i="1"/>
  <c r="C78" i="1"/>
  <c r="C62" i="1"/>
  <c r="C30" i="1"/>
  <c r="C206" i="1"/>
  <c r="C94" i="1"/>
  <c r="C213" i="1"/>
  <c r="C84" i="1"/>
  <c r="C68" i="1"/>
  <c r="C52" i="1"/>
  <c r="C36" i="1"/>
  <c r="C212" i="1"/>
  <c r="C196" i="1"/>
  <c r="C180" i="1"/>
  <c r="C164" i="1"/>
  <c r="C148" i="1"/>
  <c r="C131" i="1"/>
  <c r="C115" i="1"/>
  <c r="C99" i="1"/>
  <c r="C83" i="1"/>
  <c r="C67" i="1"/>
  <c r="C51" i="1"/>
  <c r="C35" i="1"/>
  <c r="C17" i="1"/>
  <c r="C149" i="1"/>
  <c r="C221" i="1"/>
  <c r="C205" i="1"/>
  <c r="C189" i="1"/>
  <c r="C173" i="1"/>
  <c r="C157" i="1"/>
  <c r="C141" i="1"/>
  <c r="C220" i="1"/>
  <c r="C204" i="1"/>
  <c r="C188" i="1"/>
  <c r="C172" i="1"/>
  <c r="C156" i="1"/>
  <c r="C140" i="1"/>
  <c r="C123" i="1"/>
  <c r="C107" i="1"/>
  <c r="C91" i="1"/>
  <c r="C75" i="1"/>
  <c r="C59" i="1"/>
  <c r="C43" i="1"/>
  <c r="C120" i="1"/>
  <c r="C104" i="1"/>
  <c r="C88" i="1"/>
  <c r="C72" i="1"/>
  <c r="C56" i="1"/>
  <c r="C22" i="1"/>
  <c r="C165" i="1"/>
  <c r="C152" i="1"/>
  <c r="C136" i="1"/>
  <c r="C21" i="1"/>
  <c r="C118" i="1"/>
  <c r="C20" i="1"/>
  <c r="C181" i="1"/>
  <c r="C24" i="1"/>
  <c r="C40" i="1"/>
  <c r="C214" i="1"/>
  <c r="C166" i="1"/>
  <c r="C134" i="1"/>
  <c r="C117" i="1"/>
  <c r="C85" i="1"/>
  <c r="C69" i="1"/>
  <c r="C19" i="1"/>
  <c r="C14" i="1"/>
  <c r="C132" i="1"/>
  <c r="C116" i="1"/>
  <c r="C100" i="1"/>
  <c r="C197" i="1"/>
  <c r="C13" i="1"/>
  <c r="C125" i="1"/>
  <c r="C109" i="1"/>
  <c r="C93" i="1"/>
  <c r="C77" i="1"/>
  <c r="C61" i="1"/>
  <c r="C45" i="1"/>
  <c r="C28" i="1"/>
  <c r="C11" i="1"/>
  <c r="C127" i="1"/>
  <c r="C111" i="1"/>
  <c r="C95" i="1"/>
  <c r="C79" i="1"/>
  <c r="C63" i="1"/>
  <c r="C47" i="1"/>
  <c r="C31" i="1"/>
  <c r="B7" i="1"/>
  <c r="C207" i="1"/>
  <c r="C191" i="1"/>
  <c r="C175" i="1"/>
  <c r="C159" i="1"/>
  <c r="C143" i="1"/>
  <c r="C12" i="1"/>
  <c r="C124" i="1"/>
  <c r="C108" i="1"/>
  <c r="C92" i="1"/>
  <c r="C76" i="1"/>
  <c r="C60" i="1"/>
  <c r="C44" i="1"/>
  <c r="C208" i="1"/>
  <c r="C192" i="1"/>
  <c r="C176" i="1"/>
  <c r="C160" i="1"/>
  <c r="C144" i="1"/>
  <c r="C128" i="1"/>
  <c r="C112" i="1"/>
  <c r="C96" i="1"/>
  <c r="C80" i="1"/>
  <c r="C64" i="1"/>
  <c r="C48" i="1"/>
  <c r="C32" i="1"/>
  <c r="C16" i="1"/>
  <c r="C121" i="1"/>
  <c r="C105" i="1"/>
  <c r="C89" i="1"/>
  <c r="C73" i="1"/>
  <c r="C57" i="1"/>
  <c r="C41" i="1"/>
  <c r="C23" i="1"/>
  <c r="C119" i="1"/>
  <c r="C103" i="1"/>
  <c r="C87" i="1"/>
  <c r="C71" i="1"/>
  <c r="C55" i="1"/>
  <c r="C39" i="1"/>
  <c r="C215" i="1"/>
  <c r="C199" i="1"/>
  <c r="C183" i="1"/>
  <c r="C167" i="1"/>
  <c r="C151" i="1"/>
  <c r="C135" i="1"/>
  <c r="C218" i="1"/>
  <c r="C202" i="1"/>
  <c r="C186" i="1"/>
  <c r="C170" i="1"/>
  <c r="C154" i="1"/>
  <c r="C138" i="1"/>
  <c r="C18" i="1"/>
  <c r="C216" i="1"/>
  <c r="C200" i="1"/>
  <c r="C184" i="1"/>
  <c r="C168" i="1"/>
  <c r="C9" i="1"/>
  <c r="AX5" i="1"/>
  <c r="AW6" i="1"/>
  <c r="N2" i="1"/>
  <c r="AE6" i="1"/>
  <c r="U6" i="1"/>
  <c r="AK6" i="1"/>
  <c r="AI6" i="1"/>
  <c r="BH5" i="1"/>
  <c r="AF6" i="1"/>
  <c r="AE5" i="1"/>
  <c r="AU5" i="1"/>
  <c r="BK5" i="1"/>
  <c r="AH6" i="1"/>
  <c r="AX6" i="1"/>
  <c r="AY6" i="1"/>
  <c r="AF5" i="1"/>
  <c r="AV5" i="1"/>
  <c r="S6" i="1"/>
  <c r="R6" i="1"/>
  <c r="AG5" i="1"/>
  <c r="AW5" i="1"/>
  <c r="T6" i="1"/>
  <c r="AJ6" i="1"/>
  <c r="AZ6" i="1"/>
  <c r="BA6" i="1"/>
  <c r="R5" i="1"/>
  <c r="AH5" i="1"/>
  <c r="S5" i="1"/>
  <c r="AI5" i="1"/>
  <c r="AY5" i="1"/>
  <c r="V6" i="1"/>
  <c r="AL6" i="1"/>
  <c r="BB6" i="1"/>
  <c r="T5" i="1"/>
  <c r="AJ5" i="1"/>
  <c r="AZ5" i="1"/>
  <c r="W6" i="1"/>
  <c r="AM6" i="1"/>
  <c r="BC6" i="1"/>
  <c r="AN6" i="1"/>
  <c r="BD6" i="1"/>
  <c r="U5" i="1"/>
  <c r="AK5" i="1"/>
  <c r="BA5" i="1"/>
  <c r="X6" i="1"/>
  <c r="V5" i="1"/>
  <c r="AL5" i="1"/>
  <c r="BB5" i="1"/>
  <c r="Y6" i="1"/>
  <c r="AO6" i="1"/>
  <c r="BE6" i="1"/>
  <c r="W5" i="1"/>
  <c r="AM5" i="1"/>
  <c r="BC5" i="1"/>
  <c r="Z6" i="1"/>
  <c r="AP6" i="1"/>
  <c r="BF6" i="1"/>
  <c r="X5" i="1"/>
  <c r="AN5" i="1"/>
  <c r="BD5" i="1"/>
  <c r="AA6" i="1"/>
  <c r="AQ6" i="1"/>
  <c r="BG6" i="1"/>
  <c r="Y5" i="1"/>
  <c r="AO5" i="1"/>
  <c r="BE5" i="1"/>
  <c r="AB6" i="1"/>
  <c r="AR6" i="1"/>
  <c r="BH6" i="1"/>
  <c r="Z5" i="1"/>
  <c r="AP5" i="1"/>
  <c r="BF5" i="1"/>
  <c r="AC6" i="1"/>
  <c r="AS6" i="1"/>
  <c r="BI6" i="1"/>
  <c r="AA5" i="1"/>
  <c r="AQ5" i="1"/>
  <c r="BG5" i="1"/>
  <c r="AD6" i="1"/>
  <c r="AT6" i="1"/>
  <c r="BJ6" i="1"/>
  <c r="AB5" i="1"/>
  <c r="AU6" i="1"/>
  <c r="BK6" i="1"/>
  <c r="AS5" i="1"/>
  <c r="M2" i="1"/>
  <c r="AR5" i="1"/>
  <c r="AC5" i="1"/>
  <c r="BI5" i="1"/>
  <c r="AV6" i="1"/>
  <c r="AD5" i="1"/>
  <c r="AT5" i="1"/>
  <c r="BJ5" i="1"/>
  <c r="AG6" i="1"/>
  <c r="W5" i="5"/>
  <c r="AR5" i="5"/>
  <c r="BB5" i="5"/>
  <c r="AA5" i="6" l="1"/>
  <c r="AQ5" i="6"/>
  <c r="BG5" i="6"/>
  <c r="AB5" i="6"/>
  <c r="AZ5" i="6"/>
  <c r="AR5" i="6"/>
  <c r="V5" i="6"/>
  <c r="AG5" i="6"/>
  <c r="AC5" i="6"/>
  <c r="AF5" i="5"/>
  <c r="U5" i="5"/>
  <c r="AU5" i="5"/>
  <c r="AP5" i="5"/>
  <c r="AY5" i="5"/>
  <c r="AB5" i="5"/>
  <c r="AZ5" i="5"/>
  <c r="AM5" i="5"/>
  <c r="BK5" i="5"/>
  <c r="AE5" i="5"/>
  <c r="Z5" i="5"/>
  <c r="BM5" i="5"/>
  <c r="BL5" i="5"/>
  <c r="BG5" i="5"/>
  <c r="AL5" i="5"/>
  <c r="BF5" i="5"/>
  <c r="BJ5" i="5"/>
  <c r="BC5" i="5"/>
  <c r="AQ5" i="5"/>
  <c r="AJ5" i="5"/>
  <c r="AD5" i="5"/>
  <c r="BE5" i="5"/>
  <c r="AC5" i="5"/>
  <c r="AI5" i="5"/>
  <c r="AT5" i="5"/>
  <c r="AX5" i="5"/>
  <c r="BI5" i="5"/>
  <c r="AO5" i="5"/>
  <c r="AV5" i="5"/>
  <c r="V5" i="5"/>
  <c r="AH5" i="5"/>
  <c r="Y5" i="5"/>
  <c r="AW5" i="5"/>
  <c r="BD5" i="5"/>
  <c r="T5" i="5"/>
  <c r="AA5" i="5"/>
  <c r="AS5" i="5"/>
  <c r="AK5" i="5"/>
  <c r="AG5" i="5"/>
  <c r="BH5" i="5"/>
  <c r="AN5" i="5"/>
  <c r="X5" i="5"/>
  <c r="AS5" i="6"/>
  <c r="BI5" i="6"/>
  <c r="AF5" i="6"/>
  <c r="Y5" i="6"/>
  <c r="AD5" i="6"/>
  <c r="AO5" i="6"/>
  <c r="AT5" i="6"/>
  <c r="BE5" i="6"/>
  <c r="BJ5" i="6"/>
  <c r="Z5" i="6"/>
  <c r="AW5" i="6"/>
  <c r="AP5" i="6"/>
  <c r="AE5" i="6"/>
  <c r="BF5" i="6"/>
  <c r="AU5" i="6"/>
  <c r="AA6" i="5"/>
  <c r="M3" i="5"/>
  <c r="AQ6" i="5"/>
  <c r="M2" i="5"/>
  <c r="M2" i="4"/>
  <c r="M3" i="4"/>
  <c r="S5" i="4"/>
  <c r="N2" i="4"/>
  <c r="AW6" i="6"/>
  <c r="T6" i="6"/>
  <c r="W6" i="6"/>
  <c r="S6" i="6"/>
  <c r="Y6" i="6"/>
  <c r="AZ6" i="6"/>
  <c r="BK6" i="6"/>
  <c r="BJ6" i="6"/>
  <c r="AS6" i="6"/>
  <c r="AP6" i="6"/>
  <c r="AO6" i="6"/>
  <c r="AH6" i="6"/>
  <c r="AJ6" i="6"/>
  <c r="BD6" i="6"/>
  <c r="AG6" i="6"/>
  <c r="BC6" i="6"/>
  <c r="AC6" i="6"/>
  <c r="AI6" i="6"/>
  <c r="AV6" i="6"/>
  <c r="BH6" i="6"/>
  <c r="X6" i="6"/>
  <c r="AF6" i="6"/>
  <c r="AR6" i="6"/>
  <c r="BB6" i="6"/>
  <c r="AB6" i="6"/>
  <c r="AL6" i="6"/>
  <c r="AU6" i="6"/>
  <c r="BG6" i="6"/>
  <c r="V6" i="6"/>
  <c r="AE6" i="6"/>
  <c r="AQ6" i="6"/>
  <c r="BA6" i="6"/>
  <c r="AX6" i="6"/>
  <c r="R6" i="6"/>
  <c r="AA6" i="6"/>
  <c r="AK6" i="6"/>
  <c r="AY6" i="6"/>
  <c r="BF6" i="6"/>
  <c r="U6" i="6"/>
  <c r="AT6" i="6"/>
  <c r="Z6" i="6"/>
  <c r="AD6" i="6"/>
  <c r="M3" i="6"/>
  <c r="F5" i="6"/>
  <c r="N2" i="6"/>
  <c r="F4" i="6"/>
  <c r="AE6" i="5"/>
  <c r="BE6" i="5"/>
  <c r="AJ6" i="5"/>
  <c r="AU6" i="5"/>
  <c r="U6" i="5"/>
  <c r="BM6" i="5"/>
  <c r="AR6" i="5"/>
  <c r="AP6" i="5"/>
  <c r="AL6" i="5"/>
  <c r="S6" i="5"/>
  <c r="AG6" i="5"/>
  <c r="AT6" i="5"/>
  <c r="BC6" i="5"/>
  <c r="AI6" i="5"/>
  <c r="AK6" i="5"/>
  <c r="Z6" i="5"/>
  <c r="BB6" i="5"/>
  <c r="BH6" i="5"/>
  <c r="BJ6" i="5"/>
  <c r="AD6" i="5"/>
  <c r="BL6" i="5"/>
  <c r="Y6" i="5"/>
  <c r="AM6" i="5"/>
  <c r="T6" i="5"/>
  <c r="AW6" i="5"/>
  <c r="AO6" i="5"/>
  <c r="BI6" i="5"/>
  <c r="BD6" i="5"/>
  <c r="X6" i="5"/>
  <c r="V6" i="5"/>
  <c r="BK6" i="5"/>
  <c r="AB6" i="5"/>
  <c r="W6" i="5"/>
  <c r="AV6" i="5"/>
  <c r="AX6" i="5"/>
  <c r="AF6" i="5"/>
  <c r="AS6" i="5"/>
  <c r="BF6" i="5"/>
  <c r="BA6" i="5"/>
  <c r="AH6" i="5"/>
  <c r="AC6" i="5"/>
  <c r="BG6" i="5"/>
  <c r="AZ6" i="5"/>
  <c r="AN6" i="5"/>
  <c r="AY6" i="5"/>
  <c r="F4" i="5"/>
  <c r="S5" i="5"/>
  <c r="N2" i="5"/>
  <c r="F5" i="5"/>
  <c r="AR5" i="4"/>
  <c r="Z5" i="4"/>
  <c r="BH5" i="4"/>
  <c r="AP5" i="4"/>
  <c r="BG5" i="4"/>
  <c r="W5" i="4"/>
  <c r="AG5" i="4"/>
  <c r="BB5" i="4"/>
  <c r="AL5" i="4"/>
  <c r="V5" i="4"/>
  <c r="AD5" i="4"/>
  <c r="BC5" i="4"/>
  <c r="AS5" i="4"/>
  <c r="AM5" i="4"/>
  <c r="AQ5" i="4"/>
  <c r="AH5" i="4"/>
  <c r="AU5" i="4"/>
  <c r="AA5" i="4"/>
  <c r="BA5" i="4"/>
  <c r="AE5" i="4"/>
  <c r="BE5" i="4"/>
  <c r="AK5" i="4"/>
  <c r="U5" i="4"/>
  <c r="BI5" i="4"/>
  <c r="AC5" i="4"/>
  <c r="Y5" i="4"/>
  <c r="AZ5" i="4"/>
  <c r="AO5" i="4"/>
  <c r="AB5" i="4"/>
  <c r="BD5" i="4"/>
  <c r="AJ5" i="4"/>
  <c r="BF5" i="4"/>
  <c r="AN5" i="4"/>
  <c r="T5" i="4"/>
  <c r="BJ5" i="4"/>
  <c r="X5" i="4"/>
  <c r="AX5" i="4"/>
  <c r="AT5" i="4"/>
  <c r="AW5" i="4"/>
  <c r="BH6" i="4"/>
  <c r="AX6" i="4"/>
  <c r="AI5" i="4"/>
  <c r="BE6" i="4"/>
  <c r="AO6" i="4"/>
  <c r="S6" i="4"/>
  <c r="AM6" i="4"/>
  <c r="AY5" i="4"/>
  <c r="BI6" i="4"/>
  <c r="BK5" i="4"/>
  <c r="AV5" i="4"/>
  <c r="BL5" i="4"/>
  <c r="AF6" i="4"/>
  <c r="AF5" i="4"/>
  <c r="W6" i="4"/>
  <c r="F5" i="4"/>
  <c r="BL6" i="4"/>
  <c r="AR6" i="4"/>
  <c r="U6" i="4"/>
  <c r="AH6" i="4"/>
  <c r="Y6" i="4"/>
  <c r="BG6" i="4"/>
  <c r="AQ6" i="4"/>
  <c r="BB6" i="4"/>
  <c r="AK6" i="4"/>
  <c r="AV6" i="4"/>
  <c r="AA6" i="4"/>
  <c r="AL6" i="4"/>
  <c r="AZ6" i="4"/>
  <c r="AJ6" i="4"/>
  <c r="BC6" i="4"/>
  <c r="BJ6" i="4"/>
  <c r="V6" i="4"/>
  <c r="AB6" i="4"/>
  <c r="AT6" i="4"/>
  <c r="AS6" i="4"/>
  <c r="AD6" i="4"/>
  <c r="BD6" i="4"/>
  <c r="AU6" i="4"/>
  <c r="AN6" i="4"/>
  <c r="AE6" i="4"/>
  <c r="BF6" i="4"/>
  <c r="X6" i="4"/>
  <c r="AY6" i="4"/>
  <c r="AI6" i="4"/>
  <c r="BA6" i="4"/>
  <c r="AW6" i="4"/>
  <c r="AG6" i="4"/>
  <c r="AP6" i="4"/>
  <c r="F4" i="4"/>
  <c r="T6" i="4"/>
  <c r="AC6" i="4"/>
  <c r="Z6" i="4"/>
  <c r="BK6" i="4"/>
  <c r="BK4" i="1"/>
  <c r="AU4" i="1"/>
  <c r="AE4" i="1"/>
  <c r="BJ4" i="1"/>
  <c r="AT4" i="1"/>
  <c r="AD4" i="1"/>
  <c r="AC4" i="1"/>
  <c r="X4" i="1"/>
  <c r="AX4" i="1"/>
  <c r="AF4" i="1"/>
  <c r="BI4" i="1"/>
  <c r="AS4" i="1"/>
  <c r="BH4" i="1"/>
  <c r="AR4" i="1"/>
  <c r="AB4" i="1"/>
  <c r="BG4" i="1"/>
  <c r="AQ4" i="1"/>
  <c r="Z4" i="1"/>
  <c r="BE4" i="1"/>
  <c r="AO4" i="1"/>
  <c r="Y4" i="1"/>
  <c r="S4" i="1"/>
  <c r="AH4" i="1"/>
  <c r="AA4" i="1"/>
  <c r="BF4" i="1"/>
  <c r="AP4" i="1"/>
  <c r="BD4" i="1"/>
  <c r="AN4" i="1"/>
  <c r="BC4" i="1"/>
  <c r="AM4" i="1"/>
  <c r="W4" i="1"/>
  <c r="BB4" i="1"/>
  <c r="AL4" i="1"/>
  <c r="U4" i="1"/>
  <c r="T4" i="1"/>
  <c r="AY4" i="1"/>
  <c r="AI4" i="1"/>
  <c r="R4" i="1"/>
  <c r="AV4" i="1"/>
  <c r="V4" i="1"/>
  <c r="BA4" i="1"/>
  <c r="AK4" i="1"/>
  <c r="AZ4" i="1"/>
  <c r="AJ4" i="1"/>
  <c r="AW4" i="1"/>
  <c r="AG4" i="1"/>
  <c r="F3" i="1"/>
  <c r="O3" i="1"/>
  <c r="M3" i="1"/>
  <c r="L3" i="1"/>
</calcChain>
</file>

<file path=xl/sharedStrings.xml><?xml version="1.0" encoding="utf-8"?>
<sst xmlns="http://schemas.openxmlformats.org/spreadsheetml/2006/main" count="5419" uniqueCount="759">
  <si>
    <t>tickers</t>
  </si>
  <si>
    <t>exp_ret_score_raw</t>
  </si>
  <si>
    <t>exp_ret_score</t>
  </si>
  <si>
    <t>sectors_c2</t>
  </si>
  <si>
    <t>weights</t>
  </si>
  <si>
    <t>act_weights</t>
  </si>
  <si>
    <t>ew</t>
  </si>
  <si>
    <t>sw_mom</t>
  </si>
  <si>
    <t>sw_val</t>
  </si>
  <si>
    <t>sw_lt_perf</t>
  </si>
  <si>
    <t>sw_overall</t>
  </si>
  <si>
    <t>rp_cc</t>
  </si>
  <si>
    <t>hrp_cc</t>
  </si>
  <si>
    <t>mvo_overall_cc_con</t>
  </si>
  <si>
    <t>ols</t>
  </si>
  <si>
    <t>glmnet_bayes</t>
  </si>
  <si>
    <t>rf_bayes</t>
  </si>
  <si>
    <t>xgb_bayes</t>
  </si>
  <si>
    <t>nn1_bayes</t>
  </si>
  <si>
    <t>qv</t>
  </si>
  <si>
    <t>garp</t>
  </si>
  <si>
    <t>vm</t>
  </si>
  <si>
    <t>sv</t>
  </si>
  <si>
    <t>sm</t>
  </si>
  <si>
    <t>smcj</t>
  </si>
  <si>
    <t>fac_inc_cs_value</t>
  </si>
  <si>
    <t>fac_payout_yield</t>
  </si>
  <si>
    <t>fac_bs_cs_value</t>
  </si>
  <si>
    <t>fac_ts_value</t>
  </si>
  <si>
    <t>fac_interm_momentum</t>
  </si>
  <si>
    <t>fac_st_momentum</t>
  </si>
  <si>
    <t>fac_lt_profit_growth</t>
  </si>
  <si>
    <t>fac_st_profit_growth</t>
  </si>
  <si>
    <t>fac_surprise</t>
  </si>
  <si>
    <t>fac_bs_profitability</t>
  </si>
  <si>
    <t>fac_profit_margins</t>
  </si>
  <si>
    <t>fac_quality</t>
  </si>
  <si>
    <t>fac_mkt_risk</t>
  </si>
  <si>
    <t>fac_leverage</t>
  </si>
  <si>
    <t>fac_profit_vol</t>
  </si>
  <si>
    <t>fac_seasonality</t>
  </si>
  <si>
    <t>fac_short_interest</t>
  </si>
  <si>
    <t>fac_acc_growth</t>
  </si>
  <si>
    <t>fac_accruals</t>
  </si>
  <si>
    <t>fac_issuance</t>
  </si>
  <si>
    <t>fac_st_reversal</t>
  </si>
  <si>
    <t>fac_skewness</t>
  </si>
  <si>
    <t>fac_max</t>
  </si>
  <si>
    <t>fac_lt_reversal</t>
  </si>
  <si>
    <t>fac_macro</t>
  </si>
  <si>
    <t>fac_liquidity</t>
  </si>
  <si>
    <t>fac_size</t>
  </si>
  <si>
    <t>WIZC3</t>
  </si>
  <si>
    <t>defensives</t>
  </si>
  <si>
    <t>FIQE3</t>
  </si>
  <si>
    <t>bond_proxies</t>
  </si>
  <si>
    <t>SAPR4</t>
  </si>
  <si>
    <t>pro_cyclicals</t>
  </si>
  <si>
    <t>GRND3</t>
  </si>
  <si>
    <t>ALLD3</t>
  </si>
  <si>
    <t>RIAA3</t>
  </si>
  <si>
    <t>LAVV3</t>
  </si>
  <si>
    <t>SAPR11</t>
  </si>
  <si>
    <t>VULC3</t>
  </si>
  <si>
    <t>SAPR3</t>
  </si>
  <si>
    <t>MELK3</t>
  </si>
  <si>
    <t>SYNE3</t>
  </si>
  <si>
    <t>POMO3</t>
  </si>
  <si>
    <t>industrials</t>
  </si>
  <si>
    <t>BMGB4</t>
  </si>
  <si>
    <t>BRAP3</t>
  </si>
  <si>
    <t>commodities</t>
  </si>
  <si>
    <t>ALPA4</t>
  </si>
  <si>
    <t>BRSR6</t>
  </si>
  <si>
    <t>PFRM3</t>
  </si>
  <si>
    <t>HBRE3</t>
  </si>
  <si>
    <t>TRIS3</t>
  </si>
  <si>
    <t>CSED3</t>
  </si>
  <si>
    <t>TGMA3</t>
  </si>
  <si>
    <t>LEVE3</t>
  </si>
  <si>
    <t>VLID3</t>
  </si>
  <si>
    <t>TIMS3</t>
  </si>
  <si>
    <t>BRAP4</t>
  </si>
  <si>
    <t>ABEV3</t>
  </si>
  <si>
    <t>PINE4</t>
  </si>
  <si>
    <t>VTRU3</t>
  </si>
  <si>
    <t>MTRE3</t>
  </si>
  <si>
    <t>LOGG3</t>
  </si>
  <si>
    <t>RANI3</t>
  </si>
  <si>
    <t>DEXP3</t>
  </si>
  <si>
    <t>POMO4</t>
  </si>
  <si>
    <t>JHSF3</t>
  </si>
  <si>
    <t>BMOB3</t>
  </si>
  <si>
    <t>ALOS3</t>
  </si>
  <si>
    <t>IGTI11</t>
  </si>
  <si>
    <t>BBSE3</t>
  </si>
  <si>
    <t>CURY3</t>
  </si>
  <si>
    <t>ABCB4</t>
  </si>
  <si>
    <t>UNIP6</t>
  </si>
  <si>
    <t>EVEN3</t>
  </si>
  <si>
    <t>SHUL4</t>
  </si>
  <si>
    <t>OPCT3</t>
  </si>
  <si>
    <t>COGN3</t>
  </si>
  <si>
    <t>ODPV3</t>
  </si>
  <si>
    <t>TAEE4</t>
  </si>
  <si>
    <t>JSLG3</t>
  </si>
  <si>
    <t>POSI3</t>
  </si>
  <si>
    <t>CXSE3</t>
  </si>
  <si>
    <t>TAEE3</t>
  </si>
  <si>
    <t>ITSA3</t>
  </si>
  <si>
    <t>ITUB3</t>
  </si>
  <si>
    <t>CAML3</t>
  </si>
  <si>
    <t>CSMG3</t>
  </si>
  <si>
    <t>BBDC3</t>
  </si>
  <si>
    <t>ALUP11</t>
  </si>
  <si>
    <t>NEOE3</t>
  </si>
  <si>
    <t>PNVL3</t>
  </si>
  <si>
    <t>CPFE3</t>
  </si>
  <si>
    <t>MDNE3</t>
  </si>
  <si>
    <t>EZTC3</t>
  </si>
  <si>
    <t>GOAU4</t>
  </si>
  <si>
    <t>ITSA4</t>
  </si>
  <si>
    <t>BRBI11</t>
  </si>
  <si>
    <t>VIVT3</t>
  </si>
  <si>
    <t>TAEE11</t>
  </si>
  <si>
    <t>MULT3</t>
  </si>
  <si>
    <t>MLAS3</t>
  </si>
  <si>
    <t>PSSA3</t>
  </si>
  <si>
    <t>TASA4</t>
  </si>
  <si>
    <t>HBOR3</t>
  </si>
  <si>
    <t>AURA33</t>
  </si>
  <si>
    <t>RECV3</t>
  </si>
  <si>
    <t>PGMN3</t>
  </si>
  <si>
    <t>ROMI3</t>
  </si>
  <si>
    <t>BBDC4</t>
  </si>
  <si>
    <t>ITUB4</t>
  </si>
  <si>
    <t>PETR4</t>
  </si>
  <si>
    <t>SEER3</t>
  </si>
  <si>
    <t>FESA4</t>
  </si>
  <si>
    <t>CMIN3</t>
  </si>
  <si>
    <t>MBRF3</t>
  </si>
  <si>
    <t>YDUQ3</t>
  </si>
  <si>
    <t>MDIA3</t>
  </si>
  <si>
    <t>FLRY3</t>
  </si>
  <si>
    <t>ISAE4</t>
  </si>
  <si>
    <t>BMEB4</t>
  </si>
  <si>
    <t>PETR3</t>
  </si>
  <si>
    <t>LREN3</t>
  </si>
  <si>
    <t>KEPL3</t>
  </si>
  <si>
    <t>QUAL3</t>
  </si>
  <si>
    <t>BLAU3</t>
  </si>
  <si>
    <t>DIRR3</t>
  </si>
  <si>
    <t>TEND3</t>
  </si>
  <si>
    <t>UGPA3</t>
  </si>
  <si>
    <t>CMIG4</t>
  </si>
  <si>
    <t>LIGT3</t>
  </si>
  <si>
    <t>ECOR3</t>
  </si>
  <si>
    <t>MGLU3</t>
  </si>
  <si>
    <t>SLCE3</t>
  </si>
  <si>
    <t>KLBN4</t>
  </si>
  <si>
    <t>PAGS34</t>
  </si>
  <si>
    <t>SANB3</t>
  </si>
  <si>
    <t>SANB4</t>
  </si>
  <si>
    <t>MILS3</t>
  </si>
  <si>
    <t>MYPK3</t>
  </si>
  <si>
    <t>USIM3</t>
  </si>
  <si>
    <t>CMIG3</t>
  </si>
  <si>
    <t>INTB3</t>
  </si>
  <si>
    <t>WEGE3</t>
  </si>
  <si>
    <t>CYRE4</t>
  </si>
  <si>
    <t>SBFG3</t>
  </si>
  <si>
    <t>SANB11</t>
  </si>
  <si>
    <t>KLBN11</t>
  </si>
  <si>
    <t>EGIE3</t>
  </si>
  <si>
    <t>AMOB3</t>
  </si>
  <si>
    <t>PCAR3</t>
  </si>
  <si>
    <t>CEAB3</t>
  </si>
  <si>
    <t>KLBN3</t>
  </si>
  <si>
    <t>RADL3</t>
  </si>
  <si>
    <t>USIM5</t>
  </si>
  <si>
    <t>TFCO4</t>
  </si>
  <si>
    <t>EMBJ3</t>
  </si>
  <si>
    <t>VALE3</t>
  </si>
  <si>
    <t>GGPS3</t>
  </si>
  <si>
    <t>B3SA3</t>
  </si>
  <si>
    <t>CPLE3</t>
  </si>
  <si>
    <t>GGBR4</t>
  </si>
  <si>
    <t>GMAT3</t>
  </si>
  <si>
    <t>AXIA6</t>
  </si>
  <si>
    <t>FRAS3</t>
  </si>
  <si>
    <t>ARML3</t>
  </si>
  <si>
    <t>AGRO3</t>
  </si>
  <si>
    <t>BBAS3</t>
  </si>
  <si>
    <t>ENGI11</t>
  </si>
  <si>
    <t>CYRE3</t>
  </si>
  <si>
    <t>ROXO34</t>
  </si>
  <si>
    <t>ANIM3</t>
  </si>
  <si>
    <t>RDOR3</t>
  </si>
  <si>
    <t>CVCB3</t>
  </si>
  <si>
    <t>ORVR3</t>
  </si>
  <si>
    <t>MOTV3</t>
  </si>
  <si>
    <t>JALL3</t>
  </si>
  <si>
    <t>HBSA3</t>
  </si>
  <si>
    <t>HYPE3</t>
  </si>
  <si>
    <t>SBSP3</t>
  </si>
  <si>
    <t>VBBR3</t>
  </si>
  <si>
    <t>XPBR31</t>
  </si>
  <si>
    <t>DASA3</t>
  </si>
  <si>
    <t>MOVI3</t>
  </si>
  <si>
    <t>AXIA7</t>
  </si>
  <si>
    <t>AXIA3</t>
  </si>
  <si>
    <t>BPAC11</t>
  </si>
  <si>
    <t>PLPL3</t>
  </si>
  <si>
    <t>TOTS3</t>
  </si>
  <si>
    <t>IRBR3</t>
  </si>
  <si>
    <t>DESK3</t>
  </si>
  <si>
    <t>CBAV3</t>
  </si>
  <si>
    <t>RENT4</t>
  </si>
  <si>
    <t>EQTL3</t>
  </si>
  <si>
    <t>INBR32</t>
  </si>
  <si>
    <t>RENT3</t>
  </si>
  <si>
    <t>SMFT3</t>
  </si>
  <si>
    <t>SUZB3</t>
  </si>
  <si>
    <t>PRNR3</t>
  </si>
  <si>
    <t>SOJA3</t>
  </si>
  <si>
    <t>BEEF3</t>
  </si>
  <si>
    <t>ENEV3</t>
  </si>
  <si>
    <t>JBSS32</t>
  </si>
  <si>
    <t>AUAU3</t>
  </si>
  <si>
    <t>SMTO3</t>
  </si>
  <si>
    <t>CSNA3</t>
  </si>
  <si>
    <t>TTEN3</t>
  </si>
  <si>
    <t>AZZA3</t>
  </si>
  <si>
    <t>BRAV3</t>
  </si>
  <si>
    <t>AURE3</t>
  </si>
  <si>
    <t>VIVA3</t>
  </si>
  <si>
    <t>DXCO3</t>
  </si>
  <si>
    <t>VVEO3</t>
  </si>
  <si>
    <t>TUPY3</t>
  </si>
  <si>
    <t>CASH3</t>
  </si>
  <si>
    <t>PRIO3</t>
  </si>
  <si>
    <t>RAIL3</t>
  </si>
  <si>
    <t>BHIA3</t>
  </si>
  <si>
    <t>HAPV3</t>
  </si>
  <si>
    <t>AMER3</t>
  </si>
  <si>
    <t>SIMH3</t>
  </si>
  <si>
    <t>NATU3</t>
  </si>
  <si>
    <t>STOC34</t>
  </si>
  <si>
    <t>MRVE3</t>
  </si>
  <si>
    <t>S2GM34</t>
  </si>
  <si>
    <t>LWSA3</t>
  </si>
  <si>
    <t>AMBP3</t>
  </si>
  <si>
    <t>ASAI3</t>
  </si>
  <si>
    <t>RAPT4</t>
  </si>
  <si>
    <t>CSAN3</t>
  </si>
  <si>
    <t>OBTC3</t>
  </si>
  <si>
    <t>PTBL3</t>
  </si>
  <si>
    <t>VAMO3</t>
  </si>
  <si>
    <t>LJQQ3</t>
  </si>
  <si>
    <t>GFSA3</t>
  </si>
  <si>
    <t>RAIZ4</t>
  </si>
  <si>
    <t>BRKM5</t>
  </si>
  <si>
    <t>AERI3</t>
  </si>
  <si>
    <t>RCSL4</t>
  </si>
  <si>
    <t>AZEV4</t>
  </si>
  <si>
    <t>RCSL3</t>
  </si>
  <si>
    <t>AZUL53</t>
  </si>
  <si>
    <t>ONCO3</t>
  </si>
  <si>
    <t>PMAM3</t>
  </si>
  <si>
    <t>Modelos</t>
  </si>
  <si>
    <t>Interações</t>
  </si>
  <si>
    <t>Clusters</t>
  </si>
  <si>
    <t>ibov_rank</t>
  </si>
  <si>
    <t>mean_dps_36m</t>
  </si>
  <si>
    <t>isee_bench_weights</t>
  </si>
  <si>
    <t>Relatório dos Meta-Portfólios</t>
  </si>
  <si>
    <t>VITT3</t>
  </si>
  <si>
    <t>BRST3</t>
  </si>
  <si>
    <t>consumer_services</t>
  </si>
  <si>
    <t>very_low_beta</t>
  </si>
  <si>
    <t>utilities</t>
  </si>
  <si>
    <t>high_beta</t>
  </si>
  <si>
    <t>low_beta</t>
  </si>
  <si>
    <t>neutral_beta</t>
  </si>
  <si>
    <t>basic_materials</t>
  </si>
  <si>
    <t>transportation</t>
  </si>
  <si>
    <t>banks</t>
  </si>
  <si>
    <t>very_high_beta</t>
  </si>
  <si>
    <t>consumer_staples</t>
  </si>
  <si>
    <t>apparel</t>
  </si>
  <si>
    <t>healthcare</t>
  </si>
  <si>
    <t>tech</t>
  </si>
  <si>
    <t>food</t>
  </si>
  <si>
    <t>capital_goods</t>
  </si>
  <si>
    <t>homebuilders</t>
  </si>
  <si>
    <t>real_estate</t>
  </si>
  <si>
    <t>consumer_durables</t>
  </si>
  <si>
    <t>education</t>
  </si>
  <si>
    <t>building_materials</t>
  </si>
  <si>
    <t>financial_services</t>
  </si>
  <si>
    <t>crude_oil</t>
  </si>
  <si>
    <t>float_financials</t>
  </si>
  <si>
    <t>telecom</t>
  </si>
  <si>
    <t>chemicals</t>
  </si>
  <si>
    <t>sectors_dynamic</t>
  </si>
  <si>
    <t>sectors_c1</t>
  </si>
  <si>
    <t>legacy_ticker</t>
  </si>
  <si>
    <t>sectors_dyn</t>
  </si>
  <si>
    <t>Rótulos de Linha</t>
  </si>
  <si>
    <t>Total Geral</t>
  </si>
  <si>
    <t>Soma de act_weights</t>
  </si>
  <si>
    <t>#</t>
  </si>
  <si>
    <t>weights.x</t>
  </si>
  <si>
    <t>weights.y</t>
  </si>
  <si>
    <t>Mandato</t>
  </si>
  <si>
    <t>Modelo 2.0</t>
  </si>
  <si>
    <t>mandato</t>
  </si>
  <si>
    <t>modelo 2.0</t>
  </si>
  <si>
    <t>META - Mandato</t>
  </si>
  <si>
    <t>Meta - 2.0</t>
  </si>
  <si>
    <t>Meta - Mandato</t>
  </si>
  <si>
    <t>Meta - Bmk</t>
  </si>
  <si>
    <t>Act Share</t>
  </si>
  <si>
    <t>Bmk</t>
  </si>
  <si>
    <t>Meta</t>
  </si>
  <si>
    <t>Soma de mandato</t>
  </si>
  <si>
    <t>Soma de modelo 2.0</t>
  </si>
  <si>
    <t>MF</t>
  </si>
  <si>
    <t>MF - Ibov</t>
  </si>
  <si>
    <t>Soma de MF</t>
  </si>
  <si>
    <t>Soma de MF - Ibov</t>
  </si>
  <si>
    <t>MF - Mandao</t>
  </si>
  <si>
    <t>MF - META</t>
  </si>
  <si>
    <t>MF - Meta</t>
  </si>
  <si>
    <t>Data</t>
  </si>
  <si>
    <t>Cliente</t>
  </si>
  <si>
    <t>Codigo</t>
  </si>
  <si>
    <t>Papel</t>
  </si>
  <si>
    <t>Bolsa.</t>
  </si>
  <si>
    <t>Qtde Disp.</t>
  </si>
  <si>
    <t>Qtde Bloq.</t>
  </si>
  <si>
    <t>Qtde Total</t>
  </si>
  <si>
    <t>AMBEV S/A   ON  EX</t>
  </si>
  <si>
    <t>BOVESPA</t>
  </si>
  <si>
    <t>ALLIED      ON      NM</t>
  </si>
  <si>
    <t>ALLOS       ON      NM</t>
  </si>
  <si>
    <t>ALPARGATAS  PN  EDJ N1</t>
  </si>
  <si>
    <t>AXIA ENERGIAON  EB  N1</t>
  </si>
  <si>
    <t>AXIA ENERGIAPNB EB  N1</t>
  </si>
  <si>
    <t>BRASIL      ON  EJ  NM</t>
  </si>
  <si>
    <t>BRADESCO    ON      N1</t>
  </si>
  <si>
    <t>BRADESCO    PN      N1</t>
  </si>
  <si>
    <t>BBSEGURIDADEON  EDR NM</t>
  </si>
  <si>
    <t>MERCANTIL   PN      N1</t>
  </si>
  <si>
    <t>BANCO BMG   PN      N1</t>
  </si>
  <si>
    <t>BOVA11</t>
  </si>
  <si>
    <t>ISHARES BOVACI</t>
  </si>
  <si>
    <t>BOVV11</t>
  </si>
  <si>
    <t>IT NOW IBOV CI</t>
  </si>
  <si>
    <t>BRADESPAR   PN  EDJ N1</t>
  </si>
  <si>
    <t>BANRISUL    PNB     N1</t>
  </si>
  <si>
    <t>CEMIG       PN      N1</t>
  </si>
  <si>
    <t>CSNMINERACAOON      N2</t>
  </si>
  <si>
    <t>CPFL ENERGIAON      NM</t>
  </si>
  <si>
    <t>COPEL       ON      NM</t>
  </si>
  <si>
    <t>CRUZEIRO EDUON  ED  NM</t>
  </si>
  <si>
    <t>COPASA      ON      NM</t>
  </si>
  <si>
    <t>CURY S/A    ON  ED  NM</t>
  </si>
  <si>
    <t>CAIXA SEGURION      NM</t>
  </si>
  <si>
    <t>CYRELA REALTON      NM</t>
  </si>
  <si>
    <t>DIRECIONAL  ON  ED  NM</t>
  </si>
  <si>
    <t>ECORODOVIAS ON      NM</t>
  </si>
  <si>
    <t>UNIFIQUE    ON      NM</t>
  </si>
  <si>
    <t>GERDAU MET  PN  EB  N1</t>
  </si>
  <si>
    <t>GRENDENE    ON      NM</t>
  </si>
  <si>
    <t>HELBOR      ON      NM</t>
  </si>
  <si>
    <t>IGUATEMI S.AUNT     N1</t>
  </si>
  <si>
    <t>ISA ENERGIA PN      N1</t>
  </si>
  <si>
    <t>ITAUSA      PN  EB  N1</t>
  </si>
  <si>
    <t>ITAUUNIBANCOON      N1</t>
  </si>
  <si>
    <t>ITAUUNIBANCOPN      N1</t>
  </si>
  <si>
    <t>JHSF PART   ON      NM</t>
  </si>
  <si>
    <t>LAVVI       ON      NM</t>
  </si>
  <si>
    <t>METAL LEVE  ON  EJ  NM</t>
  </si>
  <si>
    <t>LIGHT S/A   ON  ES  NM</t>
  </si>
  <si>
    <t>MARFRIG GLOBAL FOODS S.A.</t>
  </si>
  <si>
    <t>MOURA DUBEUXON      NM</t>
  </si>
  <si>
    <t>MELNICK     ON  ED  NM</t>
  </si>
  <si>
    <t>MAGAZ LUIZA ON      NM</t>
  </si>
  <si>
    <t>MULTIPLAN   ON      N2</t>
  </si>
  <si>
    <t>PETROBRAS   ON      N2</t>
  </si>
  <si>
    <t>PETROBRAS   PN      N2</t>
  </si>
  <si>
    <t>PAGUE MENOS ON      NM</t>
  </si>
  <si>
    <t>PINE        PN  EDJ N2</t>
  </si>
  <si>
    <t>DIMED       ON  EJ  NM</t>
  </si>
  <si>
    <t>MARCOPOLO   ON      N2</t>
  </si>
  <si>
    <t>RIACHUELO   ON      NM</t>
  </si>
  <si>
    <t>SANEPAR     UNT     N2</t>
  </si>
  <si>
    <t>SANEPAR     PN      N2</t>
  </si>
  <si>
    <t>SYN PROP TECON  ED  NM</t>
  </si>
  <si>
    <t>TAESA       UNT     N2</t>
  </si>
  <si>
    <t>TAESA       PN      N2</t>
  </si>
  <si>
    <t>TEGMA       ON  ED  NM</t>
  </si>
  <si>
    <t>TIM         ON      NM</t>
  </si>
  <si>
    <t>TRISUL      ON      NM</t>
  </si>
  <si>
    <t>UNIPAR      PNB ED</t>
  </si>
  <si>
    <t>VALE        ON  EDJ NM</t>
  </si>
  <si>
    <t>TELEF BRASILON</t>
  </si>
  <si>
    <t>VALID       ON  EJ  NM</t>
  </si>
  <si>
    <t>VULCABRAS   ON      NM</t>
  </si>
  <si>
    <t>WIZ CO      ON      NM</t>
  </si>
  <si>
    <t>ABC BRASIL  PN      N2</t>
  </si>
  <si>
    <t>RENDA VARIAVEL - EMPRÉSTIMO DE AÇÕES</t>
  </si>
  <si>
    <t>Cód. Op.</t>
  </si>
  <si>
    <t>Operação</t>
  </si>
  <si>
    <t>Dt. Operação</t>
  </si>
  <si>
    <t>Dt. Vencto.</t>
  </si>
  <si>
    <t>Cód.</t>
  </si>
  <si>
    <t>Bolsa</t>
  </si>
  <si>
    <t>Quantidade</t>
  </si>
  <si>
    <t>Preço</t>
  </si>
  <si>
    <t>% S/ Total</t>
  </si>
  <si>
    <t>Doador</t>
  </si>
  <si>
    <t>Emp</t>
  </si>
  <si>
    <t>Pos</t>
  </si>
  <si>
    <t>ticker</t>
  </si>
  <si>
    <t>nome</t>
  </si>
  <si>
    <t>ABC BRASIL PN N2 - ABCB4</t>
  </si>
  <si>
    <t>ALLIED ON NM - ALLD3</t>
  </si>
  <si>
    <t>ALLOS ON NM - ALOS3</t>
  </si>
  <si>
    <t>ALPARGATAS PN N1 - ALPA4</t>
  </si>
  <si>
    <t>ALUPAR UNT N2 - ALUP11</t>
  </si>
  <si>
    <t>AMBEV S.A. ON - ABEV3</t>
  </si>
  <si>
    <t>AXIA ENERGIAON N1 - AXIA3</t>
  </si>
  <si>
    <t>AXIA ENERGIAPNB N1 - AXIA6</t>
  </si>
  <si>
    <t>AZZAS 2154 ON NM - AZZA3</t>
  </si>
  <si>
    <t>BANCO BMG PN N1 - BMGB4</t>
  </si>
  <si>
    <t>BANRISUL PNB N1 - BRSR6</t>
  </si>
  <si>
    <t>BBSEGURIDADE ON NM - BBSE3</t>
  </si>
  <si>
    <t>BEMOBI TECH ON NM - BMOB3</t>
  </si>
  <si>
    <t>BR PARTNERS UNT N2 - BRBI11</t>
  </si>
  <si>
    <t>BRADESCO ON N1 - BBDC3</t>
  </si>
  <si>
    <t>BRADESCO PN N1 - BBDC4</t>
  </si>
  <si>
    <t>BRADESPAR PN N1 - BRAP4</t>
  </si>
  <si>
    <t>BRASIL ON NM - BBAS3</t>
  </si>
  <si>
    <t>CAIXA SEGURION NM - CXSE3</t>
  </si>
  <si>
    <t>CAMIL ON NM - CAML3</t>
  </si>
  <si>
    <t>CEMIG PN N1 - CMIG4</t>
  </si>
  <si>
    <t>COPASA ON NM - CSMG3</t>
  </si>
  <si>
    <t>COPEL ON N1 - CPLE3</t>
  </si>
  <si>
    <t>CPFL ENERGIA ON NM - CPFE3</t>
  </si>
  <si>
    <t>CRUZEIRO EDUON NM - CSED3</t>
  </si>
  <si>
    <t>CSNMINERACAOON N2 - CMIN3</t>
  </si>
  <si>
    <t>CURY S.A. ON NM - CURY3</t>
  </si>
  <si>
    <t>CYRELA REALT ON NM - CYRE3</t>
  </si>
  <si>
    <t>DEXXOS PAR ON - DEXP3</t>
  </si>
  <si>
    <t>DIMED ON - PNVL3</t>
  </si>
  <si>
    <t>DIRECIONAL ON NM - DIRR3</t>
  </si>
  <si>
    <t>ECORODOVIAS ON NM - ECOR3</t>
  </si>
  <si>
    <t>EVEN ON NM - EVEN3</t>
  </si>
  <si>
    <t>FERBASA PN N1 - FESA4</t>
  </si>
  <si>
    <t>GERDAU MET PN N1 - GOAU4</t>
  </si>
  <si>
    <t>GRENDENE ON NM - GRND3</t>
  </si>
  <si>
    <t>HBR REALTY ON NM - HBRE3</t>
  </si>
  <si>
    <t>HELBOR ON NM - HBOR3</t>
  </si>
  <si>
    <t>IGUATEMI S.AUNT N1 - IGTI11</t>
  </si>
  <si>
    <t>INTELBRAS ON NM - INTB3</t>
  </si>
  <si>
    <t>ISA ENERGIA PN N1 - ISAE4</t>
  </si>
  <si>
    <t>ISHARES BOVA CI - BOVA11</t>
  </si>
  <si>
    <t>IT NOW IBOV CI - BOVV11</t>
  </si>
  <si>
    <t>ITAUSA ON N1 - ITSA3</t>
  </si>
  <si>
    <t>ITAUSA PN N1 - ITSA4</t>
  </si>
  <si>
    <t>ITAUUNIBANCO ON N1 - ITUB3</t>
  </si>
  <si>
    <t>ITAUUNIBANCO PN N1 - ITUB4</t>
  </si>
  <si>
    <t>JHSF PART ON NM - JHSF3</t>
  </si>
  <si>
    <t>LAVVI ON NM - LAVV3</t>
  </si>
  <si>
    <t>LIGHT S.A. ON NM - LIGT3</t>
  </si>
  <si>
    <t>LOG COM PROPON NM - LOGG3</t>
  </si>
  <si>
    <t>LOJAS RENNER ON NM - LREN3</t>
  </si>
  <si>
    <t>MAGAZ LUIZA ON NM - MGLU3</t>
  </si>
  <si>
    <t>MARCOPOLO ON N2 - POMO3</t>
  </si>
  <si>
    <t>MARCOPOLO PN N2 - POMO4</t>
  </si>
  <si>
    <t>MARFRIG ON NM - MBRF3</t>
  </si>
  <si>
    <t>MELNICK ON NM - MELK3</t>
  </si>
  <si>
    <t>MERC BRASIL PN - BMEB4</t>
  </si>
  <si>
    <t>METAL LEVE ON NM - LEVE3</t>
  </si>
  <si>
    <t>MITRE REALTYON NM - MTRE3</t>
  </si>
  <si>
    <t>MOURA DUBEUXON NM - MDNE3</t>
  </si>
  <si>
    <t>MULTILASER ON NM - MLAS3</t>
  </si>
  <si>
    <t>MULTIPLAN ON N2 - MULT3</t>
  </si>
  <si>
    <t>OCEANPACT ON NM - OPCT3</t>
  </si>
  <si>
    <t>ODONTOPREV ON NM - ODPV3</t>
  </si>
  <si>
    <t>PAGUE MENOS ON NM - PGMN3</t>
  </si>
  <si>
    <t>PETROBRAS ON - PETR3</t>
  </si>
  <si>
    <t>PETROBRAS PN - PETR4</t>
  </si>
  <si>
    <t>PETRORECSA ON NM - RECV3</t>
  </si>
  <si>
    <t>PINE PN N2 - PINE4</t>
  </si>
  <si>
    <t>PORTO SEGURO ON NM - PSSA3</t>
  </si>
  <si>
    <t>POSITIVO INF ON NM - POSI3</t>
  </si>
  <si>
    <t>PROFARMA ON NM - PFRM3</t>
  </si>
  <si>
    <t>RIACHUELO ON NM - RIAA3</t>
  </si>
  <si>
    <t>SANEPAR PN - SAPR4</t>
  </si>
  <si>
    <t>SANEPAR UNT N2 - SAPR11</t>
  </si>
  <si>
    <t>SCHULZ PN - SHUL4</t>
  </si>
  <si>
    <t>SER EDUCA ON NM - SEER3</t>
  </si>
  <si>
    <t>SYN PROP TECON NM - SYNE3</t>
  </si>
  <si>
    <t>TAESA ON N2 - TAEE3</t>
  </si>
  <si>
    <t>TAESA PN N2 - TAEE4</t>
  </si>
  <si>
    <t>TAESA UNT N2 - TAEE11</t>
  </si>
  <si>
    <t>TEGMA ON NM - TGMA3</t>
  </si>
  <si>
    <t>TELEF BRASIL ON - VIVT3</t>
  </si>
  <si>
    <t>TIM ON NM - TIMS3</t>
  </si>
  <si>
    <t>TRISUL ON NM - TRIS3</t>
  </si>
  <si>
    <t>UNIFIQUE ON NM - FIQE3</t>
  </si>
  <si>
    <t>UNIPAR PNB - UNIP6</t>
  </si>
  <si>
    <t>VALE ON N1 - VALE3</t>
  </si>
  <si>
    <t>VALID ON NM - VLID3</t>
  </si>
  <si>
    <t>VIVEO ON NM - VVEO3</t>
  </si>
  <si>
    <t>VULCABRAS ON - VULC3</t>
  </si>
  <si>
    <t>WIZ CO PARTICIPAÇÕES E CORRETAGEM DE SEGUROS S.A. - WIZC3</t>
  </si>
  <si>
    <t>$</t>
  </si>
  <si>
    <t>peso</t>
  </si>
  <si>
    <t>alvo</t>
  </si>
  <si>
    <t>dif</t>
  </si>
  <si>
    <t>Novo</t>
  </si>
  <si>
    <t>Pos Fin</t>
  </si>
  <si>
    <t>Mudança</t>
  </si>
  <si>
    <t>S</t>
  </si>
  <si>
    <t>VENDA</t>
  </si>
  <si>
    <t>B</t>
  </si>
  <si>
    <t>COMPRA</t>
  </si>
  <si>
    <t>MOVI GUSTAVO</t>
  </si>
  <si>
    <t>PESO GUSAVO</t>
  </si>
  <si>
    <t>dif alvo</t>
  </si>
  <si>
    <t>EMP</t>
  </si>
  <si>
    <t>MF - Smll</t>
  </si>
  <si>
    <t>MF - LP</t>
  </si>
  <si>
    <t>META</t>
  </si>
  <si>
    <t>large_payers_bench_weights</t>
  </si>
  <si>
    <t>h102_ON</t>
  </si>
  <si>
    <t>h1045_PN</t>
  </si>
  <si>
    <t>h1159_PNB</t>
  </si>
  <si>
    <t>h1176_ON</t>
  </si>
  <si>
    <t>h1193_ON</t>
  </si>
  <si>
    <t>h1197_PN</t>
  </si>
  <si>
    <t>h121_PNB</t>
  </si>
  <si>
    <t>h1257_ON</t>
  </si>
  <si>
    <t>h1257_PN</t>
  </si>
  <si>
    <t>h1265_ON</t>
  </si>
  <si>
    <t>h1265_PN</t>
  </si>
  <si>
    <t>h1265_UNT</t>
  </si>
  <si>
    <t>h132_PN</t>
  </si>
  <si>
    <t>h1377_ON</t>
  </si>
  <si>
    <t>h1398_ON</t>
  </si>
  <si>
    <t>h1410_PN</t>
  </si>
  <si>
    <t>h1431_ON</t>
  </si>
  <si>
    <t>h1432_ON</t>
  </si>
  <si>
    <t>h1432_PNA</t>
  </si>
  <si>
    <t>h1444_ON</t>
  </si>
  <si>
    <t>h1446_ON</t>
  </si>
  <si>
    <t>h1446_PN</t>
  </si>
  <si>
    <t>h1466_PN</t>
  </si>
  <si>
    <t>h1482_ON</t>
  </si>
  <si>
    <t>h1525_UNT</t>
  </si>
  <si>
    <t>h1553_ON</t>
  </si>
  <si>
    <t>h1610_ON</t>
  </si>
  <si>
    <t>h1663_ON</t>
  </si>
  <si>
    <t>h1665_ON</t>
  </si>
  <si>
    <t>h1732_ON</t>
  </si>
  <si>
    <t>h1745_ON</t>
  </si>
  <si>
    <t>h1767_ON</t>
  </si>
  <si>
    <t>h1797_ON</t>
  </si>
  <si>
    <t>h1837_PN</t>
  </si>
  <si>
    <t>h1846_ON</t>
  </si>
  <si>
    <t>h1862_ON</t>
  </si>
  <si>
    <t>h1862_PN</t>
  </si>
  <si>
    <t>h1862_UNT</t>
  </si>
  <si>
    <t>h1866_ON</t>
  </si>
  <si>
    <t>h1872_ON</t>
  </si>
  <si>
    <t>h1872_PN</t>
  </si>
  <si>
    <t>h1882_ON</t>
  </si>
  <si>
    <t>h1934_ON</t>
  </si>
  <si>
    <t>h1934_PN</t>
  </si>
  <si>
    <t>h1944_ON</t>
  </si>
  <si>
    <t>h1945_ON</t>
  </si>
  <si>
    <t>h1955_ON</t>
  </si>
  <si>
    <t>h1961_ON</t>
  </si>
  <si>
    <t>h1962_ON</t>
  </si>
  <si>
    <t>h1973_ON</t>
  </si>
  <si>
    <t>h1973_PN</t>
  </si>
  <si>
    <t>h1983_ON</t>
  </si>
  <si>
    <t>h1987_ON</t>
  </si>
  <si>
    <t>h1999_ON</t>
  </si>
  <si>
    <t>h2001_ON</t>
  </si>
  <si>
    <t>h2002_ON</t>
  </si>
  <si>
    <t>h2003_ON</t>
  </si>
  <si>
    <t>h2008_ON</t>
  </si>
  <si>
    <t>h2012_ON</t>
  </si>
  <si>
    <t>h2025_ON</t>
  </si>
  <si>
    <t>h2025_PN</t>
  </si>
  <si>
    <t>h2025_UNT</t>
  </si>
  <si>
    <t>h2033_ON</t>
  </si>
  <si>
    <t>h2034_ON</t>
  </si>
  <si>
    <t>h2036_ON</t>
  </si>
  <si>
    <t>h2051_ON</t>
  </si>
  <si>
    <t>h2052_ON</t>
  </si>
  <si>
    <t>h2053_ON</t>
  </si>
  <si>
    <t>h2053_PN</t>
  </si>
  <si>
    <t>h2053_UNT</t>
  </si>
  <si>
    <t>h2056_PN</t>
  </si>
  <si>
    <t>h2060_ON</t>
  </si>
  <si>
    <t>h2074_ON</t>
  </si>
  <si>
    <t>h2077_ON</t>
  </si>
  <si>
    <t>h2078_ON</t>
  </si>
  <si>
    <t>h2080_ON</t>
  </si>
  <si>
    <t>h2087_ON</t>
  </si>
  <si>
    <t>h2091_ON</t>
  </si>
  <si>
    <t>h2093_ON</t>
  </si>
  <si>
    <t>h2095_PN</t>
  </si>
  <si>
    <t>h2098_ON</t>
  </si>
  <si>
    <t>h2099_ON</t>
  </si>
  <si>
    <t>h2101_ON</t>
  </si>
  <si>
    <t>h2104_ON</t>
  </si>
  <si>
    <t>h2106_ON</t>
  </si>
  <si>
    <t>h2109_ON</t>
  </si>
  <si>
    <t>h2113_ON</t>
  </si>
  <si>
    <t>h2114_ON</t>
  </si>
  <si>
    <t>h2123_ON</t>
  </si>
  <si>
    <t>h2135_ON</t>
  </si>
  <si>
    <t>h2143_ON</t>
  </si>
  <si>
    <t>h2149_UNT</t>
  </si>
  <si>
    <t>h2161_ON</t>
  </si>
  <si>
    <t>h2188_ON</t>
  </si>
  <si>
    <t>h2201_ON</t>
  </si>
  <si>
    <t>h2202_ON</t>
  </si>
  <si>
    <t>h2218_ON</t>
  </si>
  <si>
    <t>h2234_ON</t>
  </si>
  <si>
    <t>h2235_ON</t>
  </si>
  <si>
    <t>h2247_ON</t>
  </si>
  <si>
    <t>h2249_ON</t>
  </si>
  <si>
    <t>h2260_ON</t>
  </si>
  <si>
    <t>h2261_UNT</t>
  </si>
  <si>
    <t>h2267_ON</t>
  </si>
  <si>
    <t>h2315_ON</t>
  </si>
  <si>
    <t>h2322_ON</t>
  </si>
  <si>
    <t>h2324_ON</t>
  </si>
  <si>
    <t>h2326_ON</t>
  </si>
  <si>
    <t>h2327_ON</t>
  </si>
  <si>
    <t>h2331_ON</t>
  </si>
  <si>
    <t>h2359_ON</t>
  </si>
  <si>
    <t>h2379_ON</t>
  </si>
  <si>
    <t>h2382_ON</t>
  </si>
  <si>
    <t>h2411_ON</t>
  </si>
  <si>
    <t>h2418_ON</t>
  </si>
  <si>
    <t>h2422_ON</t>
  </si>
  <si>
    <t>h2423_ON</t>
  </si>
  <si>
    <t>h2426_ON</t>
  </si>
  <si>
    <t>h2429_ON</t>
  </si>
  <si>
    <t>h242_ON</t>
  </si>
  <si>
    <t>h2439_ON</t>
  </si>
  <si>
    <t>h243_ON</t>
  </si>
  <si>
    <t>h243_PNB</t>
  </si>
  <si>
    <t>h243_PNC</t>
  </si>
  <si>
    <t>h245_ON</t>
  </si>
  <si>
    <t>h245_PN</t>
  </si>
  <si>
    <t>h2460_PN</t>
  </si>
  <si>
    <t>h2462_ON</t>
  </si>
  <si>
    <t>h2469_ON</t>
  </si>
  <si>
    <t>h2471_ON</t>
  </si>
  <si>
    <t>h2480_ON</t>
  </si>
  <si>
    <t>h2482_ON</t>
  </si>
  <si>
    <t>h2484_ON</t>
  </si>
  <si>
    <t>h2490_ON</t>
  </si>
  <si>
    <t>h2491_ON</t>
  </si>
  <si>
    <t>h2492_ON</t>
  </si>
  <si>
    <t>h2496_ON</t>
  </si>
  <si>
    <t>h2500_ON</t>
  </si>
  <si>
    <t>h2503_ON</t>
  </si>
  <si>
    <t>h2506_ON</t>
  </si>
  <si>
    <t>h2507_ON</t>
  </si>
  <si>
    <t>h2510_ON</t>
  </si>
  <si>
    <t>h2511_ON</t>
  </si>
  <si>
    <t>h2518_ON</t>
  </si>
  <si>
    <t>h2520_PN</t>
  </si>
  <si>
    <t>h2523_ON</t>
  </si>
  <si>
    <t>h2528_ON</t>
  </si>
  <si>
    <t>h2529_ON</t>
  </si>
  <si>
    <t>h2533_ON</t>
  </si>
  <si>
    <t>h2537_ON</t>
  </si>
  <si>
    <t>h2540_ON</t>
  </si>
  <si>
    <t>h2545_ON</t>
  </si>
  <si>
    <t>h2549_ON</t>
  </si>
  <si>
    <t>h2550_ON</t>
  </si>
  <si>
    <t>h2552_ON</t>
  </si>
  <si>
    <t>h2553_ON</t>
  </si>
  <si>
    <t>h2555_ON</t>
  </si>
  <si>
    <t>h2558_ON</t>
  </si>
  <si>
    <t>h2568_ON</t>
  </si>
  <si>
    <t>h2570_ON</t>
  </si>
  <si>
    <t>h2571_ON</t>
  </si>
  <si>
    <t>h2576_ON</t>
  </si>
  <si>
    <t>h2578_ON</t>
  </si>
  <si>
    <t>h2586_UNT</t>
  </si>
  <si>
    <t>h2591_PN</t>
  </si>
  <si>
    <t>h2595_ON</t>
  </si>
  <si>
    <t>h2598_ON</t>
  </si>
  <si>
    <t>h2602_ON</t>
  </si>
  <si>
    <t>h2603_ON</t>
  </si>
  <si>
    <t>h2605_ON</t>
  </si>
  <si>
    <t>h2606_ON</t>
  </si>
  <si>
    <t>h2608_ON</t>
  </si>
  <si>
    <t>h2612_ON</t>
  </si>
  <si>
    <t>h2662_ON</t>
  </si>
  <si>
    <t>h2705_ON</t>
  </si>
  <si>
    <t>h2770_ON</t>
  </si>
  <si>
    <t>h2776_ON</t>
  </si>
  <si>
    <t>h2791_ON</t>
  </si>
  <si>
    <t>h306_PN</t>
  </si>
  <si>
    <t>h398_PN</t>
  </si>
  <si>
    <t>h403_ON</t>
  </si>
  <si>
    <t>h417_ON</t>
  </si>
  <si>
    <t>h466_ON</t>
  </si>
  <si>
    <t>h482_PNA</t>
  </si>
  <si>
    <t>h525_ON</t>
  </si>
  <si>
    <t>h541_ON</t>
  </si>
  <si>
    <t>h617_PN</t>
  </si>
  <si>
    <t>h621_ON</t>
  </si>
  <si>
    <t>h634_ON</t>
  </si>
  <si>
    <t>h650_ON</t>
  </si>
  <si>
    <t>h751_ON</t>
  </si>
  <si>
    <t>h761_ON</t>
  </si>
  <si>
    <t>h761_PN</t>
  </si>
  <si>
    <t>h787_ON</t>
  </si>
  <si>
    <t>h8018_BDR_N3_P</t>
  </si>
  <si>
    <t>h8021_BDR_N2_P</t>
  </si>
  <si>
    <t>h8023_BDR_N2_P</t>
  </si>
  <si>
    <t>h813_ON</t>
  </si>
  <si>
    <t>h845_ON</t>
  </si>
  <si>
    <t>h845_PN</t>
  </si>
  <si>
    <t>h857_ON</t>
  </si>
  <si>
    <t>h865_PN</t>
  </si>
  <si>
    <t>h867_UNT</t>
  </si>
  <si>
    <t>h90_ON</t>
  </si>
  <si>
    <t>h90_PN</t>
  </si>
  <si>
    <t>h934_ON</t>
  </si>
  <si>
    <t>h939_ON</t>
  </si>
  <si>
    <t>h951_ON</t>
  </si>
  <si>
    <t>h951_PN</t>
  </si>
  <si>
    <t>hUS0001691493_BDR_N1_NP</t>
  </si>
  <si>
    <t>hUS0001712807_BDR_N1_NP</t>
  </si>
  <si>
    <t>hUS0001745431_BDR_N1_NP</t>
  </si>
  <si>
    <t>hUS0001787425_BDR_N1_P</t>
  </si>
  <si>
    <t>hUS0001848309_BDR_N1_NP</t>
  </si>
  <si>
    <t>Soma de MF - Smll</t>
  </si>
  <si>
    <t>Soma de META</t>
  </si>
  <si>
    <t>Soma de MF - LP</t>
  </si>
  <si>
    <t>MF - Mandato</t>
  </si>
  <si>
    <t>MF - ISEE</t>
  </si>
  <si>
    <t>Soma de MF - ISEE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</si>
</sst>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%"/>
    <numFmt numFmtId="165" formatCode="&quot;R$&quot;\ #,##0.00############"/>
  </numFmts>
  <fonts count="11" x14ac:knownFonts="1"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sz val="7"/>
      <color rgb="FFFFFFFF"/>
      <name val="Segoe U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indexed="8"/>
      <name val="Aptos Narrow"/>
      <family val="2"/>
      <scheme val="minor"/>
    </font>
    <font>
      <sz val="8"/>
      <color indexed="8"/>
      <name val="Verdana"/>
      <family val="2"/>
    </font>
    <font>
      <sz val="8"/>
      <color rgb="FFFFFFFF"/>
      <name val="Fixedsys"/>
      <family val="3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F0F0F"/>
        <bgColor indexed="64"/>
      </patternFill>
    </fill>
    <fill>
      <patternFill patternType="solid">
        <fgColor rgb="FF4E5C6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4EDF4"/>
      </patternFill>
    </fill>
    <fill>
      <patternFill patternType="solid">
        <fgColor indexed="9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C1F30"/>
      </right>
      <top/>
      <bottom style="medium">
        <color rgb="FF0C1F3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4E80A6"/>
      </left>
      <right style="thin">
        <color rgb="FF4E80A6"/>
      </right>
      <top/>
      <bottom/>
      <diagonal/>
    </border>
    <border>
      <left style="thin">
        <color rgb="FF4E80A6"/>
      </left>
      <right style="thin">
        <color rgb="FF4E80A6"/>
      </right>
      <top/>
      <bottom style="thin">
        <color rgb="FF4E80A6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/>
  </cellStyleXfs>
  <cellXfs count="116">
    <xf numFmtId="0" fontId="0" fillId="0" borderId="0" xfId="0"/>
    <xf numFmtId="0" fontId="1" fillId="0" borderId="0" xfId="0" applyFont="1"/>
    <xf numFmtId="10" fontId="0" fillId="0" borderId="0" xfId="1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2" fontId="0" fillId="0" borderId="0" xfId="1" applyNumberFormat="1" applyFont="1" applyBorder="1" applyAlignment="1">
      <alignment horizontal="center"/>
    </xf>
    <xf numFmtId="2" fontId="0" fillId="0" borderId="2" xfId="1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  <xf numFmtId="2" fontId="3" fillId="0" borderId="1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2" xfId="0" applyNumberFormat="1" applyFont="1" applyBorder="1" applyAlignment="1">
      <alignment horizontal="center"/>
    </xf>
    <xf numFmtId="164" fontId="0" fillId="0" borderId="0" xfId="1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6" borderId="3" xfId="0" applyFont="1" applyFill="1" applyBorder="1" applyAlignment="1">
      <alignment horizontal="right" vertical="center"/>
    </xf>
    <xf numFmtId="0" fontId="5" fillId="5" borderId="3" xfId="0" applyFont="1" applyFill="1" applyBorder="1" applyAlignment="1">
      <alignment vertical="center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164" fontId="0" fillId="0" borderId="0" xfId="0" applyNumberFormat="1"/>
    <xf numFmtId="0" fontId="6" fillId="0" borderId="0" xfId="0" applyFont="1"/>
    <xf numFmtId="10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2" fontId="0" fillId="0" borderId="0" xfId="1" applyNumberFormat="1" applyFont="1" applyBorder="1" applyAlignment="1">
      <alignment horizontal="center" vertical="center"/>
    </xf>
    <xf numFmtId="2" fontId="0" fillId="0" borderId="2" xfId="1" applyNumberFormat="1" applyFont="1" applyBorder="1" applyAlignment="1">
      <alignment horizontal="center" vertical="center"/>
    </xf>
    <xf numFmtId="2" fontId="3" fillId="0" borderId="7" xfId="1" applyNumberFormat="1" applyFont="1" applyBorder="1" applyAlignment="1">
      <alignment horizontal="center"/>
    </xf>
    <xf numFmtId="2" fontId="3" fillId="0" borderId="8" xfId="1" applyNumberFormat="1" applyFont="1" applyBorder="1" applyAlignment="1">
      <alignment horizontal="center"/>
    </xf>
    <xf numFmtId="2" fontId="3" fillId="0" borderId="9" xfId="1" applyNumberFormat="1" applyFont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2" fontId="0" fillId="0" borderId="9" xfId="1" applyNumberFormat="1" applyFon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10" fontId="0" fillId="0" borderId="7" xfId="1" applyNumberFormat="1" applyFont="1" applyBorder="1" applyAlignment="1">
      <alignment horizontal="center"/>
    </xf>
    <xf numFmtId="10" fontId="0" fillId="0" borderId="9" xfId="1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0" fontId="3" fillId="0" borderId="1" xfId="1" applyNumberFormat="1" applyFont="1" applyBorder="1" applyAlignment="1">
      <alignment horizontal="center"/>
    </xf>
    <xf numFmtId="10" fontId="3" fillId="0" borderId="2" xfId="1" applyNumberFormat="1" applyFont="1" applyBorder="1" applyAlignment="1">
      <alignment horizontal="center"/>
    </xf>
    <xf numFmtId="10" fontId="3" fillId="0" borderId="7" xfId="1" applyNumberFormat="1" applyFont="1" applyBorder="1" applyAlignment="1">
      <alignment horizontal="center"/>
    </xf>
    <xf numFmtId="10" fontId="3" fillId="0" borderId="9" xfId="1" applyNumberFormat="1" applyFont="1" applyBorder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10" fontId="0" fillId="8" borderId="0" xfId="0" applyNumberFormat="1" applyFill="1" applyAlignment="1">
      <alignment horizontal="center"/>
    </xf>
    <xf numFmtId="10" fontId="3" fillId="10" borderId="0" xfId="0" applyNumberFormat="1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9" borderId="0" xfId="0" applyFont="1" applyFill="1"/>
    <xf numFmtId="0" fontId="7" fillId="11" borderId="0" xfId="0" applyFont="1" applyFill="1" applyAlignment="1">
      <alignment horizontal="center"/>
    </xf>
    <xf numFmtId="0" fontId="3" fillId="0" borderId="5" xfId="0" applyFont="1" applyBorder="1"/>
    <xf numFmtId="10" fontId="0" fillId="0" borderId="0" xfId="1" applyNumberFormat="1" applyFont="1" applyBorder="1" applyAlignment="1">
      <alignment horizontal="center"/>
    </xf>
    <xf numFmtId="10" fontId="0" fillId="0" borderId="8" xfId="1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0" fillId="0" borderId="0" xfId="1" applyNumberFormat="1" applyFont="1"/>
    <xf numFmtId="0" fontId="1" fillId="0" borderId="6" xfId="0" applyFont="1" applyBorder="1"/>
    <xf numFmtId="14" fontId="0" fillId="0" borderId="0" xfId="0" applyNumberFormat="1"/>
    <xf numFmtId="43" fontId="0" fillId="0" borderId="0" xfId="2" applyFont="1"/>
    <xf numFmtId="0" fontId="9" fillId="12" borderId="10" xfId="3" applyFont="1" applyFill="1" applyBorder="1" applyAlignment="1">
      <alignment horizontal="center"/>
    </xf>
    <xf numFmtId="14" fontId="9" fillId="12" borderId="10" xfId="3" applyNumberFormat="1" applyFont="1" applyFill="1" applyBorder="1" applyAlignment="1">
      <alignment horizontal="center"/>
    </xf>
    <xf numFmtId="165" fontId="9" fillId="12" borderId="10" xfId="3" applyNumberFormat="1" applyFont="1" applyFill="1" applyBorder="1" applyAlignment="1">
      <alignment horizontal="center"/>
    </xf>
    <xf numFmtId="0" fontId="9" fillId="13" borderId="10" xfId="3" applyFont="1" applyFill="1" applyBorder="1" applyAlignment="1">
      <alignment horizontal="center"/>
    </xf>
    <xf numFmtId="165" fontId="9" fillId="13" borderId="10" xfId="3" applyNumberFormat="1" applyFont="1" applyFill="1" applyBorder="1" applyAlignment="1">
      <alignment horizontal="center"/>
    </xf>
    <xf numFmtId="0" fontId="9" fillId="12" borderId="11" xfId="3" applyFont="1" applyFill="1" applyBorder="1" applyAlignment="1">
      <alignment horizontal="center"/>
    </xf>
    <xf numFmtId="165" fontId="9" fillId="12" borderId="11" xfId="3" applyNumberFormat="1" applyFont="1" applyFill="1" applyBorder="1" applyAlignment="1">
      <alignment horizontal="center"/>
    </xf>
    <xf numFmtId="43" fontId="0" fillId="0" borderId="0" xfId="0" applyNumberForma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43" fontId="3" fillId="0" borderId="0" xfId="0" applyNumberFormat="1" applyFont="1"/>
    <xf numFmtId="3" fontId="6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5" borderId="0" xfId="0" applyFont="1" applyFill="1" applyAlignment="1">
      <alignment vertical="center"/>
    </xf>
    <xf numFmtId="0" fontId="3" fillId="0" borderId="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9" fontId="0" fillId="0" borderId="0" xfId="0" applyNumberFormat="1"/>
    <xf numFmtId="2" fontId="3" fillId="0" borderId="0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4" fillId="3" borderId="0" xfId="0" applyFont="1" applyFill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/>
    </xf>
    <xf numFmtId="2" fontId="3" fillId="0" borderId="8" xfId="0" applyNumberFormat="1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</cellXfs>
  <cellStyles count="4">
    <cellStyle name="Normal" xfId="0" builtinId="0"/>
    <cellStyle name="Normal 2" xfId="3" xr:uid="{C2E94976-1DB1-4C8C-9806-EEEAD2D7DDD1}"/>
    <cellStyle name="Porcentagem" xfId="1" builtinId="5"/>
    <cellStyle name="Vírgula" xfId="2" builtinId="3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coob-my.sharepoint.com/personal/paulo_fonteles_sicoob_com_br/Documents/Renda%20Vari&#225;vel/Multifatorial%203.0/Rebalanceamentos/4T25/Pesos%20Fundos%20BBG.xlsx" TargetMode="External"/><Relationship Id="rId1" Type="http://schemas.openxmlformats.org/officeDocument/2006/relationships/externalLinkPath" Target="4T25/Pesos%20Fundos%20B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sos VGBLs"/>
      <sheetName val="pesos FIA"/>
      <sheetName val="pesos vgbl30"/>
      <sheetName val="pesos vgbl65"/>
      <sheetName val="pesos smal"/>
      <sheetName val="pesos dividendos"/>
      <sheetName val="pesos ASG"/>
      <sheetName val="pesos PREVI"/>
      <sheetName val="pesos 501"/>
    </sheetNames>
    <sheetDataSet>
      <sheetData sheetId="0"/>
      <sheetData sheetId="1">
        <row r="2">
          <cell r="E2" t="str">
            <v>WIZC3</v>
          </cell>
          <cell r="F2">
            <v>1.1879000000000001E-2</v>
          </cell>
        </row>
        <row r="3">
          <cell r="E3" t="str">
            <v>JHSF3</v>
          </cell>
          <cell r="F3">
            <v>9.3334999999999998E-3</v>
          </cell>
        </row>
        <row r="4">
          <cell r="E4" t="str">
            <v>BMGB4</v>
          </cell>
          <cell r="F4">
            <v>8.4850000000000012E-3</v>
          </cell>
        </row>
        <row r="5">
          <cell r="E5" t="str">
            <v>RIAA3</v>
          </cell>
          <cell r="F5">
            <v>7.6365000000000001E-3</v>
          </cell>
        </row>
        <row r="6">
          <cell r="E6" t="str">
            <v>CSED3</v>
          </cell>
          <cell r="F6">
            <v>7.6365000000000001E-3</v>
          </cell>
        </row>
        <row r="7">
          <cell r="E7" t="str">
            <v>ALLD3</v>
          </cell>
          <cell r="F7">
            <v>7.6365000000000001E-3</v>
          </cell>
        </row>
        <row r="8">
          <cell r="E8" t="str">
            <v>SYNE3</v>
          </cell>
          <cell r="F8">
            <v>6.7880000000000006E-3</v>
          </cell>
        </row>
        <row r="9">
          <cell r="E9" t="str">
            <v>POMO3</v>
          </cell>
          <cell r="F9">
            <v>7.6365000000000001E-3</v>
          </cell>
        </row>
        <row r="10">
          <cell r="E10" t="str">
            <v>SHUL4</v>
          </cell>
          <cell r="F10">
            <v>1.0182E-2</v>
          </cell>
        </row>
        <row r="11">
          <cell r="E11" t="str">
            <v>FIQE3</v>
          </cell>
          <cell r="F11">
            <v>1.0182E-2</v>
          </cell>
        </row>
        <row r="12">
          <cell r="E12" t="str">
            <v>MTRE3</v>
          </cell>
          <cell r="F12">
            <v>1.1879000000000001E-2</v>
          </cell>
        </row>
        <row r="13">
          <cell r="E13" t="str">
            <v>BRSR6</v>
          </cell>
          <cell r="F13">
            <v>1.0182E-2</v>
          </cell>
        </row>
        <row r="14">
          <cell r="E14" t="str">
            <v>GRND3</v>
          </cell>
          <cell r="F14">
            <v>7.6365000000000001E-3</v>
          </cell>
        </row>
        <row r="15">
          <cell r="E15" t="str">
            <v>TIMS3</v>
          </cell>
          <cell r="F15">
            <v>1.61215E-2</v>
          </cell>
        </row>
        <row r="16">
          <cell r="E16" t="str">
            <v>SAPR4</v>
          </cell>
          <cell r="F16">
            <v>9.3334999999999998E-3</v>
          </cell>
        </row>
        <row r="17">
          <cell r="E17" t="str">
            <v>PFRM3</v>
          </cell>
          <cell r="F17">
            <v>6.7880000000000006E-3</v>
          </cell>
        </row>
        <row r="18">
          <cell r="E18" t="str">
            <v>DEXP3</v>
          </cell>
          <cell r="F18">
            <v>9.3334999999999998E-3</v>
          </cell>
        </row>
        <row r="19">
          <cell r="E19" t="str">
            <v>PETR4</v>
          </cell>
          <cell r="F19">
            <v>4.6667500000000001E-2</v>
          </cell>
        </row>
        <row r="20">
          <cell r="E20" t="str">
            <v>LEVE3</v>
          </cell>
          <cell r="F20">
            <v>9.3334999999999998E-3</v>
          </cell>
        </row>
        <row r="21">
          <cell r="E21" t="str">
            <v>PETR3</v>
          </cell>
          <cell r="F21">
            <v>4.2425000000000004E-2</v>
          </cell>
        </row>
        <row r="22">
          <cell r="E22" t="str">
            <v>ABCB4</v>
          </cell>
          <cell r="F22">
            <v>1.2727499999999999E-2</v>
          </cell>
        </row>
        <row r="23">
          <cell r="E23" t="str">
            <v>ALPA4</v>
          </cell>
          <cell r="F23">
            <v>7.6365000000000001E-3</v>
          </cell>
        </row>
        <row r="24">
          <cell r="E24" t="str">
            <v>SAPR11</v>
          </cell>
          <cell r="F24">
            <v>9.3334999999999998E-3</v>
          </cell>
        </row>
        <row r="25">
          <cell r="E25" t="str">
            <v>POMO4</v>
          </cell>
          <cell r="F25">
            <v>8.4850000000000012E-3</v>
          </cell>
        </row>
        <row r="26">
          <cell r="E26" t="str">
            <v>LOGG3</v>
          </cell>
          <cell r="F26">
            <v>8.4850000000000012E-3</v>
          </cell>
        </row>
        <row r="27">
          <cell r="E27" t="str">
            <v>ODPV3</v>
          </cell>
          <cell r="F27">
            <v>8.4850000000000012E-3</v>
          </cell>
        </row>
        <row r="28">
          <cell r="E28" t="str">
            <v>EVEN3</v>
          </cell>
          <cell r="F28">
            <v>9.3334999999999998E-3</v>
          </cell>
        </row>
        <row r="29">
          <cell r="E29" t="str">
            <v>CURY3</v>
          </cell>
          <cell r="F29">
            <v>9.3334999999999998E-3</v>
          </cell>
        </row>
        <row r="30">
          <cell r="E30" t="str">
            <v>ALOS3</v>
          </cell>
          <cell r="F30">
            <v>1.3576000000000001E-2</v>
          </cell>
        </row>
        <row r="31">
          <cell r="E31" t="str">
            <v>ITSA3</v>
          </cell>
          <cell r="F31">
            <v>1.7818500000000001E-2</v>
          </cell>
        </row>
        <row r="32">
          <cell r="E32" t="str">
            <v>MELK3</v>
          </cell>
          <cell r="F32">
            <v>9.7577500000000008E-3</v>
          </cell>
        </row>
        <row r="33">
          <cell r="E33" t="str">
            <v>VLID3</v>
          </cell>
          <cell r="F33">
            <v>1.0606250000000001E-2</v>
          </cell>
        </row>
        <row r="34">
          <cell r="E34" t="str">
            <v>TRIS3</v>
          </cell>
          <cell r="F34">
            <v>4.2425000000000006E-3</v>
          </cell>
        </row>
        <row r="35">
          <cell r="E35" t="str">
            <v>VULC3</v>
          </cell>
          <cell r="F35">
            <v>1.0182E-2</v>
          </cell>
        </row>
        <row r="36">
          <cell r="E36" t="str">
            <v>INTB3</v>
          </cell>
          <cell r="F36">
            <v>9.3334999999999998E-3</v>
          </cell>
        </row>
        <row r="37">
          <cell r="E37" t="str">
            <v>BMEB4</v>
          </cell>
          <cell r="F37">
            <v>6.7880000000000006E-3</v>
          </cell>
        </row>
        <row r="38">
          <cell r="E38" t="str">
            <v>MLAS3</v>
          </cell>
          <cell r="F38">
            <v>5.9395000000000003E-3</v>
          </cell>
        </row>
        <row r="39">
          <cell r="E39" t="str">
            <v>ALUP11</v>
          </cell>
          <cell r="F39">
            <v>1.6970000000000002E-2</v>
          </cell>
        </row>
        <row r="40">
          <cell r="E40" t="str">
            <v>PNVL3</v>
          </cell>
          <cell r="F40">
            <v>1.0182E-2</v>
          </cell>
        </row>
        <row r="41">
          <cell r="E41" t="str">
            <v>RECV3</v>
          </cell>
          <cell r="F41">
            <v>1.2727499999999999E-2</v>
          </cell>
        </row>
        <row r="42">
          <cell r="E42" t="str">
            <v>OPCT3</v>
          </cell>
          <cell r="F42">
            <v>1.1879000000000001E-2</v>
          </cell>
        </row>
        <row r="43">
          <cell r="E43" t="str">
            <v>LAVV3</v>
          </cell>
          <cell r="F43">
            <v>9.3334999999999998E-3</v>
          </cell>
        </row>
        <row r="44">
          <cell r="E44" t="str">
            <v>VIVT3</v>
          </cell>
          <cell r="F44">
            <v>1.3576000000000001E-2</v>
          </cell>
        </row>
        <row r="45">
          <cell r="E45" t="str">
            <v>PINE4</v>
          </cell>
          <cell r="F45">
            <v>7.6365000000000001E-3</v>
          </cell>
        </row>
        <row r="46">
          <cell r="E46" t="str">
            <v>BMOB3</v>
          </cell>
          <cell r="F46">
            <v>8.4850000000000012E-3</v>
          </cell>
        </row>
        <row r="47">
          <cell r="E47" t="str">
            <v>POSI3</v>
          </cell>
          <cell r="F47">
            <v>8.4850000000000012E-3</v>
          </cell>
        </row>
        <row r="48">
          <cell r="E48" t="str">
            <v>ITSA4</v>
          </cell>
          <cell r="F48">
            <v>2.1212500000000002E-2</v>
          </cell>
        </row>
        <row r="49">
          <cell r="E49" t="str">
            <v>ABEV3</v>
          </cell>
          <cell r="F49">
            <v>1.4424500000000002E-2</v>
          </cell>
        </row>
        <row r="50">
          <cell r="E50" t="str">
            <v>VVEO3</v>
          </cell>
          <cell r="F50">
            <v>3.3940000000000003E-3</v>
          </cell>
        </row>
        <row r="51">
          <cell r="E51" t="str">
            <v>MDNE3</v>
          </cell>
          <cell r="F51">
            <v>5.9395000000000003E-3</v>
          </cell>
        </row>
        <row r="52">
          <cell r="E52" t="str">
            <v>PSSA3</v>
          </cell>
          <cell r="F52">
            <v>1.10305E-2</v>
          </cell>
        </row>
        <row r="53">
          <cell r="E53" t="str">
            <v>SEER3</v>
          </cell>
          <cell r="F53">
            <v>5.091E-3</v>
          </cell>
        </row>
        <row r="54">
          <cell r="E54" t="str">
            <v>CAML3</v>
          </cell>
          <cell r="F54">
            <v>8.4850000000000012E-3</v>
          </cell>
        </row>
        <row r="55">
          <cell r="E55" t="str">
            <v>HBRE3</v>
          </cell>
          <cell r="F55">
            <v>6.7880000000000006E-3</v>
          </cell>
        </row>
        <row r="56">
          <cell r="E56" t="str">
            <v>ITUB3</v>
          </cell>
          <cell r="F56">
            <v>1.9515500000000002E-2</v>
          </cell>
        </row>
        <row r="57">
          <cell r="E57" t="str">
            <v>BBSE3</v>
          </cell>
          <cell r="F57">
            <v>1.6970000000000002E-2</v>
          </cell>
        </row>
        <row r="58">
          <cell r="E58" t="str">
            <v>TAEE3</v>
          </cell>
          <cell r="F58">
            <v>1.5273E-2</v>
          </cell>
        </row>
        <row r="59">
          <cell r="E59" t="str">
            <v>TAEE4</v>
          </cell>
          <cell r="F59">
            <v>1.4424500000000002E-2</v>
          </cell>
        </row>
        <row r="60">
          <cell r="E60" t="str">
            <v>AZZA3</v>
          </cell>
          <cell r="F60">
            <v>5.091E-3</v>
          </cell>
        </row>
        <row r="61">
          <cell r="E61" t="str">
            <v>AXIA6</v>
          </cell>
          <cell r="F61">
            <v>1.9515500000000002E-2</v>
          </cell>
        </row>
        <row r="62">
          <cell r="E62" t="str">
            <v>BBDC3</v>
          </cell>
          <cell r="F62">
            <v>1.9515500000000002E-2</v>
          </cell>
        </row>
        <row r="63">
          <cell r="E63" t="str">
            <v>BRBI11</v>
          </cell>
          <cell r="F63">
            <v>9.3334999999999998E-3</v>
          </cell>
        </row>
        <row r="64">
          <cell r="E64" t="str">
            <v>CPLE3</v>
          </cell>
          <cell r="F64">
            <v>1.8667E-2</v>
          </cell>
        </row>
        <row r="65">
          <cell r="E65" t="str">
            <v>BRAP4</v>
          </cell>
          <cell r="F65">
            <v>4.2425000000000006E-3</v>
          </cell>
        </row>
        <row r="66">
          <cell r="E66" t="str">
            <v>DIRR3</v>
          </cell>
          <cell r="F66">
            <v>6.3637499999999996E-3</v>
          </cell>
        </row>
        <row r="67">
          <cell r="E67" t="str">
            <v>CMIG4</v>
          </cell>
          <cell r="F67">
            <v>1.4848750000000003E-2</v>
          </cell>
        </row>
        <row r="68">
          <cell r="E68" t="str">
            <v>FESA4</v>
          </cell>
          <cell r="F68">
            <v>6.7880000000000006E-3</v>
          </cell>
        </row>
        <row r="69">
          <cell r="E69" t="str">
            <v>LREN3</v>
          </cell>
          <cell r="F69">
            <v>8.4850000000000012E-3</v>
          </cell>
        </row>
        <row r="70">
          <cell r="E70" t="str">
            <v>ITUB4</v>
          </cell>
          <cell r="F70">
            <v>2.63035E-2</v>
          </cell>
        </row>
        <row r="71">
          <cell r="E71" t="str">
            <v>VALE3</v>
          </cell>
          <cell r="F71">
            <v>4.8364500000000005E-2</v>
          </cell>
        </row>
        <row r="72">
          <cell r="E72" t="str">
            <v>BOVA11</v>
          </cell>
          <cell r="F72">
            <v>0.1</v>
          </cell>
        </row>
        <row r="73">
          <cell r="E73" t="str">
            <v>BOVV11</v>
          </cell>
          <cell r="F73">
            <v>0.05</v>
          </cell>
        </row>
        <row r="74">
          <cell r="E74" t="str">
            <v>BRL Curncy</v>
          </cell>
          <cell r="F74">
            <v>1.5E-3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o Roberto Fonteles Guimaraes" refreshedDate="46129.750896064812" createdVersion="8" refreshedVersion="8" minRefreshableVersion="3" recordCount="214" xr:uid="{F32D04DD-6819-462A-89D3-DC9F0EA3C45E}">
  <cacheSource type="worksheet">
    <worksheetSource ref="B8:R222" sheet="35 - SMLL"/>
  </cacheSource>
  <cacheFields count="17">
    <cacheField name="MF" numFmtId="10">
      <sharedItems containsSemiMixedTypes="0" containsString="0" containsNumber="1" minValue="0" maxValue="0.04"/>
    </cacheField>
    <cacheField name="MF - Smll" numFmtId="10">
      <sharedItems containsSemiMixedTypes="0" containsString="0" containsNumber="1" minValue="-3.7999999999999999E-2" maxValue="2.1000000000000001E-2"/>
    </cacheField>
    <cacheField name="MF - META" numFmtId="10">
      <sharedItems containsSemiMixedTypes="0" containsString="0" containsNumber="1" minValue="-2.5000000000000001E-2" maxValue="2.1000000000000005E-2"/>
    </cacheField>
    <cacheField name="Bmk" numFmtId="10">
      <sharedItems containsSemiMixedTypes="0" containsString="0" containsNumber="1" minValue="0" maxValue="4.2999999999999997E-2"/>
    </cacheField>
    <cacheField name="exp_ret_score_raw" numFmtId="2">
      <sharedItems containsSemiMixedTypes="0" containsString="0" containsNumber="1" minValue="0.46800000000000003" maxValue="3.2610000000000001"/>
    </cacheField>
    <cacheField name="exp_ret_score" numFmtId="0">
      <sharedItems containsSemiMixedTypes="0" containsString="0" containsNumber="1" minValue="0.32100000000000001" maxValue="5.1230000000000002"/>
    </cacheField>
    <cacheField name="sectors_c2" numFmtId="0">
      <sharedItems count="5">
        <s v="pro_cyclicals"/>
        <s v="defensives"/>
        <s v="bond_proxies"/>
        <s v="industrials"/>
        <s v="commodities"/>
      </sharedItems>
    </cacheField>
    <cacheField name="sectors_c1" numFmtId="0">
      <sharedItems count="21">
        <s v="homebuilders"/>
        <s v="financial_services"/>
        <s v="education"/>
        <s v="apparel"/>
        <s v="banks"/>
        <s v="consumer_durables"/>
        <s v="real_estate"/>
        <s v="capital_goods"/>
        <s v="telecom"/>
        <s v="utilities"/>
        <s v="healthcare"/>
        <s v="chemicals"/>
        <s v="crude_oil"/>
        <s v="tech"/>
        <s v="consumer_staples"/>
        <s v="basic_materials"/>
        <s v="float_financials"/>
        <s v="building_materials"/>
        <s v="food"/>
        <s v="transportation"/>
        <s v="consumer_services"/>
      </sharedItems>
    </cacheField>
    <cacheField name="sectors_dyn" numFmtId="0">
      <sharedItems/>
    </cacheField>
    <cacheField name="META" numFmtId="10">
      <sharedItems containsSemiMixedTypes="0" containsString="0" containsNumber="1" minValue="0" maxValue="2.7E-2"/>
    </cacheField>
    <cacheField name="act_weights" numFmtId="10">
      <sharedItems containsSemiMixedTypes="0" containsString="0" containsNumber="1" minValue="-3.7999999999999999E-2" maxValue="2.5000000000000001E-2"/>
    </cacheField>
    <cacheField name="ibov_rank" numFmtId="2">
      <sharedItems containsSemiMixedTypes="0" containsString="0" containsNumber="1" containsInteger="1" minValue="1" maxValue="84"/>
    </cacheField>
    <cacheField name="mandato" numFmtId="10">
      <sharedItems containsSemiMixedTypes="0" containsString="0" containsNumber="1" minValue="0" maxValue="5.7444843110723703E-2"/>
    </cacheField>
    <cacheField name="Meta - Mandato" numFmtId="10">
      <sharedItems containsSemiMixedTypes="0" containsString="0" containsNumber="1" minValue="-4.3444843110723705E-2" maxValue="1.9156314678471051E-2"/>
    </cacheField>
    <cacheField name="MF - Mandao" numFmtId="10">
      <sharedItems containsSemiMixedTypes="0" containsString="0" containsNumber="1" minValue="-2.24448431107237E-2" maxValue="1.5475630813991371E-2"/>
    </cacheField>
    <cacheField name="modelo 2.0" numFmtId="10">
      <sharedItems containsSemiMixedTypes="0" containsString="0" containsNumber="1" minValue="0" maxValue="6.15297084127477E-2"/>
    </cacheField>
    <cacheField name="Meta - 2.0" numFmtId="10">
      <sharedItems containsSemiMixedTypes="0" containsString="0" containsNumber="1" minValue="-6.15297084127477E-2" maxValue="2.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o Roberto Fonteles Guimaraes" refreshedDate="46129.751661921298" createdVersion="8" refreshedVersion="8" minRefreshableVersion="3" recordCount="214" xr:uid="{B0C7F0E8-1E81-4BCF-8730-196FEBC42A93}">
  <cacheSource type="worksheet">
    <worksheetSource ref="B8:Q222" sheet="29 - FIA"/>
  </cacheSource>
  <cacheFields count="16">
    <cacheField name="MF" numFmtId="10">
      <sharedItems containsSemiMixedTypes="0" containsString="0" containsNumber="1" minValue="0" maxValue="5.7000000000000002E-2"/>
    </cacheField>
    <cacheField name="MF - Ibov" numFmtId="10">
      <sharedItems containsSemiMixedTypes="0" containsString="0" containsNumber="1" minValue="-5.6000000000000001E-2" maxValue="2.3E-2"/>
    </cacheField>
    <cacheField name="MF - META" numFmtId="10">
      <sharedItems containsSemiMixedTypes="0" containsString="0" containsNumber="1" minValue="-1.4E-2" maxValue="2.8000000000000001E-2"/>
    </cacheField>
    <cacheField name="Bmk" numFmtId="10">
      <sharedItems containsSemiMixedTypes="0" containsString="0" containsNumber="1" minValue="0" maxValue="0.113"/>
    </cacheField>
    <cacheField name="exp_ret_score_raw" numFmtId="2">
      <sharedItems containsSemiMixedTypes="0" containsString="0" containsNumber="1" minValue="0.46800000000000003" maxValue="3.2610000000000001"/>
    </cacheField>
    <cacheField name="exp_ret_score" numFmtId="0">
      <sharedItems containsSemiMixedTypes="0" containsString="0" containsNumber="1" minValue="0.32900000000000001" maxValue="5.734"/>
    </cacheField>
    <cacheField name="sectors_c2" numFmtId="0">
      <sharedItems count="5">
        <s v="defensives"/>
        <s v="pro_cyclicals"/>
        <s v="bond_proxies"/>
        <s v="industrials"/>
        <s v="commodities"/>
      </sharedItems>
    </cacheField>
    <cacheField name="sectors_c1" numFmtId="0">
      <sharedItems count="21">
        <s v="financial_services"/>
        <s v="homebuilders"/>
        <s v="banks"/>
        <s v="apparel"/>
        <s v="education"/>
        <s v="consumer_durables"/>
        <s v="real_estate"/>
        <s v="capital_goods"/>
        <s v="telecom"/>
        <s v="utilities"/>
        <s v="healthcare"/>
        <s v="chemicals"/>
        <s v="crude_oil"/>
        <s v="tech"/>
        <s v="consumer_staples"/>
        <s v="basic_materials"/>
        <s v="float_financials"/>
        <s v="building_materials"/>
        <s v="food"/>
        <s v="transportation"/>
        <s v="consumer_services"/>
      </sharedItems>
    </cacheField>
    <cacheField name="sectors_dyn" numFmtId="0">
      <sharedItems/>
    </cacheField>
    <cacheField name="META" numFmtId="10">
      <sharedItems containsSemiMixedTypes="0" containsString="0" containsNumber="1" minValue="0" maxValue="6.3E-2"/>
    </cacheField>
    <cacheField name="act_weights" numFmtId="10">
      <sharedItems containsSemiMixedTypes="0" containsString="0" containsNumber="1" minValue="-0.05" maxValue="2.3E-2"/>
    </cacheField>
    <cacheField name="mandato" numFmtId="10">
      <sharedItems containsSemiMixedTypes="0" containsString="0" containsNumber="1" minValue="0" maxValue="7.0426070142019695E-2"/>
    </cacheField>
    <cacheField name="META - Mandato" numFmtId="10">
      <sharedItems containsSemiMixedTypes="0" containsString="0" containsNumber="1" minValue="-4.3426070142019699E-2" maxValue="6.3E-2"/>
    </cacheField>
    <cacheField name="MF - Mandao" numFmtId="10">
      <sharedItems containsSemiMixedTypes="0" containsString="0" containsNumber="1" minValue="-2.5916866036267097E-2" maxValue="5.7000000000000002E-2"/>
    </cacheField>
    <cacheField name="modelo 2.0" numFmtId="10">
      <sharedItems containsSemiMixedTypes="0" containsString="0" containsNumber="1" minValue="0" maxValue="6.2482533581480502E-2"/>
    </cacheField>
    <cacheField name="Meta - 2.0" numFmtId="10">
      <sharedItems containsSemiMixedTypes="0" containsString="0" containsNumber="1" minValue="-3.7833716586561698E-2" maxValue="6.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o Roberto Fonteles Guimaraes" refreshedDate="46129.782983217592" createdVersion="8" refreshedVersion="8" minRefreshableVersion="3" recordCount="214" xr:uid="{41608056-0690-49F7-BD3F-48E1D1FD06EE}">
  <cacheSource type="worksheet">
    <worksheetSource ref="B8:Q222" sheet="37 - ISEE"/>
  </cacheSource>
  <cacheFields count="16">
    <cacheField name="MF" numFmtId="10">
      <sharedItems containsSemiMixedTypes="0" containsString="0" containsNumber="1" minValue="0" maxValue="5.0999999999999997E-2"/>
    </cacheField>
    <cacheField name="MF - ISEE" numFmtId="10">
      <sharedItems containsSemiMixedTypes="0" containsString="0" containsNumber="1" minValue="-3.1E-2" maxValue="3.4000000000000002E-2"/>
    </cacheField>
    <cacheField name="MF - META" numFmtId="10">
      <sharedItems containsSemiMixedTypes="0" containsString="0" containsNumber="1" minValue="-8.0000000000000002E-3" maxValue="0.01"/>
    </cacheField>
    <cacheField name="Bmk" numFmtId="10">
      <sharedItems containsSemiMixedTypes="0" containsString="0" containsNumber="1" minValue="0" maxValue="3.1E-2"/>
    </cacheField>
    <cacheField name="exp_ret_score_raw" numFmtId="2">
      <sharedItems containsSemiMixedTypes="0" containsString="0" containsNumber="1" minValue="0.46800000000000003" maxValue="3.2610000000000001"/>
    </cacheField>
    <cacheField name="exp_ret_score" numFmtId="0">
      <sharedItems containsSemiMixedTypes="0" containsString="0" containsNumber="1" minValue="0.32900000000000001" maxValue="5.74"/>
    </cacheField>
    <cacheField name="sectors_c2" numFmtId="0">
      <sharedItems count="5">
        <s v="pro_cyclicals"/>
        <s v="defensives"/>
        <s v="bond_proxies"/>
        <s v="industrials"/>
        <s v="commodities"/>
      </sharedItems>
    </cacheField>
    <cacheField name="sectors_c1" numFmtId="0">
      <sharedItems count="21">
        <s v="apparel"/>
        <s v="homebuilders"/>
        <s v="financial_services"/>
        <s v="banks"/>
        <s v="consumer_durables"/>
        <s v="education"/>
        <s v="real_estate"/>
        <s v="capital_goods"/>
        <s v="telecom"/>
        <s v="utilities"/>
        <s v="healthcare"/>
        <s v="chemicals"/>
        <s v="crude_oil"/>
        <s v="tech"/>
        <s v="consumer_staples"/>
        <s v="basic_materials"/>
        <s v="float_financials"/>
        <s v="building_materials"/>
        <s v="food"/>
        <s v="transportation"/>
        <s v="consumer_services"/>
      </sharedItems>
    </cacheField>
    <cacheField name="sectors_dyn" numFmtId="0">
      <sharedItems/>
    </cacheField>
    <cacheField name="META" numFmtId="10">
      <sharedItems containsSemiMixedTypes="0" containsString="0" containsNumber="1" minValue="0" maxValue="5.2999999999999999E-2"/>
    </cacheField>
    <cacheField name="act_weights" numFmtId="10">
      <sharedItems containsSemiMixedTypes="0" containsString="0" containsNumber="1" minValue="-3.1E-2" maxValue="3.4000000000000002E-2"/>
    </cacheField>
    <cacheField name="isee_bench_weights" numFmtId="10">
      <sharedItems containsSemiMixedTypes="0" containsString="0" containsNumber="1" minValue="0" maxValue="3.1E-2"/>
    </cacheField>
    <cacheField name="mandato" numFmtId="10">
      <sharedItems containsSemiMixedTypes="0" containsString="0" containsNumber="1" minValue="0" maxValue="0.142583736341831"/>
    </cacheField>
    <cacheField name="Meta - Mandato" numFmtId="10">
      <sharedItems containsSemiMixedTypes="0" containsString="0" containsNumber="1" minValue="-0.111583736341831" maxValue="5.2999999999999999E-2"/>
    </cacheField>
    <cacheField name="modelo 2.0" numFmtId="10">
      <sharedItems containsSemiMixedTypes="0" containsString="0" containsNumber="1" minValue="0" maxValue="7.4334394083604496E-2"/>
    </cacheField>
    <cacheField name="Meta - 2.0" numFmtId="10">
      <sharedItems containsSemiMixedTypes="0" containsString="0" containsNumber="1" minValue="-5.4284640243097398E-2" maxValue="4.4999999999999998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o Roberto Fonteles Guimaraes" refreshedDate="46132.000602083332" createdVersion="8" refreshedVersion="8" minRefreshableVersion="3" recordCount="214" xr:uid="{1BC58F62-04C6-4D9C-9D3A-4B4CC9455614}">
  <cacheSource type="worksheet">
    <worksheetSource ref="B8:R222" sheet="36 - LP"/>
  </cacheSource>
  <cacheFields count="17">
    <cacheField name="MF" numFmtId="10">
      <sharedItems containsSemiMixedTypes="0" containsString="0" containsNumber="1" minValue="0" maxValue="4.3999999999999997E-2"/>
    </cacheField>
    <cacheField name="MF - LP" numFmtId="10">
      <sharedItems containsSemiMixedTypes="0" containsString="0" containsNumber="1" minValue="-4.9271570000000001E-2" maxValue="2.5999999999999999E-2"/>
    </cacheField>
    <cacheField name="MF - META" numFmtId="10">
      <sharedItems containsSemiMixedTypes="0" containsString="0" containsNumber="1" minValue="-1.6E-2" maxValue="9.999999999999995E-3"/>
    </cacheField>
    <cacheField name="Bmk" numFmtId="10">
      <sharedItems containsSemiMixedTypes="0" containsString="0" containsNumber="1" minValue="0" maxValue="6.7948129999999995E-2"/>
    </cacheField>
    <cacheField name="exp_ret_score_raw" numFmtId="2">
      <sharedItems containsSemiMixedTypes="0" containsString="0" containsNumber="1" minValue="0.46800000000000003" maxValue="3.2610000000000001"/>
    </cacheField>
    <cacheField name="exp_ret_score" numFmtId="0">
      <sharedItems containsSemiMixedTypes="0" containsString="0" containsNumber="1" minValue="0.33" maxValue="5.8970000000000002"/>
    </cacheField>
    <cacheField name="sectors_c2" numFmtId="0">
      <sharedItems count="5">
        <s v="defensives"/>
        <s v="pro_cyclicals"/>
        <s v="bond_proxies"/>
        <s v="industrials"/>
        <s v="commodities"/>
      </sharedItems>
    </cacheField>
    <cacheField name="sectors_c1" numFmtId="0">
      <sharedItems count="21">
        <s v="financial_services"/>
        <s v="banks"/>
        <s v="homebuilders"/>
        <s v="apparel"/>
        <s v="consumer_durables"/>
        <s v="education"/>
        <s v="real_estate"/>
        <s v="capital_goods"/>
        <s v="telecom"/>
        <s v="utilities"/>
        <s v="healthcare"/>
        <s v="chemicals"/>
        <s v="crude_oil"/>
        <s v="tech"/>
        <s v="consumer_staples"/>
        <s v="basic_materials"/>
        <s v="float_financials"/>
        <s v="building_materials"/>
        <s v="food"/>
        <s v="transportation"/>
        <s v="consumer_services"/>
      </sharedItems>
    </cacheField>
    <cacheField name="sectors_dyn" numFmtId="0">
      <sharedItems/>
    </cacheField>
    <cacheField name="META" numFmtId="164">
      <sharedItems containsSemiMixedTypes="0" containsString="0" containsNumber="1" minValue="0" maxValue="3.4000000000000002E-2"/>
    </cacheField>
    <cacheField name="act_weights" numFmtId="10">
      <sharedItems containsSemiMixedTypes="0" containsString="0" containsNumber="1" minValue="-4.9000000000000002E-2" maxValue="2.5999999999999999E-2"/>
    </cacheField>
    <cacheField name="mean_dps_36m" numFmtId="2">
      <sharedItems containsSemiMixedTypes="0" containsString="0" containsNumber="1" minValue="0" maxValue="6.7260909780266704"/>
    </cacheField>
    <cacheField name="mandato" numFmtId="10">
      <sharedItems containsSemiMixedTypes="0" containsString="0" containsNumber="1" minValue="0" maxValue="5.8817199021885001E-2"/>
    </cacheField>
    <cacheField name="Meta - Mandato" numFmtId="10">
      <sharedItems containsSemiMixedTypes="0" containsString="0" containsNumber="1" minValue="-3.5182099503771699E-2" maxValue="2.5999999999999999E-2"/>
    </cacheField>
    <cacheField name="MF - Mandato" numFmtId="10">
      <sharedItems containsSemiMixedTypes="0" containsString="0" containsNumber="1" minValue="-3.5182099503771699E-2" maxValue="2.5999999999999999E-2"/>
    </cacheField>
    <cacheField name="modelo 2.0" numFmtId="10">
      <sharedItems containsSemiMixedTypes="0" containsString="0" containsNumber="1" minValue="0" maxValue="5.3259641996780897E-2"/>
    </cacheField>
    <cacheField name="Meta - 2.0" numFmtId="10">
      <sharedItems containsSemiMixedTypes="0" containsString="0" containsNumber="1" minValue="-3.6661330408336301E-2" maxValue="2.599999999999999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n v="2.2499999999999999E-2"/>
    <n v="1.2500000000000001E-2"/>
    <n v="4.5000000000000005E-3"/>
    <n v="9.9999999999999985E-3"/>
    <n v="3.2610000000000001"/>
    <n v="4.6310000000000002"/>
    <x v="0"/>
    <x v="0"/>
    <s v="very_high_beta"/>
    <n v="1.7999999999999999E-2"/>
    <n v="8.0000000000000002E-3"/>
    <n v="84"/>
    <n v="3.5956710410150403E-2"/>
    <n v="-1.7956710410150404E-2"/>
    <n v="-1.3456710410150403E-2"/>
    <n v="3.1948919010160302E-2"/>
    <n v="-1.3948919010160304E-2"/>
  </r>
  <r>
    <n v="1.6E-2"/>
    <n v="1.6E-2"/>
    <n v="0"/>
    <n v="0"/>
    <n v="3.2610000000000001"/>
    <n v="3.3809999999999998"/>
    <x v="1"/>
    <x v="1"/>
    <s v="low_beta"/>
    <n v="1.6E-2"/>
    <n v="1.6E-2"/>
    <n v="84"/>
    <n v="1.3288999873824901E-2"/>
    <n v="2.7110001261750998E-3"/>
    <n v="2.7110001261750998E-3"/>
    <n v="8.5259172201202493E-3"/>
    <n v="7.474082779879751E-3"/>
  </r>
  <r>
    <n v="1.4E-2"/>
    <n v="1.4E-2"/>
    <n v="0"/>
    <n v="0"/>
    <n v="3.2610000000000001"/>
    <n v="2.5049999999999999"/>
    <x v="0"/>
    <x v="2"/>
    <s v="high_beta"/>
    <n v="1.4E-2"/>
    <n v="1.4E-2"/>
    <n v="84"/>
    <n v="1.3288999873824901E-2"/>
    <n v="7.1100012617509971E-4"/>
    <n v="7.1100012617509971E-4"/>
    <n v="8.5639136828573308E-3"/>
    <n v="5.4360863171426695E-3"/>
  </r>
  <r>
    <n v="1.2999999999999999E-2"/>
    <n v="1.0999999999999999E-2"/>
    <n v="0"/>
    <n v="2E-3"/>
    <n v="3.2610000000000001"/>
    <n v="2.5219999999999998"/>
    <x v="0"/>
    <x v="3"/>
    <s v="very_high_beta"/>
    <n v="1.2999999999999999E-2"/>
    <n v="1.0999999999999999E-2"/>
    <n v="84"/>
    <n v="1.5633943475130599E-2"/>
    <n v="-2.6339434751305995E-3"/>
    <n v="-2.6339434751305995E-3"/>
    <n v="1.26996911906941E-2"/>
    <n v="3.003088093058992E-4"/>
  </r>
  <r>
    <n v="1.2E-2"/>
    <n v="1.2E-2"/>
    <n v="0"/>
    <n v="0"/>
    <n v="3.2610000000000001"/>
    <n v="3.2589999999999999"/>
    <x v="0"/>
    <x v="4"/>
    <s v="high_beta"/>
    <n v="1.2E-2"/>
    <n v="1.2E-2"/>
    <n v="84"/>
    <n v="1.3288999873824901E-2"/>
    <n v="-1.2889998738249003E-3"/>
    <n v="-1.2889998738249003E-3"/>
    <n v="1.18077870820744E-2"/>
    <n v="1.9221291792560075E-4"/>
  </r>
  <r>
    <n v="7.0000000000000001E-3"/>
    <n v="7.0000000000000001E-3"/>
    <n v="0"/>
    <n v="0"/>
    <n v="3.2610000000000001"/>
    <n v="2.46"/>
    <x v="0"/>
    <x v="5"/>
    <s v="very_low_beta"/>
    <n v="7.0000000000000001E-3"/>
    <n v="7.0000000000000001E-3"/>
    <n v="84"/>
    <n v="1.3288999873824901E-2"/>
    <n v="-6.2889998738249004E-3"/>
    <n v="-6.2889998738249004E-3"/>
    <n v="7.3549029246943202E-3"/>
    <n v="-3.5490292469432007E-4"/>
  </r>
  <r>
    <n v="1.2E-2"/>
    <n v="1.2E-2"/>
    <n v="0"/>
    <n v="0"/>
    <n v="3.2570000000000001"/>
    <n v="2.484"/>
    <x v="2"/>
    <x v="6"/>
    <s v="neutral_beta"/>
    <n v="1.2E-2"/>
    <n v="1.2E-2"/>
    <n v="84"/>
    <n v="1.37097565857754E-2"/>
    <n v="-1.7097565857754002E-3"/>
    <n v="-1.7097565857754002E-3"/>
    <n v="0"/>
    <n v="1.2E-2"/>
  </r>
  <r>
    <n v="1.2999999999999999E-2"/>
    <n v="1.2999999999999999E-2"/>
    <n v="0"/>
    <n v="0"/>
    <n v="3.2280000000000002"/>
    <n v="2.8690000000000002"/>
    <x v="3"/>
    <x v="7"/>
    <s v="neutral_beta"/>
    <n v="1.2999999999999999E-2"/>
    <n v="1.2999999999999999E-2"/>
    <n v="84"/>
    <n v="1.3155856797116601E-2"/>
    <n v="-1.5585679711660125E-4"/>
    <n v="-1.5585679711660125E-4"/>
    <n v="0"/>
    <n v="1.2999999999999999E-2"/>
  </r>
  <r>
    <n v="1.2999999999999999E-2"/>
    <n v="1.2999999999999999E-2"/>
    <n v="0"/>
    <n v="0"/>
    <n v="3.1320000000000001"/>
    <n v="3.8820000000000001"/>
    <x v="3"/>
    <x v="7"/>
    <s v="low_beta"/>
    <n v="1.2999999999999999E-2"/>
    <n v="1.2999999999999999E-2"/>
    <n v="84"/>
    <n v="1.27655251063983E-2"/>
    <n v="2.3447489360169972E-4"/>
    <n v="2.3447489360169972E-4"/>
    <n v="6.83493284775281E-3"/>
    <n v="6.1650671522471895E-3"/>
  </r>
  <r>
    <n v="1.4E-2"/>
    <n v="1.4E-2"/>
    <n v="0"/>
    <n v="0"/>
    <n v="3.0819999999999999"/>
    <n v="3.1040000000000001"/>
    <x v="2"/>
    <x v="8"/>
    <s v="low_beta"/>
    <n v="1.4E-2"/>
    <n v="1.4E-2"/>
    <n v="84"/>
    <n v="1.25612285385909E-2"/>
    <n v="1.4387714614091003E-3"/>
    <n v="1.4387714614091003E-3"/>
    <n v="1.18077870820744E-2"/>
    <n v="2.1922129179256008E-3"/>
  </r>
  <r>
    <n v="1.9E-2"/>
    <n v="1.9E-2"/>
    <n v="0"/>
    <n v="0"/>
    <n v="3.077"/>
    <n v="3.02"/>
    <x v="0"/>
    <x v="0"/>
    <s v="neutral_beta"/>
    <n v="1.9E-2"/>
    <n v="1.9E-2"/>
    <n v="84"/>
    <n v="1.25414119934856E-2"/>
    <n v="6.4585880065143996E-3"/>
    <n v="6.4585880065143996E-3"/>
    <n v="7.2027054168184602E-3"/>
    <n v="1.1797294583181539E-2"/>
  </r>
  <r>
    <n v="0.02"/>
    <n v="0.01"/>
    <n v="6.0000000000000001E-3"/>
    <n v="0.01"/>
    <n v="3.0529999999999999"/>
    <n v="4.7220000000000004"/>
    <x v="0"/>
    <x v="4"/>
    <s v="high_beta"/>
    <n v="1.4E-2"/>
    <n v="4.0000000000000001E-3"/>
    <n v="84"/>
    <n v="3.2247886779500003E-2"/>
    <n v="-1.8247886779500004E-2"/>
    <n v="-1.2247886779500002E-2"/>
    <n v="2.8259775535961401E-2"/>
    <n v="-1.4259775535961401E-2"/>
  </r>
  <r>
    <n v="1.2E-2"/>
    <n v="8.9999999999999993E-3"/>
    <n v="0"/>
    <n v="3.0000000000000009E-3"/>
    <n v="3.0070000000000001"/>
    <n v="3.452"/>
    <x v="0"/>
    <x v="3"/>
    <s v="very_low_beta"/>
    <n v="1.2E-2"/>
    <n v="8.9999999999999993E-3"/>
    <n v="84"/>
    <n v="1.59334397117399E-2"/>
    <n v="-3.9334397117399E-3"/>
    <n v="-3.9334397117399E-3"/>
    <n v="9.2750914184114904E-3"/>
    <n v="2.7249085815885098E-3"/>
  </r>
  <r>
    <n v="1.4999999999999999E-2"/>
    <n v="1.4999999999999999E-2"/>
    <n v="0"/>
    <n v="0"/>
    <n v="2.9980000000000002"/>
    <n v="3.4420000000000002"/>
    <x v="2"/>
    <x v="8"/>
    <s v="very_low_beta"/>
    <n v="1.4999999999999999E-2"/>
    <n v="1.4999999999999999E-2"/>
    <n v="31"/>
    <n v="1.22184050659364E-2"/>
    <n v="2.7815949340635991E-3"/>
    <n v="2.7815949340635991E-3"/>
    <n v="1.00243266277939E-2"/>
    <n v="4.9756733722060992E-3"/>
  </r>
  <r>
    <n v="1.4E-2"/>
    <n v="1.4E-2"/>
    <n v="0"/>
    <n v="0"/>
    <n v="2.9329999999999998"/>
    <n v="3.113"/>
    <x v="2"/>
    <x v="9"/>
    <s v="low_beta"/>
    <n v="1.4E-2"/>
    <n v="1.4E-2"/>
    <n v="84"/>
    <n v="1.19558899532408E-2"/>
    <n v="2.0441100467592007E-3"/>
    <n v="2.0441100467592007E-3"/>
    <n v="8.1879268878186605E-3"/>
    <n v="5.8120731121813398E-3"/>
  </r>
  <r>
    <n v="1.2E-2"/>
    <n v="1.2E-2"/>
    <n v="0"/>
    <n v="0"/>
    <n v="2.887"/>
    <n v="2.2410000000000001"/>
    <x v="1"/>
    <x v="10"/>
    <s v="high_beta"/>
    <n v="1.2E-2"/>
    <n v="1.2E-2"/>
    <n v="84"/>
    <n v="1.1765828856546499E-2"/>
    <n v="2.3417114345350085E-4"/>
    <n v="2.3417114345350085E-4"/>
    <n v="0"/>
    <n v="1.2E-2"/>
  </r>
  <r>
    <n v="0"/>
    <n v="0"/>
    <n v="-1.0999999999999999E-2"/>
    <n v="0"/>
    <n v="2.85"/>
    <n v="2.3860000000000001"/>
    <x v="2"/>
    <x v="9"/>
    <s v="high_beta"/>
    <n v="1.0999999999999999E-2"/>
    <n v="1.0999999999999999E-2"/>
    <n v="84"/>
    <n v="1.16173597270126E-2"/>
    <n v="-6.1735972701260078E-4"/>
    <n v="-1.16173597270126E-2"/>
    <n v="8.5507013673109308E-3"/>
    <n v="2.4492986326890686E-3"/>
  </r>
  <r>
    <n v="1.2999999999999999E-2"/>
    <n v="1.2999999999999999E-2"/>
    <n v="0"/>
    <n v="0"/>
    <n v="2.8290000000000002"/>
    <n v="2.62"/>
    <x v="3"/>
    <x v="11"/>
    <s v="very_low_beta"/>
    <n v="1.2999999999999999E-2"/>
    <n v="1.2999999999999999E-2"/>
    <n v="84"/>
    <n v="1.15291062855849E-2"/>
    <n v="1.4708937144150992E-3"/>
    <n v="1.4708937144150992E-3"/>
    <n v="0"/>
    <n v="1.2999999999999999E-2"/>
  </r>
  <r>
    <n v="0"/>
    <n v="0"/>
    <n v="0"/>
    <n v="0"/>
    <n v="2.806"/>
    <n v="3.222"/>
    <x v="4"/>
    <x v="12"/>
    <s v="very_low_beta"/>
    <n v="0"/>
    <n v="0"/>
    <n v="3"/>
    <n v="0"/>
    <n v="0"/>
    <n v="0"/>
    <n v="0"/>
    <n v="0"/>
  </r>
  <r>
    <n v="1.2E-2"/>
    <n v="7.0000000000000001E-3"/>
    <n v="0"/>
    <n v="5.0000000000000001E-3"/>
    <n v="2.6960000000000002"/>
    <n v="4.0380000000000003"/>
    <x v="3"/>
    <x v="7"/>
    <s v="very_low_beta"/>
    <n v="1.2E-2"/>
    <n v="7.0000000000000001E-3"/>
    <n v="84"/>
    <n v="1.8972620786440401E-2"/>
    <n v="-6.9726207864404012E-3"/>
    <n v="-6.9726207864404012E-3"/>
    <n v="1.8464716696060101E-2"/>
    <n v="-6.4647166960601007E-3"/>
  </r>
  <r>
    <n v="0"/>
    <n v="0"/>
    <n v="0"/>
    <n v="0"/>
    <n v="2.6859999999999999"/>
    <n v="2.8330000000000002"/>
    <x v="4"/>
    <x v="12"/>
    <s v="very_low_beta"/>
    <n v="0"/>
    <n v="0"/>
    <n v="4"/>
    <n v="0"/>
    <n v="0"/>
    <n v="0"/>
    <n v="0"/>
    <n v="0"/>
  </r>
  <r>
    <n v="1.7000000000000001E-2"/>
    <n v="1.0999999999999999E-2"/>
    <n v="0"/>
    <n v="6.0000000000000019E-3"/>
    <n v="2.6669999999999998"/>
    <n v="4.5030000000000001"/>
    <x v="0"/>
    <x v="4"/>
    <s v="neutral_beta"/>
    <n v="1.7000000000000001E-2"/>
    <n v="1.0999999999999999E-2"/>
    <n v="84"/>
    <n v="2.0375717122738699E-2"/>
    <n v="-3.375717122738698E-3"/>
    <n v="-3.375717122738698E-3"/>
    <n v="1.4535756252868501E-2"/>
    <n v="2.4642437471315004E-3"/>
  </r>
  <r>
    <n v="1.2E-2"/>
    <n v="8.0000000000000002E-3"/>
    <n v="0"/>
    <n v="4.0000000000000001E-3"/>
    <n v="2.6120000000000001"/>
    <n v="2.3660000000000001"/>
    <x v="0"/>
    <x v="3"/>
    <s v="high_beta"/>
    <n v="1.2E-2"/>
    <n v="8.0000000000000002E-3"/>
    <n v="84"/>
    <n v="1.66529776864222E-2"/>
    <n v="-4.6529776864221994E-3"/>
    <n v="-4.6529776864221994E-3"/>
    <n v="1.0913832164059801E-2"/>
    <n v="1.0861678359401997E-3"/>
  </r>
  <r>
    <n v="3.5000000000000003E-2"/>
    <n v="1.1000000000000003E-2"/>
    <n v="2.1000000000000005E-2"/>
    <n v="2.4E-2"/>
    <n v="2.581"/>
    <n v="5.1230000000000002"/>
    <x v="2"/>
    <x v="9"/>
    <s v="neutral_beta"/>
    <n v="1.4E-2"/>
    <n v="-0.01"/>
    <n v="84"/>
    <n v="5.7444843110723703E-2"/>
    <n v="-4.3444843110723705E-2"/>
    <n v="-2.24448431107237E-2"/>
    <n v="4.5854787185248699E-2"/>
    <n v="-3.1854787185248701E-2"/>
  </r>
  <r>
    <n v="2.5000000000000001E-2"/>
    <n v="1.1000000000000001E-2"/>
    <n v="1.1000000000000001E-2"/>
    <n v="1.4E-2"/>
    <n v="2.5640000000000001"/>
    <n v="3.7229999999999999"/>
    <x v="3"/>
    <x v="7"/>
    <s v="high_beta"/>
    <n v="1.4E-2"/>
    <n v="0"/>
    <n v="64"/>
    <n v="3.7478796358646302E-2"/>
    <n v="-2.3478796358646303E-2"/>
    <n v="-1.24787963586463E-2"/>
    <n v="0"/>
    <n v="1.4E-2"/>
  </r>
  <r>
    <n v="1.4E-2"/>
    <n v="0.01"/>
    <n v="0"/>
    <n v="4.0000000000000001E-3"/>
    <n v="2.512"/>
    <n v="3.1869999999999998"/>
    <x v="2"/>
    <x v="6"/>
    <s v="low_beta"/>
    <n v="1.4E-2"/>
    <n v="0.01"/>
    <n v="84"/>
    <n v="1.4551403409403399E-2"/>
    <n v="-5.5140340940339899E-4"/>
    <n v="-5.5140340940339899E-4"/>
    <n v="0"/>
    <n v="1.4E-2"/>
  </r>
  <r>
    <n v="0.02"/>
    <n v="9.0000000000000011E-3"/>
    <n v="0.01"/>
    <n v="1.0999999999999999E-2"/>
    <n v="2.4740000000000002"/>
    <n v="3.3610000000000002"/>
    <x v="1"/>
    <x v="10"/>
    <s v="very_low_beta"/>
    <n v="0.01"/>
    <n v="-1E-3"/>
    <n v="84"/>
    <n v="2.98818694693186E-2"/>
    <n v="-1.9881869469318601E-2"/>
    <n v="-9.8818694693185993E-3"/>
    <n v="1.8867324364505299E-2"/>
    <n v="-8.8673243645052986E-3"/>
  </r>
  <r>
    <n v="1.7999999999999999E-2"/>
    <n v="1.4E-2"/>
    <n v="0"/>
    <n v="3.9999999999999983E-3"/>
    <n v="2.3519999999999999"/>
    <n v="2.766"/>
    <x v="0"/>
    <x v="0"/>
    <s v="high_beta"/>
    <n v="1.7999999999999999E-2"/>
    <n v="1.4E-2"/>
    <n v="84"/>
    <n v="1.3019416095419701E-2"/>
    <n v="4.9805839045802981E-3"/>
    <n v="4.9805839045802981E-3"/>
    <n v="0"/>
    <n v="1.7999999999999999E-2"/>
  </r>
  <r>
    <n v="0.02"/>
    <n v="4.0000000000000001E-3"/>
    <n v="4.0000000000000001E-3"/>
    <n v="1.6E-2"/>
    <n v="2.3519999999999999"/>
    <n v="3.91"/>
    <x v="0"/>
    <x v="0"/>
    <s v="low_beta"/>
    <n v="1.6E-2"/>
    <n v="0"/>
    <n v="63"/>
    <n v="3.90719055404396E-2"/>
    <n v="-2.30719055404396E-2"/>
    <n v="-1.9071905540439599E-2"/>
    <n v="2.5954032312824001E-2"/>
    <n v="-9.9540323128240009E-3"/>
  </r>
  <r>
    <n v="0.04"/>
    <n v="-2.9999999999999957E-3"/>
    <n v="1.4999999999999999E-2"/>
    <n v="4.2999999999999997E-2"/>
    <n v="2.3479999999999999"/>
    <n v="5.0590000000000002"/>
    <x v="2"/>
    <x v="6"/>
    <s v="high_beta"/>
    <n v="2.5000000000000001E-2"/>
    <n v="-1.7999999999999999E-2"/>
    <n v="38"/>
    <n v="5.2260976788654302E-2"/>
    <n v="-2.7260976788654301E-2"/>
    <n v="-1.2260976788654301E-2"/>
    <n v="5.0045506657633097E-2"/>
    <n v="-2.5045506657633096E-2"/>
  </r>
  <r>
    <n v="0.02"/>
    <n v="0.02"/>
    <n v="0"/>
    <n v="0"/>
    <n v="2.3340000000000001"/>
    <n v="3.173"/>
    <x v="0"/>
    <x v="4"/>
    <s v="neutral_beta"/>
    <n v="0.02"/>
    <n v="0.02"/>
    <n v="84"/>
    <n v="9.51379565721896E-3"/>
    <n v="1.048620434278104E-2"/>
    <n v="1.048620434278104E-2"/>
    <n v="9.8111596493118403E-3"/>
    <n v="1.018884035068816E-2"/>
  </r>
  <r>
    <n v="1.4E-2"/>
    <n v="1.4E-2"/>
    <n v="0"/>
    <n v="0"/>
    <n v="2.3149999999999999"/>
    <n v="2.504"/>
    <x v="0"/>
    <x v="0"/>
    <s v="neutral_beta"/>
    <n v="1.4E-2"/>
    <n v="1.4E-2"/>
    <n v="84"/>
    <n v="9.4367894764609897E-3"/>
    <n v="4.5632105235390106E-3"/>
    <n v="4.5632105235390106E-3"/>
    <n v="0"/>
    <n v="1.4E-2"/>
  </r>
  <r>
    <n v="1.7000000000000001E-2"/>
    <n v="1.2E-2"/>
    <n v="0"/>
    <n v="5.000000000000001E-3"/>
    <n v="2.2770000000000001"/>
    <n v="2.73"/>
    <x v="0"/>
    <x v="13"/>
    <s v="low_beta"/>
    <n v="1.7000000000000001E-2"/>
    <n v="1.2E-2"/>
    <n v="84"/>
    <n v="1.3954818695169201E-2"/>
    <n v="3.0451813048308005E-3"/>
    <n v="3.0451813048308005E-3"/>
    <n v="1.16571934085163E-2"/>
    <n v="5.3428065914837009E-3"/>
  </r>
  <r>
    <n v="7.0000000000000001E-3"/>
    <n v="7.0000000000000001E-3"/>
    <n v="0"/>
    <n v="0"/>
    <n v="2.2280000000000002"/>
    <n v="1.6020000000000001"/>
    <x v="0"/>
    <x v="0"/>
    <s v="high_beta"/>
    <n v="7.0000000000000001E-3"/>
    <n v="7.0000000000000001E-3"/>
    <n v="84"/>
    <n v="9.0793781204308206E-3"/>
    <n v="-2.0793781204308205E-3"/>
    <n v="-2.0793781204308205E-3"/>
    <n v="0"/>
    <n v="7.0000000000000001E-3"/>
  </r>
  <r>
    <n v="1.9E-2"/>
    <n v="1.2999999999999999E-2"/>
    <n v="0"/>
    <n v="6.0000000000000001E-3"/>
    <n v="2.2240000000000002"/>
    <n v="3.0830000000000002"/>
    <x v="0"/>
    <x v="3"/>
    <s v="low_beta"/>
    <n v="1.9E-2"/>
    <n v="1.2999999999999999E-2"/>
    <n v="84"/>
    <n v="1.53898211818661E-2"/>
    <n v="3.6101788181338995E-3"/>
    <n v="3.6101788181338995E-3"/>
    <n v="0"/>
    <n v="1.9E-2"/>
  </r>
  <r>
    <n v="1.7000000000000001E-2"/>
    <n v="1.2E-2"/>
    <n v="0"/>
    <n v="5.000000000000001E-3"/>
    <n v="2.2210000000000001"/>
    <n v="2.5089999999999999"/>
    <x v="0"/>
    <x v="13"/>
    <s v="high_beta"/>
    <n v="1.7000000000000001E-2"/>
    <n v="1.2E-2"/>
    <n v="84"/>
    <n v="1.3831219675731201E-2"/>
    <n v="3.1687803242688006E-3"/>
    <n v="3.1687803242688006E-3"/>
    <n v="9.8315963933172709E-3"/>
    <n v="7.1684036066827304E-3"/>
  </r>
  <r>
    <n v="7.0000000000000001E-3"/>
    <n v="7.0000000000000001E-3"/>
    <n v="0"/>
    <n v="0"/>
    <n v="2.1819999999999999"/>
    <n v="1.577"/>
    <x v="0"/>
    <x v="4"/>
    <s v="high_beta"/>
    <n v="7.0000000000000001E-3"/>
    <n v="7.0000000000000001E-3"/>
    <n v="84"/>
    <n v="8.8927911614837003E-3"/>
    <n v="-1.8927911614837001E-3"/>
    <n v="-1.8927911614837001E-3"/>
    <n v="7.7057477985124001E-3"/>
    <n v="-7.0574779851239992E-4"/>
  </r>
  <r>
    <n v="1.2E-2"/>
    <n v="1.2E-2"/>
    <n v="0"/>
    <n v="0"/>
    <n v="2.15"/>
    <n v="1.579"/>
    <x v="0"/>
    <x v="13"/>
    <s v="neutral_beta"/>
    <n v="1.2E-2"/>
    <n v="1.2E-2"/>
    <n v="84"/>
    <n v="8.7606885042103098E-3"/>
    <n v="3.2393114957896905E-3"/>
    <n v="3.2393114957896905E-3"/>
    <n v="0"/>
    <n v="1.2E-2"/>
  </r>
  <r>
    <n v="1.6E-2"/>
    <n v="0"/>
    <n v="0"/>
    <n v="1.6E-2"/>
    <n v="2.081"/>
    <n v="4.4820000000000002"/>
    <x v="2"/>
    <x v="9"/>
    <s v="very_low_beta"/>
    <n v="1.6E-2"/>
    <n v="0"/>
    <n v="84"/>
    <n v="3.4045298905355202E-2"/>
    <n v="-1.8045298905355202E-2"/>
    <n v="-1.8045298905355202E-2"/>
    <n v="3.0900745920330399E-2"/>
    <n v="-1.4900745920330399E-2"/>
  </r>
  <r>
    <n v="1.9E-2"/>
    <n v="1.6E-2"/>
    <n v="0"/>
    <n v="2.9999999999999992E-3"/>
    <n v="2.0649999999999999"/>
    <n v="2.5019999999999998"/>
    <x v="1"/>
    <x v="10"/>
    <s v="neutral_beta"/>
    <n v="1.9E-2"/>
    <n v="1.6E-2"/>
    <n v="84"/>
    <n v="1.05149880485819E-2"/>
    <n v="8.4850119514180995E-3"/>
    <n v="8.4850119514180995E-3"/>
    <n v="1.18599456608221E-2"/>
    <n v="7.1400543391778992E-3"/>
  </r>
  <r>
    <n v="0.02"/>
    <n v="9.0000000000000011E-3"/>
    <n v="8.0000000000000002E-3"/>
    <n v="1.0999999999999999E-2"/>
    <n v="2.0209999999999999"/>
    <n v="2.867"/>
    <x v="4"/>
    <x v="12"/>
    <s v="very_low_beta"/>
    <n v="1.2E-2"/>
    <n v="1E-3"/>
    <n v="70"/>
    <n v="2.30893773710566E-2"/>
    <n v="-1.10893773710566E-2"/>
    <n v="-3.0893773710565994E-3"/>
    <n v="2.07360119686908E-2"/>
    <n v="-8.7360119686907996E-3"/>
  </r>
  <r>
    <n v="1.2999999999999999E-2"/>
    <n v="1.2999999999999999E-2"/>
    <n v="0"/>
    <n v="0"/>
    <n v="1.992"/>
    <n v="2.1150000000000002"/>
    <x v="4"/>
    <x v="12"/>
    <s v="very_low_beta"/>
    <n v="1.2999999999999999E-2"/>
    <n v="1.2999999999999999E-2"/>
    <n v="84"/>
    <n v="8.1206638811296694E-3"/>
    <n v="4.87933611887033E-3"/>
    <n v="4.87933611887033E-3"/>
    <n v="7.23488372806566E-3"/>
    <n v="5.7651162719343394E-3"/>
  </r>
  <r>
    <n v="0.02"/>
    <n v="1.6E-2"/>
    <n v="0"/>
    <n v="4.0000000000000001E-3"/>
    <n v="1.9830000000000001"/>
    <n v="2.58"/>
    <x v="0"/>
    <x v="0"/>
    <s v="high_beta"/>
    <n v="0.02"/>
    <n v="1.6E-2"/>
    <n v="84"/>
    <n v="1.03465212680326E-2"/>
    <n v="9.6534787319673999E-3"/>
    <n v="9.6534787319673999E-3"/>
    <n v="8.6339202643376696E-3"/>
    <n v="1.1366079735662331E-2"/>
  </r>
  <r>
    <n v="1.4E-2"/>
    <n v="1.4E-2"/>
    <n v="0"/>
    <n v="0"/>
    <n v="1.978"/>
    <n v="2.4569999999999999"/>
    <x v="2"/>
    <x v="8"/>
    <s v="very_low_beta"/>
    <n v="1.4E-2"/>
    <n v="1.4E-2"/>
    <n v="24"/>
    <n v="8.0632015108695002E-3"/>
    <n v="5.9367984891305001E-3"/>
    <n v="5.9367984891305001E-3"/>
    <n v="1.0006746530903899E-2"/>
    <n v="3.9932534690961009E-3"/>
  </r>
  <r>
    <n v="1.2E-2"/>
    <n v="1.2E-2"/>
    <n v="0"/>
    <n v="0"/>
    <n v="1.9630000000000001"/>
    <n v="1.482"/>
    <x v="0"/>
    <x v="4"/>
    <s v="neutral_beta"/>
    <n v="1.2E-2"/>
    <n v="1.2E-2"/>
    <n v="84"/>
    <n v="7.99887371193061E-3"/>
    <n v="4.0011262880693902E-3"/>
    <n v="4.0011262880693902E-3"/>
    <n v="1.17105505215326E-2"/>
    <n v="2.8944947846740003E-4"/>
  </r>
  <r>
    <n v="1.6E-2"/>
    <n v="0.01"/>
    <n v="0"/>
    <n v="6.0000000000000001E-3"/>
    <n v="1.913"/>
    <n v="2.4209999999999998"/>
    <x v="0"/>
    <x v="13"/>
    <s v="high_beta"/>
    <n v="1.6E-2"/>
    <n v="0.01"/>
    <n v="84"/>
    <n v="1.4612549080837801E-2"/>
    <n v="1.3874509191621996E-3"/>
    <n v="1.3874509191621996E-3"/>
    <n v="1.30072227656196E-2"/>
    <n v="2.9927772343804008E-3"/>
  </r>
  <r>
    <n v="1.4999999999999999E-2"/>
    <n v="1.4E-2"/>
    <n v="0"/>
    <n v="9.9999999999999915E-4"/>
    <n v="1.847"/>
    <n v="1.548"/>
    <x v="0"/>
    <x v="13"/>
    <s v="low_beta"/>
    <n v="1.4999999999999999E-2"/>
    <n v="1.4E-2"/>
    <n v="84"/>
    <n v="7.8766722845027195E-3"/>
    <n v="7.12332771549728E-3"/>
    <n v="7.12332771549728E-3"/>
    <n v="0"/>
    <n v="1.4999999999999999E-2"/>
  </r>
  <r>
    <n v="0"/>
    <n v="0"/>
    <n v="0"/>
    <n v="0"/>
    <n v="1.845"/>
    <n v="2.5089999999999999"/>
    <x v="0"/>
    <x v="4"/>
    <s v="neutral_beta"/>
    <n v="0"/>
    <n v="0"/>
    <n v="10"/>
    <n v="0"/>
    <n v="0"/>
    <n v="0"/>
    <n v="0"/>
    <n v="0"/>
  </r>
  <r>
    <n v="0"/>
    <n v="0"/>
    <n v="0"/>
    <n v="0"/>
    <n v="1.8420000000000001"/>
    <n v="2.395"/>
    <x v="1"/>
    <x v="14"/>
    <s v="very_low_beta"/>
    <n v="0"/>
    <n v="0"/>
    <n v="13"/>
    <n v="0"/>
    <n v="0"/>
    <n v="0"/>
    <n v="0"/>
    <n v="0"/>
  </r>
  <r>
    <n v="6.0000000000000001E-3"/>
    <n v="6.0000000000000001E-3"/>
    <n v="0"/>
    <n v="0"/>
    <n v="1.84"/>
    <n v="1.2609999999999999"/>
    <x v="1"/>
    <x v="10"/>
    <s v="high_beta"/>
    <n v="6.0000000000000001E-3"/>
    <n v="6.0000000000000001E-3"/>
    <n v="84"/>
    <n v="7.5005401518103004E-3"/>
    <n v="-1.5005401518103003E-3"/>
    <n v="-1.5005401518103003E-3"/>
    <n v="0"/>
    <n v="6.0000000000000001E-3"/>
  </r>
  <r>
    <n v="1.4E-2"/>
    <n v="1.4E-2"/>
    <n v="0"/>
    <n v="0"/>
    <n v="1.794"/>
    <n v="2.2989999999999999"/>
    <x v="4"/>
    <x v="15"/>
    <s v="low_beta"/>
    <n v="1.4E-2"/>
    <n v="1.4E-2"/>
    <n v="84"/>
    <n v="7.3117884258815501E-3"/>
    <n v="6.6882115741184502E-3"/>
    <n v="6.6882115741184502E-3"/>
    <n v="0"/>
    <n v="1.4E-2"/>
  </r>
  <r>
    <n v="1.7000000000000001E-2"/>
    <n v="1.0999999999999999E-2"/>
    <n v="0"/>
    <n v="6.0000000000000019E-3"/>
    <n v="1.792"/>
    <n v="1.504"/>
    <x v="0"/>
    <x v="0"/>
    <s v="very_high_beta"/>
    <n v="1.7000000000000001E-2"/>
    <n v="1.0999999999999999E-2"/>
    <n v="84"/>
    <n v="1.31078570053134E-2"/>
    <n v="3.8921429946866017E-3"/>
    <n v="3.8921429946866017E-3"/>
    <n v="0"/>
    <n v="1.7000000000000001E-2"/>
  </r>
  <r>
    <n v="1.2E-2"/>
    <n v="1.2E-2"/>
    <n v="0"/>
    <n v="0"/>
    <n v="1.7889999999999999"/>
    <n v="2.0099999999999998"/>
    <x v="1"/>
    <x v="16"/>
    <s v="very_low_beta"/>
    <n v="1.2E-2"/>
    <n v="1.2E-2"/>
    <n v="52"/>
    <n v="7.2914323263972604E-3"/>
    <n v="4.7085676736027399E-3"/>
    <n v="4.7085676736027399E-3"/>
    <n v="8.2330390417265399E-3"/>
    <n v="3.7669609582734603E-3"/>
  </r>
  <r>
    <n v="0"/>
    <n v="0"/>
    <n v="-0.01"/>
    <n v="0"/>
    <n v="1.7529999999999999"/>
    <n v="2.1240000000000001"/>
    <x v="2"/>
    <x v="9"/>
    <s v="very_low_beta"/>
    <n v="0.01"/>
    <n v="0.01"/>
    <n v="84"/>
    <n v="7.1446106538856496E-3"/>
    <n v="2.8553893461143506E-3"/>
    <n v="-7.1446106538856496E-3"/>
    <n v="9.3016251727252395E-3"/>
    <n v="6.9837482727476072E-4"/>
  </r>
  <r>
    <n v="1.2E-2"/>
    <n v="0.01"/>
    <n v="0"/>
    <n v="2E-3"/>
    <n v="1.7250000000000001"/>
    <n v="1.2290000000000001"/>
    <x v="0"/>
    <x v="2"/>
    <s v="neutral_beta"/>
    <n v="1.2E-2"/>
    <n v="0.01"/>
    <n v="84"/>
    <n v="7.8636330091286701E-3"/>
    <n v="4.1363669908713301E-3"/>
    <n v="4.1363669908713301E-3"/>
    <n v="0"/>
    <n v="1.2E-2"/>
  </r>
  <r>
    <n v="1.7000000000000001E-2"/>
    <n v="1.4999999999999999E-2"/>
    <n v="0"/>
    <n v="2.0000000000000018E-3"/>
    <n v="1.641"/>
    <n v="1.6140000000000001"/>
    <x v="1"/>
    <x v="14"/>
    <s v="very_high_beta"/>
    <n v="1.7000000000000001E-2"/>
    <n v="1.4999999999999999E-2"/>
    <n v="84"/>
    <n v="7.4959301045983504E-3"/>
    <n v="9.5040698954016508E-3"/>
    <n v="9.5040698954016508E-3"/>
    <n v="0"/>
    <n v="1.7000000000000001E-2"/>
  </r>
  <r>
    <n v="1.4E-2"/>
    <n v="1.4E-2"/>
    <n v="0"/>
    <n v="0"/>
    <n v="1.6180000000000001"/>
    <n v="1.2170000000000001"/>
    <x v="2"/>
    <x v="6"/>
    <s v="very_high_beta"/>
    <n v="1.4E-2"/>
    <n v="1.4E-2"/>
    <n v="84"/>
    <n v="6.5926573871166001E-3"/>
    <n v="7.4073426128834002E-3"/>
    <n v="7.4073426128834002E-3"/>
    <n v="0"/>
    <n v="1.4E-2"/>
  </r>
  <r>
    <n v="0"/>
    <n v="0"/>
    <n v="-2.1000000000000001E-2"/>
    <n v="0"/>
    <n v="1.5840000000000001"/>
    <n v="2.153"/>
    <x v="0"/>
    <x v="4"/>
    <s v="neutral_beta"/>
    <n v="2.1000000000000001E-2"/>
    <n v="2.1000000000000001E-2"/>
    <n v="84"/>
    <n v="6.4548488840010503E-3"/>
    <n v="1.4545151115998951E-2"/>
    <n v="-6.4548488840010503E-3"/>
    <n v="1.12899499827197E-2"/>
    <n v="9.7100500172803018E-3"/>
  </r>
  <r>
    <n v="1.2E-2"/>
    <n v="1.2E-2"/>
    <n v="0"/>
    <n v="0"/>
    <n v="1.5409999999999999"/>
    <n v="1.9890000000000001"/>
    <x v="1"/>
    <x v="16"/>
    <s v="very_low_beta"/>
    <n v="1.2E-2"/>
    <n v="1.2E-2"/>
    <n v="30"/>
    <n v="6.2813208431310302E-3"/>
    <n v="5.71867915686897E-3"/>
    <n v="5.71867915686897E-3"/>
    <n v="7.9390295750858802E-3"/>
    <n v="4.0609704249141201E-3"/>
  </r>
  <r>
    <n v="1.6E-2"/>
    <n v="1.6E-2"/>
    <n v="0"/>
    <n v="0"/>
    <n v="1.478"/>
    <n v="1.988"/>
    <x v="2"/>
    <x v="9"/>
    <s v="low_beta"/>
    <n v="1.6E-2"/>
    <n v="1.6E-2"/>
    <n v="84"/>
    <n v="6.0246696210989803E-3"/>
    <n v="9.9753303789010192E-3"/>
    <n v="9.9753303789010192E-3"/>
    <n v="8.9020624436739002E-3"/>
    <n v="7.0979375563261001E-3"/>
  </r>
  <r>
    <n v="1.6E-2"/>
    <n v="1.6E-2"/>
    <n v="0"/>
    <n v="0"/>
    <n v="1.4590000000000001"/>
    <n v="1.984"/>
    <x v="2"/>
    <x v="9"/>
    <s v="low_beta"/>
    <n v="1.6E-2"/>
    <n v="1.6E-2"/>
    <n v="84"/>
    <n v="5.9479943257425699E-3"/>
    <n v="1.005200567425743E-2"/>
    <n v="1.005200567425743E-2"/>
    <n v="9.3259146942408899E-3"/>
    <n v="6.6740853057591105E-3"/>
  </r>
  <r>
    <n v="1.4999999999999999E-2"/>
    <n v="6.9999999999999993E-3"/>
    <n v="0"/>
    <n v="8.0000000000000002E-3"/>
    <n v="1.4379999999999999"/>
    <n v="1.218"/>
    <x v="0"/>
    <x v="3"/>
    <s v="neutral_beta"/>
    <n v="1.4999999999999999E-2"/>
    <n v="7.0000000000000001E-3"/>
    <n v="77"/>
    <n v="1.3524977395769E-2"/>
    <n v="1.4750226042309997E-3"/>
    <n v="1.4750226042309997E-3"/>
    <n v="0"/>
    <n v="1.4999999999999999E-2"/>
  </r>
  <r>
    <n v="0"/>
    <n v="0"/>
    <n v="-2.5000000000000001E-2"/>
    <n v="0"/>
    <n v="1.4339999999999999"/>
    <n v="1.806"/>
    <x v="2"/>
    <x v="9"/>
    <s v="high_beta"/>
    <n v="2.5000000000000001E-2"/>
    <n v="2.5000000000000001E-2"/>
    <n v="34"/>
    <n v="5.8436853215289497E-3"/>
    <n v="1.9156314678471051E-2"/>
    <n v="-5.8436853215289497E-3"/>
    <n v="1.1635979096034201E-2"/>
    <n v="1.3364020903965801E-2"/>
  </r>
  <r>
    <n v="0"/>
    <n v="0"/>
    <n v="-2.1000000000000001E-2"/>
    <n v="0"/>
    <n v="1.429"/>
    <n v="1.873"/>
    <x v="0"/>
    <x v="4"/>
    <s v="neutral_beta"/>
    <n v="2.1000000000000001E-2"/>
    <n v="2.1000000000000001E-2"/>
    <n v="28"/>
    <n v="5.8256116403234397E-3"/>
    <n v="1.5174388359676562E-2"/>
    <n v="-5.8256116403234397E-3"/>
    <n v="9.0223402721789393E-3"/>
    <n v="1.1977659727821062E-2"/>
  </r>
  <r>
    <n v="1.2999999999999999E-2"/>
    <n v="0.01"/>
    <n v="0"/>
    <n v="2.9999999999999992E-3"/>
    <n v="1.37"/>
    <n v="1.456"/>
    <x v="0"/>
    <x v="4"/>
    <s v="very_low_beta"/>
    <n v="1.2999999999999999E-2"/>
    <n v="0.01"/>
    <n v="84"/>
    <n v="6.7723638830977E-3"/>
    <n v="6.2276361169022994E-3"/>
    <n v="6.2276361169022994E-3"/>
    <n v="0"/>
    <n v="1.2999999999999999E-2"/>
  </r>
  <r>
    <n v="2.1000000000000001E-2"/>
    <n v="2.1000000000000001E-2"/>
    <n v="0"/>
    <n v="0"/>
    <n v="1.355"/>
    <n v="1.806"/>
    <x v="2"/>
    <x v="9"/>
    <s v="neutral_beta"/>
    <n v="2.1000000000000001E-2"/>
    <n v="2.1000000000000001E-2"/>
    <n v="26"/>
    <n v="5.5243691860086298E-3"/>
    <n v="1.5475630813991371E-2"/>
    <n v="1.5475630813991371E-2"/>
    <n v="1.18077870820744E-2"/>
    <n v="9.1922129179256018E-3"/>
  </r>
  <r>
    <n v="1.4999999999999999E-2"/>
    <n v="-2.9999999999999992E-3"/>
    <n v="0"/>
    <n v="1.7999999999999999E-2"/>
    <n v="1.349"/>
    <n v="2.9060000000000001"/>
    <x v="4"/>
    <x v="15"/>
    <s v="high_beta"/>
    <n v="1.4999999999999999E-2"/>
    <n v="-3.0000000000000001E-3"/>
    <n v="60"/>
    <n v="2.4113421788551699E-2"/>
    <n v="-9.1134217885516997E-3"/>
    <n v="-9.1134217885516997E-3"/>
    <n v="0"/>
    <n v="1.4999999999999999E-2"/>
  </r>
  <r>
    <n v="1.7999999999999999E-2"/>
    <n v="4.0000000000000001E-3"/>
    <n v="0"/>
    <n v="1.3999999999999999E-2"/>
    <n v="1.3340000000000001"/>
    <n v="2.0670000000000002"/>
    <x v="0"/>
    <x v="0"/>
    <s v="high_beta"/>
    <n v="1.7999999999999999E-2"/>
    <n v="4.0000000000000001E-3"/>
    <n v="66"/>
    <n v="1.8643580541980401E-2"/>
    <n v="-6.4358054198040276E-4"/>
    <n v="-6.4358054198040276E-4"/>
    <n v="0"/>
    <n v="1.7999999999999999E-2"/>
  </r>
  <r>
    <n v="1.6E-2"/>
    <n v="1.6E-2"/>
    <n v="0"/>
    <n v="0"/>
    <n v="1.3129999999999999"/>
    <n v="1.7470000000000001"/>
    <x v="2"/>
    <x v="9"/>
    <s v="low_beta"/>
    <n v="1.6E-2"/>
    <n v="1.6E-2"/>
    <n v="29"/>
    <n v="5.3520670750930102E-3"/>
    <n v="1.064793292490699E-2"/>
    <n v="1.064793292490699E-2"/>
    <n v="9.8033024403716609E-3"/>
    <n v="6.1966975596283395E-3"/>
  </r>
  <r>
    <n v="1.6E-2"/>
    <n v="1.2E-2"/>
    <n v="0"/>
    <n v="4.0000000000000001E-3"/>
    <n v="1.292"/>
    <n v="1.5049999999999999"/>
    <x v="4"/>
    <x v="15"/>
    <s v="low_beta"/>
    <n v="1.6E-2"/>
    <n v="1.2E-2"/>
    <n v="84"/>
    <n v="6.9467780615663898E-3"/>
    <n v="9.0532219384336105E-3"/>
    <n v="9.0532219384336105E-3"/>
    <n v="0"/>
    <n v="1.6E-2"/>
  </r>
  <r>
    <n v="2.7E-2"/>
    <n v="-1.5999999999999997E-2"/>
    <n v="0"/>
    <n v="4.2999999999999997E-2"/>
    <n v="1.278"/>
    <n v="2.3660000000000001"/>
    <x v="0"/>
    <x v="3"/>
    <s v="neutral_beta"/>
    <n v="2.7E-2"/>
    <n v="-1.6E-2"/>
    <n v="40"/>
    <n v="2.84495386833916E-2"/>
    <n v="-1.4495386833916005E-3"/>
    <n v="-1.4495386833916005E-3"/>
    <n v="0"/>
    <n v="2.7E-2"/>
  </r>
  <r>
    <n v="0"/>
    <n v="-3.0000000000000001E-3"/>
    <n v="0"/>
    <n v="3.0000000000000001E-3"/>
    <n v="1.268"/>
    <n v="1.6479999999999999"/>
    <x v="1"/>
    <x v="14"/>
    <s v="low_beta"/>
    <n v="0"/>
    <n v="-3.0000000000000001E-3"/>
    <n v="84"/>
    <n v="0"/>
    <n v="0"/>
    <n v="0"/>
    <n v="0"/>
    <n v="0"/>
  </r>
  <r>
    <n v="0.01"/>
    <n v="-1.9999999999999997E-2"/>
    <n v="0.01"/>
    <n v="0.03"/>
    <n v="1.2310000000000001"/>
    <n v="2.48"/>
    <x v="2"/>
    <x v="9"/>
    <s v="low_beta"/>
    <n v="0"/>
    <n v="-0.03"/>
    <n v="47"/>
    <n v="0"/>
    <n v="0"/>
    <n v="0.01"/>
    <n v="6.15297084127477E-2"/>
    <n v="-6.15297084127477E-2"/>
  </r>
  <r>
    <n v="0"/>
    <n v="-1.7000000000000001E-2"/>
    <n v="0"/>
    <n v="1.7000000000000001E-2"/>
    <n v="1.1499999999999999"/>
    <n v="2.476"/>
    <x v="2"/>
    <x v="6"/>
    <s v="high_beta"/>
    <n v="0"/>
    <n v="-1.7000000000000001E-2"/>
    <n v="62"/>
    <n v="0"/>
    <n v="0"/>
    <n v="0"/>
    <n v="3.8726730408163497E-2"/>
    <n v="-3.8726730408163497E-2"/>
  </r>
  <r>
    <n v="0"/>
    <n v="0"/>
    <n v="0"/>
    <n v="0"/>
    <n v="1.105"/>
    <n v="1.175"/>
    <x v="2"/>
    <x v="9"/>
    <s v="very_low_beta"/>
    <n v="0"/>
    <n v="0"/>
    <n v="84"/>
    <n v="0"/>
    <n v="0"/>
    <n v="0"/>
    <n v="9.9575257526368696E-3"/>
    <n v="-9.9575257526368696E-3"/>
  </r>
  <r>
    <n v="0"/>
    <n v="-2.8000000000000001E-2"/>
    <n v="0"/>
    <n v="2.8000000000000001E-2"/>
    <n v="1.101"/>
    <n v="2.371"/>
    <x v="2"/>
    <x v="9"/>
    <s v="low_beta"/>
    <n v="0"/>
    <n v="-2.8000000000000001E-2"/>
    <n v="49"/>
    <n v="0"/>
    <n v="0"/>
    <n v="0"/>
    <n v="5.0382925660308303E-2"/>
    <n v="-5.0382925660308303E-2"/>
  </r>
  <r>
    <n v="0"/>
    <n v="-4.0000000000000001E-3"/>
    <n v="0"/>
    <n v="4.0000000000000001E-3"/>
    <n v="1.0900000000000001"/>
    <n v="1.6479999999999999"/>
    <x v="3"/>
    <x v="17"/>
    <s v="neutral_beta"/>
    <n v="0"/>
    <n v="-4.0000000000000001E-3"/>
    <n v="84"/>
    <n v="0"/>
    <n v="0"/>
    <n v="0"/>
    <n v="0"/>
    <n v="0"/>
  </r>
  <r>
    <n v="0"/>
    <n v="0"/>
    <n v="0"/>
    <n v="0"/>
    <n v="1.046"/>
    <n v="1.4219999999999999"/>
    <x v="0"/>
    <x v="4"/>
    <s v="neutral_beta"/>
    <n v="0"/>
    <n v="0"/>
    <n v="2"/>
    <n v="0"/>
    <n v="0"/>
    <n v="0"/>
    <n v="0"/>
    <n v="0"/>
  </r>
  <r>
    <n v="0"/>
    <n v="-2.1999999999999999E-2"/>
    <n v="0"/>
    <n v="2.1999999999999999E-2"/>
    <n v="1.0289999999999999"/>
    <n v="2.09"/>
    <x v="1"/>
    <x v="10"/>
    <s v="low_beta"/>
    <n v="0"/>
    <n v="-2.1999999999999999E-2"/>
    <n v="57"/>
    <n v="0"/>
    <n v="0"/>
    <n v="0"/>
    <n v="0"/>
    <n v="0"/>
  </r>
  <r>
    <n v="0"/>
    <n v="-5.0000000000000001E-3"/>
    <n v="0"/>
    <n v="5.0000000000000001E-3"/>
    <n v="1.018"/>
    <n v="1.2270000000000001"/>
    <x v="0"/>
    <x v="0"/>
    <s v="high_beta"/>
    <n v="0"/>
    <n v="-5.0000000000000001E-3"/>
    <n v="84"/>
    <n v="0"/>
    <n v="0"/>
    <n v="0"/>
    <n v="0"/>
    <n v="0"/>
  </r>
  <r>
    <n v="0"/>
    <n v="-3.1E-2"/>
    <n v="0"/>
    <n v="3.1E-2"/>
    <n v="1.0149999999999999"/>
    <n v="2.1869999999999998"/>
    <x v="2"/>
    <x v="6"/>
    <s v="high_beta"/>
    <n v="0"/>
    <n v="-3.1E-2"/>
    <n v="46"/>
    <n v="0"/>
    <n v="0"/>
    <n v="0"/>
    <n v="4.0261867185247699E-2"/>
    <n v="-4.0261867185247699E-2"/>
  </r>
  <r>
    <n v="0"/>
    <n v="0"/>
    <n v="0"/>
    <n v="0"/>
    <n v="1.0069999999999999"/>
    <n v="1.2290000000000001"/>
    <x v="4"/>
    <x v="15"/>
    <s v="very_low_beta"/>
    <n v="0"/>
    <n v="0"/>
    <n v="84"/>
    <n v="0"/>
    <n v="0"/>
    <n v="0"/>
    <n v="0"/>
    <n v="0"/>
  </r>
  <r>
    <n v="0"/>
    <n v="0"/>
    <n v="0"/>
    <n v="0"/>
    <n v="1.0049999999999999"/>
    <n v="1.2669999999999999"/>
    <x v="4"/>
    <x v="15"/>
    <s v="low_beta"/>
    <n v="0"/>
    <n v="0"/>
    <n v="84"/>
    <n v="0"/>
    <n v="0"/>
    <n v="0"/>
    <n v="0"/>
    <n v="0"/>
  </r>
  <r>
    <n v="0"/>
    <n v="-3.0000000000000001E-3"/>
    <n v="0"/>
    <n v="3.0000000000000001E-3"/>
    <n v="0.99099999999999999"/>
    <n v="0.70899999999999996"/>
    <x v="0"/>
    <x v="2"/>
    <s v="very_high_beta"/>
    <n v="0"/>
    <n v="-3.0000000000000001E-3"/>
    <n v="84"/>
    <n v="0"/>
    <n v="0"/>
    <n v="0"/>
    <n v="9.0399092361523707E-3"/>
    <n v="-9.0399092361523707E-3"/>
  </r>
  <r>
    <n v="0"/>
    <n v="-1.2E-2"/>
    <n v="0"/>
    <n v="1.2E-2"/>
    <n v="0.98099999999999998"/>
    <n v="1.841"/>
    <x v="4"/>
    <x v="18"/>
    <s v="very_low_beta"/>
    <n v="0"/>
    <n v="-1.2E-2"/>
    <n v="69"/>
    <n v="0"/>
    <n v="0"/>
    <n v="0"/>
    <n v="0"/>
    <n v="0"/>
  </r>
  <r>
    <n v="0"/>
    <n v="-3.0000000000000001E-3"/>
    <n v="0"/>
    <n v="3.0000000000000001E-3"/>
    <n v="0.97099999999999997"/>
    <n v="1.2110000000000001"/>
    <x v="0"/>
    <x v="19"/>
    <s v="neutral_beta"/>
    <n v="0"/>
    <n v="-3.0000000000000001E-3"/>
    <n v="84"/>
    <n v="0"/>
    <n v="0"/>
    <n v="0"/>
    <n v="0"/>
    <n v="0"/>
  </r>
  <r>
    <n v="0"/>
    <n v="-4.0000000000000001E-3"/>
    <n v="0"/>
    <n v="4.0000000000000001E-3"/>
    <n v="0.96699999999999997"/>
    <n v="0.96299999999999997"/>
    <x v="1"/>
    <x v="14"/>
    <s v="low_beta"/>
    <n v="0"/>
    <n v="-4.0000000000000001E-3"/>
    <n v="84"/>
    <n v="0"/>
    <n v="0"/>
    <n v="0"/>
    <n v="0"/>
    <n v="0"/>
  </r>
  <r>
    <n v="0"/>
    <n v="0"/>
    <n v="0"/>
    <n v="0"/>
    <n v="0.96199999999999997"/>
    <n v="1.198"/>
    <x v="0"/>
    <x v="4"/>
    <s v="neutral_beta"/>
    <n v="0"/>
    <n v="0"/>
    <n v="6"/>
    <n v="0"/>
    <n v="0"/>
    <n v="0"/>
    <n v="0"/>
    <n v="0"/>
  </r>
  <r>
    <n v="0"/>
    <n v="0"/>
    <n v="0"/>
    <n v="0"/>
    <n v="0.95599999999999996"/>
    <n v="1.212"/>
    <x v="1"/>
    <x v="16"/>
    <s v="very_low_beta"/>
    <n v="0"/>
    <n v="0"/>
    <n v="44"/>
    <n v="0"/>
    <n v="0"/>
    <n v="0"/>
    <n v="9.5083359713939095E-3"/>
    <n v="-9.5083359713939095E-3"/>
  </r>
  <r>
    <n v="0"/>
    <n v="-1.0999999999999999E-2"/>
    <n v="0"/>
    <n v="1.0999999999999999E-2"/>
    <n v="0.95399999999999996"/>
    <n v="0.82799999999999996"/>
    <x v="0"/>
    <x v="0"/>
    <s v="neutral_beta"/>
    <n v="0"/>
    <n v="-1.0999999999999999E-2"/>
    <n v="84"/>
    <n v="0"/>
    <n v="0"/>
    <n v="0"/>
    <n v="1.98098768631296E-2"/>
    <n v="-1.98098768631296E-2"/>
  </r>
  <r>
    <n v="0"/>
    <n v="-4.0000000000000001E-3"/>
    <n v="0"/>
    <n v="4.0000000000000001E-3"/>
    <n v="0.93300000000000005"/>
    <n v="0.80900000000000005"/>
    <x v="1"/>
    <x v="10"/>
    <s v="high_beta"/>
    <n v="0"/>
    <n v="-4.0000000000000001E-3"/>
    <n v="84"/>
    <n v="0"/>
    <n v="0"/>
    <n v="0"/>
    <n v="0"/>
    <n v="0"/>
  </r>
  <r>
    <n v="0"/>
    <n v="0"/>
    <n v="0"/>
    <n v="0"/>
    <n v="0.92600000000000005"/>
    <n v="1.141"/>
    <x v="4"/>
    <x v="15"/>
    <s v="low_beta"/>
    <n v="0"/>
    <n v="0"/>
    <n v="39"/>
    <n v="0"/>
    <n v="0"/>
    <n v="0"/>
    <n v="0"/>
    <n v="0"/>
  </r>
  <r>
    <n v="0"/>
    <n v="-2.1999999999999999E-2"/>
    <n v="0"/>
    <n v="2.1999999999999999E-2"/>
    <n v="0.91"/>
    <n v="1.639"/>
    <x v="1"/>
    <x v="10"/>
    <s v="low_beta"/>
    <n v="0"/>
    <n v="-2.1999999999999999E-2"/>
    <n v="58"/>
    <n v="0"/>
    <n v="0"/>
    <n v="0"/>
    <n v="0"/>
    <n v="0"/>
  </r>
  <r>
    <n v="0"/>
    <n v="0"/>
    <n v="0"/>
    <n v="0"/>
    <n v="0.89"/>
    <n v="1.1259999999999999"/>
    <x v="2"/>
    <x v="9"/>
    <s v="high_beta"/>
    <n v="0"/>
    <n v="0"/>
    <n v="5"/>
    <n v="0"/>
    <n v="0"/>
    <n v="0"/>
    <n v="0"/>
    <n v="0"/>
  </r>
  <r>
    <n v="0"/>
    <n v="0"/>
    <n v="0"/>
    <n v="0"/>
    <n v="0.872"/>
    <n v="1.1040000000000001"/>
    <x v="2"/>
    <x v="9"/>
    <s v="low_beta"/>
    <n v="0"/>
    <n v="0"/>
    <n v="48"/>
    <n v="0"/>
    <n v="0"/>
    <n v="0"/>
    <n v="8.2738996846392302E-3"/>
    <n v="-8.2738996846392302E-3"/>
  </r>
  <r>
    <n v="0"/>
    <n v="0"/>
    <n v="0"/>
    <n v="0"/>
    <n v="0.83399999999999996"/>
    <n v="1.1339999999999999"/>
    <x v="2"/>
    <x v="9"/>
    <s v="low_beta"/>
    <n v="0"/>
    <n v="0"/>
    <n v="43"/>
    <n v="0"/>
    <n v="0"/>
    <n v="0"/>
    <n v="9.1917041313772097E-3"/>
    <n v="-9.1917041313772097E-3"/>
  </r>
  <r>
    <n v="0"/>
    <n v="0"/>
    <n v="0"/>
    <n v="0"/>
    <n v="0.83"/>
    <n v="0.622"/>
    <x v="0"/>
    <x v="2"/>
    <s v="low_beta"/>
    <n v="0"/>
    <n v="0"/>
    <n v="84"/>
    <n v="0"/>
    <n v="0"/>
    <n v="0"/>
    <n v="0"/>
    <n v="0"/>
  </r>
  <r>
    <n v="0"/>
    <n v="0"/>
    <n v="0"/>
    <n v="0"/>
    <n v="0.82799999999999996"/>
    <n v="0.98799999999999999"/>
    <x v="0"/>
    <x v="20"/>
    <s v="low_beta"/>
    <n v="0"/>
    <n v="0"/>
    <n v="20"/>
    <n v="0"/>
    <n v="0"/>
    <n v="0"/>
    <n v="9.5337001877279608E-3"/>
    <n v="-9.5337001877279608E-3"/>
  </r>
  <r>
    <n v="0"/>
    <n v="-1E-3"/>
    <n v="0"/>
    <n v="1E-3"/>
    <n v="0.82699999999999996"/>
    <n v="0.60599999999999998"/>
    <x v="0"/>
    <x v="19"/>
    <s v="very_high_beta"/>
    <n v="0"/>
    <n v="-1E-3"/>
    <n v="84"/>
    <n v="0"/>
    <n v="0"/>
    <n v="0"/>
    <n v="0"/>
    <n v="0"/>
  </r>
  <r>
    <n v="0"/>
    <n v="0"/>
    <n v="0"/>
    <n v="0"/>
    <n v="0.81399999999999995"/>
    <n v="0.94299999999999995"/>
    <x v="0"/>
    <x v="4"/>
    <s v="high_beta"/>
    <n v="0"/>
    <n v="0"/>
    <n v="84"/>
    <n v="0"/>
    <n v="0"/>
    <n v="0"/>
    <n v="0"/>
    <n v="0"/>
  </r>
  <r>
    <n v="0"/>
    <n v="0"/>
    <n v="0"/>
    <n v="0"/>
    <n v="0.79700000000000004"/>
    <n v="0.60899999999999999"/>
    <x v="4"/>
    <x v="18"/>
    <s v="very_low_beta"/>
    <n v="0"/>
    <n v="0"/>
    <n v="84"/>
    <n v="0"/>
    <n v="0"/>
    <n v="0"/>
    <n v="0"/>
    <n v="0"/>
  </r>
  <r>
    <n v="0"/>
    <n v="0"/>
    <n v="0"/>
    <n v="0"/>
    <n v="0.78300000000000003"/>
    <n v="0.94199999999999995"/>
    <x v="0"/>
    <x v="4"/>
    <s v="neutral_beta"/>
    <n v="0"/>
    <n v="0"/>
    <n v="84"/>
    <n v="0"/>
    <n v="0"/>
    <n v="0"/>
    <n v="0"/>
    <n v="0"/>
  </r>
  <r>
    <n v="0"/>
    <n v="-2E-3"/>
    <n v="0"/>
    <n v="2E-3"/>
    <n v="0.77200000000000002"/>
    <n v="0.92500000000000004"/>
    <x v="0"/>
    <x v="3"/>
    <s v="high_beta"/>
    <n v="0"/>
    <n v="-2E-3"/>
    <n v="84"/>
    <n v="0"/>
    <n v="0"/>
    <n v="0"/>
    <n v="0"/>
    <n v="0"/>
  </r>
  <r>
    <n v="0"/>
    <n v="-8.0000000000000002E-3"/>
    <n v="0"/>
    <n v="8.0000000000000002E-3"/>
    <n v="0.76"/>
    <n v="0.60399999999999998"/>
    <x v="0"/>
    <x v="3"/>
    <s v="very_high_beta"/>
    <n v="0"/>
    <n v="-8.0000000000000002E-3"/>
    <n v="78"/>
    <n v="0"/>
    <n v="0"/>
    <n v="0"/>
    <n v="0"/>
    <n v="0"/>
  </r>
  <r>
    <n v="0"/>
    <n v="-1E-3"/>
    <n v="0"/>
    <n v="1E-3"/>
    <n v="0.75700000000000001"/>
    <n v="0.628"/>
    <x v="1"/>
    <x v="10"/>
    <s v="neutral_beta"/>
    <n v="0"/>
    <n v="-1E-3"/>
    <n v="84"/>
    <n v="0"/>
    <n v="0"/>
    <n v="0"/>
    <n v="0"/>
    <n v="0"/>
  </r>
  <r>
    <n v="0"/>
    <n v="-1.2999999999999999E-2"/>
    <n v="0"/>
    <n v="1.2999999999999999E-2"/>
    <n v="0.748"/>
    <n v="1.3819999999999999"/>
    <x v="2"/>
    <x v="9"/>
    <s v="high_beta"/>
    <n v="0"/>
    <n v="-1.2999999999999999E-2"/>
    <n v="84"/>
    <n v="0"/>
    <n v="0"/>
    <n v="0"/>
    <n v="2.6925647196765299E-2"/>
    <n v="-2.6925647196765299E-2"/>
  </r>
  <r>
    <n v="0"/>
    <n v="0"/>
    <n v="0"/>
    <n v="0"/>
    <n v="0.74099999999999999"/>
    <n v="0.55100000000000005"/>
    <x v="3"/>
    <x v="7"/>
    <s v="very_low_beta"/>
    <n v="0"/>
    <n v="0"/>
    <n v="84"/>
    <n v="0"/>
    <n v="0"/>
    <n v="0"/>
    <n v="0"/>
    <n v="0"/>
  </r>
  <r>
    <n v="0"/>
    <n v="-1.2999999999999999E-2"/>
    <n v="0"/>
    <n v="1.2999999999999999E-2"/>
    <n v="0.73799999999999999"/>
    <n v="1.161"/>
    <x v="1"/>
    <x v="16"/>
    <s v="low_beta"/>
    <n v="0"/>
    <n v="-1.2999999999999999E-2"/>
    <n v="67"/>
    <n v="0"/>
    <n v="0"/>
    <n v="0"/>
    <n v="0"/>
    <n v="0"/>
  </r>
  <r>
    <n v="0"/>
    <n v="0"/>
    <n v="0"/>
    <n v="0"/>
    <n v="0.73499999999999999"/>
    <n v="0.93799999999999994"/>
    <x v="2"/>
    <x v="9"/>
    <s v="high_beta"/>
    <n v="0"/>
    <n v="0"/>
    <n v="21"/>
    <n v="0"/>
    <n v="0"/>
    <n v="0"/>
    <n v="1.02640064422E-2"/>
    <n v="-1.02640064422E-2"/>
  </r>
  <r>
    <n v="0"/>
    <n v="-1.7999999999999999E-2"/>
    <n v="0"/>
    <n v="1.7999999999999999E-2"/>
    <n v="0.72899999999999998"/>
    <n v="0.76100000000000001"/>
    <x v="0"/>
    <x v="2"/>
    <s v="high_beta"/>
    <n v="0"/>
    <n v="-1.7999999999999999E-2"/>
    <n v="61"/>
    <n v="0"/>
    <n v="0"/>
    <n v="0"/>
    <n v="0"/>
    <n v="0"/>
  </r>
  <r>
    <n v="0"/>
    <n v="0"/>
    <n v="0"/>
    <n v="0"/>
    <n v="0.71"/>
    <n v="0.89300000000000002"/>
    <x v="0"/>
    <x v="4"/>
    <s v="neutral_beta"/>
    <n v="0"/>
    <n v="0"/>
    <n v="45"/>
    <n v="0"/>
    <n v="0"/>
    <n v="0"/>
    <n v="0"/>
    <n v="0"/>
  </r>
  <r>
    <n v="0"/>
    <n v="-2.1999999999999999E-2"/>
    <n v="0"/>
    <n v="2.1999999999999999E-2"/>
    <n v="0.7"/>
    <n v="1.4990000000000001"/>
    <x v="4"/>
    <x v="15"/>
    <s v="neutral_beta"/>
    <n v="0"/>
    <n v="-2.1999999999999999E-2"/>
    <n v="56"/>
    <n v="0"/>
    <n v="0"/>
    <n v="0"/>
    <n v="0"/>
    <n v="0"/>
  </r>
  <r>
    <n v="0"/>
    <n v="0"/>
    <n v="0"/>
    <n v="0"/>
    <n v="0.68400000000000005"/>
    <n v="0.82"/>
    <x v="2"/>
    <x v="9"/>
    <s v="low_beta"/>
    <n v="0"/>
    <n v="0"/>
    <n v="42"/>
    <n v="0"/>
    <n v="0"/>
    <n v="0"/>
    <n v="6.5515282872095201E-3"/>
    <n v="-6.5515282872095201E-3"/>
  </r>
  <r>
    <n v="0"/>
    <n v="0"/>
    <n v="0"/>
    <n v="0"/>
    <n v="0.68300000000000005"/>
    <n v="0.81799999999999995"/>
    <x v="0"/>
    <x v="4"/>
    <s v="very_high_beta"/>
    <n v="0"/>
    <n v="0"/>
    <n v="9"/>
    <n v="0"/>
    <n v="0"/>
    <n v="0"/>
    <n v="0"/>
    <n v="0"/>
  </r>
  <r>
    <n v="0"/>
    <n v="0"/>
    <n v="0"/>
    <n v="0"/>
    <n v="0.67600000000000005"/>
    <n v="0.82199999999999995"/>
    <x v="3"/>
    <x v="7"/>
    <s v="very_low_beta"/>
    <n v="0"/>
    <n v="0"/>
    <n v="84"/>
    <n v="0"/>
    <n v="0"/>
    <n v="0"/>
    <n v="0"/>
    <n v="0"/>
  </r>
  <r>
    <n v="0"/>
    <n v="0"/>
    <n v="0"/>
    <n v="0"/>
    <n v="0.65500000000000003"/>
    <n v="0.82499999999999996"/>
    <x v="2"/>
    <x v="9"/>
    <s v="low_beta"/>
    <n v="0"/>
    <n v="0"/>
    <n v="7"/>
    <n v="0"/>
    <n v="0"/>
    <n v="0"/>
    <n v="0"/>
    <n v="0"/>
  </r>
  <r>
    <n v="0"/>
    <n v="-8.9999999999999993E-3"/>
    <n v="0"/>
    <n v="8.9999999999999993E-3"/>
    <n v="0.65400000000000003"/>
    <n v="0.85"/>
    <x v="3"/>
    <x v="11"/>
    <s v="neutral_beta"/>
    <n v="0"/>
    <n v="-8.9999999999999993E-3"/>
    <n v="84"/>
    <n v="0"/>
    <n v="0"/>
    <n v="0"/>
    <n v="0"/>
    <n v="0"/>
  </r>
  <r>
    <n v="0"/>
    <n v="0"/>
    <n v="0"/>
    <n v="0"/>
    <n v="0.64900000000000002"/>
    <n v="0.69599999999999995"/>
    <x v="0"/>
    <x v="4"/>
    <s v="high_beta"/>
    <n v="0"/>
    <n v="0"/>
    <n v="12"/>
    <n v="0"/>
    <n v="0"/>
    <n v="0"/>
    <n v="0"/>
    <n v="0"/>
  </r>
  <r>
    <n v="0"/>
    <n v="0"/>
    <n v="0"/>
    <n v="0"/>
    <n v="0.64900000000000002"/>
    <n v="0.60699999999999998"/>
    <x v="3"/>
    <x v="7"/>
    <s v="low_beta"/>
    <n v="0"/>
    <n v="0"/>
    <n v="11"/>
    <n v="0"/>
    <n v="0"/>
    <n v="0"/>
    <n v="0"/>
    <n v="0"/>
  </r>
  <r>
    <n v="0"/>
    <n v="0"/>
    <n v="0"/>
    <n v="0"/>
    <n v="0.64500000000000002"/>
    <n v="0.47799999999999998"/>
    <x v="0"/>
    <x v="1"/>
    <s v="low_beta"/>
    <n v="0"/>
    <n v="0"/>
    <n v="84"/>
    <n v="0"/>
    <n v="0"/>
    <n v="0"/>
    <n v="0"/>
    <n v="0"/>
  </r>
  <r>
    <n v="0"/>
    <n v="0"/>
    <n v="0"/>
    <n v="0"/>
    <n v="0.64400000000000002"/>
    <n v="0.45700000000000002"/>
    <x v="2"/>
    <x v="9"/>
    <s v="low_beta"/>
    <n v="0"/>
    <n v="0"/>
    <n v="84"/>
    <n v="0"/>
    <n v="0"/>
    <n v="0"/>
    <n v="0"/>
    <n v="0"/>
  </r>
  <r>
    <n v="0"/>
    <n v="0"/>
    <n v="0"/>
    <n v="0"/>
    <n v="0.64200000000000002"/>
    <n v="0.752"/>
    <x v="0"/>
    <x v="1"/>
    <s v="very_high_beta"/>
    <n v="0"/>
    <n v="0"/>
    <n v="8"/>
    <n v="0"/>
    <n v="0"/>
    <n v="0"/>
    <n v="0"/>
    <n v="0"/>
  </r>
  <r>
    <n v="0"/>
    <n v="0"/>
    <n v="0"/>
    <n v="0"/>
    <n v="0.63900000000000001"/>
    <n v="0.48099999999999998"/>
    <x v="4"/>
    <x v="15"/>
    <s v="neutral_beta"/>
    <n v="0"/>
    <n v="0"/>
    <n v="84"/>
    <n v="0"/>
    <n v="0"/>
    <n v="0"/>
    <n v="0"/>
    <n v="0"/>
  </r>
  <r>
    <n v="0"/>
    <n v="-4.0000000000000001E-3"/>
    <n v="0"/>
    <n v="4.0000000000000001E-3"/>
    <n v="0.63600000000000001"/>
    <n v="0.79800000000000004"/>
    <x v="3"/>
    <x v="7"/>
    <s v="low_beta"/>
    <n v="0"/>
    <n v="-4.0000000000000001E-3"/>
    <n v="84"/>
    <n v="0"/>
    <n v="0"/>
    <n v="0"/>
    <n v="0"/>
    <n v="0"/>
  </r>
  <r>
    <n v="0"/>
    <n v="0"/>
    <n v="0"/>
    <n v="0"/>
    <n v="0.627"/>
    <n v="0.77200000000000002"/>
    <x v="4"/>
    <x v="15"/>
    <s v="neutral_beta"/>
    <n v="0"/>
    <n v="0"/>
    <n v="1"/>
    <n v="0"/>
    <n v="0"/>
    <n v="0"/>
    <n v="0"/>
    <n v="0"/>
  </r>
  <r>
    <n v="0"/>
    <n v="-2.7E-2"/>
    <n v="0"/>
    <n v="2.7E-2"/>
    <n v="0.62"/>
    <n v="0.78200000000000003"/>
    <x v="4"/>
    <x v="12"/>
    <s v="very_low_beta"/>
    <n v="0"/>
    <n v="-2.7E-2"/>
    <n v="51"/>
    <n v="0"/>
    <n v="0"/>
    <n v="0"/>
    <n v="3.9619015926858098E-2"/>
    <n v="-3.9619015926858098E-2"/>
  </r>
  <r>
    <n v="0"/>
    <n v="0"/>
    <n v="0"/>
    <n v="0"/>
    <n v="0.62"/>
    <n v="0.58599999999999997"/>
    <x v="0"/>
    <x v="1"/>
    <s v="very_high_beta"/>
    <n v="0"/>
    <n v="0"/>
    <n v="84"/>
    <n v="0"/>
    <n v="0"/>
    <n v="0"/>
    <n v="0"/>
    <n v="0"/>
  </r>
  <r>
    <n v="0"/>
    <n v="0"/>
    <n v="0"/>
    <n v="0"/>
    <n v="0.61799999999999999"/>
    <n v="0.432"/>
    <x v="4"/>
    <x v="15"/>
    <s v="very_high_beta"/>
    <n v="0"/>
    <n v="0"/>
    <n v="84"/>
    <n v="0"/>
    <n v="0"/>
    <n v="0"/>
    <n v="0"/>
    <n v="0"/>
  </r>
  <r>
    <n v="0"/>
    <n v="-6.0000000000000001E-3"/>
    <n v="0"/>
    <n v="6.0000000000000001E-3"/>
    <n v="0.61699999999999999"/>
    <n v="0.46700000000000003"/>
    <x v="4"/>
    <x v="15"/>
    <s v="very_low_beta"/>
    <n v="0"/>
    <n v="-6.0000000000000001E-3"/>
    <n v="84"/>
    <n v="0"/>
    <n v="0"/>
    <n v="0"/>
    <n v="0"/>
    <n v="0"/>
  </r>
  <r>
    <n v="0"/>
    <n v="-0.02"/>
    <n v="0"/>
    <n v="0.02"/>
    <n v="0.61599999999999999"/>
    <n v="1.1439999999999999"/>
    <x v="0"/>
    <x v="0"/>
    <s v="very_high_beta"/>
    <n v="0"/>
    <n v="-0.02"/>
    <n v="59"/>
    <n v="0"/>
    <n v="0"/>
    <n v="0"/>
    <n v="0"/>
    <n v="0"/>
  </r>
  <r>
    <n v="0"/>
    <n v="0"/>
    <n v="0"/>
    <n v="0"/>
    <n v="0.61499999999999999"/>
    <n v="0.63500000000000001"/>
    <x v="0"/>
    <x v="20"/>
    <s v="very_low_beta"/>
    <n v="0"/>
    <n v="0"/>
    <n v="22"/>
    <n v="0"/>
    <n v="0"/>
    <n v="0"/>
    <n v="7.4953988516436396E-3"/>
    <n v="-7.4953988516436396E-3"/>
  </r>
  <r>
    <n v="0"/>
    <n v="0"/>
    <n v="0"/>
    <n v="0"/>
    <n v="0.61199999999999999"/>
    <n v="0.628"/>
    <x v="4"/>
    <x v="15"/>
    <s v="very_low_beta"/>
    <n v="0"/>
    <n v="0"/>
    <n v="25"/>
    <n v="0"/>
    <n v="0"/>
    <n v="0"/>
    <n v="0"/>
    <n v="0"/>
  </r>
  <r>
    <n v="0"/>
    <n v="-0.01"/>
    <n v="0"/>
    <n v="0.01"/>
    <n v="0.61"/>
    <n v="0.59"/>
    <x v="4"/>
    <x v="15"/>
    <s v="neutral_beta"/>
    <n v="0"/>
    <n v="-0.01"/>
    <n v="72"/>
    <n v="0"/>
    <n v="0"/>
    <n v="0"/>
    <n v="0"/>
    <n v="0"/>
  </r>
  <r>
    <n v="0"/>
    <n v="-3.0000000000000001E-3"/>
    <n v="0"/>
    <n v="3.0000000000000001E-3"/>
    <n v="0.60699999999999998"/>
    <n v="0.433"/>
    <x v="3"/>
    <x v="7"/>
    <s v="very_high_beta"/>
    <n v="0"/>
    <n v="-3.0000000000000001E-3"/>
    <n v="84"/>
    <n v="0"/>
    <n v="0"/>
    <n v="0"/>
    <n v="0"/>
    <n v="0"/>
  </r>
  <r>
    <n v="0"/>
    <n v="-8.9999999999999993E-3"/>
    <n v="0"/>
    <n v="8.9999999999999993E-3"/>
    <n v="0.60399999999999998"/>
    <n v="0.51200000000000001"/>
    <x v="0"/>
    <x v="2"/>
    <s v="high_beta"/>
    <n v="0"/>
    <n v="-8.9999999999999993E-3"/>
    <n v="75"/>
    <n v="0"/>
    <n v="0"/>
    <n v="0"/>
    <n v="0"/>
    <n v="0"/>
  </r>
  <r>
    <n v="0"/>
    <n v="0"/>
    <n v="0"/>
    <n v="0"/>
    <n v="0.60299999999999998"/>
    <n v="0.81899999999999995"/>
    <x v="2"/>
    <x v="9"/>
    <s v="neutral_beta"/>
    <n v="0"/>
    <n v="0"/>
    <n v="32"/>
    <n v="0"/>
    <n v="0"/>
    <n v="0"/>
    <n v="7.6426531660953104E-3"/>
    <n v="-7.6426531660953104E-3"/>
  </r>
  <r>
    <n v="0"/>
    <n v="-1.2E-2"/>
    <n v="0"/>
    <n v="1.2E-2"/>
    <n v="0.6"/>
    <n v="0.92400000000000004"/>
    <x v="2"/>
    <x v="9"/>
    <s v="neutral_beta"/>
    <n v="0"/>
    <n v="-1.2E-2"/>
    <n v="68"/>
    <n v="0"/>
    <n v="0"/>
    <n v="0"/>
    <n v="0"/>
    <n v="0"/>
  </r>
  <r>
    <n v="0"/>
    <n v="0"/>
    <n v="0"/>
    <n v="0"/>
    <n v="0.59799999999999998"/>
    <n v="0.76400000000000001"/>
    <x v="2"/>
    <x v="19"/>
    <s v="high_beta"/>
    <n v="0"/>
    <n v="0"/>
    <n v="36"/>
    <n v="0"/>
    <n v="0"/>
    <n v="0"/>
    <n v="0"/>
    <n v="0"/>
  </r>
  <r>
    <n v="0"/>
    <n v="-5.0000000000000001E-3"/>
    <n v="0"/>
    <n v="5.0000000000000001E-3"/>
    <n v="0.59499999999999997"/>
    <n v="0.435"/>
    <x v="0"/>
    <x v="20"/>
    <s v="very_high_beta"/>
    <n v="0"/>
    <n v="-5.0000000000000001E-3"/>
    <n v="84"/>
    <n v="0"/>
    <n v="0"/>
    <n v="0"/>
    <n v="0"/>
    <n v="0"/>
  </r>
  <r>
    <n v="0"/>
    <n v="0"/>
    <n v="0"/>
    <n v="0"/>
    <n v="0.58899999999999997"/>
    <n v="0.53"/>
    <x v="2"/>
    <x v="8"/>
    <s v="low_beta"/>
    <n v="0"/>
    <n v="0"/>
    <n v="84"/>
    <n v="0"/>
    <n v="0"/>
    <n v="0"/>
    <n v="0"/>
    <n v="0"/>
  </r>
  <r>
    <n v="0"/>
    <n v="-4.0000000000000001E-3"/>
    <n v="0"/>
    <n v="4.0000000000000001E-3"/>
    <n v="0.58899999999999997"/>
    <n v="0.59299999999999997"/>
    <x v="3"/>
    <x v="7"/>
    <s v="high_beta"/>
    <n v="0"/>
    <n v="-4.0000000000000001E-3"/>
    <n v="84"/>
    <n v="0"/>
    <n v="0"/>
    <n v="0"/>
    <n v="0"/>
    <n v="0"/>
  </r>
  <r>
    <n v="0"/>
    <n v="-0.01"/>
    <n v="0"/>
    <n v="0.01"/>
    <n v="0.58799999999999997"/>
    <n v="0.47099999999999997"/>
    <x v="0"/>
    <x v="5"/>
    <s v="very_high_beta"/>
    <n v="0"/>
    <n v="-0.01"/>
    <n v="73"/>
    <n v="0"/>
    <n v="0"/>
    <n v="0"/>
    <n v="0"/>
    <n v="0"/>
  </r>
  <r>
    <n v="0"/>
    <n v="-4.0000000000000001E-3"/>
    <n v="0"/>
    <n v="4.0000000000000001E-3"/>
    <n v="0.58699999999999997"/>
    <n v="0.80200000000000005"/>
    <x v="4"/>
    <x v="18"/>
    <s v="very_low_beta"/>
    <n v="0"/>
    <n v="-4.0000000000000001E-3"/>
    <n v="84"/>
    <n v="0"/>
    <n v="0"/>
    <n v="0"/>
    <n v="0"/>
    <n v="0"/>
  </r>
  <r>
    <n v="0"/>
    <n v="0"/>
    <n v="0"/>
    <n v="0"/>
    <n v="0.58599999999999997"/>
    <n v="0.54400000000000004"/>
    <x v="0"/>
    <x v="19"/>
    <s v="low_beta"/>
    <n v="0"/>
    <n v="0"/>
    <n v="33"/>
    <n v="0"/>
    <n v="0"/>
    <n v="0"/>
    <n v="0"/>
    <n v="0"/>
  </r>
  <r>
    <n v="0"/>
    <n v="-2E-3"/>
    <n v="0"/>
    <n v="2E-3"/>
    <n v="0.58299999999999996"/>
    <n v="0.41899999999999998"/>
    <x v="0"/>
    <x v="20"/>
    <s v="neutral_beta"/>
    <n v="0"/>
    <n v="-2E-3"/>
    <n v="84"/>
    <n v="0"/>
    <n v="0"/>
    <n v="0"/>
    <n v="0"/>
    <n v="0"/>
  </r>
  <r>
    <n v="0"/>
    <n v="-8.9999999999999993E-3"/>
    <n v="0"/>
    <n v="8.9999999999999993E-3"/>
    <n v="0.57899999999999996"/>
    <n v="0.69899999999999995"/>
    <x v="0"/>
    <x v="3"/>
    <s v="low_beta"/>
    <n v="0"/>
    <n v="-8.9999999999999993E-3"/>
    <n v="74"/>
    <n v="0"/>
    <n v="0"/>
    <n v="0"/>
    <n v="0"/>
    <n v="0"/>
  </r>
  <r>
    <n v="0"/>
    <n v="0"/>
    <n v="0"/>
    <n v="0"/>
    <n v="0.57799999999999996"/>
    <n v="0.40300000000000002"/>
    <x v="0"/>
    <x v="5"/>
    <s v="high_beta"/>
    <n v="0"/>
    <n v="0"/>
    <n v="84"/>
    <n v="0"/>
    <n v="0"/>
    <n v="0"/>
    <n v="0"/>
    <n v="0"/>
  </r>
  <r>
    <n v="0"/>
    <n v="0"/>
    <n v="0"/>
    <n v="0"/>
    <n v="0.57299999999999995"/>
    <n v="0.77800000000000002"/>
    <x v="2"/>
    <x v="9"/>
    <s v="neutral_beta"/>
    <n v="0"/>
    <n v="0"/>
    <n v="15"/>
    <n v="0"/>
    <n v="0"/>
    <n v="0"/>
    <n v="0"/>
    <n v="0"/>
  </r>
  <r>
    <n v="0"/>
    <n v="0"/>
    <n v="0"/>
    <n v="0"/>
    <n v="0.57199999999999995"/>
    <n v="0.60199999999999998"/>
    <x v="4"/>
    <x v="15"/>
    <s v="high_beta"/>
    <n v="0"/>
    <n v="0"/>
    <n v="55"/>
    <n v="0"/>
    <n v="0"/>
    <n v="0"/>
    <n v="0"/>
    <n v="0"/>
  </r>
  <r>
    <n v="0"/>
    <n v="0"/>
    <n v="0"/>
    <n v="0"/>
    <n v="0.57099999999999995"/>
    <n v="0.65600000000000003"/>
    <x v="1"/>
    <x v="10"/>
    <s v="low_beta"/>
    <n v="0"/>
    <n v="0"/>
    <n v="19"/>
    <n v="0"/>
    <n v="0"/>
    <n v="0"/>
    <n v="0"/>
    <n v="0"/>
  </r>
  <r>
    <n v="0"/>
    <n v="0"/>
    <n v="0"/>
    <n v="0"/>
    <n v="0.56999999999999995"/>
    <n v="0.53300000000000003"/>
    <x v="2"/>
    <x v="9"/>
    <s v="neutral_beta"/>
    <n v="0"/>
    <n v="0"/>
    <n v="16"/>
    <n v="0"/>
    <n v="0"/>
    <n v="0"/>
    <n v="8.1864906192962196E-3"/>
    <n v="-8.1864906192962196E-3"/>
  </r>
  <r>
    <n v="0"/>
    <n v="-8.9999999999999993E-3"/>
    <n v="0"/>
    <n v="8.9999999999999993E-3"/>
    <n v="0.56799999999999995"/>
    <n v="0.75800000000000001"/>
    <x v="2"/>
    <x v="19"/>
    <s v="very_high_beta"/>
    <n v="0"/>
    <n v="-8.9999999999999993E-3"/>
    <n v="84"/>
    <n v="0"/>
    <n v="0"/>
    <n v="0"/>
    <n v="2.1061987677873199E-2"/>
    <n v="-2.1061987677873199E-2"/>
  </r>
  <r>
    <n v="0"/>
    <n v="-6.0000000000000001E-3"/>
    <n v="0"/>
    <n v="6.0000000000000001E-3"/>
    <n v="0.56699999999999995"/>
    <n v="0.47"/>
    <x v="4"/>
    <x v="18"/>
    <s v="very_low_beta"/>
    <n v="0"/>
    <n v="-6.0000000000000001E-3"/>
    <n v="84"/>
    <n v="0"/>
    <n v="0"/>
    <n v="0"/>
    <n v="0"/>
    <n v="0"/>
  </r>
  <r>
    <n v="0"/>
    <n v="-5.0000000000000001E-3"/>
    <n v="0"/>
    <n v="5.0000000000000001E-3"/>
    <n v="0.56599999999999995"/>
    <n v="0.54200000000000004"/>
    <x v="0"/>
    <x v="5"/>
    <s v="high_beta"/>
    <n v="0"/>
    <n v="-5.0000000000000001E-3"/>
    <n v="84"/>
    <n v="0"/>
    <n v="0"/>
    <n v="0"/>
    <n v="0"/>
    <n v="0"/>
  </r>
  <r>
    <n v="0"/>
    <n v="-4.0000000000000001E-3"/>
    <n v="0"/>
    <n v="4.0000000000000001E-3"/>
    <n v="0.56599999999999995"/>
    <n v="0.44600000000000001"/>
    <x v="0"/>
    <x v="13"/>
    <s v="very_high_beta"/>
    <n v="0"/>
    <n v="-4.0000000000000001E-3"/>
    <n v="84"/>
    <n v="0"/>
    <n v="0"/>
    <n v="0"/>
    <n v="0"/>
    <n v="0"/>
  </r>
  <r>
    <n v="0"/>
    <n v="-7.0000000000000001E-3"/>
    <n v="0"/>
    <n v="7.0000000000000001E-3"/>
    <n v="0.56299999999999994"/>
    <n v="0.50900000000000001"/>
    <x v="0"/>
    <x v="19"/>
    <s v="low_beta"/>
    <n v="0"/>
    <n v="-7.0000000000000001E-3"/>
    <n v="84"/>
    <n v="0"/>
    <n v="0"/>
    <n v="0"/>
    <n v="0"/>
    <n v="0"/>
  </r>
  <r>
    <n v="0"/>
    <n v="0"/>
    <n v="0"/>
    <n v="0"/>
    <n v="0.55900000000000005"/>
    <n v="0.58199999999999996"/>
    <x v="0"/>
    <x v="20"/>
    <s v="very_high_beta"/>
    <n v="0"/>
    <n v="0"/>
    <n v="17"/>
    <n v="0"/>
    <n v="0"/>
    <n v="0"/>
    <n v="0"/>
    <n v="0"/>
  </r>
  <r>
    <n v="0"/>
    <n v="0"/>
    <n v="0"/>
    <n v="0"/>
    <n v="0.55600000000000005"/>
    <n v="0.38900000000000001"/>
    <x v="4"/>
    <x v="18"/>
    <s v="very_low_beta"/>
    <n v="0"/>
    <n v="0"/>
    <n v="37"/>
    <n v="0"/>
    <n v="0"/>
    <n v="0"/>
    <n v="0"/>
    <n v="0"/>
  </r>
  <r>
    <n v="0"/>
    <n v="-3.0000000000000001E-3"/>
    <n v="0"/>
    <n v="3.0000000000000001E-3"/>
    <n v="0.55300000000000005"/>
    <n v="0.59"/>
    <x v="0"/>
    <x v="0"/>
    <s v="very_high_beta"/>
    <n v="0"/>
    <n v="-3.0000000000000001E-3"/>
    <n v="83"/>
    <n v="0"/>
    <n v="0"/>
    <n v="0"/>
    <n v="0"/>
    <n v="0"/>
  </r>
  <r>
    <n v="0"/>
    <n v="0"/>
    <n v="0"/>
    <n v="0"/>
    <n v="0.55000000000000004"/>
    <n v="0.56799999999999995"/>
    <x v="0"/>
    <x v="13"/>
    <s v="neutral_beta"/>
    <n v="0"/>
    <n v="0"/>
    <n v="35"/>
    <n v="0"/>
    <n v="0"/>
    <n v="0"/>
    <n v="0"/>
    <n v="0"/>
  </r>
  <r>
    <n v="0"/>
    <n v="-0.02"/>
    <n v="0"/>
    <n v="0.02"/>
    <n v="0.54900000000000004"/>
    <n v="1.1319999999999999"/>
    <x v="3"/>
    <x v="7"/>
    <s v="low_beta"/>
    <n v="0"/>
    <n v="-0.02"/>
    <n v="84"/>
    <n v="0"/>
    <n v="0"/>
    <n v="0"/>
    <n v="0"/>
    <n v="0"/>
  </r>
  <r>
    <n v="0"/>
    <n v="-3.0000000000000001E-3"/>
    <n v="0"/>
    <n v="3.0000000000000001E-3"/>
    <n v="0.54800000000000004"/>
    <n v="0.435"/>
    <x v="0"/>
    <x v="5"/>
    <s v="high_beta"/>
    <n v="0"/>
    <n v="-3.0000000000000001E-3"/>
    <n v="84"/>
    <n v="0"/>
    <n v="0"/>
    <n v="0"/>
    <n v="0"/>
    <n v="0"/>
  </r>
  <r>
    <n v="0"/>
    <n v="0"/>
    <n v="0"/>
    <n v="0"/>
    <n v="0.54800000000000004"/>
    <n v="0.48399999999999999"/>
    <x v="0"/>
    <x v="4"/>
    <s v="neutral_beta"/>
    <n v="0"/>
    <n v="0"/>
    <n v="84"/>
    <n v="0"/>
    <n v="0"/>
    <n v="0"/>
    <n v="0"/>
    <n v="0"/>
  </r>
  <r>
    <n v="0"/>
    <n v="-5.0000000000000001E-3"/>
    <n v="0"/>
    <n v="5.0000000000000001E-3"/>
    <n v="0.54700000000000004"/>
    <n v="0.42"/>
    <x v="4"/>
    <x v="18"/>
    <s v="high_beta"/>
    <n v="0"/>
    <n v="-5.0000000000000001E-3"/>
    <n v="81"/>
    <n v="0"/>
    <n v="0"/>
    <n v="0"/>
    <n v="0"/>
    <n v="0"/>
  </r>
  <r>
    <n v="0"/>
    <n v="0"/>
    <n v="0"/>
    <n v="0"/>
    <n v="0.54500000000000004"/>
    <n v="0.48599999999999999"/>
    <x v="0"/>
    <x v="20"/>
    <s v="very_high_beta"/>
    <n v="0"/>
    <n v="0"/>
    <n v="82"/>
    <n v="0"/>
    <n v="0"/>
    <n v="0"/>
    <n v="0"/>
    <n v="0"/>
  </r>
  <r>
    <n v="0"/>
    <n v="-7.0000000000000001E-3"/>
    <n v="0"/>
    <n v="7.0000000000000001E-3"/>
    <n v="0.54500000000000004"/>
    <n v="0.85499999999999998"/>
    <x v="3"/>
    <x v="7"/>
    <s v="neutral_beta"/>
    <n v="0"/>
    <n v="-7.0000000000000001E-3"/>
    <n v="84"/>
    <n v="0"/>
    <n v="0"/>
    <n v="0"/>
    <n v="0"/>
    <n v="0"/>
  </r>
  <r>
    <n v="0"/>
    <n v="0"/>
    <n v="0"/>
    <n v="0"/>
    <n v="0.54100000000000004"/>
    <n v="0.44800000000000001"/>
    <x v="4"/>
    <x v="18"/>
    <s v="very_low_beta"/>
    <n v="0"/>
    <n v="0"/>
    <n v="84"/>
    <n v="0"/>
    <n v="0"/>
    <n v="0"/>
    <n v="0"/>
    <n v="0"/>
  </r>
  <r>
    <n v="0"/>
    <n v="-2E-3"/>
    <n v="0"/>
    <n v="2E-3"/>
    <n v="0.53900000000000003"/>
    <n v="0.42299999999999999"/>
    <x v="0"/>
    <x v="0"/>
    <s v="low_beta"/>
    <n v="0"/>
    <n v="-2E-3"/>
    <n v="84"/>
    <n v="0"/>
    <n v="0"/>
    <n v="0"/>
    <n v="0"/>
    <n v="0"/>
  </r>
  <r>
    <n v="0"/>
    <n v="0"/>
    <n v="0"/>
    <n v="0"/>
    <n v="0.53900000000000003"/>
    <n v="0.624"/>
    <x v="4"/>
    <x v="15"/>
    <s v="neutral_beta"/>
    <n v="0"/>
    <n v="0"/>
    <n v="27"/>
    <n v="0"/>
    <n v="0"/>
    <n v="0"/>
    <n v="0"/>
    <n v="0"/>
  </r>
  <r>
    <n v="0"/>
    <n v="-2.5000000000000001E-2"/>
    <n v="0"/>
    <n v="2.5000000000000001E-2"/>
    <n v="0.53500000000000003"/>
    <n v="1.085"/>
    <x v="0"/>
    <x v="20"/>
    <s v="neutral_beta"/>
    <n v="0"/>
    <n v="-2.5000000000000001E-2"/>
    <n v="53"/>
    <n v="0"/>
    <n v="0"/>
    <n v="0"/>
    <n v="0"/>
    <n v="0"/>
  </r>
  <r>
    <n v="0"/>
    <n v="0"/>
    <n v="0"/>
    <n v="0"/>
    <n v="0.53400000000000003"/>
    <n v="0.40200000000000002"/>
    <x v="1"/>
    <x v="10"/>
    <s v="very_low_beta"/>
    <n v="0"/>
    <n v="0"/>
    <n v="23"/>
    <n v="0"/>
    <n v="0"/>
    <n v="0"/>
    <n v="0"/>
    <n v="0"/>
  </r>
  <r>
    <n v="0"/>
    <n v="-6.0000000000000001E-3"/>
    <n v="0"/>
    <n v="6.0000000000000001E-3"/>
    <n v="0.53300000000000003"/>
    <n v="0.64900000000000002"/>
    <x v="1"/>
    <x v="14"/>
    <s v="low_beta"/>
    <n v="0"/>
    <n v="-6.0000000000000001E-3"/>
    <n v="84"/>
    <n v="0"/>
    <n v="0"/>
    <n v="0"/>
    <n v="0"/>
    <n v="0"/>
  </r>
  <r>
    <n v="0"/>
    <n v="0"/>
    <n v="0"/>
    <n v="0"/>
    <n v="0.53300000000000003"/>
    <n v="0.40799999999999997"/>
    <x v="3"/>
    <x v="7"/>
    <s v="very_low_beta"/>
    <n v="0"/>
    <n v="0"/>
    <n v="84"/>
    <n v="0"/>
    <n v="0"/>
    <n v="0"/>
    <n v="0"/>
    <n v="0"/>
  </r>
  <r>
    <n v="0"/>
    <n v="0"/>
    <n v="0"/>
    <n v="0"/>
    <n v="0.53200000000000003"/>
    <n v="0.36599999999999999"/>
    <x v="0"/>
    <x v="0"/>
    <s v="very_high_beta"/>
    <n v="0"/>
    <n v="0"/>
    <n v="84"/>
    <n v="0"/>
    <n v="0"/>
    <n v="0"/>
    <n v="0"/>
    <n v="0"/>
  </r>
  <r>
    <n v="0"/>
    <n v="-3.0000000000000001E-3"/>
    <n v="0"/>
    <n v="3.0000000000000001E-3"/>
    <n v="0.53"/>
    <n v="0.45"/>
    <x v="3"/>
    <x v="7"/>
    <s v="very_high_beta"/>
    <n v="0"/>
    <n v="-3.0000000000000001E-3"/>
    <n v="84"/>
    <n v="0"/>
    <n v="0"/>
    <n v="0"/>
    <n v="0"/>
    <n v="0"/>
  </r>
  <r>
    <n v="0"/>
    <n v="0"/>
    <n v="0"/>
    <n v="0"/>
    <n v="0.53"/>
    <n v="0.441"/>
    <x v="4"/>
    <x v="12"/>
    <s v="very_low_beta"/>
    <n v="0"/>
    <n v="0"/>
    <n v="18"/>
    <n v="0"/>
    <n v="0"/>
    <n v="0"/>
    <n v="0"/>
    <n v="0"/>
  </r>
  <r>
    <n v="0"/>
    <n v="0"/>
    <n v="0"/>
    <n v="0"/>
    <n v="0.53"/>
    <n v="0.46800000000000003"/>
    <x v="0"/>
    <x v="4"/>
    <s v="very_low_beta"/>
    <n v="0"/>
    <n v="0"/>
    <n v="84"/>
    <n v="0"/>
    <n v="0"/>
    <n v="0"/>
    <n v="0"/>
    <n v="0"/>
  </r>
  <r>
    <n v="0"/>
    <n v="-2E-3"/>
    <n v="0"/>
    <n v="2E-3"/>
    <n v="0.52900000000000003"/>
    <n v="0.37"/>
    <x v="2"/>
    <x v="8"/>
    <s v="very_low_beta"/>
    <n v="0"/>
    <n v="-2E-3"/>
    <n v="84"/>
    <n v="0"/>
    <n v="0"/>
    <n v="0"/>
    <n v="0"/>
    <n v="0"/>
  </r>
  <r>
    <n v="0"/>
    <n v="-5.0000000000000001E-3"/>
    <n v="0"/>
    <n v="5.0000000000000001E-3"/>
    <n v="0.52700000000000002"/>
    <n v="0.64200000000000002"/>
    <x v="3"/>
    <x v="17"/>
    <s v="very_high_beta"/>
    <n v="0"/>
    <n v="-5.0000000000000001E-3"/>
    <n v="84"/>
    <n v="0"/>
    <n v="0"/>
    <n v="0"/>
    <n v="0"/>
    <n v="0"/>
  </r>
  <r>
    <n v="0"/>
    <n v="-5.0000000000000001E-3"/>
    <n v="0"/>
    <n v="5.0000000000000001E-3"/>
    <n v="0.52600000000000002"/>
    <n v="0.40200000000000002"/>
    <x v="0"/>
    <x v="20"/>
    <s v="very_high_beta"/>
    <n v="0"/>
    <n v="-5.0000000000000001E-3"/>
    <n v="84"/>
    <n v="0"/>
    <n v="0"/>
    <n v="0"/>
    <n v="0"/>
    <n v="0"/>
  </r>
  <r>
    <n v="0"/>
    <n v="-5.0000000000000001E-3"/>
    <n v="0"/>
    <n v="5.0000000000000001E-3"/>
    <n v="0.52600000000000002"/>
    <n v="0.64"/>
    <x v="4"/>
    <x v="18"/>
    <s v="low_beta"/>
    <n v="0"/>
    <n v="-5.0000000000000001E-3"/>
    <n v="84"/>
    <n v="0"/>
    <n v="0"/>
    <n v="0"/>
    <n v="0"/>
    <n v="0"/>
  </r>
  <r>
    <n v="0"/>
    <n v="-8.0000000000000002E-3"/>
    <n v="0"/>
    <n v="8.0000000000000002E-3"/>
    <n v="0.52500000000000002"/>
    <n v="0.44400000000000001"/>
    <x v="0"/>
    <x v="0"/>
    <s v="very_high_beta"/>
    <n v="0"/>
    <n v="-8.0000000000000002E-3"/>
    <n v="76"/>
    <n v="0"/>
    <n v="0"/>
    <n v="0"/>
    <n v="0"/>
    <n v="0"/>
  </r>
  <r>
    <n v="0"/>
    <n v="0"/>
    <n v="0"/>
    <n v="0"/>
    <n v="0.52400000000000002"/>
    <n v="0.42199999999999999"/>
    <x v="3"/>
    <x v="7"/>
    <s v="very_high_beta"/>
    <n v="0"/>
    <n v="0"/>
    <n v="14"/>
    <n v="0"/>
    <n v="0"/>
    <n v="0"/>
    <n v="0"/>
    <n v="0"/>
  </r>
  <r>
    <n v="0"/>
    <n v="-3.0000000000000001E-3"/>
    <n v="0"/>
    <n v="3.0000000000000001E-3"/>
    <n v="0.52400000000000002"/>
    <n v="0.66600000000000004"/>
    <x v="3"/>
    <x v="7"/>
    <s v="high_beta"/>
    <n v="0"/>
    <n v="-3.0000000000000001E-3"/>
    <n v="84"/>
    <n v="0"/>
    <n v="0"/>
    <n v="0"/>
    <n v="0"/>
    <n v="0"/>
  </r>
  <r>
    <n v="0"/>
    <n v="-2E-3"/>
    <n v="0"/>
    <n v="2E-3"/>
    <n v="0.51900000000000002"/>
    <n v="0.38300000000000001"/>
    <x v="1"/>
    <x v="10"/>
    <s v="very_high_beta"/>
    <n v="0"/>
    <n v="-2E-3"/>
    <n v="84"/>
    <n v="0"/>
    <n v="0"/>
    <n v="0"/>
    <n v="0"/>
    <n v="0"/>
  </r>
  <r>
    <n v="0"/>
    <n v="-2.4E-2"/>
    <n v="0"/>
    <n v="2.4E-2"/>
    <n v="0.51600000000000001"/>
    <n v="0.88"/>
    <x v="1"/>
    <x v="14"/>
    <s v="high_beta"/>
    <n v="0"/>
    <n v="-2.4E-2"/>
    <n v="54"/>
    <n v="0"/>
    <n v="0"/>
    <n v="0"/>
    <n v="0"/>
    <n v="0"/>
  </r>
  <r>
    <n v="0"/>
    <n v="-1E-3"/>
    <n v="0"/>
    <n v="1E-3"/>
    <n v="0.51600000000000001"/>
    <n v="0.42199999999999999"/>
    <x v="4"/>
    <x v="18"/>
    <s v="very_low_beta"/>
    <n v="0"/>
    <n v="-1E-3"/>
    <n v="84"/>
    <n v="0"/>
    <n v="0"/>
    <n v="0"/>
    <n v="0"/>
    <n v="0"/>
  </r>
  <r>
    <n v="0"/>
    <n v="-3.7999999999999999E-2"/>
    <n v="0"/>
    <n v="3.7999999999999999E-2"/>
    <n v="0.51400000000000001"/>
    <n v="0.66500000000000004"/>
    <x v="1"/>
    <x v="14"/>
    <s v="very_high_beta"/>
    <n v="0"/>
    <n v="-3.7999999999999999E-2"/>
    <n v="41"/>
    <n v="0"/>
    <n v="0"/>
    <n v="0"/>
    <n v="0"/>
    <n v="0"/>
  </r>
  <r>
    <n v="0"/>
    <n v="0"/>
    <n v="0"/>
    <n v="0"/>
    <n v="0.51400000000000001"/>
    <n v="0.35199999999999998"/>
    <x v="3"/>
    <x v="11"/>
    <s v="very_high_beta"/>
    <n v="0"/>
    <n v="0"/>
    <n v="84"/>
    <n v="0"/>
    <n v="0"/>
    <n v="0"/>
    <n v="0"/>
    <n v="0"/>
  </r>
  <r>
    <n v="0"/>
    <n v="0"/>
    <n v="0"/>
    <n v="0"/>
    <n v="0.51400000000000001"/>
    <n v="0.38200000000000001"/>
    <x v="0"/>
    <x v="1"/>
    <s v="neutral_beta"/>
    <n v="0"/>
    <n v="0"/>
    <n v="84"/>
    <n v="0"/>
    <n v="0"/>
    <n v="0"/>
    <n v="0"/>
    <n v="0"/>
  </r>
  <r>
    <n v="0"/>
    <n v="-5.0000000000000001E-3"/>
    <n v="0"/>
    <n v="5.0000000000000001E-3"/>
    <n v="0.51200000000000001"/>
    <n v="0.39300000000000002"/>
    <x v="0"/>
    <x v="19"/>
    <s v="very_high_beta"/>
    <n v="0"/>
    <n v="-5.0000000000000001E-3"/>
    <n v="80"/>
    <n v="0"/>
    <n v="0"/>
    <n v="0"/>
    <n v="0"/>
    <n v="0"/>
  </r>
  <r>
    <n v="0"/>
    <n v="-2.8000000000000001E-2"/>
    <n v="0"/>
    <n v="2.8000000000000001E-2"/>
    <n v="0.50900000000000001"/>
    <n v="0.63600000000000001"/>
    <x v="0"/>
    <x v="20"/>
    <s v="very_high_beta"/>
    <n v="0"/>
    <n v="-2.8000000000000001E-2"/>
    <n v="50"/>
    <n v="0"/>
    <n v="0"/>
    <n v="0"/>
    <n v="0"/>
    <n v="0"/>
  </r>
  <r>
    <n v="0"/>
    <n v="-6.0000000000000001E-3"/>
    <n v="0"/>
    <n v="6.0000000000000001E-3"/>
    <n v="0.50900000000000001"/>
    <n v="0.47299999999999998"/>
    <x v="3"/>
    <x v="7"/>
    <s v="high_beta"/>
    <n v="0"/>
    <n v="-6.0000000000000001E-3"/>
    <n v="84"/>
    <n v="0"/>
    <n v="0"/>
    <n v="0"/>
    <n v="0"/>
    <n v="0"/>
  </r>
  <r>
    <n v="0"/>
    <n v="-1E-3"/>
    <n v="0"/>
    <n v="1E-3"/>
    <n v="0.505"/>
    <n v="0.34699999999999998"/>
    <x v="0"/>
    <x v="5"/>
    <s v="very_high_beta"/>
    <n v="0"/>
    <n v="-1E-3"/>
    <n v="84"/>
    <n v="0"/>
    <n v="0"/>
    <n v="0"/>
    <n v="0"/>
    <n v="0"/>
  </r>
  <r>
    <n v="0"/>
    <n v="0"/>
    <n v="0"/>
    <n v="0"/>
    <n v="0.499"/>
    <n v="0.34200000000000003"/>
    <x v="1"/>
    <x v="10"/>
    <s v="very_high_beta"/>
    <n v="0"/>
    <n v="0"/>
    <n v="84"/>
    <n v="0"/>
    <n v="0"/>
    <n v="0"/>
    <n v="0"/>
    <n v="0"/>
  </r>
  <r>
    <n v="0"/>
    <n v="0"/>
    <n v="0"/>
    <n v="0"/>
    <n v="0.495"/>
    <n v="0.34300000000000003"/>
    <x v="1"/>
    <x v="14"/>
    <s v="very_high_beta"/>
    <n v="0"/>
    <n v="0"/>
    <n v="84"/>
    <n v="0"/>
    <n v="0"/>
    <n v="0"/>
    <n v="0"/>
    <n v="0"/>
  </r>
  <r>
    <n v="0"/>
    <n v="-1E-3"/>
    <n v="0"/>
    <n v="1E-3"/>
    <n v="0.49399999999999999"/>
    <n v="0.34"/>
    <x v="0"/>
    <x v="13"/>
    <s v="high_beta"/>
    <n v="0"/>
    <n v="-1E-3"/>
    <n v="84"/>
    <n v="0"/>
    <n v="0"/>
    <n v="0"/>
    <n v="0"/>
    <n v="0"/>
  </r>
  <r>
    <n v="0"/>
    <n v="-1.2999999999999999E-2"/>
    <n v="0"/>
    <n v="1.2999999999999999E-2"/>
    <n v="0.49299999999999999"/>
    <n v="0.46"/>
    <x v="4"/>
    <x v="15"/>
    <s v="very_high_beta"/>
    <n v="0"/>
    <n v="-1.2999999999999999E-2"/>
    <n v="65"/>
    <n v="0"/>
    <n v="0"/>
    <n v="0"/>
    <n v="0"/>
    <n v="0"/>
  </r>
  <r>
    <n v="0"/>
    <n v="0"/>
    <n v="0"/>
    <n v="0"/>
    <n v="0.49"/>
    <n v="0.33600000000000002"/>
    <x v="4"/>
    <x v="15"/>
    <s v="very_high_beta"/>
    <n v="0"/>
    <n v="0"/>
    <n v="84"/>
    <n v="0"/>
    <n v="0"/>
    <n v="0"/>
    <n v="0"/>
    <n v="0"/>
  </r>
  <r>
    <n v="0"/>
    <n v="0"/>
    <n v="0"/>
    <n v="0"/>
    <n v="0.48699999999999999"/>
    <n v="0.33400000000000002"/>
    <x v="2"/>
    <x v="9"/>
    <s v="neutral_beta"/>
    <n v="0"/>
    <n v="0"/>
    <n v="84"/>
    <n v="0"/>
    <n v="0"/>
    <n v="0"/>
    <n v="0"/>
    <n v="0"/>
  </r>
  <r>
    <n v="0"/>
    <n v="-0.01"/>
    <n v="0"/>
    <n v="0.01"/>
    <n v="0.48499999999999999"/>
    <n v="0.35799999999999998"/>
    <x v="1"/>
    <x v="10"/>
    <s v="very_high_beta"/>
    <n v="0"/>
    <n v="-0.01"/>
    <n v="71"/>
    <n v="0"/>
    <n v="0"/>
    <n v="0"/>
    <n v="0"/>
    <n v="0"/>
  </r>
  <r>
    <n v="0"/>
    <n v="0"/>
    <n v="0"/>
    <n v="0"/>
    <n v="0.48099999999999998"/>
    <n v="0.35199999999999998"/>
    <x v="3"/>
    <x v="17"/>
    <s v="very_low_beta"/>
    <n v="0"/>
    <n v="0"/>
    <n v="84"/>
    <n v="0"/>
    <n v="0"/>
    <n v="0"/>
    <n v="0"/>
    <n v="0"/>
  </r>
  <r>
    <n v="0"/>
    <n v="-1E-3"/>
    <n v="0"/>
    <n v="1E-3"/>
    <n v="0.48"/>
    <n v="0.34899999999999998"/>
    <x v="0"/>
    <x v="5"/>
    <s v="very_high_beta"/>
    <n v="0"/>
    <n v="-1E-3"/>
    <n v="84"/>
    <n v="0"/>
    <n v="0"/>
    <n v="0"/>
    <n v="0"/>
    <n v="0"/>
  </r>
  <r>
    <n v="0"/>
    <n v="0"/>
    <n v="0"/>
    <n v="0"/>
    <n v="0.47499999999999998"/>
    <n v="0.32500000000000001"/>
    <x v="3"/>
    <x v="7"/>
    <s v="very_low_beta"/>
    <n v="0"/>
    <n v="0"/>
    <n v="84"/>
    <n v="0"/>
    <n v="0"/>
    <n v="0"/>
    <n v="0"/>
    <n v="0"/>
  </r>
  <r>
    <n v="0"/>
    <n v="-7.0000000000000001E-3"/>
    <n v="0"/>
    <n v="7.0000000000000001E-3"/>
    <n v="0.47499999999999998"/>
    <n v="0.34399999999999997"/>
    <x v="3"/>
    <x v="11"/>
    <s v="very_low_beta"/>
    <n v="0"/>
    <n v="-7.0000000000000001E-3"/>
    <n v="79"/>
    <n v="0"/>
    <n v="0"/>
    <n v="0"/>
    <n v="0"/>
    <n v="0"/>
  </r>
  <r>
    <n v="0"/>
    <n v="0"/>
    <n v="0"/>
    <n v="0"/>
    <n v="0.47299999999999998"/>
    <n v="0.36399999999999999"/>
    <x v="0"/>
    <x v="2"/>
    <s v="low_beta"/>
    <n v="0"/>
    <n v="0"/>
    <n v="84"/>
    <n v="0"/>
    <n v="0"/>
    <n v="0"/>
    <n v="0"/>
    <n v="0"/>
  </r>
  <r>
    <n v="0"/>
    <n v="0"/>
    <n v="0"/>
    <n v="0"/>
    <n v="0.47"/>
    <n v="0.32200000000000001"/>
    <x v="3"/>
    <x v="17"/>
    <s v="neutral_beta"/>
    <n v="0"/>
    <n v="0"/>
    <n v="84"/>
    <n v="0"/>
    <n v="0"/>
    <n v="0"/>
    <n v="0"/>
    <n v="0"/>
  </r>
  <r>
    <n v="0"/>
    <n v="0"/>
    <n v="0"/>
    <n v="0"/>
    <n v="0.46899999999999997"/>
    <n v="0.32200000000000001"/>
    <x v="0"/>
    <x v="0"/>
    <s v="high_beta"/>
    <n v="0"/>
    <n v="0"/>
    <n v="84"/>
    <n v="0"/>
    <n v="0"/>
    <n v="0"/>
    <n v="0"/>
    <n v="0"/>
  </r>
  <r>
    <n v="0"/>
    <n v="0"/>
    <n v="0"/>
    <n v="0"/>
    <n v="0.46800000000000003"/>
    <n v="0.32100000000000001"/>
    <x v="3"/>
    <x v="7"/>
    <s v="very_low_beta"/>
    <n v="0"/>
    <n v="0"/>
    <n v="84"/>
    <n v="0"/>
    <n v="0"/>
    <n v="0"/>
    <n v="0"/>
    <n v="0"/>
  </r>
  <r>
    <n v="0"/>
    <n v="0"/>
    <n v="0"/>
    <n v="0"/>
    <n v="0.46800000000000003"/>
    <n v="0.32400000000000001"/>
    <x v="0"/>
    <x v="20"/>
    <s v="very_high_beta"/>
    <n v="0"/>
    <n v="0"/>
    <n v="84"/>
    <n v="0"/>
    <n v="0"/>
    <n v="0"/>
    <n v="0"/>
    <n v="0"/>
  </r>
  <r>
    <n v="0"/>
    <n v="0"/>
    <n v="0"/>
    <n v="0"/>
    <n v="0.46800000000000003"/>
    <n v="0.34499999999999997"/>
    <x v="3"/>
    <x v="7"/>
    <s v="very_low_beta"/>
    <n v="0"/>
    <n v="0"/>
    <n v="84"/>
    <n v="0"/>
    <n v="0"/>
    <n v="0"/>
    <n v="0"/>
    <n v="0"/>
  </r>
  <r>
    <n v="0"/>
    <n v="0"/>
    <n v="0"/>
    <n v="0"/>
    <n v="0.46800000000000003"/>
    <n v="0.32300000000000001"/>
    <x v="0"/>
    <x v="20"/>
    <s v="very_high_beta"/>
    <n v="0"/>
    <n v="0"/>
    <n v="84"/>
    <n v="0"/>
    <n v="0"/>
    <n v="0"/>
    <n v="0"/>
    <n v="0"/>
  </r>
  <r>
    <n v="0"/>
    <n v="-4.0000000000000001E-3"/>
    <n v="0"/>
    <n v="4.0000000000000001E-3"/>
    <n v="0.46800000000000003"/>
    <n v="0.32600000000000001"/>
    <x v="1"/>
    <x v="10"/>
    <s v="high_beta"/>
    <n v="0"/>
    <n v="-4.0000000000000001E-3"/>
    <n v="84"/>
    <n v="0"/>
    <n v="0"/>
    <n v="0"/>
    <n v="0"/>
    <n v="0"/>
  </r>
  <r>
    <n v="0"/>
    <n v="0"/>
    <n v="0"/>
    <n v="0"/>
    <n v="0.46800000000000003"/>
    <n v="0.32100000000000001"/>
    <x v="4"/>
    <x v="15"/>
    <s v="very_high_beta"/>
    <n v="0"/>
    <n v="0"/>
    <n v="84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n v="1.4E-2"/>
    <n v="1.4E-2"/>
    <n v="0"/>
    <n v="0"/>
    <n v="3.2610000000000001"/>
    <n v="3.444"/>
    <x v="0"/>
    <x v="0"/>
    <s v="low_beta"/>
    <n v="1.4E-2"/>
    <n v="1.4E-2"/>
    <n v="1.46965161702187E-2"/>
    <n v="-6.965161702186997E-4"/>
    <n v="-6.965161702186997E-4"/>
    <n v="1.05286394974092E-2"/>
    <n v="3.4713605025908003E-3"/>
  </r>
  <r>
    <n v="1.0999999999999999E-2"/>
    <n v="1.0999999999999999E-2"/>
    <n v="0"/>
    <n v="0"/>
    <n v="3.2610000000000001"/>
    <n v="3.1579999999999999"/>
    <x v="1"/>
    <x v="1"/>
    <s v="very_high_beta"/>
    <n v="1.0999999999999999E-2"/>
    <n v="1.0999999999999999E-2"/>
    <n v="1.46965161702187E-2"/>
    <n v="-3.6965161702187006E-3"/>
    <n v="-3.6965161702187006E-3"/>
    <n v="1.12224185713198E-2"/>
    <n v="-2.2241857131980076E-4"/>
  </r>
  <r>
    <n v="0.01"/>
    <n v="0.01"/>
    <n v="0"/>
    <n v="0"/>
    <n v="3.2610000000000001"/>
    <n v="3.335"/>
    <x v="1"/>
    <x v="2"/>
    <s v="high_beta"/>
    <n v="0.01"/>
    <n v="0.01"/>
    <n v="1.46965161702187E-2"/>
    <n v="-4.6965161702186998E-3"/>
    <n v="-4.6965161702186998E-3"/>
    <n v="1.12224185713198E-2"/>
    <n v="-1.2224185713197999E-3"/>
  </r>
  <r>
    <n v="8.9999999999999993E-3"/>
    <n v="8.9999999999999993E-3"/>
    <n v="0"/>
    <n v="0"/>
    <n v="3.2610000000000001"/>
    <n v="2.528"/>
    <x v="1"/>
    <x v="3"/>
    <s v="very_high_beta"/>
    <n v="8.9999999999999993E-3"/>
    <n v="8.9999999999999993E-3"/>
    <n v="1.46965161702187E-2"/>
    <n v="-5.6965161702187007E-3"/>
    <n v="-5.6965161702187007E-3"/>
    <n v="1.07967207296109E-2"/>
    <n v="-1.7967207296109011E-3"/>
  </r>
  <r>
    <n v="8.9999999999999993E-3"/>
    <n v="8.9999999999999993E-3"/>
    <n v="0"/>
    <n v="0"/>
    <n v="3.2610000000000001"/>
    <n v="2.5739999999999998"/>
    <x v="1"/>
    <x v="4"/>
    <s v="high_beta"/>
    <n v="8.9999999999999993E-3"/>
    <n v="8.9999999999999993E-3"/>
    <n v="1.46965161702187E-2"/>
    <n v="-5.6965161702187007E-3"/>
    <n v="-5.6965161702187007E-3"/>
    <n v="1.0573983866079001E-2"/>
    <n v="-1.5739838660790012E-3"/>
  </r>
  <r>
    <n v="8.9999999999999993E-3"/>
    <n v="8.9999999999999993E-3"/>
    <n v="9.9999999999999915E-4"/>
    <n v="0"/>
    <n v="3.2610000000000001"/>
    <n v="2.528"/>
    <x v="1"/>
    <x v="5"/>
    <s v="very_low_beta"/>
    <n v="8.0000000000000002E-3"/>
    <n v="8.0000000000000002E-3"/>
    <n v="1.46965161702187E-2"/>
    <n v="-6.6965161702186998E-3"/>
    <n v="-5.6965161702187007E-3"/>
    <n v="1.12224185713198E-2"/>
    <n v="-3.2224185713198E-3"/>
  </r>
  <r>
    <n v="8.0000000000000002E-3"/>
    <n v="8.0000000000000002E-3"/>
    <n v="0"/>
    <n v="0"/>
    <n v="3.2570000000000001"/>
    <n v="2.5369999999999999"/>
    <x v="2"/>
    <x v="6"/>
    <s v="neutral_beta"/>
    <n v="8.0000000000000002E-3"/>
    <n v="8.0000000000000002E-3"/>
    <n v="1.4680455299235199E-2"/>
    <n v="-6.6804552992351992E-3"/>
    <n v="-6.6804552992351992E-3"/>
    <n v="7.4194024038451902E-3"/>
    <n v="5.8059759615480995E-4"/>
  </r>
  <r>
    <n v="8.9999999999999993E-3"/>
    <n v="8.9999999999999993E-3"/>
    <n v="0"/>
    <n v="0"/>
    <n v="3.2280000000000002"/>
    <n v="2.9489999999999998"/>
    <x v="3"/>
    <x v="7"/>
    <s v="neutral_beta"/>
    <n v="8.9999999999999993E-3"/>
    <n v="8.9999999999999993E-3"/>
    <n v="1.4549271125567099E-2"/>
    <n v="-5.5492711255670998E-3"/>
    <n v="-5.5492711255670998E-3"/>
    <n v="6.8122102154550297E-3"/>
    <n v="2.1877897845449697E-3"/>
  </r>
  <r>
    <n v="1.2E-2"/>
    <n v="1.2E-2"/>
    <n v="0"/>
    <n v="0"/>
    <n v="3.1320000000000001"/>
    <n v="3.8759999999999999"/>
    <x v="3"/>
    <x v="7"/>
    <s v="low_beta"/>
    <n v="1.2E-2"/>
    <n v="1.2E-2"/>
    <n v="1.41175971050346E-2"/>
    <n v="-2.1175971050345996E-3"/>
    <n v="-2.1175971050345996E-3"/>
    <n v="7.7194534733707604E-3"/>
    <n v="4.2805465266292399E-3"/>
  </r>
  <r>
    <n v="1.2E-2"/>
    <n v="1.2E-2"/>
    <n v="0"/>
    <n v="0"/>
    <n v="3.0819999999999999"/>
    <n v="3.1739999999999999"/>
    <x v="2"/>
    <x v="8"/>
    <s v="low_beta"/>
    <n v="1.2E-2"/>
    <n v="1.2E-2"/>
    <n v="1.3891662283693E-2"/>
    <n v="-1.8916622836930002E-3"/>
    <n v="-1.8916622836930002E-3"/>
    <n v="1.12224185713198E-2"/>
    <n v="7.7758142868020012E-4"/>
  </r>
  <r>
    <n v="1.4E-2"/>
    <n v="1.4E-2"/>
    <n v="-9.9999999999999915E-4"/>
    <n v="0"/>
    <n v="3.077"/>
    <n v="3.0960000000000001"/>
    <x v="1"/>
    <x v="1"/>
    <s v="neutral_beta"/>
    <n v="1.4999999999999999E-2"/>
    <n v="1.4999999999999999E-2"/>
    <n v="1.38697468515052E-2"/>
    <n v="1.1302531484947993E-3"/>
    <n v="1.302531484948001E-4"/>
    <n v="1.0241009279439901E-2"/>
    <n v="4.7589907205600988E-3"/>
  </r>
  <r>
    <n v="1.2E-2"/>
    <n v="1.2E-2"/>
    <n v="0"/>
    <n v="0"/>
    <n v="3.0529999999999999"/>
    <n v="3.2589999999999999"/>
    <x v="1"/>
    <x v="2"/>
    <s v="high_beta"/>
    <n v="1.2E-2"/>
    <n v="1.2E-2"/>
    <n v="1.3762926282832899E-2"/>
    <n v="-1.7629262828328992E-3"/>
    <n v="-1.7629262828328992E-3"/>
    <n v="1.1060179214809601E-2"/>
    <n v="9.3982078519039974E-4"/>
  </r>
  <r>
    <n v="8.9999999999999993E-3"/>
    <n v="8.9999999999999993E-3"/>
    <n v="0"/>
    <n v="0"/>
    <n v="3.0070000000000001"/>
    <n v="3.0760000000000001"/>
    <x v="1"/>
    <x v="3"/>
    <s v="very_low_beta"/>
    <n v="8.9999999999999993E-3"/>
    <n v="8.9999999999999993E-3"/>
    <n v="1.3552611764238101E-2"/>
    <n v="-4.5526117642381014E-3"/>
    <n v="-4.5526117642381014E-3"/>
    <n v="8.8452433075354008E-3"/>
    <n v="1.547566924645985E-4"/>
  </r>
  <r>
    <n v="1.9E-2"/>
    <n v="1.0999999999999999E-2"/>
    <n v="0"/>
    <n v="8.0000000000000002E-3"/>
    <n v="2.9980000000000002"/>
    <n v="4.5839999999999996"/>
    <x v="2"/>
    <x v="8"/>
    <s v="very_low_beta"/>
    <n v="1.9E-2"/>
    <n v="1.0999999999999999E-2"/>
    <n v="2.9194606706619001E-2"/>
    <n v="-1.0194606706619001E-2"/>
    <n v="-1.0194606706619001E-2"/>
    <n v="1.89200059108698E-2"/>
    <n v="7.9994089130199647E-5"/>
  </r>
  <r>
    <n v="1.0999999999999999E-2"/>
    <n v="1.0999999999999999E-2"/>
    <n v="0"/>
    <n v="0"/>
    <n v="2.9329999999999998"/>
    <n v="3.1629999999999998"/>
    <x v="2"/>
    <x v="9"/>
    <s v="low_beta"/>
    <n v="1.0999999999999999E-2"/>
    <n v="1.0999999999999999E-2"/>
    <n v="1.3222208721158301E-2"/>
    <n v="-2.2222087211583013E-3"/>
    <n v="-2.2222087211583013E-3"/>
    <n v="7.8670833373366608E-3"/>
    <n v="3.1329166626633386E-3"/>
  </r>
  <r>
    <n v="8.0000000000000002E-3"/>
    <n v="8.0000000000000002E-3"/>
    <n v="0"/>
    <n v="0"/>
    <n v="2.887"/>
    <n v="2.3029999999999999"/>
    <x v="0"/>
    <x v="10"/>
    <s v="high_beta"/>
    <n v="8.0000000000000002E-3"/>
    <n v="8.0000000000000002E-3"/>
    <n v="1.3012017133573099E-2"/>
    <n v="-5.0120171335730993E-3"/>
    <n v="-5.0120171335730993E-3"/>
    <n v="8.9002949436328607E-3"/>
    <n v="-9.0029494363286049E-4"/>
  </r>
  <r>
    <n v="0"/>
    <n v="0"/>
    <n v="-8.9999999999999993E-3"/>
    <n v="0"/>
    <n v="2.85"/>
    <n v="2.4540000000000002"/>
    <x v="2"/>
    <x v="9"/>
    <s v="high_beta"/>
    <n v="8.9999999999999993E-3"/>
    <n v="8.9999999999999993E-3"/>
    <n v="1.28478227635159E-2"/>
    <n v="-3.8478227635159006E-3"/>
    <n v="-1.28478227635159E-2"/>
    <n v="7.9549625554925004E-3"/>
    <n v="1.0450374445074989E-3"/>
  </r>
  <r>
    <n v="1.0999999999999999E-2"/>
    <n v="1.0999999999999999E-2"/>
    <n v="0"/>
    <n v="0"/>
    <n v="2.8290000000000002"/>
    <n v="2.69"/>
    <x v="3"/>
    <x v="11"/>
    <s v="very_low_beta"/>
    <n v="1.0999999999999999E-2"/>
    <n v="1.0999999999999999E-2"/>
    <n v="1.27502218799781E-2"/>
    <n v="-1.7502218799781005E-3"/>
    <n v="-1.7502218799781005E-3"/>
    <n v="0"/>
    <n v="1.0999999999999999E-2"/>
  </r>
  <r>
    <n v="5.5E-2"/>
    <n v="-1.7999999999999995E-2"/>
    <n v="2.8000000000000001E-2"/>
    <n v="7.2999999999999995E-2"/>
    <n v="2.806"/>
    <n v="5.734"/>
    <x v="4"/>
    <x v="12"/>
    <s v="very_low_beta"/>
    <n v="2.7E-2"/>
    <n v="-4.5999999999999999E-2"/>
    <n v="7.0426070142019695E-2"/>
    <n v="-4.3426070142019699E-2"/>
    <n v="-1.5426070142019695E-2"/>
    <n v="6.2482533581480502E-2"/>
    <n v="-3.5482533581480499E-2"/>
  </r>
  <r>
    <n v="1.0999999999999999E-2"/>
    <n v="1.0999999999999999E-2"/>
    <n v="0"/>
    <n v="0"/>
    <n v="2.6960000000000002"/>
    <n v="3.1960000000000002"/>
    <x v="3"/>
    <x v="7"/>
    <s v="very_low_beta"/>
    <n v="1.0999999999999999E-2"/>
    <n v="1.0999999999999999E-2"/>
    <n v="1.21507870205324E-2"/>
    <n v="-1.1507870205324008E-3"/>
    <n v="-1.1507870205324008E-3"/>
    <n v="1.0928910517985901E-2"/>
    <n v="7.1089482014098648E-5"/>
  </r>
  <r>
    <n v="0.05"/>
    <n v="-3.9999999999999966E-3"/>
    <n v="2.3000000000000003E-2"/>
    <n v="5.3999999999999999E-2"/>
    <n v="2.6859999999999999"/>
    <n v="5.1319999999999997"/>
    <x v="4"/>
    <x v="12"/>
    <s v="very_low_beta"/>
    <n v="2.7E-2"/>
    <n v="-2.7E-2"/>
    <n v="6.7399921900851395E-2"/>
    <n v="-4.0399921900851399E-2"/>
    <n v="-1.7399921900851392E-2"/>
    <n v="6.2192442622804503E-2"/>
    <n v="-3.5192442622804507E-2"/>
  </r>
  <r>
    <n v="1.4999999999999999E-2"/>
    <n v="1.4999999999999999E-2"/>
    <n v="0"/>
    <n v="0"/>
    <n v="2.6669999999999998"/>
    <n v="3.4529999999999998"/>
    <x v="1"/>
    <x v="2"/>
    <s v="neutral_beta"/>
    <n v="1.4999999999999999E-2"/>
    <n v="1.4999999999999999E-2"/>
    <n v="1.20214684847512E-2"/>
    <n v="2.9785315152487998E-3"/>
    <n v="2.9785315152487998E-3"/>
    <n v="7.4109280908588098E-3"/>
    <n v="7.5890719091411896E-3"/>
  </r>
  <r>
    <n v="8.9999999999999993E-3"/>
    <n v="8.9999999999999993E-3"/>
    <n v="0"/>
    <n v="0"/>
    <n v="2.6120000000000001"/>
    <n v="2.1760000000000002"/>
    <x v="1"/>
    <x v="3"/>
    <s v="high_beta"/>
    <n v="8.9999999999999993E-3"/>
    <n v="8.9999999999999993E-3"/>
    <n v="1.17723240102681E-2"/>
    <n v="-2.7723240102681002E-3"/>
    <n v="-2.7723240102681002E-3"/>
    <n v="6.6143629294508699E-3"/>
    <n v="2.3856370705491294E-3"/>
  </r>
  <r>
    <n v="1.0999999999999999E-2"/>
    <n v="1.0999999999999999E-2"/>
    <n v="0"/>
    <n v="0"/>
    <n v="2.581"/>
    <n v="2.7650000000000001"/>
    <x v="2"/>
    <x v="9"/>
    <s v="neutral_beta"/>
    <n v="1.0999999999999999E-2"/>
    <n v="1.0999999999999999E-2"/>
    <n v="1.1634275557374099E-2"/>
    <n v="-6.3427555737410012E-4"/>
    <n v="-6.3427555737410012E-4"/>
    <n v="7.9996633693010608E-3"/>
    <n v="3.0003366306989385E-3"/>
  </r>
  <r>
    <n v="0.01"/>
    <n v="8.0000000000000002E-3"/>
    <n v="0"/>
    <n v="2E-3"/>
    <n v="2.5640000000000001"/>
    <n v="2.46"/>
    <x v="3"/>
    <x v="7"/>
    <s v="high_beta"/>
    <n v="0.01"/>
    <n v="8.0000000000000002E-3"/>
    <n v="1.3098456732494299E-2"/>
    <n v="-3.098456732494299E-3"/>
    <n v="-3.098456732494299E-3"/>
    <n v="0"/>
    <n v="0.01"/>
  </r>
  <r>
    <n v="0.01"/>
    <n v="0.01"/>
    <n v="0"/>
    <n v="0"/>
    <n v="2.512"/>
    <n v="2.7240000000000002"/>
    <x v="2"/>
    <x v="6"/>
    <s v="low_beta"/>
    <n v="0.01"/>
    <n v="0.01"/>
    <n v="1.1321078095991401E-2"/>
    <n v="-1.3210780959914004E-3"/>
    <n v="-1.3210780959914004E-3"/>
    <n v="6.0706506352526304E-3"/>
    <n v="3.9293493647473698E-3"/>
  </r>
  <r>
    <n v="0.01"/>
    <n v="0.01"/>
    <n v="0"/>
    <n v="0"/>
    <n v="2.4740000000000002"/>
    <n v="2.2610000000000001"/>
    <x v="0"/>
    <x v="10"/>
    <s v="very_low_beta"/>
    <n v="0.01"/>
    <n v="0.01"/>
    <n v="1.1152737499476701E-2"/>
    <n v="-1.1527374994767005E-3"/>
    <n v="-1.1527374994767005E-3"/>
    <n v="6.3914333904291796E-3"/>
    <n v="3.6085666095708206E-3"/>
  </r>
  <r>
    <n v="1.0999999999999999E-2"/>
    <n v="1.0999999999999999E-2"/>
    <n v="-1.0000000000000009E-3"/>
    <n v="0"/>
    <n v="2.3519999999999999"/>
    <n v="2.419"/>
    <x v="1"/>
    <x v="1"/>
    <s v="high_beta"/>
    <n v="1.2E-2"/>
    <n v="1.2E-2"/>
    <n v="1.05990586303416E-2"/>
    <n v="1.4009413696584004E-3"/>
    <n v="4.0094136965839952E-4"/>
    <n v="0"/>
    <n v="1.2E-2"/>
  </r>
  <r>
    <n v="1.0999999999999999E-2"/>
    <n v="8.9999999999999993E-3"/>
    <n v="0"/>
    <n v="2E-3"/>
    <n v="2.3519999999999999"/>
    <n v="2.4940000000000002"/>
    <x v="1"/>
    <x v="1"/>
    <s v="low_beta"/>
    <n v="1.0999999999999999E-2"/>
    <n v="8.9999999999999993E-3"/>
    <n v="1.23748005484241E-2"/>
    <n v="-1.3748005484241002E-3"/>
    <n v="-1.3748005484241002E-3"/>
    <n v="7.4086905709937097E-3"/>
    <n v="3.5913094290062897E-3"/>
  </r>
  <r>
    <n v="1.6E-2"/>
    <n v="0.01"/>
    <n v="0"/>
    <n v="6.0000000000000001E-3"/>
    <n v="2.3479999999999999"/>
    <n v="3.8740000000000001"/>
    <x v="2"/>
    <x v="6"/>
    <s v="high_beta"/>
    <n v="1.6E-2"/>
    <n v="0.01"/>
    <n v="1.8441013838119202E-2"/>
    <n v="-2.4410138381192013E-3"/>
    <n v="-2.4410138381192013E-3"/>
    <n v="1.3361494887495899E-2"/>
    <n v="2.6385051125041008E-3"/>
  </r>
  <r>
    <n v="2.1000000000000001E-2"/>
    <n v="2.1000000000000001E-2"/>
    <n v="0"/>
    <n v="0"/>
    <n v="2.3340000000000001"/>
    <n v="3.14"/>
    <x v="1"/>
    <x v="2"/>
    <s v="neutral_beta"/>
    <n v="2.1000000000000001E-2"/>
    <n v="2.1000000000000001E-2"/>
    <n v="1.05214578255716E-2"/>
    <n v="1.0478542174428401E-2"/>
    <n v="1.0478542174428401E-2"/>
    <n v="7.5607711310933601E-3"/>
    <n v="1.3439228868906642E-2"/>
  </r>
  <r>
    <n v="1.15E-2"/>
    <n v="1.15E-2"/>
    <n v="-1.4999999999999996E-3"/>
    <n v="0"/>
    <n v="2.3149999999999999"/>
    <n v="2.5390000000000001"/>
    <x v="1"/>
    <x v="1"/>
    <s v="neutral_beta"/>
    <n v="1.2999999999999999E-2"/>
    <n v="1.2999999999999999E-2"/>
    <n v="1.0436295466367601E-2"/>
    <n v="2.5637045336323987E-3"/>
    <n v="1.0637045336323991E-3"/>
    <n v="7.1146122449661899E-3"/>
    <n v="5.8853877550338095E-3"/>
  </r>
  <r>
    <n v="1.2500000000000001E-2"/>
    <n v="1.2500000000000001E-2"/>
    <n v="-1.4999999999999996E-3"/>
    <n v="0"/>
    <n v="2.2770000000000001"/>
    <n v="2.2930000000000001"/>
    <x v="1"/>
    <x v="13"/>
    <s v="low_beta"/>
    <n v="1.4E-2"/>
    <n v="1.4E-2"/>
    <n v="1.0264781911688701E-2"/>
    <n v="3.7352180883112995E-3"/>
    <n v="2.2352180883112999E-3"/>
    <n v="9.7176257393080008E-3"/>
    <n v="4.2823742606919995E-3"/>
  </r>
  <r>
    <n v="5.0000000000000001E-3"/>
    <n v="5.0000000000000001E-3"/>
    <n v="0"/>
    <n v="0"/>
    <n v="2.2280000000000002"/>
    <n v="1.6439999999999999"/>
    <x v="1"/>
    <x v="1"/>
    <s v="high_beta"/>
    <n v="5.0000000000000001E-3"/>
    <n v="5.0000000000000001E-3"/>
    <n v="1.00410285671886E-2"/>
    <n v="-5.0410285671886003E-3"/>
    <n v="-5.0410285671886003E-3"/>
    <n v="0"/>
    <n v="5.0000000000000001E-3"/>
  </r>
  <r>
    <n v="1.2E-2"/>
    <n v="1.2E-2"/>
    <n v="0"/>
    <n v="0"/>
    <n v="2.2240000000000002"/>
    <n v="2.4630000000000001"/>
    <x v="1"/>
    <x v="3"/>
    <s v="low_beta"/>
    <n v="1.2E-2"/>
    <n v="1.2E-2"/>
    <n v="1.002617621347E-2"/>
    <n v="1.9738237865300004E-3"/>
    <n v="1.9738237865300004E-3"/>
    <n v="6.2237229790983702E-3"/>
    <n v="5.7762770209016301E-3"/>
  </r>
  <r>
    <n v="1.0999999999999999E-2"/>
    <n v="1.0999999999999999E-2"/>
    <n v="0"/>
    <n v="0"/>
    <n v="2.2210000000000001"/>
    <n v="2.1160000000000001"/>
    <x v="1"/>
    <x v="13"/>
    <s v="high_beta"/>
    <n v="1.0999999999999999E-2"/>
    <n v="1.0999999999999999E-2"/>
    <n v="1.0012073999949699E-2"/>
    <n v="9.8792600005030012E-4"/>
    <n v="9.8792600005030012E-4"/>
    <n v="6.3078922061141603E-3"/>
    <n v="4.6921077938858391E-3"/>
  </r>
  <r>
    <n v="8.0000000000000002E-3"/>
    <n v="8.0000000000000002E-3"/>
    <n v="0"/>
    <n v="0"/>
    <n v="2.1819999999999999"/>
    <n v="1.6180000000000001"/>
    <x v="1"/>
    <x v="2"/>
    <s v="high_beta"/>
    <n v="8.0000000000000002E-3"/>
    <n v="8.0000000000000002E-3"/>
    <n v="9.8346790837545595E-3"/>
    <n v="-1.8346790837545594E-3"/>
    <n v="-1.8346790837545594E-3"/>
    <n v="7.2699068603040498E-3"/>
    <n v="7.3009313969595035E-4"/>
  </r>
  <r>
    <n v="7.0000000000000001E-3"/>
    <n v="7.0000000000000001E-3"/>
    <n v="0"/>
    <n v="0"/>
    <n v="2.15"/>
    <n v="1.6220000000000001"/>
    <x v="1"/>
    <x v="13"/>
    <s v="neutral_beta"/>
    <n v="7.0000000000000001E-3"/>
    <n v="7.0000000000000001E-3"/>
    <n v="9.6885846554920392E-3"/>
    <n v="-2.6885846554920391E-3"/>
    <n v="-2.6885846554920391E-3"/>
    <n v="0"/>
    <n v="7.0000000000000001E-3"/>
  </r>
  <r>
    <n v="0.02"/>
    <n v="0.02"/>
    <n v="0"/>
    <n v="0"/>
    <n v="2.081"/>
    <n v="2.7989999999999999"/>
    <x v="2"/>
    <x v="9"/>
    <s v="very_low_beta"/>
    <n v="0.02"/>
    <n v="0.02"/>
    <n v="9.3783751061084393E-3"/>
    <n v="1.0621624893891561E-2"/>
    <n v="1.0621624893891561E-2"/>
    <n v="6.4669248852750796E-3"/>
    <n v="1.3533075114724921E-2"/>
  </r>
  <r>
    <n v="1.2E-2"/>
    <n v="1.2E-2"/>
    <n v="0"/>
    <n v="0"/>
    <n v="2.0649999999999999"/>
    <n v="2.254"/>
    <x v="0"/>
    <x v="10"/>
    <s v="neutral_beta"/>
    <n v="1.2E-2"/>
    <n v="1.2E-2"/>
    <n v="9.3097022598520492E-3"/>
    <n v="2.6902977401479511E-3"/>
    <n v="2.6902977401479511E-3"/>
    <n v="9.2720699152648908E-3"/>
    <n v="2.7279300847351095E-3"/>
  </r>
  <r>
    <n v="1.4999999999999999E-2"/>
    <n v="1.4E-2"/>
    <n v="0"/>
    <n v="9.9999999999999915E-4"/>
    <n v="2.0209999999999999"/>
    <n v="2.02"/>
    <x v="4"/>
    <x v="12"/>
    <s v="very_low_beta"/>
    <n v="1.4999999999999999E-2"/>
    <n v="1.4E-2"/>
    <n v="9.8997659306566798E-3"/>
    <n v="5.1002340693433196E-3"/>
    <n v="5.1002340693433196E-3"/>
    <n v="8.3775132854182702E-3"/>
    <n v="6.6224867145817292E-3"/>
  </r>
  <r>
    <n v="1.4E-2"/>
    <n v="1.4E-2"/>
    <n v="0"/>
    <n v="0"/>
    <n v="1.992"/>
    <n v="2.149"/>
    <x v="4"/>
    <x v="12"/>
    <s v="very_low_beta"/>
    <n v="1.4E-2"/>
    <n v="1.4E-2"/>
    <n v="8.9807712525459098E-3"/>
    <n v="5.0192287474540905E-3"/>
    <n v="5.0192287474540905E-3"/>
    <n v="7.2310179468144803E-3"/>
    <n v="6.76898205318552E-3"/>
  </r>
  <r>
    <n v="1.0999999999999999E-2"/>
    <n v="1.0999999999999999E-2"/>
    <n v="-3.0000000000000009E-3"/>
    <n v="0"/>
    <n v="1.9830000000000001"/>
    <n v="2.2890000000000001"/>
    <x v="1"/>
    <x v="1"/>
    <s v="high_beta"/>
    <n v="1.4E-2"/>
    <n v="1.4E-2"/>
    <n v="8.9362388341619609E-3"/>
    <n v="5.0637611658380394E-3"/>
    <n v="2.0637611658380385E-3"/>
    <n v="8.2533799251437896E-3"/>
    <n v="5.7466200748562107E-3"/>
  </r>
  <r>
    <n v="1.6E-2"/>
    <n v="6.0000000000000001E-3"/>
    <n v="0"/>
    <n v="0.01"/>
    <n v="1.978"/>
    <n v="3.4750000000000001"/>
    <x v="2"/>
    <x v="8"/>
    <s v="very_low_beta"/>
    <n v="1.6E-2"/>
    <n v="6.0000000000000001E-3"/>
    <n v="2.4317677161429199E-2"/>
    <n v="-8.3176771614291989E-3"/>
    <n v="-8.3176771614291989E-3"/>
    <n v="2.1978560176592801E-2"/>
    <n v="-5.9785601765928002E-3"/>
  </r>
  <r>
    <n v="8.9999999999999993E-3"/>
    <n v="8.9999999999999993E-3"/>
    <n v="0"/>
    <n v="0"/>
    <n v="1.9630000000000001"/>
    <n v="1.5229999999999999"/>
    <x v="1"/>
    <x v="2"/>
    <s v="neutral_beta"/>
    <n v="8.9999999999999993E-3"/>
    <n v="8.9999999999999993E-3"/>
    <n v="8.8460815687471106E-3"/>
    <n v="1.5391843125288872E-4"/>
    <n v="1.5391843125288872E-4"/>
    <n v="1.12224185713198E-2"/>
    <n v="-2.2224185713198008E-3"/>
  </r>
  <r>
    <n v="0.01"/>
    <n v="0.01"/>
    <n v="-2E-3"/>
    <n v="0"/>
    <n v="1.913"/>
    <n v="1.879"/>
    <x v="1"/>
    <x v="13"/>
    <s v="high_beta"/>
    <n v="1.2E-2"/>
    <n v="1.2E-2"/>
    <n v="8.6222545495699601E-3"/>
    <n v="3.3777454504300402E-3"/>
    <n v="1.3777454504300402E-3"/>
    <n v="7.9462234109856696E-3"/>
    <n v="4.0537765890143306E-3"/>
  </r>
  <r>
    <n v="0.01"/>
    <n v="0.01"/>
    <n v="-4.0000000000000001E-3"/>
    <n v="0"/>
    <n v="1.847"/>
    <n v="1.5680000000000001"/>
    <x v="1"/>
    <x v="13"/>
    <s v="low_beta"/>
    <n v="1.4E-2"/>
    <n v="1.4E-2"/>
    <n v="8.3264803160235205E-3"/>
    <n v="5.6735196839764798E-3"/>
    <n v="1.6735196839764797E-3"/>
    <n v="0"/>
    <n v="1.4E-2"/>
  </r>
  <r>
    <n v="2.5000000000000001E-2"/>
    <n v="-5.9999999999999984E-3"/>
    <n v="0"/>
    <n v="3.1E-2"/>
    <n v="1.845"/>
    <n v="4.0359999999999996"/>
    <x v="1"/>
    <x v="2"/>
    <s v="neutral_beta"/>
    <n v="2.5000000000000001E-2"/>
    <n v="-6.0000000000000001E-3"/>
    <n v="4.6306272510921703E-2"/>
    <n v="-2.1306272510921702E-2"/>
    <n v="-2.1306272510921702E-2"/>
    <n v="4.1624557070220801E-2"/>
    <n v="-1.66245570702208E-2"/>
  </r>
  <r>
    <n v="1.7000000000000001E-2"/>
    <n v="-5.9999999999999984E-3"/>
    <n v="2.0000000000000018E-3"/>
    <n v="2.3E-2"/>
    <n v="1.8420000000000001"/>
    <n v="4.0289999999999999"/>
    <x v="0"/>
    <x v="14"/>
    <s v="very_low_beta"/>
    <n v="1.4999999999999999E-2"/>
    <n v="-8.0000000000000002E-3"/>
    <n v="4.2916866036267098E-2"/>
    <n v="-2.7916866036267099E-2"/>
    <n v="-2.5916866036267097E-2"/>
    <n v="3.4187506051222102E-2"/>
    <n v="-1.9187506051222103E-2"/>
  </r>
  <r>
    <n v="4.0000000000000001E-3"/>
    <n v="4.0000000000000001E-3"/>
    <n v="0"/>
    <n v="0"/>
    <n v="1.84"/>
    <n v="1.292"/>
    <x v="0"/>
    <x v="10"/>
    <s v="high_beta"/>
    <n v="4.0000000000000001E-3"/>
    <n v="4.0000000000000001E-3"/>
    <n v="8.2949665643067706E-3"/>
    <n v="-4.2949665643067705E-3"/>
    <n v="-4.2949665643067705E-3"/>
    <n v="0"/>
    <n v="4.0000000000000001E-3"/>
  </r>
  <r>
    <n v="0"/>
    <n v="0"/>
    <n v="0"/>
    <n v="0"/>
    <n v="1.794"/>
    <n v="2.2879999999999998"/>
    <x v="4"/>
    <x v="15"/>
    <s v="low_beta"/>
    <n v="0"/>
    <n v="0"/>
    <n v="8.0862230306618897E-3"/>
    <n v="-8.0862230306618897E-3"/>
    <n v="-8.0862230306618897E-3"/>
    <n v="0"/>
    <n v="0"/>
  </r>
  <r>
    <n v="7.0000000000000001E-3"/>
    <n v="7.0000000000000001E-3"/>
    <n v="-1.9999999999999992E-3"/>
    <n v="0"/>
    <n v="1.792"/>
    <n v="1.4059999999999999"/>
    <x v="1"/>
    <x v="1"/>
    <s v="very_high_beta"/>
    <n v="8.9999999999999993E-3"/>
    <n v="8.9999999999999993E-3"/>
    <n v="8.0792796088986502E-3"/>
    <n v="9.2072039110134909E-4"/>
    <n v="-1.0792796088986501E-3"/>
    <n v="6.4597299480142001E-3"/>
    <n v="2.5402700519857992E-3"/>
  </r>
  <r>
    <n v="1.2999999999999999E-2"/>
    <n v="8.9999999999999993E-3"/>
    <n v="0"/>
    <n v="4.0000000000000001E-3"/>
    <n v="1.7889999999999999"/>
    <n v="2.3010000000000002"/>
    <x v="0"/>
    <x v="16"/>
    <s v="very_low_beta"/>
    <n v="1.2999999999999999E-2"/>
    <n v="8.9999999999999993E-3"/>
    <n v="1.08848284692117E-2"/>
    <n v="2.1151715307882995E-3"/>
    <n v="2.1151715307882995E-3"/>
    <n v="9.5923515980421998E-3"/>
    <n v="3.4076484019577996E-3"/>
  </r>
  <r>
    <n v="0"/>
    <n v="0"/>
    <n v="-1.4E-2"/>
    <n v="0"/>
    <n v="1.7529999999999999"/>
    <n v="2.1259999999999999"/>
    <x v="2"/>
    <x v="9"/>
    <s v="very_low_beta"/>
    <n v="1.4E-2"/>
    <n v="1.4E-2"/>
    <n v="7.9013384755586592E-3"/>
    <n v="6.0986615244413411E-3"/>
    <n v="-7.9013384755586592E-3"/>
    <n v="6.7361009204006898E-3"/>
    <n v="7.2638990795993105E-3"/>
  </r>
  <r>
    <n v="6.0000000000000001E-3"/>
    <n v="6.0000000000000001E-3"/>
    <n v="-1E-3"/>
    <n v="0"/>
    <n v="1.7250000000000001"/>
    <n v="1.248"/>
    <x v="1"/>
    <x v="4"/>
    <s v="neutral_beta"/>
    <n v="7.0000000000000001E-3"/>
    <n v="7.0000000000000001E-3"/>
    <n v="7.7744705893352997E-3"/>
    <n v="-7.744705893352995E-4"/>
    <n v="-1.7744705893352995E-3"/>
    <n v="0"/>
    <n v="7.0000000000000001E-3"/>
  </r>
  <r>
    <n v="0.01"/>
    <n v="0.01"/>
    <n v="0"/>
    <n v="0"/>
    <n v="1.641"/>
    <n v="1.5569999999999999"/>
    <x v="0"/>
    <x v="14"/>
    <s v="very_high_beta"/>
    <n v="0.01"/>
    <n v="0.01"/>
    <n v="7.3960677069385399E-3"/>
    <n v="2.6039322930614603E-3"/>
    <n v="2.6039322930614603E-3"/>
    <n v="0"/>
    <n v="0.01"/>
  </r>
  <r>
    <n v="8.0000000000000002E-3"/>
    <n v="8.0000000000000002E-3"/>
    <n v="0"/>
    <n v="0"/>
    <n v="1.6180000000000001"/>
    <n v="1.25"/>
    <x v="2"/>
    <x v="6"/>
    <s v="very_high_beta"/>
    <n v="8.0000000000000002E-3"/>
    <n v="8.0000000000000002E-3"/>
    <n v="7.2909245853264902E-3"/>
    <n v="7.0907541467350992E-4"/>
    <n v="7.0907541467350992E-4"/>
    <n v="0"/>
    <n v="8.0000000000000002E-3"/>
  </r>
  <r>
    <n v="2.3E-2"/>
    <n v="2.3E-2"/>
    <n v="0"/>
    <n v="0"/>
    <n v="1.5840000000000001"/>
    <n v="2.13"/>
    <x v="1"/>
    <x v="2"/>
    <s v="neutral_beta"/>
    <n v="2.3E-2"/>
    <n v="2.3E-2"/>
    <n v="7.1385199714608097E-3"/>
    <n v="1.5861480028539189E-2"/>
    <n v="1.5861480028539189E-2"/>
    <n v="8.7436516854604903E-3"/>
    <n v="1.4256348314539509E-2"/>
  </r>
  <r>
    <n v="0.02"/>
    <n v="1.2999999999999999E-2"/>
    <n v="0"/>
    <n v="7.000000000000001E-3"/>
    <n v="1.5409999999999999"/>
    <n v="2.6040000000000001"/>
    <x v="0"/>
    <x v="16"/>
    <s v="very_low_beta"/>
    <n v="0.02"/>
    <n v="1.2999999999999999E-2"/>
    <n v="1.5053042118270601E-2"/>
    <n v="4.9469578817293997E-3"/>
    <n v="4.9469578817293997E-3"/>
    <n v="1.5198090750551001E-2"/>
    <n v="4.8019092494489997E-3"/>
  </r>
  <r>
    <n v="1.7999999999999999E-2"/>
    <n v="1.7999999999999999E-2"/>
    <n v="0"/>
    <n v="0"/>
    <n v="1.478"/>
    <n v="1.9690000000000001"/>
    <x v="2"/>
    <x v="9"/>
    <s v="low_beta"/>
    <n v="1.7999999999999999E-2"/>
    <n v="1.7999999999999999E-2"/>
    <n v="6.6627778875297597E-3"/>
    <n v="1.1337222112470239E-2"/>
    <n v="1.1337222112470239E-2"/>
    <n v="7.9140861822037094E-3"/>
    <n v="1.0085913817796289E-2"/>
  </r>
  <r>
    <n v="1.7000000000000001E-2"/>
    <n v="1.7000000000000001E-2"/>
    <n v="0"/>
    <n v="0"/>
    <n v="1.4590000000000001"/>
    <n v="1.9630000000000001"/>
    <x v="2"/>
    <x v="9"/>
    <s v="low_beta"/>
    <n v="1.7000000000000001E-2"/>
    <n v="1.7000000000000001E-2"/>
    <n v="6.5779814597503204E-3"/>
    <n v="1.042201854024968E-2"/>
    <n v="1.042201854024968E-2"/>
    <n v="8.2604486140125197E-3"/>
    <n v="8.7395513859874815E-3"/>
  </r>
  <r>
    <n v="6.0000000000000001E-3"/>
    <n v="5.000000000000001E-3"/>
    <n v="-2.9999999999999992E-3"/>
    <n v="9.9999999999999915E-4"/>
    <n v="1.4379999999999999"/>
    <n v="1.117"/>
    <x v="1"/>
    <x v="3"/>
    <s v="neutral_beta"/>
    <n v="8.9999999999999993E-3"/>
    <n v="8.0000000000000002E-3"/>
    <n v="6.8908392114838098E-3"/>
    <n v="2.1091607885161895E-3"/>
    <n v="-8.9083921148380967E-4"/>
    <n v="0"/>
    <n v="8.9999999999999993E-3"/>
  </r>
  <r>
    <n v="2.3E-2"/>
    <n v="1.7000000000000001E-2"/>
    <n v="0"/>
    <n v="5.9999999999999984E-3"/>
    <n v="1.4339999999999999"/>
    <n v="2.3239999999999998"/>
    <x v="2"/>
    <x v="9"/>
    <s v="high_beta"/>
    <n v="2.3E-2"/>
    <n v="1.7000000000000001E-2"/>
    <n v="1.31072656069666E-2"/>
    <n v="9.8927343930333995E-3"/>
    <n v="9.8927343930333995E-3"/>
    <n v="1.7684943207392199E-2"/>
    <n v="5.3150567926078009E-3"/>
  </r>
  <r>
    <n v="2.3E-2"/>
    <n v="1.2999999999999999E-2"/>
    <n v="0"/>
    <n v="0.01"/>
    <n v="1.429"/>
    <n v="2.5430000000000001"/>
    <x v="1"/>
    <x v="2"/>
    <s v="neutral_beta"/>
    <n v="2.3E-2"/>
    <n v="1.2999999999999999E-2"/>
    <n v="1.5828248764407901E-2"/>
    <n v="7.1717512355920984E-3"/>
    <n v="7.1717512355920984E-3"/>
    <n v="1.80282353189497E-2"/>
    <n v="4.9717646810502995E-3"/>
  </r>
  <r>
    <n v="1.0999999999999999E-2"/>
    <n v="1.0999999999999999E-2"/>
    <n v="0"/>
    <n v="0"/>
    <n v="1.37"/>
    <n v="1.343"/>
    <x v="1"/>
    <x v="2"/>
    <s v="very_low_beta"/>
    <n v="1.0999999999999999E-2"/>
    <n v="1.0999999999999999E-2"/>
    <n v="6.1754167809295896E-3"/>
    <n v="4.8245832190704097E-3"/>
    <n v="4.8245832190704097E-3"/>
    <n v="0"/>
    <n v="1.0999999999999999E-2"/>
  </r>
  <r>
    <n v="2.1999999999999999E-2"/>
    <n v="1.0999999999999999E-2"/>
    <n v="0"/>
    <n v="1.0999999999999999E-2"/>
    <n v="1.355"/>
    <n v="2.4950000000000001"/>
    <x v="2"/>
    <x v="9"/>
    <s v="neutral_beta"/>
    <n v="2.1999999999999999E-2"/>
    <n v="1.0999999999999999E-2"/>
    <n v="1.6007324056014099E-2"/>
    <n v="5.9926759439858993E-3"/>
    <n v="5.9926759439858993E-3"/>
    <n v="2.46863226530031E-2"/>
    <n v="-2.6863226530031009E-3"/>
  </r>
  <r>
    <n v="5.0000000000000001E-3"/>
    <n v="3.0000000000000001E-3"/>
    <n v="5.0000000000000001E-3"/>
    <n v="2E-3"/>
    <n v="1.349"/>
    <n v="1.8320000000000001"/>
    <x v="4"/>
    <x v="15"/>
    <s v="high_beta"/>
    <n v="0"/>
    <n v="-2E-3"/>
    <n v="7.2319136123822399E-3"/>
    <n v="-7.2319136123822399E-3"/>
    <n v="-2.2319136123822398E-3"/>
    <n v="0"/>
    <n v="0"/>
  </r>
  <r>
    <n v="7.4999999999999997E-3"/>
    <n v="5.4999999999999997E-3"/>
    <n v="-3.4999999999999996E-3"/>
    <n v="2E-3"/>
    <n v="1.3340000000000001"/>
    <n v="1.377"/>
    <x v="1"/>
    <x v="1"/>
    <s v="high_beta"/>
    <n v="1.0999999999999999E-2"/>
    <n v="8.9999999999999993E-3"/>
    <n v="6.7526103153495503E-3"/>
    <n v="4.247389684650449E-3"/>
    <n v="7.4738968465044939E-4"/>
    <n v="0"/>
    <n v="1.0999999999999999E-2"/>
  </r>
  <r>
    <n v="1.7500000000000002E-2"/>
    <n v="8.5000000000000006E-3"/>
    <n v="-3.4999999999999996E-3"/>
    <n v="9.0000000000000011E-3"/>
    <n v="1.3129999999999999"/>
    <n v="2.359"/>
    <x v="2"/>
    <x v="9"/>
    <s v="low_beta"/>
    <n v="2.1000000000000001E-2"/>
    <n v="1.2E-2"/>
    <n v="1.43655012455521E-2"/>
    <n v="6.6344987544479008E-3"/>
    <n v="3.1344987544479012E-3"/>
    <n v="1.96624261185161E-2"/>
    <n v="1.3375738814839014E-3"/>
  </r>
  <r>
    <n v="8.0000000000000002E-3"/>
    <n v="8.0000000000000002E-3"/>
    <n v="0"/>
    <n v="0"/>
    <n v="1.292"/>
    <n v="1.3320000000000001"/>
    <x v="4"/>
    <x v="15"/>
    <s v="low_beta"/>
    <n v="8.0000000000000002E-3"/>
    <n v="8.0000000000000002E-3"/>
    <n v="5.8248436155990697E-3"/>
    <n v="2.1751563844009305E-3"/>
    <n v="2.1751563844009305E-3"/>
    <n v="0"/>
    <n v="8.0000000000000002E-3"/>
  </r>
  <r>
    <n v="0.01"/>
    <n v="4.0000000000000001E-3"/>
    <n v="-4.9999999999999992E-3"/>
    <n v="6.0000000000000001E-3"/>
    <n v="1.278"/>
    <n v="1.579"/>
    <x v="1"/>
    <x v="3"/>
    <s v="neutral_beta"/>
    <n v="1.4999999999999999E-2"/>
    <n v="8.9999999999999993E-3"/>
    <n v="9.9878156753923503E-3"/>
    <n v="5.0121843246076492E-3"/>
    <n v="1.2184324607649941E-5"/>
    <n v="0"/>
    <n v="1.4999999999999999E-2"/>
  </r>
  <r>
    <n v="0"/>
    <n v="0"/>
    <n v="0"/>
    <n v="0"/>
    <n v="1.268"/>
    <n v="1.4950000000000001"/>
    <x v="0"/>
    <x v="14"/>
    <s v="low_beta"/>
    <n v="0"/>
    <n v="0"/>
    <n v="0"/>
    <n v="0"/>
    <n v="0"/>
    <n v="0"/>
    <n v="0"/>
  </r>
  <r>
    <n v="0"/>
    <n v="-4.0000000000000001E-3"/>
    <n v="0"/>
    <n v="4.0000000000000001E-3"/>
    <n v="1.2310000000000001"/>
    <n v="1.5549999999999999"/>
    <x v="2"/>
    <x v="9"/>
    <s v="low_beta"/>
    <n v="0"/>
    <n v="-4.0000000000000001E-3"/>
    <n v="0"/>
    <n v="0"/>
    <n v="0"/>
    <n v="1.3473572330424399E-2"/>
    <n v="-1.3473572330424399E-2"/>
  </r>
  <r>
    <n v="0"/>
    <n v="-2E-3"/>
    <n v="0"/>
    <n v="2E-3"/>
    <n v="1.1499999999999999"/>
    <n v="1.619"/>
    <x v="2"/>
    <x v="6"/>
    <s v="high_beta"/>
    <n v="0"/>
    <n v="-2E-3"/>
    <n v="0"/>
    <n v="0"/>
    <n v="0"/>
    <n v="9.62111582891346E-3"/>
    <n v="-9.62111582891346E-3"/>
  </r>
  <r>
    <n v="0"/>
    <n v="0"/>
    <n v="0"/>
    <n v="0"/>
    <n v="1.105"/>
    <n v="1.194"/>
    <x v="2"/>
    <x v="9"/>
    <s v="very_low_beta"/>
    <n v="0"/>
    <n v="0"/>
    <n v="0"/>
    <n v="0"/>
    <n v="0"/>
    <n v="7.6416264006607497E-3"/>
    <n v="-7.6416264006607497E-3"/>
  </r>
  <r>
    <n v="0"/>
    <n v="-3.0000000000000001E-3"/>
    <n v="0"/>
    <n v="3.0000000000000001E-3"/>
    <n v="1.101"/>
    <n v="1.6839999999999999"/>
    <x v="2"/>
    <x v="9"/>
    <s v="low_beta"/>
    <n v="0"/>
    <n v="-3.0000000000000001E-3"/>
    <n v="0"/>
    <n v="0"/>
    <n v="0"/>
    <n v="1.1237760521915399E-2"/>
    <n v="-1.1237760521915399E-2"/>
  </r>
  <r>
    <n v="0"/>
    <n v="0"/>
    <n v="0"/>
    <n v="0"/>
    <n v="1.0900000000000001"/>
    <n v="1.3680000000000001"/>
    <x v="3"/>
    <x v="17"/>
    <s v="neutral_beta"/>
    <n v="0"/>
    <n v="0"/>
    <n v="0"/>
    <n v="0"/>
    <n v="0"/>
    <n v="0"/>
    <n v="0"/>
  </r>
  <r>
    <n v="3.1E-2"/>
    <n v="-0.05"/>
    <n v="0"/>
    <n v="8.1000000000000003E-2"/>
    <n v="1.046"/>
    <n v="2.2890000000000001"/>
    <x v="1"/>
    <x v="2"/>
    <s v="neutral_beta"/>
    <n v="3.1E-2"/>
    <n v="-0.05"/>
    <n v="0"/>
    <n v="3.1E-2"/>
    <n v="3.1E-2"/>
    <n v="3.5143369458620302E-2"/>
    <n v="-4.1433694586203024E-3"/>
  </r>
  <r>
    <n v="0"/>
    <n v="-3.0000000000000001E-3"/>
    <n v="0"/>
    <n v="3.0000000000000001E-3"/>
    <n v="1.0289999999999999"/>
    <n v="1.262"/>
    <x v="0"/>
    <x v="10"/>
    <s v="low_beta"/>
    <n v="0"/>
    <n v="-3.0000000000000001E-3"/>
    <n v="0"/>
    <n v="0"/>
    <n v="0"/>
    <n v="0"/>
    <n v="0"/>
  </r>
  <r>
    <n v="0"/>
    <n v="0"/>
    <n v="0"/>
    <n v="0"/>
    <n v="1.018"/>
    <n v="0.98899999999999999"/>
    <x v="1"/>
    <x v="1"/>
    <s v="high_beta"/>
    <n v="0"/>
    <n v="0"/>
    <n v="0"/>
    <n v="0"/>
    <n v="0"/>
    <n v="0"/>
    <n v="0"/>
  </r>
  <r>
    <n v="0"/>
    <n v="-4.0000000000000001E-3"/>
    <n v="0"/>
    <n v="4.0000000000000001E-3"/>
    <n v="1.0149999999999999"/>
    <n v="1.577"/>
    <x v="2"/>
    <x v="6"/>
    <s v="high_beta"/>
    <n v="0"/>
    <n v="-4.0000000000000001E-3"/>
    <n v="0"/>
    <n v="0"/>
    <n v="0"/>
    <n v="0"/>
    <n v="0"/>
  </r>
  <r>
    <n v="0"/>
    <n v="0"/>
    <n v="0"/>
    <n v="0"/>
    <n v="1.0069999999999999"/>
    <n v="1.2290000000000001"/>
    <x v="4"/>
    <x v="15"/>
    <s v="very_low_beta"/>
    <n v="0"/>
    <n v="0"/>
    <n v="0"/>
    <n v="0"/>
    <n v="0"/>
    <n v="0"/>
    <n v="0"/>
  </r>
  <r>
    <n v="0"/>
    <n v="0"/>
    <n v="0"/>
    <n v="0"/>
    <n v="1.0049999999999999"/>
    <n v="1.2629999999999999"/>
    <x v="4"/>
    <x v="15"/>
    <s v="low_beta"/>
    <n v="0"/>
    <n v="0"/>
    <n v="0"/>
    <n v="0"/>
    <n v="0"/>
    <n v="0"/>
    <n v="0"/>
  </r>
  <r>
    <n v="0"/>
    <n v="0"/>
    <n v="0"/>
    <n v="0"/>
    <n v="0.99099999999999999"/>
    <n v="0.71399999999999997"/>
    <x v="1"/>
    <x v="4"/>
    <s v="very_high_beta"/>
    <n v="0"/>
    <n v="0"/>
    <n v="0"/>
    <n v="0"/>
    <n v="0"/>
    <n v="7.9979717918270393E-3"/>
    <n v="-7.9979717918270393E-3"/>
  </r>
  <r>
    <n v="0"/>
    <n v="-1E-3"/>
    <n v="0"/>
    <n v="1E-3"/>
    <n v="0.98099999999999998"/>
    <n v="1.254"/>
    <x v="4"/>
    <x v="18"/>
    <s v="very_low_beta"/>
    <n v="0"/>
    <n v="-1E-3"/>
    <n v="0"/>
    <n v="0"/>
    <n v="0"/>
    <n v="0"/>
    <n v="0"/>
  </r>
  <r>
    <n v="0"/>
    <n v="0"/>
    <n v="0"/>
    <n v="0"/>
    <n v="0.97099999999999997"/>
    <n v="1.085"/>
    <x v="1"/>
    <x v="19"/>
    <s v="neutral_beta"/>
    <n v="0"/>
    <n v="0"/>
    <n v="0"/>
    <n v="0"/>
    <n v="0"/>
    <n v="0"/>
    <n v="0"/>
  </r>
  <r>
    <n v="0"/>
    <n v="0"/>
    <n v="0"/>
    <n v="0"/>
    <n v="0.96699999999999997"/>
    <n v="0.85899999999999999"/>
    <x v="0"/>
    <x v="14"/>
    <s v="low_beta"/>
    <n v="0"/>
    <n v="0"/>
    <n v="0"/>
    <n v="0"/>
    <n v="0"/>
    <n v="0"/>
    <n v="0"/>
  </r>
  <r>
    <n v="0"/>
    <n v="-3.6999999999999998E-2"/>
    <n v="0"/>
    <n v="3.6999999999999998E-2"/>
    <n v="0.96199999999999997"/>
    <n v="2.0990000000000002"/>
    <x v="1"/>
    <x v="2"/>
    <s v="neutral_beta"/>
    <n v="0"/>
    <n v="-3.6999999999999998E-2"/>
    <n v="0"/>
    <n v="0"/>
    <n v="0"/>
    <n v="3.51086809172367E-2"/>
    <n v="-3.51086809172367E-2"/>
  </r>
  <r>
    <n v="0"/>
    <n v="-4.0000000000000001E-3"/>
    <n v="0"/>
    <n v="4.0000000000000001E-3"/>
    <n v="0.95599999999999996"/>
    <n v="1.415"/>
    <x v="0"/>
    <x v="16"/>
    <s v="very_low_beta"/>
    <n v="0"/>
    <n v="-4.0000000000000001E-3"/>
    <n v="0"/>
    <n v="0"/>
    <n v="0"/>
    <n v="1.20161548263553E-2"/>
    <n v="-1.20161548263553E-2"/>
  </r>
  <r>
    <n v="0"/>
    <n v="0"/>
    <n v="0"/>
    <n v="0"/>
    <n v="0.95399999999999996"/>
    <n v="0.72599999999999998"/>
    <x v="1"/>
    <x v="1"/>
    <s v="neutral_beta"/>
    <n v="0"/>
    <n v="0"/>
    <n v="0"/>
    <n v="0"/>
    <n v="0"/>
    <n v="6.1114966348128699E-3"/>
    <n v="-6.1114966348128699E-3"/>
  </r>
  <r>
    <n v="0"/>
    <n v="0"/>
    <n v="0"/>
    <n v="0"/>
    <n v="0.93300000000000005"/>
    <n v="0.76200000000000001"/>
    <x v="0"/>
    <x v="10"/>
    <s v="high_beta"/>
    <n v="0"/>
    <n v="0"/>
    <n v="0"/>
    <n v="0"/>
    <n v="0"/>
    <n v="0"/>
    <n v="0"/>
  </r>
  <r>
    <n v="0"/>
    <n v="-5.0000000000000001E-3"/>
    <n v="0"/>
    <n v="5.0000000000000001E-3"/>
    <n v="0.92600000000000005"/>
    <n v="1.4019999999999999"/>
    <x v="4"/>
    <x v="15"/>
    <s v="low_beta"/>
    <n v="0"/>
    <n v="-5.0000000000000001E-3"/>
    <n v="0"/>
    <n v="0"/>
    <n v="0"/>
    <n v="0"/>
    <n v="0"/>
  </r>
  <r>
    <n v="0"/>
    <n v="-3.0000000000000001E-3"/>
    <n v="0"/>
    <n v="3.0000000000000001E-3"/>
    <n v="0.91"/>
    <n v="0.99"/>
    <x v="0"/>
    <x v="10"/>
    <s v="low_beta"/>
    <n v="0"/>
    <n v="-3.0000000000000001E-3"/>
    <n v="0"/>
    <n v="0"/>
    <n v="0"/>
    <n v="0"/>
    <n v="0"/>
  </r>
  <r>
    <n v="0"/>
    <n v="-4.4999999999999998E-2"/>
    <n v="0"/>
    <n v="4.4999999999999998E-2"/>
    <n v="0.89"/>
    <n v="1.946"/>
    <x v="2"/>
    <x v="9"/>
    <s v="high_beta"/>
    <n v="0"/>
    <n v="-4.4999999999999998E-2"/>
    <n v="0"/>
    <n v="0"/>
    <n v="0"/>
    <n v="3.7833716586561698E-2"/>
    <n v="-3.7833716586561698E-2"/>
  </r>
  <r>
    <n v="0"/>
    <n v="-4.0000000000000001E-3"/>
    <n v="0"/>
    <n v="4.0000000000000001E-3"/>
    <n v="0.872"/>
    <n v="1.264"/>
    <x v="2"/>
    <x v="9"/>
    <s v="low_beta"/>
    <n v="0"/>
    <n v="-4.0000000000000001E-3"/>
    <n v="0"/>
    <n v="0"/>
    <n v="0"/>
    <n v="8.7175900976511605E-3"/>
    <n v="-8.7175900976511605E-3"/>
  </r>
  <r>
    <n v="0"/>
    <n v="-4.0000000000000001E-3"/>
    <n v="0"/>
    <n v="4.0000000000000001E-3"/>
    <n v="0.83399999999999996"/>
    <n v="1.3240000000000001"/>
    <x v="2"/>
    <x v="9"/>
    <s v="low_beta"/>
    <n v="0"/>
    <n v="-4.0000000000000001E-3"/>
    <n v="0"/>
    <n v="0"/>
    <n v="0"/>
    <n v="1.15547892302785E-2"/>
    <n v="-1.15547892302785E-2"/>
  </r>
  <r>
    <n v="0"/>
    <n v="0"/>
    <n v="0"/>
    <n v="0"/>
    <n v="0.83"/>
    <n v="0.63900000000000001"/>
    <x v="1"/>
    <x v="4"/>
    <s v="low_beta"/>
    <n v="0"/>
    <n v="0"/>
    <n v="0"/>
    <n v="0"/>
    <n v="0"/>
    <n v="0"/>
    <n v="0"/>
  </r>
  <r>
    <n v="0"/>
    <n v="-1.4E-2"/>
    <n v="0"/>
    <n v="1.4E-2"/>
    <n v="0.82799999999999996"/>
    <n v="1.494"/>
    <x v="1"/>
    <x v="20"/>
    <s v="low_beta"/>
    <n v="0"/>
    <n v="-1.4E-2"/>
    <n v="0"/>
    <n v="0"/>
    <n v="0"/>
    <n v="2.2799719561755999E-2"/>
    <n v="-2.2799719561755999E-2"/>
  </r>
  <r>
    <n v="0"/>
    <n v="0"/>
    <n v="0"/>
    <n v="0"/>
    <n v="0.82699999999999996"/>
    <n v="0.61599999999999999"/>
    <x v="1"/>
    <x v="19"/>
    <s v="very_high_beta"/>
    <n v="0"/>
    <n v="0"/>
    <n v="0"/>
    <n v="0"/>
    <n v="0"/>
    <n v="0"/>
    <n v="0"/>
  </r>
  <r>
    <n v="0"/>
    <n v="0"/>
    <n v="0"/>
    <n v="0"/>
    <n v="0.81399999999999995"/>
    <n v="0.94799999999999995"/>
    <x v="1"/>
    <x v="2"/>
    <s v="high_beta"/>
    <n v="0"/>
    <n v="0"/>
    <n v="0"/>
    <n v="0"/>
    <n v="0"/>
    <n v="0"/>
    <n v="0"/>
  </r>
  <r>
    <n v="0"/>
    <n v="0"/>
    <n v="0"/>
    <n v="0"/>
    <n v="0.79700000000000004"/>
    <n v="0.626"/>
    <x v="4"/>
    <x v="18"/>
    <s v="very_low_beta"/>
    <n v="0"/>
    <n v="0"/>
    <n v="0"/>
    <n v="0"/>
    <n v="0"/>
    <n v="0"/>
    <n v="0"/>
  </r>
  <r>
    <n v="0"/>
    <n v="0"/>
    <n v="0"/>
    <n v="0"/>
    <n v="0.78300000000000003"/>
    <n v="0.94399999999999995"/>
    <x v="1"/>
    <x v="2"/>
    <s v="neutral_beta"/>
    <n v="0"/>
    <n v="0"/>
    <n v="0"/>
    <n v="0"/>
    <n v="0"/>
    <n v="0"/>
    <n v="0"/>
  </r>
  <r>
    <n v="0"/>
    <n v="0"/>
    <n v="0"/>
    <n v="0"/>
    <n v="0.77200000000000002"/>
    <n v="0.86199999999999999"/>
    <x v="1"/>
    <x v="3"/>
    <s v="high_beta"/>
    <n v="0"/>
    <n v="0"/>
    <n v="0"/>
    <n v="0"/>
    <n v="0"/>
    <n v="0"/>
    <n v="0"/>
  </r>
  <r>
    <n v="0"/>
    <n v="-1E-3"/>
    <n v="0"/>
    <n v="1E-3"/>
    <n v="0.76"/>
    <n v="0.57299999999999995"/>
    <x v="1"/>
    <x v="3"/>
    <s v="very_high_beta"/>
    <n v="0"/>
    <n v="-1E-3"/>
    <n v="0"/>
    <n v="0"/>
    <n v="0"/>
    <n v="0"/>
    <n v="0"/>
  </r>
  <r>
    <n v="0"/>
    <n v="0"/>
    <n v="0"/>
    <n v="0"/>
    <n v="0.75700000000000001"/>
    <n v="0.63400000000000001"/>
    <x v="0"/>
    <x v="10"/>
    <s v="neutral_beta"/>
    <n v="0"/>
    <n v="0"/>
    <n v="0"/>
    <n v="0"/>
    <n v="0"/>
    <n v="0"/>
    <n v="0"/>
  </r>
  <r>
    <n v="0"/>
    <n v="0"/>
    <n v="0"/>
    <n v="0"/>
    <n v="0.748"/>
    <n v="0.88200000000000001"/>
    <x v="2"/>
    <x v="9"/>
    <s v="high_beta"/>
    <n v="0"/>
    <n v="0"/>
    <n v="0"/>
    <n v="0"/>
    <n v="0"/>
    <n v="6.2846974557616599E-3"/>
    <n v="-6.2846974557616599E-3"/>
  </r>
  <r>
    <n v="0"/>
    <n v="0"/>
    <n v="0"/>
    <n v="0"/>
    <n v="0.74099999999999999"/>
    <n v="0.56399999999999995"/>
    <x v="3"/>
    <x v="7"/>
    <s v="very_low_beta"/>
    <n v="0"/>
    <n v="0"/>
    <n v="0"/>
    <n v="0"/>
    <n v="0"/>
    <n v="0"/>
    <n v="0"/>
  </r>
  <r>
    <n v="0"/>
    <n v="-2E-3"/>
    <n v="0"/>
    <n v="2E-3"/>
    <n v="0.73799999999999999"/>
    <n v="0.77600000000000002"/>
    <x v="0"/>
    <x v="16"/>
    <s v="low_beta"/>
    <n v="0"/>
    <n v="-2E-3"/>
    <n v="0"/>
    <n v="0"/>
    <n v="0"/>
    <n v="0"/>
    <n v="0"/>
  </r>
  <r>
    <n v="0"/>
    <n v="-1.2999999999999999E-2"/>
    <n v="0"/>
    <n v="1.2999999999999999E-2"/>
    <n v="0.73499999999999999"/>
    <n v="1.387"/>
    <x v="2"/>
    <x v="9"/>
    <s v="high_beta"/>
    <n v="0"/>
    <n v="-1.2999999999999999E-2"/>
    <n v="0"/>
    <n v="0"/>
    <n v="0"/>
    <n v="2.40869617446175E-2"/>
    <n v="-2.40869617446175E-2"/>
  </r>
  <r>
    <n v="0"/>
    <n v="-2E-3"/>
    <n v="0"/>
    <n v="2E-3"/>
    <n v="0.72899999999999998"/>
    <n v="0.57899999999999996"/>
    <x v="1"/>
    <x v="4"/>
    <s v="high_beta"/>
    <n v="0"/>
    <n v="-2E-3"/>
    <n v="0"/>
    <n v="0"/>
    <n v="0"/>
    <n v="0"/>
    <n v="0"/>
  </r>
  <r>
    <n v="0"/>
    <n v="-4.0000000000000001E-3"/>
    <n v="0"/>
    <n v="4.0000000000000001E-3"/>
    <n v="0.71"/>
    <n v="1.04"/>
    <x v="1"/>
    <x v="2"/>
    <s v="neutral_beta"/>
    <n v="0"/>
    <n v="-4.0000000000000001E-3"/>
    <n v="0"/>
    <n v="0"/>
    <n v="0"/>
    <n v="0"/>
    <n v="0"/>
  </r>
  <r>
    <n v="0"/>
    <n v="-3.0000000000000001E-3"/>
    <n v="0"/>
    <n v="3.0000000000000001E-3"/>
    <n v="0.7"/>
    <n v="0.90500000000000003"/>
    <x v="4"/>
    <x v="15"/>
    <s v="neutral_beta"/>
    <n v="0"/>
    <n v="-3.0000000000000001E-3"/>
    <n v="0"/>
    <n v="0"/>
    <n v="0"/>
    <n v="0"/>
    <n v="0"/>
  </r>
  <r>
    <n v="0"/>
    <n v="-5.0000000000000001E-3"/>
    <n v="0"/>
    <n v="5.0000000000000001E-3"/>
    <n v="0.68400000000000005"/>
    <n v="0.98699999999999999"/>
    <x v="2"/>
    <x v="9"/>
    <s v="low_beta"/>
    <n v="0"/>
    <n v="-5.0000000000000001E-3"/>
    <n v="0"/>
    <n v="0"/>
    <n v="0"/>
    <n v="0"/>
    <n v="0"/>
  </r>
  <r>
    <n v="0"/>
    <n v="-3.1E-2"/>
    <n v="0"/>
    <n v="3.1E-2"/>
    <n v="0.68300000000000005"/>
    <n v="1.4430000000000001"/>
    <x v="1"/>
    <x v="2"/>
    <s v="very_high_beta"/>
    <n v="0"/>
    <n v="-3.1E-2"/>
    <n v="0"/>
    <n v="0"/>
    <n v="0"/>
    <n v="0"/>
    <n v="0"/>
  </r>
  <r>
    <n v="0"/>
    <n v="0"/>
    <n v="0"/>
    <n v="0"/>
    <n v="0.67600000000000005"/>
    <n v="0.82199999999999995"/>
    <x v="3"/>
    <x v="7"/>
    <s v="very_low_beta"/>
    <n v="0"/>
    <n v="0"/>
    <n v="0"/>
    <n v="0"/>
    <n v="0"/>
    <n v="0"/>
    <n v="0"/>
  </r>
  <r>
    <n v="0"/>
    <n v="-3.6999999999999998E-2"/>
    <n v="0"/>
    <n v="3.6999999999999998E-2"/>
    <n v="0.65500000000000003"/>
    <n v="1.4330000000000001"/>
    <x v="2"/>
    <x v="9"/>
    <s v="low_beta"/>
    <n v="0"/>
    <n v="-3.6999999999999998E-2"/>
    <n v="0"/>
    <n v="0"/>
    <n v="0"/>
    <n v="3.6470787498910501E-2"/>
    <n v="-3.6470787498910501E-2"/>
  </r>
  <r>
    <n v="0"/>
    <n v="0"/>
    <n v="0"/>
    <n v="0"/>
    <n v="0.65400000000000003"/>
    <n v="0.60599999999999998"/>
    <x v="3"/>
    <x v="11"/>
    <s v="neutral_beta"/>
    <n v="0"/>
    <n v="0"/>
    <n v="0"/>
    <n v="0"/>
    <n v="0"/>
    <n v="0"/>
    <n v="0"/>
  </r>
  <r>
    <n v="0"/>
    <n v="-2.5000000000000001E-2"/>
    <n v="0"/>
    <n v="2.5000000000000001E-2"/>
    <n v="0.64900000000000002"/>
    <n v="1.248"/>
    <x v="1"/>
    <x v="2"/>
    <s v="high_beta"/>
    <n v="0"/>
    <n v="-2.5000000000000001E-2"/>
    <n v="0"/>
    <n v="0"/>
    <n v="0"/>
    <n v="0"/>
    <n v="0"/>
  </r>
  <r>
    <n v="0"/>
    <n v="-2.7E-2"/>
    <n v="0"/>
    <n v="2.7E-2"/>
    <n v="0.64900000000000002"/>
    <n v="1.121"/>
    <x v="3"/>
    <x v="7"/>
    <s v="low_beta"/>
    <n v="0"/>
    <n v="-2.7E-2"/>
    <n v="0"/>
    <n v="0"/>
    <n v="0"/>
    <n v="0"/>
    <n v="0"/>
  </r>
  <r>
    <n v="0"/>
    <n v="0"/>
    <n v="0"/>
    <n v="0"/>
    <n v="0.64500000000000002"/>
    <n v="0.49099999999999999"/>
    <x v="1"/>
    <x v="0"/>
    <s v="low_beta"/>
    <n v="0"/>
    <n v="0"/>
    <n v="0"/>
    <n v="0"/>
    <n v="0"/>
    <n v="0"/>
    <n v="0"/>
  </r>
  <r>
    <n v="0"/>
    <n v="0"/>
    <n v="0"/>
    <n v="0"/>
    <n v="0.64400000000000002"/>
    <n v="0.46899999999999997"/>
    <x v="2"/>
    <x v="9"/>
    <s v="low_beta"/>
    <n v="0"/>
    <n v="0"/>
    <n v="0"/>
    <n v="0"/>
    <n v="0"/>
    <n v="0"/>
    <n v="0"/>
  </r>
  <r>
    <n v="0"/>
    <n v="-3.5999999999999997E-2"/>
    <n v="0"/>
    <n v="3.5999999999999997E-2"/>
    <n v="0.64200000000000002"/>
    <n v="1.3340000000000001"/>
    <x v="1"/>
    <x v="0"/>
    <s v="very_high_beta"/>
    <n v="0"/>
    <n v="-3.5999999999999997E-2"/>
    <n v="0"/>
    <n v="0"/>
    <n v="0"/>
    <n v="0"/>
    <n v="0"/>
  </r>
  <r>
    <n v="0"/>
    <n v="0"/>
    <n v="0"/>
    <n v="0"/>
    <n v="0.63900000000000001"/>
    <n v="0.49399999999999999"/>
    <x v="4"/>
    <x v="15"/>
    <s v="neutral_beta"/>
    <n v="0"/>
    <n v="0"/>
    <n v="0"/>
    <n v="0"/>
    <n v="0"/>
    <n v="0"/>
    <n v="0"/>
  </r>
  <r>
    <n v="0"/>
    <n v="0"/>
    <n v="0"/>
    <n v="0"/>
    <n v="0.63600000000000001"/>
    <n v="0.68600000000000005"/>
    <x v="3"/>
    <x v="7"/>
    <s v="low_beta"/>
    <n v="0"/>
    <n v="0"/>
    <n v="0"/>
    <n v="0"/>
    <n v="0"/>
    <n v="0"/>
    <n v="0"/>
  </r>
  <r>
    <n v="5.7000000000000002E-2"/>
    <n v="-5.6000000000000001E-2"/>
    <n v="-5.9999999999999984E-3"/>
    <n v="0.113"/>
    <n v="0.627"/>
    <n v="1.355"/>
    <x v="4"/>
    <x v="15"/>
    <s v="neutral_beta"/>
    <n v="6.3E-2"/>
    <n v="-0.05"/>
    <n v="0"/>
    <n v="6.3E-2"/>
    <n v="5.7000000000000002E-2"/>
    <n v="0"/>
    <n v="6.3E-2"/>
  </r>
  <r>
    <n v="0"/>
    <n v="-3.0000000000000001E-3"/>
    <n v="0"/>
    <n v="3.0000000000000001E-3"/>
    <n v="0.62"/>
    <n v="0.52300000000000002"/>
    <x v="4"/>
    <x v="12"/>
    <s v="very_low_beta"/>
    <n v="0"/>
    <n v="-3.0000000000000001E-3"/>
    <n v="0"/>
    <n v="0"/>
    <n v="0"/>
    <n v="0"/>
    <n v="0"/>
  </r>
  <r>
    <n v="0"/>
    <n v="0"/>
    <n v="0"/>
    <n v="0"/>
    <n v="0.62"/>
    <n v="0.60099999999999998"/>
    <x v="1"/>
    <x v="0"/>
    <s v="very_high_beta"/>
    <n v="0"/>
    <n v="0"/>
    <n v="0"/>
    <n v="0"/>
    <n v="0"/>
    <n v="0"/>
    <n v="0"/>
  </r>
  <r>
    <n v="0"/>
    <n v="0"/>
    <n v="0"/>
    <n v="0"/>
    <n v="0.61799999999999999"/>
    <n v="0.443"/>
    <x v="4"/>
    <x v="15"/>
    <s v="very_high_beta"/>
    <n v="0"/>
    <n v="0"/>
    <n v="0"/>
    <n v="0"/>
    <n v="0"/>
    <n v="0"/>
    <n v="0"/>
  </r>
  <r>
    <n v="0"/>
    <n v="0"/>
    <n v="0"/>
    <n v="0"/>
    <n v="0.61699999999999999"/>
    <n v="0.45300000000000001"/>
    <x v="4"/>
    <x v="15"/>
    <s v="very_low_beta"/>
    <n v="0"/>
    <n v="0"/>
    <n v="0"/>
    <n v="0"/>
    <n v="0"/>
    <n v="0"/>
    <n v="0"/>
  </r>
  <r>
    <n v="0"/>
    <n v="-2E-3"/>
    <n v="0"/>
    <n v="2E-3"/>
    <n v="0.61599999999999999"/>
    <n v="0.70199999999999996"/>
    <x v="1"/>
    <x v="1"/>
    <s v="very_high_beta"/>
    <n v="0"/>
    <n v="-2E-3"/>
    <n v="0"/>
    <n v="0"/>
    <n v="0"/>
    <n v="0"/>
    <n v="0"/>
  </r>
  <r>
    <n v="0"/>
    <n v="-1.0999999999999999E-2"/>
    <n v="0"/>
    <n v="1.0999999999999999E-2"/>
    <n v="0.61499999999999999"/>
    <n v="0.94"/>
    <x v="1"/>
    <x v="20"/>
    <s v="very_low_beta"/>
    <n v="0"/>
    <n v="-1.0999999999999999E-2"/>
    <n v="0"/>
    <n v="0"/>
    <n v="0"/>
    <n v="0"/>
    <n v="0"/>
  </r>
  <r>
    <n v="0"/>
    <n v="-0.01"/>
    <n v="0"/>
    <n v="0.01"/>
    <n v="0.61199999999999999"/>
    <n v="0.91300000000000003"/>
    <x v="4"/>
    <x v="15"/>
    <s v="very_low_beta"/>
    <n v="0"/>
    <n v="-0.01"/>
    <n v="0"/>
    <n v="0"/>
    <n v="0"/>
    <n v="0"/>
    <n v="0"/>
  </r>
  <r>
    <n v="0"/>
    <n v="-1E-3"/>
    <n v="0"/>
    <n v="1E-3"/>
    <n v="0.61"/>
    <n v="0.49399999999999999"/>
    <x v="4"/>
    <x v="15"/>
    <s v="neutral_beta"/>
    <n v="0"/>
    <n v="-1E-3"/>
    <n v="0"/>
    <n v="0"/>
    <n v="0"/>
    <n v="0"/>
    <n v="0"/>
  </r>
  <r>
    <n v="0"/>
    <n v="0"/>
    <n v="0"/>
    <n v="0"/>
    <n v="0.60699999999999998"/>
    <n v="0.438"/>
    <x v="3"/>
    <x v="7"/>
    <s v="very_high_beta"/>
    <n v="0"/>
    <n v="0"/>
    <n v="0"/>
    <n v="0"/>
    <n v="0"/>
    <n v="0"/>
    <n v="0"/>
  </r>
  <r>
    <n v="0"/>
    <n v="-1E-3"/>
    <n v="0"/>
    <n v="1E-3"/>
    <n v="0.60399999999999998"/>
    <n v="0.46700000000000003"/>
    <x v="1"/>
    <x v="4"/>
    <s v="high_beta"/>
    <n v="0"/>
    <n v="-1E-3"/>
    <n v="0"/>
    <n v="0"/>
    <n v="0"/>
    <n v="0"/>
    <n v="0"/>
  </r>
  <r>
    <n v="0"/>
    <n v="-7.0000000000000001E-3"/>
    <n v="0"/>
    <n v="7.0000000000000001E-3"/>
    <n v="0.60299999999999998"/>
    <n v="1.052"/>
    <x v="2"/>
    <x v="9"/>
    <s v="neutral_beta"/>
    <n v="0"/>
    <n v="-7.0000000000000001E-3"/>
    <n v="0"/>
    <n v="0"/>
    <n v="0"/>
    <n v="0"/>
    <n v="0"/>
  </r>
  <r>
    <n v="0"/>
    <n v="-2E-3"/>
    <n v="0"/>
    <n v="2E-3"/>
    <n v="0.6"/>
    <n v="0.626"/>
    <x v="2"/>
    <x v="9"/>
    <s v="neutral_beta"/>
    <n v="0"/>
    <n v="-2E-3"/>
    <n v="0"/>
    <n v="0"/>
    <n v="0"/>
    <n v="0"/>
    <n v="0"/>
  </r>
  <r>
    <n v="0"/>
    <n v="-6.0000000000000001E-3"/>
    <n v="0"/>
    <n v="6.0000000000000001E-3"/>
    <n v="0.59799999999999998"/>
    <n v="0.95699999999999996"/>
    <x v="2"/>
    <x v="19"/>
    <s v="high_beta"/>
    <n v="0"/>
    <n v="-6.0000000000000001E-3"/>
    <n v="0"/>
    <n v="0"/>
    <n v="0"/>
    <n v="0"/>
    <n v="0"/>
  </r>
  <r>
    <n v="0"/>
    <n v="0"/>
    <n v="0"/>
    <n v="0"/>
    <n v="0.59499999999999997"/>
    <n v="0.42899999999999999"/>
    <x v="1"/>
    <x v="20"/>
    <s v="very_high_beta"/>
    <n v="0"/>
    <n v="0"/>
    <n v="0"/>
    <n v="0"/>
    <n v="0"/>
    <n v="0"/>
    <n v="0"/>
  </r>
  <r>
    <n v="0"/>
    <n v="0"/>
    <n v="0"/>
    <n v="0"/>
    <n v="0.58899999999999997"/>
    <n v="0.54400000000000004"/>
    <x v="2"/>
    <x v="8"/>
    <s v="low_beta"/>
    <n v="0"/>
    <n v="0"/>
    <n v="0"/>
    <n v="0"/>
    <n v="0"/>
    <n v="0"/>
    <n v="0"/>
  </r>
  <r>
    <n v="0"/>
    <n v="0"/>
    <n v="0"/>
    <n v="0"/>
    <n v="0.58899999999999997"/>
    <n v="0.53100000000000003"/>
    <x v="3"/>
    <x v="7"/>
    <s v="high_beta"/>
    <n v="0"/>
    <n v="0"/>
    <n v="0"/>
    <n v="0"/>
    <n v="0"/>
    <n v="0"/>
    <n v="0"/>
  </r>
  <r>
    <n v="0"/>
    <n v="-1E-3"/>
    <n v="0"/>
    <n v="1E-3"/>
    <n v="0.58799999999999997"/>
    <n v="0.44"/>
    <x v="1"/>
    <x v="5"/>
    <s v="very_high_beta"/>
    <n v="0"/>
    <n v="-1E-3"/>
    <n v="0"/>
    <n v="0"/>
    <n v="0"/>
    <n v="0"/>
    <n v="0"/>
  </r>
  <r>
    <n v="0"/>
    <n v="0"/>
    <n v="0"/>
    <n v="0"/>
    <n v="0.58699999999999997"/>
    <n v="0.69599999999999995"/>
    <x v="4"/>
    <x v="18"/>
    <s v="very_low_beta"/>
    <n v="0"/>
    <n v="0"/>
    <n v="0"/>
    <n v="0"/>
    <n v="0"/>
    <n v="0"/>
    <n v="0"/>
  </r>
  <r>
    <n v="0"/>
    <n v="-7.0000000000000001E-3"/>
    <n v="0"/>
    <n v="7.0000000000000001E-3"/>
    <n v="0.58599999999999997"/>
    <n v="0.73499999999999999"/>
    <x v="1"/>
    <x v="19"/>
    <s v="low_beta"/>
    <n v="0"/>
    <n v="-7.0000000000000001E-3"/>
    <n v="0"/>
    <n v="0"/>
    <n v="0"/>
    <n v="0"/>
    <n v="0"/>
  </r>
  <r>
    <n v="0"/>
    <n v="0"/>
    <n v="0"/>
    <n v="0"/>
    <n v="0.58299999999999996"/>
    <n v="0.42399999999999999"/>
    <x v="1"/>
    <x v="20"/>
    <s v="neutral_beta"/>
    <n v="0"/>
    <n v="0"/>
    <n v="0"/>
    <n v="0"/>
    <n v="0"/>
    <n v="0"/>
    <n v="0"/>
  </r>
  <r>
    <n v="0"/>
    <n v="-1E-3"/>
    <n v="0"/>
    <n v="1E-3"/>
    <n v="0.57899999999999996"/>
    <n v="0.52200000000000002"/>
    <x v="1"/>
    <x v="3"/>
    <s v="low_beta"/>
    <n v="0"/>
    <n v="-1E-3"/>
    <n v="0"/>
    <n v="0"/>
    <n v="0"/>
    <n v="0"/>
    <n v="0"/>
  </r>
  <r>
    <n v="0"/>
    <n v="0"/>
    <n v="0"/>
    <n v="0"/>
    <n v="0.57799999999999996"/>
    <n v="0.41399999999999998"/>
    <x v="1"/>
    <x v="5"/>
    <s v="high_beta"/>
    <n v="0"/>
    <n v="0"/>
    <n v="0"/>
    <n v="0"/>
    <n v="0"/>
    <n v="0"/>
    <n v="0"/>
  </r>
  <r>
    <n v="0"/>
    <n v="-0.02"/>
    <n v="0"/>
    <n v="0.02"/>
    <n v="0.57299999999999995"/>
    <n v="1.252"/>
    <x v="2"/>
    <x v="9"/>
    <s v="neutral_beta"/>
    <n v="0"/>
    <n v="-0.02"/>
    <n v="0"/>
    <n v="0"/>
    <n v="0"/>
    <n v="0"/>
    <n v="0"/>
  </r>
  <r>
    <n v="0"/>
    <n v="-3.0000000000000001E-3"/>
    <n v="0"/>
    <n v="3.0000000000000001E-3"/>
    <n v="0.57199999999999995"/>
    <n v="0.68300000000000005"/>
    <x v="4"/>
    <x v="15"/>
    <s v="high_beta"/>
    <n v="0"/>
    <n v="-3.0000000000000001E-3"/>
    <n v="0"/>
    <n v="0"/>
    <n v="0"/>
    <n v="0"/>
    <n v="0"/>
  </r>
  <r>
    <n v="0"/>
    <n v="-1.6E-2"/>
    <n v="0"/>
    <n v="1.6E-2"/>
    <n v="0.57099999999999995"/>
    <n v="1.0369999999999999"/>
    <x v="0"/>
    <x v="10"/>
    <s v="low_beta"/>
    <n v="0"/>
    <n v="-1.6E-2"/>
    <n v="0"/>
    <n v="0"/>
    <n v="0"/>
    <n v="0"/>
    <n v="0"/>
  </r>
  <r>
    <n v="0"/>
    <n v="-1.7999999999999999E-2"/>
    <n v="0"/>
    <n v="1.7999999999999999E-2"/>
    <n v="0.56999999999999995"/>
    <n v="0.89700000000000002"/>
    <x v="2"/>
    <x v="9"/>
    <s v="neutral_beta"/>
    <n v="0"/>
    <n v="-1.7999999999999999E-2"/>
    <n v="0"/>
    <n v="0"/>
    <n v="0"/>
    <n v="0"/>
    <n v="0"/>
  </r>
  <r>
    <n v="0"/>
    <n v="0"/>
    <n v="0"/>
    <n v="0"/>
    <n v="0.56799999999999995"/>
    <n v="0.53100000000000003"/>
    <x v="2"/>
    <x v="19"/>
    <s v="very_high_beta"/>
    <n v="0"/>
    <n v="0"/>
    <n v="0"/>
    <n v="0"/>
    <n v="0"/>
    <n v="6.7889261017899799E-3"/>
    <n v="-6.7889261017899799E-3"/>
  </r>
  <r>
    <n v="0"/>
    <n v="0"/>
    <n v="0"/>
    <n v="0"/>
    <n v="0.56699999999999995"/>
    <n v="0.439"/>
    <x v="4"/>
    <x v="18"/>
    <s v="very_low_beta"/>
    <n v="0"/>
    <n v="0"/>
    <n v="0"/>
    <n v="0"/>
    <n v="0"/>
    <n v="0"/>
    <n v="0"/>
  </r>
  <r>
    <n v="0"/>
    <n v="0"/>
    <n v="0"/>
    <n v="0"/>
    <n v="0.56599999999999995"/>
    <n v="0.48799999999999999"/>
    <x v="1"/>
    <x v="5"/>
    <s v="high_beta"/>
    <n v="0"/>
    <n v="0"/>
    <n v="0"/>
    <n v="0"/>
    <n v="0"/>
    <n v="0"/>
    <n v="0"/>
  </r>
  <r>
    <n v="0"/>
    <n v="0"/>
    <n v="0"/>
    <n v="0"/>
    <n v="0.56599999999999995"/>
    <n v="0.436"/>
    <x v="1"/>
    <x v="13"/>
    <s v="very_high_beta"/>
    <n v="0"/>
    <n v="0"/>
    <n v="0"/>
    <n v="0"/>
    <n v="0"/>
    <n v="0"/>
    <n v="0"/>
  </r>
  <r>
    <n v="0"/>
    <n v="0"/>
    <n v="0"/>
    <n v="0"/>
    <n v="0.56299999999999994"/>
    <n v="0.45200000000000001"/>
    <x v="1"/>
    <x v="19"/>
    <s v="low_beta"/>
    <n v="0"/>
    <n v="0"/>
    <n v="0"/>
    <n v="0"/>
    <n v="0"/>
    <n v="0"/>
    <n v="0"/>
  </r>
  <r>
    <n v="0"/>
    <n v="-1.7000000000000001E-2"/>
    <n v="0"/>
    <n v="1.7000000000000001E-2"/>
    <n v="0.55900000000000005"/>
    <n v="0.95499999999999996"/>
    <x v="1"/>
    <x v="20"/>
    <s v="very_high_beta"/>
    <n v="0"/>
    <n v="-1.7000000000000001E-2"/>
    <n v="0"/>
    <n v="0"/>
    <n v="0"/>
    <n v="0"/>
    <n v="0"/>
  </r>
  <r>
    <n v="0"/>
    <n v="-6.0000000000000001E-3"/>
    <n v="0"/>
    <n v="6.0000000000000001E-3"/>
    <n v="0.55600000000000005"/>
    <n v="0.41599999999999998"/>
    <x v="4"/>
    <x v="18"/>
    <s v="very_low_beta"/>
    <n v="0"/>
    <n v="-6.0000000000000001E-3"/>
    <n v="0"/>
    <n v="0"/>
    <n v="0"/>
    <n v="0"/>
    <n v="0"/>
  </r>
  <r>
    <n v="0"/>
    <n v="0"/>
    <n v="0"/>
    <n v="0"/>
    <n v="0.55300000000000005"/>
    <n v="0.53500000000000003"/>
    <x v="1"/>
    <x v="1"/>
    <s v="very_high_beta"/>
    <n v="0"/>
    <n v="0"/>
    <n v="0"/>
    <n v="0"/>
    <n v="0"/>
    <n v="0"/>
    <n v="0"/>
  </r>
  <r>
    <n v="0"/>
    <n v="-6.0000000000000001E-3"/>
    <n v="0"/>
    <n v="6.0000000000000001E-3"/>
    <n v="0.55000000000000004"/>
    <n v="0.74399999999999999"/>
    <x v="1"/>
    <x v="13"/>
    <s v="neutral_beta"/>
    <n v="0"/>
    <n v="-6.0000000000000001E-3"/>
    <n v="0"/>
    <n v="0"/>
    <n v="0"/>
    <n v="0"/>
    <n v="0"/>
  </r>
  <r>
    <n v="0"/>
    <n v="0"/>
    <n v="0"/>
    <n v="0"/>
    <n v="0.54900000000000004"/>
    <n v="0.63300000000000001"/>
    <x v="3"/>
    <x v="7"/>
    <s v="low_beta"/>
    <n v="0"/>
    <n v="0"/>
    <n v="0"/>
    <n v="0"/>
    <n v="0"/>
    <n v="0"/>
    <n v="0"/>
  </r>
  <r>
    <n v="0"/>
    <n v="0"/>
    <n v="0"/>
    <n v="0"/>
    <n v="0.54800000000000004"/>
    <n v="0.43"/>
    <x v="1"/>
    <x v="5"/>
    <s v="high_beta"/>
    <n v="0"/>
    <n v="0"/>
    <n v="0"/>
    <n v="0"/>
    <n v="0"/>
    <n v="0"/>
    <n v="0"/>
  </r>
  <r>
    <n v="0"/>
    <n v="0"/>
    <n v="0"/>
    <n v="0"/>
    <n v="0.54800000000000004"/>
    <n v="0.498"/>
    <x v="1"/>
    <x v="2"/>
    <s v="neutral_beta"/>
    <n v="0"/>
    <n v="0"/>
    <n v="0"/>
    <n v="0"/>
    <n v="0"/>
    <n v="0"/>
    <n v="0"/>
  </r>
  <r>
    <n v="0"/>
    <n v="-1E-3"/>
    <n v="0"/>
    <n v="1E-3"/>
    <n v="0.54700000000000004"/>
    <n v="0.41099999999999998"/>
    <x v="4"/>
    <x v="18"/>
    <s v="high_beta"/>
    <n v="0"/>
    <n v="-1E-3"/>
    <n v="0"/>
    <n v="0"/>
    <n v="0"/>
    <n v="0"/>
    <n v="0"/>
  </r>
  <r>
    <n v="0"/>
    <n v="-1E-3"/>
    <n v="0"/>
    <n v="1E-3"/>
    <n v="0.54500000000000004"/>
    <n v="0.50800000000000001"/>
    <x v="1"/>
    <x v="20"/>
    <s v="very_high_beta"/>
    <n v="0"/>
    <n v="-1E-3"/>
    <n v="0"/>
    <n v="0"/>
    <n v="0"/>
    <n v="0"/>
    <n v="0"/>
  </r>
  <r>
    <n v="0"/>
    <n v="0"/>
    <n v="0"/>
    <n v="0"/>
    <n v="0.54500000000000004"/>
    <n v="0.64500000000000002"/>
    <x v="3"/>
    <x v="7"/>
    <s v="neutral_beta"/>
    <n v="0"/>
    <n v="0"/>
    <n v="0"/>
    <n v="0"/>
    <n v="0"/>
    <n v="0"/>
    <n v="0"/>
  </r>
  <r>
    <n v="0"/>
    <n v="0"/>
    <n v="0"/>
    <n v="0"/>
    <n v="0.54100000000000004"/>
    <n v="0.46100000000000002"/>
    <x v="4"/>
    <x v="18"/>
    <s v="very_low_beta"/>
    <n v="0"/>
    <n v="0"/>
    <n v="0"/>
    <n v="0"/>
    <n v="0"/>
    <n v="0"/>
    <n v="0"/>
  </r>
  <r>
    <n v="0"/>
    <n v="0"/>
    <n v="0"/>
    <n v="0"/>
    <n v="0.53900000000000003"/>
    <n v="0.42399999999999999"/>
    <x v="1"/>
    <x v="1"/>
    <s v="low_beta"/>
    <n v="0"/>
    <n v="0"/>
    <n v="0"/>
    <n v="0"/>
    <n v="0"/>
    <n v="0"/>
    <n v="0"/>
  </r>
  <r>
    <n v="0"/>
    <n v="-8.9999999999999993E-3"/>
    <n v="0"/>
    <n v="8.9999999999999993E-3"/>
    <n v="0.53900000000000003"/>
    <n v="0.87"/>
    <x v="4"/>
    <x v="15"/>
    <s v="neutral_beta"/>
    <n v="0"/>
    <n v="-8.9999999999999993E-3"/>
    <n v="0"/>
    <n v="0"/>
    <n v="0"/>
    <n v="0"/>
    <n v="0"/>
  </r>
  <r>
    <n v="0"/>
    <n v="-3.0000000000000001E-3"/>
    <n v="0"/>
    <n v="3.0000000000000001E-3"/>
    <n v="0.53500000000000003"/>
    <n v="0.66"/>
    <x v="1"/>
    <x v="20"/>
    <s v="neutral_beta"/>
    <n v="0"/>
    <n v="-3.0000000000000001E-3"/>
    <n v="0"/>
    <n v="0"/>
    <n v="0"/>
    <n v="0"/>
    <n v="0"/>
  </r>
  <r>
    <n v="0"/>
    <n v="-1.0999999999999999E-2"/>
    <n v="0"/>
    <n v="1.0999999999999999E-2"/>
    <n v="0.53400000000000003"/>
    <n v="0.48799999999999999"/>
    <x v="0"/>
    <x v="10"/>
    <s v="very_low_beta"/>
    <n v="0"/>
    <n v="-1.0999999999999999E-2"/>
    <n v="0"/>
    <n v="0"/>
    <n v="0"/>
    <n v="0"/>
    <n v="0"/>
  </r>
  <r>
    <n v="0"/>
    <n v="0"/>
    <n v="0"/>
    <n v="0"/>
    <n v="0.53300000000000003"/>
    <n v="0.50700000000000001"/>
    <x v="0"/>
    <x v="14"/>
    <s v="low_beta"/>
    <n v="0"/>
    <n v="0"/>
    <n v="0"/>
    <n v="0"/>
    <n v="0"/>
    <n v="0"/>
    <n v="0"/>
  </r>
  <r>
    <n v="0"/>
    <n v="0"/>
    <n v="0"/>
    <n v="0"/>
    <n v="0.53300000000000003"/>
    <n v="0.42"/>
    <x v="3"/>
    <x v="7"/>
    <s v="very_low_beta"/>
    <n v="0"/>
    <n v="0"/>
    <n v="0"/>
    <n v="0"/>
    <n v="0"/>
    <n v="0"/>
    <n v="0"/>
  </r>
  <r>
    <n v="0"/>
    <n v="0"/>
    <n v="0"/>
    <n v="0"/>
    <n v="0.53200000000000003"/>
    <n v="0.374"/>
    <x v="1"/>
    <x v="1"/>
    <s v="very_high_beta"/>
    <n v="0"/>
    <n v="0"/>
    <n v="0"/>
    <n v="0"/>
    <n v="0"/>
    <n v="0"/>
    <n v="0"/>
  </r>
  <r>
    <n v="0"/>
    <n v="0"/>
    <n v="0"/>
    <n v="0"/>
    <n v="0.53"/>
    <n v="0.441"/>
    <x v="3"/>
    <x v="7"/>
    <s v="very_high_beta"/>
    <n v="0"/>
    <n v="0"/>
    <n v="0"/>
    <n v="0"/>
    <n v="0"/>
    <n v="0"/>
    <n v="0"/>
  </r>
  <r>
    <n v="0"/>
    <n v="-1.7000000000000001E-2"/>
    <n v="0"/>
    <n v="1.7000000000000001E-2"/>
    <n v="0.53"/>
    <n v="0.70199999999999996"/>
    <x v="4"/>
    <x v="12"/>
    <s v="very_low_beta"/>
    <n v="0"/>
    <n v="-1.7000000000000001E-2"/>
    <n v="0"/>
    <n v="0"/>
    <n v="0"/>
    <n v="0"/>
    <n v="0"/>
  </r>
  <r>
    <n v="0"/>
    <n v="0"/>
    <n v="0"/>
    <n v="0"/>
    <n v="0.53"/>
    <n v="0.48099999999999998"/>
    <x v="1"/>
    <x v="2"/>
    <s v="very_low_beta"/>
    <n v="0"/>
    <n v="0"/>
    <n v="0"/>
    <n v="0"/>
    <n v="0"/>
    <n v="0"/>
    <n v="0"/>
  </r>
  <r>
    <n v="0"/>
    <n v="0"/>
    <n v="0"/>
    <n v="0"/>
    <n v="0.52900000000000003"/>
    <n v="0.376"/>
    <x v="2"/>
    <x v="8"/>
    <s v="very_low_beta"/>
    <n v="0"/>
    <n v="0"/>
    <n v="0"/>
    <n v="0"/>
    <n v="0"/>
    <n v="0"/>
    <n v="0"/>
  </r>
  <r>
    <n v="0"/>
    <n v="0"/>
    <n v="0"/>
    <n v="0"/>
    <n v="0.52700000000000002"/>
    <n v="0.52"/>
    <x v="3"/>
    <x v="17"/>
    <s v="very_high_beta"/>
    <n v="0"/>
    <n v="0"/>
    <n v="0"/>
    <n v="0"/>
    <n v="0"/>
    <n v="0"/>
    <n v="0"/>
  </r>
  <r>
    <n v="0"/>
    <n v="0"/>
    <n v="0"/>
    <n v="0"/>
    <n v="0.52600000000000002"/>
    <n v="0.39300000000000002"/>
    <x v="1"/>
    <x v="20"/>
    <s v="very_high_beta"/>
    <n v="0"/>
    <n v="0"/>
    <n v="0"/>
    <n v="0"/>
    <n v="0"/>
    <n v="0"/>
    <n v="0"/>
  </r>
  <r>
    <n v="0"/>
    <n v="0"/>
    <n v="0"/>
    <n v="0"/>
    <n v="0.52600000000000002"/>
    <n v="0.52"/>
    <x v="4"/>
    <x v="18"/>
    <s v="low_beta"/>
    <n v="0"/>
    <n v="0"/>
    <n v="0"/>
    <n v="0"/>
    <n v="0"/>
    <n v="0"/>
    <n v="0"/>
  </r>
  <r>
    <n v="0"/>
    <n v="-1E-3"/>
    <n v="0"/>
    <n v="1E-3"/>
    <n v="0.52500000000000002"/>
    <n v="0.40699999999999997"/>
    <x v="1"/>
    <x v="1"/>
    <s v="very_high_beta"/>
    <n v="0"/>
    <n v="-1E-3"/>
    <n v="0"/>
    <n v="0"/>
    <n v="0"/>
    <n v="0"/>
    <n v="0"/>
  </r>
  <r>
    <n v="0"/>
    <n v="-2.1999999999999999E-2"/>
    <n v="0"/>
    <n v="2.1999999999999999E-2"/>
    <n v="0.52400000000000002"/>
    <n v="0.69099999999999995"/>
    <x v="3"/>
    <x v="7"/>
    <s v="very_high_beta"/>
    <n v="0"/>
    <n v="-2.1999999999999999E-2"/>
    <n v="0"/>
    <n v="0"/>
    <n v="0"/>
    <n v="0"/>
    <n v="0"/>
  </r>
  <r>
    <n v="0"/>
    <n v="0"/>
    <n v="0"/>
    <n v="0"/>
    <n v="0.52400000000000002"/>
    <n v="0.58799999999999997"/>
    <x v="3"/>
    <x v="7"/>
    <s v="high_beta"/>
    <n v="0"/>
    <n v="0"/>
    <n v="0"/>
    <n v="0"/>
    <n v="0"/>
    <n v="0"/>
    <n v="0"/>
  </r>
  <r>
    <n v="0"/>
    <n v="0"/>
    <n v="0"/>
    <n v="0"/>
    <n v="0.51900000000000002"/>
    <n v="0.38800000000000001"/>
    <x v="0"/>
    <x v="10"/>
    <s v="very_high_beta"/>
    <n v="0"/>
    <n v="0"/>
    <n v="0"/>
    <n v="0"/>
    <n v="0"/>
    <n v="0"/>
    <n v="0"/>
  </r>
  <r>
    <n v="0"/>
    <n v="-3.0000000000000001E-3"/>
    <n v="0"/>
    <n v="3.0000000000000001E-3"/>
    <n v="0.51600000000000001"/>
    <n v="0.53200000000000003"/>
    <x v="0"/>
    <x v="14"/>
    <s v="high_beta"/>
    <n v="0"/>
    <n v="-3.0000000000000001E-3"/>
    <n v="0"/>
    <n v="0"/>
    <n v="0"/>
    <n v="0"/>
    <n v="0"/>
  </r>
  <r>
    <n v="0"/>
    <n v="0"/>
    <n v="0"/>
    <n v="0"/>
    <n v="0.51600000000000001"/>
    <n v="0.42599999999999999"/>
    <x v="4"/>
    <x v="18"/>
    <s v="very_low_beta"/>
    <n v="0"/>
    <n v="0"/>
    <n v="0"/>
    <n v="0"/>
    <n v="0"/>
    <n v="0"/>
    <n v="0"/>
  </r>
  <r>
    <n v="0"/>
    <n v="-5.0000000000000001E-3"/>
    <n v="0"/>
    <n v="5.0000000000000001E-3"/>
    <n v="0.51400000000000001"/>
    <n v="0.45200000000000001"/>
    <x v="0"/>
    <x v="14"/>
    <s v="very_high_beta"/>
    <n v="0"/>
    <n v="-5.0000000000000001E-3"/>
    <n v="0"/>
    <n v="0"/>
    <n v="0"/>
    <n v="0"/>
    <n v="0"/>
  </r>
  <r>
    <n v="0"/>
    <n v="0"/>
    <n v="0"/>
    <n v="0"/>
    <n v="0.51400000000000001"/>
    <n v="0.36099999999999999"/>
    <x v="3"/>
    <x v="11"/>
    <s v="very_high_beta"/>
    <n v="0"/>
    <n v="0"/>
    <n v="0"/>
    <n v="0"/>
    <n v="0"/>
    <n v="0"/>
    <n v="0"/>
  </r>
  <r>
    <n v="0"/>
    <n v="0"/>
    <n v="0"/>
    <n v="0"/>
    <n v="0.51400000000000001"/>
    <n v="0.39200000000000002"/>
    <x v="1"/>
    <x v="0"/>
    <s v="neutral_beta"/>
    <n v="0"/>
    <n v="0"/>
    <n v="0"/>
    <n v="0"/>
    <n v="0"/>
    <n v="0"/>
    <n v="0"/>
  </r>
  <r>
    <n v="0"/>
    <n v="-1E-3"/>
    <n v="0"/>
    <n v="1E-3"/>
    <n v="0.51200000000000001"/>
    <n v="0.38400000000000001"/>
    <x v="1"/>
    <x v="19"/>
    <s v="very_high_beta"/>
    <n v="0"/>
    <n v="-1E-3"/>
    <n v="0"/>
    <n v="0"/>
    <n v="0"/>
    <n v="0"/>
    <n v="0"/>
  </r>
  <r>
    <n v="0"/>
    <n v="-3.0000000000000001E-3"/>
    <n v="0"/>
    <n v="3.0000000000000001E-3"/>
    <n v="0.50900000000000001"/>
    <n v="0.42699999999999999"/>
    <x v="1"/>
    <x v="20"/>
    <s v="very_high_beta"/>
    <n v="0"/>
    <n v="-3.0000000000000001E-3"/>
    <n v="0"/>
    <n v="0"/>
    <n v="0"/>
    <n v="0"/>
    <n v="0"/>
  </r>
  <r>
    <n v="0"/>
    <n v="0"/>
    <n v="0"/>
    <n v="0"/>
    <n v="0.50900000000000001"/>
    <n v="0.42199999999999999"/>
    <x v="3"/>
    <x v="7"/>
    <s v="high_beta"/>
    <n v="0"/>
    <n v="0"/>
    <n v="0"/>
    <n v="0"/>
    <n v="0"/>
    <n v="0"/>
    <n v="0"/>
  </r>
  <r>
    <n v="0"/>
    <n v="0"/>
    <n v="0"/>
    <n v="0"/>
    <n v="0.505"/>
    <n v="0.35499999999999998"/>
    <x v="1"/>
    <x v="5"/>
    <s v="very_high_beta"/>
    <n v="0"/>
    <n v="0"/>
    <n v="0"/>
    <n v="0"/>
    <n v="0"/>
    <n v="0"/>
    <n v="0"/>
  </r>
  <r>
    <n v="0"/>
    <n v="0"/>
    <n v="0"/>
    <n v="0"/>
    <n v="0.499"/>
    <n v="0.35099999999999998"/>
    <x v="0"/>
    <x v="10"/>
    <s v="very_high_beta"/>
    <n v="0"/>
    <n v="0"/>
    <n v="0"/>
    <n v="0"/>
    <n v="0"/>
    <n v="0"/>
    <n v="0"/>
  </r>
  <r>
    <n v="0"/>
    <n v="0"/>
    <n v="0"/>
    <n v="0"/>
    <n v="0.495"/>
    <n v="0.35099999999999998"/>
    <x v="0"/>
    <x v="14"/>
    <s v="very_high_beta"/>
    <n v="0"/>
    <n v="0"/>
    <n v="0"/>
    <n v="0"/>
    <n v="0"/>
    <n v="0"/>
    <n v="0"/>
  </r>
  <r>
    <n v="0"/>
    <n v="0"/>
    <n v="0"/>
    <n v="0"/>
    <n v="0.49399999999999999"/>
    <n v="0.34699999999999998"/>
    <x v="1"/>
    <x v="13"/>
    <s v="high_beta"/>
    <n v="0"/>
    <n v="0"/>
    <n v="0"/>
    <n v="0"/>
    <n v="0"/>
    <n v="0"/>
    <n v="0"/>
  </r>
  <r>
    <n v="0"/>
    <n v="-2E-3"/>
    <n v="0"/>
    <n v="2E-3"/>
    <n v="0.49299999999999999"/>
    <n v="0.38500000000000001"/>
    <x v="4"/>
    <x v="15"/>
    <s v="very_high_beta"/>
    <n v="0"/>
    <n v="-2E-3"/>
    <n v="0"/>
    <n v="0"/>
    <n v="0"/>
    <n v="0"/>
    <n v="0"/>
  </r>
  <r>
    <n v="0"/>
    <n v="0"/>
    <n v="0"/>
    <n v="0"/>
    <n v="0.49"/>
    <n v="0.34399999999999997"/>
    <x v="4"/>
    <x v="15"/>
    <s v="very_high_beta"/>
    <n v="0"/>
    <n v="0"/>
    <n v="0"/>
    <n v="0"/>
    <n v="0"/>
    <n v="0"/>
    <n v="0"/>
  </r>
  <r>
    <n v="0"/>
    <n v="0"/>
    <n v="0"/>
    <n v="0"/>
    <n v="0.48699999999999999"/>
    <n v="0.34200000000000003"/>
    <x v="2"/>
    <x v="9"/>
    <s v="neutral_beta"/>
    <n v="0"/>
    <n v="0"/>
    <n v="0"/>
    <n v="0"/>
    <n v="0"/>
    <n v="0"/>
    <n v="0"/>
  </r>
  <r>
    <n v="0"/>
    <n v="-1E-3"/>
    <n v="0"/>
    <n v="1E-3"/>
    <n v="0.48499999999999999"/>
    <n v="0.34599999999999997"/>
    <x v="0"/>
    <x v="10"/>
    <s v="very_high_beta"/>
    <n v="0"/>
    <n v="-1E-3"/>
    <n v="0"/>
    <n v="0"/>
    <n v="0"/>
    <n v="0"/>
    <n v="0"/>
  </r>
  <r>
    <n v="0"/>
    <n v="0"/>
    <n v="0"/>
    <n v="0"/>
    <n v="0.48099999999999998"/>
    <n v="0.36199999999999999"/>
    <x v="3"/>
    <x v="17"/>
    <s v="very_low_beta"/>
    <n v="0"/>
    <n v="0"/>
    <n v="0"/>
    <n v="0"/>
    <n v="0"/>
    <n v="0"/>
    <n v="0"/>
  </r>
  <r>
    <n v="0"/>
    <n v="0"/>
    <n v="0"/>
    <n v="0"/>
    <n v="0.48"/>
    <n v="0.35499999999999998"/>
    <x v="1"/>
    <x v="5"/>
    <s v="very_high_beta"/>
    <n v="0"/>
    <n v="0"/>
    <n v="0"/>
    <n v="0"/>
    <n v="0"/>
    <n v="0"/>
    <n v="0"/>
  </r>
  <r>
    <n v="0"/>
    <n v="0"/>
    <n v="0"/>
    <n v="0"/>
    <n v="0.47499999999999998"/>
    <n v="0.33300000000000002"/>
    <x v="3"/>
    <x v="7"/>
    <s v="very_low_beta"/>
    <n v="0"/>
    <n v="0"/>
    <n v="0"/>
    <n v="0"/>
    <n v="0"/>
    <n v="0"/>
    <n v="0"/>
  </r>
  <r>
    <n v="0"/>
    <n v="-1E-3"/>
    <n v="0"/>
    <n v="1E-3"/>
    <n v="0.47499999999999998"/>
    <n v="0.33900000000000002"/>
    <x v="3"/>
    <x v="11"/>
    <s v="very_low_beta"/>
    <n v="0"/>
    <n v="-1E-3"/>
    <n v="0"/>
    <n v="0"/>
    <n v="0"/>
    <n v="0"/>
    <n v="0"/>
  </r>
  <r>
    <n v="0"/>
    <n v="0"/>
    <n v="0"/>
    <n v="0"/>
    <n v="0.47299999999999998"/>
    <n v="0.374"/>
    <x v="1"/>
    <x v="4"/>
    <s v="low_beta"/>
    <n v="0"/>
    <n v="0"/>
    <n v="0"/>
    <n v="0"/>
    <n v="0"/>
    <n v="0"/>
    <n v="0"/>
  </r>
  <r>
    <n v="0"/>
    <n v="0"/>
    <n v="0"/>
    <n v="0"/>
    <n v="0.47"/>
    <n v="0.33"/>
    <x v="3"/>
    <x v="17"/>
    <s v="neutral_beta"/>
    <n v="0"/>
    <n v="0"/>
    <n v="0"/>
    <n v="0"/>
    <n v="0"/>
    <n v="0"/>
    <n v="0"/>
  </r>
  <r>
    <n v="0"/>
    <n v="0"/>
    <n v="0"/>
    <n v="0"/>
    <n v="0.46899999999999997"/>
    <n v="0.33"/>
    <x v="1"/>
    <x v="1"/>
    <s v="high_beta"/>
    <n v="0"/>
    <n v="0"/>
    <n v="0"/>
    <n v="0"/>
    <n v="0"/>
    <n v="0"/>
    <n v="0"/>
  </r>
  <r>
    <n v="0"/>
    <n v="0"/>
    <n v="0"/>
    <n v="0"/>
    <n v="0.46800000000000003"/>
    <n v="0.32900000000000001"/>
    <x v="3"/>
    <x v="7"/>
    <s v="very_low_beta"/>
    <n v="0"/>
    <n v="0"/>
    <n v="0"/>
    <n v="0"/>
    <n v="0"/>
    <n v="0"/>
    <n v="0"/>
  </r>
  <r>
    <n v="0"/>
    <n v="0"/>
    <n v="0"/>
    <n v="0"/>
    <n v="0.46800000000000003"/>
    <n v="0.33200000000000002"/>
    <x v="1"/>
    <x v="20"/>
    <s v="very_high_beta"/>
    <n v="0"/>
    <n v="0"/>
    <n v="0"/>
    <n v="0"/>
    <n v="0"/>
    <n v="0"/>
    <n v="0"/>
  </r>
  <r>
    <n v="0"/>
    <n v="0"/>
    <n v="0"/>
    <n v="0"/>
    <n v="0.46800000000000003"/>
    <n v="0.35399999999999998"/>
    <x v="3"/>
    <x v="7"/>
    <s v="very_low_beta"/>
    <n v="0"/>
    <n v="0"/>
    <n v="0"/>
    <n v="0"/>
    <n v="0"/>
    <n v="0"/>
    <n v="0"/>
  </r>
  <r>
    <n v="0"/>
    <n v="0"/>
    <n v="0"/>
    <n v="0"/>
    <n v="0.46800000000000003"/>
    <n v="0.33100000000000002"/>
    <x v="1"/>
    <x v="20"/>
    <s v="very_high_beta"/>
    <n v="0"/>
    <n v="0"/>
    <n v="0"/>
    <n v="0"/>
    <n v="0"/>
    <n v="0"/>
    <n v="0"/>
  </r>
  <r>
    <n v="0"/>
    <n v="0"/>
    <n v="0"/>
    <n v="0"/>
    <n v="0.46800000000000003"/>
    <n v="0.32900000000000001"/>
    <x v="0"/>
    <x v="10"/>
    <s v="high_beta"/>
    <n v="0"/>
    <n v="0"/>
    <n v="0"/>
    <n v="0"/>
    <n v="0"/>
    <n v="0"/>
    <n v="0"/>
  </r>
  <r>
    <n v="0"/>
    <n v="0"/>
    <n v="0"/>
    <n v="0"/>
    <n v="0.46800000000000003"/>
    <n v="0.32900000000000001"/>
    <x v="4"/>
    <x v="15"/>
    <s v="very_high_beta"/>
    <n v="0"/>
    <n v="0"/>
    <n v="0"/>
    <n v="0"/>
    <n v="0"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n v="1.6E-2"/>
    <n v="1.4999999999999999E-2"/>
    <n v="0"/>
    <n v="1E-3"/>
    <n v="3.2610000000000001"/>
    <n v="2.5489999999999999"/>
    <x v="0"/>
    <x v="0"/>
    <s v="very_high_beta"/>
    <n v="1.6E-2"/>
    <n v="1.4999999999999999E-2"/>
    <n v="1E-3"/>
    <n v="3.5511086177026703E-2"/>
    <n v="-1.9511086177026703E-2"/>
    <n v="1.7021819953860401E-2"/>
    <n v="-1.0218199538604006E-3"/>
  </r>
  <r>
    <n v="0.01"/>
    <n v="0.01"/>
    <n v="0.01"/>
    <n v="0"/>
    <n v="3.2610000000000001"/>
    <n v="3.1240000000000001"/>
    <x v="0"/>
    <x v="1"/>
    <s v="very_high_beta"/>
    <n v="0"/>
    <n v="0"/>
    <n v="0"/>
    <n v="0"/>
    <n v="0"/>
    <n v="0"/>
    <n v="0"/>
  </r>
  <r>
    <n v="0"/>
    <n v="0"/>
    <n v="0"/>
    <n v="0"/>
    <n v="3.2610000000000001"/>
    <n v="3.4009999999999998"/>
    <x v="1"/>
    <x v="2"/>
    <s v="low_beta"/>
    <n v="0"/>
    <n v="0"/>
    <n v="0"/>
    <n v="0"/>
    <n v="0"/>
    <n v="0"/>
    <n v="0"/>
  </r>
  <r>
    <n v="0"/>
    <n v="0"/>
    <n v="0"/>
    <n v="0"/>
    <n v="3.2610000000000001"/>
    <n v="3.2930000000000001"/>
    <x v="0"/>
    <x v="3"/>
    <s v="high_beta"/>
    <n v="0"/>
    <n v="0"/>
    <n v="0"/>
    <n v="0"/>
    <n v="0"/>
    <n v="0"/>
    <n v="0"/>
  </r>
  <r>
    <n v="0"/>
    <n v="0"/>
    <n v="0"/>
    <n v="0"/>
    <n v="3.2610000000000001"/>
    <n v="2.5209999999999999"/>
    <x v="0"/>
    <x v="4"/>
    <s v="very_low_beta"/>
    <n v="0"/>
    <n v="0"/>
    <n v="0"/>
    <n v="0"/>
    <n v="0"/>
    <n v="0"/>
    <n v="0"/>
  </r>
  <r>
    <n v="0"/>
    <n v="0"/>
    <n v="0"/>
    <n v="0"/>
    <n v="3.2610000000000001"/>
    <n v="2.5659999999999998"/>
    <x v="0"/>
    <x v="5"/>
    <s v="high_beta"/>
    <n v="0"/>
    <n v="0"/>
    <n v="0"/>
    <n v="0"/>
    <n v="0"/>
    <n v="0"/>
    <n v="0"/>
  </r>
  <r>
    <n v="0"/>
    <n v="0"/>
    <n v="0"/>
    <n v="0"/>
    <n v="3.2570000000000001"/>
    <n v="2.5289999999999999"/>
    <x v="2"/>
    <x v="6"/>
    <s v="neutral_beta"/>
    <n v="0"/>
    <n v="0"/>
    <n v="0"/>
    <n v="0"/>
    <n v="0"/>
    <n v="0"/>
    <n v="0"/>
  </r>
  <r>
    <n v="0"/>
    <n v="0"/>
    <n v="0"/>
    <n v="0"/>
    <n v="3.2280000000000002"/>
    <n v="2.9239999999999999"/>
    <x v="3"/>
    <x v="7"/>
    <s v="neutral_beta"/>
    <n v="0"/>
    <n v="0"/>
    <n v="0"/>
    <n v="0"/>
    <n v="0"/>
    <n v="0"/>
    <n v="0"/>
  </r>
  <r>
    <n v="0"/>
    <n v="0"/>
    <n v="0"/>
    <n v="0"/>
    <n v="3.1320000000000001"/>
    <n v="3.827"/>
    <x v="3"/>
    <x v="7"/>
    <s v="low_beta"/>
    <n v="0"/>
    <n v="0"/>
    <n v="0"/>
    <n v="0"/>
    <n v="0"/>
    <n v="0"/>
    <n v="0"/>
  </r>
  <r>
    <n v="0"/>
    <n v="0"/>
    <n v="0"/>
    <n v="0"/>
    <n v="3.0819999999999999"/>
    <n v="3.133"/>
    <x v="2"/>
    <x v="8"/>
    <s v="low_beta"/>
    <n v="0"/>
    <n v="0"/>
    <n v="0"/>
    <n v="0"/>
    <n v="0"/>
    <n v="0"/>
    <n v="0"/>
  </r>
  <r>
    <n v="3.4000000000000002E-2"/>
    <n v="3.4000000000000002E-2"/>
    <n v="-1.0000000000000009E-3"/>
    <n v="0"/>
    <n v="3.077"/>
    <n v="3.0920000000000001"/>
    <x v="0"/>
    <x v="1"/>
    <s v="neutral_beta"/>
    <n v="3.5000000000000003E-2"/>
    <n v="3.4000000000000002E-2"/>
    <n v="0"/>
    <n v="3.1812000498661397E-2"/>
    <n v="3.1879995013386064E-3"/>
    <n v="1.3181966070419099E-2"/>
    <n v="2.1818033929580906E-2"/>
  </r>
  <r>
    <n v="0.01"/>
    <n v="0.01"/>
    <n v="0.01"/>
    <n v="0"/>
    <n v="3.0529999999999999"/>
    <n v="3.218"/>
    <x v="0"/>
    <x v="3"/>
    <s v="high_beta"/>
    <n v="0"/>
    <n v="0"/>
    <n v="0"/>
    <n v="0"/>
    <n v="0"/>
    <n v="0"/>
    <n v="0"/>
  </r>
  <r>
    <n v="0.01"/>
    <n v="0.01"/>
    <n v="0.01"/>
    <n v="0"/>
    <n v="3.0070000000000001"/>
    <n v="3.0369999999999999"/>
    <x v="0"/>
    <x v="0"/>
    <s v="very_low_beta"/>
    <n v="0"/>
    <n v="0"/>
    <n v="0"/>
    <n v="0"/>
    <n v="0"/>
    <n v="0"/>
    <n v="0"/>
  </r>
  <r>
    <n v="3.1E-2"/>
    <n v="2.9999999999999992E-3"/>
    <n v="0"/>
    <n v="2.8000000000000001E-2"/>
    <n v="2.9980000000000002"/>
    <n v="5.74"/>
    <x v="2"/>
    <x v="8"/>
    <s v="very_low_beta"/>
    <n v="3.1E-2"/>
    <n v="3.0000000000000001E-3"/>
    <n v="2.8000000000000001E-2"/>
    <n v="0.142583736341831"/>
    <n v="-0.111583736341831"/>
    <n v="5.7785500729527699E-2"/>
    <n v="-2.6785500729527699E-2"/>
  </r>
  <r>
    <n v="0"/>
    <n v="0"/>
    <n v="0"/>
    <n v="0"/>
    <n v="2.9329999999999998"/>
    <n v="3.1230000000000002"/>
    <x v="2"/>
    <x v="9"/>
    <s v="low_beta"/>
    <n v="0"/>
    <n v="0"/>
    <n v="0"/>
    <n v="0"/>
    <n v="0"/>
    <n v="0"/>
    <n v="0"/>
  </r>
  <r>
    <n v="0"/>
    <n v="0"/>
    <n v="0"/>
    <n v="0"/>
    <n v="2.887"/>
    <n v="2.2949999999999999"/>
    <x v="1"/>
    <x v="10"/>
    <s v="high_beta"/>
    <n v="0"/>
    <n v="0"/>
    <n v="0"/>
    <n v="0"/>
    <n v="0"/>
    <n v="0"/>
    <n v="0"/>
  </r>
  <r>
    <n v="0"/>
    <n v="0"/>
    <n v="0"/>
    <n v="0"/>
    <n v="2.85"/>
    <n v="2.4390000000000001"/>
    <x v="2"/>
    <x v="9"/>
    <s v="high_beta"/>
    <n v="0"/>
    <n v="0"/>
    <n v="0"/>
    <n v="0"/>
    <n v="0"/>
    <n v="0"/>
    <n v="0"/>
  </r>
  <r>
    <n v="0"/>
    <n v="0"/>
    <n v="0"/>
    <n v="0"/>
    <n v="2.8290000000000002"/>
    <n v="2.6629999999999998"/>
    <x v="3"/>
    <x v="11"/>
    <s v="very_low_beta"/>
    <n v="0"/>
    <n v="0"/>
    <n v="0"/>
    <n v="0"/>
    <n v="0"/>
    <n v="0"/>
    <n v="0"/>
  </r>
  <r>
    <n v="0"/>
    <n v="0"/>
    <n v="0"/>
    <n v="0"/>
    <n v="2.806"/>
    <n v="3.202"/>
    <x v="4"/>
    <x v="12"/>
    <s v="very_low_beta"/>
    <n v="0"/>
    <n v="0"/>
    <n v="0"/>
    <n v="0"/>
    <n v="0"/>
    <n v="0"/>
    <n v="0"/>
  </r>
  <r>
    <n v="0.01"/>
    <n v="0.01"/>
    <n v="0.01"/>
    <n v="0"/>
    <n v="2.6960000000000002"/>
    <n v="3.1549999999999998"/>
    <x v="3"/>
    <x v="7"/>
    <s v="very_low_beta"/>
    <n v="0"/>
    <n v="0"/>
    <n v="0"/>
    <n v="0"/>
    <n v="0"/>
    <n v="0"/>
    <n v="0"/>
  </r>
  <r>
    <n v="0"/>
    <n v="0"/>
    <n v="0"/>
    <n v="0"/>
    <n v="2.6859999999999999"/>
    <n v="2.8439999999999999"/>
    <x v="4"/>
    <x v="12"/>
    <s v="very_low_beta"/>
    <n v="0"/>
    <n v="0"/>
    <n v="0"/>
    <n v="0"/>
    <n v="0"/>
    <n v="0"/>
    <n v="0"/>
  </r>
  <r>
    <n v="0.01"/>
    <n v="0.01"/>
    <n v="0.01"/>
    <n v="0"/>
    <n v="2.6669999999999998"/>
    <n v="3.4089999999999998"/>
    <x v="0"/>
    <x v="3"/>
    <s v="neutral_beta"/>
    <n v="0"/>
    <n v="0"/>
    <n v="0"/>
    <n v="0"/>
    <n v="0"/>
    <n v="0"/>
    <n v="0"/>
  </r>
  <r>
    <n v="0"/>
    <n v="0"/>
    <n v="0"/>
    <n v="0"/>
    <n v="2.6120000000000001"/>
    <n v="2.165"/>
    <x v="0"/>
    <x v="0"/>
    <s v="high_beta"/>
    <n v="0"/>
    <n v="0"/>
    <n v="0"/>
    <n v="0"/>
    <n v="0"/>
    <n v="0"/>
    <n v="0"/>
  </r>
  <r>
    <n v="2.1999999999999999E-2"/>
    <n v="6.9999999999999993E-3"/>
    <n v="0"/>
    <n v="1.4999999999999999E-2"/>
    <n v="2.581"/>
    <n v="4.0350000000000001"/>
    <x v="2"/>
    <x v="9"/>
    <s v="neutral_beta"/>
    <n v="2.1999999999999999E-2"/>
    <n v="7.0000000000000001E-3"/>
    <n v="1.4999999999999999E-2"/>
    <n v="7.9144023211870099E-2"/>
    <n v="-5.71440232118701E-2"/>
    <n v="2.6139327480420398E-2"/>
    <n v="-4.1393274804203996E-3"/>
  </r>
  <r>
    <n v="0"/>
    <n v="0"/>
    <n v="0"/>
    <n v="0"/>
    <n v="2.5640000000000001"/>
    <n v="2.323"/>
    <x v="3"/>
    <x v="7"/>
    <s v="high_beta"/>
    <n v="0"/>
    <n v="0"/>
    <n v="0"/>
    <n v="0"/>
    <n v="0"/>
    <n v="0"/>
    <n v="0"/>
  </r>
  <r>
    <n v="0"/>
    <n v="0"/>
    <n v="0"/>
    <n v="0"/>
    <n v="2.512"/>
    <n v="2.6890000000000001"/>
    <x v="2"/>
    <x v="6"/>
    <s v="low_beta"/>
    <n v="0"/>
    <n v="0"/>
    <n v="0"/>
    <n v="0"/>
    <n v="0"/>
    <n v="0"/>
    <n v="0"/>
  </r>
  <r>
    <n v="1.7999999999999999E-2"/>
    <n v="1.0999999999999999E-2"/>
    <n v="0"/>
    <n v="7.0000000000000001E-3"/>
    <n v="2.4740000000000002"/>
    <n v="2.7559999999999998"/>
    <x v="1"/>
    <x v="10"/>
    <s v="very_low_beta"/>
    <n v="1.7999999999999999E-2"/>
    <n v="1.0999999999999999E-2"/>
    <n v="7.0000000000000001E-3"/>
    <n v="4.4459692945787999E-2"/>
    <n v="-2.6459692945788E-2"/>
    <n v="1.55597420551935E-2"/>
    <n v="2.4402579448064982E-3"/>
  </r>
  <r>
    <n v="0"/>
    <n v="0"/>
    <n v="0"/>
    <n v="0"/>
    <n v="2.3519999999999999"/>
    <n v="2.3879999999999999"/>
    <x v="0"/>
    <x v="1"/>
    <s v="high_beta"/>
    <n v="0"/>
    <n v="0"/>
    <n v="0"/>
    <n v="0"/>
    <n v="0"/>
    <n v="0"/>
    <n v="0"/>
  </r>
  <r>
    <n v="0.01"/>
    <n v="0.01"/>
    <n v="0.01"/>
    <n v="0"/>
    <n v="2.3519999999999999"/>
    <n v="2.2879999999999998"/>
    <x v="0"/>
    <x v="1"/>
    <s v="low_beta"/>
    <n v="0"/>
    <n v="0"/>
    <n v="0"/>
    <n v="0"/>
    <n v="0"/>
    <n v="0"/>
    <n v="0"/>
  </r>
  <r>
    <n v="4.9000000000000002E-2"/>
    <n v="2.7000000000000003E-2"/>
    <n v="0"/>
    <n v="2.1999999999999999E-2"/>
    <n v="2.3479999999999999"/>
    <n v="4.9859999999999998"/>
    <x v="2"/>
    <x v="6"/>
    <s v="high_beta"/>
    <n v="4.9000000000000002E-2"/>
    <n v="2.7E-2"/>
    <n v="2.1999999999999999E-2"/>
    <n v="9.9806363057751701E-2"/>
    <n v="-5.0806363057751699E-2"/>
    <n v="5.3294307185904097E-2"/>
    <n v="-4.2943071859040949E-3"/>
  </r>
  <r>
    <n v="0"/>
    <n v="0"/>
    <n v="0"/>
    <n v="0"/>
    <n v="2.3340000000000001"/>
    <n v="3.1"/>
    <x v="0"/>
    <x v="3"/>
    <s v="neutral_beta"/>
    <n v="0"/>
    <n v="0"/>
    <n v="0"/>
    <n v="0"/>
    <n v="0"/>
    <n v="0"/>
    <n v="0"/>
  </r>
  <r>
    <n v="0"/>
    <n v="0"/>
    <n v="0"/>
    <n v="0"/>
    <n v="2.3149999999999999"/>
    <n v="2.5059999999999998"/>
    <x v="0"/>
    <x v="1"/>
    <s v="neutral_beta"/>
    <n v="0"/>
    <n v="0"/>
    <n v="0"/>
    <n v="0"/>
    <n v="0"/>
    <n v="0"/>
    <n v="0"/>
  </r>
  <r>
    <n v="0"/>
    <n v="0"/>
    <n v="0"/>
    <n v="0"/>
    <n v="2.2770000000000001"/>
    <n v="2.2639999999999998"/>
    <x v="0"/>
    <x v="13"/>
    <s v="low_beta"/>
    <n v="0"/>
    <n v="0"/>
    <n v="0"/>
    <n v="0"/>
    <n v="0"/>
    <n v="0"/>
    <n v="0"/>
  </r>
  <r>
    <n v="0"/>
    <n v="0"/>
    <n v="0"/>
    <n v="0"/>
    <n v="2.2280000000000002"/>
    <n v="1.641"/>
    <x v="0"/>
    <x v="1"/>
    <s v="high_beta"/>
    <n v="0"/>
    <n v="0"/>
    <n v="0"/>
    <n v="0"/>
    <n v="0"/>
    <n v="0"/>
    <n v="0"/>
  </r>
  <r>
    <n v="0"/>
    <n v="0"/>
    <n v="0"/>
    <n v="0"/>
    <n v="2.2240000000000002"/>
    <n v="2.4319999999999999"/>
    <x v="0"/>
    <x v="0"/>
    <s v="low_beta"/>
    <n v="0"/>
    <n v="0"/>
    <n v="0"/>
    <n v="0"/>
    <n v="0"/>
    <n v="0"/>
    <n v="0"/>
  </r>
  <r>
    <n v="0"/>
    <n v="0"/>
    <n v="0"/>
    <n v="0"/>
    <n v="2.2210000000000001"/>
    <n v="2.0939999999999999"/>
    <x v="0"/>
    <x v="13"/>
    <s v="high_beta"/>
    <n v="0"/>
    <n v="0"/>
    <n v="0"/>
    <n v="0"/>
    <n v="0"/>
    <n v="0"/>
    <n v="0"/>
  </r>
  <r>
    <n v="0"/>
    <n v="0"/>
    <n v="0"/>
    <n v="0"/>
    <n v="2.1819999999999999"/>
    <n v="1.6160000000000001"/>
    <x v="0"/>
    <x v="3"/>
    <s v="high_beta"/>
    <n v="0"/>
    <n v="0"/>
    <n v="0"/>
    <n v="0"/>
    <n v="0"/>
    <n v="0"/>
    <n v="0"/>
  </r>
  <r>
    <n v="0"/>
    <n v="0"/>
    <n v="0"/>
    <n v="0"/>
    <n v="2.15"/>
    <n v="1.6180000000000001"/>
    <x v="0"/>
    <x v="13"/>
    <s v="neutral_beta"/>
    <n v="0"/>
    <n v="0"/>
    <n v="0"/>
    <n v="0"/>
    <n v="0"/>
    <n v="0"/>
    <n v="0"/>
  </r>
  <r>
    <n v="0"/>
    <n v="0"/>
    <n v="0"/>
    <n v="0"/>
    <n v="2.081"/>
    <n v="2.7629999999999999"/>
    <x v="2"/>
    <x v="9"/>
    <s v="very_low_beta"/>
    <n v="0"/>
    <n v="0"/>
    <n v="0"/>
    <n v="0"/>
    <n v="0"/>
    <n v="0"/>
    <n v="0"/>
  </r>
  <r>
    <n v="0"/>
    <n v="0"/>
    <n v="0"/>
    <n v="0"/>
    <n v="2.0649999999999999"/>
    <n v="2.2250000000000001"/>
    <x v="1"/>
    <x v="10"/>
    <s v="neutral_beta"/>
    <n v="0"/>
    <n v="0"/>
    <n v="0"/>
    <n v="0"/>
    <n v="0"/>
    <n v="0"/>
    <n v="0"/>
  </r>
  <r>
    <n v="0"/>
    <n v="0"/>
    <n v="0"/>
    <n v="0"/>
    <n v="2.0209999999999999"/>
    <n v="1.915"/>
    <x v="4"/>
    <x v="12"/>
    <s v="very_low_beta"/>
    <n v="0"/>
    <n v="0"/>
    <n v="0"/>
    <n v="0"/>
    <n v="0"/>
    <n v="0"/>
    <n v="0"/>
  </r>
  <r>
    <n v="2.1999999999999999E-2"/>
    <n v="1.9999999999999997E-2"/>
    <n v="0"/>
    <n v="2E-3"/>
    <n v="1.992"/>
    <n v="2.262"/>
    <x v="4"/>
    <x v="12"/>
    <s v="very_low_beta"/>
    <n v="2.1999999999999999E-2"/>
    <n v="1.9E-2"/>
    <n v="2E-3"/>
    <n v="2.29187604144062E-2"/>
    <n v="-9.1876041440620143E-4"/>
    <n v="1.56102114038767E-2"/>
    <n v="6.3897885961232987E-3"/>
  </r>
  <r>
    <n v="0"/>
    <n v="0"/>
    <n v="0"/>
    <n v="0"/>
    <n v="1.9830000000000001"/>
    <n v="2.2599999999999998"/>
    <x v="0"/>
    <x v="1"/>
    <s v="high_beta"/>
    <n v="0"/>
    <n v="0"/>
    <n v="0"/>
    <n v="0"/>
    <n v="0"/>
    <n v="0"/>
    <n v="0"/>
  </r>
  <r>
    <n v="2.8000000000000001E-2"/>
    <n v="-1.9999999999999983E-3"/>
    <n v="0"/>
    <n v="0.03"/>
    <n v="1.978"/>
    <n v="4.0359999999999996"/>
    <x v="2"/>
    <x v="8"/>
    <s v="very_low_beta"/>
    <n v="2.8000000000000001E-2"/>
    <n v="-1E-3"/>
    <n v="0.03"/>
    <n v="9.4094228509583502E-2"/>
    <n v="-6.6094228509583505E-2"/>
    <n v="5.9210497638176103E-2"/>
    <n v="-3.1210497638176102E-2"/>
  </r>
  <r>
    <n v="0"/>
    <n v="0"/>
    <n v="0"/>
    <n v="0"/>
    <n v="1.9630000000000001"/>
    <n v="1.5189999999999999"/>
    <x v="0"/>
    <x v="3"/>
    <s v="neutral_beta"/>
    <n v="0"/>
    <n v="0"/>
    <n v="0"/>
    <n v="0"/>
    <n v="0"/>
    <n v="0"/>
    <n v="0"/>
  </r>
  <r>
    <n v="0"/>
    <n v="0"/>
    <n v="0"/>
    <n v="0"/>
    <n v="1.913"/>
    <n v="1.8580000000000001"/>
    <x v="0"/>
    <x v="13"/>
    <s v="high_beta"/>
    <n v="0"/>
    <n v="0"/>
    <n v="0"/>
    <n v="0"/>
    <n v="0"/>
    <n v="0"/>
    <n v="0"/>
  </r>
  <r>
    <n v="0"/>
    <n v="0"/>
    <n v="0"/>
    <n v="0"/>
    <n v="1.847"/>
    <n v="1.5589999999999999"/>
    <x v="0"/>
    <x v="13"/>
    <s v="low_beta"/>
    <n v="0"/>
    <n v="0"/>
    <n v="0"/>
    <n v="0"/>
    <n v="0"/>
    <n v="0"/>
    <n v="0"/>
  </r>
  <r>
    <n v="5.0999999999999997E-2"/>
    <n v="2.3999999999999997E-2"/>
    <n v="0"/>
    <n v="2.7E-2"/>
    <n v="1.845"/>
    <n v="3.9180000000000001"/>
    <x v="0"/>
    <x v="3"/>
    <s v="neutral_beta"/>
    <n v="5.0999999999999997E-2"/>
    <n v="2.4E-2"/>
    <n v="2.7E-2"/>
    <n v="8.7760891754338904E-2"/>
    <n v="-3.6760891754338908E-2"/>
    <n v="5.2021770552461703E-2"/>
    <n v="-1.0217705524617066E-3"/>
  </r>
  <r>
    <n v="2.4E-2"/>
    <n v="2.9999999999999992E-3"/>
    <n v="0"/>
    <n v="2.1000000000000001E-2"/>
    <n v="1.8420000000000001"/>
    <n v="3.7370000000000001"/>
    <x v="1"/>
    <x v="14"/>
    <s v="very_low_beta"/>
    <n v="2.4E-2"/>
    <n v="3.0000000000000001E-3"/>
    <n v="2.1000000000000001E-2"/>
    <n v="7.5605877485646802E-2"/>
    <n v="-5.1605877485646802E-2"/>
    <n v="4.1188896645116602E-2"/>
    <n v="-1.7188896645116601E-2"/>
  </r>
  <r>
    <n v="0"/>
    <n v="0"/>
    <n v="0"/>
    <n v="0"/>
    <n v="1.84"/>
    <n v="1.2909999999999999"/>
    <x v="1"/>
    <x v="10"/>
    <s v="high_beta"/>
    <n v="0"/>
    <n v="0"/>
    <n v="0"/>
    <n v="0"/>
    <n v="0"/>
    <n v="0"/>
    <n v="0"/>
  </r>
  <r>
    <n v="0"/>
    <n v="0"/>
    <n v="0"/>
    <n v="0"/>
    <n v="1.794"/>
    <n v="2.2589999999999999"/>
    <x v="4"/>
    <x v="15"/>
    <s v="low_beta"/>
    <n v="0"/>
    <n v="0"/>
    <n v="0"/>
    <n v="0"/>
    <n v="0"/>
    <n v="0"/>
    <n v="0"/>
  </r>
  <r>
    <n v="0"/>
    <n v="0"/>
    <n v="0"/>
    <n v="0"/>
    <n v="1.792"/>
    <n v="1.401"/>
    <x v="0"/>
    <x v="1"/>
    <s v="very_high_beta"/>
    <n v="0"/>
    <n v="0"/>
    <n v="0"/>
    <n v="0"/>
    <n v="0"/>
    <n v="0"/>
    <n v="0"/>
  </r>
  <r>
    <n v="2.5000000000000001E-2"/>
    <n v="9.0000000000000011E-3"/>
    <n v="0"/>
    <n v="1.6E-2"/>
    <n v="1.7889999999999999"/>
    <n v="3.0209999999999999"/>
    <x v="1"/>
    <x v="16"/>
    <s v="very_low_beta"/>
    <n v="2.5000000000000001E-2"/>
    <n v="8.9999999999999993E-3"/>
    <n v="1.6E-2"/>
    <n v="5.9551521571764299E-2"/>
    <n v="-3.4551521571764297E-2"/>
    <n v="3.5607644625039701E-2"/>
    <n v="-1.06076446250397E-2"/>
  </r>
  <r>
    <n v="0"/>
    <n v="0"/>
    <n v="0"/>
    <n v="0"/>
    <n v="1.7529999999999999"/>
    <n v="2.0990000000000002"/>
    <x v="2"/>
    <x v="9"/>
    <s v="very_low_beta"/>
    <n v="0"/>
    <n v="0"/>
    <n v="0"/>
    <n v="0"/>
    <n v="0"/>
    <n v="0"/>
    <n v="0"/>
  </r>
  <r>
    <n v="0"/>
    <n v="0"/>
    <n v="0"/>
    <n v="0"/>
    <n v="1.7250000000000001"/>
    <n v="1.2470000000000001"/>
    <x v="0"/>
    <x v="5"/>
    <s v="neutral_beta"/>
    <n v="0"/>
    <n v="0"/>
    <n v="0"/>
    <n v="0"/>
    <n v="0"/>
    <n v="0"/>
    <n v="0"/>
  </r>
  <r>
    <n v="2.1000000000000001E-2"/>
    <n v="0.02"/>
    <n v="0"/>
    <n v="1E-3"/>
    <n v="1.641"/>
    <n v="1.583"/>
    <x v="1"/>
    <x v="14"/>
    <s v="very_high_beta"/>
    <n v="2.1000000000000001E-2"/>
    <n v="0.02"/>
    <n v="1E-3"/>
    <n v="1.7565937812657102E-2"/>
    <n v="3.4340621873428998E-3"/>
    <n v="0"/>
    <n v="2.1000000000000001E-2"/>
  </r>
  <r>
    <n v="0"/>
    <n v="0"/>
    <n v="0"/>
    <n v="0"/>
    <n v="1.6180000000000001"/>
    <n v="1.2470000000000001"/>
    <x v="2"/>
    <x v="6"/>
    <s v="very_high_beta"/>
    <n v="0"/>
    <n v="0"/>
    <n v="0"/>
    <n v="0"/>
    <n v="0"/>
    <n v="0"/>
    <n v="0"/>
  </r>
  <r>
    <n v="0"/>
    <n v="0"/>
    <n v="0"/>
    <n v="0"/>
    <n v="1.5840000000000001"/>
    <n v="2.1030000000000002"/>
    <x v="0"/>
    <x v="3"/>
    <s v="neutral_beta"/>
    <n v="0"/>
    <n v="0"/>
    <n v="0"/>
    <n v="0"/>
    <n v="0"/>
    <n v="0"/>
    <n v="0"/>
  </r>
  <r>
    <n v="0"/>
    <n v="0"/>
    <n v="0"/>
    <n v="0"/>
    <n v="1.5409999999999999"/>
    <n v="1.9530000000000001"/>
    <x v="1"/>
    <x v="16"/>
    <s v="very_low_beta"/>
    <n v="0"/>
    <n v="0"/>
    <n v="0"/>
    <n v="0"/>
    <n v="0"/>
    <n v="0"/>
    <n v="0"/>
  </r>
  <r>
    <n v="0"/>
    <n v="0"/>
    <n v="0"/>
    <n v="0"/>
    <n v="1.478"/>
    <n v="1.944"/>
    <x v="2"/>
    <x v="9"/>
    <s v="low_beta"/>
    <n v="0"/>
    <n v="0"/>
    <n v="0"/>
    <n v="0"/>
    <n v="0"/>
    <n v="0"/>
    <n v="0"/>
  </r>
  <r>
    <n v="0"/>
    <n v="0"/>
    <n v="0"/>
    <n v="0"/>
    <n v="1.4590000000000001"/>
    <n v="1.9379999999999999"/>
    <x v="2"/>
    <x v="9"/>
    <s v="low_beta"/>
    <n v="0"/>
    <n v="0"/>
    <n v="0"/>
    <n v="0"/>
    <n v="0"/>
    <n v="0"/>
    <n v="0"/>
  </r>
  <r>
    <n v="0.02"/>
    <n v="1.4999999999999999E-2"/>
    <n v="0"/>
    <n v="5.0000000000000001E-3"/>
    <n v="1.4379999999999999"/>
    <n v="1.159"/>
    <x v="0"/>
    <x v="0"/>
    <s v="neutral_beta"/>
    <n v="0.02"/>
    <n v="1.4999999999999999E-2"/>
    <n v="5.0000000000000001E-3"/>
    <n v="2.14633002454475E-2"/>
    <n v="-1.4633002454474998E-3"/>
    <n v="0"/>
    <n v="0.02"/>
  </r>
  <r>
    <n v="0"/>
    <n v="0"/>
    <n v="0"/>
    <n v="0"/>
    <n v="1.4339999999999999"/>
    <n v="1.778"/>
    <x v="2"/>
    <x v="9"/>
    <s v="high_beta"/>
    <n v="0"/>
    <n v="0"/>
    <n v="0"/>
    <n v="0"/>
    <n v="0"/>
    <n v="0"/>
    <n v="0"/>
  </r>
  <r>
    <n v="0"/>
    <n v="0"/>
    <n v="0"/>
    <n v="0"/>
    <n v="1.429"/>
    <n v="1.8360000000000001"/>
    <x v="0"/>
    <x v="3"/>
    <s v="neutral_beta"/>
    <n v="0"/>
    <n v="0"/>
    <n v="0"/>
    <n v="0"/>
    <n v="0"/>
    <n v="0"/>
    <n v="0"/>
  </r>
  <r>
    <n v="0"/>
    <n v="0"/>
    <n v="0"/>
    <n v="0"/>
    <n v="1.37"/>
    <n v="1.3280000000000001"/>
    <x v="0"/>
    <x v="3"/>
    <s v="very_low_beta"/>
    <n v="0"/>
    <n v="0"/>
    <n v="0"/>
    <n v="0"/>
    <n v="0"/>
    <n v="0"/>
    <n v="0"/>
  </r>
  <r>
    <n v="4.7E-2"/>
    <n v="1.9E-2"/>
    <n v="0"/>
    <n v="2.8000000000000001E-2"/>
    <n v="1.355"/>
    <n v="2.8780000000000001"/>
    <x v="2"/>
    <x v="9"/>
    <s v="neutral_beta"/>
    <n v="4.7E-2"/>
    <n v="1.9E-2"/>
    <n v="2.8000000000000001E-2"/>
    <n v="6.4467104767116701E-2"/>
    <n v="-1.7467104767116701E-2"/>
    <n v="7.4334394083604496E-2"/>
    <n v="-2.7334394083604496E-2"/>
  </r>
  <r>
    <n v="0"/>
    <n v="0"/>
    <n v="0"/>
    <n v="0"/>
    <n v="1.349"/>
    <n v="1.6739999999999999"/>
    <x v="4"/>
    <x v="15"/>
    <s v="high_beta"/>
    <n v="0"/>
    <n v="0"/>
    <n v="0"/>
    <n v="0"/>
    <n v="0"/>
    <n v="0"/>
    <n v="0"/>
  </r>
  <r>
    <n v="0"/>
    <n v="0"/>
    <n v="0"/>
    <n v="0"/>
    <n v="1.3340000000000001"/>
    <n v="1.284"/>
    <x v="0"/>
    <x v="1"/>
    <s v="high_beta"/>
    <n v="0"/>
    <n v="0"/>
    <n v="0"/>
    <n v="0"/>
    <n v="0"/>
    <n v="0"/>
    <n v="0"/>
  </r>
  <r>
    <n v="3.5000000000000003E-2"/>
    <n v="8.0000000000000036E-3"/>
    <n v="0"/>
    <n v="2.7E-2"/>
    <n v="1.3129999999999999"/>
    <n v="2.7879999999999998"/>
    <x v="2"/>
    <x v="9"/>
    <s v="low_beta"/>
    <n v="3.5000000000000003E-2"/>
    <n v="8.9999999999999993E-3"/>
    <n v="2.7E-2"/>
    <n v="6.2456410358038297E-2"/>
    <n v="-2.7456410358038294E-2"/>
    <n v="4.5553730431503299E-2"/>
    <n v="-1.0553730431503296E-2"/>
  </r>
  <r>
    <n v="0"/>
    <n v="0"/>
    <n v="0"/>
    <n v="0"/>
    <n v="1.292"/>
    <n v="1.3160000000000001"/>
    <x v="4"/>
    <x v="15"/>
    <s v="low_beta"/>
    <n v="0"/>
    <n v="0"/>
    <n v="0"/>
    <n v="0"/>
    <n v="0"/>
    <n v="0"/>
    <n v="0"/>
  </r>
  <r>
    <n v="3.2000000000000001E-2"/>
    <n v="6.0000000000000019E-3"/>
    <n v="0"/>
    <n v="2.5999999999999999E-2"/>
    <n v="1.278"/>
    <n v="2.14"/>
    <x v="0"/>
    <x v="0"/>
    <s v="neutral_beta"/>
    <n v="3.2000000000000001E-2"/>
    <n v="6.0000000000000001E-3"/>
    <n v="2.5999999999999999E-2"/>
    <n v="6.0799064848071599E-2"/>
    <n v="-2.8799064848071598E-2"/>
    <n v="0"/>
    <n v="3.2000000000000001E-2"/>
  </r>
  <r>
    <n v="2.5999999999999999E-2"/>
    <n v="2.4E-2"/>
    <n v="0"/>
    <n v="2E-3"/>
    <n v="1.268"/>
    <n v="1.542"/>
    <x v="1"/>
    <x v="14"/>
    <s v="low_beta"/>
    <n v="2.5999999999999999E-2"/>
    <n v="2.4E-2"/>
    <n v="2E-3"/>
    <n v="0"/>
    <n v="2.5999999999999999E-2"/>
    <n v="0"/>
    <n v="2.5999999999999999E-2"/>
  </r>
  <r>
    <n v="2.7E-2"/>
    <n v="8.0000000000000002E-3"/>
    <n v="0"/>
    <n v="1.9E-2"/>
    <n v="1.2310000000000001"/>
    <n v="2.0720000000000001"/>
    <x v="2"/>
    <x v="9"/>
    <s v="low_beta"/>
    <n v="2.7E-2"/>
    <n v="8.0000000000000002E-3"/>
    <n v="1.9E-2"/>
    <n v="0"/>
    <n v="2.7E-2"/>
    <n v="5.0856651392812098E-2"/>
    <n v="-2.3856651392812098E-2"/>
  </r>
  <r>
    <n v="0.04"/>
    <n v="2.9000000000000001E-2"/>
    <n v="-2.0000000000000018E-3"/>
    <n v="1.0999999999999999E-2"/>
    <n v="1.1499999999999999"/>
    <n v="2.008"/>
    <x v="2"/>
    <x v="6"/>
    <s v="high_beta"/>
    <n v="4.2000000000000003E-2"/>
    <n v="3.1E-2"/>
    <n v="1.0999999999999999E-2"/>
    <n v="0"/>
    <n v="4.2000000000000003E-2"/>
    <n v="3.4435209071714303E-2"/>
    <n v="7.5647909282857001E-3"/>
  </r>
  <r>
    <n v="0"/>
    <n v="0"/>
    <n v="0"/>
    <n v="0"/>
    <n v="1.105"/>
    <n v="1.179"/>
    <x v="2"/>
    <x v="9"/>
    <s v="very_low_beta"/>
    <n v="0"/>
    <n v="0"/>
    <n v="0"/>
    <n v="0"/>
    <n v="0"/>
    <n v="0"/>
    <n v="0"/>
  </r>
  <r>
    <n v="0"/>
    <n v="0"/>
    <n v="0"/>
    <n v="0"/>
    <n v="1.101"/>
    <n v="1.462"/>
    <x v="2"/>
    <x v="9"/>
    <s v="low_beta"/>
    <n v="0"/>
    <n v="0"/>
    <n v="0"/>
    <n v="0"/>
    <n v="0"/>
    <n v="0"/>
    <n v="0"/>
  </r>
  <r>
    <n v="0"/>
    <n v="0"/>
    <n v="0"/>
    <n v="0"/>
    <n v="1.0900000000000001"/>
    <n v="1.351"/>
    <x v="3"/>
    <x v="17"/>
    <s v="neutral_beta"/>
    <n v="0"/>
    <n v="0"/>
    <n v="0"/>
    <n v="0"/>
    <n v="0"/>
    <n v="0"/>
    <n v="0"/>
  </r>
  <r>
    <n v="4.2500000000000003E-2"/>
    <n v="1.6500000000000004E-2"/>
    <n v="-4.4999999999999971E-3"/>
    <n v="2.5999999999999999E-2"/>
    <n v="1.046"/>
    <n v="2.2210000000000001"/>
    <x v="0"/>
    <x v="3"/>
    <s v="neutral_beta"/>
    <n v="4.7E-2"/>
    <n v="2.1000000000000001E-2"/>
    <n v="2.5999999999999999E-2"/>
    <n v="0"/>
    <n v="4.7E-2"/>
    <n v="4.4105926367722599E-2"/>
    <n v="2.8940736322774011E-3"/>
  </r>
  <r>
    <n v="4.2500000000000003E-2"/>
    <n v="2.8500000000000004E-2"/>
    <n v="-2.4999999999999953E-3"/>
    <n v="1.4E-2"/>
    <n v="1.0289999999999999"/>
    <n v="1.627"/>
    <x v="1"/>
    <x v="10"/>
    <s v="low_beta"/>
    <n v="4.4999999999999998E-2"/>
    <n v="3.1E-2"/>
    <n v="1.4E-2"/>
    <n v="0"/>
    <n v="4.4999999999999998E-2"/>
    <n v="0"/>
    <n v="4.4999999999999998E-2"/>
  </r>
  <r>
    <n v="0"/>
    <n v="0"/>
    <n v="0"/>
    <n v="0"/>
    <n v="1.018"/>
    <n v="0.97799999999999998"/>
    <x v="0"/>
    <x v="1"/>
    <s v="high_beta"/>
    <n v="0"/>
    <n v="0"/>
    <n v="0"/>
    <n v="0"/>
    <n v="0"/>
    <n v="0"/>
    <n v="0"/>
  </r>
  <r>
    <n v="0"/>
    <n v="0"/>
    <n v="0"/>
    <n v="0"/>
    <n v="1.0149999999999999"/>
    <n v="1.347"/>
    <x v="2"/>
    <x v="6"/>
    <s v="high_beta"/>
    <n v="0"/>
    <n v="0"/>
    <n v="0"/>
    <n v="0"/>
    <n v="0"/>
    <n v="0"/>
    <n v="0"/>
  </r>
  <r>
    <n v="0"/>
    <n v="0"/>
    <n v="0"/>
    <n v="0"/>
    <n v="1.0069999999999999"/>
    <n v="1.2130000000000001"/>
    <x v="4"/>
    <x v="15"/>
    <s v="very_low_beta"/>
    <n v="0"/>
    <n v="0"/>
    <n v="0"/>
    <n v="0"/>
    <n v="0"/>
    <n v="0"/>
    <n v="0"/>
  </r>
  <r>
    <n v="0"/>
    <n v="0"/>
    <n v="0"/>
    <n v="0"/>
    <n v="1.0049999999999999"/>
    <n v="1.2470000000000001"/>
    <x v="4"/>
    <x v="15"/>
    <s v="low_beta"/>
    <n v="0"/>
    <n v="0"/>
    <n v="0"/>
    <n v="0"/>
    <n v="0"/>
    <n v="0"/>
    <n v="0"/>
  </r>
  <r>
    <n v="0"/>
    <n v="0"/>
    <n v="0"/>
    <n v="0"/>
    <n v="0.99099999999999999"/>
    <n v="0.71299999999999997"/>
    <x v="0"/>
    <x v="5"/>
    <s v="very_high_beta"/>
    <n v="0"/>
    <n v="0"/>
    <n v="0"/>
    <n v="0"/>
    <n v="0"/>
    <n v="0"/>
    <n v="0"/>
  </r>
  <r>
    <n v="0.02"/>
    <n v="1.3000000000000001E-2"/>
    <n v="-2.9999999999999992E-3"/>
    <n v="7.0000000000000001E-3"/>
    <n v="0.98099999999999998"/>
    <n v="1.4790000000000001"/>
    <x v="4"/>
    <x v="18"/>
    <s v="very_low_beta"/>
    <n v="2.3E-2"/>
    <n v="1.6E-2"/>
    <n v="7.0000000000000001E-3"/>
    <n v="0"/>
    <n v="2.3E-2"/>
    <n v="0"/>
    <n v="2.3E-2"/>
  </r>
  <r>
    <n v="0"/>
    <n v="0"/>
    <n v="0"/>
    <n v="0"/>
    <n v="0.97099999999999997"/>
    <n v="1.071"/>
    <x v="0"/>
    <x v="19"/>
    <s v="neutral_beta"/>
    <n v="0"/>
    <n v="0"/>
    <n v="0"/>
    <n v="0"/>
    <n v="0"/>
    <n v="0"/>
    <n v="0"/>
  </r>
  <r>
    <n v="1.4999999999999999E-2"/>
    <n v="1.2E-2"/>
    <n v="-2.9999999999999992E-3"/>
    <n v="3.0000000000000001E-3"/>
    <n v="0.96699999999999997"/>
    <n v="0.89700000000000002"/>
    <x v="1"/>
    <x v="14"/>
    <s v="low_beta"/>
    <n v="1.7999999999999999E-2"/>
    <n v="1.4999999999999999E-2"/>
    <n v="3.0000000000000001E-3"/>
    <n v="0"/>
    <n v="1.7999999999999999E-2"/>
    <n v="0"/>
    <n v="1.7999999999999999E-2"/>
  </r>
  <r>
    <n v="4.2000000000000003E-2"/>
    <n v="1.8000000000000002E-2"/>
    <n v="-3.9999999999999966E-3"/>
    <n v="2.4E-2"/>
    <n v="0.96199999999999997"/>
    <n v="1.958"/>
    <x v="0"/>
    <x v="3"/>
    <s v="neutral_beta"/>
    <n v="4.5999999999999999E-2"/>
    <n v="2.1999999999999999E-2"/>
    <n v="2.4E-2"/>
    <n v="0"/>
    <n v="4.5999999999999999E-2"/>
    <n v="3.9488618172292898E-2"/>
    <n v="6.5113818277071009E-3"/>
  </r>
  <r>
    <n v="0"/>
    <n v="0"/>
    <n v="0"/>
    <n v="0"/>
    <n v="0.95599999999999996"/>
    <n v="1.1919999999999999"/>
    <x v="1"/>
    <x v="16"/>
    <s v="very_low_beta"/>
    <n v="0"/>
    <n v="0"/>
    <n v="0"/>
    <n v="0"/>
    <n v="0"/>
    <n v="0"/>
    <n v="0"/>
  </r>
  <r>
    <n v="0"/>
    <n v="0"/>
    <n v="0"/>
    <n v="0"/>
    <n v="0.95399999999999996"/>
    <n v="0.72399999999999998"/>
    <x v="0"/>
    <x v="1"/>
    <s v="neutral_beta"/>
    <n v="0"/>
    <n v="0"/>
    <n v="0"/>
    <n v="0"/>
    <n v="0"/>
    <n v="0"/>
    <n v="0"/>
  </r>
  <r>
    <n v="0"/>
    <n v="0"/>
    <n v="0"/>
    <n v="0"/>
    <n v="0.93300000000000005"/>
    <n v="0.75900000000000001"/>
    <x v="1"/>
    <x v="10"/>
    <s v="high_beta"/>
    <n v="0"/>
    <n v="0"/>
    <n v="0"/>
    <n v="0"/>
    <n v="0"/>
    <n v="0"/>
    <n v="0"/>
  </r>
  <r>
    <n v="2.3E-2"/>
    <n v="0"/>
    <n v="-2.0000000000000018E-3"/>
    <n v="2.3E-2"/>
    <n v="0.92600000000000005"/>
    <n v="1.833"/>
    <x v="4"/>
    <x v="15"/>
    <s v="low_beta"/>
    <n v="2.5000000000000001E-2"/>
    <n v="3.0000000000000001E-3"/>
    <n v="2.3E-2"/>
    <n v="0"/>
    <n v="2.5000000000000001E-2"/>
    <n v="0"/>
    <n v="2.5000000000000001E-2"/>
  </r>
  <r>
    <n v="2.5000000000000001E-2"/>
    <n v="1.2000000000000002E-2"/>
    <n v="-6.9999999999999993E-3"/>
    <n v="1.2999999999999999E-2"/>
    <n v="0.91"/>
    <n v="1.282"/>
    <x v="1"/>
    <x v="10"/>
    <s v="low_beta"/>
    <n v="3.2000000000000001E-2"/>
    <n v="1.9E-2"/>
    <n v="1.2999999999999999E-2"/>
    <n v="0"/>
    <n v="3.2000000000000001E-2"/>
    <n v="0"/>
    <n v="3.2000000000000001E-2"/>
  </r>
  <r>
    <n v="4.4999999999999998E-2"/>
    <n v="1.9999999999999997E-2"/>
    <n v="-8.0000000000000002E-3"/>
    <n v="2.5000000000000001E-2"/>
    <n v="0.89"/>
    <n v="1.843"/>
    <x v="2"/>
    <x v="9"/>
    <s v="high_beta"/>
    <n v="5.2999999999999999E-2"/>
    <n v="2.7E-2"/>
    <n v="2.5000000000000001E-2"/>
    <n v="0"/>
    <n v="5.2999999999999999E-2"/>
    <n v="6.2238861662695197E-2"/>
    <n v="-9.2388616626951983E-3"/>
  </r>
  <r>
    <n v="2.7E-2"/>
    <n v="9.0000000000000011E-3"/>
    <n v="-5.000000000000001E-3"/>
    <n v="1.7999999999999999E-2"/>
    <n v="0.872"/>
    <n v="1.6659999999999999"/>
    <x v="2"/>
    <x v="9"/>
    <s v="low_beta"/>
    <n v="3.2000000000000001E-2"/>
    <n v="1.4E-2"/>
    <n v="1.7999999999999999E-2"/>
    <n v="0"/>
    <n v="3.2000000000000001E-2"/>
    <n v="0"/>
    <n v="3.2000000000000001E-2"/>
  </r>
  <r>
    <n v="3.5000000000000003E-2"/>
    <n v="1.4000000000000002E-2"/>
    <n v="-4.9999999999999975E-3"/>
    <n v="2.1000000000000001E-2"/>
    <n v="0.83399999999999996"/>
    <n v="1.764"/>
    <x v="2"/>
    <x v="9"/>
    <s v="low_beta"/>
    <n v="0.04"/>
    <n v="1.9E-2"/>
    <n v="2.1000000000000001E-2"/>
    <n v="0"/>
    <n v="0.04"/>
    <n v="4.57663703281204E-2"/>
    <n v="-5.7663703281203987E-3"/>
  </r>
  <r>
    <n v="0"/>
    <n v="0"/>
    <n v="0"/>
    <n v="0"/>
    <n v="0.83"/>
    <n v="0.63800000000000001"/>
    <x v="0"/>
    <x v="5"/>
    <s v="low_beta"/>
    <n v="0"/>
    <n v="0"/>
    <n v="0"/>
    <n v="0"/>
    <n v="0"/>
    <n v="0"/>
    <n v="0"/>
  </r>
  <r>
    <n v="3.5000000000000003E-2"/>
    <n v="1.0000000000000002E-2"/>
    <n v="-2.9999999999999957E-3"/>
    <n v="2.5000000000000001E-2"/>
    <n v="0.82799999999999996"/>
    <n v="1.63"/>
    <x v="0"/>
    <x v="20"/>
    <s v="low_beta"/>
    <n v="3.7999999999999999E-2"/>
    <n v="1.4E-2"/>
    <n v="2.5000000000000001E-2"/>
    <n v="0"/>
    <n v="3.7999999999999999E-2"/>
    <n v="5.06977923591048E-2"/>
    <n v="-1.2697792359104801E-2"/>
  </r>
  <r>
    <n v="0.01"/>
    <n v="9.0000000000000011E-3"/>
    <n v="-4.0000000000000001E-3"/>
    <n v="1E-3"/>
    <n v="0.82699999999999996"/>
    <n v="0.61799999999999999"/>
    <x v="0"/>
    <x v="19"/>
    <s v="very_high_beta"/>
    <n v="1.4E-2"/>
    <n v="1.4E-2"/>
    <n v="1E-3"/>
    <n v="0"/>
    <n v="1.4E-2"/>
    <n v="0"/>
    <n v="1.4E-2"/>
  </r>
  <r>
    <n v="0"/>
    <n v="0"/>
    <n v="0"/>
    <n v="0"/>
    <n v="0.81399999999999995"/>
    <n v="0.93600000000000005"/>
    <x v="0"/>
    <x v="3"/>
    <s v="high_beta"/>
    <n v="0"/>
    <n v="0"/>
    <n v="0"/>
    <n v="0"/>
    <n v="0"/>
    <n v="0"/>
    <n v="0"/>
  </r>
  <r>
    <n v="0"/>
    <n v="0"/>
    <n v="0"/>
    <n v="0"/>
    <n v="0.79700000000000004"/>
    <n v="0.624"/>
    <x v="4"/>
    <x v="18"/>
    <s v="very_low_beta"/>
    <n v="0"/>
    <n v="0"/>
    <n v="0"/>
    <n v="0"/>
    <n v="0"/>
    <n v="0"/>
    <n v="0"/>
  </r>
  <r>
    <n v="0"/>
    <n v="0"/>
    <n v="0"/>
    <n v="0"/>
    <n v="0.78300000000000003"/>
    <n v="0.93200000000000005"/>
    <x v="0"/>
    <x v="3"/>
    <s v="neutral_beta"/>
    <n v="0"/>
    <n v="0"/>
    <n v="0"/>
    <n v="0"/>
    <n v="0"/>
    <n v="0"/>
    <n v="0"/>
  </r>
  <r>
    <n v="0"/>
    <n v="0"/>
    <n v="0"/>
    <n v="0"/>
    <n v="0.77200000000000002"/>
    <n v="0.85099999999999998"/>
    <x v="0"/>
    <x v="0"/>
    <s v="high_beta"/>
    <n v="0"/>
    <n v="0"/>
    <n v="0"/>
    <n v="0"/>
    <n v="0"/>
    <n v="0"/>
    <n v="0"/>
  </r>
  <r>
    <n v="0.01"/>
    <n v="5.0000000000000001E-3"/>
    <n v="-4.9999999999999992E-3"/>
    <n v="5.0000000000000001E-3"/>
    <n v="0.76"/>
    <n v="0.58899999999999997"/>
    <x v="0"/>
    <x v="0"/>
    <s v="very_high_beta"/>
    <n v="1.4999999999999999E-2"/>
    <n v="0.01"/>
    <n v="5.0000000000000001E-3"/>
    <n v="0"/>
    <n v="1.4999999999999999E-2"/>
    <n v="0"/>
    <n v="1.4999999999999999E-2"/>
  </r>
  <r>
    <n v="0"/>
    <n v="0"/>
    <n v="0"/>
    <n v="0"/>
    <n v="0.75700000000000001"/>
    <n v="0.63100000000000001"/>
    <x v="1"/>
    <x v="10"/>
    <s v="neutral_beta"/>
    <n v="0"/>
    <n v="0"/>
    <n v="0"/>
    <n v="0"/>
    <n v="0"/>
    <n v="0"/>
    <n v="0"/>
  </r>
  <r>
    <n v="0"/>
    <n v="0"/>
    <n v="0"/>
    <n v="0"/>
    <n v="0.748"/>
    <n v="0.871"/>
    <x v="2"/>
    <x v="9"/>
    <s v="high_beta"/>
    <n v="0"/>
    <n v="0"/>
    <n v="0"/>
    <n v="0"/>
    <n v="0"/>
    <n v="0"/>
    <n v="0"/>
  </r>
  <r>
    <n v="0"/>
    <n v="0"/>
    <n v="0"/>
    <n v="0"/>
    <n v="0.74099999999999999"/>
    <n v="0.56299999999999994"/>
    <x v="3"/>
    <x v="7"/>
    <s v="very_low_beta"/>
    <n v="0"/>
    <n v="0"/>
    <n v="0"/>
    <n v="0"/>
    <n v="0"/>
    <n v="0"/>
    <n v="0"/>
  </r>
  <r>
    <n v="0"/>
    <n v="0"/>
    <n v="0"/>
    <n v="0"/>
    <n v="0.73799999999999999"/>
    <n v="0.72299999999999998"/>
    <x v="1"/>
    <x v="16"/>
    <s v="low_beta"/>
    <n v="0"/>
    <n v="0"/>
    <n v="0"/>
    <n v="0"/>
    <n v="0"/>
    <n v="0"/>
    <n v="0"/>
  </r>
  <r>
    <n v="0"/>
    <n v="-6.0000000000000001E-3"/>
    <n v="0"/>
    <n v="6.0000000000000001E-3"/>
    <n v="0.73499999999999999"/>
    <n v="1.1279999999999999"/>
    <x v="2"/>
    <x v="9"/>
    <s v="high_beta"/>
    <n v="0"/>
    <n v="-6.0000000000000001E-3"/>
    <n v="6.0000000000000001E-3"/>
    <n v="0"/>
    <n v="0"/>
    <n v="2.23022873940848E-2"/>
    <n v="-2.23022873940848E-2"/>
  </r>
  <r>
    <n v="0"/>
    <n v="-1.0999999999999999E-2"/>
    <n v="0"/>
    <n v="1.0999999999999999E-2"/>
    <n v="0.72899999999999998"/>
    <n v="0.64400000000000002"/>
    <x v="0"/>
    <x v="5"/>
    <s v="high_beta"/>
    <n v="0"/>
    <n v="-1.0999999999999999E-2"/>
    <n v="1.0999999999999999E-2"/>
    <n v="0"/>
    <n v="0"/>
    <n v="0"/>
    <n v="0"/>
  </r>
  <r>
    <n v="0"/>
    <n v="-0.02"/>
    <n v="0"/>
    <n v="0.02"/>
    <n v="0.71"/>
    <n v="1.3819999999999999"/>
    <x v="0"/>
    <x v="3"/>
    <s v="neutral_beta"/>
    <n v="0"/>
    <n v="-0.02"/>
    <n v="0.02"/>
    <n v="0"/>
    <n v="0"/>
    <n v="0"/>
    <n v="0"/>
  </r>
  <r>
    <n v="0"/>
    <n v="0"/>
    <n v="0"/>
    <n v="0"/>
    <n v="0.7"/>
    <n v="0.80800000000000005"/>
    <x v="4"/>
    <x v="15"/>
    <s v="neutral_beta"/>
    <n v="0"/>
    <n v="0"/>
    <n v="0"/>
    <n v="0"/>
    <n v="0"/>
    <n v="0"/>
    <n v="0"/>
  </r>
  <r>
    <n v="0"/>
    <n v="-2.3E-2"/>
    <n v="0"/>
    <n v="2.3E-2"/>
    <n v="0.68400000000000005"/>
    <n v="1.3320000000000001"/>
    <x v="2"/>
    <x v="9"/>
    <s v="low_beta"/>
    <n v="0"/>
    <n v="-2.3E-2"/>
    <n v="2.3E-2"/>
    <n v="0"/>
    <n v="0"/>
    <n v="0"/>
    <n v="0"/>
  </r>
  <r>
    <n v="0"/>
    <n v="-0.03"/>
    <n v="0"/>
    <n v="0.03"/>
    <n v="0.68300000000000005"/>
    <n v="1.3520000000000001"/>
    <x v="0"/>
    <x v="3"/>
    <s v="very_high_beta"/>
    <n v="0"/>
    <n v="-0.03"/>
    <n v="0.03"/>
    <n v="0"/>
    <n v="0"/>
    <n v="0"/>
    <n v="0"/>
  </r>
  <r>
    <n v="0"/>
    <n v="0"/>
    <n v="0"/>
    <n v="0"/>
    <n v="0.67600000000000005"/>
    <n v="0.81200000000000006"/>
    <x v="3"/>
    <x v="7"/>
    <s v="very_low_beta"/>
    <n v="0"/>
    <n v="0"/>
    <n v="0"/>
    <n v="0"/>
    <n v="0"/>
    <n v="0"/>
    <n v="0"/>
  </r>
  <r>
    <n v="0"/>
    <n v="-2.1000000000000001E-2"/>
    <n v="0"/>
    <n v="2.1000000000000001E-2"/>
    <n v="0.65500000000000003"/>
    <n v="1.29"/>
    <x v="2"/>
    <x v="9"/>
    <s v="low_beta"/>
    <n v="0"/>
    <n v="-2.1000000000000001E-2"/>
    <n v="2.1000000000000001E-2"/>
    <n v="0"/>
    <n v="0"/>
    <n v="4.8250871783096803E-2"/>
    <n v="-4.8250871783096803E-2"/>
  </r>
  <r>
    <n v="0"/>
    <n v="0"/>
    <n v="0"/>
    <n v="0"/>
    <n v="0.65400000000000003"/>
    <n v="0.6"/>
    <x v="3"/>
    <x v="11"/>
    <s v="neutral_beta"/>
    <n v="0"/>
    <n v="0"/>
    <n v="0"/>
    <n v="0"/>
    <n v="0"/>
    <n v="0"/>
    <n v="0"/>
  </r>
  <r>
    <n v="0"/>
    <n v="-2.5999999999999999E-2"/>
    <n v="0"/>
    <n v="2.5999999999999999E-2"/>
    <n v="0.64900000000000002"/>
    <n v="1.1759999999999999"/>
    <x v="0"/>
    <x v="3"/>
    <s v="high_beta"/>
    <n v="0"/>
    <n v="-2.5999999999999999E-2"/>
    <n v="2.5999999999999999E-2"/>
    <n v="0"/>
    <n v="0"/>
    <n v="0"/>
    <n v="0"/>
  </r>
  <r>
    <n v="0"/>
    <n v="-1.9E-2"/>
    <n v="0"/>
    <n v="1.9E-2"/>
    <n v="0.64900000000000002"/>
    <n v="0.98299999999999998"/>
    <x v="3"/>
    <x v="7"/>
    <s v="low_beta"/>
    <n v="0"/>
    <n v="-1.9E-2"/>
    <n v="1.9E-2"/>
    <n v="0"/>
    <n v="0"/>
    <n v="0"/>
    <n v="0"/>
  </r>
  <r>
    <n v="0"/>
    <n v="0"/>
    <n v="0"/>
    <n v="0"/>
    <n v="0.64500000000000002"/>
    <n v="0.49"/>
    <x v="0"/>
    <x v="2"/>
    <s v="low_beta"/>
    <n v="0"/>
    <n v="0"/>
    <n v="0"/>
    <n v="0"/>
    <n v="0"/>
    <n v="0"/>
    <n v="0"/>
  </r>
  <r>
    <n v="0"/>
    <n v="0"/>
    <n v="0"/>
    <n v="0"/>
    <n v="0.64400000000000002"/>
    <n v="0.46899999999999997"/>
    <x v="2"/>
    <x v="9"/>
    <s v="low_beta"/>
    <n v="0"/>
    <n v="0"/>
    <n v="0"/>
    <n v="0"/>
    <n v="0"/>
    <n v="0"/>
    <n v="0"/>
  </r>
  <r>
    <n v="0"/>
    <n v="-3.1E-2"/>
    <n v="0"/>
    <n v="3.1E-2"/>
    <n v="0.64200000000000002"/>
    <n v="1.25"/>
    <x v="0"/>
    <x v="2"/>
    <s v="very_high_beta"/>
    <n v="0"/>
    <n v="-3.1E-2"/>
    <n v="3.1E-2"/>
    <n v="0"/>
    <n v="0"/>
    <n v="4.10629623701547E-2"/>
    <n v="-4.10629623701547E-2"/>
  </r>
  <r>
    <n v="0"/>
    <n v="0"/>
    <n v="0"/>
    <n v="0"/>
    <n v="0.63900000000000001"/>
    <n v="0.49299999999999999"/>
    <x v="4"/>
    <x v="15"/>
    <s v="neutral_beta"/>
    <n v="0"/>
    <n v="0"/>
    <n v="0"/>
    <n v="0"/>
    <n v="0"/>
    <n v="0"/>
    <n v="0"/>
  </r>
  <r>
    <n v="0"/>
    <n v="-2E-3"/>
    <n v="0"/>
    <n v="2E-3"/>
    <n v="0.63600000000000001"/>
    <n v="0.72499999999999998"/>
    <x v="3"/>
    <x v="7"/>
    <s v="low_beta"/>
    <n v="0"/>
    <n v="-2E-3"/>
    <n v="2E-3"/>
    <n v="0"/>
    <n v="0"/>
    <n v="0"/>
    <n v="0"/>
  </r>
  <r>
    <n v="0"/>
    <n v="0"/>
    <n v="0"/>
    <n v="0"/>
    <n v="0.627"/>
    <n v="0.76200000000000001"/>
    <x v="4"/>
    <x v="15"/>
    <s v="neutral_beta"/>
    <n v="0"/>
    <n v="0"/>
    <n v="0"/>
    <n v="0"/>
    <n v="0"/>
    <n v="0"/>
    <n v="0"/>
  </r>
  <r>
    <n v="0"/>
    <n v="0"/>
    <n v="0"/>
    <n v="0"/>
    <n v="0.62"/>
    <n v="0.49299999999999999"/>
    <x v="4"/>
    <x v="12"/>
    <s v="very_low_beta"/>
    <n v="0"/>
    <n v="0"/>
    <n v="0"/>
    <n v="0"/>
    <n v="0"/>
    <n v="0"/>
    <n v="0"/>
  </r>
  <r>
    <n v="0"/>
    <n v="0"/>
    <n v="0"/>
    <n v="0"/>
    <n v="0.62"/>
    <n v="0.59499999999999997"/>
    <x v="0"/>
    <x v="2"/>
    <s v="very_high_beta"/>
    <n v="0"/>
    <n v="0"/>
    <n v="0"/>
    <n v="0"/>
    <n v="0"/>
    <n v="0"/>
    <n v="0"/>
  </r>
  <r>
    <n v="0"/>
    <n v="0"/>
    <n v="0"/>
    <n v="0"/>
    <n v="0.61799999999999999"/>
    <n v="0.443"/>
    <x v="4"/>
    <x v="15"/>
    <s v="very_high_beta"/>
    <n v="0"/>
    <n v="0"/>
    <n v="0"/>
    <n v="0"/>
    <n v="0"/>
    <n v="0"/>
    <n v="0"/>
  </r>
  <r>
    <n v="0"/>
    <n v="-4.0000000000000001E-3"/>
    <n v="0"/>
    <n v="4.0000000000000001E-3"/>
    <n v="0.61699999999999999"/>
    <n v="0.46300000000000002"/>
    <x v="4"/>
    <x v="15"/>
    <s v="very_low_beta"/>
    <n v="0"/>
    <n v="-4.0000000000000001E-3"/>
    <n v="4.0000000000000001E-3"/>
    <n v="0"/>
    <n v="0"/>
    <n v="0"/>
    <n v="0"/>
  </r>
  <r>
    <n v="0"/>
    <n v="-1.2E-2"/>
    <n v="0"/>
    <n v="1.2E-2"/>
    <n v="0.61599999999999999"/>
    <n v="0.89700000000000002"/>
    <x v="0"/>
    <x v="1"/>
    <s v="very_high_beta"/>
    <n v="0"/>
    <n v="-1.2E-2"/>
    <n v="1.2E-2"/>
    <n v="0"/>
    <n v="0"/>
    <n v="0"/>
    <n v="0"/>
  </r>
  <r>
    <n v="0"/>
    <n v="-2.4E-2"/>
    <n v="0"/>
    <n v="2.4E-2"/>
    <n v="0.61499999999999999"/>
    <n v="1.073"/>
    <x v="0"/>
    <x v="20"/>
    <s v="very_low_beta"/>
    <n v="0"/>
    <n v="-2.4E-2"/>
    <n v="2.4E-2"/>
    <n v="0"/>
    <n v="0"/>
    <n v="0"/>
    <n v="0"/>
  </r>
  <r>
    <n v="0"/>
    <n v="0"/>
    <n v="0"/>
    <n v="0"/>
    <n v="0.61199999999999999"/>
    <n v="0.63300000000000001"/>
    <x v="4"/>
    <x v="15"/>
    <s v="very_low_beta"/>
    <n v="0"/>
    <n v="0"/>
    <n v="0"/>
    <n v="0"/>
    <n v="0"/>
    <n v="0"/>
    <n v="0"/>
  </r>
  <r>
    <n v="0"/>
    <n v="-6.0000000000000001E-3"/>
    <n v="0"/>
    <n v="6.0000000000000001E-3"/>
    <n v="0.61"/>
    <n v="0.52800000000000002"/>
    <x v="4"/>
    <x v="15"/>
    <s v="neutral_beta"/>
    <n v="0"/>
    <n v="-6.0000000000000001E-3"/>
    <n v="6.0000000000000001E-3"/>
    <n v="0"/>
    <n v="0"/>
    <n v="0"/>
    <n v="0"/>
  </r>
  <r>
    <n v="0"/>
    <n v="0"/>
    <n v="0"/>
    <n v="0"/>
    <n v="0.60699999999999998"/>
    <n v="0.437"/>
    <x v="3"/>
    <x v="7"/>
    <s v="very_high_beta"/>
    <n v="0"/>
    <n v="0"/>
    <n v="0"/>
    <n v="0"/>
    <n v="0"/>
    <n v="0"/>
    <n v="0"/>
  </r>
  <r>
    <n v="0"/>
    <n v="-5.0000000000000001E-3"/>
    <n v="0"/>
    <n v="5.0000000000000001E-3"/>
    <n v="0.60399999999999998"/>
    <n v="0.48599999999999999"/>
    <x v="0"/>
    <x v="5"/>
    <s v="high_beta"/>
    <n v="0"/>
    <n v="-5.0000000000000001E-3"/>
    <n v="5.0000000000000001E-3"/>
    <n v="0"/>
    <n v="0"/>
    <n v="0"/>
    <n v="0"/>
  </r>
  <r>
    <n v="0"/>
    <n v="0"/>
    <n v="0"/>
    <n v="0"/>
    <n v="0.60299999999999998"/>
    <n v="0.8"/>
    <x v="2"/>
    <x v="9"/>
    <s v="neutral_beta"/>
    <n v="0"/>
    <n v="0"/>
    <n v="0"/>
    <n v="0"/>
    <n v="0"/>
    <n v="0"/>
    <n v="0"/>
  </r>
  <r>
    <n v="0"/>
    <n v="-8.0000000000000002E-3"/>
    <n v="0"/>
    <n v="8.0000000000000002E-3"/>
    <n v="0.6"/>
    <n v="0.748"/>
    <x v="2"/>
    <x v="9"/>
    <s v="neutral_beta"/>
    <n v="0"/>
    <n v="-8.0000000000000002E-3"/>
    <n v="8.0000000000000002E-3"/>
    <n v="0"/>
    <n v="0"/>
    <n v="0"/>
    <n v="0"/>
  </r>
  <r>
    <n v="0"/>
    <n v="-2.3E-2"/>
    <n v="0"/>
    <n v="2.3E-2"/>
    <n v="0.59799999999999998"/>
    <n v="1.226"/>
    <x v="2"/>
    <x v="19"/>
    <s v="high_beta"/>
    <n v="0"/>
    <n v="-2.3E-2"/>
    <n v="2.3E-2"/>
    <n v="0"/>
    <n v="0"/>
    <n v="0"/>
    <n v="0"/>
  </r>
  <r>
    <n v="0"/>
    <n v="-3.0000000000000001E-3"/>
    <n v="0"/>
    <n v="3.0000000000000001E-3"/>
    <n v="0.59499999999999997"/>
    <n v="0.436"/>
    <x v="0"/>
    <x v="20"/>
    <s v="very_high_beta"/>
    <n v="0"/>
    <n v="-3.0000000000000001E-3"/>
    <n v="3.0000000000000001E-3"/>
    <n v="0"/>
    <n v="0"/>
    <n v="0"/>
    <n v="0"/>
  </r>
  <r>
    <n v="0"/>
    <n v="0"/>
    <n v="0"/>
    <n v="0"/>
    <n v="0.58899999999999997"/>
    <n v="0.54"/>
    <x v="2"/>
    <x v="8"/>
    <s v="low_beta"/>
    <n v="0"/>
    <n v="0"/>
    <n v="0"/>
    <n v="0"/>
    <n v="0"/>
    <n v="0"/>
    <n v="0"/>
  </r>
  <r>
    <n v="0"/>
    <n v="0"/>
    <n v="0"/>
    <n v="0"/>
    <n v="0.58899999999999997"/>
    <n v="0.52700000000000002"/>
    <x v="3"/>
    <x v="7"/>
    <s v="high_beta"/>
    <n v="0"/>
    <n v="0"/>
    <n v="0"/>
    <n v="0"/>
    <n v="0"/>
    <n v="0"/>
    <n v="0"/>
  </r>
  <r>
    <n v="0"/>
    <n v="-6.0000000000000001E-3"/>
    <n v="0"/>
    <n v="6.0000000000000001E-3"/>
    <n v="0.58799999999999997"/>
    <n v="0.45600000000000002"/>
    <x v="0"/>
    <x v="4"/>
    <s v="very_high_beta"/>
    <n v="0"/>
    <n v="-6.0000000000000001E-3"/>
    <n v="6.0000000000000001E-3"/>
    <n v="0"/>
    <n v="0"/>
    <n v="0"/>
    <n v="0"/>
  </r>
  <r>
    <n v="0"/>
    <n v="0"/>
    <n v="0"/>
    <n v="0"/>
    <n v="0.58699999999999997"/>
    <n v="0.68799999999999994"/>
    <x v="4"/>
    <x v="18"/>
    <s v="very_low_beta"/>
    <n v="0"/>
    <n v="0"/>
    <n v="0"/>
    <n v="0"/>
    <n v="0"/>
    <n v="0"/>
    <n v="0"/>
  </r>
  <r>
    <n v="0"/>
    <n v="-2.3E-2"/>
    <n v="0"/>
    <n v="2.3E-2"/>
    <n v="0.58599999999999997"/>
    <n v="0.91800000000000004"/>
    <x v="0"/>
    <x v="19"/>
    <s v="low_beta"/>
    <n v="0"/>
    <n v="-2.3E-2"/>
    <n v="2.3E-2"/>
    <n v="0"/>
    <n v="0"/>
    <n v="0"/>
    <n v="0"/>
  </r>
  <r>
    <n v="0"/>
    <n v="0"/>
    <n v="0"/>
    <n v="0"/>
    <n v="0.58299999999999996"/>
    <n v="0.42299999999999999"/>
    <x v="0"/>
    <x v="20"/>
    <s v="neutral_beta"/>
    <n v="0"/>
    <n v="0"/>
    <n v="0"/>
    <n v="0"/>
    <n v="0"/>
    <n v="0"/>
    <n v="0"/>
  </r>
  <r>
    <n v="0"/>
    <n v="0"/>
    <n v="0"/>
    <n v="0"/>
    <n v="0.57899999999999996"/>
    <n v="0.505"/>
    <x v="0"/>
    <x v="0"/>
    <s v="low_beta"/>
    <n v="0"/>
    <n v="0"/>
    <n v="0"/>
    <n v="0"/>
    <n v="0"/>
    <n v="0"/>
    <n v="0"/>
  </r>
  <r>
    <n v="0"/>
    <n v="0"/>
    <n v="0"/>
    <n v="0"/>
    <n v="0.57799999999999996"/>
    <n v="0.41299999999999998"/>
    <x v="0"/>
    <x v="4"/>
    <s v="high_beta"/>
    <n v="0"/>
    <n v="0"/>
    <n v="0"/>
    <n v="0"/>
    <n v="0"/>
    <n v="0"/>
    <n v="0"/>
  </r>
  <r>
    <n v="0"/>
    <n v="-2.4E-2"/>
    <n v="0"/>
    <n v="2.4E-2"/>
    <n v="0.57299999999999995"/>
    <n v="1.216"/>
    <x v="2"/>
    <x v="9"/>
    <s v="neutral_beta"/>
    <n v="0"/>
    <n v="-2.4E-2"/>
    <n v="2.4E-2"/>
    <n v="0"/>
    <n v="0"/>
    <n v="0"/>
    <n v="0"/>
  </r>
  <r>
    <n v="0"/>
    <n v="0"/>
    <n v="0"/>
    <n v="0"/>
    <n v="0.57199999999999995"/>
    <n v="0.60499999999999998"/>
    <x v="4"/>
    <x v="15"/>
    <s v="high_beta"/>
    <n v="0"/>
    <n v="0"/>
    <n v="0"/>
    <n v="0"/>
    <n v="0"/>
    <n v="0"/>
    <n v="0"/>
  </r>
  <r>
    <n v="0"/>
    <n v="-1.7999999999999999E-2"/>
    <n v="0"/>
    <n v="1.7999999999999999E-2"/>
    <n v="0.57099999999999995"/>
    <n v="1.008"/>
    <x v="1"/>
    <x v="10"/>
    <s v="low_beta"/>
    <n v="0"/>
    <n v="-1.7999999999999999E-2"/>
    <n v="1.7999999999999999E-2"/>
    <n v="0"/>
    <n v="0"/>
    <n v="0"/>
    <n v="0"/>
  </r>
  <r>
    <n v="0"/>
    <n v="-2.4E-2"/>
    <n v="0"/>
    <n v="2.4E-2"/>
    <n v="0.56999999999999995"/>
    <n v="0.91600000000000004"/>
    <x v="2"/>
    <x v="9"/>
    <s v="neutral_beta"/>
    <n v="0"/>
    <n v="-2.4E-2"/>
    <n v="2.4E-2"/>
    <n v="0"/>
    <n v="0"/>
    <n v="5.4284640243097398E-2"/>
    <n v="-5.4284640243097398E-2"/>
  </r>
  <r>
    <n v="0"/>
    <n v="-6.0000000000000001E-3"/>
    <n v="0"/>
    <n v="6.0000000000000001E-3"/>
    <n v="0.56799999999999995"/>
    <n v="0.629"/>
    <x v="2"/>
    <x v="19"/>
    <s v="very_high_beta"/>
    <n v="0"/>
    <n v="-6.0000000000000001E-3"/>
    <n v="6.0000000000000001E-3"/>
    <n v="0"/>
    <n v="0"/>
    <n v="0"/>
    <n v="0"/>
  </r>
  <r>
    <n v="0"/>
    <n v="0"/>
    <n v="0"/>
    <n v="0"/>
    <n v="0.56699999999999995"/>
    <n v="0.438"/>
    <x v="4"/>
    <x v="18"/>
    <s v="very_low_beta"/>
    <n v="0"/>
    <n v="0"/>
    <n v="0"/>
    <n v="0"/>
    <n v="0"/>
    <n v="0"/>
    <n v="0"/>
  </r>
  <r>
    <n v="0"/>
    <n v="0"/>
    <n v="0"/>
    <n v="0"/>
    <n v="0.56599999999999995"/>
    <n v="0.48499999999999999"/>
    <x v="0"/>
    <x v="4"/>
    <s v="high_beta"/>
    <n v="0"/>
    <n v="0"/>
    <n v="0"/>
    <n v="0"/>
    <n v="0"/>
    <n v="0"/>
    <n v="0"/>
  </r>
  <r>
    <n v="0"/>
    <n v="0"/>
    <n v="0"/>
    <n v="0"/>
    <n v="0.56599999999999995"/>
    <n v="0.435"/>
    <x v="0"/>
    <x v="13"/>
    <s v="very_high_beta"/>
    <n v="0"/>
    <n v="0"/>
    <n v="0"/>
    <n v="0"/>
    <n v="0"/>
    <n v="0"/>
    <n v="0"/>
  </r>
  <r>
    <n v="0"/>
    <n v="-4.0000000000000001E-3"/>
    <n v="0"/>
    <n v="4.0000000000000001E-3"/>
    <n v="0.56299999999999994"/>
    <n v="0.47499999999999998"/>
    <x v="0"/>
    <x v="19"/>
    <s v="low_beta"/>
    <n v="0"/>
    <n v="-4.0000000000000001E-3"/>
    <n v="4.0000000000000001E-3"/>
    <n v="0"/>
    <n v="0"/>
    <n v="0"/>
    <n v="0"/>
  </r>
  <r>
    <n v="0"/>
    <n v="0"/>
    <n v="0"/>
    <n v="0"/>
    <n v="0.55900000000000005"/>
    <n v="0.58499999999999996"/>
    <x v="0"/>
    <x v="20"/>
    <s v="very_high_beta"/>
    <n v="0"/>
    <n v="0"/>
    <n v="0"/>
    <n v="0"/>
    <n v="0"/>
    <n v="0"/>
    <n v="0"/>
  </r>
  <r>
    <n v="0"/>
    <n v="-2.1999999999999999E-2"/>
    <n v="0"/>
    <n v="2.1999999999999999E-2"/>
    <n v="0.55600000000000005"/>
    <n v="0.44900000000000001"/>
    <x v="4"/>
    <x v="18"/>
    <s v="very_low_beta"/>
    <n v="0"/>
    <n v="-2.1999999999999999E-2"/>
    <n v="2.1999999999999999E-2"/>
    <n v="0"/>
    <n v="0"/>
    <n v="0"/>
    <n v="0"/>
  </r>
  <r>
    <n v="0"/>
    <n v="-2E-3"/>
    <n v="0"/>
    <n v="2E-3"/>
    <n v="0.55300000000000005"/>
    <n v="0.55200000000000005"/>
    <x v="0"/>
    <x v="1"/>
    <s v="very_high_beta"/>
    <n v="0"/>
    <n v="-2E-3"/>
    <n v="2E-3"/>
    <n v="0"/>
    <n v="0"/>
    <n v="0"/>
    <n v="0"/>
  </r>
  <r>
    <n v="0"/>
    <n v="0"/>
    <n v="0"/>
    <n v="0"/>
    <n v="0.55000000000000004"/>
    <n v="0.57199999999999995"/>
    <x v="0"/>
    <x v="13"/>
    <s v="neutral_beta"/>
    <n v="0"/>
    <n v="0"/>
    <n v="0"/>
    <n v="0"/>
    <n v="0"/>
    <n v="0"/>
    <n v="0"/>
  </r>
  <r>
    <n v="0"/>
    <n v="0"/>
    <n v="0"/>
    <n v="0"/>
    <n v="0.54900000000000004"/>
    <n v="0.625"/>
    <x v="3"/>
    <x v="7"/>
    <s v="low_beta"/>
    <n v="0"/>
    <n v="0"/>
    <n v="0"/>
    <n v="0"/>
    <n v="0"/>
    <n v="0"/>
    <n v="0"/>
  </r>
  <r>
    <n v="0"/>
    <n v="0"/>
    <n v="0"/>
    <n v="0"/>
    <n v="0.54800000000000004"/>
    <n v="0.42899999999999999"/>
    <x v="0"/>
    <x v="4"/>
    <s v="high_beta"/>
    <n v="0"/>
    <n v="0"/>
    <n v="0"/>
    <n v="0"/>
    <n v="0"/>
    <n v="0"/>
    <n v="0"/>
  </r>
  <r>
    <n v="0"/>
    <n v="0"/>
    <n v="0"/>
    <n v="0"/>
    <n v="0.54800000000000004"/>
    <n v="0.49399999999999999"/>
    <x v="0"/>
    <x v="3"/>
    <s v="neutral_beta"/>
    <n v="0"/>
    <n v="0"/>
    <n v="0"/>
    <n v="0"/>
    <n v="0"/>
    <n v="0"/>
    <n v="0"/>
  </r>
  <r>
    <n v="0"/>
    <n v="-3.0000000000000001E-3"/>
    <n v="0"/>
    <n v="3.0000000000000001E-3"/>
    <n v="0.54700000000000004"/>
    <n v="0.41699999999999998"/>
    <x v="4"/>
    <x v="18"/>
    <s v="high_beta"/>
    <n v="0"/>
    <n v="-3.0000000000000001E-3"/>
    <n v="3.0000000000000001E-3"/>
    <n v="0"/>
    <n v="0"/>
    <n v="0"/>
    <n v="0"/>
  </r>
  <r>
    <n v="0"/>
    <n v="0"/>
    <n v="0"/>
    <n v="0"/>
    <n v="0.54500000000000004"/>
    <n v="0.496"/>
    <x v="0"/>
    <x v="20"/>
    <s v="very_high_beta"/>
    <n v="0"/>
    <n v="0"/>
    <n v="0"/>
    <n v="0"/>
    <n v="0"/>
    <n v="0"/>
    <n v="0"/>
  </r>
  <r>
    <n v="0"/>
    <n v="0"/>
    <n v="0"/>
    <n v="0"/>
    <n v="0.54500000000000004"/>
    <n v="0.63700000000000001"/>
    <x v="3"/>
    <x v="7"/>
    <s v="neutral_beta"/>
    <n v="0"/>
    <n v="0"/>
    <n v="0"/>
    <n v="0"/>
    <n v="0"/>
    <n v="0"/>
    <n v="0"/>
  </r>
  <r>
    <n v="0"/>
    <n v="0"/>
    <n v="0"/>
    <n v="0"/>
    <n v="0.54100000000000004"/>
    <n v="0.45900000000000002"/>
    <x v="4"/>
    <x v="18"/>
    <s v="very_low_beta"/>
    <n v="0"/>
    <n v="0"/>
    <n v="0"/>
    <n v="0"/>
    <n v="0"/>
    <n v="0"/>
    <n v="0"/>
  </r>
  <r>
    <n v="0"/>
    <n v="0"/>
    <n v="0"/>
    <n v="0"/>
    <n v="0.53900000000000003"/>
    <n v="0.42299999999999999"/>
    <x v="0"/>
    <x v="1"/>
    <s v="low_beta"/>
    <n v="0"/>
    <n v="0"/>
    <n v="0"/>
    <n v="0"/>
    <n v="0"/>
    <n v="0"/>
    <n v="0"/>
  </r>
  <r>
    <n v="0"/>
    <n v="0"/>
    <n v="0"/>
    <n v="0"/>
    <n v="0.53900000000000003"/>
    <n v="0.62"/>
    <x v="4"/>
    <x v="15"/>
    <s v="neutral_beta"/>
    <n v="0"/>
    <n v="0"/>
    <n v="0"/>
    <n v="0"/>
    <n v="0"/>
    <n v="0"/>
    <n v="0"/>
  </r>
  <r>
    <n v="0"/>
    <n v="0"/>
    <n v="0"/>
    <n v="0"/>
    <n v="0.53500000000000003"/>
    <n v="0.57899999999999996"/>
    <x v="0"/>
    <x v="20"/>
    <s v="neutral_beta"/>
    <n v="0"/>
    <n v="0"/>
    <n v="0"/>
    <n v="0"/>
    <n v="0"/>
    <n v="0"/>
    <n v="0"/>
  </r>
  <r>
    <n v="0"/>
    <n v="-2.1999999999999999E-2"/>
    <n v="0"/>
    <n v="2.1999999999999999E-2"/>
    <n v="0.53400000000000003"/>
    <n v="0.54500000000000004"/>
    <x v="1"/>
    <x v="10"/>
    <s v="very_low_beta"/>
    <n v="0"/>
    <n v="-2.1999999999999999E-2"/>
    <n v="2.1999999999999999E-2"/>
    <n v="0"/>
    <n v="0"/>
    <n v="0"/>
    <n v="0"/>
  </r>
  <r>
    <n v="0"/>
    <n v="0"/>
    <n v="0"/>
    <n v="0"/>
    <n v="0.53300000000000003"/>
    <n v="0.502"/>
    <x v="1"/>
    <x v="14"/>
    <s v="low_beta"/>
    <n v="0"/>
    <n v="0"/>
    <n v="0"/>
    <n v="0"/>
    <n v="0"/>
    <n v="0"/>
    <n v="0"/>
  </r>
  <r>
    <n v="0"/>
    <n v="0"/>
    <n v="0"/>
    <n v="0"/>
    <n v="0.53300000000000003"/>
    <n v="0.41799999999999998"/>
    <x v="3"/>
    <x v="7"/>
    <s v="very_low_beta"/>
    <n v="0"/>
    <n v="0"/>
    <n v="0"/>
    <n v="0"/>
    <n v="0"/>
    <n v="0"/>
    <n v="0"/>
  </r>
  <r>
    <n v="0"/>
    <n v="0"/>
    <n v="0"/>
    <n v="0"/>
    <n v="0.53200000000000003"/>
    <n v="0.374"/>
    <x v="0"/>
    <x v="1"/>
    <s v="very_high_beta"/>
    <n v="0"/>
    <n v="0"/>
    <n v="0"/>
    <n v="0"/>
    <n v="0"/>
    <n v="0"/>
    <n v="0"/>
  </r>
  <r>
    <n v="0"/>
    <n v="0"/>
    <n v="0"/>
    <n v="0"/>
    <n v="0.53"/>
    <n v="0.439"/>
    <x v="3"/>
    <x v="7"/>
    <s v="very_high_beta"/>
    <n v="0"/>
    <n v="0"/>
    <n v="0"/>
    <n v="0"/>
    <n v="0"/>
    <n v="0"/>
    <n v="0"/>
  </r>
  <r>
    <n v="0"/>
    <n v="0"/>
    <n v="0"/>
    <n v="0"/>
    <n v="0.53"/>
    <n v="0.45100000000000001"/>
    <x v="4"/>
    <x v="12"/>
    <s v="very_low_beta"/>
    <n v="0"/>
    <n v="0"/>
    <n v="0"/>
    <n v="0"/>
    <n v="0"/>
    <n v="0"/>
    <n v="0"/>
  </r>
  <r>
    <n v="0"/>
    <n v="0"/>
    <n v="0"/>
    <n v="0"/>
    <n v="0.53"/>
    <n v="0.47699999999999998"/>
    <x v="0"/>
    <x v="3"/>
    <s v="very_low_beta"/>
    <n v="0"/>
    <n v="0"/>
    <n v="0"/>
    <n v="0"/>
    <n v="0"/>
    <n v="0"/>
    <n v="0"/>
  </r>
  <r>
    <n v="0"/>
    <n v="0"/>
    <n v="0"/>
    <n v="0"/>
    <n v="0.52900000000000003"/>
    <n v="0.376"/>
    <x v="2"/>
    <x v="8"/>
    <s v="very_low_beta"/>
    <n v="0"/>
    <n v="0"/>
    <n v="0"/>
    <n v="0"/>
    <n v="0"/>
    <n v="0"/>
    <n v="0"/>
  </r>
  <r>
    <n v="0"/>
    <n v="-3.0000000000000001E-3"/>
    <n v="0"/>
    <n v="3.0000000000000001E-3"/>
    <n v="0.52700000000000002"/>
    <n v="0.56499999999999995"/>
    <x v="3"/>
    <x v="17"/>
    <s v="very_high_beta"/>
    <n v="0"/>
    <n v="-3.0000000000000001E-3"/>
    <n v="3.0000000000000001E-3"/>
    <n v="0"/>
    <n v="0"/>
    <n v="0"/>
    <n v="0"/>
  </r>
  <r>
    <n v="0"/>
    <n v="-3.0000000000000001E-3"/>
    <n v="0"/>
    <n v="3.0000000000000001E-3"/>
    <n v="0.52600000000000002"/>
    <n v="0.4"/>
    <x v="0"/>
    <x v="20"/>
    <s v="very_high_beta"/>
    <n v="0"/>
    <n v="-3.0000000000000001E-3"/>
    <n v="3.0000000000000001E-3"/>
    <n v="0"/>
    <n v="0"/>
    <n v="0"/>
    <n v="0"/>
  </r>
  <r>
    <n v="0"/>
    <n v="-3.0000000000000001E-3"/>
    <n v="0"/>
    <n v="3.0000000000000001E-3"/>
    <n v="0.52600000000000002"/>
    <n v="0.56399999999999995"/>
    <x v="4"/>
    <x v="18"/>
    <s v="low_beta"/>
    <n v="0"/>
    <n v="-3.0000000000000001E-3"/>
    <n v="3.0000000000000001E-3"/>
    <n v="0"/>
    <n v="0"/>
    <n v="0"/>
    <n v="0"/>
  </r>
  <r>
    <n v="0"/>
    <n v="-5.0000000000000001E-3"/>
    <n v="0"/>
    <n v="5.0000000000000001E-3"/>
    <n v="0.52500000000000002"/>
    <n v="0.42199999999999999"/>
    <x v="0"/>
    <x v="1"/>
    <s v="very_high_beta"/>
    <n v="0"/>
    <n v="-5.0000000000000001E-3"/>
    <n v="5.0000000000000001E-3"/>
    <n v="0"/>
    <n v="0"/>
    <n v="0"/>
    <n v="0"/>
  </r>
  <r>
    <n v="0"/>
    <n v="0"/>
    <n v="0"/>
    <n v="0"/>
    <n v="0.52400000000000002"/>
    <n v="0.432"/>
    <x v="3"/>
    <x v="7"/>
    <s v="very_high_beta"/>
    <n v="0"/>
    <n v="0"/>
    <n v="0"/>
    <n v="0"/>
    <n v="0"/>
    <n v="0"/>
    <n v="0"/>
  </r>
  <r>
    <n v="0"/>
    <n v="0"/>
    <n v="0"/>
    <n v="0"/>
    <n v="0.52400000000000002"/>
    <n v="0.58099999999999996"/>
    <x v="3"/>
    <x v="7"/>
    <s v="high_beta"/>
    <n v="0"/>
    <n v="0"/>
    <n v="0"/>
    <n v="0"/>
    <n v="0"/>
    <n v="0"/>
    <n v="0"/>
  </r>
  <r>
    <n v="0"/>
    <n v="0"/>
    <n v="0"/>
    <n v="0"/>
    <n v="0.51900000000000002"/>
    <n v="0.38800000000000001"/>
    <x v="1"/>
    <x v="10"/>
    <s v="very_high_beta"/>
    <n v="0"/>
    <n v="0"/>
    <n v="0"/>
    <n v="0"/>
    <n v="0"/>
    <n v="0"/>
    <n v="0"/>
  </r>
  <r>
    <n v="0"/>
    <n v="-1.4999999999999999E-2"/>
    <n v="0"/>
    <n v="1.4999999999999999E-2"/>
    <n v="0.51600000000000001"/>
    <n v="0.70099999999999996"/>
    <x v="1"/>
    <x v="14"/>
    <s v="high_beta"/>
    <n v="0"/>
    <n v="-1.4999999999999999E-2"/>
    <n v="1.4999999999999999E-2"/>
    <n v="0"/>
    <n v="0"/>
    <n v="0"/>
    <n v="0"/>
  </r>
  <r>
    <n v="0"/>
    <n v="0"/>
    <n v="0"/>
    <n v="0"/>
    <n v="0.51600000000000001"/>
    <n v="0.42399999999999999"/>
    <x v="4"/>
    <x v="18"/>
    <s v="very_low_beta"/>
    <n v="0"/>
    <n v="0"/>
    <n v="0"/>
    <n v="0"/>
    <n v="0"/>
    <n v="0"/>
    <n v="0"/>
  </r>
  <r>
    <n v="0"/>
    <n v="-2.3E-2"/>
    <n v="0"/>
    <n v="2.3E-2"/>
    <n v="0.51400000000000001"/>
    <n v="0.60599999999999998"/>
    <x v="1"/>
    <x v="14"/>
    <s v="very_high_beta"/>
    <n v="0"/>
    <n v="-2.3E-2"/>
    <n v="2.3E-2"/>
    <n v="0"/>
    <n v="0"/>
    <n v="0"/>
    <n v="0"/>
  </r>
  <r>
    <n v="0"/>
    <n v="0"/>
    <n v="0"/>
    <n v="0"/>
    <n v="0.51400000000000001"/>
    <n v="0.36099999999999999"/>
    <x v="3"/>
    <x v="11"/>
    <s v="very_high_beta"/>
    <n v="0"/>
    <n v="0"/>
    <n v="0"/>
    <n v="0"/>
    <n v="0"/>
    <n v="0"/>
    <n v="0"/>
  </r>
  <r>
    <n v="0"/>
    <n v="0"/>
    <n v="0"/>
    <n v="0"/>
    <n v="0.51400000000000001"/>
    <n v="0.39100000000000001"/>
    <x v="0"/>
    <x v="2"/>
    <s v="neutral_beta"/>
    <n v="0"/>
    <n v="0"/>
    <n v="0"/>
    <n v="0"/>
    <n v="0"/>
    <n v="0"/>
    <n v="0"/>
  </r>
  <r>
    <n v="0"/>
    <n v="-3.0000000000000001E-3"/>
    <n v="0"/>
    <n v="3.0000000000000001E-3"/>
    <n v="0.51200000000000001"/>
    <n v="0.39"/>
    <x v="0"/>
    <x v="19"/>
    <s v="very_high_beta"/>
    <n v="0"/>
    <n v="-3.0000000000000001E-3"/>
    <n v="3.0000000000000001E-3"/>
    <n v="0"/>
    <n v="0"/>
    <n v="0"/>
    <n v="0"/>
  </r>
  <r>
    <n v="0"/>
    <n v="-1.7000000000000001E-2"/>
    <n v="0"/>
    <n v="1.7000000000000001E-2"/>
    <n v="0.50900000000000001"/>
    <n v="0.53300000000000003"/>
    <x v="0"/>
    <x v="20"/>
    <s v="very_high_beta"/>
    <n v="0"/>
    <n v="-1.7000000000000001E-2"/>
    <n v="1.7000000000000001E-2"/>
    <n v="0"/>
    <n v="0"/>
    <n v="0"/>
    <n v="0"/>
  </r>
  <r>
    <n v="0"/>
    <n v="0"/>
    <n v="0"/>
    <n v="0"/>
    <n v="0.50900000000000001"/>
    <n v="0.42"/>
    <x v="3"/>
    <x v="7"/>
    <s v="high_beta"/>
    <n v="0"/>
    <n v="0"/>
    <n v="0"/>
    <n v="0"/>
    <n v="0"/>
    <n v="0"/>
    <n v="0"/>
  </r>
  <r>
    <n v="0"/>
    <n v="0"/>
    <n v="0"/>
    <n v="0"/>
    <n v="0.505"/>
    <n v="0.35499999999999998"/>
    <x v="0"/>
    <x v="4"/>
    <s v="very_high_beta"/>
    <n v="0"/>
    <n v="0"/>
    <n v="0"/>
    <n v="0"/>
    <n v="0"/>
    <n v="0"/>
    <n v="0"/>
  </r>
  <r>
    <n v="0"/>
    <n v="0"/>
    <n v="0"/>
    <n v="0"/>
    <n v="0.499"/>
    <n v="0.35"/>
    <x v="1"/>
    <x v="10"/>
    <s v="very_high_beta"/>
    <n v="0"/>
    <n v="0"/>
    <n v="0"/>
    <n v="0"/>
    <n v="0"/>
    <n v="0"/>
    <n v="0"/>
  </r>
  <r>
    <n v="0"/>
    <n v="0"/>
    <n v="0"/>
    <n v="0"/>
    <n v="0.495"/>
    <n v="0.35099999999999998"/>
    <x v="1"/>
    <x v="14"/>
    <s v="very_high_beta"/>
    <n v="0"/>
    <n v="0"/>
    <n v="0"/>
    <n v="0"/>
    <n v="0"/>
    <n v="0"/>
    <n v="0"/>
  </r>
  <r>
    <n v="0"/>
    <n v="0"/>
    <n v="0"/>
    <n v="0"/>
    <n v="0.49399999999999999"/>
    <n v="0.34599999999999997"/>
    <x v="0"/>
    <x v="13"/>
    <s v="high_beta"/>
    <n v="0"/>
    <n v="0"/>
    <n v="0"/>
    <n v="0"/>
    <n v="0"/>
    <n v="0"/>
    <n v="0"/>
  </r>
  <r>
    <n v="0"/>
    <n v="0"/>
    <n v="0"/>
    <n v="0"/>
    <n v="0.49299999999999999"/>
    <n v="0.378"/>
    <x v="4"/>
    <x v="15"/>
    <s v="very_high_beta"/>
    <n v="0"/>
    <n v="0"/>
    <n v="0"/>
    <n v="0"/>
    <n v="0"/>
    <n v="0"/>
    <n v="0"/>
  </r>
  <r>
    <n v="0"/>
    <n v="0"/>
    <n v="0"/>
    <n v="0"/>
    <n v="0.49"/>
    <n v="0.34399999999999997"/>
    <x v="4"/>
    <x v="15"/>
    <s v="very_high_beta"/>
    <n v="0"/>
    <n v="0"/>
    <n v="0"/>
    <n v="0"/>
    <n v="0"/>
    <n v="0"/>
    <n v="0"/>
  </r>
  <r>
    <n v="0"/>
    <n v="0"/>
    <n v="0"/>
    <n v="0"/>
    <n v="0.48699999999999999"/>
    <n v="0.34200000000000003"/>
    <x v="2"/>
    <x v="9"/>
    <s v="neutral_beta"/>
    <n v="0"/>
    <n v="0"/>
    <n v="0"/>
    <n v="0"/>
    <n v="0"/>
    <n v="0"/>
    <n v="0"/>
  </r>
  <r>
    <n v="0"/>
    <n v="0"/>
    <n v="0"/>
    <n v="0"/>
    <n v="0.48499999999999999"/>
    <n v="0.34399999999999997"/>
    <x v="1"/>
    <x v="10"/>
    <s v="very_high_beta"/>
    <n v="0"/>
    <n v="0"/>
    <n v="0"/>
    <n v="0"/>
    <n v="0"/>
    <n v="0"/>
    <n v="0"/>
  </r>
  <r>
    <n v="0"/>
    <n v="0"/>
    <n v="0"/>
    <n v="0"/>
    <n v="0.48099999999999998"/>
    <n v="0.36099999999999999"/>
    <x v="3"/>
    <x v="17"/>
    <s v="very_low_beta"/>
    <n v="0"/>
    <n v="0"/>
    <n v="0"/>
    <n v="0"/>
    <n v="0"/>
    <n v="0"/>
    <n v="0"/>
  </r>
  <r>
    <n v="0"/>
    <n v="-1E-3"/>
    <n v="0"/>
    <n v="1E-3"/>
    <n v="0.48"/>
    <n v="0.35599999999999998"/>
    <x v="0"/>
    <x v="4"/>
    <s v="very_high_beta"/>
    <n v="0"/>
    <n v="-1E-3"/>
    <n v="1E-3"/>
    <n v="0"/>
    <n v="0"/>
    <n v="0"/>
    <n v="0"/>
  </r>
  <r>
    <n v="0"/>
    <n v="0"/>
    <n v="0"/>
    <n v="0"/>
    <n v="0.47499999999999998"/>
    <n v="0.33300000000000002"/>
    <x v="3"/>
    <x v="7"/>
    <s v="very_low_beta"/>
    <n v="0"/>
    <n v="0"/>
    <n v="0"/>
    <n v="0"/>
    <n v="0"/>
    <n v="0"/>
    <n v="0"/>
  </r>
  <r>
    <n v="0"/>
    <n v="-4.0000000000000001E-3"/>
    <n v="0"/>
    <n v="4.0000000000000001E-3"/>
    <n v="0.47499999999999998"/>
    <n v="0.34399999999999997"/>
    <x v="3"/>
    <x v="11"/>
    <s v="very_low_beta"/>
    <n v="0"/>
    <n v="-4.0000000000000001E-3"/>
    <n v="4.0000000000000001E-3"/>
    <n v="0"/>
    <n v="0"/>
    <n v="0"/>
    <n v="0"/>
  </r>
  <r>
    <n v="0"/>
    <n v="0"/>
    <n v="0"/>
    <n v="0"/>
    <n v="0.47299999999999998"/>
    <n v="0.373"/>
    <x v="0"/>
    <x v="5"/>
    <s v="low_beta"/>
    <n v="0"/>
    <n v="0"/>
    <n v="0"/>
    <n v="0"/>
    <n v="0"/>
    <n v="0"/>
    <n v="0"/>
  </r>
  <r>
    <n v="0"/>
    <n v="0"/>
    <n v="0"/>
    <n v="0"/>
    <n v="0.47"/>
    <n v="0.33"/>
    <x v="3"/>
    <x v="17"/>
    <s v="neutral_beta"/>
    <n v="0"/>
    <n v="0"/>
    <n v="0"/>
    <n v="0"/>
    <n v="0"/>
    <n v="0"/>
    <n v="0"/>
  </r>
  <r>
    <n v="0"/>
    <n v="0"/>
    <n v="0"/>
    <n v="0"/>
    <n v="0.46899999999999997"/>
    <n v="0.32900000000000001"/>
    <x v="0"/>
    <x v="1"/>
    <s v="high_beta"/>
    <n v="0"/>
    <n v="0"/>
    <n v="0"/>
    <n v="0"/>
    <n v="0"/>
    <n v="0"/>
    <n v="0"/>
  </r>
  <r>
    <n v="0"/>
    <n v="0"/>
    <n v="0"/>
    <n v="0"/>
    <n v="0.46800000000000003"/>
    <n v="0.32900000000000001"/>
    <x v="3"/>
    <x v="7"/>
    <s v="very_low_beta"/>
    <n v="0"/>
    <n v="0"/>
    <n v="0"/>
    <n v="0"/>
    <n v="0"/>
    <n v="0"/>
    <n v="0"/>
  </r>
  <r>
    <n v="0"/>
    <n v="0"/>
    <n v="0"/>
    <n v="0"/>
    <n v="0.46800000000000003"/>
    <n v="0.33200000000000002"/>
    <x v="0"/>
    <x v="20"/>
    <s v="very_high_beta"/>
    <n v="0"/>
    <n v="0"/>
    <n v="0"/>
    <n v="0"/>
    <n v="0"/>
    <n v="0"/>
    <n v="0"/>
  </r>
  <r>
    <n v="0"/>
    <n v="0"/>
    <n v="0"/>
    <n v="0"/>
    <n v="0.46800000000000003"/>
    <n v="0.35399999999999998"/>
    <x v="3"/>
    <x v="7"/>
    <s v="very_low_beta"/>
    <n v="0"/>
    <n v="0"/>
    <n v="0"/>
    <n v="0"/>
    <n v="0"/>
    <n v="0"/>
    <n v="0"/>
  </r>
  <r>
    <n v="0"/>
    <n v="0"/>
    <n v="0"/>
    <n v="0"/>
    <n v="0.46800000000000003"/>
    <n v="0.33"/>
    <x v="0"/>
    <x v="20"/>
    <s v="very_high_beta"/>
    <n v="0"/>
    <n v="0"/>
    <n v="0"/>
    <n v="0"/>
    <n v="0"/>
    <n v="0"/>
    <n v="0"/>
  </r>
  <r>
    <n v="0"/>
    <n v="0"/>
    <n v="0"/>
    <n v="0"/>
    <n v="0.46800000000000003"/>
    <n v="0.32900000000000001"/>
    <x v="1"/>
    <x v="10"/>
    <s v="high_beta"/>
    <n v="0"/>
    <n v="0"/>
    <n v="0"/>
    <n v="0"/>
    <n v="0"/>
    <n v="0"/>
    <n v="0"/>
  </r>
  <r>
    <n v="0"/>
    <n v="0"/>
    <n v="0"/>
    <n v="0"/>
    <n v="0.46800000000000003"/>
    <n v="0.32900000000000001"/>
    <x v="4"/>
    <x v="15"/>
    <s v="very_high_beta"/>
    <n v="0"/>
    <n v="0"/>
    <n v="0"/>
    <n v="0"/>
    <n v="0"/>
    <n v="0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n v="1.4E-2"/>
    <n v="1.4E-2"/>
    <n v="0"/>
    <n v="0"/>
    <n v="3.2610000000000001"/>
    <n v="3.4220000000000002"/>
    <x v="0"/>
    <x v="0"/>
    <s v="low_beta"/>
    <n v="1.4E-2"/>
    <n v="1.4E-2"/>
    <n v="0.41928211937333298"/>
    <n v="1.22931154954909E-2"/>
    <n v="1.7068845045091E-3"/>
    <n v="1.7068845045091E-3"/>
    <n v="9.8665773843535608E-3"/>
    <n v="4.1334226156464395E-3"/>
  </r>
  <r>
    <n v="0.01"/>
    <n v="0.01"/>
    <n v="0"/>
    <n v="0"/>
    <n v="3.2610000000000001"/>
    <n v="3.3159999999999998"/>
    <x v="1"/>
    <x v="1"/>
    <s v="high_beta"/>
    <n v="0.01"/>
    <n v="0.01"/>
    <n v="0.43086666666666701"/>
    <n v="1.22931154954909E-2"/>
    <n v="-2.2931154954909001E-3"/>
    <n v="-2.2931154954909001E-3"/>
    <n v="9.8665773843535608E-3"/>
    <n v="1.3342261564643944E-4"/>
  </r>
  <r>
    <n v="8.9999999999999993E-3"/>
    <n v="4.1311099999999995E-3"/>
    <n v="0"/>
    <n v="4.8688899999999998E-3"/>
    <n v="3.2610000000000001"/>
    <n v="3.726"/>
    <x v="1"/>
    <x v="2"/>
    <s v="very_high_beta"/>
    <n v="8.9999999999999993E-3"/>
    <n v="4.0000000000000001E-3"/>
    <n v="0.44186093789999997"/>
    <n v="1.8813622700624699E-2"/>
    <n v="-9.8136227006246999E-3"/>
    <n v="-9.8136227006246999E-3"/>
    <n v="1.51000016492021E-2"/>
    <n v="-6.1000016492021008E-3"/>
  </r>
  <r>
    <n v="8.0000000000000002E-3"/>
    <n v="8.0000000000000002E-3"/>
    <n v="0"/>
    <n v="0"/>
    <n v="3.2610000000000001"/>
    <n v="2.5329999999999999"/>
    <x v="1"/>
    <x v="3"/>
    <s v="very_high_beta"/>
    <n v="8.0000000000000002E-3"/>
    <n v="8.0000000000000002E-3"/>
    <n v="1.1045107836233301"/>
    <n v="1.22931154954909E-2"/>
    <n v="-4.2931154954909002E-3"/>
    <n v="-4.2931154954909002E-3"/>
    <n v="9.8665773843535608E-3"/>
    <n v="-1.8665773843535606E-3"/>
  </r>
  <r>
    <n v="7.0000000000000001E-3"/>
    <n v="7.0000000000000001E-3"/>
    <n v="0"/>
    <n v="0"/>
    <n v="3.2610000000000001"/>
    <n v="2.5329999999999999"/>
    <x v="1"/>
    <x v="4"/>
    <s v="very_low_beta"/>
    <n v="7.0000000000000001E-3"/>
    <n v="7.0000000000000001E-3"/>
    <n v="2.1306249228366698"/>
    <n v="1.22931154954909E-2"/>
    <n v="-5.2931154954909002E-3"/>
    <n v="-5.2931154954909002E-3"/>
    <n v="7.8704699683066707E-3"/>
    <n v="-8.7046996830667054E-4"/>
  </r>
  <r>
    <n v="7.0000000000000001E-3"/>
    <n v="7.0000000000000001E-3"/>
    <n v="0"/>
    <n v="0"/>
    <n v="3.2610000000000001"/>
    <n v="2.5790000000000002"/>
    <x v="1"/>
    <x v="5"/>
    <s v="high_beta"/>
    <n v="7.0000000000000001E-3"/>
    <n v="7.0000000000000001E-3"/>
    <n v="0.349371251736667"/>
    <n v="1.22931154954909E-2"/>
    <n v="-5.2931154954909002E-3"/>
    <n v="-5.2931154954909002E-3"/>
    <n v="8.4903833908052707E-3"/>
    <n v="-1.4903833908052706E-3"/>
  </r>
  <r>
    <n v="8.0000000000000002E-3"/>
    <n v="7.6609800000000004E-3"/>
    <n v="0"/>
    <n v="3.3901999999999999E-4"/>
    <n v="3.2570000000000001"/>
    <n v="2.5489999999999999"/>
    <x v="2"/>
    <x v="6"/>
    <s v="neutral_beta"/>
    <n v="8.0000000000000002E-3"/>
    <n v="7.0000000000000001E-3"/>
    <n v="3.19697189111"/>
    <n v="1.24681403633661E-2"/>
    <n v="-4.4681403633661E-3"/>
    <n v="-4.4681403633661E-3"/>
    <n v="0"/>
    <n v="8.0000000000000002E-3"/>
  </r>
  <r>
    <n v="8.9999999999999993E-3"/>
    <n v="8.9999999999999993E-3"/>
    <n v="0"/>
    <n v="0"/>
    <n v="3.2280000000000002"/>
    <n v="2.9430000000000001"/>
    <x v="3"/>
    <x v="7"/>
    <s v="neutral_beta"/>
    <n v="8.9999999999999993E-3"/>
    <n v="8.9999999999999993E-3"/>
    <n v="0.62851010115700001"/>
    <n v="1.2169950228357099E-2"/>
    <n v="-3.1699502283571001E-3"/>
    <n v="-3.1699502283571001E-3"/>
    <n v="5.4404261476151501E-3"/>
    <n v="3.5595738523848492E-3"/>
  </r>
  <r>
    <n v="1.2999999999999999E-2"/>
    <n v="1.2999999999999999E-2"/>
    <n v="0"/>
    <n v="0"/>
    <n v="3.1320000000000001"/>
    <n v="3.839"/>
    <x v="3"/>
    <x v="7"/>
    <s v="low_beta"/>
    <n v="1.2999999999999999E-2"/>
    <n v="1.2999999999999999E-2"/>
    <n v="0.45066247266666698"/>
    <n v="1.1808870192153501E-2"/>
    <n v="1.1911298078464989E-3"/>
    <n v="1.1911298078464989E-3"/>
    <n v="7.8343946817996998E-3"/>
    <n v="5.1656053182002996E-3"/>
  </r>
  <r>
    <n v="0.01"/>
    <n v="0.01"/>
    <n v="0"/>
    <n v="0"/>
    <n v="3.0819999999999999"/>
    <n v="3.1539999999999999"/>
    <x v="2"/>
    <x v="8"/>
    <s v="low_beta"/>
    <n v="0.01"/>
    <n v="0.01"/>
    <n v="0.362970655454667"/>
    <n v="1.16198837125663E-2"/>
    <n v="-1.6198837125663001E-3"/>
    <n v="-1.6198837125663001E-3"/>
    <n v="9.8665773843535608E-3"/>
    <n v="1.3342261564643944E-4"/>
  </r>
  <r>
    <n v="1.4E-2"/>
    <n v="1.4E-2"/>
    <n v="0"/>
    <n v="0"/>
    <n v="3.077"/>
    <n v="3.0779999999999998"/>
    <x v="1"/>
    <x v="2"/>
    <s v="neutral_beta"/>
    <n v="1.4E-2"/>
    <n v="1.4E-2"/>
    <n v="0.52897668937333298"/>
    <n v="1.1601552229383701E-2"/>
    <n v="2.3984477706162997E-3"/>
    <n v="2.3984477706162997E-3"/>
    <n v="8.7508389748659904E-3"/>
    <n v="5.2491610251340099E-3"/>
  </r>
  <r>
    <n v="1.2E-2"/>
    <n v="7.3877200000000004E-3"/>
    <n v="0"/>
    <n v="4.6122799999999999E-3"/>
    <n v="3.0529999999999999"/>
    <n v="3.7949999999999999"/>
    <x v="1"/>
    <x v="1"/>
    <s v="high_beta"/>
    <n v="1.2E-2"/>
    <n v="8.0000000000000002E-3"/>
    <n v="1.12281471466667"/>
    <n v="1.7124788720639099E-2"/>
    <n v="-5.1247887206390987E-3"/>
    <n v="-5.1247887206390987E-3"/>
    <n v="1.3995960713463E-2"/>
    <n v="-1.9959607134630002E-3"/>
  </r>
  <r>
    <n v="0.01"/>
    <n v="8.3846300000000006E-3"/>
    <n v="0"/>
    <n v="1.6153700000000001E-3"/>
    <n v="3.0070000000000001"/>
    <n v="3.2109999999999999"/>
    <x v="1"/>
    <x v="3"/>
    <s v="very_low_beta"/>
    <n v="0.01"/>
    <n v="8.0000000000000002E-3"/>
    <n v="1.1666069113333299"/>
    <n v="1.24295189691779E-2"/>
    <n v="-2.4295189691778997E-3"/>
    <n v="-2.4295189691778997E-3"/>
    <n v="7.9398298805718106E-3"/>
    <n v="2.0601701194281896E-3"/>
  </r>
  <r>
    <n v="2.3E-2"/>
    <n v="-3.5127000000000005E-3"/>
    <n v="0"/>
    <n v="2.65127E-2"/>
    <n v="2.9980000000000002"/>
    <n v="5.8970000000000002"/>
    <x v="2"/>
    <x v="8"/>
    <s v="very_low_beta"/>
    <n v="2.3E-2"/>
    <n v="-3.0000000000000001E-3"/>
    <n v="1.49231119656333"/>
    <n v="5.8182099503771699E-2"/>
    <n v="-3.5182099503771699E-2"/>
    <n v="-3.5182099503771699E-2"/>
    <n v="3.5251617178582099E-2"/>
    <n v="-1.22516171785821E-2"/>
  </r>
  <r>
    <n v="1.0999999999999999E-2"/>
    <n v="1.0999999999999999E-2"/>
    <n v="0"/>
    <n v="0"/>
    <n v="2.9329999999999998"/>
    <n v="3.141"/>
    <x v="2"/>
    <x v="9"/>
    <s v="low_beta"/>
    <n v="1.0999999999999999E-2"/>
    <n v="1.0999999999999999E-2"/>
    <n v="0.34131741066666699"/>
    <n v="1.10599095072657E-2"/>
    <n v="-5.9909507265700282E-5"/>
    <n v="-5.9909507265700282E-5"/>
    <n v="5.8453806896521599E-3"/>
    <n v="5.1546193103478395E-3"/>
  </r>
  <r>
    <n v="8.9999999999999993E-3"/>
    <n v="8.9999999999999993E-3"/>
    <n v="0"/>
    <n v="0"/>
    <n v="2.887"/>
    <n v="2.3069999999999999"/>
    <x v="0"/>
    <x v="10"/>
    <s v="high_beta"/>
    <n v="8.9999999999999993E-3"/>
    <n v="8.9999999999999993E-3"/>
    <n v="0.53502726880999996"/>
    <n v="1.08840916853793E-2"/>
    <n v="-1.8840916853793011E-3"/>
    <n v="-1.8840916853793011E-3"/>
    <n v="8.1674537517602008E-3"/>
    <n v="8.3254624823979849E-4"/>
  </r>
  <r>
    <n v="8.0000000000000002E-3"/>
    <n v="8.0000000000000002E-3"/>
    <n v="0"/>
    <n v="0"/>
    <n v="2.85"/>
    <n v="2.4540000000000002"/>
    <x v="2"/>
    <x v="9"/>
    <s v="high_beta"/>
    <n v="8.0000000000000002E-3"/>
    <n v="8.0000000000000002E-3"/>
    <n v="0.31028855466666699"/>
    <n v="1.07467489075778E-2"/>
    <n v="-2.7467489075777996E-3"/>
    <n v="-2.7467489075777996E-3"/>
    <n v="6.1663395248289397E-3"/>
    <n v="1.8336604751710605E-3"/>
  </r>
  <r>
    <n v="0.01"/>
    <n v="0.01"/>
    <n v="0"/>
    <n v="0"/>
    <n v="2.8290000000000002"/>
    <n v="2.681"/>
    <x v="3"/>
    <x v="11"/>
    <s v="very_low_beta"/>
    <n v="0.01"/>
    <n v="0.01"/>
    <n v="0.586486629314667"/>
    <n v="1.0665109223730601E-2"/>
    <n v="-6.6510922373060055E-4"/>
    <n v="-6.6510922373060055E-4"/>
    <n v="0"/>
    <n v="0.01"/>
  </r>
  <r>
    <n v="4.3999999999999997E-2"/>
    <n v="-2.3948129999999998E-2"/>
    <n v="9.999999999999995E-3"/>
    <n v="6.7948129999999995E-2"/>
    <n v="2.806"/>
    <n v="5.6420000000000003"/>
    <x v="4"/>
    <x v="12"/>
    <s v="very_low_beta"/>
    <n v="3.4000000000000002E-2"/>
    <n v="-3.4000000000000002E-2"/>
    <n v="6.1427917787033302"/>
    <n v="5.8817199021885001E-2"/>
    <n v="-2.4817199021884999E-2"/>
    <n v="-1.4817199021885004E-2"/>
    <n v="5.3259641996780897E-2"/>
    <n v="-1.9259641996780895E-2"/>
  </r>
  <r>
    <n v="1.0999999999999999E-2"/>
    <n v="8.3273699999999989E-3"/>
    <n v="0"/>
    <n v="2.6726300000000001E-3"/>
    <n v="2.6960000000000002"/>
    <n v="3.44"/>
    <x v="3"/>
    <x v="7"/>
    <s v="very_low_beta"/>
    <n v="1.0999999999999999E-2"/>
    <n v="8.9999999999999993E-3"/>
    <n v="4.9885805947000001"/>
    <n v="1.2247467571982701E-2"/>
    <n v="-1.2474675719827012E-3"/>
    <n v="-1.2474675719827012E-3"/>
    <n v="1.16261364000412E-2"/>
    <n v="-6.2613640004120091E-4"/>
  </r>
  <r>
    <n v="0.04"/>
    <n v="-2.0663389999999997E-2"/>
    <n v="8.0000000000000002E-3"/>
    <n v="6.0663389999999998E-2"/>
    <n v="2.6859999999999999"/>
    <n v="5.0529999999999999"/>
    <x v="4"/>
    <x v="12"/>
    <s v="very_low_beta"/>
    <n v="3.2000000000000001E-2"/>
    <n v="-2.9000000000000001E-2"/>
    <n v="6.1738518153699999"/>
    <n v="5.6289874083668298E-2"/>
    <n v="-2.4289874083668297E-2"/>
    <n v="-1.6289874083668297E-2"/>
    <n v="5.24423738795343E-2"/>
    <n v="-2.0442373879534299E-2"/>
  </r>
  <r>
    <n v="1.4999999999999999E-2"/>
    <n v="1.199572E-2"/>
    <n v="0"/>
    <n v="3.0042799999999998E-3"/>
    <n v="2.6669999999999998"/>
    <n v="3.7490000000000001"/>
    <x v="1"/>
    <x v="1"/>
    <s v="neutral_beta"/>
    <n v="1.4999999999999999E-2"/>
    <n v="1.2E-2"/>
    <n v="1.9466666100000001"/>
    <n v="1.25201656196942E-2"/>
    <n v="2.4798343803057992E-3"/>
    <n v="2.4798343803057992E-3"/>
    <n v="8.8939794121524508E-3"/>
    <n v="6.1060205878475486E-3"/>
  </r>
  <r>
    <n v="8.0000000000000002E-3"/>
    <n v="8.0000000000000002E-3"/>
    <n v="0"/>
    <n v="0"/>
    <n v="2.6120000000000001"/>
    <n v="2.177"/>
    <x v="1"/>
    <x v="3"/>
    <s v="high_beta"/>
    <n v="8.0000000000000002E-3"/>
    <n v="8.0000000000000002E-3"/>
    <n v="0.63377817559666705"/>
    <n v="9.8471322749146498E-3"/>
    <n v="-1.8471322749146497E-3"/>
    <n v="-1.8471322749146497E-3"/>
    <n v="6.0394483683184601E-3"/>
    <n v="1.96055163168154E-3"/>
  </r>
  <r>
    <n v="1.0999999999999999E-2"/>
    <n v="-5.7827000000000052E-4"/>
    <n v="0"/>
    <n v="1.157827E-2"/>
    <n v="2.581"/>
    <n v="3.8759999999999999"/>
    <x v="2"/>
    <x v="9"/>
    <s v="neutral_beta"/>
    <n v="1.0999999999999999E-2"/>
    <n v="0"/>
    <n v="1.675558197"/>
    <n v="2.5805571372611101E-2"/>
    <n v="-1.4805571372611102E-2"/>
    <n v="-1.4805571372611102E-2"/>
    <n v="1.5954457725169301E-2"/>
    <n v="-4.954457725169302E-3"/>
  </r>
  <r>
    <n v="0.01"/>
    <n v="2.8933700000000001E-3"/>
    <n v="0"/>
    <n v="7.1066300000000001E-3"/>
    <n v="2.5640000000000001"/>
    <n v="2.9369999999999998"/>
    <x v="3"/>
    <x v="7"/>
    <s v="high_beta"/>
    <n v="0.01"/>
    <n v="3.0000000000000001E-3"/>
    <n v="0.60851010131500005"/>
    <n v="1.840632866493E-2"/>
    <n v="-8.4063286649299993E-3"/>
    <n v="-8.4063286649299993E-3"/>
    <n v="0"/>
    <n v="0.01"/>
  </r>
  <r>
    <n v="8.9999999999999993E-3"/>
    <n v="7.0322099999999988E-3"/>
    <n v="0"/>
    <n v="1.9677900000000001E-3"/>
    <n v="2.512"/>
    <n v="2.871"/>
    <x v="2"/>
    <x v="6"/>
    <s v="low_beta"/>
    <n v="8.9999999999999993E-3"/>
    <n v="8.0000000000000002E-3"/>
    <n v="2.1265445133133301"/>
    <n v="1.06894933207549E-2"/>
    <n v="-1.6894933207549003E-3"/>
    <n v="-1.6894933207549003E-3"/>
    <n v="7.5987481941277501E-3"/>
    <n v="1.4012518058722492E-3"/>
  </r>
  <r>
    <n v="0.01"/>
    <n v="4.5542400000000002E-3"/>
    <n v="0"/>
    <n v="5.44576E-3"/>
    <n v="2.4740000000000002"/>
    <n v="2.6880000000000002"/>
    <x v="0"/>
    <x v="10"/>
    <s v="very_low_beta"/>
    <n v="0.01"/>
    <n v="5.0000000000000001E-3"/>
    <n v="1.1569899796666701"/>
    <n v="1.5176465705911701E-2"/>
    <n v="-5.1764657059117005E-3"/>
    <n v="-5.1764657059117005E-3"/>
    <n v="9.4637562466659397E-3"/>
    <n v="5.3624375333406055E-4"/>
  </r>
  <r>
    <n v="1.0999999999999999E-2"/>
    <n v="9.2064099999999999E-3"/>
    <n v="0"/>
    <n v="1.7935900000000001E-3"/>
    <n v="2.3519999999999999"/>
    <n v="2.5390000000000001"/>
    <x v="1"/>
    <x v="2"/>
    <s v="high_beta"/>
    <n v="1.0999999999999999E-2"/>
    <n v="8.9999999999999993E-3"/>
    <n v="0.72387009666666702"/>
    <n v="9.8592752449806805E-3"/>
    <n v="1.1407247550193188E-3"/>
    <n v="1.1407247550193188E-3"/>
    <n v="0"/>
    <n v="1.0999999999999999E-2"/>
  </r>
  <r>
    <n v="8.9999999999999993E-3"/>
    <n v="3.8761000000000004E-4"/>
    <n v="0"/>
    <n v="8.6123899999999993E-3"/>
    <n v="2.3519999999999999"/>
    <n v="3.0590000000000002"/>
    <x v="1"/>
    <x v="2"/>
    <s v="low_beta"/>
    <n v="8.9999999999999993E-3"/>
    <n v="1E-3"/>
    <n v="2.61745934658"/>
    <n v="1.91215187713463E-2"/>
    <n v="-1.0121518771346301E-2"/>
    <n v="-1.0121518771346301E-2"/>
    <n v="1.1549096490446701E-2"/>
    <n v="-2.5490964904467013E-3"/>
  </r>
  <r>
    <n v="1.4E-2"/>
    <n v="-8.8190399999999985E-3"/>
    <n v="0"/>
    <n v="2.2819039999999999E-2"/>
    <n v="2.3479999999999999"/>
    <n v="5.0990000000000002"/>
    <x v="2"/>
    <x v="6"/>
    <s v="high_beta"/>
    <n v="1.4E-2"/>
    <n v="-8.9999999999999993E-3"/>
    <n v="1.50295334857333"/>
    <n v="4.0108934991352298E-2"/>
    <n v="-2.6108934991352299E-2"/>
    <n v="-2.6108934991352299E-2"/>
    <n v="3.2405264709735399E-2"/>
    <n v="-1.84052647097354E-2"/>
  </r>
  <r>
    <n v="2.1000000000000001E-2"/>
    <n v="2.1000000000000001E-2"/>
    <n v="0"/>
    <n v="0"/>
    <n v="2.3340000000000001"/>
    <n v="3.1059999999999999"/>
    <x v="1"/>
    <x v="1"/>
    <s v="neutral_beta"/>
    <n v="2.1000000000000001E-2"/>
    <n v="2.1000000000000001E-2"/>
    <n v="0.99916358414566697"/>
    <n v="8.80082699414079E-3"/>
    <n v="1.2199173005859211E-2"/>
    <n v="1.2199173005859211E-2"/>
    <n v="6.7839827692912401E-3"/>
    <n v="1.4216017230708762E-2"/>
  </r>
  <r>
    <n v="1.2E-2"/>
    <n v="1.2E-2"/>
    <n v="0"/>
    <n v="0"/>
    <n v="2.3149999999999999"/>
    <n v="2.52"/>
    <x v="1"/>
    <x v="2"/>
    <s v="neutral_beta"/>
    <n v="1.2E-2"/>
    <n v="1.2E-2"/>
    <n v="0.66794132661000005"/>
    <n v="8.7295916955545498E-3"/>
    <n v="3.2704083044454504E-3"/>
    <n v="3.2704083044454504E-3"/>
    <n v="5.7226640543277599E-3"/>
    <n v="6.2773359456722404E-3"/>
  </r>
  <r>
    <n v="1.6E-2"/>
    <n v="1.38292E-2"/>
    <n v="0"/>
    <n v="2.1708000000000001E-3"/>
    <n v="2.2770000000000001"/>
    <n v="2.44"/>
    <x v="1"/>
    <x v="13"/>
    <s v="low_beta"/>
    <n v="1.6E-2"/>
    <n v="1.2999999999999999E-2"/>
    <n v="1.93860050269333"/>
    <n v="9.8707701870783295E-3"/>
    <n v="6.1292298129216709E-3"/>
    <n v="6.1292298129216709E-3"/>
    <n v="8.9554939434519296E-3"/>
    <n v="7.0445060565480708E-3"/>
  </r>
  <r>
    <n v="5.0000000000000001E-3"/>
    <n v="5.0000000000000001E-3"/>
    <n v="0"/>
    <n v="0"/>
    <n v="2.2280000000000002"/>
    <n v="1.6479999999999999"/>
    <x v="1"/>
    <x v="2"/>
    <s v="high_beta"/>
    <n v="5.0000000000000001E-3"/>
    <n v="5.0000000000000001E-3"/>
    <n v="0.47422446831333298"/>
    <n v="8.3989649274910597E-3"/>
    <n v="-3.3989649274910596E-3"/>
    <n v="-3.3989649274910596E-3"/>
    <n v="0"/>
    <n v="5.0000000000000001E-3"/>
  </r>
  <r>
    <n v="1.2E-2"/>
    <n v="9.3930300000000001E-3"/>
    <n v="0"/>
    <n v="2.6069700000000001E-3"/>
    <n v="2.2240000000000002"/>
    <n v="2.6520000000000001"/>
    <x v="1"/>
    <x v="3"/>
    <s v="low_beta"/>
    <n v="1.2E-2"/>
    <n v="8.9999999999999993E-3"/>
    <n v="3.15143"/>
    <n v="1.0042276131745E-2"/>
    <n v="1.9577238682550006E-3"/>
    <n v="1.9577238682550006E-3"/>
    <n v="0"/>
    <n v="1.2E-2"/>
  </r>
  <r>
    <n v="0.01"/>
    <n v="0.01"/>
    <n v="0"/>
    <n v="0"/>
    <n v="2.2210000000000001"/>
    <n v="2.1080000000000001"/>
    <x v="1"/>
    <x v="13"/>
    <s v="high_beta"/>
    <n v="0.01"/>
    <n v="0.01"/>
    <n v="0.73880355937333297"/>
    <n v="8.3747454570351904E-3"/>
    <n v="1.6252545429648099E-3"/>
    <n v="1.6252545429648099E-3"/>
    <n v="6.6370185864229004E-3"/>
    <n v="3.3629814135770998E-3"/>
  </r>
  <r>
    <n v="7.0000000000000001E-3"/>
    <n v="7.0000000000000001E-3"/>
    <n v="0"/>
    <n v="0"/>
    <n v="2.1819999999999999"/>
    <n v="1.623"/>
    <x v="1"/>
    <x v="1"/>
    <s v="high_beta"/>
    <n v="7.0000000000000001E-3"/>
    <n v="7.0000000000000001E-3"/>
    <n v="1.817121795"/>
    <n v="8.2263608897103699E-3"/>
    <n v="-1.2263608897103697E-3"/>
    <n v="-1.2263608897103697E-3"/>
    <n v="6.6813209975065202E-3"/>
    <n v="3.1867900249347991E-4"/>
  </r>
  <r>
    <n v="6.0000000000000001E-3"/>
    <n v="6.0000000000000001E-3"/>
    <n v="0"/>
    <n v="0"/>
    <n v="2.15"/>
    <n v="1.6259999999999999"/>
    <x v="1"/>
    <x v="13"/>
    <s v="neutral_beta"/>
    <n v="6.0000000000000001E-3"/>
    <n v="6.0000000000000001E-3"/>
    <n v="1.6823221086666701E-2"/>
    <n v="8.1041580724523395E-3"/>
    <n v="-2.1041580724523393E-3"/>
    <n v="-2.1041580724523393E-3"/>
    <n v="0"/>
    <n v="6.0000000000000001E-3"/>
  </r>
  <r>
    <n v="2.3E-2"/>
    <n v="2.3E-2"/>
    <n v="0"/>
    <n v="0"/>
    <n v="2.081"/>
    <n v="2.7679999999999998"/>
    <x v="2"/>
    <x v="9"/>
    <s v="very_low_beta"/>
    <n v="2.3E-2"/>
    <n v="2.3E-2"/>
    <n v="1.4684615384466699"/>
    <n v="7.8446787663223293E-3"/>
    <n v="1.515532123367767E-2"/>
    <n v="1.515532123367767E-2"/>
    <n v="5.6054284691201203E-3"/>
    <n v="1.7394571530879879E-2"/>
  </r>
  <r>
    <n v="1.0999999999999999E-2"/>
    <n v="1.0999999999999999E-2"/>
    <n v="0"/>
    <n v="0"/>
    <n v="2.0649999999999999"/>
    <n v="2.238"/>
    <x v="0"/>
    <x v="10"/>
    <s v="neutral_beta"/>
    <n v="1.0999999999999999E-2"/>
    <n v="1.0999999999999999E-2"/>
    <n v="0.36393998025666702"/>
    <n v="7.7872363615608103E-3"/>
    <n v="3.2127636384391891E-3"/>
    <n v="3.2127636384391891E-3"/>
    <n v="9.5811356785878293E-3"/>
    <n v="1.41886432141217E-3"/>
  </r>
  <r>
    <n v="1.6E-2"/>
    <n v="1.0481030000000001E-2"/>
    <n v="0"/>
    <n v="5.5189699999999998E-3"/>
    <n v="2.0209999999999999"/>
    <n v="2.3340000000000001"/>
    <x v="4"/>
    <x v="12"/>
    <s v="very_low_beta"/>
    <n v="1.6E-2"/>
    <n v="1.0999999999999999E-2"/>
    <n v="1.8884688357899999"/>
    <n v="1.2486418931108001E-2"/>
    <n v="3.5135810688919997E-3"/>
    <n v="3.5135810688919997E-3"/>
    <n v="1.1106755055447601E-2"/>
    <n v="4.8932449445523996E-3"/>
  </r>
  <r>
    <n v="1.2999999999999999E-2"/>
    <n v="1.2999999999999999E-2"/>
    <n v="0"/>
    <n v="0"/>
    <n v="1.992"/>
    <n v="2.1339999999999999"/>
    <x v="4"/>
    <x v="12"/>
    <s v="very_low_beta"/>
    <n v="1.2999999999999999E-2"/>
    <n v="1.2999999999999999E-2"/>
    <n v="3.23971833133333E-2"/>
    <n v="7.5120972186490699E-3"/>
    <n v="5.4879027813509295E-3"/>
    <n v="5.4879027813509295E-3"/>
    <n v="7.6066319571425197E-3"/>
    <n v="5.3933680428574797E-3"/>
  </r>
  <r>
    <n v="1.2E-2"/>
    <n v="1.044962E-2"/>
    <n v="0"/>
    <n v="1.5503800000000001E-3"/>
    <n v="1.9830000000000001"/>
    <n v="2.3759999999999999"/>
    <x v="1"/>
    <x v="2"/>
    <s v="high_beta"/>
    <n v="1.2E-2"/>
    <n v="0.01"/>
    <n v="1.41808382127667"/>
    <n v="8.1556490035622903E-3"/>
    <n v="3.84435099643771E-3"/>
    <n v="3.84435099643771E-3"/>
    <n v="7.7964448584748602E-3"/>
    <n v="4.20355514152514E-3"/>
  </r>
  <r>
    <n v="1.4999999999999999E-2"/>
    <n v="1.1495399999999999E-2"/>
    <n v="0"/>
    <n v="3.5046000000000001E-3"/>
    <n v="1.978"/>
    <n v="2.7170000000000001"/>
    <x v="2"/>
    <x v="8"/>
    <s v="very_low_beta"/>
    <n v="1.4999999999999999E-2"/>
    <n v="1.2E-2"/>
    <n v="1.6987297059333299"/>
    <n v="9.7833752897460591E-3"/>
    <n v="5.2166247102539403E-3"/>
    <n v="5.2166247102539403E-3"/>
    <n v="8.8332078204465796E-3"/>
    <n v="6.1667921795534198E-3"/>
  </r>
  <r>
    <n v="0.01"/>
    <n v="0.01"/>
    <n v="0"/>
    <n v="0"/>
    <n v="1.9630000000000001"/>
    <n v="1.526"/>
    <x v="1"/>
    <x v="1"/>
    <s v="neutral_beta"/>
    <n v="0.01"/>
    <n v="0.01"/>
    <n v="0.50115552491333304"/>
    <n v="7.3994340663882004E-3"/>
    <n v="2.6005659336117998E-3"/>
    <n v="2.6005659336117998E-3"/>
    <n v="9.8665773843535608E-3"/>
    <n v="1.3342261564643944E-4"/>
  </r>
  <r>
    <n v="0.01"/>
    <n v="0.01"/>
    <n v="0"/>
    <n v="0"/>
    <n v="1.913"/>
    <n v="1.87"/>
    <x v="1"/>
    <x v="13"/>
    <s v="high_beta"/>
    <n v="0.01"/>
    <n v="0.01"/>
    <n v="1.26880815666667"/>
    <n v="7.21221068869193E-3"/>
    <n v="2.7877893113080702E-3"/>
    <n v="2.7877893113080702E-3"/>
    <n v="8.19071113710685E-3"/>
    <n v="1.8092888628931502E-3"/>
  </r>
  <r>
    <n v="1.0999999999999999E-2"/>
    <n v="1.0999999999999999E-2"/>
    <n v="0"/>
    <n v="0"/>
    <n v="1.847"/>
    <n v="1.5680000000000001"/>
    <x v="1"/>
    <x v="13"/>
    <s v="low_beta"/>
    <n v="1.0999999999999999E-2"/>
    <n v="1.0999999999999999E-2"/>
    <n v="0.46190283746999999"/>
    <n v="6.96480601322573E-3"/>
    <n v="4.0351939867742694E-3"/>
    <n v="4.0351939867742694E-3"/>
    <n v="0"/>
    <n v="1.0999999999999999E-2"/>
  </r>
  <r>
    <n v="2.5999999999999999E-2"/>
    <n v="-6.0139500000000005E-3"/>
    <n v="0"/>
    <n v="3.2013949999999999E-2"/>
    <n v="1.845"/>
    <n v="4.0519999999999996"/>
    <x v="1"/>
    <x v="1"/>
    <s v="neutral_beta"/>
    <n v="2.5999999999999999E-2"/>
    <n v="-6.0000000000000001E-3"/>
    <n v="0.99916353841233296"/>
    <n v="3.8673253253293301E-2"/>
    <n v="-1.2673253253293302E-2"/>
    <n v="-1.2673253253293302E-2"/>
    <n v="3.7223191116048202E-2"/>
    <n v="-1.1223191116048203E-2"/>
  </r>
  <r>
    <n v="1.7000000000000001E-2"/>
    <n v="9.2166200000000018E-3"/>
    <n v="0"/>
    <n v="7.7833800000000003E-3"/>
    <n v="1.8420000000000001"/>
    <n v="3.0219999999999998"/>
    <x v="0"/>
    <x v="14"/>
    <s v="very_low_beta"/>
    <n v="1.7000000000000001E-2"/>
    <n v="8.9999999999999993E-3"/>
    <n v="0.83730000000000004"/>
    <n v="1.4011711379811199E-2"/>
    <n v="2.9882886201888018E-3"/>
    <n v="2.9882886201888018E-3"/>
    <n v="1.2187081989893499E-2"/>
    <n v="4.8129180101065018E-3"/>
  </r>
  <r>
    <n v="4.0000000000000001E-3"/>
    <n v="4.0000000000000001E-3"/>
    <n v="0"/>
    <n v="0"/>
    <n v="1.84"/>
    <n v="1.2969999999999999"/>
    <x v="0"/>
    <x v="10"/>
    <s v="high_beta"/>
    <n v="4.0000000000000001E-3"/>
    <n v="4.0000000000000001E-3"/>
    <n v="4.5507478033333298E-2"/>
    <n v="6.9384458755534202E-3"/>
    <n v="-2.9384458755534202E-3"/>
    <n v="-2.9384458755534202E-3"/>
    <n v="0"/>
    <n v="4.0000000000000001E-3"/>
  </r>
  <r>
    <n v="2.5999999999999999E-2"/>
    <n v="2.5999999999999999E-2"/>
    <n v="0"/>
    <n v="0"/>
    <n v="1.794"/>
    <n v="2.2650000000000001"/>
    <x v="4"/>
    <x v="15"/>
    <s v="low_beta"/>
    <n v="2.5999999999999999E-2"/>
    <n v="2.5999999999999999E-2"/>
    <n v="2.6030762376666701"/>
    <n v="6.7638392995246497E-3"/>
    <n v="1.923616070047535E-2"/>
    <n v="1.923616070047535E-2"/>
    <n v="0"/>
    <n v="2.5999999999999999E-2"/>
  </r>
  <r>
    <n v="7.0000000000000001E-3"/>
    <n v="7.0000000000000001E-3"/>
    <n v="0"/>
    <n v="0"/>
    <n v="1.792"/>
    <n v="1.4079999999999999"/>
    <x v="1"/>
    <x v="2"/>
    <s v="very_high_beta"/>
    <n v="7.0000000000000001E-3"/>
    <n v="7.0000000000000001E-3"/>
    <n v="2.00116862771333"/>
    <n v="6.75803137302827E-3"/>
    <n v="2.4196862697173013E-4"/>
    <n v="2.4196862697173013E-4"/>
    <n v="7.1416139043459096E-3"/>
    <n v="-1.4161390434590942E-4"/>
  </r>
  <r>
    <n v="1.4E-2"/>
    <n v="1.2913640000000001E-2"/>
    <n v="0"/>
    <n v="1.08636E-3"/>
    <n v="1.7889999999999999"/>
    <n v="2.0760000000000001"/>
    <x v="0"/>
    <x v="16"/>
    <s v="very_low_beta"/>
    <n v="1.4E-2"/>
    <n v="1.2999999999999999E-2"/>
    <n v="2.3115818062"/>
    <n v="7.1314083555547901E-3"/>
    <n v="6.8685916444452101E-3"/>
    <n v="6.8685916444452101E-3"/>
    <n v="6.1066632254909497E-3"/>
    <n v="7.8933367745090514E-3"/>
  </r>
  <r>
    <n v="0"/>
    <n v="0"/>
    <n v="-1.6E-2"/>
    <n v="0"/>
    <n v="1.7529999999999999"/>
    <n v="2.1059999999999999"/>
    <x v="2"/>
    <x v="9"/>
    <s v="very_low_beta"/>
    <n v="1.6E-2"/>
    <n v="1.6E-2"/>
    <n v="1.1514342917"/>
    <n v="6.6091899143988003E-3"/>
    <n v="9.3908100856011992E-3"/>
    <n v="-6.6091899143988003E-3"/>
    <n v="6.8352940954510199E-3"/>
    <n v="9.1647059045489795E-3"/>
  </r>
  <r>
    <n v="6.0000000000000001E-3"/>
    <n v="6.0000000000000001E-3"/>
    <n v="0"/>
    <n v="0"/>
    <n v="1.7250000000000001"/>
    <n v="1.252"/>
    <x v="1"/>
    <x v="5"/>
    <s v="neutral_beta"/>
    <n v="6.0000000000000001E-3"/>
    <n v="6.0000000000000001E-3"/>
    <n v="0.21056898030000001"/>
    <n v="6.5030694189052501E-3"/>
    <n v="-5.0306941890524998E-4"/>
    <n v="-5.0306941890524998E-4"/>
    <n v="6.0971787781913603E-3"/>
    <n v="-9.7178778191360157E-5"/>
  </r>
  <r>
    <n v="8.9999999999999993E-3"/>
    <n v="8.9999999999999993E-3"/>
    <n v="0"/>
    <n v="0"/>
    <n v="1.641"/>
    <n v="1.552"/>
    <x v="0"/>
    <x v="14"/>
    <s v="very_high_beta"/>
    <n v="8.9999999999999993E-3"/>
    <n v="8.9999999999999993E-3"/>
    <n v="0.27955455352000003"/>
    <n v="6.18654880386613E-3"/>
    <n v="2.8134511961338694E-3"/>
    <n v="2.8134511961338694E-3"/>
    <n v="0"/>
    <n v="8.9999999999999993E-3"/>
  </r>
  <r>
    <n v="7.0000000000000001E-3"/>
    <n v="7.0000000000000001E-3"/>
    <n v="0"/>
    <n v="0"/>
    <n v="1.6180000000000001"/>
    <n v="1.2529999999999999"/>
    <x v="2"/>
    <x v="6"/>
    <s v="very_high_beta"/>
    <n v="7.0000000000000001E-3"/>
    <n v="7.0000000000000001E-3"/>
    <n v="0.38847621060999998"/>
    <n v="6.0986003048774601E-3"/>
    <n v="9.0139969512254003E-4"/>
    <n v="9.0139969512254003E-4"/>
    <n v="0"/>
    <n v="7.0000000000000001E-3"/>
  </r>
  <r>
    <n v="2.5999999999999999E-2"/>
    <n v="-1.8894200000000028E-3"/>
    <n v="0"/>
    <n v="2.7889420000000002E-2"/>
    <n v="1.5840000000000001"/>
    <n v="3.4780000000000002"/>
    <x v="1"/>
    <x v="1"/>
    <s v="neutral_beta"/>
    <n v="2.5999999999999999E-2"/>
    <n v="-2E-3"/>
    <n v="2.7209537527666701"/>
    <n v="3.2110809835316598E-2"/>
    <n v="-6.1108098353165989E-3"/>
    <n v="-6.1108098353165989E-3"/>
    <n v="4.2334635815924997E-2"/>
    <n v="-1.6334635815924998E-2"/>
  </r>
  <r>
    <n v="0.03"/>
    <n v="-1.9589600000000026E-3"/>
    <n v="0"/>
    <n v="3.1958960000000002E-2"/>
    <n v="1.5409999999999999"/>
    <n v="3.3839999999999999"/>
    <x v="0"/>
    <x v="16"/>
    <s v="very_low_beta"/>
    <n v="0.03"/>
    <n v="-2E-3"/>
    <n v="3.7350504844666701"/>
    <n v="3.2301011995927602E-2"/>
    <n v="-2.3010119959276029E-3"/>
    <n v="-2.3010119959276029E-3"/>
    <n v="2.9982021530997702E-2"/>
    <n v="1.7978469002297159E-5"/>
  </r>
  <r>
    <n v="1.9E-2"/>
    <n v="1.9E-2"/>
    <n v="0"/>
    <n v="0"/>
    <n v="1.478"/>
    <n v="1.948"/>
    <x v="2"/>
    <x v="9"/>
    <s v="low_beta"/>
    <n v="1.9E-2"/>
    <n v="1.9E-2"/>
    <n v="0.92677222987333296"/>
    <n v="5.5731778295989897E-3"/>
    <n v="1.3426822170401011E-2"/>
    <n v="1.3426822170401011E-2"/>
    <n v="6.2475638733621797E-3"/>
    <n v="1.2752436126637821E-2"/>
  </r>
  <r>
    <n v="2.1000000000000001E-2"/>
    <n v="2.1000000000000001E-2"/>
    <n v="0"/>
    <n v="0"/>
    <n v="1.4590000000000001"/>
    <n v="1.9419999999999999"/>
    <x v="2"/>
    <x v="9"/>
    <s v="low_beta"/>
    <n v="2.1000000000000001E-2"/>
    <n v="2.1000000000000001E-2"/>
    <n v="0.92808671304666701"/>
    <n v="5.5022486196948002E-3"/>
    <n v="1.5497751380305201E-2"/>
    <n v="1.5497751380305201E-2"/>
    <n v="6.6468270517203096E-3"/>
    <n v="1.4353172948279692E-2"/>
  </r>
  <r>
    <n v="7.0000000000000001E-3"/>
    <n v="6.6640600000000003E-3"/>
    <n v="0"/>
    <n v="3.3594000000000001E-4"/>
    <n v="1.4379999999999999"/>
    <n v="1.111"/>
    <x v="1"/>
    <x v="3"/>
    <s v="neutral_beta"/>
    <n v="7.0000000000000001E-3"/>
    <n v="7.0000000000000001E-3"/>
    <n v="1.8415181742"/>
    <n v="5.5051006115204902E-3"/>
    <n v="1.4948993884795099E-3"/>
    <n v="1.4948993884795099E-3"/>
    <n v="0"/>
    <n v="7.0000000000000001E-3"/>
  </r>
  <r>
    <n v="1.9E-2"/>
    <n v="1.672003E-2"/>
    <n v="0"/>
    <n v="2.2799700000000001E-3"/>
    <n v="1.4339999999999999"/>
    <n v="1.909"/>
    <x v="2"/>
    <x v="9"/>
    <s v="high_beta"/>
    <n v="1.9E-2"/>
    <n v="1.6E-2"/>
    <n v="2.8015332251033298"/>
    <n v="6.2770234370053404E-3"/>
    <n v="1.2722976562994658E-2"/>
    <n v="1.2722976562994658E-2"/>
    <n v="9.4616072201836598E-3"/>
    <n v="9.5383927798163397E-3"/>
  </r>
  <r>
    <n v="2.7E-2"/>
    <n v="-4.5898000000000015E-3"/>
    <n v="0"/>
    <n v="3.1589800000000001E-2"/>
    <n v="1.429"/>
    <n v="3.1389999999999998"/>
    <x v="1"/>
    <x v="1"/>
    <s v="neutral_beta"/>
    <n v="2.7E-2"/>
    <n v="-4.0000000000000001E-3"/>
    <n v="1.20038977633333"/>
    <n v="2.9957576786334799E-2"/>
    <n v="-2.9575767863347993E-3"/>
    <n v="-2.9575767863347993E-3"/>
    <n v="3.0666905071777498E-2"/>
    <n v="-3.6669050717774987E-3"/>
  </r>
  <r>
    <n v="1.0999999999999999E-2"/>
    <n v="9.6894800000000003E-3"/>
    <n v="0"/>
    <n v="1.3105199999999999E-3"/>
    <n v="1.37"/>
    <n v="1.39"/>
    <x v="1"/>
    <x v="1"/>
    <s v="very_low_beta"/>
    <n v="1.0999999999999999E-2"/>
    <n v="0.01"/>
    <n v="1.61"/>
    <n v="5.5410634338436404E-3"/>
    <n v="5.4589365661563589E-3"/>
    <n v="5.4589365661563589E-3"/>
    <n v="0"/>
    <n v="1.0999999999999999E-2"/>
  </r>
  <r>
    <n v="1.7999999999999999E-2"/>
    <n v="1.4682839999999999E-2"/>
    <n v="0"/>
    <n v="3.31716E-3"/>
    <n v="1.355"/>
    <n v="1.964"/>
    <x v="2"/>
    <x v="9"/>
    <s v="neutral_beta"/>
    <n v="1.7999999999999999E-2"/>
    <n v="1.4E-2"/>
    <n v="0.63777645766666702"/>
    <n v="6.5708499058699703E-3"/>
    <n v="1.1429150094130029E-2"/>
    <n v="1.1429150094130029E-2"/>
    <n v="1.0962730591200299E-2"/>
    <n v="7.0372694087996995E-3"/>
  </r>
  <r>
    <n v="2.5999999999999999E-2"/>
    <n v="1.6630729999999996E-2"/>
    <n v="0"/>
    <n v="9.3692700000000007E-3"/>
    <n v="1.349"/>
    <n v="2.2400000000000002"/>
    <x v="4"/>
    <x v="15"/>
    <s v="high_beta"/>
    <n v="2.5999999999999999E-2"/>
    <n v="1.7000000000000001E-2"/>
    <n v="2.8633838616666698"/>
    <n v="1.1607141175290899E-2"/>
    <n v="1.4392858824709099E-2"/>
    <n v="1.4392858824709099E-2"/>
    <n v="0"/>
    <n v="2.5999999999999999E-2"/>
  </r>
  <r>
    <n v="8.9999999999999993E-3"/>
    <n v="1.9579099999999993E-3"/>
    <n v="0"/>
    <n v="7.04209E-3"/>
    <n v="1.3340000000000001"/>
    <n v="1.6439999999999999"/>
    <x v="1"/>
    <x v="2"/>
    <s v="high_beta"/>
    <n v="8.9999999999999993E-3"/>
    <n v="2E-3"/>
    <n v="2.0055555555333302"/>
    <n v="9.5214972237470299E-3"/>
    <n v="-5.2149722374703056E-4"/>
    <n v="-5.2149722374703056E-4"/>
    <n v="0"/>
    <n v="8.9999999999999993E-3"/>
  </r>
  <r>
    <n v="0.03"/>
    <n v="-8.2081800000000024E-3"/>
    <n v="0"/>
    <n v="3.8208180000000001E-2"/>
    <n v="1.3129999999999999"/>
    <n v="2.883"/>
    <x v="2"/>
    <x v="9"/>
    <s v="low_beta"/>
    <n v="0.03"/>
    <n v="-8.0000000000000002E-3"/>
    <n v="1.41458520109667"/>
    <n v="2.7522425157542999E-2"/>
    <n v="2.4775748424569997E-3"/>
    <n v="2.4775748424569997E-3"/>
    <n v="3.6697239273837001E-2"/>
    <n v="-6.6972392738370023E-3"/>
  </r>
  <r>
    <n v="0.01"/>
    <n v="8.3256700000000003E-3"/>
    <n v="0"/>
    <n v="1.6743299999999999E-3"/>
    <n v="1.292"/>
    <n v="1.393"/>
    <x v="4"/>
    <x v="15"/>
    <s v="low_beta"/>
    <n v="0.01"/>
    <n v="8.0000000000000002E-3"/>
    <n v="0.64699784929166704"/>
    <n v="5.36657253996065E-3"/>
    <n v="4.6334274600393502E-3"/>
    <n v="4.6334274600393502E-3"/>
    <n v="0"/>
    <n v="0.01"/>
  </r>
  <r>
    <n v="1.0999999999999999E-2"/>
    <n v="9.23648E-3"/>
    <n v="0"/>
    <n v="1.76352E-3"/>
    <n v="1.278"/>
    <n v="1.3360000000000001"/>
    <x v="1"/>
    <x v="3"/>
    <s v="neutral_beta"/>
    <n v="1.0999999999999999E-2"/>
    <n v="0.01"/>
    <n v="0.78340575868266704"/>
    <n v="5.3465127095911804E-3"/>
    <n v="5.653487290408819E-3"/>
    <n v="5.653487290408819E-3"/>
    <n v="0"/>
    <n v="1.0999999999999999E-2"/>
  </r>
  <r>
    <n v="0"/>
    <n v="-1.2917600000000001E-3"/>
    <n v="0"/>
    <n v="1.2917600000000001E-3"/>
    <n v="1.268"/>
    <n v="1.5389999999999999"/>
    <x v="0"/>
    <x v="14"/>
    <s v="low_beta"/>
    <n v="0"/>
    <n v="-1E-3"/>
    <n v="0.68932573413333298"/>
    <n v="0"/>
    <n v="0"/>
    <n v="0"/>
    <n v="0"/>
    <n v="0"/>
  </r>
  <r>
    <n v="0"/>
    <n v="-1.5989090000000001E-2"/>
    <n v="0"/>
    <n v="1.5989090000000001E-2"/>
    <n v="1.2310000000000001"/>
    <n v="2.0230000000000001"/>
    <x v="2"/>
    <x v="9"/>
    <s v="low_beta"/>
    <n v="0"/>
    <n v="-1.6E-2"/>
    <n v="2.4749152128333298"/>
    <n v="0"/>
    <n v="0"/>
    <n v="0"/>
    <n v="2.8687088981288501E-2"/>
    <n v="-2.8687088981288501E-2"/>
  </r>
  <r>
    <n v="0"/>
    <n v="-7.1082000000000003E-4"/>
    <n v="0"/>
    <n v="7.1082000000000003E-4"/>
    <n v="1.1499999999999999"/>
    <n v="1.516"/>
    <x v="2"/>
    <x v="6"/>
    <s v="high_beta"/>
    <n v="0"/>
    <n v="-1E-3"/>
    <n v="0.65326720599999999"/>
    <n v="0"/>
    <n v="0"/>
    <n v="0"/>
    <n v="7.5170242417019403E-3"/>
    <n v="-7.5170242417019403E-3"/>
  </r>
  <r>
    <n v="0"/>
    <n v="0"/>
    <n v="0"/>
    <n v="0"/>
    <n v="1.105"/>
    <n v="1.1850000000000001"/>
    <x v="2"/>
    <x v="9"/>
    <s v="very_low_beta"/>
    <n v="0"/>
    <n v="0"/>
    <n v="1.44211891254667"/>
    <n v="0"/>
    <n v="0"/>
    <n v="0"/>
    <n v="6.7034430974183103E-3"/>
    <n v="-6.7034430974183103E-3"/>
  </r>
  <r>
    <n v="0"/>
    <n v="-1.458743E-2"/>
    <n v="0"/>
    <n v="1.458743E-2"/>
    <n v="1.101"/>
    <n v="2.1480000000000001"/>
    <x v="2"/>
    <x v="9"/>
    <s v="low_beta"/>
    <n v="0"/>
    <n v="-1.4999999999999999E-2"/>
    <n v="2.7842601391366699"/>
    <n v="0"/>
    <n v="0"/>
    <n v="0"/>
    <n v="2.06063436114419E-2"/>
    <n v="-2.06063436114419E-2"/>
  </r>
  <r>
    <n v="0"/>
    <n v="0"/>
    <n v="0"/>
    <n v="0"/>
    <n v="1.0900000000000001"/>
    <n v="1.355"/>
    <x v="3"/>
    <x v="17"/>
    <s v="neutral_beta"/>
    <n v="0"/>
    <n v="0"/>
    <n v="0.43622823112999998"/>
    <n v="0"/>
    <n v="0"/>
    <n v="0"/>
    <n v="0"/>
    <n v="0"/>
  </r>
  <r>
    <n v="0"/>
    <n v="-4.9271570000000001E-2"/>
    <n v="0"/>
    <n v="4.9271570000000001E-2"/>
    <n v="1.046"/>
    <n v="2.2970000000000002"/>
    <x v="1"/>
    <x v="1"/>
    <s v="neutral_beta"/>
    <n v="0"/>
    <n v="-4.9000000000000002E-2"/>
    <n v="2.7211310861000002"/>
    <n v="0"/>
    <n v="0"/>
    <n v="0"/>
    <n v="3.0146667203923401E-2"/>
    <n v="-3.0146667203923401E-2"/>
  </r>
  <r>
    <n v="0"/>
    <n v="-1.1622159999999999E-2"/>
    <n v="0"/>
    <n v="1.1622159999999999E-2"/>
    <n v="1.0289999999999999"/>
    <n v="1.593"/>
    <x v="0"/>
    <x v="10"/>
    <s v="low_beta"/>
    <n v="0"/>
    <n v="-1.2E-2"/>
    <n v="0.93633607016333298"/>
    <n v="0"/>
    <n v="0"/>
    <n v="0"/>
    <n v="0"/>
    <n v="0"/>
  </r>
  <r>
    <n v="0"/>
    <n v="-2.6089799999999999E-3"/>
    <n v="0"/>
    <n v="2.6089799999999999E-3"/>
    <n v="1.018"/>
    <n v="1.069"/>
    <x v="1"/>
    <x v="2"/>
    <s v="high_beta"/>
    <n v="0"/>
    <n v="-3.0000000000000001E-3"/>
    <n v="0.83411031256666701"/>
    <n v="0"/>
    <n v="0"/>
    <n v="0"/>
    <n v="0"/>
    <n v="0"/>
  </r>
  <r>
    <n v="0"/>
    <n v="-1.25862E-3"/>
    <n v="0"/>
    <n v="1.25862E-3"/>
    <n v="1.0149999999999999"/>
    <n v="1.3979999999999999"/>
    <x v="2"/>
    <x v="6"/>
    <s v="high_beta"/>
    <n v="0"/>
    <n v="-1E-3"/>
    <n v="1.1477801859300001"/>
    <n v="0"/>
    <n v="0"/>
    <n v="0"/>
    <n v="5.6973828030730403E-3"/>
    <n v="-5.6973828030730403E-3"/>
  </r>
  <r>
    <n v="0"/>
    <n v="0"/>
    <n v="0"/>
    <n v="0"/>
    <n v="1.0069999999999999"/>
    <n v="1.2170000000000001"/>
    <x v="4"/>
    <x v="15"/>
    <s v="very_low_beta"/>
    <n v="0"/>
    <n v="0"/>
    <n v="0.27103129237833301"/>
    <n v="0"/>
    <n v="0"/>
    <n v="0"/>
    <n v="0"/>
    <n v="0"/>
  </r>
  <r>
    <n v="0"/>
    <n v="0"/>
    <n v="0"/>
    <n v="0"/>
    <n v="1.0049999999999999"/>
    <n v="1.25"/>
    <x v="4"/>
    <x v="15"/>
    <s v="low_beta"/>
    <n v="0"/>
    <n v="0"/>
    <n v="0.27103129237833301"/>
    <n v="0"/>
    <n v="0"/>
    <n v="0"/>
    <n v="0"/>
    <n v="0"/>
  </r>
  <r>
    <n v="0"/>
    <n v="0"/>
    <n v="0"/>
    <n v="0"/>
    <n v="0.99099999999999999"/>
    <n v="0.71599999999999997"/>
    <x v="1"/>
    <x v="5"/>
    <s v="very_high_beta"/>
    <n v="0"/>
    <n v="0"/>
    <n v="0.174936445686667"/>
    <n v="0"/>
    <n v="0"/>
    <n v="0"/>
    <n v="7.1728208345121502E-3"/>
    <n v="-7.1728208345121502E-3"/>
  </r>
  <r>
    <n v="0"/>
    <n v="-6.3166699999999999E-3"/>
    <n v="0"/>
    <n v="6.3166699999999999E-3"/>
    <n v="0.98099999999999998"/>
    <n v="1.4590000000000001"/>
    <x v="4"/>
    <x v="18"/>
    <s v="very_low_beta"/>
    <n v="0"/>
    <n v="-6.0000000000000001E-3"/>
    <n v="1.1184537427200001"/>
    <n v="0"/>
    <n v="0"/>
    <n v="0"/>
    <n v="0"/>
    <n v="0"/>
  </r>
  <r>
    <n v="0"/>
    <n v="-1.48204E-3"/>
    <n v="0"/>
    <n v="1.48204E-3"/>
    <n v="0.97099999999999997"/>
    <n v="1.125"/>
    <x v="1"/>
    <x v="19"/>
    <s v="neutral_beta"/>
    <n v="0"/>
    <n v="-1E-3"/>
    <n v="2.75"/>
    <n v="0"/>
    <n v="0"/>
    <n v="0"/>
    <n v="0"/>
    <n v="0"/>
  </r>
  <r>
    <n v="0"/>
    <n v="0"/>
    <n v="0"/>
    <n v="0"/>
    <n v="0.96699999999999997"/>
    <n v="0.85799999999999998"/>
    <x v="0"/>
    <x v="14"/>
    <s v="low_beta"/>
    <n v="0"/>
    <n v="0"/>
    <n v="0.78897617743000004"/>
    <n v="0"/>
    <n v="0"/>
    <n v="0"/>
    <n v="0"/>
    <n v="0"/>
  </r>
  <r>
    <n v="0"/>
    <n v="-3.9805020000000003E-2"/>
    <n v="0"/>
    <n v="3.9805020000000003E-2"/>
    <n v="0.96199999999999997"/>
    <n v="2.0640000000000001"/>
    <x v="1"/>
    <x v="1"/>
    <s v="neutral_beta"/>
    <n v="0"/>
    <n v="-0.04"/>
    <n v="1.3204287593333299"/>
    <n v="0"/>
    <n v="0"/>
    <n v="0"/>
    <n v="0"/>
    <n v="0"/>
  </r>
  <r>
    <n v="0"/>
    <n v="-1.742956E-2"/>
    <n v="0"/>
    <n v="1.742956E-2"/>
    <n v="0.95599999999999996"/>
    <n v="1.8360000000000001"/>
    <x v="0"/>
    <x v="16"/>
    <s v="very_low_beta"/>
    <n v="0"/>
    <n v="-1.7000000000000001E-2"/>
    <n v="1.2349029146666699"/>
    <n v="0"/>
    <n v="0"/>
    <n v="0"/>
    <n v="2.4933616933467701E-2"/>
    <n v="-2.4933616933467701E-2"/>
  </r>
  <r>
    <n v="0"/>
    <n v="0"/>
    <n v="0"/>
    <n v="0"/>
    <n v="0.95399999999999996"/>
    <n v="0.72799999999999998"/>
    <x v="1"/>
    <x v="2"/>
    <s v="neutral_beta"/>
    <n v="0"/>
    <n v="0"/>
    <n v="0.46791070033333299"/>
    <n v="0"/>
    <n v="0"/>
    <n v="0"/>
    <n v="6.5045216903351702E-3"/>
    <n v="-6.5045216903351702E-3"/>
  </r>
  <r>
    <n v="0"/>
    <n v="-2.1426599999999998E-3"/>
    <n v="0"/>
    <n v="2.1426599999999998E-3"/>
    <n v="0.93300000000000005"/>
    <n v="0.78500000000000003"/>
    <x v="0"/>
    <x v="10"/>
    <s v="high_beta"/>
    <n v="0"/>
    <n v="-2E-3"/>
    <n v="0.26910933176666701"/>
    <n v="0"/>
    <n v="0"/>
    <n v="0"/>
    <n v="0"/>
    <n v="0"/>
  </r>
  <r>
    <n v="0"/>
    <n v="-2.1720659999999999E-2"/>
    <n v="0"/>
    <n v="2.1720659999999999E-2"/>
    <n v="0.92600000000000005"/>
    <n v="1.833"/>
    <x v="4"/>
    <x v="15"/>
    <s v="low_beta"/>
    <n v="0"/>
    <n v="-2.1999999999999999E-2"/>
    <n v="1.35515646156333"/>
    <n v="0"/>
    <n v="0"/>
    <n v="0"/>
    <n v="0"/>
    <n v="0"/>
  </r>
  <r>
    <n v="0"/>
    <n v="-8.8902000000000002E-4"/>
    <n v="0"/>
    <n v="8.8902000000000002E-4"/>
    <n v="0.91"/>
    <n v="0.91300000000000003"/>
    <x v="0"/>
    <x v="10"/>
    <s v="low_beta"/>
    <n v="0"/>
    <n v="-1E-3"/>
    <n v="1.17479"/>
    <n v="0"/>
    <n v="0"/>
    <n v="0"/>
    <n v="0"/>
    <n v="0"/>
  </r>
  <r>
    <n v="0"/>
    <n v="-1.49754E-2"/>
    <n v="0"/>
    <n v="1.49754E-2"/>
    <n v="0.89"/>
    <n v="1.6459999999999999"/>
    <x v="2"/>
    <x v="9"/>
    <s v="high_beta"/>
    <n v="0"/>
    <n v="-1.4999999999999999E-2"/>
    <n v="1.6948969920133301"/>
    <n v="0"/>
    <n v="0"/>
    <n v="0"/>
    <n v="2.1864692175429901E-2"/>
    <n v="-2.1864692175429901E-2"/>
  </r>
  <r>
    <n v="0"/>
    <n v="-1.5463090000000001E-2"/>
    <n v="0"/>
    <n v="1.5463090000000001E-2"/>
    <n v="0.872"/>
    <n v="1.6259999999999999"/>
    <x v="2"/>
    <x v="9"/>
    <s v="low_beta"/>
    <n v="0"/>
    <n v="-1.4999999999999999E-2"/>
    <n v="2.8112469663333299"/>
    <n v="0"/>
    <n v="0"/>
    <n v="0"/>
    <n v="1.7628130189911901E-2"/>
    <n v="-1.7628130189911901E-2"/>
  </r>
  <r>
    <n v="0"/>
    <n v="-1.8345710000000001E-2"/>
    <n v="0"/>
    <n v="1.8345710000000001E-2"/>
    <n v="0.83399999999999996"/>
    <n v="1.718"/>
    <x v="2"/>
    <x v="9"/>
    <s v="low_beta"/>
    <n v="0"/>
    <n v="-1.7999999999999999E-2"/>
    <n v="2.0913986666666702"/>
    <n v="0"/>
    <n v="0"/>
    <n v="0"/>
    <n v="2.5133515867686699E-2"/>
    <n v="-2.5133515867686699E-2"/>
  </r>
  <r>
    <n v="0"/>
    <n v="0"/>
    <n v="0"/>
    <n v="0"/>
    <n v="0.83"/>
    <n v="0.64100000000000001"/>
    <x v="1"/>
    <x v="5"/>
    <s v="low_beta"/>
    <n v="0"/>
    <n v="0"/>
    <n v="0"/>
    <n v="0"/>
    <n v="0"/>
    <n v="0"/>
    <n v="0"/>
    <n v="0"/>
  </r>
  <r>
    <n v="0"/>
    <n v="-3.0782259999999999E-2"/>
    <n v="0"/>
    <n v="3.0782259999999999E-2"/>
    <n v="0.82799999999999996"/>
    <n v="1.716"/>
    <x v="1"/>
    <x v="20"/>
    <s v="low_beta"/>
    <n v="0"/>
    <n v="-3.1E-2"/>
    <n v="1.4101931398633301"/>
    <n v="0"/>
    <n v="0"/>
    <n v="0"/>
    <n v="3.6661330408336301E-2"/>
    <n v="-3.6661330408336301E-2"/>
  </r>
  <r>
    <n v="0"/>
    <n v="0"/>
    <n v="0"/>
    <n v="0"/>
    <n v="0.82699999999999996"/>
    <n v="0.61699999999999999"/>
    <x v="1"/>
    <x v="19"/>
    <s v="very_high_beta"/>
    <n v="0"/>
    <n v="0"/>
    <n v="0.98859144966666701"/>
    <n v="0"/>
    <n v="0"/>
    <n v="0"/>
    <n v="6.3054283658331104E-3"/>
    <n v="-6.3054283658331104E-3"/>
  </r>
  <r>
    <n v="0"/>
    <n v="0"/>
    <n v="0"/>
    <n v="0"/>
    <n v="0.81399999999999995"/>
    <n v="0.94"/>
    <x v="1"/>
    <x v="1"/>
    <s v="high_beta"/>
    <n v="0"/>
    <n v="0"/>
    <n v="0.85688504058000003"/>
    <n v="0"/>
    <n v="0"/>
    <n v="0"/>
    <n v="0"/>
    <n v="0"/>
  </r>
  <r>
    <n v="0"/>
    <n v="0"/>
    <n v="0"/>
    <n v="0"/>
    <n v="0.79700000000000004"/>
    <n v="0.627"/>
    <x v="4"/>
    <x v="18"/>
    <s v="very_low_beta"/>
    <n v="0"/>
    <n v="0"/>
    <n v="0.170100529986667"/>
    <n v="0"/>
    <n v="0"/>
    <n v="0"/>
    <n v="0"/>
    <n v="0"/>
  </r>
  <r>
    <n v="0"/>
    <n v="0"/>
    <n v="0"/>
    <n v="0"/>
    <n v="0.78300000000000003"/>
    <n v="0.93500000000000005"/>
    <x v="1"/>
    <x v="1"/>
    <s v="neutral_beta"/>
    <n v="0"/>
    <n v="0"/>
    <n v="0.94257354463999998"/>
    <n v="0"/>
    <n v="0"/>
    <n v="0"/>
    <n v="0"/>
    <n v="0"/>
  </r>
  <r>
    <n v="0"/>
    <n v="0"/>
    <n v="0"/>
    <n v="0"/>
    <n v="0.77200000000000002"/>
    <n v="0.85499999999999998"/>
    <x v="1"/>
    <x v="3"/>
    <s v="high_beta"/>
    <n v="0"/>
    <n v="0"/>
    <n v="0.21848957689333301"/>
    <n v="0"/>
    <n v="0"/>
    <n v="0"/>
    <n v="0"/>
    <n v="0"/>
  </r>
  <r>
    <n v="0"/>
    <n v="-3.102E-4"/>
    <n v="0"/>
    <n v="3.102E-4"/>
    <n v="0.76"/>
    <n v="0.57199999999999995"/>
    <x v="1"/>
    <x v="3"/>
    <s v="very_high_beta"/>
    <n v="0"/>
    <n v="0"/>
    <n v="0.30135609000000002"/>
    <n v="0"/>
    <n v="0"/>
    <n v="0"/>
    <n v="0"/>
    <n v="0"/>
  </r>
  <r>
    <n v="0"/>
    <n v="0"/>
    <n v="0"/>
    <n v="0"/>
    <n v="0.75700000000000001"/>
    <n v="0.63400000000000001"/>
    <x v="0"/>
    <x v="10"/>
    <s v="neutral_beta"/>
    <n v="0"/>
    <n v="0"/>
    <n v="0.508604645785667"/>
    <n v="0"/>
    <n v="0"/>
    <n v="0"/>
    <n v="0"/>
    <n v="0"/>
  </r>
  <r>
    <n v="0"/>
    <n v="0"/>
    <n v="0"/>
    <n v="0"/>
    <n v="0.748"/>
    <n v="0.874"/>
    <x v="2"/>
    <x v="9"/>
    <s v="high_beta"/>
    <n v="0"/>
    <n v="0"/>
    <n v="0"/>
    <n v="0"/>
    <n v="0"/>
    <n v="0"/>
    <n v="0"/>
    <n v="0"/>
  </r>
  <r>
    <n v="0"/>
    <n v="0"/>
    <n v="0"/>
    <n v="0"/>
    <n v="0.74099999999999999"/>
    <n v="0.56599999999999995"/>
    <x v="3"/>
    <x v="7"/>
    <s v="very_low_beta"/>
    <n v="0"/>
    <n v="0"/>
    <n v="0"/>
    <n v="0"/>
    <n v="0"/>
    <n v="0"/>
    <n v="0"/>
    <n v="0"/>
  </r>
  <r>
    <n v="0"/>
    <n v="-5.3954999999999997E-4"/>
    <n v="0"/>
    <n v="5.3954999999999997E-4"/>
    <n v="0.73799999999999999"/>
    <n v="0.74"/>
    <x v="0"/>
    <x v="16"/>
    <s v="low_beta"/>
    <n v="0"/>
    <n v="-1E-3"/>
    <n v="0.205399754416667"/>
    <n v="0"/>
    <n v="0"/>
    <n v="0"/>
    <n v="0"/>
    <n v="0"/>
  </r>
  <r>
    <n v="0"/>
    <n v="-4.3358700000000003E-3"/>
    <n v="0"/>
    <n v="4.3358700000000003E-3"/>
    <n v="0.73499999999999999"/>
    <n v="1.0669999999999999"/>
    <x v="2"/>
    <x v="9"/>
    <s v="high_beta"/>
    <n v="0"/>
    <n v="-4.0000000000000001E-3"/>
    <n v="0"/>
    <n v="0"/>
    <n v="0"/>
    <n v="0"/>
    <n v="0"/>
    <n v="0"/>
  </r>
  <r>
    <n v="0"/>
    <n v="-7.1973000000000002E-4"/>
    <n v="0"/>
    <n v="7.1973000000000002E-4"/>
    <n v="0.72899999999999998"/>
    <n v="0.56999999999999995"/>
    <x v="1"/>
    <x v="5"/>
    <s v="high_beta"/>
    <n v="0"/>
    <n v="-1E-3"/>
    <n v="5.4986158006666702E-2"/>
    <n v="0"/>
    <n v="0"/>
    <n v="0"/>
    <n v="0"/>
    <n v="0"/>
  </r>
  <r>
    <n v="0"/>
    <n v="-1.3246200000000001E-3"/>
    <n v="0"/>
    <n v="1.3246200000000001E-3"/>
    <n v="0.71"/>
    <n v="0.91600000000000004"/>
    <x v="1"/>
    <x v="1"/>
    <s v="neutral_beta"/>
    <n v="0"/>
    <n v="-1E-3"/>
    <n v="1.79945858521333"/>
    <n v="0"/>
    <n v="0"/>
    <n v="0"/>
    <n v="0"/>
    <n v="0"/>
  </r>
  <r>
    <n v="0"/>
    <n v="-9.0717E-4"/>
    <n v="0"/>
    <n v="9.0717E-4"/>
    <n v="0.7"/>
    <n v="0.83199999999999996"/>
    <x v="4"/>
    <x v="15"/>
    <s v="neutral_beta"/>
    <n v="0"/>
    <n v="-1E-3"/>
    <n v="0.76750218756999999"/>
    <n v="0"/>
    <n v="0"/>
    <n v="0"/>
    <n v="0"/>
    <n v="0"/>
  </r>
  <r>
    <n v="0"/>
    <n v="-1.993408E-2"/>
    <n v="0"/>
    <n v="1.993408E-2"/>
    <n v="0.68400000000000005"/>
    <n v="1.2969999999999999"/>
    <x v="2"/>
    <x v="9"/>
    <s v="low_beta"/>
    <n v="0"/>
    <n v="-0.02"/>
    <n v="2.3043586269066698"/>
    <n v="0"/>
    <n v="0"/>
    <n v="0"/>
    <n v="0"/>
    <n v="0"/>
  </r>
  <r>
    <n v="0"/>
    <n v="-1.018347E-2"/>
    <n v="0"/>
    <n v="1.018347E-2"/>
    <n v="0.68300000000000005"/>
    <n v="1.1060000000000001"/>
    <x v="1"/>
    <x v="1"/>
    <s v="very_high_beta"/>
    <n v="0"/>
    <n v="-0.01"/>
    <n v="0.96210772099999997"/>
    <n v="0"/>
    <n v="0"/>
    <n v="0"/>
    <n v="0"/>
    <n v="0"/>
  </r>
  <r>
    <n v="0"/>
    <n v="0"/>
    <n v="0"/>
    <n v="0"/>
    <n v="0.67600000000000005"/>
    <n v="0.81499999999999995"/>
    <x v="3"/>
    <x v="7"/>
    <s v="very_low_beta"/>
    <n v="0"/>
    <n v="0"/>
    <n v="0.699968253973"/>
    <n v="0"/>
    <n v="0"/>
    <n v="0"/>
    <n v="0"/>
    <n v="0"/>
  </r>
  <r>
    <n v="0"/>
    <n v="-1.2053909999999999E-2"/>
    <n v="0"/>
    <n v="1.2053909999999999E-2"/>
    <n v="0.65500000000000003"/>
    <n v="1.149"/>
    <x v="2"/>
    <x v="9"/>
    <s v="low_beta"/>
    <n v="0"/>
    <n v="-1.2E-2"/>
    <n v="3.2432490081366701"/>
    <n v="0"/>
    <n v="0"/>
    <n v="0"/>
    <n v="1.7606779285380798E-2"/>
    <n v="-1.7606779285380798E-2"/>
  </r>
  <r>
    <n v="0"/>
    <n v="-4.3630400000000003E-3"/>
    <n v="0"/>
    <n v="4.3630400000000003E-3"/>
    <n v="0.65400000000000003"/>
    <n v="0.69499999999999995"/>
    <x v="3"/>
    <x v="11"/>
    <s v="neutral_beta"/>
    <n v="0"/>
    <n v="-4.0000000000000001E-3"/>
    <n v="6.7260909780266704"/>
    <n v="0"/>
    <n v="0"/>
    <n v="0"/>
    <n v="0"/>
    <n v="0"/>
  </r>
  <r>
    <n v="0"/>
    <n v="-3.6433609999999998E-2"/>
    <n v="0"/>
    <n v="3.6433609999999998E-2"/>
    <n v="0.64900000000000002"/>
    <n v="1.2370000000000001"/>
    <x v="1"/>
    <x v="1"/>
    <s v="high_beta"/>
    <n v="0"/>
    <n v="-3.5999999999999997E-2"/>
    <n v="1.9285562518366699"/>
    <n v="0"/>
    <n v="0"/>
    <n v="0"/>
    <n v="0"/>
    <n v="0"/>
  </r>
  <r>
    <n v="0"/>
    <n v="-8.8387199999999996E-3"/>
    <n v="0"/>
    <n v="8.8387199999999996E-3"/>
    <n v="0.64900000000000002"/>
    <n v="0.82799999999999996"/>
    <x v="3"/>
    <x v="7"/>
    <s v="low_beta"/>
    <n v="0"/>
    <n v="-8.9999999999999993E-3"/>
    <n v="1.2139407764666701"/>
    <n v="0"/>
    <n v="0"/>
    <n v="0"/>
    <n v="0"/>
    <n v="0"/>
  </r>
  <r>
    <n v="0"/>
    <n v="0"/>
    <n v="0"/>
    <n v="0"/>
    <n v="0.64500000000000002"/>
    <n v="0.49199999999999999"/>
    <x v="1"/>
    <x v="0"/>
    <s v="low_beta"/>
    <n v="0"/>
    <n v="0"/>
    <n v="0.17630154166666701"/>
    <n v="0"/>
    <n v="0"/>
    <n v="0"/>
    <n v="0"/>
    <n v="0"/>
  </r>
  <r>
    <n v="0"/>
    <n v="0"/>
    <n v="0"/>
    <n v="0"/>
    <n v="0.64400000000000002"/>
    <n v="0.47099999999999997"/>
    <x v="2"/>
    <x v="9"/>
    <s v="low_beta"/>
    <n v="0"/>
    <n v="0"/>
    <n v="0"/>
    <n v="0"/>
    <n v="0"/>
    <n v="0"/>
    <n v="0"/>
    <n v="0"/>
  </r>
  <r>
    <n v="0"/>
    <n v="-1.1720609999999999E-2"/>
    <n v="0"/>
    <n v="1.1720609999999999E-2"/>
    <n v="0.64200000000000002"/>
    <n v="1.054"/>
    <x v="1"/>
    <x v="0"/>
    <s v="very_high_beta"/>
    <n v="0"/>
    <n v="-1.2E-2"/>
    <n v="0.451822583616667"/>
    <n v="0"/>
    <n v="0"/>
    <n v="0"/>
    <n v="0"/>
    <n v="0"/>
  </r>
  <r>
    <n v="0"/>
    <n v="0"/>
    <n v="0"/>
    <n v="0"/>
    <n v="0.63900000000000001"/>
    <n v="0.495"/>
    <x v="4"/>
    <x v="15"/>
    <s v="neutral_beta"/>
    <n v="0"/>
    <n v="0"/>
    <n v="0.27117658236999997"/>
    <n v="0"/>
    <n v="0"/>
    <n v="0"/>
    <n v="0"/>
    <n v="0"/>
  </r>
  <r>
    <n v="0"/>
    <n v="0"/>
    <n v="0"/>
    <n v="0"/>
    <n v="0.63600000000000001"/>
    <n v="0.68100000000000005"/>
    <x v="3"/>
    <x v="7"/>
    <s v="low_beta"/>
    <n v="0"/>
    <n v="0"/>
    <n v="0.36880113333333298"/>
    <n v="0"/>
    <n v="0"/>
    <n v="0"/>
    <n v="0"/>
    <n v="0"/>
  </r>
  <r>
    <n v="2.5999999999999999E-2"/>
    <n v="-4.025347E-2"/>
    <n v="0"/>
    <n v="6.6253469999999995E-2"/>
    <n v="0.627"/>
    <n v="1.333"/>
    <x v="4"/>
    <x v="15"/>
    <s v="neutral_beta"/>
    <n v="2.5999999999999999E-2"/>
    <n v="-0.04"/>
    <n v="5.7406721923333297"/>
    <n v="0"/>
    <n v="2.5999999999999999E-2"/>
    <n v="2.5999999999999999E-2"/>
    <n v="0"/>
    <n v="2.5999999999999999E-2"/>
  </r>
  <r>
    <n v="0"/>
    <n v="-1.122E-3"/>
    <n v="0"/>
    <n v="1.122E-3"/>
    <n v="0.62"/>
    <n v="0.502"/>
    <x v="4"/>
    <x v="12"/>
    <s v="very_low_beta"/>
    <n v="0"/>
    <n v="-1E-3"/>
    <n v="0"/>
    <n v="0"/>
    <n v="0"/>
    <n v="0"/>
    <n v="0"/>
    <n v="0"/>
  </r>
  <r>
    <n v="0"/>
    <n v="0"/>
    <n v="0"/>
    <n v="0"/>
    <n v="0.62"/>
    <n v="0.59899999999999998"/>
    <x v="1"/>
    <x v="0"/>
    <s v="very_high_beta"/>
    <n v="0"/>
    <n v="0"/>
    <n v="3.5286688433200002"/>
    <n v="0"/>
    <n v="0"/>
    <n v="0"/>
    <n v="0"/>
    <n v="0"/>
  </r>
  <r>
    <n v="0"/>
    <n v="0"/>
    <n v="0"/>
    <n v="0"/>
    <n v="0.61799999999999999"/>
    <n v="0.44500000000000001"/>
    <x v="4"/>
    <x v="15"/>
    <s v="very_high_beta"/>
    <n v="0"/>
    <n v="0"/>
    <n v="2.1689231177566701"/>
    <n v="0"/>
    <n v="0"/>
    <n v="0"/>
    <n v="0"/>
    <n v="0"/>
  </r>
  <r>
    <n v="0"/>
    <n v="0"/>
    <n v="0"/>
    <n v="0"/>
    <n v="0.61699999999999999"/>
    <n v="0.45500000000000002"/>
    <x v="4"/>
    <x v="15"/>
    <s v="very_low_beta"/>
    <n v="0"/>
    <n v="0"/>
    <n v="0.11526871682000001"/>
    <n v="0"/>
    <n v="0"/>
    <n v="0"/>
    <n v="0"/>
    <n v="0"/>
  </r>
  <r>
    <n v="0"/>
    <n v="-8.2169999999999997E-4"/>
    <n v="0"/>
    <n v="8.2169999999999997E-4"/>
    <n v="0.61599999999999999"/>
    <n v="0.65100000000000002"/>
    <x v="1"/>
    <x v="2"/>
    <s v="very_high_beta"/>
    <n v="0"/>
    <n v="-1E-3"/>
    <n v="1.54502868585333"/>
    <n v="0"/>
    <n v="0"/>
    <n v="0"/>
    <n v="0"/>
    <n v="0"/>
  </r>
  <r>
    <n v="0"/>
    <n v="-3.7012799999999999E-3"/>
    <n v="0"/>
    <n v="3.7012799999999999E-3"/>
    <n v="0.61499999999999999"/>
    <n v="0.72799999999999998"/>
    <x v="1"/>
    <x v="20"/>
    <s v="very_low_beta"/>
    <n v="0"/>
    <n v="-4.0000000000000001E-3"/>
    <n v="0.88338808666666702"/>
    <n v="0"/>
    <n v="0"/>
    <n v="0"/>
    <n v="0"/>
    <n v="0"/>
  </r>
  <r>
    <n v="0"/>
    <n v="-3.4075799999999999E-3"/>
    <n v="0"/>
    <n v="3.4075799999999999E-3"/>
    <n v="0.61199999999999999"/>
    <n v="0.71199999999999997"/>
    <x v="4"/>
    <x v="15"/>
    <s v="very_low_beta"/>
    <n v="0"/>
    <n v="-3.0000000000000001E-3"/>
    <n v="1.432441611"/>
    <n v="0"/>
    <n v="0"/>
    <n v="0"/>
    <n v="0"/>
    <n v="0"/>
  </r>
  <r>
    <n v="0"/>
    <n v="-4.1513999999999999E-4"/>
    <n v="0"/>
    <n v="4.1513999999999999E-4"/>
    <n v="0.61"/>
    <n v="0.48899999999999999"/>
    <x v="4"/>
    <x v="15"/>
    <s v="neutral_beta"/>
    <n v="0"/>
    <n v="0"/>
    <n v="0.29829440727000001"/>
    <n v="0"/>
    <n v="0"/>
    <n v="0"/>
    <n v="0"/>
    <n v="0"/>
  </r>
  <r>
    <n v="0"/>
    <n v="0"/>
    <n v="0"/>
    <n v="0"/>
    <n v="0.60699999999999998"/>
    <n v="0.439"/>
    <x v="3"/>
    <x v="7"/>
    <s v="very_high_beta"/>
    <n v="0"/>
    <n v="0"/>
    <n v="0.37920470976666698"/>
    <n v="0"/>
    <n v="0"/>
    <n v="0"/>
    <n v="0"/>
    <n v="0"/>
  </r>
  <r>
    <n v="0"/>
    <n v="-3.5639999999999999E-4"/>
    <n v="0"/>
    <n v="3.5639999999999999E-4"/>
    <n v="0.60399999999999998"/>
    <n v="0.46500000000000002"/>
    <x v="1"/>
    <x v="5"/>
    <s v="high_beta"/>
    <n v="0"/>
    <n v="0"/>
    <n v="0.56297308642999999"/>
    <n v="0"/>
    <n v="0"/>
    <n v="0"/>
    <n v="0"/>
    <n v="0"/>
  </r>
  <r>
    <n v="0"/>
    <n v="-2.38623E-3"/>
    <n v="0"/>
    <n v="2.38623E-3"/>
    <n v="0.60299999999999998"/>
    <n v="0.86099999999999999"/>
    <x v="2"/>
    <x v="9"/>
    <s v="neutral_beta"/>
    <n v="0"/>
    <n v="-2E-3"/>
    <n v="2.0488349456466701"/>
    <n v="0"/>
    <n v="0"/>
    <n v="0"/>
    <n v="0"/>
    <n v="0"/>
  </r>
  <r>
    <n v="0"/>
    <n v="-5.0918999999999997E-4"/>
    <n v="0"/>
    <n v="5.0918999999999997E-4"/>
    <n v="0.6"/>
    <n v="0.59799999999999998"/>
    <x v="2"/>
    <x v="9"/>
    <s v="neutral_beta"/>
    <n v="0"/>
    <n v="-1E-3"/>
    <n v="1.1523442214433299"/>
    <n v="0"/>
    <n v="0"/>
    <n v="0"/>
    <n v="0"/>
    <n v="0"/>
  </r>
  <r>
    <n v="0"/>
    <n v="-2.01366E-3"/>
    <n v="0"/>
    <n v="2.01366E-3"/>
    <n v="0.59799999999999998"/>
    <n v="0.79900000000000004"/>
    <x v="2"/>
    <x v="19"/>
    <s v="high_beta"/>
    <n v="0"/>
    <n v="-2E-3"/>
    <n v="0.36507169351000002"/>
    <n v="0"/>
    <n v="0"/>
    <n v="0"/>
    <n v="0"/>
    <n v="0"/>
  </r>
  <r>
    <n v="0"/>
    <n v="0"/>
    <n v="0"/>
    <n v="0"/>
    <n v="0.59499999999999997"/>
    <n v="0.43099999999999999"/>
    <x v="1"/>
    <x v="20"/>
    <s v="very_high_beta"/>
    <n v="0"/>
    <n v="0"/>
    <n v="0.35009327099999998"/>
    <n v="0"/>
    <n v="0"/>
    <n v="0"/>
    <n v="0"/>
    <n v="0"/>
  </r>
  <r>
    <n v="0"/>
    <n v="0"/>
    <n v="0"/>
    <n v="0"/>
    <n v="0.58899999999999997"/>
    <n v="0.54300000000000004"/>
    <x v="2"/>
    <x v="8"/>
    <s v="low_beta"/>
    <n v="0"/>
    <n v="0"/>
    <n v="6.7244442666666696E-2"/>
    <n v="0"/>
    <n v="0"/>
    <n v="0"/>
    <n v="0"/>
    <n v="0"/>
  </r>
  <r>
    <n v="0"/>
    <n v="-1.9543899999999999E-3"/>
    <n v="0"/>
    <n v="1.9543899999999999E-3"/>
    <n v="0.58899999999999997"/>
    <n v="0.55300000000000005"/>
    <x v="3"/>
    <x v="7"/>
    <s v="high_beta"/>
    <n v="0"/>
    <n v="-2E-3"/>
    <n v="0.70166605666666704"/>
    <n v="0"/>
    <n v="0"/>
    <n v="0"/>
    <n v="0"/>
    <n v="0"/>
  </r>
  <r>
    <n v="0"/>
    <n v="-3.9566999999999998E-4"/>
    <n v="0"/>
    <n v="3.9566999999999998E-4"/>
    <n v="0.58799999999999997"/>
    <n v="0.439"/>
    <x v="1"/>
    <x v="4"/>
    <s v="very_high_beta"/>
    <n v="0"/>
    <n v="0"/>
    <n v="9.6881101363999994E-2"/>
    <n v="0"/>
    <n v="0"/>
    <n v="0"/>
    <n v="0"/>
    <n v="0"/>
  </r>
  <r>
    <n v="0"/>
    <n v="-1.7547299999999999E-3"/>
    <n v="0"/>
    <n v="1.7547299999999999E-3"/>
    <n v="0.58699999999999997"/>
    <n v="0.72699999999999998"/>
    <x v="4"/>
    <x v="18"/>
    <s v="very_low_beta"/>
    <n v="0"/>
    <n v="-2E-3"/>
    <n v="1.8404105043333301"/>
    <n v="0"/>
    <n v="0"/>
    <n v="0"/>
    <n v="0"/>
    <n v="0"/>
  </r>
  <r>
    <n v="0"/>
    <n v="-2.3680799999999998E-3"/>
    <n v="0"/>
    <n v="2.3680799999999998E-3"/>
    <n v="0.58599999999999997"/>
    <n v="0.59699999999999998"/>
    <x v="1"/>
    <x v="19"/>
    <s v="low_beta"/>
    <n v="0"/>
    <n v="-2E-3"/>
    <n v="0.32295402903999998"/>
    <n v="0"/>
    <n v="0"/>
    <n v="0"/>
    <n v="0"/>
    <n v="0"/>
  </r>
  <r>
    <n v="0"/>
    <n v="0"/>
    <n v="0"/>
    <n v="0"/>
    <n v="0.58299999999999996"/>
    <n v="0.42499999999999999"/>
    <x v="1"/>
    <x v="20"/>
    <s v="neutral_beta"/>
    <n v="0"/>
    <n v="0"/>
    <n v="0"/>
    <n v="0"/>
    <n v="0"/>
    <n v="0"/>
    <n v="0"/>
    <n v="0"/>
  </r>
  <r>
    <n v="0"/>
    <n v="-3.8246999999999999E-4"/>
    <n v="0"/>
    <n v="3.8246999999999999E-4"/>
    <n v="0.57899999999999996"/>
    <n v="0.51200000000000001"/>
    <x v="1"/>
    <x v="3"/>
    <s v="low_beta"/>
    <n v="0"/>
    <n v="0"/>
    <n v="0.69689061787666695"/>
    <n v="0"/>
    <n v="0"/>
    <n v="0"/>
    <n v="0"/>
    <n v="0"/>
  </r>
  <r>
    <n v="0"/>
    <n v="0"/>
    <n v="0"/>
    <n v="0"/>
    <n v="0.57799999999999996"/>
    <n v="0.41499999999999998"/>
    <x v="1"/>
    <x v="4"/>
    <s v="high_beta"/>
    <n v="0"/>
    <n v="0"/>
    <n v="0"/>
    <n v="0"/>
    <n v="0"/>
    <n v="0"/>
    <n v="0"/>
    <n v="0"/>
  </r>
  <r>
    <n v="0"/>
    <n v="-6.4574400000000001E-3"/>
    <n v="0"/>
    <n v="6.4574400000000001E-3"/>
    <n v="0.57299999999999995"/>
    <n v="0.94099999999999995"/>
    <x v="2"/>
    <x v="9"/>
    <s v="neutral_beta"/>
    <n v="0"/>
    <n v="-6.0000000000000001E-3"/>
    <n v="1.0575265632133299"/>
    <n v="0"/>
    <n v="0"/>
    <n v="0"/>
    <n v="0"/>
    <n v="0"/>
  </r>
  <r>
    <n v="0"/>
    <n v="-1.227163E-2"/>
    <n v="0"/>
    <n v="1.227163E-2"/>
    <n v="0.57199999999999995"/>
    <n v="0.87"/>
    <x v="4"/>
    <x v="15"/>
    <s v="high_beta"/>
    <n v="0"/>
    <n v="-1.2E-2"/>
    <n v="0.67939546101666703"/>
    <n v="0"/>
    <n v="0"/>
    <n v="0"/>
    <n v="0"/>
    <n v="0"/>
  </r>
  <r>
    <n v="0"/>
    <n v="-5.3050800000000002E-3"/>
    <n v="0"/>
    <n v="5.3050800000000002E-3"/>
    <n v="0.57099999999999995"/>
    <n v="0.78500000000000003"/>
    <x v="0"/>
    <x v="10"/>
    <s v="low_beta"/>
    <n v="0"/>
    <n v="-5.0000000000000001E-3"/>
    <n v="1.8229406528433301"/>
    <n v="0"/>
    <n v="0"/>
    <n v="0"/>
    <n v="0"/>
    <n v="0"/>
  </r>
  <r>
    <n v="0"/>
    <n v="-5.9499000000000002E-3"/>
    <n v="0"/>
    <n v="5.9499000000000002E-3"/>
    <n v="0.56999999999999995"/>
    <n v="0.66900000000000004"/>
    <x v="2"/>
    <x v="9"/>
    <s v="neutral_beta"/>
    <n v="0"/>
    <n v="-6.0000000000000001E-3"/>
    <n v="0"/>
    <n v="0"/>
    <n v="0"/>
    <n v="0"/>
    <n v="0"/>
    <n v="0"/>
  </r>
  <r>
    <n v="0"/>
    <n v="0"/>
    <n v="0"/>
    <n v="0"/>
    <n v="0.56799999999999995"/>
    <n v="0.53"/>
    <x v="2"/>
    <x v="19"/>
    <s v="very_high_beta"/>
    <n v="0"/>
    <n v="0"/>
    <n v="0.19567504460666699"/>
    <n v="0"/>
    <n v="0"/>
    <n v="0"/>
    <n v="5.3209785483147899E-3"/>
    <n v="-5.3209785483147899E-3"/>
  </r>
  <r>
    <n v="0"/>
    <n v="0"/>
    <n v="0"/>
    <n v="0"/>
    <n v="0.56699999999999995"/>
    <n v="0.44"/>
    <x v="4"/>
    <x v="18"/>
    <s v="very_low_beta"/>
    <n v="0"/>
    <n v="0"/>
    <n v="1.0152809786366701"/>
    <n v="0"/>
    <n v="0"/>
    <n v="0"/>
    <n v="0"/>
    <n v="0"/>
  </r>
  <r>
    <n v="0"/>
    <n v="0"/>
    <n v="0"/>
    <n v="0"/>
    <n v="0.56599999999999995"/>
    <n v="0.48799999999999999"/>
    <x v="1"/>
    <x v="4"/>
    <s v="high_beta"/>
    <n v="0"/>
    <n v="0"/>
    <n v="0.28590344167666698"/>
    <n v="0"/>
    <n v="0"/>
    <n v="0"/>
    <n v="0"/>
    <n v="0"/>
  </r>
  <r>
    <n v="0"/>
    <n v="0"/>
    <n v="0"/>
    <n v="0"/>
    <n v="0.56599999999999995"/>
    <n v="0.437"/>
    <x v="1"/>
    <x v="13"/>
    <s v="very_high_beta"/>
    <n v="0"/>
    <n v="0"/>
    <n v="0.1435709044"/>
    <n v="0"/>
    <n v="0"/>
    <n v="0"/>
    <n v="0"/>
    <n v="0"/>
  </r>
  <r>
    <n v="0"/>
    <n v="0"/>
    <n v="0"/>
    <n v="0"/>
    <n v="0.56299999999999994"/>
    <n v="0.45300000000000001"/>
    <x v="1"/>
    <x v="19"/>
    <s v="low_beta"/>
    <n v="0"/>
    <n v="0"/>
    <n v="0"/>
    <n v="0"/>
    <n v="0"/>
    <n v="0"/>
    <n v="0"/>
    <n v="0"/>
  </r>
  <r>
    <n v="0"/>
    <n v="-5.7096600000000001E-3"/>
    <n v="0"/>
    <n v="5.7096600000000001E-3"/>
    <n v="0.55900000000000005"/>
    <n v="0.71699999999999997"/>
    <x v="1"/>
    <x v="20"/>
    <s v="very_high_beta"/>
    <n v="0"/>
    <n v="-6.0000000000000001E-3"/>
    <n v="1.72765812919333"/>
    <n v="0"/>
    <n v="0"/>
    <n v="0"/>
    <n v="0"/>
    <n v="0"/>
  </r>
  <r>
    <n v="0"/>
    <n v="-2.4667729999999999E-2"/>
    <n v="0"/>
    <n v="2.4667729999999999E-2"/>
    <n v="0.55600000000000005"/>
    <n v="0.46"/>
    <x v="4"/>
    <x v="18"/>
    <s v="very_low_beta"/>
    <n v="0"/>
    <n v="-2.5000000000000001E-2"/>
    <n v="1.8814107034666701"/>
    <n v="0"/>
    <n v="0"/>
    <n v="0"/>
    <n v="0"/>
    <n v="0"/>
  </r>
  <r>
    <n v="0"/>
    <n v="-1.4190000000000001E-4"/>
    <n v="0"/>
    <n v="1.4190000000000001E-4"/>
    <n v="0.55300000000000005"/>
    <n v="0.52800000000000002"/>
    <x v="1"/>
    <x v="2"/>
    <s v="very_high_beta"/>
    <n v="0"/>
    <n v="0"/>
    <n v="0"/>
    <n v="0"/>
    <n v="0"/>
    <n v="0"/>
    <n v="0"/>
    <n v="0"/>
  </r>
  <r>
    <n v="0"/>
    <n v="-2.1298200000000002E-3"/>
    <n v="0"/>
    <n v="2.1298200000000002E-3"/>
    <n v="0.55000000000000004"/>
    <n v="0.61499999999999999"/>
    <x v="1"/>
    <x v="13"/>
    <s v="neutral_beta"/>
    <n v="0"/>
    <n v="-2E-3"/>
    <n v="0.63666666666666705"/>
    <n v="0"/>
    <n v="0"/>
    <n v="0"/>
    <n v="0"/>
    <n v="0"/>
  </r>
  <r>
    <n v="0"/>
    <n v="0"/>
    <n v="0"/>
    <n v="0"/>
    <n v="0.54900000000000004"/>
    <n v="0.628"/>
    <x v="3"/>
    <x v="7"/>
    <s v="low_beta"/>
    <n v="0"/>
    <n v="0"/>
    <n v="0.31190432639833299"/>
    <n v="0"/>
    <n v="0"/>
    <n v="0"/>
    <n v="0"/>
    <n v="0"/>
  </r>
  <r>
    <n v="0"/>
    <n v="0"/>
    <n v="0"/>
    <n v="0"/>
    <n v="0.54800000000000004"/>
    <n v="0.43099999999999999"/>
    <x v="1"/>
    <x v="4"/>
    <s v="high_beta"/>
    <n v="0"/>
    <n v="0"/>
    <n v="0"/>
    <n v="0"/>
    <n v="0"/>
    <n v="0"/>
    <n v="0"/>
    <n v="0"/>
  </r>
  <r>
    <n v="0"/>
    <n v="0"/>
    <n v="0"/>
    <n v="0"/>
    <n v="0.54800000000000004"/>
    <n v="0.497"/>
    <x v="1"/>
    <x v="1"/>
    <s v="neutral_beta"/>
    <n v="0"/>
    <n v="0"/>
    <n v="0.403405819666667"/>
    <n v="0"/>
    <n v="0"/>
    <n v="0"/>
    <n v="0"/>
    <n v="0"/>
  </r>
  <r>
    <n v="0"/>
    <n v="-2.1285E-4"/>
    <n v="0"/>
    <n v="2.1285E-4"/>
    <n v="0.54700000000000004"/>
    <n v="0.41099999999999998"/>
    <x v="4"/>
    <x v="18"/>
    <s v="high_beta"/>
    <n v="0"/>
    <n v="0"/>
    <n v="0.23848459496666699"/>
    <n v="0"/>
    <n v="0"/>
    <n v="0"/>
    <n v="0"/>
    <n v="0"/>
  </r>
  <r>
    <n v="0"/>
    <n v="-2.1153E-4"/>
    <n v="0"/>
    <n v="2.1153E-4"/>
    <n v="0.54500000000000004"/>
    <n v="0.501"/>
    <x v="1"/>
    <x v="20"/>
    <s v="very_high_beta"/>
    <n v="0"/>
    <n v="0"/>
    <n v="0.52211867099999998"/>
    <n v="0"/>
    <n v="0"/>
    <n v="0"/>
    <n v="0"/>
    <n v="0"/>
  </r>
  <r>
    <n v="0"/>
    <n v="0"/>
    <n v="0"/>
    <n v="0"/>
    <n v="0.54500000000000004"/>
    <n v="0.64"/>
    <x v="3"/>
    <x v="7"/>
    <s v="neutral_beta"/>
    <n v="0"/>
    <n v="0"/>
    <n v="0.61122012333333298"/>
    <n v="0"/>
    <n v="0"/>
    <n v="0"/>
    <n v="0"/>
    <n v="0"/>
  </r>
  <r>
    <n v="0"/>
    <n v="0"/>
    <n v="0"/>
    <n v="0"/>
    <n v="0.54100000000000004"/>
    <n v="0.46100000000000002"/>
    <x v="4"/>
    <x v="18"/>
    <s v="very_low_beta"/>
    <n v="0"/>
    <n v="0"/>
    <n v="0"/>
    <n v="0"/>
    <n v="0"/>
    <n v="0"/>
    <n v="0"/>
    <n v="0"/>
  </r>
  <r>
    <n v="0"/>
    <n v="0"/>
    <n v="0"/>
    <n v="0"/>
    <n v="0.53900000000000003"/>
    <n v="0.42499999999999999"/>
    <x v="1"/>
    <x v="2"/>
    <s v="low_beta"/>
    <n v="0"/>
    <n v="0"/>
    <n v="0.72112751399333297"/>
    <n v="0"/>
    <n v="0"/>
    <n v="0"/>
    <n v="0"/>
    <n v="0"/>
  </r>
  <r>
    <n v="0"/>
    <n v="-3.1280700000000002E-3"/>
    <n v="0"/>
    <n v="3.1280700000000002E-3"/>
    <n v="0.53900000000000003"/>
    <n v="0.68700000000000006"/>
    <x v="4"/>
    <x v="15"/>
    <s v="neutral_beta"/>
    <n v="0"/>
    <n v="-3.0000000000000001E-3"/>
    <n v="0.97666666666666702"/>
    <n v="0"/>
    <n v="0"/>
    <n v="0"/>
    <n v="0"/>
    <n v="0"/>
  </r>
  <r>
    <n v="0"/>
    <n v="-1.0180499999999999E-3"/>
    <n v="0"/>
    <n v="1.0180499999999999E-3"/>
    <n v="0.53500000000000003"/>
    <n v="0.6"/>
    <x v="1"/>
    <x v="20"/>
    <s v="neutral_beta"/>
    <n v="0"/>
    <n v="-1E-3"/>
    <n v="0.69591718821000004"/>
    <n v="0"/>
    <n v="0"/>
    <n v="0"/>
    <n v="0"/>
    <n v="0"/>
  </r>
  <r>
    <n v="0"/>
    <n v="-3.6359399999999998E-3"/>
    <n v="0"/>
    <n v="3.6359399999999998E-3"/>
    <n v="0.53400000000000003"/>
    <n v="0.43"/>
    <x v="0"/>
    <x v="10"/>
    <s v="very_low_beta"/>
    <n v="0"/>
    <n v="-4.0000000000000001E-3"/>
    <n v="0.37467925359466703"/>
    <n v="0"/>
    <n v="0"/>
    <n v="0"/>
    <n v="0"/>
    <n v="0"/>
  </r>
  <r>
    <n v="0"/>
    <n v="0"/>
    <n v="0"/>
    <n v="0"/>
    <n v="0.53300000000000003"/>
    <n v="0.505"/>
    <x v="0"/>
    <x v="14"/>
    <s v="low_beta"/>
    <n v="0"/>
    <n v="0"/>
    <n v="0.14765889026666701"/>
    <n v="0"/>
    <n v="0"/>
    <n v="0"/>
    <n v="0"/>
    <n v="0"/>
  </r>
  <r>
    <n v="0"/>
    <n v="0"/>
    <n v="0"/>
    <n v="0"/>
    <n v="0.53300000000000003"/>
    <n v="0.42099999999999999"/>
    <x v="3"/>
    <x v="7"/>
    <s v="very_low_beta"/>
    <n v="0"/>
    <n v="0"/>
    <n v="0.627778860964333"/>
    <n v="0"/>
    <n v="0"/>
    <n v="0"/>
    <n v="0"/>
    <n v="0"/>
  </r>
  <r>
    <n v="0"/>
    <n v="0"/>
    <n v="0"/>
    <n v="0"/>
    <n v="0.53200000000000003"/>
    <n v="0.375"/>
    <x v="1"/>
    <x v="2"/>
    <s v="very_high_beta"/>
    <n v="0"/>
    <n v="0"/>
    <n v="0.138208110673333"/>
    <n v="0"/>
    <n v="0"/>
    <n v="0"/>
    <n v="0"/>
    <n v="0"/>
  </r>
  <r>
    <n v="0"/>
    <n v="0"/>
    <n v="0"/>
    <n v="0"/>
    <n v="0.53"/>
    <n v="0.441"/>
    <x v="3"/>
    <x v="7"/>
    <s v="very_high_beta"/>
    <n v="0"/>
    <n v="0"/>
    <n v="0.33071511333333298"/>
    <n v="0"/>
    <n v="0"/>
    <n v="0"/>
    <n v="0"/>
    <n v="0"/>
  </r>
  <r>
    <n v="0"/>
    <n v="-5.6835899999999996E-3"/>
    <n v="0"/>
    <n v="5.6835899999999996E-3"/>
    <n v="0.53"/>
    <n v="0.52200000000000002"/>
    <x v="4"/>
    <x v="12"/>
    <s v="very_low_beta"/>
    <n v="0"/>
    <n v="-6.0000000000000001E-3"/>
    <n v="2.42145E-2"/>
    <n v="0"/>
    <n v="0"/>
    <n v="0"/>
    <n v="0"/>
    <n v="0"/>
  </r>
  <r>
    <n v="0"/>
    <n v="0"/>
    <n v="0"/>
    <n v="0"/>
    <n v="0.53"/>
    <n v="0.48"/>
    <x v="1"/>
    <x v="1"/>
    <s v="very_low_beta"/>
    <n v="0"/>
    <n v="0"/>
    <n v="0"/>
    <n v="0"/>
    <n v="0"/>
    <n v="0"/>
    <n v="0"/>
    <n v="0"/>
  </r>
  <r>
    <n v="0"/>
    <n v="0"/>
    <n v="0"/>
    <n v="0"/>
    <n v="0.52900000000000003"/>
    <n v="0.378"/>
    <x v="2"/>
    <x v="8"/>
    <s v="very_low_beta"/>
    <n v="0"/>
    <n v="0"/>
    <n v="6.7038273420000002E-2"/>
    <n v="0"/>
    <n v="0"/>
    <n v="0"/>
    <n v="0"/>
    <n v="0"/>
  </r>
  <r>
    <n v="0"/>
    <n v="0"/>
    <n v="0"/>
    <n v="0"/>
    <n v="0.52700000000000002"/>
    <n v="0.51800000000000002"/>
    <x v="3"/>
    <x v="17"/>
    <s v="very_high_beta"/>
    <n v="0"/>
    <n v="0"/>
    <n v="0.113469799866667"/>
    <n v="0"/>
    <n v="0"/>
    <n v="0"/>
    <n v="0"/>
    <n v="0"/>
  </r>
  <r>
    <n v="0"/>
    <n v="0"/>
    <n v="0"/>
    <n v="0"/>
    <n v="0.52600000000000002"/>
    <n v="0.39400000000000002"/>
    <x v="1"/>
    <x v="20"/>
    <s v="very_high_beta"/>
    <n v="0"/>
    <n v="0"/>
    <n v="5.3369202333333303E-2"/>
    <n v="0"/>
    <n v="0"/>
    <n v="0"/>
    <n v="0"/>
    <n v="0"/>
  </r>
  <r>
    <n v="0"/>
    <n v="0"/>
    <n v="0"/>
    <n v="0"/>
    <n v="0.52600000000000002"/>
    <n v="0.51700000000000002"/>
    <x v="4"/>
    <x v="18"/>
    <s v="low_beta"/>
    <n v="0"/>
    <n v="0"/>
    <n v="0.16350241333333301"/>
    <n v="0"/>
    <n v="0"/>
    <n v="0"/>
    <n v="0"/>
    <n v="0"/>
  </r>
  <r>
    <n v="0"/>
    <n v="-3.3956999999999998E-4"/>
    <n v="0"/>
    <n v="3.3956999999999998E-4"/>
    <n v="0.52500000000000002"/>
    <n v="0.40500000000000003"/>
    <x v="1"/>
    <x v="2"/>
    <s v="very_high_beta"/>
    <n v="0"/>
    <n v="0"/>
    <n v="0"/>
    <n v="0"/>
    <n v="0"/>
    <n v="0"/>
    <n v="0"/>
    <n v="0"/>
  </r>
  <r>
    <n v="0"/>
    <n v="-7.2085200000000004E-3"/>
    <n v="0"/>
    <n v="7.2085200000000004E-3"/>
    <n v="0.52400000000000002"/>
    <n v="0.50600000000000001"/>
    <x v="3"/>
    <x v="7"/>
    <s v="very_high_beta"/>
    <n v="0"/>
    <n v="-7.0000000000000001E-3"/>
    <n v="0.26191565621000001"/>
    <n v="0"/>
    <n v="0"/>
    <n v="0"/>
    <n v="0"/>
    <n v="0"/>
  </r>
  <r>
    <n v="0"/>
    <n v="0"/>
    <n v="0"/>
    <n v="0"/>
    <n v="0.52400000000000002"/>
    <n v="0.58399999999999996"/>
    <x v="3"/>
    <x v="7"/>
    <s v="high_beta"/>
    <n v="0"/>
    <n v="0"/>
    <n v="4.1345687643333302E-2"/>
    <n v="0"/>
    <n v="0"/>
    <n v="0"/>
    <n v="0"/>
    <n v="0"/>
  </r>
  <r>
    <n v="0"/>
    <n v="0"/>
    <n v="0"/>
    <n v="0"/>
    <n v="0.51900000000000002"/>
    <n v="0.38900000000000001"/>
    <x v="0"/>
    <x v="10"/>
    <s v="very_high_beta"/>
    <n v="0"/>
    <n v="0"/>
    <n v="2.8231354666666701E-2"/>
    <n v="0"/>
    <n v="0"/>
    <n v="0"/>
    <n v="0"/>
    <n v="0"/>
  </r>
  <r>
    <n v="0"/>
    <n v="-9.9923999999999998E-4"/>
    <n v="0"/>
    <n v="9.9923999999999998E-4"/>
    <n v="0.51600000000000001"/>
    <n v="0.48799999999999999"/>
    <x v="0"/>
    <x v="14"/>
    <s v="high_beta"/>
    <n v="0"/>
    <n v="-1E-3"/>
    <n v="0"/>
    <n v="0"/>
    <n v="0"/>
    <n v="0"/>
    <n v="0"/>
    <n v="0"/>
  </r>
  <r>
    <n v="0"/>
    <n v="0"/>
    <n v="0"/>
    <n v="0"/>
    <n v="0.51600000000000001"/>
    <n v="0.42699999999999999"/>
    <x v="4"/>
    <x v="18"/>
    <s v="very_low_beta"/>
    <n v="0"/>
    <n v="0"/>
    <n v="0.51375777108433296"/>
    <n v="0"/>
    <n v="0"/>
    <n v="0"/>
    <n v="0"/>
    <n v="0"/>
  </r>
  <r>
    <n v="0"/>
    <n v="-1.5572699999999999E-3"/>
    <n v="0"/>
    <n v="1.5572699999999999E-3"/>
    <n v="0.51400000000000001"/>
    <n v="0.42199999999999999"/>
    <x v="0"/>
    <x v="14"/>
    <s v="very_high_beta"/>
    <n v="0"/>
    <n v="-2E-3"/>
    <n v="8.7203399853333294E-2"/>
    <n v="0"/>
    <n v="0"/>
    <n v="0"/>
    <n v="0"/>
    <n v="0"/>
  </r>
  <r>
    <n v="0"/>
    <n v="0"/>
    <n v="0"/>
    <n v="0"/>
    <n v="0.51400000000000001"/>
    <n v="0.36199999999999999"/>
    <x v="3"/>
    <x v="11"/>
    <s v="very_high_beta"/>
    <n v="0"/>
    <n v="0"/>
    <n v="0.12527732641856701"/>
    <n v="0"/>
    <n v="0"/>
    <n v="0"/>
    <n v="0"/>
    <n v="0"/>
  </r>
  <r>
    <n v="0"/>
    <n v="0"/>
    <n v="0"/>
    <n v="0"/>
    <n v="0.51400000000000001"/>
    <n v="0.39300000000000002"/>
    <x v="1"/>
    <x v="0"/>
    <s v="neutral_beta"/>
    <n v="0"/>
    <n v="0"/>
    <n v="0"/>
    <n v="0"/>
    <n v="0"/>
    <n v="0"/>
    <n v="0"/>
    <n v="0"/>
  </r>
  <r>
    <n v="0"/>
    <n v="-2.1615E-4"/>
    <n v="0"/>
    <n v="2.1615E-4"/>
    <n v="0.51200000000000001"/>
    <n v="0.38400000000000001"/>
    <x v="1"/>
    <x v="19"/>
    <s v="very_high_beta"/>
    <n v="0"/>
    <n v="0"/>
    <n v="0.24849299699999999"/>
    <n v="0"/>
    <n v="0"/>
    <n v="0"/>
    <n v="0"/>
    <n v="0"/>
  </r>
  <r>
    <n v="0"/>
    <n v="-1.13619E-3"/>
    <n v="0"/>
    <n v="1.13619E-3"/>
    <n v="0.50900000000000001"/>
    <n v="0.41"/>
    <x v="1"/>
    <x v="20"/>
    <s v="very_high_beta"/>
    <n v="0"/>
    <n v="-1E-3"/>
    <n v="0.29335211"/>
    <n v="0"/>
    <n v="0"/>
    <n v="0"/>
    <n v="0"/>
    <n v="0"/>
  </r>
  <r>
    <n v="0"/>
    <n v="0"/>
    <n v="0"/>
    <n v="0"/>
    <n v="0.50900000000000001"/>
    <n v="0.42299999999999999"/>
    <x v="3"/>
    <x v="7"/>
    <s v="high_beta"/>
    <n v="0"/>
    <n v="0"/>
    <n v="0.93497294654666696"/>
    <n v="0"/>
    <n v="0"/>
    <n v="0"/>
    <n v="0"/>
    <n v="0"/>
  </r>
  <r>
    <n v="0"/>
    <n v="0"/>
    <n v="0"/>
    <n v="0"/>
    <n v="0.505"/>
    <n v="0.35599999999999998"/>
    <x v="1"/>
    <x v="4"/>
    <s v="very_high_beta"/>
    <n v="0"/>
    <n v="0"/>
    <n v="0"/>
    <n v="0"/>
    <n v="0"/>
    <n v="0"/>
    <n v="0"/>
    <n v="0"/>
  </r>
  <r>
    <n v="0"/>
    <n v="0"/>
    <n v="0"/>
    <n v="0"/>
    <n v="0.499"/>
    <n v="0.35199999999999998"/>
    <x v="0"/>
    <x v="10"/>
    <s v="very_high_beta"/>
    <n v="0"/>
    <n v="0"/>
    <n v="0"/>
    <n v="0"/>
    <n v="0"/>
    <n v="0"/>
    <n v="0"/>
    <n v="0"/>
  </r>
  <r>
    <n v="0"/>
    <n v="0"/>
    <n v="0"/>
    <n v="0"/>
    <n v="0.495"/>
    <n v="0.35299999999999998"/>
    <x v="0"/>
    <x v="14"/>
    <s v="very_high_beta"/>
    <n v="0"/>
    <n v="0"/>
    <n v="0"/>
    <n v="0"/>
    <n v="0"/>
    <n v="0"/>
    <n v="0"/>
    <n v="0"/>
  </r>
  <r>
    <n v="0"/>
    <n v="0"/>
    <n v="0"/>
    <n v="0"/>
    <n v="0.49399999999999999"/>
    <n v="0.34799999999999998"/>
    <x v="1"/>
    <x v="13"/>
    <s v="high_beta"/>
    <n v="0"/>
    <n v="0"/>
    <n v="1.64736529558667"/>
    <n v="0"/>
    <n v="0"/>
    <n v="0"/>
    <n v="0"/>
    <n v="0"/>
  </r>
  <r>
    <n v="0"/>
    <n v="-5.5407000000000004E-4"/>
    <n v="0"/>
    <n v="5.5407000000000004E-4"/>
    <n v="0.49299999999999999"/>
    <n v="0.38100000000000001"/>
    <x v="4"/>
    <x v="15"/>
    <s v="very_high_beta"/>
    <n v="0"/>
    <n v="-1E-3"/>
    <n v="0.66988717906333295"/>
    <n v="0"/>
    <n v="0"/>
    <n v="0"/>
    <n v="0"/>
    <n v="0"/>
  </r>
  <r>
    <n v="0"/>
    <n v="0"/>
    <n v="0"/>
    <n v="0"/>
    <n v="0.49"/>
    <n v="0.34499999999999997"/>
    <x v="4"/>
    <x v="15"/>
    <s v="very_high_beta"/>
    <n v="0"/>
    <n v="0"/>
    <n v="0"/>
    <n v="0"/>
    <n v="0"/>
    <n v="0"/>
    <n v="0"/>
    <n v="0"/>
  </r>
  <r>
    <n v="0"/>
    <n v="0"/>
    <n v="0"/>
    <n v="0"/>
    <n v="0.48699999999999999"/>
    <n v="0.34300000000000003"/>
    <x v="2"/>
    <x v="9"/>
    <s v="neutral_beta"/>
    <n v="0"/>
    <n v="0"/>
    <n v="4.4711546666666699E-2"/>
    <n v="0"/>
    <n v="0"/>
    <n v="0"/>
    <n v="0"/>
    <n v="0"/>
  </r>
  <r>
    <n v="0"/>
    <n v="-4.2998999999999999E-4"/>
    <n v="0"/>
    <n v="4.2998999999999999E-4"/>
    <n v="0.48499999999999999"/>
    <n v="0.34599999999999997"/>
    <x v="0"/>
    <x v="10"/>
    <s v="very_high_beta"/>
    <n v="0"/>
    <n v="0"/>
    <n v="0"/>
    <n v="0"/>
    <n v="0"/>
    <n v="0"/>
    <n v="0"/>
    <n v="0"/>
  </r>
  <r>
    <n v="0"/>
    <n v="0"/>
    <n v="0"/>
    <n v="0"/>
    <n v="0.48099999999999998"/>
    <n v="0.36299999999999999"/>
    <x v="3"/>
    <x v="17"/>
    <s v="very_low_beta"/>
    <n v="0"/>
    <n v="0"/>
    <n v="7.0017460000000004E-2"/>
    <n v="0"/>
    <n v="0"/>
    <n v="0"/>
    <n v="0"/>
    <n v="0"/>
  </r>
  <r>
    <n v="0"/>
    <n v="0"/>
    <n v="0"/>
    <n v="0"/>
    <n v="0.48"/>
    <n v="0.35599999999999998"/>
    <x v="1"/>
    <x v="4"/>
    <s v="very_high_beta"/>
    <n v="0"/>
    <n v="0"/>
    <n v="9.6916325930000005E-2"/>
    <n v="0"/>
    <n v="0"/>
    <n v="0"/>
    <n v="0"/>
    <n v="0"/>
  </r>
  <r>
    <n v="0"/>
    <n v="0"/>
    <n v="0"/>
    <n v="0"/>
    <n v="0.47499999999999998"/>
    <n v="0.33400000000000002"/>
    <x v="3"/>
    <x v="7"/>
    <s v="very_low_beta"/>
    <n v="0"/>
    <n v="0"/>
    <n v="0"/>
    <n v="0"/>
    <n v="0"/>
    <n v="0"/>
    <n v="0"/>
    <n v="0"/>
  </r>
  <r>
    <n v="0"/>
    <n v="-2.9931000000000001E-4"/>
    <n v="0"/>
    <n v="2.9931000000000001E-4"/>
    <n v="0.47499999999999998"/>
    <n v="0.33900000000000002"/>
    <x v="3"/>
    <x v="11"/>
    <s v="very_low_beta"/>
    <n v="0"/>
    <n v="0"/>
    <n v="0"/>
    <n v="0"/>
    <n v="0"/>
    <n v="0"/>
    <n v="0"/>
    <n v="0"/>
  </r>
  <r>
    <n v="0"/>
    <n v="0"/>
    <n v="0"/>
    <n v="0"/>
    <n v="0.47299999999999998"/>
    <n v="0.375"/>
    <x v="1"/>
    <x v="5"/>
    <s v="low_beta"/>
    <n v="0"/>
    <n v="0"/>
    <n v="0"/>
    <n v="0"/>
    <n v="0"/>
    <n v="0"/>
    <n v="0"/>
    <n v="0"/>
  </r>
  <r>
    <n v="0"/>
    <n v="0"/>
    <n v="0"/>
    <n v="0"/>
    <n v="0.47"/>
    <n v="0.33100000000000002"/>
    <x v="3"/>
    <x v="17"/>
    <s v="neutral_beta"/>
    <n v="0"/>
    <n v="0"/>
    <n v="0"/>
    <n v="0"/>
    <n v="0"/>
    <n v="0"/>
    <n v="0"/>
    <n v="0"/>
  </r>
  <r>
    <n v="0"/>
    <n v="0"/>
    <n v="0"/>
    <n v="0"/>
    <n v="0.46899999999999997"/>
    <n v="0.33100000000000002"/>
    <x v="1"/>
    <x v="2"/>
    <s v="high_beta"/>
    <n v="0"/>
    <n v="0"/>
    <n v="0"/>
    <n v="0"/>
    <n v="0"/>
    <n v="0"/>
    <n v="0"/>
    <n v="0"/>
  </r>
  <r>
    <n v="0"/>
    <n v="0"/>
    <n v="0"/>
    <n v="0"/>
    <n v="0.46800000000000003"/>
    <n v="0.33"/>
    <x v="3"/>
    <x v="7"/>
    <s v="very_low_beta"/>
    <n v="0"/>
    <n v="0"/>
    <n v="0"/>
    <n v="0"/>
    <n v="0"/>
    <n v="0"/>
    <n v="0"/>
    <n v="0"/>
  </r>
  <r>
    <n v="0"/>
    <n v="0"/>
    <n v="0"/>
    <n v="0"/>
    <n v="0.46800000000000003"/>
    <n v="0.33300000000000002"/>
    <x v="1"/>
    <x v="20"/>
    <s v="very_high_beta"/>
    <n v="0"/>
    <n v="0"/>
    <n v="0"/>
    <n v="0"/>
    <n v="0"/>
    <n v="0"/>
    <n v="0"/>
    <n v="0"/>
  </r>
  <r>
    <n v="0"/>
    <n v="0"/>
    <n v="0"/>
    <n v="0"/>
    <n v="0.46800000000000003"/>
    <n v="0.35499999999999998"/>
    <x v="3"/>
    <x v="7"/>
    <s v="very_low_beta"/>
    <n v="0"/>
    <n v="0"/>
    <n v="0"/>
    <n v="0"/>
    <n v="0"/>
    <n v="0"/>
    <n v="0"/>
    <n v="0"/>
  </r>
  <r>
    <n v="0"/>
    <n v="0"/>
    <n v="0"/>
    <n v="0"/>
    <n v="0.46800000000000003"/>
    <n v="0.33200000000000002"/>
    <x v="1"/>
    <x v="20"/>
    <s v="very_high_beta"/>
    <n v="0"/>
    <n v="0"/>
    <n v="6.7899322323333303E-2"/>
    <n v="0"/>
    <n v="0"/>
    <n v="0"/>
    <n v="0"/>
    <n v="0"/>
  </r>
  <r>
    <n v="0"/>
    <n v="0"/>
    <n v="0"/>
    <n v="0"/>
    <n v="0.46800000000000003"/>
    <n v="0.33"/>
    <x v="0"/>
    <x v="10"/>
    <s v="high_beta"/>
    <n v="0"/>
    <n v="0"/>
    <n v="0"/>
    <n v="0"/>
    <n v="0"/>
    <n v="0"/>
    <n v="0"/>
    <n v="0"/>
  </r>
  <r>
    <n v="0"/>
    <n v="0"/>
    <n v="0"/>
    <n v="0"/>
    <n v="0.46800000000000003"/>
    <n v="0.33"/>
    <x v="4"/>
    <x v="15"/>
    <s v="very_high_beta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88855-A4CE-4C79-B840-0B040E8EF90C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48:N277" firstHeaderRow="0" firstDataRow="1" firstDataCol="1"/>
  <pivotFields count="16">
    <pivotField dataField="1" numFmtId="10" showAll="0"/>
    <pivotField dataField="1" numFmtId="10" showAll="0"/>
    <pivotField numFmtId="10" showAll="0"/>
    <pivotField numFmtId="10" showAll="0"/>
    <pivotField numFmtId="2" showAll="0"/>
    <pivotField showAll="0"/>
    <pivotField axis="axisRow" showAll="0">
      <items count="6">
        <item x="2"/>
        <item x="4"/>
        <item x="0"/>
        <item x="3"/>
        <item x="1"/>
        <item t="default"/>
      </items>
    </pivotField>
    <pivotField axis="axisRow" showAll="0">
      <items count="22">
        <item x="3"/>
        <item x="2"/>
        <item x="15"/>
        <item x="17"/>
        <item x="7"/>
        <item x="11"/>
        <item x="5"/>
        <item x="20"/>
        <item x="14"/>
        <item x="12"/>
        <item x="4"/>
        <item x="0"/>
        <item x="16"/>
        <item x="18"/>
        <item x="10"/>
        <item x="1"/>
        <item x="6"/>
        <item x="13"/>
        <item x="8"/>
        <item x="19"/>
        <item x="9"/>
        <item t="default"/>
      </items>
    </pivotField>
    <pivotField showAll="0"/>
    <pivotField dataField="1" numFmtId="10" showAll="0"/>
    <pivotField dataField="1" numFmtId="10" showAll="0"/>
    <pivotField dataField="1" numFmtId="10" showAll="0"/>
    <pivotField numFmtId="10" showAll="0"/>
    <pivotField numFmtId="10" showAll="0"/>
    <pivotField dataField="1" numFmtId="10" showAll="0"/>
    <pivotField numFmtId="10" showAll="0"/>
  </pivotFields>
  <rowFields count="2">
    <field x="6"/>
    <field x="7"/>
  </rowFields>
  <rowItems count="29">
    <i>
      <x/>
    </i>
    <i r="1">
      <x v="16"/>
    </i>
    <i r="1">
      <x v="18"/>
    </i>
    <i r="1">
      <x v="19"/>
    </i>
    <i r="1">
      <x v="20"/>
    </i>
    <i>
      <x v="1"/>
    </i>
    <i r="1">
      <x v="2"/>
    </i>
    <i r="1">
      <x v="9"/>
    </i>
    <i r="1">
      <x v="13"/>
    </i>
    <i>
      <x v="2"/>
    </i>
    <i r="1">
      <x v="8"/>
    </i>
    <i r="1">
      <x v="11"/>
    </i>
    <i r="1">
      <x v="12"/>
    </i>
    <i r="1">
      <x v="14"/>
    </i>
    <i>
      <x v="3"/>
    </i>
    <i r="1">
      <x v="3"/>
    </i>
    <i r="1">
      <x v="4"/>
    </i>
    <i r="1">
      <x v="5"/>
    </i>
    <i>
      <x v="4"/>
    </i>
    <i r="1">
      <x/>
    </i>
    <i r="1">
      <x v="1"/>
    </i>
    <i r="1">
      <x v="6"/>
    </i>
    <i r="1">
      <x v="7"/>
    </i>
    <i r="1">
      <x v="10"/>
    </i>
    <i r="1">
      <x v="11"/>
    </i>
    <i r="1">
      <x v="15"/>
    </i>
    <i r="1">
      <x v="17"/>
    </i>
    <i r="1"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MF" fld="0" baseField="0" baseItem="0" numFmtId="10"/>
    <dataField name="Soma de MF - Ibov" fld="1" baseField="0" baseItem="0" numFmtId="10"/>
    <dataField name="Soma de META" fld="9" baseField="0" baseItem="0" numFmtId="10"/>
    <dataField name="Soma de act_weights" fld="10" baseField="0" baseItem="0" numFmtId="10"/>
    <dataField name="Soma de mandato" fld="11" baseField="0" baseItem="0" numFmtId="10"/>
    <dataField name="Soma de modelo 2.0" fld="14" baseField="0" baseItem="0" numFmtId="10"/>
  </dataFields>
  <conditionalFormats count="3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9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priority="10">
      <pivotAreas count="10">
        <pivotArea type="data" collapsedLevelsAreSubtotals="1" fieldPosition="0">
          <references count="2">
            <reference field="4294967294" count="1" selected="0">
              <x v="3"/>
            </reference>
            <reference field="6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6" count="1" selected="0">
              <x v="0"/>
            </reference>
            <reference field="7" count="4">
              <x v="16"/>
              <x v="18"/>
              <x v="19"/>
              <x v="20"/>
            </reference>
          </references>
        </pivotArea>
        <pivotArea type="data" collapsedLevelsAreSubtotals="1" fieldPosition="0">
          <references count="2">
            <reference field="4294967294" count="1" selected="0">
              <x v="3"/>
            </reference>
            <reference field="6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6" count="1" selected="0">
              <x v="1"/>
            </reference>
            <reference field="7" count="3">
              <x v="2"/>
              <x v="9"/>
              <x v="13"/>
            </reference>
          </references>
        </pivotArea>
        <pivotArea type="data" collapsedLevelsAreSubtotals="1" fieldPosition="0">
          <references count="2">
            <reference field="4294967294" count="1" selected="0">
              <x v="3"/>
            </reference>
            <reference field="6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6" count="1" selected="0">
              <x v="2"/>
            </reference>
            <reference field="7" count="4">
              <x v="8"/>
              <x v="11"/>
              <x v="12"/>
              <x v="14"/>
            </reference>
          </references>
        </pivotArea>
        <pivotArea type="data" collapsedLevelsAreSubtotals="1" fieldPosition="0">
          <references count="2">
            <reference field="4294967294" count="1" selected="0">
              <x v="3"/>
            </reference>
            <reference field="6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6" count="1" selected="0">
              <x v="3"/>
            </reference>
            <reference field="7" count="3">
              <x v="3"/>
              <x v="4"/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3"/>
            </reference>
            <reference field="6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6" count="1" selected="0">
              <x v="4"/>
            </reference>
            <reference field="7" count="9">
              <x v="0"/>
              <x v="1"/>
              <x v="6"/>
              <x v="7"/>
              <x v="10"/>
              <x v="11"/>
              <x v="15"/>
              <x v="17"/>
              <x v="19"/>
            </reference>
          </references>
        </pivotArea>
      </pivotAreas>
    </conditionalFormat>
  </conditional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3836CC-1FC2-4D8F-BFCA-9D9B68AA6563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41:N270" firstHeaderRow="0" firstDataRow="1" firstDataCol="1"/>
  <pivotFields count="17">
    <pivotField dataField="1" numFmtId="10" showAll="0"/>
    <pivotField dataField="1" numFmtId="10" showAll="0"/>
    <pivotField numFmtId="10" showAll="0"/>
    <pivotField numFmtId="10" showAll="0"/>
    <pivotField numFmtId="2" showAll="0"/>
    <pivotField showAll="0"/>
    <pivotField axis="axisRow" showAll="0">
      <items count="6">
        <item x="2"/>
        <item x="4"/>
        <item x="1"/>
        <item x="3"/>
        <item x="0"/>
        <item t="default"/>
      </items>
    </pivotField>
    <pivotField axis="axisRow" showAll="0">
      <items count="22">
        <item x="3"/>
        <item x="4"/>
        <item x="15"/>
        <item x="17"/>
        <item x="7"/>
        <item x="11"/>
        <item x="5"/>
        <item x="20"/>
        <item x="14"/>
        <item x="12"/>
        <item x="2"/>
        <item x="1"/>
        <item x="16"/>
        <item x="18"/>
        <item x="10"/>
        <item x="0"/>
        <item x="6"/>
        <item x="13"/>
        <item x="8"/>
        <item x="19"/>
        <item x="9"/>
        <item t="default"/>
      </items>
    </pivotField>
    <pivotField showAll="0"/>
    <pivotField dataField="1" numFmtId="10" showAll="0"/>
    <pivotField dataField="1" numFmtId="10" showAll="0"/>
    <pivotField numFmtId="2" showAll="0"/>
    <pivotField dataField="1" numFmtId="10" showAll="0"/>
    <pivotField numFmtId="10" showAll="0"/>
    <pivotField numFmtId="10" showAll="0"/>
    <pivotField dataField="1" numFmtId="10" showAll="0"/>
    <pivotField numFmtId="10" showAll="0"/>
  </pivotFields>
  <rowFields count="2">
    <field x="6"/>
    <field x="7"/>
  </rowFields>
  <rowItems count="29">
    <i>
      <x/>
    </i>
    <i r="1">
      <x v="16"/>
    </i>
    <i r="1">
      <x v="18"/>
    </i>
    <i r="1">
      <x v="19"/>
    </i>
    <i r="1">
      <x v="20"/>
    </i>
    <i>
      <x v="1"/>
    </i>
    <i r="1">
      <x v="2"/>
    </i>
    <i r="1">
      <x v="9"/>
    </i>
    <i r="1">
      <x v="13"/>
    </i>
    <i>
      <x v="2"/>
    </i>
    <i r="1">
      <x v="8"/>
    </i>
    <i r="1">
      <x v="11"/>
    </i>
    <i r="1">
      <x v="12"/>
    </i>
    <i r="1">
      <x v="14"/>
    </i>
    <i>
      <x v="3"/>
    </i>
    <i r="1">
      <x v="3"/>
    </i>
    <i r="1">
      <x v="4"/>
    </i>
    <i r="1">
      <x v="5"/>
    </i>
    <i>
      <x v="4"/>
    </i>
    <i r="1">
      <x/>
    </i>
    <i r="1">
      <x v="1"/>
    </i>
    <i r="1">
      <x v="6"/>
    </i>
    <i r="1">
      <x v="7"/>
    </i>
    <i r="1">
      <x v="10"/>
    </i>
    <i r="1">
      <x v="11"/>
    </i>
    <i r="1">
      <x v="15"/>
    </i>
    <i r="1">
      <x v="17"/>
    </i>
    <i r="1"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MF" fld="0" baseField="0" baseItem="0" numFmtId="10"/>
    <dataField name="Soma de MF - Smll" fld="1" baseField="0" baseItem="0" numFmtId="10"/>
    <dataField name="Soma de META" fld="9" baseField="0" baseItem="0" numFmtId="10"/>
    <dataField name="Soma de act_weights" fld="10" baseField="0" baseItem="0" numFmtId="10"/>
    <dataField name="Soma de mandato" fld="12" baseField="0" baseItem="0" numFmtId="10"/>
    <dataField name="Soma de modelo 2.0" fld="15" baseField="0" baseItem="0" numFmtId="10"/>
  </dataFields>
  <conditionalFormats count="2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11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</conditional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B9F0F-5591-4CCC-AF99-D2706984F2CF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244:O273" firstHeaderRow="0" firstDataRow="1" firstDataCol="1"/>
  <pivotFields count="17">
    <pivotField dataField="1" numFmtId="10" showAll="0"/>
    <pivotField dataField="1" numFmtId="10" showAll="0"/>
    <pivotField numFmtId="10" showAll="0"/>
    <pivotField numFmtId="10" showAll="0"/>
    <pivotField numFmtId="2" showAll="0"/>
    <pivotField showAll="0"/>
    <pivotField axis="axisRow" showAll="0">
      <items count="6">
        <item x="2"/>
        <item x="4"/>
        <item x="0"/>
        <item x="3"/>
        <item x="1"/>
        <item t="default"/>
      </items>
    </pivotField>
    <pivotField axis="axisRow" showAll="0">
      <items count="22">
        <item x="3"/>
        <item x="1"/>
        <item x="15"/>
        <item x="17"/>
        <item x="7"/>
        <item x="11"/>
        <item x="4"/>
        <item x="20"/>
        <item x="14"/>
        <item x="12"/>
        <item x="5"/>
        <item x="0"/>
        <item x="16"/>
        <item x="18"/>
        <item x="10"/>
        <item x="2"/>
        <item x="6"/>
        <item x="13"/>
        <item x="8"/>
        <item x="19"/>
        <item x="9"/>
        <item t="default"/>
      </items>
    </pivotField>
    <pivotField showAll="0"/>
    <pivotField dataField="1" numFmtId="164" showAll="0"/>
    <pivotField dataField="1" numFmtId="10" showAll="0"/>
    <pivotField numFmtId="2" showAll="0"/>
    <pivotField dataField="1" numFmtId="10" showAll="0"/>
    <pivotField numFmtId="10" showAll="0"/>
    <pivotField numFmtId="10" showAll="0"/>
    <pivotField dataField="1" numFmtId="10" showAll="0"/>
    <pivotField numFmtId="10" showAll="0"/>
  </pivotFields>
  <rowFields count="2">
    <field x="6"/>
    <field x="7"/>
  </rowFields>
  <rowItems count="29">
    <i>
      <x/>
    </i>
    <i r="1">
      <x v="16"/>
    </i>
    <i r="1">
      <x v="18"/>
    </i>
    <i r="1">
      <x v="19"/>
    </i>
    <i r="1">
      <x v="20"/>
    </i>
    <i>
      <x v="1"/>
    </i>
    <i r="1">
      <x v="2"/>
    </i>
    <i r="1">
      <x v="9"/>
    </i>
    <i r="1">
      <x v="13"/>
    </i>
    <i>
      <x v="2"/>
    </i>
    <i r="1">
      <x v="8"/>
    </i>
    <i r="1">
      <x v="11"/>
    </i>
    <i r="1">
      <x v="12"/>
    </i>
    <i r="1">
      <x v="14"/>
    </i>
    <i>
      <x v="3"/>
    </i>
    <i r="1">
      <x v="3"/>
    </i>
    <i r="1">
      <x v="4"/>
    </i>
    <i r="1">
      <x v="5"/>
    </i>
    <i>
      <x v="4"/>
    </i>
    <i r="1">
      <x/>
    </i>
    <i r="1">
      <x v="1"/>
    </i>
    <i r="1">
      <x v="6"/>
    </i>
    <i r="1">
      <x v="7"/>
    </i>
    <i r="1">
      <x v="10"/>
    </i>
    <i r="1">
      <x v="11"/>
    </i>
    <i r="1">
      <x v="15"/>
    </i>
    <i r="1">
      <x v="17"/>
    </i>
    <i r="1"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MF" fld="0" baseField="0" baseItem="0" numFmtId="10"/>
    <dataField name="Soma de MF - LP" fld="1" baseField="0" baseItem="0" numFmtId="10"/>
    <dataField name="Soma de META" fld="9" baseField="0" baseItem="0" numFmtId="164"/>
    <dataField name="Soma de act_weights" fld="10" baseField="0" baseItem="0" numFmtId="10"/>
    <dataField name="Soma de mandato" fld="12" baseField="0" baseItem="0" numFmtId="10"/>
    <dataField name="Soma de modelo 2.0" fld="15" baseField="0" baseItem="0" numFmtId="10"/>
  </dataFields>
  <conditionalFormats count="2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11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</conditional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EC32C-7B05-469D-959B-113EEE61E5E9}" name="Tabela dinâmica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37:N266" firstHeaderRow="0" firstDataRow="1" firstDataCol="1"/>
  <pivotFields count="16">
    <pivotField dataField="1" numFmtId="10" showAll="0"/>
    <pivotField dataField="1" numFmtId="10" showAll="0"/>
    <pivotField numFmtId="10" showAll="0"/>
    <pivotField numFmtId="10" showAll="0"/>
    <pivotField numFmtId="2" showAll="0"/>
    <pivotField showAll="0"/>
    <pivotField axis="axisRow" showAll="0">
      <items count="6">
        <item x="2"/>
        <item x="4"/>
        <item x="1"/>
        <item x="3"/>
        <item x="0"/>
        <item t="default"/>
      </items>
    </pivotField>
    <pivotField axis="axisRow" showAll="0">
      <items count="22">
        <item x="0"/>
        <item x="3"/>
        <item x="15"/>
        <item x="17"/>
        <item x="7"/>
        <item x="11"/>
        <item x="4"/>
        <item x="20"/>
        <item x="14"/>
        <item x="12"/>
        <item x="5"/>
        <item x="2"/>
        <item x="16"/>
        <item x="18"/>
        <item x="10"/>
        <item x="1"/>
        <item x="6"/>
        <item x="13"/>
        <item x="8"/>
        <item x="19"/>
        <item x="9"/>
        <item t="default"/>
      </items>
    </pivotField>
    <pivotField showAll="0"/>
    <pivotField dataField="1" numFmtId="10" showAll="0"/>
    <pivotField dataField="1" numFmtId="10" showAll="0"/>
    <pivotField numFmtId="10" showAll="0"/>
    <pivotField dataField="1" numFmtId="10" showAll="0"/>
    <pivotField numFmtId="10" showAll="0"/>
    <pivotField dataField="1" numFmtId="10" showAll="0"/>
    <pivotField numFmtId="10" showAll="0"/>
  </pivotFields>
  <rowFields count="2">
    <field x="6"/>
    <field x="7"/>
  </rowFields>
  <rowItems count="29">
    <i>
      <x/>
    </i>
    <i r="1">
      <x v="16"/>
    </i>
    <i r="1">
      <x v="18"/>
    </i>
    <i r="1">
      <x v="19"/>
    </i>
    <i r="1">
      <x v="20"/>
    </i>
    <i>
      <x v="1"/>
    </i>
    <i r="1">
      <x v="2"/>
    </i>
    <i r="1">
      <x v="9"/>
    </i>
    <i r="1">
      <x v="13"/>
    </i>
    <i>
      <x v="2"/>
    </i>
    <i r="1">
      <x v="8"/>
    </i>
    <i r="1">
      <x v="11"/>
    </i>
    <i r="1">
      <x v="12"/>
    </i>
    <i r="1">
      <x v="14"/>
    </i>
    <i>
      <x v="3"/>
    </i>
    <i r="1">
      <x v="3"/>
    </i>
    <i r="1">
      <x v="4"/>
    </i>
    <i r="1">
      <x v="5"/>
    </i>
    <i>
      <x v="4"/>
    </i>
    <i r="1">
      <x/>
    </i>
    <i r="1">
      <x v="1"/>
    </i>
    <i r="1">
      <x v="6"/>
    </i>
    <i r="1">
      <x v="7"/>
    </i>
    <i r="1">
      <x v="10"/>
    </i>
    <i r="1">
      <x v="11"/>
    </i>
    <i r="1">
      <x v="15"/>
    </i>
    <i r="1">
      <x v="17"/>
    </i>
    <i r="1"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MF" fld="0" baseField="0" baseItem="0" numFmtId="10"/>
    <dataField name="Soma de MF - ISEE" fld="1" baseField="0" baseItem="0" numFmtId="10"/>
    <dataField name="Soma de META" fld="9" baseField="0" baseItem="0" numFmtId="10"/>
    <dataField name="Soma de act_weights" fld="10" baseField="0" baseItem="0" numFmtId="10"/>
    <dataField name="Soma de mandato" fld="12" baseField="0" baseItem="0" numFmtId="10"/>
    <dataField name="Soma de modelo 2.0" fld="14" baseField="0" baseItem="0" numFmtId="10"/>
  </dataFields>
  <conditionalFormats count="2">
    <conditionalFormat priority="2">
      <pivotAreas count="10">
        <pivotArea type="data" collapsedLevelsAreSubtotals="1" fieldPosition="0">
          <references count="2">
            <reference field="4294967294" count="1" selected="0">
              <x v="1"/>
            </reference>
            <reference field="6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6" count="1" selected="0">
              <x v="0"/>
            </reference>
            <reference field="7" count="4">
              <x v="16"/>
              <x v="18"/>
              <x v="19"/>
              <x v="20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6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6" count="1" selected="0">
              <x v="1"/>
            </reference>
            <reference field="7" count="3">
              <x v="2"/>
              <x v="9"/>
              <x v="13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6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6" count="1" selected="0">
              <x v="2"/>
            </reference>
            <reference field="7" count="4">
              <x v="8"/>
              <x v="11"/>
              <x v="12"/>
              <x v="14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6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6" count="1" selected="0">
              <x v="3"/>
            </reference>
            <reference field="7" count="3">
              <x v="3"/>
              <x v="4"/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6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6" count="1" selected="0">
              <x v="4"/>
            </reference>
            <reference field="7" count="9">
              <x v="0"/>
              <x v="1"/>
              <x v="6"/>
              <x v="7"/>
              <x v="10"/>
              <x v="11"/>
              <x v="15"/>
              <x v="17"/>
              <x v="19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</conditional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3" tint="0.499984740745262"/>
  </sheetPr>
  <dimension ref="A1:BM277"/>
  <sheetViews>
    <sheetView showGridLines="0" zoomScale="90" zoomScaleNormal="90" workbookViewId="0">
      <pane xSplit="1" ySplit="8" topLeftCell="B59" activePane="bottomRight" state="frozen"/>
      <selection pane="topRight" activeCell="B1" sqref="B1"/>
      <selection pane="bottomLeft" activeCell="A5" sqref="A5"/>
      <selection pane="bottomRight" activeCell="B75" sqref="B75"/>
    </sheetView>
  </sheetViews>
  <sheetFormatPr defaultRowHeight="14.4" x14ac:dyDescent="0.3"/>
  <cols>
    <col min="1" max="4" width="9.44140625" customWidth="1"/>
    <col min="5" max="6" width="11.77734375" customWidth="1"/>
    <col min="7" max="7" width="6" customWidth="1"/>
    <col min="8" max="8" width="16.6640625" customWidth="1"/>
    <col min="9" max="9" width="19" customWidth="1"/>
    <col min="10" max="10" width="16.21875" bestFit="1" customWidth="1"/>
    <col min="11" max="11" width="13.33203125" bestFit="1" customWidth="1"/>
    <col min="12" max="12" width="18.44140625" bestFit="1" customWidth="1"/>
    <col min="13" max="13" width="15.88671875" bestFit="1" customWidth="1"/>
    <col min="14" max="14" width="17.88671875" bestFit="1" customWidth="1"/>
    <col min="15" max="15" width="15.5546875" customWidth="1"/>
    <col min="16" max="16" width="11.21875" customWidth="1"/>
    <col min="17" max="17" width="13.88671875" customWidth="1"/>
    <col min="18" max="30" width="10.5546875" customWidth="1"/>
    <col min="31" max="31" width="10.5546875" style="10" customWidth="1"/>
    <col min="32" max="35" width="10.5546875" customWidth="1"/>
    <col min="36" max="36" width="10.5546875" style="11" customWidth="1"/>
    <col min="37" max="37" width="15.6640625" customWidth="1"/>
    <col min="38" max="38" width="14.33203125" customWidth="1"/>
    <col min="39" max="39" width="15.6640625" customWidth="1"/>
    <col min="40" max="40" width="12.33203125" customWidth="1"/>
    <col min="41" max="41" width="11.33203125" customWidth="1"/>
    <col min="42" max="42" width="11.77734375" customWidth="1"/>
    <col min="43" max="43" width="16" customWidth="1"/>
    <col min="44" max="44" width="21" customWidth="1"/>
    <col min="45" max="45" width="14.21875" customWidth="1"/>
    <col min="46" max="47" width="14.77734375" customWidth="1"/>
    <col min="48" max="48" width="11.44140625" customWidth="1"/>
    <col min="49" max="49" width="10.88671875" customWidth="1"/>
    <col min="50" max="50" width="16.21875" customWidth="1"/>
    <col min="51" max="51" width="18.88671875" customWidth="1"/>
    <col min="52" max="52" width="20.21875" customWidth="1"/>
    <col min="53" max="53" width="16.5546875" customWidth="1"/>
    <col min="54" max="54" width="18.88671875" customWidth="1"/>
    <col min="55" max="56" width="16.21875" customWidth="1"/>
    <col min="57" max="57" width="20.21875" customWidth="1"/>
    <col min="58" max="58" width="16.21875" customWidth="1"/>
    <col min="59" max="59" width="9.44140625" customWidth="1"/>
    <col min="60" max="60" width="20.21875" customWidth="1"/>
    <col min="61" max="61" width="12.109375" customWidth="1"/>
    <col min="62" max="62" width="17.5546875" customWidth="1"/>
    <col min="63" max="63" width="10.77734375" customWidth="1"/>
  </cols>
  <sheetData>
    <row r="1" spans="1:65" x14ac:dyDescent="0.3">
      <c r="B1" s="30">
        <f>COUNTIF(B9:B222,"&gt;0")</f>
        <v>70</v>
      </c>
      <c r="E1" s="30">
        <f>COUNTIF(E9:E222,"&gt;0")</f>
        <v>82</v>
      </c>
      <c r="K1" s="51" t="s">
        <v>322</v>
      </c>
      <c r="L1" s="52" t="s">
        <v>323</v>
      </c>
      <c r="M1" s="52" t="s">
        <v>314</v>
      </c>
      <c r="N1" s="52" t="s">
        <v>315</v>
      </c>
      <c r="O1" s="52" t="s">
        <v>324</v>
      </c>
      <c r="R1" s="85" t="s">
        <v>269</v>
      </c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7"/>
      <c r="AE1" s="93" t="s">
        <v>270</v>
      </c>
      <c r="AF1" s="94"/>
      <c r="AG1" s="94"/>
      <c r="AH1" s="94"/>
      <c r="AI1" s="94"/>
      <c r="AJ1" s="95"/>
      <c r="AK1" s="101" t="s">
        <v>271</v>
      </c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3"/>
    </row>
    <row r="2" spans="1:65" x14ac:dyDescent="0.3">
      <c r="K2" s="28" t="s">
        <v>324</v>
      </c>
      <c r="L2" s="2">
        <f>SQRT(SUMSQ(L9:L222)^2)</f>
        <v>2.8648000000000003E-2</v>
      </c>
      <c r="M2" s="2">
        <f>SQRT(SUMSQ(N9:N222)^2)</f>
        <v>1.1613962963403272E-2</v>
      </c>
      <c r="N2" s="2">
        <f>SQRT(SUMSQ(Q9:Q222)^2)</f>
        <v>1.6104688583483132E-2</v>
      </c>
      <c r="O2" s="2"/>
      <c r="R2" s="88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9"/>
      <c r="AE2" s="96"/>
      <c r="AF2" s="83"/>
      <c r="AG2" s="83"/>
      <c r="AH2" s="83"/>
      <c r="AI2" s="83"/>
      <c r="AJ2" s="97"/>
      <c r="AK2" s="10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105"/>
    </row>
    <row r="3" spans="1:65" ht="15" thickBot="1" x14ac:dyDescent="0.35">
      <c r="E3" s="30" t="s">
        <v>333</v>
      </c>
      <c r="F3" s="5">
        <f>SUMPRODUCT($D$9:$D$222,F9:F222)</f>
        <v>4.5324500000000004E-2</v>
      </c>
      <c r="K3" s="28" t="s">
        <v>327</v>
      </c>
      <c r="L3" s="2">
        <f>SQRT(SUMSQ(C9:C222)^2)</f>
        <v>2.5881000000000015E-2</v>
      </c>
      <c r="M3" s="2">
        <f>SQRT(SUMSQ(O9:O222)^2)</f>
        <v>7.7695004518533095E-3</v>
      </c>
      <c r="O3" s="2">
        <f>SQRT(SUMSQ(D9:D222)^2)</f>
        <v>1.7550000000000003E-3</v>
      </c>
      <c r="R3" s="90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2"/>
      <c r="AE3" s="98"/>
      <c r="AF3" s="99"/>
      <c r="AG3" s="99"/>
      <c r="AH3" s="99"/>
      <c r="AI3" s="99"/>
      <c r="AJ3" s="100"/>
      <c r="AK3" s="106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8"/>
    </row>
    <row r="4" spans="1:65" x14ac:dyDescent="0.3">
      <c r="E4" s="32" t="s">
        <v>319</v>
      </c>
      <c r="F4" s="5">
        <f>SUMPRODUCT($Q$9:$Q$222,F9:F222)</f>
        <v>0.14824029152637971</v>
      </c>
      <c r="K4" s="28"/>
      <c r="L4" s="2"/>
      <c r="M4" s="2"/>
      <c r="O4" s="2"/>
      <c r="Q4" s="30" t="s">
        <v>333</v>
      </c>
      <c r="R4" s="31">
        <f>SUMPRODUCT($D$9:$D$222,R9:R222)</f>
        <v>2.2239999999999972E-3</v>
      </c>
      <c r="S4" s="31">
        <f t="shared" ref="S4:BK4" si="0">SUMPRODUCT($D$9:$D$222,S9:S222)</f>
        <v>3.663700000000001E-2</v>
      </c>
      <c r="T4" s="31">
        <f t="shared" si="0"/>
        <v>-2.1455500000000016E-2</v>
      </c>
      <c r="U4" s="31">
        <f t="shared" si="0"/>
        <v>2.7441999999999994E-2</v>
      </c>
      <c r="V4" s="31">
        <f t="shared" si="0"/>
        <v>2.4823000000000001E-2</v>
      </c>
      <c r="W4" s="31">
        <f t="shared" si="0"/>
        <v>3.2354500000000001E-2</v>
      </c>
      <c r="X4" s="31">
        <f t="shared" si="0"/>
        <v>3.2033499999999999E-2</v>
      </c>
      <c r="Y4" s="31">
        <f t="shared" si="0"/>
        <v>3.9434000000000011E-2</v>
      </c>
      <c r="Z4" s="31">
        <f t="shared" si="0"/>
        <v>1.6882500000000016E-2</v>
      </c>
      <c r="AA4" s="31">
        <f t="shared" si="0"/>
        <v>1.6632000000000011E-2</v>
      </c>
      <c r="AB4" s="31">
        <f t="shared" si="0"/>
        <v>-6.3944999999999991E-3</v>
      </c>
      <c r="AC4" s="31">
        <f t="shared" si="0"/>
        <v>1.323000000000013E-3</v>
      </c>
      <c r="AD4" s="31">
        <f t="shared" si="0"/>
        <v>8.2255000000000071E-3</v>
      </c>
      <c r="AE4" s="31">
        <f t="shared" si="0"/>
        <v>1.6754500000000002E-2</v>
      </c>
      <c r="AF4" s="31">
        <f t="shared" si="0"/>
        <v>-1.4999499999999999E-2</v>
      </c>
      <c r="AG4" s="31">
        <f t="shared" si="0"/>
        <v>3.0644500000000009E-2</v>
      </c>
      <c r="AH4" s="31">
        <f t="shared" si="0"/>
        <v>-2.5230500000000024E-2</v>
      </c>
      <c r="AI4" s="31">
        <f t="shared" si="0"/>
        <v>-2.3958500000000008E-2</v>
      </c>
      <c r="AJ4" s="31">
        <f t="shared" si="0"/>
        <v>-2.3371500000000003E-2</v>
      </c>
      <c r="AK4" s="31">
        <f t="shared" si="0"/>
        <v>1.4487999999999999E-2</v>
      </c>
      <c r="AL4" s="31">
        <f t="shared" si="0"/>
        <v>2.6781499999999996E-2</v>
      </c>
      <c r="AM4" s="31">
        <f t="shared" si="0"/>
        <v>-1.0238000000000018E-2</v>
      </c>
      <c r="AN4" s="31">
        <f t="shared" si="0"/>
        <v>-3.1029500000000002E-2</v>
      </c>
      <c r="AO4" s="31">
        <f t="shared" si="0"/>
        <v>3.5718E-2</v>
      </c>
      <c r="AP4" s="31">
        <f t="shared" si="0"/>
        <v>3.4491000000000001E-2</v>
      </c>
      <c r="AQ4" s="31">
        <f t="shared" si="0"/>
        <v>-1.6542500000000002E-2</v>
      </c>
      <c r="AR4" s="31">
        <f t="shared" si="0"/>
        <v>1.9970499999999995E-2</v>
      </c>
      <c r="AS4" s="31">
        <f t="shared" si="0"/>
        <v>1.436E-2</v>
      </c>
      <c r="AT4" s="31">
        <f t="shared" si="0"/>
        <v>1.0529E-2</v>
      </c>
      <c r="AU4" s="31">
        <f t="shared" si="0"/>
        <v>2.195200000000001E-2</v>
      </c>
      <c r="AV4" s="31">
        <f t="shared" si="0"/>
        <v>1.2821000000000001E-2</v>
      </c>
      <c r="AW4" s="31">
        <f t="shared" si="0"/>
        <v>5.7230000000000093E-3</v>
      </c>
      <c r="AX4" s="31">
        <f t="shared" si="0"/>
        <v>7.280000000000023E-4</v>
      </c>
      <c r="AY4" s="31">
        <f t="shared" si="0"/>
        <v>2.4820000000000068E-3</v>
      </c>
      <c r="AZ4" s="31">
        <f t="shared" si="0"/>
        <v>-4.3499999999996666E-5</v>
      </c>
      <c r="BA4" s="31">
        <f t="shared" si="0"/>
        <v>-8.0510000000000026E-3</v>
      </c>
      <c r="BB4" s="31">
        <f t="shared" si="0"/>
        <v>1.4899999999999918E-4</v>
      </c>
      <c r="BC4" s="31">
        <f t="shared" si="0"/>
        <v>3.5650000000000286E-4</v>
      </c>
      <c r="BD4" s="31">
        <f t="shared" si="0"/>
        <v>1.4016000000000001E-2</v>
      </c>
      <c r="BE4" s="31">
        <f t="shared" si="0"/>
        <v>1.3944999999999995E-3</v>
      </c>
      <c r="BF4" s="31">
        <f t="shared" si="0"/>
        <v>4.6800499999999995E-2</v>
      </c>
      <c r="BG4" s="31">
        <f t="shared" si="0"/>
        <v>5.5279999999999939E-3</v>
      </c>
      <c r="BH4" s="31">
        <f t="shared" si="0"/>
        <v>-1.7165500000000004E-2</v>
      </c>
      <c r="BI4" s="31">
        <f t="shared" si="0"/>
        <v>-4.6682500000000002E-2</v>
      </c>
      <c r="BJ4" s="31">
        <f t="shared" si="0"/>
        <v>-1.3844500000000006E-2</v>
      </c>
      <c r="BK4" s="31">
        <f t="shared" si="0"/>
        <v>-3.9533500000000013E-2</v>
      </c>
    </row>
    <row r="5" spans="1:65" x14ac:dyDescent="0.3">
      <c r="E5" s="32" t="s">
        <v>320</v>
      </c>
      <c r="F5" s="5">
        <f>SUMPRODUCT($N$9:$N$222,F9:F222)</f>
        <v>-0.29501619094694326</v>
      </c>
      <c r="Q5" s="32" t="s">
        <v>319</v>
      </c>
      <c r="R5" s="31">
        <f>SUMPRODUCT($Q$9:$Q$222,R8:R221)</f>
        <v>6.9992676824229744E-2</v>
      </c>
      <c r="S5" s="31">
        <f t="shared" ref="S5:BK5" si="1">SUMPRODUCT($Q$9:$Q$222,S8:S221)</f>
        <v>5.9022074216575918E-2</v>
      </c>
      <c r="T5" s="31">
        <f t="shared" si="1"/>
        <v>4.9883926224398793E-2</v>
      </c>
      <c r="U5" s="31">
        <f t="shared" si="1"/>
        <v>9.2977470789592787E-2</v>
      </c>
      <c r="V5" s="31">
        <f t="shared" si="1"/>
        <v>8.1574548123480639E-2</v>
      </c>
      <c r="W5" s="31">
        <f t="shared" si="1"/>
        <v>6.7072081204669509E-2</v>
      </c>
      <c r="X5" s="31">
        <f t="shared" si="1"/>
        <v>2.9411808288777281E-2</v>
      </c>
      <c r="Y5" s="31">
        <f t="shared" si="1"/>
        <v>6.032943801740958E-2</v>
      </c>
      <c r="Z5" s="31">
        <f t="shared" si="1"/>
        <v>2.9247531914251258E-2</v>
      </c>
      <c r="AA5" s="31">
        <f t="shared" si="1"/>
        <v>2.9029947218408438E-2</v>
      </c>
      <c r="AB5" s="31">
        <f t="shared" si="1"/>
        <v>1.5693485908861278E-2</v>
      </c>
      <c r="AC5" s="31">
        <f t="shared" si="1"/>
        <v>2.3591877196798353E-2</v>
      </c>
      <c r="AD5" s="31">
        <f t="shared" si="1"/>
        <v>2.5636611452057641E-2</v>
      </c>
      <c r="AE5" s="33">
        <f t="shared" si="1"/>
        <v>7.0920371746077848E-2</v>
      </c>
      <c r="AF5" s="34">
        <f t="shared" si="1"/>
        <v>0.10288088709917173</v>
      </c>
      <c r="AG5" s="34">
        <f t="shared" si="1"/>
        <v>7.5837753167464536E-2</v>
      </c>
      <c r="AH5" s="34">
        <f t="shared" si="1"/>
        <v>1.8477370785765945E-2</v>
      </c>
      <c r="AI5" s="34">
        <f t="shared" si="1"/>
        <v>1.7690644112483542E-2</v>
      </c>
      <c r="AJ5" s="35">
        <f t="shared" si="1"/>
        <v>8.8738133160178086E-3</v>
      </c>
      <c r="AK5" s="31">
        <f t="shared" si="1"/>
        <v>1.0536645519346563E-2</v>
      </c>
      <c r="AL5" s="31">
        <f t="shared" si="1"/>
        <v>3.7490202641923973E-2</v>
      </c>
      <c r="AM5" s="31">
        <f t="shared" si="1"/>
        <v>5.0442124474238903E-2</v>
      </c>
      <c r="AN5" s="31">
        <f t="shared" si="1"/>
        <v>-3.2475522936665474E-2</v>
      </c>
      <c r="AO5" s="31">
        <f t="shared" si="1"/>
        <v>2.3654058372436962E-2</v>
      </c>
      <c r="AP5" s="31">
        <f t="shared" si="1"/>
        <v>7.0123251056032829E-2</v>
      </c>
      <c r="AQ5" s="31">
        <f t="shared" si="1"/>
        <v>-1.6286225576260641E-2</v>
      </c>
      <c r="AR5" s="31">
        <f t="shared" si="1"/>
        <v>3.7369199813719278E-2</v>
      </c>
      <c r="AS5" s="31">
        <f t="shared" si="1"/>
        <v>4.9130055807418235E-2</v>
      </c>
      <c r="AT5" s="31">
        <f t="shared" si="1"/>
        <v>-1.5366474351491416E-2</v>
      </c>
      <c r="AU5" s="31">
        <f t="shared" si="1"/>
        <v>1.1609812271457701E-2</v>
      </c>
      <c r="AV5" s="31">
        <f t="shared" si="1"/>
        <v>1.7770684399223552E-2</v>
      </c>
      <c r="AW5" s="31">
        <f t="shared" si="1"/>
        <v>-8.0929424742987796E-3</v>
      </c>
      <c r="AX5" s="31">
        <f t="shared" si="1"/>
        <v>1.0868590012304141E-2</v>
      </c>
      <c r="AY5" s="31">
        <f t="shared" si="1"/>
        <v>-4.2071100843182989E-2</v>
      </c>
      <c r="AZ5" s="31">
        <f t="shared" si="1"/>
        <v>1.8893932559998564E-2</v>
      </c>
      <c r="BA5" s="31">
        <f t="shared" si="1"/>
        <v>-5.0147646525906059E-2</v>
      </c>
      <c r="BB5" s="31">
        <f t="shared" si="1"/>
        <v>3.777606316503337E-4</v>
      </c>
      <c r="BC5" s="31">
        <f t="shared" si="1"/>
        <v>3.222338962664538E-2</v>
      </c>
      <c r="BD5" s="31">
        <f t="shared" si="1"/>
        <v>-2.7457031138040482E-2</v>
      </c>
      <c r="BE5" s="31">
        <f t="shared" si="1"/>
        <v>-8.4988776223028181E-2</v>
      </c>
      <c r="BF5" s="31">
        <f t="shared" si="1"/>
        <v>2.0756270966071553E-2</v>
      </c>
      <c r="BG5" s="31">
        <f t="shared" si="1"/>
        <v>-4.2511683490792901E-2</v>
      </c>
      <c r="BH5" s="31">
        <f t="shared" si="1"/>
        <v>-4.2827042917857716E-2</v>
      </c>
      <c r="BI5" s="31">
        <f t="shared" si="1"/>
        <v>3.9172602280782357E-2</v>
      </c>
      <c r="BJ5" s="31">
        <f t="shared" si="1"/>
        <v>-3.0980496140694837E-2</v>
      </c>
      <c r="BK5" s="31">
        <f t="shared" si="1"/>
        <v>2.113228655204742E-3</v>
      </c>
    </row>
    <row r="6" spans="1:65" x14ac:dyDescent="0.3">
      <c r="E6" s="32" t="s">
        <v>321</v>
      </c>
      <c r="F6" s="5">
        <f>SUMPRODUCT($L$9:$L$222,F9:F222)</f>
        <v>0.94597600000000048</v>
      </c>
      <c r="G6" s="5">
        <f>SUMPRODUCT($L$9:$L$222,G9:G222)</f>
        <v>0.49105199999999982</v>
      </c>
      <c r="Q6" s="32" t="s">
        <v>320</v>
      </c>
      <c r="R6" s="31">
        <f>SUMPRODUCT($N$9:$N$222,R9:R222)</f>
        <v>-0.1638010069521797</v>
      </c>
      <c r="S6" s="31">
        <f t="shared" ref="S6:BK6" si="2">SUMPRODUCT($N$9:$N$222,S9:S222)</f>
        <v>-0.16830965015465474</v>
      </c>
      <c r="T6" s="31">
        <f t="shared" si="2"/>
        <v>-0.10476060766930344</v>
      </c>
      <c r="U6" s="31">
        <f t="shared" si="2"/>
        <v>-0.20004874687159901</v>
      </c>
      <c r="V6" s="31">
        <f t="shared" si="2"/>
        <v>-0.18217703671563734</v>
      </c>
      <c r="W6" s="31">
        <f t="shared" si="2"/>
        <v>-0.17646253955990931</v>
      </c>
      <c r="X6" s="31">
        <f t="shared" si="2"/>
        <v>-0.14720546169464904</v>
      </c>
      <c r="Y6" s="31">
        <f t="shared" si="2"/>
        <v>-0.14473657934840095</v>
      </c>
      <c r="Z6" s="31">
        <f t="shared" si="2"/>
        <v>-3.3348542792502912E-2</v>
      </c>
      <c r="AA6" s="31">
        <f t="shared" si="2"/>
        <v>-3.3216224536622742E-2</v>
      </c>
      <c r="AB6" s="31">
        <f t="shared" si="2"/>
        <v>-9.201218595852205E-3</v>
      </c>
      <c r="AC6" s="31">
        <f t="shared" si="2"/>
        <v>-1.1515416896950681E-2</v>
      </c>
      <c r="AD6" s="31">
        <f t="shared" si="2"/>
        <v>-4.1082385693852141E-2</v>
      </c>
      <c r="AE6" s="33">
        <f t="shared" si="2"/>
        <v>-0.21450281715939973</v>
      </c>
      <c r="AF6" s="34">
        <f t="shared" si="2"/>
        <v>-8.8853213651848645E-2</v>
      </c>
      <c r="AG6" s="34">
        <f t="shared" si="2"/>
        <v>-5.3300999302962462E-2</v>
      </c>
      <c r="AH6" s="34">
        <f t="shared" si="2"/>
        <v>-4.5803467080089519E-2</v>
      </c>
      <c r="AI6" s="34">
        <f t="shared" si="2"/>
        <v>-2.2330985044420399E-2</v>
      </c>
      <c r="AJ6" s="35">
        <f t="shared" si="2"/>
        <v>-9.5380172698721691E-2</v>
      </c>
      <c r="AK6" s="31">
        <f t="shared" si="2"/>
        <v>-7.7905343665499671E-2</v>
      </c>
      <c r="AL6" s="31">
        <f t="shared" si="2"/>
        <v>-4.3772020867075288E-2</v>
      </c>
      <c r="AM6" s="31">
        <f t="shared" si="2"/>
        <v>-8.6145119923459711E-3</v>
      </c>
      <c r="AN6" s="31">
        <f t="shared" si="2"/>
        <v>-1.205630160741146E-2</v>
      </c>
      <c r="AO6" s="31">
        <f t="shared" si="2"/>
        <v>-2.573563286658425E-2</v>
      </c>
      <c r="AP6" s="31">
        <f t="shared" si="2"/>
        <v>-2.3918141793875355E-2</v>
      </c>
      <c r="AQ6" s="31">
        <f t="shared" si="2"/>
        <v>-5.8631852047858125E-2</v>
      </c>
      <c r="AR6" s="31">
        <f t="shared" si="2"/>
        <v>-8.7280458128903421E-2</v>
      </c>
      <c r="AS6" s="31">
        <f t="shared" si="2"/>
        <v>-4.9126520934234627E-2</v>
      </c>
      <c r="AT6" s="31">
        <f t="shared" si="2"/>
        <v>-6.8197315314460147E-2</v>
      </c>
      <c r="AU6" s="31">
        <f t="shared" si="2"/>
        <v>-5.5530677260538931E-2</v>
      </c>
      <c r="AV6" s="31">
        <f t="shared" si="2"/>
        <v>-0.13177779985927587</v>
      </c>
      <c r="AW6" s="31">
        <f t="shared" si="2"/>
        <v>2.1306097460323706E-2</v>
      </c>
      <c r="AX6" s="31">
        <f t="shared" si="2"/>
        <v>-6.0412787411563466E-2</v>
      </c>
      <c r="AY6" s="31">
        <f t="shared" si="2"/>
        <v>5.4177390374389317E-3</v>
      </c>
      <c r="AZ6" s="31">
        <f t="shared" si="2"/>
        <v>-6.8553971720278772E-2</v>
      </c>
      <c r="BA6" s="31">
        <f t="shared" si="2"/>
        <v>-4.6962694328580967E-2</v>
      </c>
      <c r="BB6" s="31">
        <f t="shared" si="2"/>
        <v>-1.6404710560224314E-2</v>
      </c>
      <c r="BC6" s="31">
        <f t="shared" si="2"/>
        <v>-2.812286262651896E-2</v>
      </c>
      <c r="BD6" s="31">
        <f t="shared" si="2"/>
        <v>-4.8869837314067369E-2</v>
      </c>
      <c r="BE6" s="31">
        <f t="shared" si="2"/>
        <v>-3.9464917401894548E-2</v>
      </c>
      <c r="BF6" s="31">
        <f t="shared" si="2"/>
        <v>-0.10746353460453652</v>
      </c>
      <c r="BG6" s="31">
        <f t="shared" si="2"/>
        <v>2.7044785544794402E-2</v>
      </c>
      <c r="BH6" s="31">
        <f t="shared" si="2"/>
        <v>3.5426897707613661E-2</v>
      </c>
      <c r="BI6" s="31">
        <f t="shared" si="2"/>
        <v>5.0206495743839528E-2</v>
      </c>
      <c r="BJ6" s="31">
        <f t="shared" si="2"/>
        <v>-8.1481266442764919E-3</v>
      </c>
      <c r="BK6" s="31">
        <f t="shared" si="2"/>
        <v>-1.7758614350090393E-2</v>
      </c>
    </row>
    <row r="7" spans="1:65" ht="15" thickBot="1" x14ac:dyDescent="0.35">
      <c r="B7" s="54">
        <f>SUM(B9:B222)</f>
        <v>1.0000000000000004</v>
      </c>
      <c r="E7" s="54">
        <f>SUM(E9:E222)</f>
        <v>1.0000000000000002</v>
      </c>
      <c r="K7" s="54">
        <f>SUM(K9:K222)</f>
        <v>1.0020000000000007</v>
      </c>
      <c r="M7" s="54">
        <f>SUM(M9:M222)</f>
        <v>1.0000000000000004</v>
      </c>
      <c r="P7" s="54">
        <f>SUM(P9:P222)</f>
        <v>1.0000000000000002</v>
      </c>
      <c r="Q7" s="32" t="s">
        <v>321</v>
      </c>
      <c r="R7" s="5">
        <f>SUMPRODUCT($L$9:$L$226,R9:R226)</f>
        <v>0.64565700000000004</v>
      </c>
      <c r="S7" s="5">
        <f t="shared" ref="S7:BK7" si="3">SUMPRODUCT($L$9:$L$226,S9:S226)</f>
        <v>0.45068400000000008</v>
      </c>
      <c r="T7" s="5">
        <f t="shared" si="3"/>
        <v>0.71518400000000015</v>
      </c>
      <c r="U7" s="5">
        <f t="shared" si="3"/>
        <v>0.53244599999999975</v>
      </c>
      <c r="V7" s="5">
        <f t="shared" si="3"/>
        <v>0.60871200000000003</v>
      </c>
      <c r="W7" s="5">
        <f t="shared" si="3"/>
        <v>0.52724499999999996</v>
      </c>
      <c r="X7" s="5">
        <f t="shared" si="3"/>
        <v>0.43746100000000027</v>
      </c>
      <c r="Y7" s="5">
        <f t="shared" si="3"/>
        <v>0.47466699999999984</v>
      </c>
      <c r="Z7" s="5">
        <f t="shared" si="3"/>
        <v>0.14986700000000014</v>
      </c>
      <c r="AA7" s="5">
        <f t="shared" si="3"/>
        <v>0.14968900000000004</v>
      </c>
      <c r="AB7" s="5">
        <f t="shared" si="3"/>
        <v>0.14176899999999965</v>
      </c>
      <c r="AC7" s="5">
        <f t="shared" si="3"/>
        <v>9.9283999999999983E-2</v>
      </c>
      <c r="AD7" s="5">
        <f t="shared" si="3"/>
        <v>0.20316900000000002</v>
      </c>
      <c r="AE7" s="36">
        <f t="shared" si="3"/>
        <v>0.46294800000000014</v>
      </c>
      <c r="AF7" s="37">
        <f t="shared" si="3"/>
        <v>0.39547400000000033</v>
      </c>
      <c r="AG7" s="37">
        <f t="shared" si="3"/>
        <v>0.11481000000000001</v>
      </c>
      <c r="AH7" s="37">
        <f t="shared" si="3"/>
        <v>0.49590399999999996</v>
      </c>
      <c r="AI7" s="37">
        <f t="shared" si="3"/>
        <v>0.59575400000000001</v>
      </c>
      <c r="AJ7" s="38">
        <f t="shared" si="3"/>
        <v>0.5667080000000001</v>
      </c>
      <c r="AK7" s="5">
        <f t="shared" si="3"/>
        <v>0.11679899999999999</v>
      </c>
      <c r="AL7" s="5">
        <f t="shared" si="3"/>
        <v>0.28454600000000013</v>
      </c>
      <c r="AM7" s="5">
        <f t="shared" si="3"/>
        <v>0.13921700000000001</v>
      </c>
      <c r="AN7" s="5">
        <f t="shared" si="3"/>
        <v>0.19641400000000006</v>
      </c>
      <c r="AO7" s="5">
        <f t="shared" si="3"/>
        <v>-8.1797999999999912E-2</v>
      </c>
      <c r="AP7" s="5">
        <f t="shared" si="3"/>
        <v>-8.8611999999999982E-2</v>
      </c>
      <c r="AQ7" s="5">
        <f t="shared" si="3"/>
        <v>0.12466599999999989</v>
      </c>
      <c r="AR7" s="5">
        <f t="shared" si="3"/>
        <v>6.9263000000000033E-2</v>
      </c>
      <c r="AS7" s="5">
        <f t="shared" si="3"/>
        <v>0.10950600000000002</v>
      </c>
      <c r="AT7" s="5">
        <f t="shared" si="3"/>
        <v>9.019000000000002E-2</v>
      </c>
      <c r="AU7" s="5">
        <f t="shared" si="3"/>
        <v>1.3213000000000008E-2</v>
      </c>
      <c r="AV7" s="5">
        <f t="shared" si="3"/>
        <v>0.19355500000000009</v>
      </c>
      <c r="AW7" s="5">
        <f t="shared" si="3"/>
        <v>2.9423999999999936E-2</v>
      </c>
      <c r="AX7" s="5">
        <f t="shared" si="3"/>
        <v>0.13806799999999997</v>
      </c>
      <c r="AY7" s="5">
        <f t="shared" si="3"/>
        <v>-2.1598000000000044E-2</v>
      </c>
      <c r="AZ7" s="5">
        <f t="shared" si="3"/>
        <v>0.27019400000000005</v>
      </c>
      <c r="BA7" s="5">
        <f t="shared" si="3"/>
        <v>0.15700100000000008</v>
      </c>
      <c r="BB7" s="5">
        <f t="shared" si="3"/>
        <v>9.940000000000053E-4</v>
      </c>
      <c r="BC7" s="5">
        <f t="shared" si="3"/>
        <v>4.0382000000000008E-2</v>
      </c>
      <c r="BD7" s="5">
        <f t="shared" si="3"/>
        <v>-8.424799999999999E-2</v>
      </c>
      <c r="BE7" s="5">
        <f t="shared" si="3"/>
        <v>0.12038500000000002</v>
      </c>
      <c r="BF7" s="5">
        <f t="shared" si="3"/>
        <v>-6.5800000000000103E-4</v>
      </c>
      <c r="BG7" s="5">
        <f t="shared" si="3"/>
        <v>1.1786999999999895E-2</v>
      </c>
      <c r="BH7" s="5">
        <f t="shared" si="3"/>
        <v>1.0121000000000064E-2</v>
      </c>
      <c r="BI7" s="5">
        <f t="shared" si="3"/>
        <v>5.4592000000000036E-2</v>
      </c>
      <c r="BJ7" s="5">
        <f t="shared" si="3"/>
        <v>0.45372299999999988</v>
      </c>
      <c r="BK7" s="5">
        <f t="shared" si="3"/>
        <v>0.58949500000000021</v>
      </c>
    </row>
    <row r="8" spans="1:65" x14ac:dyDescent="0.3">
      <c r="A8" s="1" t="s">
        <v>0</v>
      </c>
      <c r="B8" s="55" t="s">
        <v>327</v>
      </c>
      <c r="C8" s="56" t="s">
        <v>328</v>
      </c>
      <c r="D8" s="56" t="s">
        <v>332</v>
      </c>
      <c r="E8" s="57" t="s">
        <v>323</v>
      </c>
      <c r="F8" s="1" t="s">
        <v>1</v>
      </c>
      <c r="G8" s="1" t="s">
        <v>2</v>
      </c>
      <c r="H8" s="1" t="s">
        <v>3</v>
      </c>
      <c r="I8" s="22" t="s">
        <v>305</v>
      </c>
      <c r="J8" s="22" t="s">
        <v>307</v>
      </c>
      <c r="K8" s="30" t="s">
        <v>537</v>
      </c>
      <c r="L8" s="63" t="s">
        <v>5</v>
      </c>
      <c r="M8" s="80" t="s">
        <v>316</v>
      </c>
      <c r="N8" s="61" t="s">
        <v>318</v>
      </c>
      <c r="O8" s="46" t="s">
        <v>331</v>
      </c>
      <c r="P8" s="58" t="s">
        <v>317</v>
      </c>
      <c r="Q8" s="46" t="s">
        <v>319</v>
      </c>
      <c r="R8" s="3" t="s">
        <v>6</v>
      </c>
      <c r="S8" s="3" t="s">
        <v>7</v>
      </c>
      <c r="T8" s="3" t="s">
        <v>8</v>
      </c>
      <c r="U8" s="3" t="s">
        <v>9</v>
      </c>
      <c r="V8" s="3" t="s">
        <v>10</v>
      </c>
      <c r="W8" s="3" t="s">
        <v>11</v>
      </c>
      <c r="X8" s="3" t="s">
        <v>12</v>
      </c>
      <c r="Y8" s="3" t="s">
        <v>13</v>
      </c>
      <c r="Z8" s="3" t="s">
        <v>14</v>
      </c>
      <c r="AA8" s="3" t="s">
        <v>15</v>
      </c>
      <c r="AB8" s="3" t="s">
        <v>16</v>
      </c>
      <c r="AC8" s="3" t="s">
        <v>17</v>
      </c>
      <c r="AD8" s="3" t="s">
        <v>18</v>
      </c>
      <c r="AE8" s="14" t="s">
        <v>19</v>
      </c>
      <c r="AF8" s="15" t="s">
        <v>20</v>
      </c>
      <c r="AG8" s="15" t="s">
        <v>21</v>
      </c>
      <c r="AH8" s="15" t="s">
        <v>22</v>
      </c>
      <c r="AI8" s="15" t="s">
        <v>23</v>
      </c>
      <c r="AJ8" s="16" t="s">
        <v>24</v>
      </c>
      <c r="AK8" s="3" t="s">
        <v>25</v>
      </c>
      <c r="AL8" s="3" t="s">
        <v>26</v>
      </c>
      <c r="AM8" s="3" t="s">
        <v>27</v>
      </c>
      <c r="AN8" s="3" t="s">
        <v>28</v>
      </c>
      <c r="AO8" s="3" t="s">
        <v>29</v>
      </c>
      <c r="AP8" s="3" t="s">
        <v>30</v>
      </c>
      <c r="AQ8" s="3" t="s">
        <v>31</v>
      </c>
      <c r="AR8" s="3" t="s">
        <v>32</v>
      </c>
      <c r="AS8" s="3" t="s">
        <v>33</v>
      </c>
      <c r="AT8" s="3" t="s">
        <v>34</v>
      </c>
      <c r="AU8" s="3" t="s">
        <v>35</v>
      </c>
      <c r="AV8" s="3" t="s">
        <v>36</v>
      </c>
      <c r="AW8" s="3" t="s">
        <v>37</v>
      </c>
      <c r="AX8" s="3" t="s">
        <v>38</v>
      </c>
      <c r="AY8" s="3" t="s">
        <v>39</v>
      </c>
      <c r="AZ8" s="3" t="s">
        <v>40</v>
      </c>
      <c r="BA8" s="3" t="s">
        <v>41</v>
      </c>
      <c r="BB8" s="3" t="s">
        <v>42</v>
      </c>
      <c r="BC8" s="3" t="s">
        <v>43</v>
      </c>
      <c r="BD8" s="3" t="s">
        <v>44</v>
      </c>
      <c r="BE8" s="3" t="s">
        <v>45</v>
      </c>
      <c r="BF8" s="3" t="s">
        <v>46</v>
      </c>
      <c r="BG8" s="3" t="s">
        <v>47</v>
      </c>
      <c r="BH8" s="3" t="s">
        <v>48</v>
      </c>
      <c r="BI8" s="3" t="s">
        <v>49</v>
      </c>
      <c r="BJ8" s="3" t="s">
        <v>50</v>
      </c>
      <c r="BK8" s="3" t="s">
        <v>51</v>
      </c>
    </row>
    <row r="9" spans="1:65" hidden="1" x14ac:dyDescent="0.3">
      <c r="A9" t="s">
        <v>52</v>
      </c>
      <c r="B9" s="53">
        <f>K9</f>
        <v>1.4E-2</v>
      </c>
      <c r="C9" s="53">
        <f>B9-E9</f>
        <v>1.4E-2</v>
      </c>
      <c r="D9" s="53">
        <f>B9-K9</f>
        <v>0</v>
      </c>
      <c r="E9" s="53">
        <f>K9-L9</f>
        <v>0</v>
      </c>
      <c r="F9" s="15">
        <v>3.2610000000000001</v>
      </c>
      <c r="G9">
        <v>3.444</v>
      </c>
      <c r="H9" t="s">
        <v>53</v>
      </c>
      <c r="I9" t="str">
        <f>VLOOKUP(A9,Planilha6!$BL$9:$BN$222,2,0)</f>
        <v>financial_services</v>
      </c>
      <c r="J9" t="str">
        <f>VLOOKUP(A9,Planilha6!$BL$9:$BN$222,3,0)</f>
        <v>low_beta</v>
      </c>
      <c r="K9" s="41">
        <v>1.4E-2</v>
      </c>
      <c r="L9" s="42">
        <v>1.4E-2</v>
      </c>
      <c r="M9" s="41">
        <f>VLOOKUP(A9,'Mandato Ibov'!$B$1:$C$215,2,0)</f>
        <v>1.46965161702187E-2</v>
      </c>
      <c r="N9" s="59">
        <f>K9-M9</f>
        <v>-6.965161702186997E-4</v>
      </c>
      <c r="O9" s="42">
        <f>B9-M9</f>
        <v>-6.965161702186997E-4</v>
      </c>
      <c r="P9" s="59">
        <f>VLOOKUP(A9,'Mandato Ibov'!$B$2:$D$215,3,0)</f>
        <v>1.05286394974092E-2</v>
      </c>
      <c r="Q9" s="42">
        <f>K9-P9</f>
        <v>3.4713605025908003E-3</v>
      </c>
      <c r="R9" s="15">
        <v>1</v>
      </c>
      <c r="S9" s="15">
        <v>1</v>
      </c>
      <c r="T9" s="15">
        <v>1</v>
      </c>
      <c r="U9" s="15">
        <v>1</v>
      </c>
      <c r="V9" s="15">
        <v>1</v>
      </c>
      <c r="W9" s="15">
        <v>1</v>
      </c>
      <c r="X9" s="15">
        <v>1</v>
      </c>
      <c r="Y9" s="15">
        <v>0.90300000000000002</v>
      </c>
      <c r="Z9" s="15">
        <v>0.81699999999999995</v>
      </c>
      <c r="AA9" s="15">
        <v>0.82599999999999996</v>
      </c>
      <c r="AB9" s="15">
        <v>1</v>
      </c>
      <c r="AC9" s="15">
        <v>1</v>
      </c>
      <c r="AD9" s="15">
        <v>1</v>
      </c>
      <c r="AE9" s="14">
        <v>1</v>
      </c>
      <c r="AF9" s="15">
        <v>0.24099999999999999</v>
      </c>
      <c r="AG9" s="15">
        <v>0.49</v>
      </c>
      <c r="AH9" s="15">
        <v>0.44700000000000001</v>
      </c>
      <c r="AI9" s="15">
        <v>0.84099999999999997</v>
      </c>
      <c r="AJ9" s="16">
        <v>1</v>
      </c>
      <c r="AK9" s="4">
        <v>0.47699999999999998</v>
      </c>
      <c r="AL9" s="4">
        <v>-0.27100000000000002</v>
      </c>
      <c r="AM9" s="4">
        <v>-0.23599999999999999</v>
      </c>
      <c r="AN9" s="4">
        <v>-5.6000000000000001E-2</v>
      </c>
      <c r="AO9" s="4">
        <v>0.114</v>
      </c>
      <c r="AP9" s="4">
        <v>1.4999999999999999E-2</v>
      </c>
      <c r="AQ9" s="4">
        <v>0.30399999999999999</v>
      </c>
      <c r="AR9" s="4">
        <v>0.17299999999999999</v>
      </c>
      <c r="AS9" s="4">
        <v>0.23300000000000001</v>
      </c>
      <c r="AT9" s="4">
        <v>0.84699999999999998</v>
      </c>
      <c r="AU9" s="4">
        <v>0.51700000000000002</v>
      </c>
      <c r="AV9" s="4">
        <v>0.75900000000000001</v>
      </c>
      <c r="AW9" s="4">
        <v>0.41799999999999998</v>
      </c>
      <c r="AX9" s="4">
        <v>-6.6000000000000003E-2</v>
      </c>
      <c r="AY9" s="4">
        <v>0.63600000000000001</v>
      </c>
      <c r="AZ9" s="4">
        <v>1</v>
      </c>
      <c r="BA9" s="4">
        <v>0.85099999999999998</v>
      </c>
      <c r="BB9" s="4">
        <v>-0.17699999999999999</v>
      </c>
      <c r="BC9" s="4">
        <v>6.0000000000000001E-3</v>
      </c>
      <c r="BD9" s="4">
        <v>0.39300000000000002</v>
      </c>
      <c r="BE9" s="4">
        <v>0.13400000000000001</v>
      </c>
      <c r="BF9" s="4">
        <v>0.78300000000000003</v>
      </c>
      <c r="BG9" s="4">
        <v>0.80900000000000005</v>
      </c>
      <c r="BH9" s="4">
        <v>-0.46899999999999997</v>
      </c>
      <c r="BI9" s="4">
        <v>-0.20200000000000001</v>
      </c>
      <c r="BJ9" s="4">
        <v>0.61499999999999999</v>
      </c>
      <c r="BK9" s="4">
        <v>0.79800000000000004</v>
      </c>
      <c r="BM9" s="4">
        <f>SUMPRODUCT(R9:AD9,$R$225:$AD$225)</f>
        <v>0.96376309999999976</v>
      </c>
    </row>
    <row r="10" spans="1:65" hidden="1" x14ac:dyDescent="0.3">
      <c r="A10" t="s">
        <v>91</v>
      </c>
      <c r="B10" s="53">
        <f>K10</f>
        <v>1.0999999999999999E-2</v>
      </c>
      <c r="C10" s="53">
        <f t="shared" ref="C10:C73" si="4">B10-E10</f>
        <v>1.0999999999999999E-2</v>
      </c>
      <c r="D10" s="53">
        <f t="shared" ref="D10:D73" si="5">B10-K10</f>
        <v>0</v>
      </c>
      <c r="E10" s="53">
        <f t="shared" ref="E10:E73" si="6">K10-L10</f>
        <v>0</v>
      </c>
      <c r="F10" s="15">
        <v>3.2610000000000001</v>
      </c>
      <c r="G10">
        <v>3.1579999999999999</v>
      </c>
      <c r="H10" t="s">
        <v>57</v>
      </c>
      <c r="I10" t="str">
        <f>VLOOKUP(A10,Planilha6!$BL$9:$BN$222,2,0)</f>
        <v>homebuilders</v>
      </c>
      <c r="J10" t="str">
        <f>VLOOKUP(A10,Planilha6!$BL$9:$BN$222,3,0)</f>
        <v>very_high_beta</v>
      </c>
      <c r="K10" s="41">
        <v>1.0999999999999999E-2</v>
      </c>
      <c r="L10" s="42">
        <v>1.0999999999999999E-2</v>
      </c>
      <c r="M10" s="41">
        <f>VLOOKUP(A10,'Mandato Ibov'!$B$1:$C$215,2,0)</f>
        <v>1.46965161702187E-2</v>
      </c>
      <c r="N10" s="59">
        <f t="shared" ref="N10:N73" si="7">K10-M10</f>
        <v>-3.6965161702187006E-3</v>
      </c>
      <c r="O10" s="42">
        <f t="shared" ref="O10:O73" si="8">B10-M10</f>
        <v>-3.6965161702187006E-3</v>
      </c>
      <c r="P10" s="59">
        <f>VLOOKUP(A10,'Mandato Ibov'!$B$2:$D$215,3,0)</f>
        <v>1.12224185713198E-2</v>
      </c>
      <c r="Q10" s="42">
        <f t="shared" ref="Q10:Q73" si="9">K10-P10</f>
        <v>-2.2241857131980076E-4</v>
      </c>
      <c r="R10" s="15">
        <v>1</v>
      </c>
      <c r="S10" s="15">
        <v>1</v>
      </c>
      <c r="T10" s="15">
        <v>0.90700000000000003</v>
      </c>
      <c r="U10" s="15">
        <v>1</v>
      </c>
      <c r="V10" s="15">
        <v>1</v>
      </c>
      <c r="W10" s="15">
        <v>1</v>
      </c>
      <c r="X10" s="15">
        <v>1</v>
      </c>
      <c r="Y10" s="15">
        <v>0.98899999999999999</v>
      </c>
      <c r="Z10" s="15">
        <v>0.91900000000000004</v>
      </c>
      <c r="AA10" s="15">
        <v>0.92200000000000004</v>
      </c>
      <c r="AB10" s="15">
        <v>0.90800000000000003</v>
      </c>
      <c r="AC10" s="15">
        <v>0.95199999999999996</v>
      </c>
      <c r="AD10" s="15">
        <v>1</v>
      </c>
      <c r="AE10" s="14">
        <v>1</v>
      </c>
      <c r="AF10" s="15">
        <v>1</v>
      </c>
      <c r="AG10" s="15">
        <v>1</v>
      </c>
      <c r="AH10" s="15">
        <v>-0.45</v>
      </c>
      <c r="AI10" s="15">
        <v>0.31</v>
      </c>
      <c r="AJ10" s="16">
        <v>0.34</v>
      </c>
      <c r="AK10" s="4">
        <v>0.28699999999999998</v>
      </c>
      <c r="AL10" s="4">
        <v>-0.104</v>
      </c>
      <c r="AM10" s="4">
        <v>-0.45500000000000002</v>
      </c>
      <c r="AN10" s="4">
        <v>0.13600000000000001</v>
      </c>
      <c r="AO10" s="4">
        <v>0.8</v>
      </c>
      <c r="AP10" s="4">
        <v>0.76900000000000002</v>
      </c>
      <c r="AQ10" s="4">
        <v>0.61499999999999999</v>
      </c>
      <c r="AR10" s="4">
        <v>0.41399999999999998</v>
      </c>
      <c r="AS10" s="4">
        <v>0.97599999999999998</v>
      </c>
      <c r="AT10" s="4">
        <v>0.52500000000000002</v>
      </c>
      <c r="AU10" s="4">
        <v>0.91300000000000003</v>
      </c>
      <c r="AV10" s="4">
        <v>0.997</v>
      </c>
      <c r="AW10" s="4">
        <v>-2.9000000000000001E-2</v>
      </c>
      <c r="AX10" s="4">
        <v>0.216</v>
      </c>
      <c r="AY10" s="4">
        <v>0.188</v>
      </c>
      <c r="AZ10" s="4">
        <v>0.76300000000000001</v>
      </c>
      <c r="BA10" s="4">
        <v>0.14899999999999999</v>
      </c>
      <c r="BB10" s="4">
        <v>-0.1</v>
      </c>
      <c r="BC10" s="4">
        <v>0.57299999999999995</v>
      </c>
      <c r="BD10" s="4">
        <v>0.30599999999999999</v>
      </c>
      <c r="BE10" s="4">
        <v>-1</v>
      </c>
      <c r="BF10" s="4">
        <v>0.248</v>
      </c>
      <c r="BG10" s="4">
        <v>-0.13200000000000001</v>
      </c>
      <c r="BH10" s="4">
        <v>-0.67200000000000004</v>
      </c>
      <c r="BI10" s="4">
        <v>0.63100000000000001</v>
      </c>
      <c r="BJ10" s="4">
        <v>2.5000000000000001E-2</v>
      </c>
      <c r="BK10" s="4">
        <v>-0.26800000000000002</v>
      </c>
      <c r="BL10" s="4"/>
      <c r="BM10" s="4">
        <f t="shared" ref="BM10:BM73" si="10">SUMPRODUCT(R10:AD10,$R$225:$AD$225)</f>
        <v>0.98059469999999993</v>
      </c>
    </row>
    <row r="11" spans="1:65" hidden="1" x14ac:dyDescent="0.3">
      <c r="A11" t="s">
        <v>69</v>
      </c>
      <c r="B11" s="53">
        <f>K11</f>
        <v>0.01</v>
      </c>
      <c r="C11" s="53">
        <f t="shared" si="4"/>
        <v>0.01</v>
      </c>
      <c r="D11" s="53">
        <f t="shared" si="5"/>
        <v>0</v>
      </c>
      <c r="E11" s="53">
        <f t="shared" si="6"/>
        <v>0</v>
      </c>
      <c r="F11" s="15">
        <v>3.2610000000000001</v>
      </c>
      <c r="G11">
        <v>3.335</v>
      </c>
      <c r="H11" t="s">
        <v>57</v>
      </c>
      <c r="I11" t="str">
        <f>VLOOKUP(A11,Planilha6!$BL$9:$BN$222,2,0)</f>
        <v>banks</v>
      </c>
      <c r="J11" t="str">
        <f>VLOOKUP(A11,Planilha6!$BL$9:$BN$222,3,0)</f>
        <v>high_beta</v>
      </c>
      <c r="K11" s="41">
        <v>0.01</v>
      </c>
      <c r="L11" s="42">
        <v>0.01</v>
      </c>
      <c r="M11" s="41">
        <f>VLOOKUP(A11,'Mandato Ibov'!$B$1:$C$215,2,0)</f>
        <v>1.46965161702187E-2</v>
      </c>
      <c r="N11" s="59">
        <f t="shared" si="7"/>
        <v>-4.6965161702186998E-3</v>
      </c>
      <c r="O11" s="42">
        <f t="shared" si="8"/>
        <v>-4.6965161702186998E-3</v>
      </c>
      <c r="P11" s="59">
        <f>VLOOKUP(A11,'Mandato Ibov'!$B$2:$D$215,3,0)</f>
        <v>1.12224185713198E-2</v>
      </c>
      <c r="Q11" s="42">
        <f t="shared" si="9"/>
        <v>-1.2224185713197999E-3</v>
      </c>
      <c r="R11" s="15">
        <v>0.91600000000000004</v>
      </c>
      <c r="S11" s="15">
        <v>0.88200000000000001</v>
      </c>
      <c r="T11" s="15">
        <v>0.78900000000000003</v>
      </c>
      <c r="U11" s="15">
        <v>0.877</v>
      </c>
      <c r="V11" s="15">
        <v>0.97499999999999998</v>
      </c>
      <c r="W11" s="15">
        <v>0.70099999999999996</v>
      </c>
      <c r="X11" s="15">
        <v>0.54200000000000004</v>
      </c>
      <c r="Y11" s="15">
        <v>0.73199999999999998</v>
      </c>
      <c r="Z11" s="15">
        <v>1</v>
      </c>
      <c r="AA11" s="15">
        <v>1</v>
      </c>
      <c r="AB11" s="15">
        <v>1</v>
      </c>
      <c r="AC11" s="15">
        <v>0.97299999999999998</v>
      </c>
      <c r="AD11" s="15">
        <v>1</v>
      </c>
      <c r="AE11" s="14">
        <v>5.2999999999999999E-2</v>
      </c>
      <c r="AF11" s="15">
        <v>1</v>
      </c>
      <c r="AG11" s="15">
        <v>1</v>
      </c>
      <c r="AH11" s="15">
        <v>6.0999999999999999E-2</v>
      </c>
      <c r="AI11" s="15">
        <v>0.60899999999999999</v>
      </c>
      <c r="AJ11" s="16">
        <v>0.34499999999999997</v>
      </c>
      <c r="AK11" s="4">
        <v>7.5999999999999998E-2</v>
      </c>
      <c r="AL11" s="4">
        <v>0.43</v>
      </c>
      <c r="AM11" s="4">
        <v>0.45300000000000001</v>
      </c>
      <c r="AN11" s="4">
        <v>5.7000000000000002E-2</v>
      </c>
      <c r="AO11" s="4">
        <v>0.65200000000000002</v>
      </c>
      <c r="AP11" s="4">
        <v>0.106</v>
      </c>
      <c r="AQ11" s="4">
        <v>0.54400000000000004</v>
      </c>
      <c r="AR11" s="4">
        <v>1</v>
      </c>
      <c r="AS11" s="4">
        <v>-3.1E-2</v>
      </c>
      <c r="AT11" s="4">
        <v>5.6000000000000001E-2</v>
      </c>
      <c r="AU11" s="4">
        <v>-0.20399999999999999</v>
      </c>
      <c r="AV11" s="4">
        <v>-0.217</v>
      </c>
      <c r="AW11" s="4">
        <v>0.52500000000000002</v>
      </c>
      <c r="AX11" s="4">
        <v>-0.14000000000000001</v>
      </c>
      <c r="AY11" s="4">
        <v>0.81200000000000006</v>
      </c>
      <c r="AZ11" s="4">
        <v>0.15</v>
      </c>
      <c r="BA11" s="4">
        <v>-0.23799999999999999</v>
      </c>
      <c r="BB11" s="4">
        <v>6.4000000000000001E-2</v>
      </c>
      <c r="BC11" s="4">
        <v>1E-3</v>
      </c>
      <c r="BD11" s="4">
        <v>0.64700000000000002</v>
      </c>
      <c r="BE11" s="4">
        <v>-0.45700000000000002</v>
      </c>
      <c r="BF11" s="4">
        <v>-0.309</v>
      </c>
      <c r="BG11" s="4">
        <v>0.33700000000000002</v>
      </c>
      <c r="BH11" s="4">
        <v>-0.754</v>
      </c>
      <c r="BI11" s="4">
        <v>7.0000000000000007E-2</v>
      </c>
      <c r="BJ11" s="4">
        <v>0.65400000000000003</v>
      </c>
      <c r="BK11" s="4">
        <v>0.64200000000000002</v>
      </c>
      <c r="BL11" s="4"/>
      <c r="BM11" s="4">
        <f t="shared" si="10"/>
        <v>0.86317149999999998</v>
      </c>
    </row>
    <row r="12" spans="1:65" hidden="1" x14ac:dyDescent="0.3">
      <c r="A12" t="s">
        <v>60</v>
      </c>
      <c r="B12" s="53">
        <f>K12</f>
        <v>8.9999999999999993E-3</v>
      </c>
      <c r="C12" s="53">
        <f t="shared" si="4"/>
        <v>8.9999999999999993E-3</v>
      </c>
      <c r="D12" s="53">
        <f t="shared" si="5"/>
        <v>0</v>
      </c>
      <c r="E12" s="53">
        <f t="shared" si="6"/>
        <v>0</v>
      </c>
      <c r="F12" s="15">
        <v>3.2610000000000001</v>
      </c>
      <c r="G12">
        <v>2.528</v>
      </c>
      <c r="H12" t="s">
        <v>57</v>
      </c>
      <c r="I12" t="str">
        <f>VLOOKUP(A12,Planilha6!$BL$9:$BN$222,2,0)</f>
        <v>apparel</v>
      </c>
      <c r="J12" t="str">
        <f>VLOOKUP(A12,Planilha6!$BL$9:$BN$222,3,0)</f>
        <v>very_high_beta</v>
      </c>
      <c r="K12" s="41">
        <v>8.9999999999999993E-3</v>
      </c>
      <c r="L12" s="42">
        <v>8.9999999999999993E-3</v>
      </c>
      <c r="M12" s="41">
        <f>VLOOKUP(A12,'Mandato Ibov'!$B$1:$C$215,2,0)</f>
        <v>1.46965161702187E-2</v>
      </c>
      <c r="N12" s="59">
        <f t="shared" si="7"/>
        <v>-5.6965161702187007E-3</v>
      </c>
      <c r="O12" s="42">
        <f t="shared" si="8"/>
        <v>-5.6965161702187007E-3</v>
      </c>
      <c r="P12" s="59">
        <f>VLOOKUP(A12,'Mandato Ibov'!$B$2:$D$215,3,0)</f>
        <v>1.07967207296109E-2</v>
      </c>
      <c r="Q12" s="42">
        <f t="shared" si="9"/>
        <v>-1.7967207296109011E-3</v>
      </c>
      <c r="R12" s="15">
        <v>1</v>
      </c>
      <c r="S12" s="15">
        <v>1</v>
      </c>
      <c r="T12" s="15">
        <v>1</v>
      </c>
      <c r="U12" s="15">
        <v>1</v>
      </c>
      <c r="V12" s="15">
        <v>1</v>
      </c>
      <c r="W12" s="15">
        <v>0.97499999999999998</v>
      </c>
      <c r="X12" s="15">
        <v>0.68799999999999994</v>
      </c>
      <c r="Y12" s="15">
        <v>0.58599999999999997</v>
      </c>
      <c r="Z12" s="15">
        <v>0.95499999999999996</v>
      </c>
      <c r="AA12" s="15">
        <v>0.95899999999999996</v>
      </c>
      <c r="AB12" s="15">
        <v>0.80400000000000005</v>
      </c>
      <c r="AC12" s="15">
        <v>0.85499999999999998</v>
      </c>
      <c r="AD12" s="15">
        <v>0.96799999999999997</v>
      </c>
      <c r="AE12" s="14">
        <v>1</v>
      </c>
      <c r="AF12" s="15">
        <v>1</v>
      </c>
      <c r="AG12" s="15">
        <v>0.65200000000000002</v>
      </c>
      <c r="AH12" s="15">
        <v>0.03</v>
      </c>
      <c r="AI12" s="15">
        <v>0.26500000000000001</v>
      </c>
      <c r="AJ12" s="16">
        <v>0.68100000000000005</v>
      </c>
      <c r="AK12" s="4">
        <v>0.45900000000000002</v>
      </c>
      <c r="AL12" s="4">
        <v>0.10100000000000001</v>
      </c>
      <c r="AM12" s="4">
        <v>-0.14799999999999999</v>
      </c>
      <c r="AN12" s="4">
        <v>0.505</v>
      </c>
      <c r="AO12" s="4">
        <v>0.28199999999999997</v>
      </c>
      <c r="AP12" s="4">
        <v>0.441</v>
      </c>
      <c r="AQ12" s="4">
        <v>0.61199999999999999</v>
      </c>
      <c r="AR12" s="4">
        <v>0.999</v>
      </c>
      <c r="AS12" s="4">
        <v>0.66200000000000003</v>
      </c>
      <c r="AT12" s="4">
        <v>0.65700000000000003</v>
      </c>
      <c r="AU12" s="4">
        <v>0.11799999999999999</v>
      </c>
      <c r="AV12" s="4">
        <v>0.78200000000000003</v>
      </c>
      <c r="AW12" s="4">
        <v>-0.56699999999999995</v>
      </c>
      <c r="AX12" s="4">
        <v>0.214</v>
      </c>
      <c r="AY12" s="4">
        <v>0.626</v>
      </c>
      <c r="AZ12" s="4">
        <v>0.55300000000000005</v>
      </c>
      <c r="BA12" s="4">
        <v>-0.497</v>
      </c>
      <c r="BB12" s="4">
        <v>0.17899999999999999</v>
      </c>
      <c r="BC12" s="4">
        <v>5.7000000000000002E-2</v>
      </c>
      <c r="BD12" s="4">
        <v>0.60899999999999999</v>
      </c>
      <c r="BE12" s="4">
        <v>-0.77300000000000002</v>
      </c>
      <c r="BF12" s="4">
        <v>-0.53700000000000003</v>
      </c>
      <c r="BG12" s="4">
        <v>0.24199999999999999</v>
      </c>
      <c r="BH12" s="4">
        <v>-0.52300000000000002</v>
      </c>
      <c r="BI12" s="4">
        <v>0.42799999999999999</v>
      </c>
      <c r="BJ12" s="4">
        <v>0.23499999999999999</v>
      </c>
      <c r="BK12" s="4">
        <v>0.13100000000000001</v>
      </c>
      <c r="BL12" s="4"/>
      <c r="BM12" s="4">
        <f t="shared" si="10"/>
        <v>0.87152319999999994</v>
      </c>
    </row>
    <row r="13" spans="1:65" hidden="1" x14ac:dyDescent="0.3">
      <c r="A13" t="s">
        <v>77</v>
      </c>
      <c r="B13" s="53">
        <f>K13</f>
        <v>8.9999999999999993E-3</v>
      </c>
      <c r="C13" s="53">
        <f t="shared" si="4"/>
        <v>8.9999999999999993E-3</v>
      </c>
      <c r="D13" s="53">
        <f t="shared" si="5"/>
        <v>0</v>
      </c>
      <c r="E13" s="53">
        <f t="shared" si="6"/>
        <v>0</v>
      </c>
      <c r="F13" s="15">
        <v>3.2610000000000001</v>
      </c>
      <c r="G13">
        <v>2.5739999999999998</v>
      </c>
      <c r="H13" t="s">
        <v>57</v>
      </c>
      <c r="I13" t="str">
        <f>VLOOKUP(A13,Planilha6!$BL$9:$BN$222,2,0)</f>
        <v>education</v>
      </c>
      <c r="J13" t="str">
        <f>VLOOKUP(A13,Planilha6!$BL$9:$BN$222,3,0)</f>
        <v>high_beta</v>
      </c>
      <c r="K13" s="41">
        <v>8.9999999999999993E-3</v>
      </c>
      <c r="L13" s="42">
        <v>8.9999999999999993E-3</v>
      </c>
      <c r="M13" s="41">
        <f>VLOOKUP(A13,'Mandato Ibov'!$B$1:$C$215,2,0)</f>
        <v>1.46965161702187E-2</v>
      </c>
      <c r="N13" s="59">
        <f t="shared" si="7"/>
        <v>-5.6965161702187007E-3</v>
      </c>
      <c r="O13" s="42">
        <f t="shared" si="8"/>
        <v>-5.6965161702187007E-3</v>
      </c>
      <c r="P13" s="59">
        <f>VLOOKUP(A13,'Mandato Ibov'!$B$2:$D$215,3,0)</f>
        <v>1.0573983866079001E-2</v>
      </c>
      <c r="Q13" s="42">
        <f t="shared" si="9"/>
        <v>-1.5739838660790012E-3</v>
      </c>
      <c r="R13" s="15">
        <v>1</v>
      </c>
      <c r="S13" s="15">
        <v>1</v>
      </c>
      <c r="T13" s="15">
        <v>1</v>
      </c>
      <c r="U13" s="15">
        <v>1</v>
      </c>
      <c r="V13" s="15">
        <v>1</v>
      </c>
      <c r="W13" s="15">
        <v>1</v>
      </c>
      <c r="X13" s="15">
        <v>0.94099999999999995</v>
      </c>
      <c r="Y13" s="15">
        <v>0.76800000000000002</v>
      </c>
      <c r="Z13" s="15">
        <v>0.61399999999999999</v>
      </c>
      <c r="AA13" s="15">
        <v>0.61599999999999999</v>
      </c>
      <c r="AB13" s="15">
        <v>1</v>
      </c>
      <c r="AC13" s="15">
        <v>0.95099999999999996</v>
      </c>
      <c r="AD13" s="15">
        <v>0.93500000000000005</v>
      </c>
      <c r="AE13" s="14">
        <v>1</v>
      </c>
      <c r="AF13" s="15">
        <v>1</v>
      </c>
      <c r="AG13" s="15">
        <v>0.124</v>
      </c>
      <c r="AH13" s="15">
        <v>0.20599999999999999</v>
      </c>
      <c r="AI13" s="15">
        <v>0.40300000000000002</v>
      </c>
      <c r="AJ13" s="16">
        <v>1</v>
      </c>
      <c r="AK13" s="4">
        <v>0.371</v>
      </c>
      <c r="AL13" s="4">
        <v>9.9000000000000005E-2</v>
      </c>
      <c r="AM13" s="4">
        <v>-0.60299999999999998</v>
      </c>
      <c r="AN13" s="4">
        <v>0.33100000000000002</v>
      </c>
      <c r="AO13" s="4">
        <v>0.06</v>
      </c>
      <c r="AP13" s="4">
        <v>-0.193</v>
      </c>
      <c r="AQ13" s="4">
        <v>0.8</v>
      </c>
      <c r="AR13" s="4">
        <v>1</v>
      </c>
      <c r="AS13" s="4">
        <v>0.84899999999999998</v>
      </c>
      <c r="AT13" s="4">
        <v>0.50600000000000001</v>
      </c>
      <c r="AU13" s="4">
        <v>4.2000000000000003E-2</v>
      </c>
      <c r="AV13" s="4">
        <v>0.92600000000000005</v>
      </c>
      <c r="AW13" s="4">
        <v>-0.17</v>
      </c>
      <c r="AX13" s="4">
        <v>-5.1999999999999998E-2</v>
      </c>
      <c r="AY13" s="4">
        <v>0.81</v>
      </c>
      <c r="AZ13" s="4">
        <v>0.998</v>
      </c>
      <c r="BA13" s="4">
        <v>0.872</v>
      </c>
      <c r="BB13" s="4">
        <v>-5.0999999999999997E-2</v>
      </c>
      <c r="BC13" s="4">
        <v>-0.10299999999999999</v>
      </c>
      <c r="BD13" s="4">
        <v>0.23200000000000001</v>
      </c>
      <c r="BE13" s="4">
        <v>0.29799999999999999</v>
      </c>
      <c r="BF13" s="4">
        <v>1</v>
      </c>
      <c r="BG13" s="4">
        <v>0.51700000000000002</v>
      </c>
      <c r="BH13" s="4">
        <v>-0.44500000000000001</v>
      </c>
      <c r="BI13" s="4">
        <v>0.13900000000000001</v>
      </c>
      <c r="BJ13" s="4">
        <v>0.71499999999999997</v>
      </c>
      <c r="BK13" s="4">
        <v>0.318</v>
      </c>
      <c r="BL13" s="4"/>
      <c r="BM13" s="4">
        <f t="shared" si="10"/>
        <v>0.90056119999999984</v>
      </c>
    </row>
    <row r="14" spans="1:65" hidden="1" x14ac:dyDescent="0.3">
      <c r="A14" t="s">
        <v>59</v>
      </c>
      <c r="B14" s="53">
        <v>8.9999999999999993E-3</v>
      </c>
      <c r="C14" s="53">
        <f t="shared" si="4"/>
        <v>8.9999999999999993E-3</v>
      </c>
      <c r="D14" s="53">
        <f t="shared" si="5"/>
        <v>9.9999999999999915E-4</v>
      </c>
      <c r="E14" s="53">
        <f t="shared" si="6"/>
        <v>0</v>
      </c>
      <c r="F14" s="15">
        <v>3.2610000000000001</v>
      </c>
      <c r="G14">
        <v>2.528</v>
      </c>
      <c r="H14" t="s">
        <v>57</v>
      </c>
      <c r="I14" t="str">
        <f>VLOOKUP(A14,Planilha6!$BL$9:$BN$222,2,0)</f>
        <v>consumer_durables</v>
      </c>
      <c r="J14" t="str">
        <f>VLOOKUP(A14,Planilha6!$BL$9:$BN$222,3,0)</f>
        <v>very_low_beta</v>
      </c>
      <c r="K14" s="41">
        <v>8.0000000000000002E-3</v>
      </c>
      <c r="L14" s="42">
        <v>8.0000000000000002E-3</v>
      </c>
      <c r="M14" s="41">
        <f>VLOOKUP(A14,'Mandato Ibov'!$B$1:$C$215,2,0)</f>
        <v>1.46965161702187E-2</v>
      </c>
      <c r="N14" s="59">
        <f t="shared" si="7"/>
        <v>-6.6965161702186998E-3</v>
      </c>
      <c r="O14" s="42">
        <f t="shared" si="8"/>
        <v>-5.6965161702187007E-3</v>
      </c>
      <c r="P14" s="59">
        <f>VLOOKUP(A14,'Mandato Ibov'!$B$2:$D$215,3,0)</f>
        <v>1.12224185713198E-2</v>
      </c>
      <c r="Q14" s="42">
        <f t="shared" si="9"/>
        <v>-3.2224185713198E-3</v>
      </c>
      <c r="R14" s="15">
        <v>1</v>
      </c>
      <c r="S14" s="15">
        <v>0.90600000000000003</v>
      </c>
      <c r="T14" s="15">
        <v>1</v>
      </c>
      <c r="U14" s="15">
        <v>1</v>
      </c>
      <c r="V14" s="15">
        <v>1</v>
      </c>
      <c r="W14" s="15">
        <v>1</v>
      </c>
      <c r="X14" s="15">
        <v>1</v>
      </c>
      <c r="Y14" s="15">
        <v>1</v>
      </c>
      <c r="Z14" s="15">
        <v>1</v>
      </c>
      <c r="AA14" s="15">
        <v>1</v>
      </c>
      <c r="AB14" s="15">
        <v>0.84699999999999998</v>
      </c>
      <c r="AC14" s="15">
        <v>0.80900000000000005</v>
      </c>
      <c r="AD14" s="15">
        <v>0.96599999999999997</v>
      </c>
      <c r="AE14" s="14">
        <v>1</v>
      </c>
      <c r="AF14" s="15">
        <v>1</v>
      </c>
      <c r="AG14" s="15">
        <v>0.17399999999999999</v>
      </c>
      <c r="AH14" s="15">
        <v>1</v>
      </c>
      <c r="AI14" s="15">
        <v>-3.5999999999999997E-2</v>
      </c>
      <c r="AJ14" s="16">
        <v>1</v>
      </c>
      <c r="AK14" s="4">
        <v>0.89300000000000002</v>
      </c>
      <c r="AL14" s="4">
        <v>1</v>
      </c>
      <c r="AM14" s="4">
        <v>0.503</v>
      </c>
      <c r="AN14" s="4">
        <v>0.72199999999999998</v>
      </c>
      <c r="AO14" s="4">
        <v>-0.35399999999999998</v>
      </c>
      <c r="AP14" s="4">
        <v>-0.49299999999999999</v>
      </c>
      <c r="AQ14" s="4">
        <v>0.36899999999999999</v>
      </c>
      <c r="AR14" s="4">
        <v>-0.124</v>
      </c>
      <c r="AS14" s="4">
        <v>-6.0000000000000001E-3</v>
      </c>
      <c r="AT14" s="4">
        <v>0.80800000000000005</v>
      </c>
      <c r="AU14" s="4">
        <v>-0.377</v>
      </c>
      <c r="AV14" s="4">
        <v>0.63700000000000001</v>
      </c>
      <c r="AW14" s="4">
        <v>0.36099999999999999</v>
      </c>
      <c r="AX14" s="4">
        <v>9.7000000000000003E-2</v>
      </c>
      <c r="AY14" s="4">
        <v>0.67400000000000004</v>
      </c>
      <c r="AZ14" s="4">
        <v>0.223</v>
      </c>
      <c r="BA14" s="4">
        <v>0.65500000000000003</v>
      </c>
      <c r="BB14" s="4">
        <v>0.318</v>
      </c>
      <c r="BC14" s="4">
        <v>0.317</v>
      </c>
      <c r="BD14" s="4">
        <v>0.50900000000000001</v>
      </c>
      <c r="BE14" s="4">
        <v>0.86399999999999999</v>
      </c>
      <c r="BF14" s="4">
        <v>1</v>
      </c>
      <c r="BG14" s="4">
        <v>0.73199999999999998</v>
      </c>
      <c r="BH14" s="4">
        <v>-0.45600000000000002</v>
      </c>
      <c r="BI14" s="4">
        <v>-0.442</v>
      </c>
      <c r="BJ14" s="4">
        <v>0.47099999999999997</v>
      </c>
      <c r="BK14" s="4">
        <v>0.79200000000000004</v>
      </c>
      <c r="BL14" s="4"/>
      <c r="BM14" s="4">
        <f t="shared" si="10"/>
        <v>0.97666459999999999</v>
      </c>
    </row>
    <row r="15" spans="1:65" hidden="1" x14ac:dyDescent="0.3">
      <c r="A15" t="s">
        <v>66</v>
      </c>
      <c r="B15" s="53">
        <f>K15</f>
        <v>8.0000000000000002E-3</v>
      </c>
      <c r="C15" s="53">
        <f t="shared" si="4"/>
        <v>8.0000000000000002E-3</v>
      </c>
      <c r="D15" s="53">
        <f t="shared" si="5"/>
        <v>0</v>
      </c>
      <c r="E15" s="53">
        <f t="shared" si="6"/>
        <v>0</v>
      </c>
      <c r="F15" s="15">
        <v>3.2570000000000001</v>
      </c>
      <c r="G15">
        <v>2.5369999999999999</v>
      </c>
      <c r="H15" t="s">
        <v>55</v>
      </c>
      <c r="I15" t="str">
        <f>VLOOKUP(A15,Planilha6!$BL$9:$BN$222,2,0)</f>
        <v>real_estate</v>
      </c>
      <c r="J15" t="str">
        <f>VLOOKUP(A15,Planilha6!$BL$9:$BN$222,3,0)</f>
        <v>neutral_beta</v>
      </c>
      <c r="K15" s="41">
        <v>8.0000000000000002E-3</v>
      </c>
      <c r="L15" s="42">
        <v>8.0000000000000002E-3</v>
      </c>
      <c r="M15" s="41">
        <f>VLOOKUP(A15,'Mandato Ibov'!$B$1:$C$215,2,0)</f>
        <v>1.4680455299235199E-2</v>
      </c>
      <c r="N15" s="59">
        <f t="shared" si="7"/>
        <v>-6.6804552992351992E-3</v>
      </c>
      <c r="O15" s="42">
        <f t="shared" si="8"/>
        <v>-6.6804552992351992E-3</v>
      </c>
      <c r="P15" s="59">
        <f>VLOOKUP(A15,'Mandato Ibov'!$B$2:$D$215,3,0)</f>
        <v>7.4194024038451902E-3</v>
      </c>
      <c r="Q15" s="42">
        <f t="shared" si="9"/>
        <v>5.8059759615480995E-4</v>
      </c>
      <c r="R15" s="15">
        <v>0.97699999999999998</v>
      </c>
      <c r="S15" s="15">
        <v>0.59</v>
      </c>
      <c r="T15" s="15">
        <v>1</v>
      </c>
      <c r="U15" s="15">
        <v>0.90700000000000003</v>
      </c>
      <c r="V15" s="15">
        <v>0.96599999999999997</v>
      </c>
      <c r="W15" s="15">
        <v>0.96399999999999997</v>
      </c>
      <c r="X15" s="15">
        <v>0.95899999999999996</v>
      </c>
      <c r="Y15" s="15">
        <v>0.97299999999999998</v>
      </c>
      <c r="Z15" s="15">
        <v>0.64200000000000002</v>
      </c>
      <c r="AA15" s="15">
        <v>0.64200000000000002</v>
      </c>
      <c r="AB15" s="15">
        <v>0.626</v>
      </c>
      <c r="AC15" s="15">
        <v>0.45700000000000002</v>
      </c>
      <c r="AD15" s="15">
        <v>0.79900000000000004</v>
      </c>
      <c r="AE15" s="14">
        <v>1</v>
      </c>
      <c r="AF15" s="15">
        <v>1</v>
      </c>
      <c r="AG15" s="15">
        <v>-0.379</v>
      </c>
      <c r="AH15" s="15">
        <v>1</v>
      </c>
      <c r="AI15" s="15">
        <v>0.193</v>
      </c>
      <c r="AJ15" s="16">
        <v>1</v>
      </c>
      <c r="AK15" s="4">
        <v>0.33400000000000002</v>
      </c>
      <c r="AL15" s="4">
        <v>1</v>
      </c>
      <c r="AM15" s="4">
        <v>0.19900000000000001</v>
      </c>
      <c r="AN15" s="4">
        <v>-0.22500000000000001</v>
      </c>
      <c r="AO15" s="4">
        <v>-0.224</v>
      </c>
      <c r="AP15" s="4">
        <v>-0.27800000000000002</v>
      </c>
      <c r="AQ15" s="4">
        <v>0.71899999999999997</v>
      </c>
      <c r="AR15" s="4">
        <v>-0.751</v>
      </c>
      <c r="AS15" s="4">
        <v>1.0999999999999999E-2</v>
      </c>
      <c r="AT15" s="4">
        <v>4.0000000000000001E-3</v>
      </c>
      <c r="AU15" s="4">
        <v>0.18</v>
      </c>
      <c r="AV15" s="4">
        <v>0.53300000000000003</v>
      </c>
      <c r="AW15" s="4">
        <v>0.247</v>
      </c>
      <c r="AX15" s="4">
        <v>-0.371</v>
      </c>
      <c r="AY15" s="4">
        <v>0.35199999999999998</v>
      </c>
      <c r="AZ15" s="4">
        <v>0.25600000000000001</v>
      </c>
      <c r="BA15" s="4">
        <v>0.14499999999999999</v>
      </c>
      <c r="BB15" s="4">
        <v>0.68600000000000005</v>
      </c>
      <c r="BC15" s="4">
        <v>1</v>
      </c>
      <c r="BD15" s="4">
        <v>0.72</v>
      </c>
      <c r="BE15" s="4">
        <v>0.83399999999999996</v>
      </c>
      <c r="BF15" s="4">
        <v>1</v>
      </c>
      <c r="BG15" s="4">
        <v>0.33500000000000002</v>
      </c>
      <c r="BH15" s="4">
        <v>-0.90600000000000003</v>
      </c>
      <c r="BI15" s="4">
        <v>0.26</v>
      </c>
      <c r="BJ15" s="4">
        <v>0.61799999999999999</v>
      </c>
      <c r="BK15" s="4">
        <v>0.77100000000000002</v>
      </c>
      <c r="BL15" s="4"/>
      <c r="BM15" s="4">
        <f t="shared" si="10"/>
        <v>0.86035190000000006</v>
      </c>
    </row>
    <row r="16" spans="1:65" hidden="1" x14ac:dyDescent="0.3">
      <c r="A16" t="s">
        <v>67</v>
      </c>
      <c r="B16" s="53">
        <f>K16</f>
        <v>8.9999999999999993E-3</v>
      </c>
      <c r="C16" s="53">
        <f t="shared" si="4"/>
        <v>8.9999999999999993E-3</v>
      </c>
      <c r="D16" s="53">
        <f t="shared" si="5"/>
        <v>0</v>
      </c>
      <c r="E16" s="53">
        <f t="shared" si="6"/>
        <v>0</v>
      </c>
      <c r="F16" s="15">
        <v>3.2280000000000002</v>
      </c>
      <c r="G16">
        <v>2.9489999999999998</v>
      </c>
      <c r="H16" t="s">
        <v>68</v>
      </c>
      <c r="I16" t="str">
        <f>VLOOKUP(A16,Planilha6!$BL$9:$BN$222,2,0)</f>
        <v>capital_goods</v>
      </c>
      <c r="J16" t="str">
        <f>VLOOKUP(A16,Planilha6!$BL$9:$BN$222,3,0)</f>
        <v>neutral_beta</v>
      </c>
      <c r="K16" s="41">
        <v>8.9999999999999993E-3</v>
      </c>
      <c r="L16" s="42">
        <v>8.9999999999999993E-3</v>
      </c>
      <c r="M16" s="41">
        <f>VLOOKUP(A16,'Mandato Ibov'!$B$1:$C$215,2,0)</f>
        <v>1.4549271125567099E-2</v>
      </c>
      <c r="N16" s="59">
        <f t="shared" si="7"/>
        <v>-5.5492711255670998E-3</v>
      </c>
      <c r="O16" s="42">
        <f t="shared" si="8"/>
        <v>-5.5492711255670998E-3</v>
      </c>
      <c r="P16" s="59">
        <f>VLOOKUP(A16,'Mandato Ibov'!$B$2:$D$215,3,0)</f>
        <v>6.8122102154550297E-3</v>
      </c>
      <c r="Q16" s="42">
        <f t="shared" si="9"/>
        <v>2.1877897845449697E-3</v>
      </c>
      <c r="R16" s="15">
        <v>0.83899999999999997</v>
      </c>
      <c r="S16" s="15">
        <v>0.877</v>
      </c>
      <c r="T16" s="15">
        <v>0.67200000000000004</v>
      </c>
      <c r="U16" s="15">
        <v>0.93200000000000005</v>
      </c>
      <c r="V16" s="15">
        <v>1</v>
      </c>
      <c r="W16" s="15">
        <v>1</v>
      </c>
      <c r="X16" s="15">
        <v>1</v>
      </c>
      <c r="Y16" s="15">
        <v>1</v>
      </c>
      <c r="Z16" s="15">
        <v>0.64200000000000002</v>
      </c>
      <c r="AA16" s="15">
        <v>0.64700000000000002</v>
      </c>
      <c r="AB16" s="15">
        <v>0.80800000000000005</v>
      </c>
      <c r="AC16" s="15">
        <v>0.75600000000000001</v>
      </c>
      <c r="AD16" s="15">
        <v>0.70399999999999996</v>
      </c>
      <c r="AE16" s="14">
        <v>1</v>
      </c>
      <c r="AF16" s="15">
        <v>1</v>
      </c>
      <c r="AG16" s="15">
        <v>-0.19700000000000001</v>
      </c>
      <c r="AH16" s="15">
        <v>-0.41899999999999998</v>
      </c>
      <c r="AI16" s="15">
        <v>-0.26100000000000001</v>
      </c>
      <c r="AJ16" s="16">
        <v>0.40500000000000003</v>
      </c>
      <c r="AK16" s="4">
        <v>-3.0000000000000001E-3</v>
      </c>
      <c r="AL16" s="4">
        <v>0.60099999999999998</v>
      </c>
      <c r="AM16" s="4">
        <v>-0.61399999999999999</v>
      </c>
      <c r="AN16" s="4">
        <v>0.42899999999999999</v>
      </c>
      <c r="AO16" s="4">
        <v>-0.10299999999999999</v>
      </c>
      <c r="AP16" s="4">
        <v>0.28599999999999998</v>
      </c>
      <c r="AQ16" s="4">
        <v>0.94099999999999995</v>
      </c>
      <c r="AR16" s="4">
        <v>0.126</v>
      </c>
      <c r="AS16" s="4">
        <v>-0.52700000000000002</v>
      </c>
      <c r="AT16" s="4">
        <v>0.71899999999999997</v>
      </c>
      <c r="AU16" s="4">
        <v>-2.9000000000000001E-2</v>
      </c>
      <c r="AV16" s="4">
        <v>0.53900000000000003</v>
      </c>
      <c r="AW16" s="4">
        <v>0.42</v>
      </c>
      <c r="AX16" s="4">
        <v>0.16300000000000001</v>
      </c>
      <c r="AY16" s="4">
        <v>0.91</v>
      </c>
      <c r="AZ16" s="4">
        <v>1</v>
      </c>
      <c r="BA16" s="4">
        <v>0.58099999999999996</v>
      </c>
      <c r="BB16" s="4">
        <v>-4.5999999999999999E-2</v>
      </c>
      <c r="BC16" s="4">
        <v>-0.16700000000000001</v>
      </c>
      <c r="BD16" s="4">
        <v>0.22</v>
      </c>
      <c r="BE16" s="4">
        <v>-0.34499999999999997</v>
      </c>
      <c r="BF16" s="4">
        <v>-0.61699999999999999</v>
      </c>
      <c r="BG16" s="4">
        <v>0.56299999999999994</v>
      </c>
      <c r="BH16" s="4">
        <v>-0.98899999999999999</v>
      </c>
      <c r="BI16" s="4">
        <v>0.35499999999999998</v>
      </c>
      <c r="BJ16" s="4">
        <v>0.72</v>
      </c>
      <c r="BK16" s="4">
        <v>-0.20899999999999999</v>
      </c>
      <c r="BL16" s="4"/>
      <c r="BM16" s="4">
        <f t="shared" si="10"/>
        <v>0.84996819999999995</v>
      </c>
    </row>
    <row r="17" spans="1:65" hidden="1" x14ac:dyDescent="0.3">
      <c r="A17" t="s">
        <v>100</v>
      </c>
      <c r="B17" s="53">
        <f>K17</f>
        <v>1.2E-2</v>
      </c>
      <c r="C17" s="53">
        <f t="shared" si="4"/>
        <v>1.2E-2</v>
      </c>
      <c r="D17" s="53">
        <f t="shared" si="5"/>
        <v>0</v>
      </c>
      <c r="E17" s="53">
        <f t="shared" si="6"/>
        <v>0</v>
      </c>
      <c r="F17" s="15">
        <v>3.1320000000000001</v>
      </c>
      <c r="G17">
        <v>3.8759999999999999</v>
      </c>
      <c r="H17" t="s">
        <v>68</v>
      </c>
      <c r="I17" t="str">
        <f>VLOOKUP(A17,Planilha6!$BL$9:$BN$222,2,0)</f>
        <v>capital_goods</v>
      </c>
      <c r="J17" t="str">
        <f>VLOOKUP(A17,Planilha6!$BL$9:$BN$222,3,0)</f>
        <v>low_beta</v>
      </c>
      <c r="K17" s="41">
        <v>1.2E-2</v>
      </c>
      <c r="L17" s="42">
        <v>1.2E-2</v>
      </c>
      <c r="M17" s="41">
        <f>VLOOKUP(A17,'Mandato Ibov'!$B$1:$C$215,2,0)</f>
        <v>1.41175971050346E-2</v>
      </c>
      <c r="N17" s="59">
        <f t="shared" si="7"/>
        <v>-2.1175971050345996E-3</v>
      </c>
      <c r="O17" s="42">
        <f t="shared" si="8"/>
        <v>-2.1175971050345996E-3</v>
      </c>
      <c r="P17" s="59">
        <f>VLOOKUP(A17,'Mandato Ibov'!$B$2:$D$215,3,0)</f>
        <v>7.7194534733707604E-3</v>
      </c>
      <c r="Q17" s="42">
        <f t="shared" si="9"/>
        <v>4.2805465266292399E-3</v>
      </c>
      <c r="R17" s="15">
        <v>0.72099999999999997</v>
      </c>
      <c r="S17" s="15">
        <v>0.878</v>
      </c>
      <c r="T17" s="15">
        <v>0.70799999999999996</v>
      </c>
      <c r="U17" s="15">
        <v>0.28199999999999997</v>
      </c>
      <c r="V17" s="15">
        <v>0.70599999999999996</v>
      </c>
      <c r="W17" s="15">
        <v>0.77800000000000002</v>
      </c>
      <c r="X17" s="15">
        <v>0.84</v>
      </c>
      <c r="Y17" s="15">
        <v>0.77</v>
      </c>
      <c r="Z17" s="15">
        <v>0.98199999999999998</v>
      </c>
      <c r="AA17" s="15">
        <v>0.98199999999999998</v>
      </c>
      <c r="AB17" s="15">
        <v>0.92100000000000004</v>
      </c>
      <c r="AC17" s="15">
        <v>0.97399999999999998</v>
      </c>
      <c r="AD17" s="15">
        <v>0.97599999999999998</v>
      </c>
      <c r="AE17" s="14">
        <v>-0.33400000000000002</v>
      </c>
      <c r="AF17" s="15">
        <v>-0.29599999999999999</v>
      </c>
      <c r="AG17" s="15">
        <v>0.308</v>
      </c>
      <c r="AH17" s="15">
        <v>0.127</v>
      </c>
      <c r="AI17" s="15">
        <v>0.94699999999999995</v>
      </c>
      <c r="AJ17" s="16">
        <v>-0.13500000000000001</v>
      </c>
      <c r="AK17" s="4">
        <v>-4.5999999999999999E-2</v>
      </c>
      <c r="AL17" s="4">
        <v>0.33</v>
      </c>
      <c r="AM17" s="4">
        <v>-0.42599999999999999</v>
      </c>
      <c r="AN17" s="4">
        <v>0.436</v>
      </c>
      <c r="AO17" s="4">
        <v>0.439</v>
      </c>
      <c r="AP17" s="4">
        <v>0.29399999999999998</v>
      </c>
      <c r="AQ17" s="4">
        <v>-4.3999999999999997E-2</v>
      </c>
      <c r="AR17" s="4">
        <v>0.28000000000000003</v>
      </c>
      <c r="AS17" s="4">
        <v>0.16900000000000001</v>
      </c>
      <c r="AT17" s="4">
        <v>0.36</v>
      </c>
      <c r="AU17" s="4">
        <v>-0.14299999999999999</v>
      </c>
      <c r="AV17" s="4">
        <v>-0.152</v>
      </c>
      <c r="AW17" s="4">
        <v>0.73299999999999998</v>
      </c>
      <c r="AX17" s="4">
        <v>0.49399999999999999</v>
      </c>
      <c r="AY17" s="4">
        <v>0.90500000000000003</v>
      </c>
      <c r="AZ17" s="4">
        <v>0.70599999999999996</v>
      </c>
      <c r="BA17" s="4">
        <v>0.81399999999999995</v>
      </c>
      <c r="BB17" s="4">
        <v>-0.14399999999999999</v>
      </c>
      <c r="BC17" s="4">
        <v>-0.183</v>
      </c>
      <c r="BD17" s="4">
        <v>-4.4999999999999998E-2</v>
      </c>
      <c r="BE17" s="4">
        <v>0.26900000000000002</v>
      </c>
      <c r="BF17" s="4">
        <v>0.31</v>
      </c>
      <c r="BG17" s="4">
        <v>1</v>
      </c>
      <c r="BH17" s="4">
        <v>-0.443</v>
      </c>
      <c r="BI17" s="4">
        <v>-2.3E-2</v>
      </c>
      <c r="BJ17" s="4">
        <v>0.85799999999999998</v>
      </c>
      <c r="BK17" s="4">
        <v>0.28599999999999998</v>
      </c>
      <c r="BL17" s="4"/>
      <c r="BM17" s="4">
        <f t="shared" si="10"/>
        <v>0.81605519999999987</v>
      </c>
    </row>
    <row r="18" spans="1:65" hidden="1" x14ac:dyDescent="0.3">
      <c r="A18" t="s">
        <v>54</v>
      </c>
      <c r="B18" s="53">
        <f>K18</f>
        <v>1.2E-2</v>
      </c>
      <c r="C18" s="53">
        <f t="shared" si="4"/>
        <v>1.2E-2</v>
      </c>
      <c r="D18" s="53">
        <f t="shared" si="5"/>
        <v>0</v>
      </c>
      <c r="E18" s="53">
        <f t="shared" si="6"/>
        <v>0</v>
      </c>
      <c r="F18" s="15">
        <v>3.0819999999999999</v>
      </c>
      <c r="G18">
        <v>3.1739999999999999</v>
      </c>
      <c r="H18" t="s">
        <v>55</v>
      </c>
      <c r="I18" t="str">
        <f>VLOOKUP(A18,Planilha6!$BL$9:$BN$222,2,0)</f>
        <v>telecom</v>
      </c>
      <c r="J18" t="str">
        <f>VLOOKUP(A18,Planilha6!$BL$9:$BN$222,3,0)</f>
        <v>low_beta</v>
      </c>
      <c r="K18" s="41">
        <v>1.2E-2</v>
      </c>
      <c r="L18" s="42">
        <v>1.2E-2</v>
      </c>
      <c r="M18" s="41">
        <f>VLOOKUP(A18,'Mandato Ibov'!$B$1:$C$215,2,0)</f>
        <v>1.3891662283693E-2</v>
      </c>
      <c r="N18" s="59">
        <f t="shared" si="7"/>
        <v>-1.8916622836930002E-3</v>
      </c>
      <c r="O18" s="42">
        <f t="shared" si="8"/>
        <v>-1.8916622836930002E-3</v>
      </c>
      <c r="P18" s="59">
        <f>VLOOKUP(A18,'Mandato Ibov'!$B$2:$D$215,3,0)</f>
        <v>1.12224185713198E-2</v>
      </c>
      <c r="Q18" s="42">
        <f t="shared" si="9"/>
        <v>7.7758142868020012E-4</v>
      </c>
      <c r="R18" s="15">
        <v>0.88600000000000001</v>
      </c>
      <c r="S18" s="15">
        <v>0.82299999999999995</v>
      </c>
      <c r="T18" s="15">
        <v>0.71299999999999997</v>
      </c>
      <c r="U18" s="15">
        <v>0.99399999999999999</v>
      </c>
      <c r="V18" s="15">
        <v>0.95199999999999996</v>
      </c>
      <c r="W18" s="15">
        <v>0.64200000000000002</v>
      </c>
      <c r="X18" s="15">
        <v>0.61599999999999999</v>
      </c>
      <c r="Y18" s="15">
        <v>0.58499999999999996</v>
      </c>
      <c r="Z18" s="15">
        <v>0.66800000000000004</v>
      </c>
      <c r="AA18" s="15">
        <v>0.67600000000000005</v>
      </c>
      <c r="AB18" s="15">
        <v>1</v>
      </c>
      <c r="AC18" s="15">
        <v>1</v>
      </c>
      <c r="AD18" s="15">
        <v>1</v>
      </c>
      <c r="AE18" s="14">
        <v>0.629</v>
      </c>
      <c r="AF18" s="15">
        <v>-1.2E-2</v>
      </c>
      <c r="AG18" s="15">
        <v>0.84699999999999998</v>
      </c>
      <c r="AH18" s="15">
        <v>-0.23400000000000001</v>
      </c>
      <c r="AI18" s="15">
        <v>1</v>
      </c>
      <c r="AJ18" s="16">
        <v>1</v>
      </c>
      <c r="AK18" s="4">
        <v>-0.23</v>
      </c>
      <c r="AL18" s="4">
        <v>9.0999999999999998E-2</v>
      </c>
      <c r="AM18" s="4">
        <v>-0.76800000000000002</v>
      </c>
      <c r="AN18" s="4">
        <v>8.9999999999999993E-3</v>
      </c>
      <c r="AO18" s="4">
        <v>0.871</v>
      </c>
      <c r="AP18" s="4">
        <v>0.81299999999999994</v>
      </c>
      <c r="AQ18" s="4">
        <v>0.29799999999999999</v>
      </c>
      <c r="AR18" s="4">
        <v>0.19900000000000001</v>
      </c>
      <c r="AS18" s="4">
        <v>0.439</v>
      </c>
      <c r="AT18" s="4">
        <v>0.52300000000000002</v>
      </c>
      <c r="AU18" s="4">
        <v>0.36</v>
      </c>
      <c r="AV18" s="4">
        <v>0.72199999999999998</v>
      </c>
      <c r="AW18" s="4">
        <v>0.44600000000000001</v>
      </c>
      <c r="AX18" s="4">
        <v>-6.8000000000000005E-2</v>
      </c>
      <c r="AY18" s="4">
        <v>0.93</v>
      </c>
      <c r="AZ18" s="4">
        <v>-0.66100000000000003</v>
      </c>
      <c r="BA18" s="4">
        <v>0.85099999999999998</v>
      </c>
      <c r="BB18" s="4">
        <v>-0.161</v>
      </c>
      <c r="BC18" s="4">
        <v>-0.29699999999999999</v>
      </c>
      <c r="BD18" s="4">
        <v>0.59699999999999998</v>
      </c>
      <c r="BE18" s="4">
        <v>-1</v>
      </c>
      <c r="BF18" s="4">
        <v>-0.32</v>
      </c>
      <c r="BG18" s="4">
        <v>-0.17</v>
      </c>
      <c r="BH18" s="4">
        <v>-0.54100000000000004</v>
      </c>
      <c r="BI18" s="4">
        <v>-0.36099999999999999</v>
      </c>
      <c r="BJ18" s="4">
        <v>0.7</v>
      </c>
      <c r="BK18" s="4">
        <v>0.46800000000000003</v>
      </c>
      <c r="BL18" s="4"/>
      <c r="BM18" s="4">
        <f t="shared" si="10"/>
        <v>0.79813709999999993</v>
      </c>
    </row>
    <row r="19" spans="1:65" hidden="1" x14ac:dyDescent="0.3">
      <c r="A19" t="s">
        <v>86</v>
      </c>
      <c r="B19" s="53">
        <v>1.4E-2</v>
      </c>
      <c r="C19" s="53">
        <f t="shared" si="4"/>
        <v>1.4E-2</v>
      </c>
      <c r="D19" s="53">
        <f t="shared" si="5"/>
        <v>-9.9999999999999915E-4</v>
      </c>
      <c r="E19" s="53">
        <f t="shared" si="6"/>
        <v>0</v>
      </c>
      <c r="F19" s="15">
        <v>3.077</v>
      </c>
      <c r="G19">
        <v>3.0960000000000001</v>
      </c>
      <c r="H19" t="s">
        <v>57</v>
      </c>
      <c r="I19" t="str">
        <f>VLOOKUP(A19,Planilha6!$BL$9:$BN$222,2,0)</f>
        <v>homebuilders</v>
      </c>
      <c r="J19" t="str">
        <f>VLOOKUP(A19,Planilha6!$BL$9:$BN$222,3,0)</f>
        <v>neutral_beta</v>
      </c>
      <c r="K19" s="41">
        <v>1.4999999999999999E-2</v>
      </c>
      <c r="L19" s="42">
        <v>1.4999999999999999E-2</v>
      </c>
      <c r="M19" s="41">
        <f>VLOOKUP(A19,'Mandato Ibov'!$B$1:$C$215,2,0)</f>
        <v>1.38697468515052E-2</v>
      </c>
      <c r="N19" s="59">
        <f t="shared" si="7"/>
        <v>1.1302531484947993E-3</v>
      </c>
      <c r="O19" s="42">
        <f t="shared" si="8"/>
        <v>1.302531484948001E-4</v>
      </c>
      <c r="P19" s="59">
        <f>VLOOKUP(A19,'Mandato Ibov'!$B$2:$D$215,3,0)</f>
        <v>1.0241009279439901E-2</v>
      </c>
      <c r="Q19" s="42">
        <f t="shared" si="9"/>
        <v>4.7589907205600988E-3</v>
      </c>
      <c r="R19" s="15">
        <v>0.879</v>
      </c>
      <c r="S19" s="15">
        <v>0.60399999999999998</v>
      </c>
      <c r="T19" s="15">
        <v>0.94699999999999995</v>
      </c>
      <c r="U19" s="15">
        <v>0.57799999999999996</v>
      </c>
      <c r="V19" s="15">
        <v>0.76</v>
      </c>
      <c r="W19" s="15">
        <v>0.77</v>
      </c>
      <c r="X19" s="15">
        <v>0.73199999999999998</v>
      </c>
      <c r="Y19" s="15">
        <v>0.68500000000000005</v>
      </c>
      <c r="Z19" s="15">
        <v>0.68500000000000005</v>
      </c>
      <c r="AA19" s="15">
        <v>0.68700000000000006</v>
      </c>
      <c r="AB19" s="15">
        <v>1</v>
      </c>
      <c r="AC19" s="15">
        <v>0.95299999999999996</v>
      </c>
      <c r="AD19" s="15">
        <v>0.91700000000000004</v>
      </c>
      <c r="AE19" s="14">
        <v>0.52700000000000002</v>
      </c>
      <c r="AF19" s="15">
        <v>0.46500000000000002</v>
      </c>
      <c r="AG19" s="15">
        <v>0.502</v>
      </c>
      <c r="AH19" s="15">
        <v>1</v>
      </c>
      <c r="AI19" s="15">
        <v>0.96599999999999997</v>
      </c>
      <c r="AJ19" s="16">
        <v>1.7999999999999999E-2</v>
      </c>
      <c r="AK19" s="4">
        <v>-0.107</v>
      </c>
      <c r="AL19" s="4">
        <v>0.71399999999999997</v>
      </c>
      <c r="AM19" s="4">
        <v>0.31900000000000001</v>
      </c>
      <c r="AN19" s="4">
        <v>0.34899999999999998</v>
      </c>
      <c r="AO19" s="4">
        <v>1.0999999999999999E-2</v>
      </c>
      <c r="AP19" s="4">
        <v>0.21</v>
      </c>
      <c r="AQ19" s="4">
        <v>0.26300000000000001</v>
      </c>
      <c r="AR19" s="4">
        <v>0.13600000000000001</v>
      </c>
      <c r="AS19" s="4">
        <v>-8.1000000000000003E-2</v>
      </c>
      <c r="AT19" s="4">
        <v>1.2999999999999999E-2</v>
      </c>
      <c r="AU19" s="4">
        <v>-0.221</v>
      </c>
      <c r="AV19" s="4">
        <v>7.6999999999999999E-2</v>
      </c>
      <c r="AW19" s="4">
        <v>-6.4000000000000001E-2</v>
      </c>
      <c r="AX19" s="4">
        <v>-0.28499999999999998</v>
      </c>
      <c r="AY19" s="4">
        <v>0.76500000000000001</v>
      </c>
      <c r="AZ19" s="4">
        <v>0.183</v>
      </c>
      <c r="BA19" s="4">
        <v>0.55800000000000005</v>
      </c>
      <c r="BB19" s="4">
        <v>4.8000000000000001E-2</v>
      </c>
      <c r="BC19" s="4">
        <v>-0.27500000000000002</v>
      </c>
      <c r="BD19" s="4">
        <v>0.13100000000000001</v>
      </c>
      <c r="BE19" s="4">
        <v>6.4000000000000001E-2</v>
      </c>
      <c r="BF19" s="4">
        <v>3.0000000000000001E-3</v>
      </c>
      <c r="BG19" s="4">
        <v>0.91700000000000004</v>
      </c>
      <c r="BH19" s="4">
        <v>-0.14199999999999999</v>
      </c>
      <c r="BI19" s="4">
        <v>0.23300000000000001</v>
      </c>
      <c r="BJ19" s="4">
        <v>0.59499999999999997</v>
      </c>
      <c r="BK19" s="4">
        <v>0.83699999999999997</v>
      </c>
      <c r="BL19" s="4"/>
      <c r="BM19" s="4">
        <f t="shared" si="10"/>
        <v>0.7963066000000002</v>
      </c>
    </row>
    <row r="20" spans="1:65" hidden="1" x14ac:dyDescent="0.3">
      <c r="A20" t="s">
        <v>73</v>
      </c>
      <c r="B20" s="53">
        <f>K20</f>
        <v>1.2E-2</v>
      </c>
      <c r="C20" s="53">
        <f t="shared" si="4"/>
        <v>1.2E-2</v>
      </c>
      <c r="D20" s="53">
        <f t="shared" si="5"/>
        <v>0</v>
      </c>
      <c r="E20" s="53">
        <f t="shared" si="6"/>
        <v>0</v>
      </c>
      <c r="F20" s="15">
        <v>3.0529999999999999</v>
      </c>
      <c r="G20">
        <v>3.2589999999999999</v>
      </c>
      <c r="H20" t="s">
        <v>57</v>
      </c>
      <c r="I20" t="str">
        <f>VLOOKUP(A20,Planilha6!$BL$9:$BN$222,2,0)</f>
        <v>banks</v>
      </c>
      <c r="J20" t="str">
        <f>VLOOKUP(A20,Planilha6!$BL$9:$BN$222,3,0)</f>
        <v>high_beta</v>
      </c>
      <c r="K20" s="41">
        <v>1.2E-2</v>
      </c>
      <c r="L20" s="42">
        <v>1.2E-2</v>
      </c>
      <c r="M20" s="41">
        <f>VLOOKUP(A20,'Mandato Ibov'!$B$1:$C$215,2,0)</f>
        <v>1.3762926282832899E-2</v>
      </c>
      <c r="N20" s="59">
        <f t="shared" si="7"/>
        <v>-1.7629262828328992E-3</v>
      </c>
      <c r="O20" s="42">
        <f t="shared" si="8"/>
        <v>-1.7629262828328992E-3</v>
      </c>
      <c r="P20" s="59">
        <f>VLOOKUP(A20,'Mandato Ibov'!$B$2:$D$215,3,0)</f>
        <v>1.1060179214809601E-2</v>
      </c>
      <c r="Q20" s="42">
        <f t="shared" si="9"/>
        <v>9.3982078519039974E-4</v>
      </c>
      <c r="R20" s="15">
        <v>0.72199999999999998</v>
      </c>
      <c r="S20" s="15">
        <v>0.82199999999999995</v>
      </c>
      <c r="T20" s="15">
        <v>0.38300000000000001</v>
      </c>
      <c r="U20" s="15">
        <v>0.77</v>
      </c>
      <c r="V20" s="15">
        <v>0.83499999999999996</v>
      </c>
      <c r="W20" s="15">
        <v>0.66200000000000003</v>
      </c>
      <c r="X20" s="15">
        <v>0.56899999999999995</v>
      </c>
      <c r="Y20" s="15">
        <v>0.68200000000000005</v>
      </c>
      <c r="Z20" s="15">
        <v>1</v>
      </c>
      <c r="AA20" s="15">
        <v>1</v>
      </c>
      <c r="AB20" s="15">
        <v>0.95699999999999996</v>
      </c>
      <c r="AC20" s="15">
        <v>0.98499999999999999</v>
      </c>
      <c r="AD20" s="15">
        <v>1</v>
      </c>
      <c r="AE20" s="14">
        <v>2E-3</v>
      </c>
      <c r="AF20" s="15">
        <v>0.92</v>
      </c>
      <c r="AG20" s="15">
        <v>1</v>
      </c>
      <c r="AH20" s="15">
        <v>-9.1999999999999998E-2</v>
      </c>
      <c r="AI20" s="15">
        <v>0.3</v>
      </c>
      <c r="AJ20" s="16">
        <v>-0.51600000000000001</v>
      </c>
      <c r="AK20" s="4">
        <v>6.7000000000000004E-2</v>
      </c>
      <c r="AL20" s="4">
        <v>0.28399999999999997</v>
      </c>
      <c r="AM20" s="4">
        <v>0.45600000000000002</v>
      </c>
      <c r="AN20" s="4">
        <v>0.40100000000000002</v>
      </c>
      <c r="AO20" s="4">
        <v>0.626</v>
      </c>
      <c r="AP20" s="4">
        <v>0.129</v>
      </c>
      <c r="AQ20" s="4">
        <v>0.23899999999999999</v>
      </c>
      <c r="AR20" s="4">
        <v>0.56599999999999995</v>
      </c>
      <c r="AS20" s="4">
        <v>0.68300000000000005</v>
      </c>
      <c r="AT20" s="4">
        <v>7.3999999999999996E-2</v>
      </c>
      <c r="AU20" s="4">
        <v>-0.17599999999999999</v>
      </c>
      <c r="AV20" s="4">
        <v>-0.128</v>
      </c>
      <c r="AW20" s="4">
        <v>0.45500000000000002</v>
      </c>
      <c r="AX20" s="4">
        <v>-0.56299999999999994</v>
      </c>
      <c r="AY20" s="4">
        <v>0.71399999999999997</v>
      </c>
      <c r="AZ20" s="4">
        <v>0.39700000000000002</v>
      </c>
      <c r="BA20" s="4">
        <v>0.39</v>
      </c>
      <c r="BB20" s="4">
        <v>-0.151</v>
      </c>
      <c r="BC20" s="4">
        <v>-6.6000000000000003E-2</v>
      </c>
      <c r="BD20" s="4">
        <v>0.45400000000000001</v>
      </c>
      <c r="BE20" s="4">
        <v>0.49399999999999999</v>
      </c>
      <c r="BF20" s="4">
        <v>1</v>
      </c>
      <c r="BG20" s="4">
        <v>0.46600000000000003</v>
      </c>
      <c r="BH20" s="4">
        <v>-0.57999999999999996</v>
      </c>
      <c r="BI20" s="4">
        <v>3.5000000000000003E-2</v>
      </c>
      <c r="BJ20" s="4">
        <v>0.20699999999999999</v>
      </c>
      <c r="BK20" s="4">
        <v>0.40300000000000002</v>
      </c>
      <c r="BL20" s="4"/>
      <c r="BM20" s="4">
        <f t="shared" si="10"/>
        <v>0.78800179999999997</v>
      </c>
    </row>
    <row r="21" spans="1:65" hidden="1" x14ac:dyDescent="0.3">
      <c r="A21" t="s">
        <v>58</v>
      </c>
      <c r="B21" s="53">
        <f>K21</f>
        <v>8.9999999999999993E-3</v>
      </c>
      <c r="C21" s="53">
        <f t="shared" si="4"/>
        <v>8.9999999999999993E-3</v>
      </c>
      <c r="D21" s="53">
        <f t="shared" si="5"/>
        <v>0</v>
      </c>
      <c r="E21" s="53">
        <f t="shared" si="6"/>
        <v>0</v>
      </c>
      <c r="F21" s="15">
        <v>3.0070000000000001</v>
      </c>
      <c r="G21">
        <v>3.0760000000000001</v>
      </c>
      <c r="H21" t="s">
        <v>57</v>
      </c>
      <c r="I21" t="str">
        <f>VLOOKUP(A21,Planilha6!$BL$9:$BN$222,2,0)</f>
        <v>apparel</v>
      </c>
      <c r="J21" t="str">
        <f>VLOOKUP(A21,Planilha6!$BL$9:$BN$222,3,0)</f>
        <v>very_low_beta</v>
      </c>
      <c r="K21" s="41">
        <v>8.9999999999999993E-3</v>
      </c>
      <c r="L21" s="42">
        <v>8.9999999999999993E-3</v>
      </c>
      <c r="M21" s="41">
        <f>VLOOKUP(A21,'Mandato Ibov'!$B$1:$C$215,2,0)</f>
        <v>1.3552611764238101E-2</v>
      </c>
      <c r="N21" s="59">
        <f t="shared" si="7"/>
        <v>-4.5526117642381014E-3</v>
      </c>
      <c r="O21" s="42">
        <f t="shared" si="8"/>
        <v>-4.5526117642381014E-3</v>
      </c>
      <c r="P21" s="59">
        <f>VLOOKUP(A21,'Mandato Ibov'!$B$2:$D$215,3,0)</f>
        <v>8.8452433075354008E-3</v>
      </c>
      <c r="Q21" s="42">
        <f t="shared" si="9"/>
        <v>1.547566924645985E-4</v>
      </c>
      <c r="R21" s="15">
        <v>0.69</v>
      </c>
      <c r="S21" s="15">
        <v>0.625</v>
      </c>
      <c r="T21" s="15">
        <v>0.44800000000000001</v>
      </c>
      <c r="U21" s="15">
        <v>0.53200000000000003</v>
      </c>
      <c r="V21" s="15">
        <v>0.623</v>
      </c>
      <c r="W21" s="15">
        <v>0.90700000000000003</v>
      </c>
      <c r="X21" s="15">
        <v>1</v>
      </c>
      <c r="Y21" s="15">
        <v>1</v>
      </c>
      <c r="Z21" s="15">
        <v>0.59</v>
      </c>
      <c r="AA21" s="15">
        <v>0.59699999999999998</v>
      </c>
      <c r="AB21" s="15">
        <v>0.79100000000000004</v>
      </c>
      <c r="AC21" s="15">
        <v>0.77</v>
      </c>
      <c r="AD21" s="15">
        <v>0.747</v>
      </c>
      <c r="AE21" s="14">
        <v>0.93400000000000005</v>
      </c>
      <c r="AF21" s="15">
        <v>-5.0999999999999997E-2</v>
      </c>
      <c r="AG21" s="15">
        <v>-0.36499999999999999</v>
      </c>
      <c r="AH21" s="15">
        <v>-8.2000000000000003E-2</v>
      </c>
      <c r="AI21" s="15">
        <v>-0.23</v>
      </c>
      <c r="AJ21" s="16">
        <v>1</v>
      </c>
      <c r="AK21" s="4">
        <v>-9.4E-2</v>
      </c>
      <c r="AL21" s="4">
        <v>0.94799999999999995</v>
      </c>
      <c r="AM21" s="4">
        <v>-0.50600000000000001</v>
      </c>
      <c r="AN21" s="4">
        <v>0.65700000000000003</v>
      </c>
      <c r="AO21" s="4">
        <v>0.14000000000000001</v>
      </c>
      <c r="AP21" s="4">
        <v>1.2999999999999999E-2</v>
      </c>
      <c r="AQ21" s="4">
        <v>8.1000000000000003E-2</v>
      </c>
      <c r="AR21" s="4">
        <v>-1E-3</v>
      </c>
      <c r="AS21" s="4">
        <v>-0.46700000000000003</v>
      </c>
      <c r="AT21" s="4">
        <v>0.308</v>
      </c>
      <c r="AU21" s="4">
        <v>-7.0000000000000001E-3</v>
      </c>
      <c r="AV21" s="4">
        <v>0.38600000000000001</v>
      </c>
      <c r="AW21" s="4">
        <v>0.495</v>
      </c>
      <c r="AX21" s="4">
        <v>0.83499999999999996</v>
      </c>
      <c r="AY21" s="4">
        <v>0.66</v>
      </c>
      <c r="AZ21" s="4">
        <v>-0.10199999999999999</v>
      </c>
      <c r="BA21" s="4">
        <v>0.44600000000000001</v>
      </c>
      <c r="BB21" s="4">
        <v>0.82599999999999996</v>
      </c>
      <c r="BC21" s="4">
        <v>0.45300000000000001</v>
      </c>
      <c r="BD21" s="4">
        <v>0.58299999999999996</v>
      </c>
      <c r="BE21" s="4">
        <v>0.17599999999999999</v>
      </c>
      <c r="BF21" s="4">
        <v>5.0000000000000001E-3</v>
      </c>
      <c r="BG21" s="4">
        <v>0.93</v>
      </c>
      <c r="BH21" s="4">
        <v>-0.23499999999999999</v>
      </c>
      <c r="BI21" s="4">
        <v>-0.371</v>
      </c>
      <c r="BJ21" s="4">
        <v>0.129</v>
      </c>
      <c r="BK21" s="4">
        <v>0.29299999999999998</v>
      </c>
      <c r="BL21" s="4"/>
      <c r="BM21" s="4">
        <f t="shared" si="10"/>
        <v>0.77144260000000009</v>
      </c>
    </row>
    <row r="22" spans="1:65" hidden="1" x14ac:dyDescent="0.3">
      <c r="A22" t="s">
        <v>81</v>
      </c>
      <c r="B22" s="53">
        <f>K22</f>
        <v>1.9E-2</v>
      </c>
      <c r="C22" s="53">
        <f t="shared" si="4"/>
        <v>1.0999999999999999E-2</v>
      </c>
      <c r="D22" s="53">
        <f t="shared" si="5"/>
        <v>0</v>
      </c>
      <c r="E22" s="53">
        <f t="shared" si="6"/>
        <v>8.0000000000000002E-3</v>
      </c>
      <c r="F22" s="15">
        <v>2.9980000000000002</v>
      </c>
      <c r="G22">
        <v>4.5839999999999996</v>
      </c>
      <c r="H22" t="s">
        <v>55</v>
      </c>
      <c r="I22" t="str">
        <f>VLOOKUP(A22,Planilha6!$BL$9:$BN$222,2,0)</f>
        <v>telecom</v>
      </c>
      <c r="J22" t="str">
        <f>VLOOKUP(A22,Planilha6!$BL$9:$BN$222,3,0)</f>
        <v>very_low_beta</v>
      </c>
      <c r="K22" s="41">
        <v>1.9E-2</v>
      </c>
      <c r="L22" s="42">
        <v>1.0999999999999999E-2</v>
      </c>
      <c r="M22" s="41">
        <f>VLOOKUP(A22,'Mandato Ibov'!$B$1:$C$215,2,0)</f>
        <v>2.9194606706619001E-2</v>
      </c>
      <c r="N22" s="59">
        <f t="shared" si="7"/>
        <v>-1.0194606706619001E-2</v>
      </c>
      <c r="O22" s="42">
        <f t="shared" si="8"/>
        <v>-1.0194606706619001E-2</v>
      </c>
      <c r="P22" s="59">
        <f>VLOOKUP(A22,'Mandato Ibov'!$B$2:$D$215,3,0)</f>
        <v>1.89200059108698E-2</v>
      </c>
      <c r="Q22" s="42">
        <f t="shared" si="9"/>
        <v>7.9994089130199647E-5</v>
      </c>
      <c r="R22" s="15">
        <v>0.54200000000000004</v>
      </c>
      <c r="S22" s="15">
        <v>1</v>
      </c>
      <c r="T22" s="15">
        <v>-0.20100000000000001</v>
      </c>
      <c r="U22" s="15">
        <v>0.85499999999999998</v>
      </c>
      <c r="V22" s="15">
        <v>0.79500000000000004</v>
      </c>
      <c r="W22" s="15">
        <v>1</v>
      </c>
      <c r="X22" s="15">
        <v>1</v>
      </c>
      <c r="Y22" s="15">
        <v>0.89800000000000002</v>
      </c>
      <c r="Z22" s="15">
        <v>0.80200000000000005</v>
      </c>
      <c r="AA22" s="15">
        <v>0.81</v>
      </c>
      <c r="AB22" s="15">
        <v>0.85</v>
      </c>
      <c r="AC22" s="15">
        <v>0.84499999999999997</v>
      </c>
      <c r="AD22" s="15">
        <v>0.79</v>
      </c>
      <c r="AE22" s="14">
        <v>0.83799999999999997</v>
      </c>
      <c r="AF22" s="15">
        <v>3.4000000000000002E-2</v>
      </c>
      <c r="AG22" s="15">
        <v>0.28699999999999998</v>
      </c>
      <c r="AH22" s="15">
        <v>-0.92</v>
      </c>
      <c r="AI22" s="15">
        <v>-0.58199999999999996</v>
      </c>
      <c r="AJ22" s="16">
        <v>-0.42299999999999999</v>
      </c>
      <c r="AK22" s="4">
        <v>0.23100000000000001</v>
      </c>
      <c r="AL22" s="4">
        <v>-6.8000000000000005E-2</v>
      </c>
      <c r="AM22" s="4">
        <v>-0.84799999999999998</v>
      </c>
      <c r="AN22" s="4">
        <v>-0.47799999999999998</v>
      </c>
      <c r="AO22" s="4">
        <v>0.38200000000000001</v>
      </c>
      <c r="AP22" s="4">
        <v>0.67100000000000004</v>
      </c>
      <c r="AQ22" s="4">
        <v>0.57899999999999996</v>
      </c>
      <c r="AR22" s="4">
        <v>0.23699999999999999</v>
      </c>
      <c r="AS22" s="4">
        <v>0.14899999999999999</v>
      </c>
      <c r="AT22" s="4">
        <v>0.55200000000000005</v>
      </c>
      <c r="AU22" s="4">
        <v>0.40699999999999997</v>
      </c>
      <c r="AV22" s="4">
        <v>1</v>
      </c>
      <c r="AW22" s="4">
        <v>0.76600000000000001</v>
      </c>
      <c r="AX22" s="4">
        <v>0.16300000000000001</v>
      </c>
      <c r="AY22" s="4">
        <v>0.84599999999999997</v>
      </c>
      <c r="AZ22" s="4">
        <v>0.27700000000000002</v>
      </c>
      <c r="BA22" s="4">
        <v>0.81299999999999994</v>
      </c>
      <c r="BB22" s="4">
        <v>0.36</v>
      </c>
      <c r="BC22" s="4">
        <v>0.37</v>
      </c>
      <c r="BD22" s="4">
        <v>0.67</v>
      </c>
      <c r="BE22" s="4">
        <v>0.27100000000000002</v>
      </c>
      <c r="BF22" s="4">
        <v>0.39</v>
      </c>
      <c r="BG22" s="4">
        <v>0.94599999999999995</v>
      </c>
      <c r="BH22" s="4">
        <v>-0.77100000000000002</v>
      </c>
      <c r="BI22" s="4">
        <v>-0.35899999999999999</v>
      </c>
      <c r="BJ22" s="4">
        <v>-1.7000000000000001E-2</v>
      </c>
      <c r="BK22" s="4">
        <v>-0.54700000000000004</v>
      </c>
      <c r="BL22" s="4"/>
      <c r="BM22" s="4">
        <f t="shared" si="10"/>
        <v>0.76841409999999999</v>
      </c>
    </row>
    <row r="23" spans="1:65" hidden="1" x14ac:dyDescent="0.3">
      <c r="A23" t="s">
        <v>56</v>
      </c>
      <c r="B23" s="53">
        <f>K23</f>
        <v>1.0999999999999999E-2</v>
      </c>
      <c r="C23" s="53">
        <f t="shared" si="4"/>
        <v>1.0999999999999999E-2</v>
      </c>
      <c r="D23" s="53">
        <f t="shared" si="5"/>
        <v>0</v>
      </c>
      <c r="E23" s="53">
        <f t="shared" si="6"/>
        <v>0</v>
      </c>
      <c r="F23" s="15">
        <v>2.9329999999999998</v>
      </c>
      <c r="G23">
        <v>3.1629999999999998</v>
      </c>
      <c r="H23" t="s">
        <v>55</v>
      </c>
      <c r="I23" t="str">
        <f>VLOOKUP(A23,Planilha6!$BL$9:$BN$222,2,0)</f>
        <v>utilities</v>
      </c>
      <c r="J23" t="str">
        <f>VLOOKUP(A23,Planilha6!$BL$9:$BN$222,3,0)</f>
        <v>low_beta</v>
      </c>
      <c r="K23" s="41">
        <v>1.0999999999999999E-2</v>
      </c>
      <c r="L23" s="42">
        <v>1.0999999999999999E-2</v>
      </c>
      <c r="M23" s="41">
        <f>VLOOKUP(A23,'Mandato Ibov'!$B$1:$C$215,2,0)</f>
        <v>1.3222208721158301E-2</v>
      </c>
      <c r="N23" s="59">
        <f t="shared" si="7"/>
        <v>-2.2222087211583013E-3</v>
      </c>
      <c r="O23" s="42">
        <f t="shared" si="8"/>
        <v>-2.2222087211583013E-3</v>
      </c>
      <c r="P23" s="59">
        <f>VLOOKUP(A23,'Mandato Ibov'!$B$2:$D$215,3,0)</f>
        <v>7.8670833373366608E-3</v>
      </c>
      <c r="Q23" s="42">
        <f t="shared" si="9"/>
        <v>3.1329166626633386E-3</v>
      </c>
      <c r="R23" s="15">
        <v>0.57499999999999996</v>
      </c>
      <c r="S23" s="15">
        <v>0.876</v>
      </c>
      <c r="T23" s="15">
        <v>0.247</v>
      </c>
      <c r="U23" s="15">
        <v>0.80600000000000005</v>
      </c>
      <c r="V23" s="15">
        <v>0.88500000000000001</v>
      </c>
      <c r="W23" s="15">
        <v>0.81200000000000006</v>
      </c>
      <c r="X23" s="15">
        <v>0.89900000000000002</v>
      </c>
      <c r="Y23" s="15">
        <v>0.77600000000000002</v>
      </c>
      <c r="Z23" s="15">
        <v>0.753</v>
      </c>
      <c r="AA23" s="15">
        <v>0.76300000000000001</v>
      </c>
      <c r="AB23" s="15">
        <v>0.86299999999999999</v>
      </c>
      <c r="AC23" s="15">
        <v>0.84599999999999997</v>
      </c>
      <c r="AD23" s="15">
        <v>0.79500000000000004</v>
      </c>
      <c r="AE23" s="14">
        <v>0.875</v>
      </c>
      <c r="AF23" s="15">
        <v>0.438</v>
      </c>
      <c r="AG23" s="15">
        <v>0.58199999999999996</v>
      </c>
      <c r="AH23" s="15">
        <v>-0.45200000000000001</v>
      </c>
      <c r="AI23" s="15">
        <v>-0.55600000000000005</v>
      </c>
      <c r="AJ23" s="16">
        <v>-0.14499999999999999</v>
      </c>
      <c r="AK23" s="4">
        <v>0.48399999999999999</v>
      </c>
      <c r="AL23" s="4">
        <v>-0.20200000000000001</v>
      </c>
      <c r="AM23" s="4">
        <v>-0.316</v>
      </c>
      <c r="AN23" s="4">
        <v>-5.1999999999999998E-2</v>
      </c>
      <c r="AO23" s="4">
        <v>0.21199999999999999</v>
      </c>
      <c r="AP23" s="4">
        <v>-0.20499999999999999</v>
      </c>
      <c r="AQ23" s="4">
        <v>0.27600000000000002</v>
      </c>
      <c r="AR23" s="4">
        <v>-0.09</v>
      </c>
      <c r="AS23" s="4">
        <v>-6.0999999999999999E-2</v>
      </c>
      <c r="AT23" s="4">
        <v>0.39500000000000002</v>
      </c>
      <c r="AU23" s="4">
        <v>0.42399999999999999</v>
      </c>
      <c r="AV23" s="4">
        <v>0.53200000000000003</v>
      </c>
      <c r="AW23" s="4">
        <v>0.75600000000000001</v>
      </c>
      <c r="AX23" s="4">
        <v>-0.08</v>
      </c>
      <c r="AY23" s="4">
        <v>0.14899999999999999</v>
      </c>
      <c r="AZ23" s="4">
        <v>0.83699999999999997</v>
      </c>
      <c r="BA23" s="4">
        <v>0.89800000000000002</v>
      </c>
      <c r="BB23" s="4">
        <v>-0.13300000000000001</v>
      </c>
      <c r="BC23" s="4">
        <v>0.17899999999999999</v>
      </c>
      <c r="BD23" s="4">
        <v>0.183</v>
      </c>
      <c r="BE23" s="4">
        <v>0.246</v>
      </c>
      <c r="BF23" s="4">
        <v>1</v>
      </c>
      <c r="BG23" s="4">
        <v>0.439</v>
      </c>
      <c r="BH23" s="4">
        <v>-0.752</v>
      </c>
      <c r="BI23" s="4">
        <v>-8.5000000000000006E-2</v>
      </c>
      <c r="BJ23" s="4">
        <v>0.6</v>
      </c>
      <c r="BK23" s="4">
        <v>0.11799999999999999</v>
      </c>
      <c r="BL23" s="4"/>
      <c r="BM23" s="4">
        <f t="shared" si="10"/>
        <v>0.74519190000000013</v>
      </c>
    </row>
    <row r="24" spans="1:65" hidden="1" x14ac:dyDescent="0.3">
      <c r="A24" t="s">
        <v>74</v>
      </c>
      <c r="B24" s="53">
        <f>K24</f>
        <v>8.0000000000000002E-3</v>
      </c>
      <c r="C24" s="53">
        <f t="shared" si="4"/>
        <v>8.0000000000000002E-3</v>
      </c>
      <c r="D24" s="53">
        <f t="shared" si="5"/>
        <v>0</v>
      </c>
      <c r="E24" s="53">
        <f t="shared" si="6"/>
        <v>0</v>
      </c>
      <c r="F24" s="15">
        <v>2.887</v>
      </c>
      <c r="G24">
        <v>2.3029999999999999</v>
      </c>
      <c r="H24" t="s">
        <v>53</v>
      </c>
      <c r="I24" t="str">
        <f>VLOOKUP(A24,Planilha6!$BL$9:$BN$222,2,0)</f>
        <v>healthcare</v>
      </c>
      <c r="J24" t="str">
        <f>VLOOKUP(A24,Planilha6!$BL$9:$BN$222,3,0)</f>
        <v>high_beta</v>
      </c>
      <c r="K24" s="41">
        <v>8.0000000000000002E-3</v>
      </c>
      <c r="L24" s="42">
        <v>8.0000000000000002E-3</v>
      </c>
      <c r="M24" s="41">
        <f>VLOOKUP(A24,'Mandato Ibov'!$B$1:$C$215,2,0)</f>
        <v>1.3012017133573099E-2</v>
      </c>
      <c r="N24" s="59">
        <f t="shared" si="7"/>
        <v>-5.0120171335730993E-3</v>
      </c>
      <c r="O24" s="42">
        <f t="shared" si="8"/>
        <v>-5.0120171335730993E-3</v>
      </c>
      <c r="P24" s="59">
        <f>VLOOKUP(A24,'Mandato Ibov'!$B$2:$D$215,3,0)</f>
        <v>8.9002949436328607E-3</v>
      </c>
      <c r="Q24" s="42">
        <f t="shared" si="9"/>
        <v>-9.0029494363286049E-4</v>
      </c>
      <c r="R24" s="15">
        <v>1</v>
      </c>
      <c r="S24" s="15">
        <v>0.46400000000000002</v>
      </c>
      <c r="T24" s="15">
        <v>1</v>
      </c>
      <c r="U24" s="15">
        <v>1</v>
      </c>
      <c r="V24" s="15">
        <v>0.93</v>
      </c>
      <c r="W24" s="15">
        <v>0.61299999999999999</v>
      </c>
      <c r="X24" s="15">
        <v>0.377</v>
      </c>
      <c r="Y24" s="15">
        <v>0.37</v>
      </c>
      <c r="Z24" s="15">
        <v>0.624</v>
      </c>
      <c r="AA24" s="15">
        <v>0.63</v>
      </c>
      <c r="AB24" s="15">
        <v>0.94699999999999995</v>
      </c>
      <c r="AC24" s="15">
        <v>0.81899999999999995</v>
      </c>
      <c r="AD24" s="15">
        <v>0.92600000000000005</v>
      </c>
      <c r="AE24" s="14">
        <v>1</v>
      </c>
      <c r="AF24" s="15">
        <v>0.97699999999999998</v>
      </c>
      <c r="AG24" s="15">
        <v>0.58099999999999996</v>
      </c>
      <c r="AH24" s="15">
        <v>1</v>
      </c>
      <c r="AI24" s="15">
        <v>0.69399999999999995</v>
      </c>
      <c r="AJ24" s="16">
        <v>0.71899999999999997</v>
      </c>
      <c r="AK24" s="4">
        <v>0.65500000000000003</v>
      </c>
      <c r="AL24" s="4">
        <v>0.1</v>
      </c>
      <c r="AM24" s="4">
        <v>0.107</v>
      </c>
      <c r="AN24" s="4">
        <v>7.4999999999999997E-2</v>
      </c>
      <c r="AO24" s="4">
        <v>0.13800000000000001</v>
      </c>
      <c r="AP24" s="4">
        <v>-3.7999999999999999E-2</v>
      </c>
      <c r="AQ24" s="4">
        <v>0.41699999999999998</v>
      </c>
      <c r="AR24" s="4">
        <v>0.11799999999999999</v>
      </c>
      <c r="AS24" s="4">
        <v>-0.218</v>
      </c>
      <c r="AT24" s="4">
        <v>0.47499999999999998</v>
      </c>
      <c r="AU24" s="4">
        <v>-0.48099999999999998</v>
      </c>
      <c r="AV24" s="4">
        <v>0.45700000000000002</v>
      </c>
      <c r="AW24" s="4">
        <v>0.29099999999999998</v>
      </c>
      <c r="AX24" s="4">
        <v>-0.128</v>
      </c>
      <c r="AY24" s="4">
        <v>0.91900000000000004</v>
      </c>
      <c r="AZ24" s="4">
        <v>-0.17199999999999999</v>
      </c>
      <c r="BA24" s="4">
        <v>0.74099999999999999</v>
      </c>
      <c r="BB24" s="4">
        <v>-0.122</v>
      </c>
      <c r="BC24" s="4">
        <v>-3.7999999999999999E-2</v>
      </c>
      <c r="BD24" s="4">
        <v>0.10100000000000001</v>
      </c>
      <c r="BE24" s="4">
        <v>0.46300000000000002</v>
      </c>
      <c r="BF24" s="4">
        <v>-9.9000000000000005E-2</v>
      </c>
      <c r="BG24" s="4">
        <v>0.161</v>
      </c>
      <c r="BH24" s="4">
        <v>-0.68799999999999994</v>
      </c>
      <c r="BI24" s="4">
        <v>8.1000000000000003E-2</v>
      </c>
      <c r="BJ24" s="4">
        <v>0.81499999999999995</v>
      </c>
      <c r="BK24" s="4">
        <v>0.71499999999999997</v>
      </c>
      <c r="BL24" s="4"/>
      <c r="BM24" s="4">
        <f t="shared" si="10"/>
        <v>0.72900810000000005</v>
      </c>
    </row>
    <row r="25" spans="1:65" hidden="1" x14ac:dyDescent="0.3">
      <c r="A25" t="s">
        <v>64</v>
      </c>
      <c r="B25" s="53">
        <v>0</v>
      </c>
      <c r="C25" s="53">
        <f t="shared" si="4"/>
        <v>0</v>
      </c>
      <c r="D25" s="53">
        <f t="shared" si="5"/>
        <v>-8.9999999999999993E-3</v>
      </c>
      <c r="E25" s="53">
        <f t="shared" si="6"/>
        <v>0</v>
      </c>
      <c r="F25" s="15">
        <v>2.85</v>
      </c>
      <c r="G25">
        <v>2.4540000000000002</v>
      </c>
      <c r="H25" t="s">
        <v>55</v>
      </c>
      <c r="I25" t="str">
        <f>VLOOKUP(A25,Planilha6!$BL$9:$BN$222,2,0)</f>
        <v>utilities</v>
      </c>
      <c r="J25" t="str">
        <f>VLOOKUP(A25,Planilha6!$BL$9:$BN$222,3,0)</f>
        <v>high_beta</v>
      </c>
      <c r="K25" s="41">
        <v>8.9999999999999993E-3</v>
      </c>
      <c r="L25" s="42">
        <v>8.9999999999999993E-3</v>
      </c>
      <c r="M25" s="41">
        <f>VLOOKUP(A25,'Mandato Ibov'!$B$1:$C$215,2,0)</f>
        <v>1.28478227635159E-2</v>
      </c>
      <c r="N25" s="59">
        <f t="shared" si="7"/>
        <v>-3.8478227635159006E-3</v>
      </c>
      <c r="O25" s="42">
        <f t="shared" si="8"/>
        <v>-1.28478227635159E-2</v>
      </c>
      <c r="P25" s="59">
        <f>VLOOKUP(A25,'Mandato Ibov'!$B$2:$D$215,3,0)</f>
        <v>7.9549625554925004E-3</v>
      </c>
      <c r="Q25" s="42">
        <f t="shared" si="9"/>
        <v>1.0450374445074989E-3</v>
      </c>
      <c r="R25" s="15">
        <v>0.55800000000000005</v>
      </c>
      <c r="S25" s="15">
        <v>0.86399999999999999</v>
      </c>
      <c r="T25" s="15">
        <v>0.32700000000000001</v>
      </c>
      <c r="U25" s="15">
        <v>0.80200000000000005</v>
      </c>
      <c r="V25" s="15">
        <v>0.90300000000000002</v>
      </c>
      <c r="W25" s="15">
        <v>0.68899999999999995</v>
      </c>
      <c r="X25" s="15">
        <v>0.70599999999999996</v>
      </c>
      <c r="Y25" s="15">
        <v>0.66700000000000004</v>
      </c>
      <c r="Z25" s="15">
        <v>0.83499999999999996</v>
      </c>
      <c r="AA25" s="15">
        <v>0.84499999999999997</v>
      </c>
      <c r="AB25" s="15">
        <v>0.874</v>
      </c>
      <c r="AC25" s="15">
        <v>0.81399999999999995</v>
      </c>
      <c r="AD25" s="15">
        <v>0.82699999999999996</v>
      </c>
      <c r="AE25" s="14">
        <v>0.81100000000000005</v>
      </c>
      <c r="AF25" s="15">
        <v>0.4</v>
      </c>
      <c r="AG25" s="15">
        <v>0.73899999999999999</v>
      </c>
      <c r="AH25" s="15">
        <v>-0.46700000000000003</v>
      </c>
      <c r="AI25" s="15">
        <v>-0.51800000000000002</v>
      </c>
      <c r="AJ25" s="16">
        <v>-0.14499999999999999</v>
      </c>
      <c r="AK25" s="4">
        <v>0.48399999999999999</v>
      </c>
      <c r="AL25" s="4">
        <v>-0.33300000000000002</v>
      </c>
      <c r="AM25" s="4">
        <v>-0.316</v>
      </c>
      <c r="AN25" s="4">
        <v>-0.10299999999999999</v>
      </c>
      <c r="AO25" s="4">
        <v>0.30399999999999999</v>
      </c>
      <c r="AP25" s="4">
        <v>-0.214</v>
      </c>
      <c r="AQ25" s="4">
        <v>0.27600000000000002</v>
      </c>
      <c r="AR25" s="4">
        <v>-0.09</v>
      </c>
      <c r="AS25" s="4">
        <v>-6.0999999999999999E-2</v>
      </c>
      <c r="AT25" s="4">
        <v>0.39500000000000002</v>
      </c>
      <c r="AU25" s="4">
        <v>0.42399999999999999</v>
      </c>
      <c r="AV25" s="4">
        <v>0.53200000000000003</v>
      </c>
      <c r="AW25" s="4">
        <v>0.64800000000000002</v>
      </c>
      <c r="AX25" s="4">
        <v>-0.08</v>
      </c>
      <c r="AY25" s="4">
        <v>0.14899999999999999</v>
      </c>
      <c r="AZ25" s="4">
        <v>0.95399999999999996</v>
      </c>
      <c r="BA25" s="4">
        <v>0.45600000000000002</v>
      </c>
      <c r="BB25" s="4">
        <v>-0.13300000000000001</v>
      </c>
      <c r="BC25" s="4">
        <v>0.17899999999999999</v>
      </c>
      <c r="BD25" s="4">
        <v>0.29299999999999998</v>
      </c>
      <c r="BE25" s="4">
        <v>8.0000000000000002E-3</v>
      </c>
      <c r="BF25" s="4">
        <v>0.44900000000000001</v>
      </c>
      <c r="BG25" s="4">
        <v>0.23899999999999999</v>
      </c>
      <c r="BH25" s="4">
        <v>-0.872</v>
      </c>
      <c r="BI25" s="4">
        <v>0.109</v>
      </c>
      <c r="BJ25" s="4">
        <v>0.96199999999999997</v>
      </c>
      <c r="BK25" s="4">
        <v>0.11799999999999999</v>
      </c>
      <c r="BL25" s="4"/>
      <c r="BM25" s="4">
        <f t="shared" si="10"/>
        <v>0.71595149999999996</v>
      </c>
    </row>
    <row r="26" spans="1:65" hidden="1" x14ac:dyDescent="0.3">
      <c r="A26" t="s">
        <v>89</v>
      </c>
      <c r="B26" s="53">
        <f>K26</f>
        <v>1.0999999999999999E-2</v>
      </c>
      <c r="C26" s="53">
        <f t="shared" si="4"/>
        <v>1.0999999999999999E-2</v>
      </c>
      <c r="D26" s="53">
        <f t="shared" si="5"/>
        <v>0</v>
      </c>
      <c r="E26" s="53">
        <f t="shared" si="6"/>
        <v>0</v>
      </c>
      <c r="F26" s="15">
        <v>2.8290000000000002</v>
      </c>
      <c r="G26">
        <v>2.69</v>
      </c>
      <c r="H26" t="s">
        <v>68</v>
      </c>
      <c r="I26" t="str">
        <f>VLOOKUP(A26,Planilha6!$BL$9:$BN$222,2,0)</f>
        <v>chemicals</v>
      </c>
      <c r="J26" t="str">
        <f>VLOOKUP(A26,Planilha6!$BL$9:$BN$222,3,0)</f>
        <v>very_low_beta</v>
      </c>
      <c r="K26" s="41">
        <v>1.0999999999999999E-2</v>
      </c>
      <c r="L26" s="42">
        <v>1.0999999999999999E-2</v>
      </c>
      <c r="M26" s="41">
        <f>VLOOKUP(A26,'Mandato Ibov'!$B$1:$C$215,2,0)</f>
        <v>1.27502218799781E-2</v>
      </c>
      <c r="N26" s="59">
        <f t="shared" si="7"/>
        <v>-1.7502218799781005E-3</v>
      </c>
      <c r="O26" s="42">
        <f t="shared" si="8"/>
        <v>-1.7502218799781005E-3</v>
      </c>
      <c r="P26" s="59">
        <f>VLOOKUP(A26,'Mandato Ibov'!$B$2:$D$215,3,0)</f>
        <v>0</v>
      </c>
      <c r="Q26" s="42">
        <f t="shared" si="9"/>
        <v>1.0999999999999999E-2</v>
      </c>
      <c r="R26" s="15">
        <v>0.69</v>
      </c>
      <c r="S26" s="15">
        <v>0.58399999999999996</v>
      </c>
      <c r="T26" s="15">
        <v>0.85499999999999998</v>
      </c>
      <c r="U26" s="15">
        <v>0.28799999999999998</v>
      </c>
      <c r="V26" s="15">
        <v>0.627</v>
      </c>
      <c r="W26" s="15">
        <v>0.63900000000000001</v>
      </c>
      <c r="X26" s="15">
        <v>0.65200000000000002</v>
      </c>
      <c r="Y26" s="15">
        <v>0.61299999999999999</v>
      </c>
      <c r="Z26" s="15">
        <v>0.88500000000000001</v>
      </c>
      <c r="AA26" s="15">
        <v>0.89</v>
      </c>
      <c r="AB26" s="15">
        <v>0.86499999999999999</v>
      </c>
      <c r="AC26" s="15">
        <v>0.77700000000000002</v>
      </c>
      <c r="AD26" s="15">
        <v>0.83799999999999997</v>
      </c>
      <c r="AE26" s="14">
        <v>0.54700000000000004</v>
      </c>
      <c r="AF26" s="15">
        <v>-0.46300000000000002</v>
      </c>
      <c r="AG26" s="15">
        <v>-0.245</v>
      </c>
      <c r="AH26" s="15">
        <v>0.75</v>
      </c>
      <c r="AI26" s="15">
        <v>0.26200000000000001</v>
      </c>
      <c r="AJ26" s="16">
        <v>0.52</v>
      </c>
      <c r="AK26" s="4">
        <v>0.35199999999999998</v>
      </c>
      <c r="AL26" s="4">
        <v>0.183</v>
      </c>
      <c r="AM26" s="4">
        <v>-9.2999999999999999E-2</v>
      </c>
      <c r="AN26" s="4">
        <v>0.36</v>
      </c>
      <c r="AO26" s="4">
        <v>9.6000000000000002E-2</v>
      </c>
      <c r="AP26" s="4">
        <v>-0.436</v>
      </c>
      <c r="AQ26" s="4">
        <v>-5.7000000000000002E-2</v>
      </c>
      <c r="AR26" s="4">
        <v>-0.17</v>
      </c>
      <c r="AS26" s="4">
        <v>-0.47899999999999998</v>
      </c>
      <c r="AT26" s="4">
        <v>0.55100000000000005</v>
      </c>
      <c r="AU26" s="4">
        <v>-0.246</v>
      </c>
      <c r="AV26" s="4">
        <v>0.248</v>
      </c>
      <c r="AW26" s="4">
        <v>0.58299999999999996</v>
      </c>
      <c r="AX26" s="4">
        <v>0.47899999999999998</v>
      </c>
      <c r="AY26" s="4">
        <v>0.86899999999999999</v>
      </c>
      <c r="AZ26" s="4">
        <v>0.77300000000000002</v>
      </c>
      <c r="BA26" s="4">
        <v>0.88100000000000001</v>
      </c>
      <c r="BB26" s="4">
        <v>-3.6999999999999998E-2</v>
      </c>
      <c r="BC26" s="4">
        <v>-9.4E-2</v>
      </c>
      <c r="BD26" s="4">
        <v>0.248</v>
      </c>
      <c r="BE26" s="4">
        <v>0.27200000000000002</v>
      </c>
      <c r="BF26" s="4">
        <v>-9.0999999999999998E-2</v>
      </c>
      <c r="BG26" s="4">
        <v>0.91800000000000004</v>
      </c>
      <c r="BH26" s="4">
        <v>-0.312</v>
      </c>
      <c r="BI26" s="4">
        <v>-0.254</v>
      </c>
      <c r="BJ26" s="4">
        <v>0.92700000000000005</v>
      </c>
      <c r="BK26" s="4">
        <v>0.88300000000000001</v>
      </c>
      <c r="BL26" s="4"/>
      <c r="BM26" s="4">
        <f t="shared" si="10"/>
        <v>0.70846239999999994</v>
      </c>
    </row>
    <row r="27" spans="1:65" hidden="1" x14ac:dyDescent="0.3">
      <c r="A27" t="s">
        <v>136</v>
      </c>
      <c r="B27" s="53">
        <v>5.5E-2</v>
      </c>
      <c r="C27" s="53">
        <f t="shared" si="4"/>
        <v>-1.7999999999999995E-2</v>
      </c>
      <c r="D27" s="53">
        <f t="shared" si="5"/>
        <v>2.8000000000000001E-2</v>
      </c>
      <c r="E27" s="53">
        <f t="shared" si="6"/>
        <v>7.2999999999999995E-2</v>
      </c>
      <c r="F27" s="15">
        <v>2.806</v>
      </c>
      <c r="G27">
        <v>5.734</v>
      </c>
      <c r="H27" t="s">
        <v>71</v>
      </c>
      <c r="I27" t="str">
        <f>VLOOKUP(A27,Planilha6!$BL$9:$BN$222,2,0)</f>
        <v>crude_oil</v>
      </c>
      <c r="J27" t="str">
        <f>VLOOKUP(A27,Planilha6!$BL$9:$BN$222,3,0)</f>
        <v>very_low_beta</v>
      </c>
      <c r="K27" s="41">
        <v>2.7E-2</v>
      </c>
      <c r="L27" s="42">
        <v>-4.5999999999999999E-2</v>
      </c>
      <c r="M27" s="41">
        <f>VLOOKUP(A27,'Mandato Ibov'!$B$1:$C$215,2,0)</f>
        <v>7.0426070142019695E-2</v>
      </c>
      <c r="N27" s="59">
        <f t="shared" si="7"/>
        <v>-4.3426070142019699E-2</v>
      </c>
      <c r="O27" s="42">
        <f t="shared" si="8"/>
        <v>-1.5426070142019695E-2</v>
      </c>
      <c r="P27" s="59">
        <f>VLOOKUP(A27,'Mandato Ibov'!$B$2:$D$215,3,0)</f>
        <v>6.2482533581480502E-2</v>
      </c>
      <c r="Q27" s="42">
        <f t="shared" si="9"/>
        <v>-3.5482533581480499E-2</v>
      </c>
      <c r="R27" s="15">
        <v>0.112</v>
      </c>
      <c r="S27" s="15">
        <v>1</v>
      </c>
      <c r="T27" s="15">
        <v>-0.54400000000000004</v>
      </c>
      <c r="U27" s="15">
        <v>0.65100000000000002</v>
      </c>
      <c r="V27" s="15">
        <v>0.72899999999999998</v>
      </c>
      <c r="W27" s="15">
        <v>0.84199999999999997</v>
      </c>
      <c r="X27" s="15">
        <v>0.86899999999999999</v>
      </c>
      <c r="Y27" s="15">
        <v>1</v>
      </c>
      <c r="Z27" s="15">
        <v>1</v>
      </c>
      <c r="AA27" s="15">
        <v>1</v>
      </c>
      <c r="AB27" s="15">
        <v>0.64400000000000002</v>
      </c>
      <c r="AC27" s="15">
        <v>0.86699999999999999</v>
      </c>
      <c r="AD27" s="15">
        <v>0.91200000000000003</v>
      </c>
      <c r="AE27" s="14">
        <v>0.39900000000000002</v>
      </c>
      <c r="AF27" s="15">
        <v>-0.30599999999999999</v>
      </c>
      <c r="AG27" s="15">
        <v>1</v>
      </c>
      <c r="AH27" s="15">
        <v>-0.91200000000000003</v>
      </c>
      <c r="AI27" s="15">
        <v>-0.55500000000000005</v>
      </c>
      <c r="AJ27" s="16">
        <v>-0.90600000000000003</v>
      </c>
      <c r="AK27" s="4">
        <v>0.218</v>
      </c>
      <c r="AL27" s="4">
        <v>0.45300000000000001</v>
      </c>
      <c r="AM27" s="4">
        <v>-0.51400000000000001</v>
      </c>
      <c r="AN27" s="4">
        <v>-0.65200000000000002</v>
      </c>
      <c r="AO27" s="4">
        <v>0.98499999999999999</v>
      </c>
      <c r="AP27" s="4">
        <v>1</v>
      </c>
      <c r="AQ27" s="4">
        <v>-0.24099999999999999</v>
      </c>
      <c r="AR27" s="4">
        <v>0.66900000000000004</v>
      </c>
      <c r="AS27" s="4">
        <v>0.46500000000000002</v>
      </c>
      <c r="AT27" s="4">
        <v>0.46500000000000002</v>
      </c>
      <c r="AU27" s="4">
        <v>0.34399999999999997</v>
      </c>
      <c r="AV27" s="4">
        <v>0.372</v>
      </c>
      <c r="AW27" s="4">
        <v>0.496</v>
      </c>
      <c r="AX27" s="4">
        <v>-0.23100000000000001</v>
      </c>
      <c r="AY27" s="4">
        <v>0.81399999999999995</v>
      </c>
      <c r="AZ27" s="4">
        <v>0.629</v>
      </c>
      <c r="BA27" s="4">
        <v>0.47899999999999998</v>
      </c>
      <c r="BB27" s="4">
        <v>-0.14799999999999999</v>
      </c>
      <c r="BC27" s="4">
        <v>-0.27300000000000002</v>
      </c>
      <c r="BD27" s="4">
        <v>0.33800000000000002</v>
      </c>
      <c r="BE27" s="4">
        <v>0.191</v>
      </c>
      <c r="BF27" s="4">
        <v>0.74399999999999999</v>
      </c>
      <c r="BG27" s="4">
        <v>0.70799999999999996</v>
      </c>
      <c r="BH27" s="4">
        <v>-0.95399999999999996</v>
      </c>
      <c r="BI27" s="4">
        <v>-0.997</v>
      </c>
      <c r="BJ27" s="4">
        <v>-0.25900000000000001</v>
      </c>
      <c r="BK27" s="4">
        <v>-0.89</v>
      </c>
      <c r="BL27" s="4"/>
      <c r="BM27" s="4">
        <f t="shared" si="10"/>
        <v>0.70034280000000004</v>
      </c>
    </row>
    <row r="28" spans="1:65" hidden="1" x14ac:dyDescent="0.3">
      <c r="A28" t="s">
        <v>79</v>
      </c>
      <c r="B28" s="53">
        <f>K28</f>
        <v>1.0999999999999999E-2</v>
      </c>
      <c r="C28" s="53">
        <f t="shared" si="4"/>
        <v>1.0999999999999999E-2</v>
      </c>
      <c r="D28" s="53">
        <f t="shared" si="5"/>
        <v>0</v>
      </c>
      <c r="E28" s="53">
        <f t="shared" si="6"/>
        <v>0</v>
      </c>
      <c r="F28" s="15">
        <v>2.6960000000000002</v>
      </c>
      <c r="G28">
        <v>3.1960000000000002</v>
      </c>
      <c r="H28" t="s">
        <v>68</v>
      </c>
      <c r="I28" t="str">
        <f>VLOOKUP(A28,Planilha6!$BL$9:$BN$222,2,0)</f>
        <v>capital_goods</v>
      </c>
      <c r="J28" t="str">
        <f>VLOOKUP(A28,Planilha6!$BL$9:$BN$222,3,0)</f>
        <v>very_low_beta</v>
      </c>
      <c r="K28" s="41">
        <v>1.0999999999999999E-2</v>
      </c>
      <c r="L28" s="42">
        <v>1.0999999999999999E-2</v>
      </c>
      <c r="M28" s="41">
        <f>VLOOKUP(A28,'Mandato Ibov'!$B$1:$C$215,2,0)</f>
        <v>1.21507870205324E-2</v>
      </c>
      <c r="N28" s="59">
        <f t="shared" si="7"/>
        <v>-1.1507870205324008E-3</v>
      </c>
      <c r="O28" s="42">
        <f t="shared" si="8"/>
        <v>-1.1507870205324008E-3</v>
      </c>
      <c r="P28" s="59">
        <f>VLOOKUP(A28,'Mandato Ibov'!$B$2:$D$215,3,0)</f>
        <v>1.0928910517985901E-2</v>
      </c>
      <c r="Q28" s="42">
        <f t="shared" si="9"/>
        <v>7.1089482014098648E-5</v>
      </c>
      <c r="R28" s="15">
        <v>0.30299999999999999</v>
      </c>
      <c r="S28" s="15">
        <v>0.75</v>
      </c>
      <c r="T28" s="15">
        <v>0.35799999999999998</v>
      </c>
      <c r="U28" s="15">
        <v>0.35899999999999999</v>
      </c>
      <c r="V28" s="15">
        <v>0.72</v>
      </c>
      <c r="W28" s="15">
        <v>0.55600000000000005</v>
      </c>
      <c r="X28" s="15">
        <v>0.69799999999999995</v>
      </c>
      <c r="Y28" s="15">
        <v>0.82499999999999996</v>
      </c>
      <c r="Z28" s="15">
        <v>0.88300000000000001</v>
      </c>
      <c r="AA28" s="15">
        <v>0.88800000000000001</v>
      </c>
      <c r="AB28" s="15">
        <v>0.78100000000000003</v>
      </c>
      <c r="AC28" s="15">
        <v>0.80400000000000005</v>
      </c>
      <c r="AD28" s="15">
        <v>0.78800000000000003</v>
      </c>
      <c r="AE28" s="14">
        <v>3.5999999999999997E-2</v>
      </c>
      <c r="AF28" s="15">
        <v>-0.32600000000000001</v>
      </c>
      <c r="AG28" s="15">
        <v>0.11700000000000001</v>
      </c>
      <c r="AH28" s="15">
        <v>-0.48799999999999999</v>
      </c>
      <c r="AI28" s="15">
        <v>0.317</v>
      </c>
      <c r="AJ28" s="16">
        <v>0.437</v>
      </c>
      <c r="AK28" s="4">
        <v>-0.13</v>
      </c>
      <c r="AL28" s="4">
        <v>0.26400000000000001</v>
      </c>
      <c r="AM28" s="4">
        <v>-0.79500000000000004</v>
      </c>
      <c r="AN28" s="4">
        <v>-8.8999999999999996E-2</v>
      </c>
      <c r="AO28" s="4">
        <v>0.503</v>
      </c>
      <c r="AP28" s="4">
        <v>0.221</v>
      </c>
      <c r="AQ28" s="4">
        <v>0.32300000000000001</v>
      </c>
      <c r="AR28" s="4">
        <v>0.151</v>
      </c>
      <c r="AS28" s="4">
        <v>-7.1999999999999995E-2</v>
      </c>
      <c r="AT28" s="4">
        <v>0.98899999999999999</v>
      </c>
      <c r="AU28" s="4">
        <v>-6.5000000000000002E-2</v>
      </c>
      <c r="AV28" s="4">
        <v>0.35699999999999998</v>
      </c>
      <c r="AW28" s="4">
        <v>0.66400000000000003</v>
      </c>
      <c r="AX28" s="4">
        <v>-5.7000000000000002E-2</v>
      </c>
      <c r="AY28" s="4">
        <v>0.80400000000000005</v>
      </c>
      <c r="AZ28" s="4">
        <v>1</v>
      </c>
      <c r="BA28" s="4">
        <v>0.4</v>
      </c>
      <c r="BB28" s="4">
        <v>-0.20300000000000001</v>
      </c>
      <c r="BC28" s="4">
        <v>-0.46500000000000002</v>
      </c>
      <c r="BD28" s="4">
        <v>-0.42099999999999999</v>
      </c>
      <c r="BE28" s="4">
        <v>0.114</v>
      </c>
      <c r="BF28" s="4">
        <v>-0.40300000000000002</v>
      </c>
      <c r="BG28" s="4">
        <v>0.80200000000000005</v>
      </c>
      <c r="BH28" s="4">
        <v>-0.60399999999999998</v>
      </c>
      <c r="BI28" s="4">
        <v>-0.108</v>
      </c>
      <c r="BJ28" s="4">
        <v>0.45100000000000001</v>
      </c>
      <c r="BK28" s="4">
        <v>-3.4000000000000002E-2</v>
      </c>
      <c r="BL28" s="4"/>
      <c r="BM28" s="4">
        <f t="shared" si="10"/>
        <v>0.66108030000000007</v>
      </c>
    </row>
    <row r="29" spans="1:65" hidden="1" x14ac:dyDescent="0.3">
      <c r="A29" t="s">
        <v>146</v>
      </c>
      <c r="B29" s="53">
        <v>0.05</v>
      </c>
      <c r="C29" s="53">
        <f t="shared" si="4"/>
        <v>-3.9999999999999966E-3</v>
      </c>
      <c r="D29" s="53">
        <f t="shared" si="5"/>
        <v>2.3000000000000003E-2</v>
      </c>
      <c r="E29" s="53">
        <f t="shared" si="6"/>
        <v>5.3999999999999999E-2</v>
      </c>
      <c r="F29" s="15">
        <v>2.6859999999999999</v>
      </c>
      <c r="G29">
        <v>5.1319999999999997</v>
      </c>
      <c r="H29" t="s">
        <v>71</v>
      </c>
      <c r="I29" t="str">
        <f>VLOOKUP(A29,Planilha6!$BL$9:$BN$222,2,0)</f>
        <v>crude_oil</v>
      </c>
      <c r="J29" t="str">
        <f>VLOOKUP(A29,Planilha6!$BL$9:$BN$222,3,0)</f>
        <v>very_low_beta</v>
      </c>
      <c r="K29" s="41">
        <v>2.7E-2</v>
      </c>
      <c r="L29" s="42">
        <v>-2.7E-2</v>
      </c>
      <c r="M29" s="41">
        <f>VLOOKUP(A29,'Mandato Ibov'!$B$1:$C$215,2,0)</f>
        <v>6.7399921900851395E-2</v>
      </c>
      <c r="N29" s="59">
        <f t="shared" si="7"/>
        <v>-4.0399921900851399E-2</v>
      </c>
      <c r="O29" s="42">
        <f t="shared" si="8"/>
        <v>-1.7399921900851392E-2</v>
      </c>
      <c r="P29" s="59">
        <f>VLOOKUP(A29,'Mandato Ibov'!$B$2:$D$215,3,0)</f>
        <v>6.2192442622804503E-2</v>
      </c>
      <c r="Q29" s="42">
        <f t="shared" si="9"/>
        <v>-3.5192442622804507E-2</v>
      </c>
      <c r="R29" s="15">
        <v>5.0000000000000001E-3</v>
      </c>
      <c r="S29" s="15">
        <v>0.98099999999999998</v>
      </c>
      <c r="T29" s="15">
        <v>-0.56200000000000006</v>
      </c>
      <c r="U29" s="15">
        <v>0.58599999999999997</v>
      </c>
      <c r="V29" s="15">
        <v>0.67900000000000005</v>
      </c>
      <c r="W29" s="15">
        <v>0.73099999999999998</v>
      </c>
      <c r="X29" s="15">
        <v>0.753</v>
      </c>
      <c r="Y29" s="15">
        <v>1</v>
      </c>
      <c r="Z29" s="15">
        <v>1</v>
      </c>
      <c r="AA29" s="15">
        <v>1</v>
      </c>
      <c r="AB29" s="15">
        <v>0.67900000000000005</v>
      </c>
      <c r="AC29" s="15">
        <v>0.79</v>
      </c>
      <c r="AD29" s="15">
        <v>0.89900000000000002</v>
      </c>
      <c r="AE29" s="14">
        <v>0.34799999999999998</v>
      </c>
      <c r="AF29" s="15">
        <v>-0.32500000000000001</v>
      </c>
      <c r="AG29" s="15">
        <v>1</v>
      </c>
      <c r="AH29" s="15">
        <v>-0.91600000000000004</v>
      </c>
      <c r="AI29" s="15">
        <v>-0.56899999999999995</v>
      </c>
      <c r="AJ29" s="16">
        <v>-0.91100000000000003</v>
      </c>
      <c r="AK29" s="4">
        <v>0.218</v>
      </c>
      <c r="AL29" s="4">
        <v>0.41299999999999998</v>
      </c>
      <c r="AM29" s="4">
        <v>-0.51400000000000001</v>
      </c>
      <c r="AN29" s="4">
        <v>-0.65800000000000003</v>
      </c>
      <c r="AO29" s="4">
        <v>0.98499999999999999</v>
      </c>
      <c r="AP29" s="4">
        <v>1</v>
      </c>
      <c r="AQ29" s="4">
        <v>-0.24099999999999999</v>
      </c>
      <c r="AR29" s="4">
        <v>0.66900000000000004</v>
      </c>
      <c r="AS29" s="4">
        <v>0.46500000000000002</v>
      </c>
      <c r="AT29" s="4">
        <v>0.46500000000000002</v>
      </c>
      <c r="AU29" s="4">
        <v>0.34399999999999997</v>
      </c>
      <c r="AV29" s="4">
        <v>0.36499999999999999</v>
      </c>
      <c r="AW29" s="4">
        <v>0.41099999999999998</v>
      </c>
      <c r="AX29" s="4">
        <v>-0.23100000000000001</v>
      </c>
      <c r="AY29" s="4">
        <v>0.81399999999999995</v>
      </c>
      <c r="AZ29" s="4">
        <v>0.65400000000000003</v>
      </c>
      <c r="BA29" s="4">
        <v>-0.157</v>
      </c>
      <c r="BB29" s="4">
        <v>-0.14799999999999999</v>
      </c>
      <c r="BC29" s="4">
        <v>-0.27300000000000002</v>
      </c>
      <c r="BD29" s="4">
        <v>0.35399999999999998</v>
      </c>
      <c r="BE29" s="4">
        <v>0.22500000000000001</v>
      </c>
      <c r="BF29" s="4">
        <v>0.997</v>
      </c>
      <c r="BG29" s="4">
        <v>0.69599999999999995</v>
      </c>
      <c r="BH29" s="4">
        <v>-0.93</v>
      </c>
      <c r="BI29" s="4">
        <v>-0.997</v>
      </c>
      <c r="BJ29" s="4">
        <v>-0.111</v>
      </c>
      <c r="BK29" s="4">
        <v>-0.89</v>
      </c>
      <c r="BL29" s="4"/>
      <c r="BM29" s="4">
        <f t="shared" si="10"/>
        <v>0.65738970000000008</v>
      </c>
    </row>
    <row r="30" spans="1:65" hidden="1" x14ac:dyDescent="0.3">
      <c r="A30" t="s">
        <v>97</v>
      </c>
      <c r="B30" s="53">
        <f t="shared" ref="B30:B35" si="11">K30</f>
        <v>1.4999999999999999E-2</v>
      </c>
      <c r="C30" s="53">
        <f t="shared" si="4"/>
        <v>1.4999999999999999E-2</v>
      </c>
      <c r="D30" s="53">
        <f t="shared" si="5"/>
        <v>0</v>
      </c>
      <c r="E30" s="53">
        <f t="shared" si="6"/>
        <v>0</v>
      </c>
      <c r="F30" s="15">
        <v>2.6669999999999998</v>
      </c>
      <c r="G30">
        <v>3.4529999999999998</v>
      </c>
      <c r="H30" t="s">
        <v>57</v>
      </c>
      <c r="I30" t="str">
        <f>VLOOKUP(A30,Planilha6!$BL$9:$BN$222,2,0)</f>
        <v>banks</v>
      </c>
      <c r="J30" t="str">
        <f>VLOOKUP(A30,Planilha6!$BL$9:$BN$222,3,0)</f>
        <v>neutral_beta</v>
      </c>
      <c r="K30" s="41">
        <v>1.4999999999999999E-2</v>
      </c>
      <c r="L30" s="42">
        <v>1.4999999999999999E-2</v>
      </c>
      <c r="M30" s="41">
        <f>VLOOKUP(A30,'Mandato Ibov'!$B$1:$C$215,2,0)</f>
        <v>1.20214684847512E-2</v>
      </c>
      <c r="N30" s="59">
        <f t="shared" si="7"/>
        <v>2.9785315152487998E-3</v>
      </c>
      <c r="O30" s="42">
        <f t="shared" si="8"/>
        <v>2.9785315152487998E-3</v>
      </c>
      <c r="P30" s="59">
        <f>VLOOKUP(A30,'Mandato Ibov'!$B$2:$D$215,3,0)</f>
        <v>7.4109280908588098E-3</v>
      </c>
      <c r="Q30" s="42">
        <f t="shared" si="9"/>
        <v>7.5890719091411896E-3</v>
      </c>
      <c r="R30" s="15">
        <v>0.36399999999999999</v>
      </c>
      <c r="S30" s="15">
        <v>0.748</v>
      </c>
      <c r="T30" s="15">
        <v>6.3E-2</v>
      </c>
      <c r="U30" s="15">
        <v>0.314</v>
      </c>
      <c r="V30" s="15">
        <v>0.53400000000000003</v>
      </c>
      <c r="W30" s="15">
        <v>0.51700000000000002</v>
      </c>
      <c r="X30" s="15">
        <v>0.56100000000000005</v>
      </c>
      <c r="Y30" s="15">
        <v>0.61</v>
      </c>
      <c r="Z30" s="15">
        <v>1</v>
      </c>
      <c r="AA30" s="15">
        <v>1</v>
      </c>
      <c r="AB30" s="15">
        <v>0.90800000000000003</v>
      </c>
      <c r="AC30" s="15">
        <v>0.93</v>
      </c>
      <c r="AD30" s="15">
        <v>0.99399999999999999</v>
      </c>
      <c r="AE30" s="14">
        <v>-0.44600000000000001</v>
      </c>
      <c r="AF30" s="15">
        <v>0.49199999999999999</v>
      </c>
      <c r="AG30" s="15">
        <v>1</v>
      </c>
      <c r="AH30" s="15">
        <v>-0.26200000000000001</v>
      </c>
      <c r="AI30" s="15">
        <v>0.59699999999999998</v>
      </c>
      <c r="AJ30" s="16">
        <v>-0.72699999999999998</v>
      </c>
      <c r="AK30" s="4">
        <v>-5.1999999999999998E-2</v>
      </c>
      <c r="AL30" s="4">
        <v>0.23</v>
      </c>
      <c r="AM30" s="4">
        <v>-8.9999999999999993E-3</v>
      </c>
      <c r="AN30" s="4">
        <v>0.214</v>
      </c>
      <c r="AO30" s="4">
        <v>0.58499999999999996</v>
      </c>
      <c r="AP30" s="4">
        <v>0.45800000000000002</v>
      </c>
      <c r="AQ30" s="4">
        <v>0.10199999999999999</v>
      </c>
      <c r="AR30" s="4">
        <v>0.16900000000000001</v>
      </c>
      <c r="AS30" s="4">
        <v>-0.314</v>
      </c>
      <c r="AT30" s="4">
        <v>-6.0000000000000001E-3</v>
      </c>
      <c r="AU30" s="4">
        <v>-0.224</v>
      </c>
      <c r="AV30" s="4">
        <v>-0.28100000000000003</v>
      </c>
      <c r="AW30" s="4">
        <v>0.65400000000000003</v>
      </c>
      <c r="AX30" s="4">
        <v>-0.39600000000000002</v>
      </c>
      <c r="AY30" s="4">
        <v>0.81799999999999995</v>
      </c>
      <c r="AZ30" s="4">
        <v>0.432</v>
      </c>
      <c r="BA30" s="4">
        <v>0.57599999999999996</v>
      </c>
      <c r="BB30" s="4">
        <v>6.5000000000000002E-2</v>
      </c>
      <c r="BC30" s="4">
        <v>3.7999999999999999E-2</v>
      </c>
      <c r="BD30" s="4">
        <v>0.39200000000000002</v>
      </c>
      <c r="BE30" s="4">
        <v>0.122</v>
      </c>
      <c r="BF30" s="4">
        <v>-0.16700000000000001</v>
      </c>
      <c r="BG30" s="4">
        <v>0.875</v>
      </c>
      <c r="BH30" s="4">
        <v>-0.64100000000000001</v>
      </c>
      <c r="BI30" s="4">
        <v>-9.5000000000000001E-2</v>
      </c>
      <c r="BJ30" s="4">
        <v>0.43099999999999999</v>
      </c>
      <c r="BK30" s="4">
        <v>0.43</v>
      </c>
      <c r="BL30" s="4"/>
      <c r="BM30" s="4">
        <f t="shared" si="10"/>
        <v>0.65095910000000001</v>
      </c>
    </row>
    <row r="31" spans="1:65" hidden="1" x14ac:dyDescent="0.3">
      <c r="A31" t="s">
        <v>72</v>
      </c>
      <c r="B31" s="53">
        <f t="shared" si="11"/>
        <v>8.9999999999999993E-3</v>
      </c>
      <c r="C31" s="53">
        <f t="shared" si="4"/>
        <v>8.9999999999999993E-3</v>
      </c>
      <c r="D31" s="53">
        <f t="shared" si="5"/>
        <v>0</v>
      </c>
      <c r="E31" s="53">
        <f t="shared" si="6"/>
        <v>0</v>
      </c>
      <c r="F31" s="15">
        <v>2.6120000000000001</v>
      </c>
      <c r="G31">
        <v>2.1760000000000002</v>
      </c>
      <c r="H31" t="s">
        <v>57</v>
      </c>
      <c r="I31" t="str">
        <f>VLOOKUP(A31,Planilha6!$BL$9:$BN$222,2,0)</f>
        <v>apparel</v>
      </c>
      <c r="J31" t="str">
        <f>VLOOKUP(A31,Planilha6!$BL$9:$BN$222,3,0)</f>
        <v>high_beta</v>
      </c>
      <c r="K31" s="41">
        <v>8.9999999999999993E-3</v>
      </c>
      <c r="L31" s="42">
        <v>8.9999999999999993E-3</v>
      </c>
      <c r="M31" s="41">
        <f>VLOOKUP(A31,'Mandato Ibov'!$B$1:$C$215,2,0)</f>
        <v>1.17723240102681E-2</v>
      </c>
      <c r="N31" s="59">
        <f t="shared" si="7"/>
        <v>-2.7723240102681002E-3</v>
      </c>
      <c r="O31" s="42">
        <f t="shared" si="8"/>
        <v>-2.7723240102681002E-3</v>
      </c>
      <c r="P31" s="59">
        <f>VLOOKUP(A31,'Mandato Ibov'!$B$2:$D$215,3,0)</f>
        <v>6.6143629294508699E-3</v>
      </c>
      <c r="Q31" s="42">
        <f t="shared" si="9"/>
        <v>2.3856370705491294E-3</v>
      </c>
      <c r="R31" s="15">
        <v>0.76900000000000002</v>
      </c>
      <c r="S31" s="15">
        <v>0.503</v>
      </c>
      <c r="T31" s="15">
        <v>0.53900000000000003</v>
      </c>
      <c r="U31" s="15">
        <v>0.85399999999999998</v>
      </c>
      <c r="V31" s="15">
        <v>0.76500000000000001</v>
      </c>
      <c r="W31" s="15">
        <v>0.622</v>
      </c>
      <c r="X31" s="15">
        <v>0.52100000000000002</v>
      </c>
      <c r="Y31" s="15">
        <v>0.39200000000000002</v>
      </c>
      <c r="Z31" s="15">
        <v>0.46</v>
      </c>
      <c r="AA31" s="15">
        <v>0.46200000000000002</v>
      </c>
      <c r="AB31" s="15">
        <v>0.84599999999999997</v>
      </c>
      <c r="AC31" s="15">
        <v>0.81799999999999995</v>
      </c>
      <c r="AD31" s="15">
        <v>0.79400000000000004</v>
      </c>
      <c r="AE31" s="14">
        <v>1</v>
      </c>
      <c r="AF31" s="15">
        <v>0.94699999999999995</v>
      </c>
      <c r="AG31" s="15">
        <v>-0.19900000000000001</v>
      </c>
      <c r="AH31" s="15">
        <v>-0.51800000000000002</v>
      </c>
      <c r="AI31" s="15">
        <v>-0.122</v>
      </c>
      <c r="AJ31" s="16">
        <v>0.311</v>
      </c>
      <c r="AK31" s="4">
        <v>-0.40600000000000003</v>
      </c>
      <c r="AL31" s="4">
        <v>-8.3000000000000004E-2</v>
      </c>
      <c r="AM31" s="4">
        <v>-0.77100000000000002</v>
      </c>
      <c r="AN31" s="4">
        <v>0.57499999999999996</v>
      </c>
      <c r="AO31" s="4">
        <v>0.373</v>
      </c>
      <c r="AP31" s="4">
        <v>-0.36599999999999999</v>
      </c>
      <c r="AQ31" s="4">
        <v>0.71399999999999997</v>
      </c>
      <c r="AR31" s="4">
        <v>1</v>
      </c>
      <c r="AS31" s="4">
        <v>0.997</v>
      </c>
      <c r="AT31" s="4">
        <v>0.32500000000000001</v>
      </c>
      <c r="AU31" s="4">
        <v>-5.6000000000000001E-2</v>
      </c>
      <c r="AV31" s="4">
        <v>0.77800000000000002</v>
      </c>
      <c r="AW31" s="4">
        <v>1.4999999999999999E-2</v>
      </c>
      <c r="AX31" s="4">
        <v>-5.1999999999999998E-2</v>
      </c>
      <c r="AY31" s="4">
        <v>0.26100000000000001</v>
      </c>
      <c r="AZ31" s="4">
        <v>0.36199999999999999</v>
      </c>
      <c r="BA31" s="4">
        <v>0.47099999999999997</v>
      </c>
      <c r="BB31" s="4">
        <v>0.45700000000000002</v>
      </c>
      <c r="BC31" s="4">
        <v>-0.16</v>
      </c>
      <c r="BD31" s="4">
        <v>0.70299999999999996</v>
      </c>
      <c r="BE31" s="4">
        <v>6.2E-2</v>
      </c>
      <c r="BF31" s="4">
        <v>-0.29699999999999999</v>
      </c>
      <c r="BG31" s="4">
        <v>0.377</v>
      </c>
      <c r="BH31" s="4">
        <v>-0.188</v>
      </c>
      <c r="BI31" s="4">
        <v>9.2999999999999999E-2</v>
      </c>
      <c r="BJ31" s="4">
        <v>0.20100000000000001</v>
      </c>
      <c r="BK31" s="4">
        <v>-0.21099999999999999</v>
      </c>
      <c r="BL31" s="4"/>
      <c r="BM31" s="4">
        <f t="shared" si="10"/>
        <v>0.63123459999999998</v>
      </c>
    </row>
    <row r="32" spans="1:65" hidden="1" x14ac:dyDescent="0.3">
      <c r="A32" t="s">
        <v>62</v>
      </c>
      <c r="B32" s="53">
        <f t="shared" si="11"/>
        <v>1.0999999999999999E-2</v>
      </c>
      <c r="C32" s="53">
        <f t="shared" si="4"/>
        <v>1.0999999999999999E-2</v>
      </c>
      <c r="D32" s="53">
        <f t="shared" si="5"/>
        <v>0</v>
      </c>
      <c r="E32" s="53">
        <f t="shared" si="6"/>
        <v>0</v>
      </c>
      <c r="F32" s="15">
        <v>2.581</v>
      </c>
      <c r="G32">
        <v>2.7650000000000001</v>
      </c>
      <c r="H32" t="s">
        <v>55</v>
      </c>
      <c r="I32" t="str">
        <f>VLOOKUP(A32,Planilha6!$BL$9:$BN$222,2,0)</f>
        <v>utilities</v>
      </c>
      <c r="J32" t="str">
        <f>VLOOKUP(A32,Planilha6!$BL$9:$BN$222,3,0)</f>
        <v>neutral_beta</v>
      </c>
      <c r="K32" s="41">
        <v>1.0999999999999999E-2</v>
      </c>
      <c r="L32" s="42">
        <v>1.0999999999999999E-2</v>
      </c>
      <c r="M32" s="41">
        <f>VLOOKUP(A32,'Mandato Ibov'!$B$1:$C$215,2,0)</f>
        <v>1.1634275557374099E-2</v>
      </c>
      <c r="N32" s="59">
        <f t="shared" si="7"/>
        <v>-6.3427555737410012E-4</v>
      </c>
      <c r="O32" s="42">
        <f t="shared" si="8"/>
        <v>-6.3427555737410012E-4</v>
      </c>
      <c r="P32" s="59">
        <f>VLOOKUP(A32,'Mandato Ibov'!$B$2:$D$215,3,0)</f>
        <v>7.9996633693010608E-3</v>
      </c>
      <c r="Q32" s="42">
        <f t="shared" si="9"/>
        <v>3.0003366306989385E-3</v>
      </c>
      <c r="R32" s="15">
        <v>0.34</v>
      </c>
      <c r="S32" s="15">
        <v>0.749</v>
      </c>
      <c r="T32" s="15">
        <v>-4.2999999999999997E-2</v>
      </c>
      <c r="U32" s="15">
        <v>0.70899999999999996</v>
      </c>
      <c r="V32" s="15">
        <v>0.73799999999999999</v>
      </c>
      <c r="W32" s="15">
        <v>0.64</v>
      </c>
      <c r="X32" s="15">
        <v>0.76</v>
      </c>
      <c r="Y32" s="15">
        <v>0.67600000000000005</v>
      </c>
      <c r="Z32" s="15">
        <v>0.72399999999999998</v>
      </c>
      <c r="AA32" s="15">
        <v>0.73299999999999998</v>
      </c>
      <c r="AB32" s="15">
        <v>0.79300000000000004</v>
      </c>
      <c r="AC32" s="15">
        <v>0.82299999999999995</v>
      </c>
      <c r="AD32" s="15">
        <v>0.73</v>
      </c>
      <c r="AE32" s="14">
        <v>0.85299999999999998</v>
      </c>
      <c r="AF32" s="15">
        <v>0.42699999999999999</v>
      </c>
      <c r="AG32" s="15">
        <v>0.61199999999999999</v>
      </c>
      <c r="AH32" s="15">
        <v>-0.45700000000000002</v>
      </c>
      <c r="AI32" s="15">
        <v>-0.55300000000000005</v>
      </c>
      <c r="AJ32" s="16">
        <v>-0.14799999999999999</v>
      </c>
      <c r="AK32" s="4">
        <v>0.48399999999999999</v>
      </c>
      <c r="AL32" s="4">
        <v>-0.22800000000000001</v>
      </c>
      <c r="AM32" s="4">
        <v>-0.316</v>
      </c>
      <c r="AN32" s="4">
        <v>-7.4999999999999997E-2</v>
      </c>
      <c r="AO32" s="4">
        <v>0.21</v>
      </c>
      <c r="AP32" s="4">
        <v>-0.219</v>
      </c>
      <c r="AQ32" s="4">
        <v>0.27600000000000002</v>
      </c>
      <c r="AR32" s="4">
        <v>-0.09</v>
      </c>
      <c r="AS32" s="4">
        <v>-6.0999999999999999E-2</v>
      </c>
      <c r="AT32" s="4">
        <v>0.39500000000000002</v>
      </c>
      <c r="AU32" s="4">
        <v>0.42399999999999999</v>
      </c>
      <c r="AV32" s="4">
        <v>0.53</v>
      </c>
      <c r="AW32" s="4">
        <v>0.72599999999999998</v>
      </c>
      <c r="AX32" s="4">
        <v>-0.08</v>
      </c>
      <c r="AY32" s="4">
        <v>0.14899999999999999</v>
      </c>
      <c r="AZ32" s="4">
        <v>0.78</v>
      </c>
      <c r="BA32" s="4">
        <v>0.21199999999999999</v>
      </c>
      <c r="BB32" s="4">
        <v>-0.13300000000000001</v>
      </c>
      <c r="BC32" s="4">
        <v>0.17899999999999999</v>
      </c>
      <c r="BD32" s="4">
        <v>0.20899999999999999</v>
      </c>
      <c r="BE32" s="4">
        <v>0.13100000000000001</v>
      </c>
      <c r="BF32" s="4">
        <v>1</v>
      </c>
      <c r="BG32" s="4">
        <v>0.42299999999999999</v>
      </c>
      <c r="BH32" s="4">
        <v>-0.83299999999999996</v>
      </c>
      <c r="BI32" s="4">
        <v>-6.0000000000000001E-3</v>
      </c>
      <c r="BJ32" s="4">
        <v>-3.2000000000000001E-2</v>
      </c>
      <c r="BK32" s="4">
        <v>0.11799999999999999</v>
      </c>
      <c r="BL32" s="4"/>
      <c r="BM32" s="4">
        <f t="shared" si="10"/>
        <v>0.62031080000000005</v>
      </c>
    </row>
    <row r="33" spans="1:65" hidden="1" x14ac:dyDescent="0.3">
      <c r="A33" t="s">
        <v>90</v>
      </c>
      <c r="B33" s="53">
        <f t="shared" si="11"/>
        <v>0.01</v>
      </c>
      <c r="C33" s="53">
        <f t="shared" si="4"/>
        <v>8.0000000000000002E-3</v>
      </c>
      <c r="D33" s="53">
        <f t="shared" si="5"/>
        <v>0</v>
      </c>
      <c r="E33" s="53">
        <f t="shared" si="6"/>
        <v>2E-3</v>
      </c>
      <c r="F33" s="15">
        <v>2.5640000000000001</v>
      </c>
      <c r="G33">
        <v>2.46</v>
      </c>
      <c r="H33" t="s">
        <v>68</v>
      </c>
      <c r="I33" t="str">
        <f>VLOOKUP(A33,Planilha6!$BL$9:$BN$222,2,0)</f>
        <v>capital_goods</v>
      </c>
      <c r="J33" t="str">
        <f>VLOOKUP(A33,Planilha6!$BL$9:$BN$222,3,0)</f>
        <v>high_beta</v>
      </c>
      <c r="K33" s="41">
        <v>0.01</v>
      </c>
      <c r="L33" s="42">
        <v>8.0000000000000002E-3</v>
      </c>
      <c r="M33" s="41">
        <f>VLOOKUP(A33,'Mandato Ibov'!$B$1:$C$215,2,0)</f>
        <v>1.3098456732494299E-2</v>
      </c>
      <c r="N33" s="59">
        <f t="shared" si="7"/>
        <v>-3.098456732494299E-3</v>
      </c>
      <c r="O33" s="42">
        <f t="shared" si="8"/>
        <v>-3.098456732494299E-3</v>
      </c>
      <c r="P33" s="59">
        <f>VLOOKUP(A33,'Mandato Ibov'!$B$2:$D$215,3,0)</f>
        <v>0</v>
      </c>
      <c r="Q33" s="42">
        <f t="shared" si="9"/>
        <v>0.01</v>
      </c>
      <c r="R33" s="15">
        <v>0.55800000000000005</v>
      </c>
      <c r="S33" s="15">
        <v>0.60699999999999998</v>
      </c>
      <c r="T33" s="15">
        <v>0.20699999999999999</v>
      </c>
      <c r="U33" s="15">
        <v>0.68600000000000005</v>
      </c>
      <c r="V33" s="15">
        <v>0.68400000000000005</v>
      </c>
      <c r="W33" s="15">
        <v>0.80100000000000005</v>
      </c>
      <c r="X33" s="15">
        <v>0.85199999999999998</v>
      </c>
      <c r="Y33" s="15">
        <v>0.79600000000000004</v>
      </c>
      <c r="Z33" s="15">
        <v>0.26900000000000002</v>
      </c>
      <c r="AA33" s="15">
        <v>0.27500000000000002</v>
      </c>
      <c r="AB33" s="15">
        <v>0.69799999999999995</v>
      </c>
      <c r="AC33" s="15">
        <v>0.64500000000000002</v>
      </c>
      <c r="AD33" s="15">
        <v>0.53600000000000003</v>
      </c>
      <c r="AE33" s="14">
        <v>0.97699999999999998</v>
      </c>
      <c r="AF33" s="15">
        <v>1</v>
      </c>
      <c r="AG33" s="15">
        <v>-0.373</v>
      </c>
      <c r="AH33" s="15">
        <v>-0.438</v>
      </c>
      <c r="AI33" s="15">
        <v>-0.40400000000000003</v>
      </c>
      <c r="AJ33" s="16">
        <v>0.40500000000000003</v>
      </c>
      <c r="AK33" s="4">
        <v>-3.0000000000000001E-3</v>
      </c>
      <c r="AL33" s="4">
        <v>0.38400000000000001</v>
      </c>
      <c r="AM33" s="4">
        <v>-0.61399999999999999</v>
      </c>
      <c r="AN33" s="4">
        <v>0.46800000000000003</v>
      </c>
      <c r="AO33" s="4">
        <v>-0.36399999999999999</v>
      </c>
      <c r="AP33" s="4">
        <v>0.378</v>
      </c>
      <c r="AQ33" s="4">
        <v>0.94099999999999995</v>
      </c>
      <c r="AR33" s="4">
        <v>0.126</v>
      </c>
      <c r="AS33" s="4">
        <v>-0.52700000000000002</v>
      </c>
      <c r="AT33" s="4">
        <v>0.71899999999999997</v>
      </c>
      <c r="AU33" s="4">
        <v>-2.9000000000000001E-2</v>
      </c>
      <c r="AV33" s="4">
        <v>0.53900000000000003</v>
      </c>
      <c r="AW33" s="4">
        <v>0.40899999999999997</v>
      </c>
      <c r="AX33" s="4">
        <v>0.16300000000000001</v>
      </c>
      <c r="AY33" s="4">
        <v>0.91</v>
      </c>
      <c r="AZ33" s="4">
        <v>1</v>
      </c>
      <c r="BA33" s="4">
        <v>0.83699999999999997</v>
      </c>
      <c r="BB33" s="4">
        <v>-4.5999999999999999E-2</v>
      </c>
      <c r="BC33" s="4">
        <v>-0.16700000000000001</v>
      </c>
      <c r="BD33" s="4">
        <v>8.4000000000000005E-2</v>
      </c>
      <c r="BE33" s="4">
        <v>-0.34499999999999997</v>
      </c>
      <c r="BF33" s="4">
        <v>-0.59799999999999998</v>
      </c>
      <c r="BG33" s="4">
        <v>0.55400000000000005</v>
      </c>
      <c r="BH33" s="4">
        <v>-0.92300000000000004</v>
      </c>
      <c r="BI33" s="4">
        <v>0.35399999999999998</v>
      </c>
      <c r="BJ33" s="4">
        <v>-0.49399999999999999</v>
      </c>
      <c r="BK33" s="4">
        <v>-0.20899999999999999</v>
      </c>
      <c r="BL33" s="4"/>
      <c r="BM33" s="4">
        <f t="shared" si="10"/>
        <v>0.61426740000000013</v>
      </c>
    </row>
    <row r="34" spans="1:65" hidden="1" x14ac:dyDescent="0.3">
      <c r="A34" t="s">
        <v>87</v>
      </c>
      <c r="B34" s="53">
        <f t="shared" si="11"/>
        <v>0.01</v>
      </c>
      <c r="C34" s="53">
        <f t="shared" si="4"/>
        <v>0.01</v>
      </c>
      <c r="D34" s="53">
        <f t="shared" si="5"/>
        <v>0</v>
      </c>
      <c r="E34" s="53">
        <f t="shared" si="6"/>
        <v>0</v>
      </c>
      <c r="F34" s="15">
        <v>2.512</v>
      </c>
      <c r="G34">
        <v>2.7240000000000002</v>
      </c>
      <c r="H34" t="s">
        <v>55</v>
      </c>
      <c r="I34" t="str">
        <f>VLOOKUP(A34,Planilha6!$BL$9:$BN$222,2,0)</f>
        <v>real_estate</v>
      </c>
      <c r="J34" t="str">
        <f>VLOOKUP(A34,Planilha6!$BL$9:$BN$222,3,0)</f>
        <v>low_beta</v>
      </c>
      <c r="K34" s="41">
        <v>0.01</v>
      </c>
      <c r="L34" s="42">
        <v>0.01</v>
      </c>
      <c r="M34" s="41">
        <f>VLOOKUP(A34,'Mandato Ibov'!$B$1:$C$215,2,0)</f>
        <v>1.1321078095991401E-2</v>
      </c>
      <c r="N34" s="59">
        <f t="shared" si="7"/>
        <v>-1.3210780959914004E-3</v>
      </c>
      <c r="O34" s="42">
        <f t="shared" si="8"/>
        <v>-1.3210780959914004E-3</v>
      </c>
      <c r="P34" s="59">
        <f>VLOOKUP(A34,'Mandato Ibov'!$B$2:$D$215,3,0)</f>
        <v>6.0706506352526304E-3</v>
      </c>
      <c r="Q34" s="42">
        <f t="shared" si="9"/>
        <v>3.9293493647473698E-3</v>
      </c>
      <c r="R34" s="15">
        <v>0.23400000000000001</v>
      </c>
      <c r="S34" s="15">
        <v>0.71099999999999997</v>
      </c>
      <c r="T34" s="15">
        <v>0.13500000000000001</v>
      </c>
      <c r="U34" s="15">
        <v>0.23499999999999999</v>
      </c>
      <c r="V34" s="15">
        <v>0.52500000000000002</v>
      </c>
      <c r="W34" s="15">
        <v>0.44</v>
      </c>
      <c r="X34" s="15">
        <v>0.755</v>
      </c>
      <c r="Y34" s="15">
        <v>0.61699999999999999</v>
      </c>
      <c r="Z34" s="15">
        <v>0.75800000000000001</v>
      </c>
      <c r="AA34" s="15">
        <v>0.76400000000000001</v>
      </c>
      <c r="AB34" s="15">
        <v>0.92800000000000005</v>
      </c>
      <c r="AC34" s="15">
        <v>0.84899999999999998</v>
      </c>
      <c r="AD34" s="15">
        <v>0.89900000000000002</v>
      </c>
      <c r="AE34" s="14">
        <v>-0.115</v>
      </c>
      <c r="AF34" s="15">
        <v>-0.27500000000000002</v>
      </c>
      <c r="AG34" s="15">
        <v>1</v>
      </c>
      <c r="AH34" s="15">
        <v>0.248</v>
      </c>
      <c r="AI34" s="15">
        <v>1</v>
      </c>
      <c r="AJ34" s="16">
        <v>-0.23899999999999999</v>
      </c>
      <c r="AK34" s="4">
        <v>-0.30499999999999999</v>
      </c>
      <c r="AL34" s="4">
        <v>0.28299999999999997</v>
      </c>
      <c r="AM34" s="4">
        <v>-0.155</v>
      </c>
      <c r="AN34" s="4">
        <v>-8.1000000000000003E-2</v>
      </c>
      <c r="AO34" s="4">
        <v>0.747</v>
      </c>
      <c r="AP34" s="4">
        <v>6.4000000000000001E-2</v>
      </c>
      <c r="AQ34" s="4">
        <v>-0.126</v>
      </c>
      <c r="AR34" s="4">
        <v>-4.2999999999999997E-2</v>
      </c>
      <c r="AS34" s="4">
        <v>-3.9E-2</v>
      </c>
      <c r="AT34" s="4">
        <v>-7.6999999999999999E-2</v>
      </c>
      <c r="AU34" s="4">
        <v>0.68799999999999994</v>
      </c>
      <c r="AV34" s="4">
        <v>-0.158</v>
      </c>
      <c r="AW34" s="4">
        <v>0.34499999999999997</v>
      </c>
      <c r="AX34" s="4">
        <v>-0.78200000000000003</v>
      </c>
      <c r="AY34" s="4">
        <v>0.314</v>
      </c>
      <c r="AZ34" s="4">
        <v>-1.2E-2</v>
      </c>
      <c r="BA34" s="4">
        <v>-0.189</v>
      </c>
      <c r="BB34" s="4">
        <v>0.18099999999999999</v>
      </c>
      <c r="BC34" s="4">
        <v>0.23499999999999999</v>
      </c>
      <c r="BD34" s="4">
        <v>0.35599999999999998</v>
      </c>
      <c r="BE34" s="4">
        <v>8.4000000000000005E-2</v>
      </c>
      <c r="BF34" s="4">
        <v>-0.185</v>
      </c>
      <c r="BG34" s="4">
        <v>0.72099999999999997</v>
      </c>
      <c r="BH34" s="4">
        <v>-0.51200000000000001</v>
      </c>
      <c r="BI34" s="4">
        <v>6.3E-2</v>
      </c>
      <c r="BJ34" s="4">
        <v>0.33300000000000002</v>
      </c>
      <c r="BK34" s="4">
        <v>0.28299999999999997</v>
      </c>
      <c r="BL34" s="4"/>
      <c r="BM34" s="4">
        <f t="shared" si="10"/>
        <v>0.59581340000000005</v>
      </c>
    </row>
    <row r="35" spans="1:65" hidden="1" x14ac:dyDescent="0.3">
      <c r="A35" t="s">
        <v>103</v>
      </c>
      <c r="B35" s="53">
        <f t="shared" si="11"/>
        <v>0.01</v>
      </c>
      <c r="C35" s="53">
        <f t="shared" si="4"/>
        <v>0.01</v>
      </c>
      <c r="D35" s="53">
        <f t="shared" si="5"/>
        <v>0</v>
      </c>
      <c r="E35" s="53">
        <f t="shared" si="6"/>
        <v>0</v>
      </c>
      <c r="F35" s="15">
        <v>2.4740000000000002</v>
      </c>
      <c r="G35">
        <v>2.2610000000000001</v>
      </c>
      <c r="H35" t="s">
        <v>53</v>
      </c>
      <c r="I35" t="str">
        <f>VLOOKUP(A35,Planilha6!$BL$9:$BN$222,2,0)</f>
        <v>healthcare</v>
      </c>
      <c r="J35" t="str">
        <f>VLOOKUP(A35,Planilha6!$BL$9:$BN$222,3,0)</f>
        <v>very_low_beta</v>
      </c>
      <c r="K35" s="41">
        <v>0.01</v>
      </c>
      <c r="L35" s="42">
        <v>0.01</v>
      </c>
      <c r="M35" s="41">
        <f>VLOOKUP(A35,'Mandato Ibov'!$B$1:$C$215,2,0)</f>
        <v>1.1152737499476701E-2</v>
      </c>
      <c r="N35" s="59">
        <f t="shared" si="7"/>
        <v>-1.1527374994767005E-3</v>
      </c>
      <c r="O35" s="42">
        <f t="shared" si="8"/>
        <v>-1.1527374994767005E-3</v>
      </c>
      <c r="P35" s="59">
        <f>VLOOKUP(A35,'Mandato Ibov'!$B$2:$D$215,3,0)</f>
        <v>6.3914333904291796E-3</v>
      </c>
      <c r="Q35" s="42">
        <f t="shared" si="9"/>
        <v>3.6085666095708206E-3</v>
      </c>
      <c r="R35" s="15">
        <v>0.34100000000000003</v>
      </c>
      <c r="S35" s="15">
        <v>0.755</v>
      </c>
      <c r="T35" s="15">
        <v>4.2999999999999997E-2</v>
      </c>
      <c r="U35" s="15">
        <v>0.32600000000000001</v>
      </c>
      <c r="V35" s="15">
        <v>0.51600000000000001</v>
      </c>
      <c r="W35" s="15">
        <v>0.64200000000000002</v>
      </c>
      <c r="X35" s="15">
        <v>0.92100000000000004</v>
      </c>
      <c r="Y35" s="15">
        <v>0.69899999999999995</v>
      </c>
      <c r="Z35" s="15">
        <v>0.54300000000000004</v>
      </c>
      <c r="AA35" s="15">
        <v>0.54900000000000004</v>
      </c>
      <c r="AB35" s="15">
        <v>0.69</v>
      </c>
      <c r="AC35" s="15">
        <v>0.70199999999999996</v>
      </c>
      <c r="AD35" s="15">
        <v>0.67900000000000005</v>
      </c>
      <c r="AE35" s="14">
        <v>0.54900000000000004</v>
      </c>
      <c r="AF35" s="15">
        <v>-0.60699999999999998</v>
      </c>
      <c r="AG35" s="15">
        <v>-0.312</v>
      </c>
      <c r="AH35" s="15">
        <v>-0.751</v>
      </c>
      <c r="AI35" s="15">
        <v>-0.03</v>
      </c>
      <c r="AJ35" s="16">
        <v>0.378</v>
      </c>
      <c r="AK35" s="4">
        <v>-0.315</v>
      </c>
      <c r="AL35" s="4">
        <v>-4.4999999999999998E-2</v>
      </c>
      <c r="AM35" s="4">
        <v>-0.93</v>
      </c>
      <c r="AN35" s="4">
        <v>-0.34499999999999997</v>
      </c>
      <c r="AO35" s="4">
        <v>0.12</v>
      </c>
      <c r="AP35" s="4">
        <v>1</v>
      </c>
      <c r="AQ35" s="4">
        <v>4.0000000000000001E-3</v>
      </c>
      <c r="AR35" s="4">
        <v>0.13400000000000001</v>
      </c>
      <c r="AS35" s="4">
        <v>-0.309</v>
      </c>
      <c r="AT35" s="4">
        <v>0.96899999999999997</v>
      </c>
      <c r="AU35" s="4">
        <v>0.42599999999999999</v>
      </c>
      <c r="AV35" s="4">
        <v>1</v>
      </c>
      <c r="AW35" s="4">
        <v>0.76400000000000001</v>
      </c>
      <c r="AX35" s="4">
        <v>0.42699999999999999</v>
      </c>
      <c r="AY35" s="4">
        <v>0.745</v>
      </c>
      <c r="AZ35" s="4">
        <v>0.64600000000000002</v>
      </c>
      <c r="BA35" s="4">
        <v>0.94799999999999995</v>
      </c>
      <c r="BB35" s="4">
        <v>0.186</v>
      </c>
      <c r="BC35" s="4">
        <v>-0.13</v>
      </c>
      <c r="BD35" s="4">
        <v>0.31</v>
      </c>
      <c r="BE35" s="4">
        <v>-0.50600000000000001</v>
      </c>
      <c r="BF35" s="4">
        <v>-0.221</v>
      </c>
      <c r="BG35" s="4">
        <v>0.68700000000000006</v>
      </c>
      <c r="BH35" s="4">
        <v>-0.48399999999999999</v>
      </c>
      <c r="BI35" s="4">
        <v>-0.43099999999999999</v>
      </c>
      <c r="BJ35" s="4">
        <v>-2.8000000000000001E-2</v>
      </c>
      <c r="BK35" s="4">
        <v>-0.122</v>
      </c>
      <c r="BL35" s="4"/>
      <c r="BM35" s="4">
        <f t="shared" si="10"/>
        <v>0.58267590000000002</v>
      </c>
    </row>
    <row r="36" spans="1:65" hidden="1" x14ac:dyDescent="0.3">
      <c r="A36" t="s">
        <v>99</v>
      </c>
      <c r="B36" s="53">
        <v>1.0999999999999999E-2</v>
      </c>
      <c r="C36" s="53">
        <f t="shared" si="4"/>
        <v>1.0999999999999999E-2</v>
      </c>
      <c r="D36" s="53">
        <f t="shared" si="5"/>
        <v>-1.0000000000000009E-3</v>
      </c>
      <c r="E36" s="53">
        <f t="shared" si="6"/>
        <v>0</v>
      </c>
      <c r="F36" s="15">
        <v>2.3519999999999999</v>
      </c>
      <c r="G36">
        <v>2.419</v>
      </c>
      <c r="H36" t="s">
        <v>57</v>
      </c>
      <c r="I36" t="str">
        <f>VLOOKUP(A36,Planilha6!$BL$9:$BN$222,2,0)</f>
        <v>homebuilders</v>
      </c>
      <c r="J36" t="str">
        <f>VLOOKUP(A36,Planilha6!$BL$9:$BN$222,3,0)</f>
        <v>high_beta</v>
      </c>
      <c r="K36" s="41">
        <v>1.2E-2</v>
      </c>
      <c r="L36" s="42">
        <v>1.2E-2</v>
      </c>
      <c r="M36" s="41">
        <f>VLOOKUP(A36,'Mandato Ibov'!$B$1:$C$215,2,0)</f>
        <v>1.05990586303416E-2</v>
      </c>
      <c r="N36" s="59">
        <f t="shared" si="7"/>
        <v>1.4009413696584004E-3</v>
      </c>
      <c r="O36" s="42">
        <f t="shared" si="8"/>
        <v>4.0094136965839952E-4</v>
      </c>
      <c r="P36" s="59">
        <f>VLOOKUP(A36,'Mandato Ibov'!$B$2:$D$215,3,0)</f>
        <v>0</v>
      </c>
      <c r="Q36" s="42">
        <f t="shared" si="9"/>
        <v>1.2E-2</v>
      </c>
      <c r="R36" s="15">
        <v>0.59</v>
      </c>
      <c r="S36" s="15">
        <v>0.187</v>
      </c>
      <c r="T36" s="15">
        <v>0.70799999999999996</v>
      </c>
      <c r="U36" s="15">
        <v>0.43099999999999999</v>
      </c>
      <c r="V36" s="15">
        <v>0.50600000000000001</v>
      </c>
      <c r="W36" s="15">
        <v>0.45900000000000002</v>
      </c>
      <c r="X36" s="15">
        <v>0.34</v>
      </c>
      <c r="Y36" s="15">
        <v>0.30099999999999999</v>
      </c>
      <c r="Z36" s="15">
        <v>0.55400000000000005</v>
      </c>
      <c r="AA36" s="15">
        <v>0.55600000000000005</v>
      </c>
      <c r="AB36" s="15">
        <v>0.84099999999999997</v>
      </c>
      <c r="AC36" s="15">
        <v>0.92400000000000004</v>
      </c>
      <c r="AD36" s="15">
        <v>0.77600000000000002</v>
      </c>
      <c r="AE36" s="14">
        <v>0.69099999999999995</v>
      </c>
      <c r="AF36" s="15">
        <v>0.63500000000000001</v>
      </c>
      <c r="AG36" s="15">
        <v>-0.16500000000000001</v>
      </c>
      <c r="AH36" s="15">
        <v>0.39500000000000002</v>
      </c>
      <c r="AI36" s="15">
        <v>0.19600000000000001</v>
      </c>
      <c r="AJ36" s="16">
        <v>-1.4999999999999999E-2</v>
      </c>
      <c r="AK36" s="4">
        <v>-0.20200000000000001</v>
      </c>
      <c r="AL36" s="4">
        <v>0.25700000000000001</v>
      </c>
      <c r="AM36" s="4">
        <v>-3.4000000000000002E-2</v>
      </c>
      <c r="AN36" s="4">
        <v>0.219</v>
      </c>
      <c r="AO36" s="4">
        <v>-0.191</v>
      </c>
      <c r="AP36" s="4">
        <v>-0.15</v>
      </c>
      <c r="AQ36" s="4">
        <v>0.40500000000000003</v>
      </c>
      <c r="AR36" s="4">
        <v>0.92</v>
      </c>
      <c r="AS36" s="4">
        <v>0.84</v>
      </c>
      <c r="AT36" s="4">
        <v>1.6E-2</v>
      </c>
      <c r="AU36" s="4">
        <v>-0.34200000000000003</v>
      </c>
      <c r="AV36" s="4">
        <v>0.313</v>
      </c>
      <c r="AW36" s="4">
        <v>6.0999999999999999E-2</v>
      </c>
      <c r="AX36" s="4">
        <v>2.7E-2</v>
      </c>
      <c r="AY36" s="4">
        <v>0.75700000000000001</v>
      </c>
      <c r="AZ36" s="4">
        <v>0.44800000000000001</v>
      </c>
      <c r="BA36" s="4">
        <v>0.16600000000000001</v>
      </c>
      <c r="BB36" s="4">
        <v>-2.1000000000000001E-2</v>
      </c>
      <c r="BC36" s="4">
        <v>-0.28899999999999998</v>
      </c>
      <c r="BD36" s="4">
        <v>-7.2999999999999995E-2</v>
      </c>
      <c r="BE36" s="4">
        <v>0.46600000000000003</v>
      </c>
      <c r="BF36" s="4">
        <v>-0.125</v>
      </c>
      <c r="BG36" s="4">
        <v>0.625</v>
      </c>
      <c r="BH36" s="4">
        <v>-0.39300000000000002</v>
      </c>
      <c r="BI36" s="4">
        <v>0.35899999999999999</v>
      </c>
      <c r="BJ36" s="4">
        <v>0.48499999999999999</v>
      </c>
      <c r="BK36" s="4">
        <v>0.41099999999999998</v>
      </c>
      <c r="BL36" s="4"/>
      <c r="BM36" s="4">
        <f t="shared" si="10"/>
        <v>0.53881270000000003</v>
      </c>
    </row>
    <row r="37" spans="1:65" hidden="1" x14ac:dyDescent="0.3">
      <c r="A37" t="s">
        <v>96</v>
      </c>
      <c r="B37" s="53">
        <f>K37</f>
        <v>1.0999999999999999E-2</v>
      </c>
      <c r="C37" s="53">
        <f t="shared" si="4"/>
        <v>8.9999999999999993E-3</v>
      </c>
      <c r="D37" s="53">
        <f t="shared" si="5"/>
        <v>0</v>
      </c>
      <c r="E37" s="53">
        <f t="shared" si="6"/>
        <v>2E-3</v>
      </c>
      <c r="F37" s="15">
        <v>2.3519999999999999</v>
      </c>
      <c r="G37">
        <v>2.4940000000000002</v>
      </c>
      <c r="H37" t="s">
        <v>57</v>
      </c>
      <c r="I37" t="str">
        <f>VLOOKUP(A37,Planilha6!$BL$9:$BN$222,2,0)</f>
        <v>homebuilders</v>
      </c>
      <c r="J37" t="str">
        <f>VLOOKUP(A37,Planilha6!$BL$9:$BN$222,3,0)</f>
        <v>low_beta</v>
      </c>
      <c r="K37" s="41">
        <v>1.0999999999999999E-2</v>
      </c>
      <c r="L37" s="42">
        <v>8.9999999999999993E-3</v>
      </c>
      <c r="M37" s="41">
        <f>VLOOKUP(A37,'Mandato Ibov'!$B$1:$C$215,2,0)</f>
        <v>1.23748005484241E-2</v>
      </c>
      <c r="N37" s="59">
        <f t="shared" si="7"/>
        <v>-1.3748005484241002E-3</v>
      </c>
      <c r="O37" s="42">
        <f t="shared" si="8"/>
        <v>-1.3748005484241002E-3</v>
      </c>
      <c r="P37" s="59">
        <f>VLOOKUP(A37,'Mandato Ibov'!$B$2:$D$215,3,0)</f>
        <v>7.4086905709937097E-3</v>
      </c>
      <c r="Q37" s="42">
        <f t="shared" si="9"/>
        <v>3.5913094290062897E-3</v>
      </c>
      <c r="R37" s="15">
        <v>0.23100000000000001</v>
      </c>
      <c r="S37" s="15">
        <v>0.503</v>
      </c>
      <c r="T37" s="15">
        <v>-4.9000000000000002E-2</v>
      </c>
      <c r="U37" s="15">
        <v>0.50900000000000001</v>
      </c>
      <c r="V37" s="15">
        <v>0.56399999999999995</v>
      </c>
      <c r="W37" s="15">
        <v>0.49399999999999999</v>
      </c>
      <c r="X37" s="15">
        <v>0.53700000000000003</v>
      </c>
      <c r="Y37" s="15">
        <v>0.72099999999999997</v>
      </c>
      <c r="Z37" s="15">
        <v>0.622</v>
      </c>
      <c r="AA37" s="15">
        <v>0.627</v>
      </c>
      <c r="AB37" s="15">
        <v>0.79400000000000004</v>
      </c>
      <c r="AC37" s="15">
        <v>0.79600000000000004</v>
      </c>
      <c r="AD37" s="15">
        <v>0.65600000000000003</v>
      </c>
      <c r="AE37" s="14">
        <v>0.71199999999999997</v>
      </c>
      <c r="AF37" s="15">
        <v>0.25700000000000001</v>
      </c>
      <c r="AG37" s="15">
        <v>-0.23799999999999999</v>
      </c>
      <c r="AH37" s="15">
        <v>-0.628</v>
      </c>
      <c r="AI37" s="15">
        <v>-0.21</v>
      </c>
      <c r="AJ37" s="16">
        <v>-3.4000000000000002E-2</v>
      </c>
      <c r="AK37" s="4">
        <v>-0.13700000000000001</v>
      </c>
      <c r="AL37" s="4">
        <v>0.38500000000000001</v>
      </c>
      <c r="AM37" s="4">
        <v>-0.85599999999999998</v>
      </c>
      <c r="AN37" s="4">
        <v>0.11899999999999999</v>
      </c>
      <c r="AO37" s="4">
        <v>0.17699999999999999</v>
      </c>
      <c r="AP37" s="4">
        <v>0.46500000000000002</v>
      </c>
      <c r="AQ37" s="4">
        <v>0.44900000000000001</v>
      </c>
      <c r="AR37" s="4">
        <v>0.193</v>
      </c>
      <c r="AS37" s="4">
        <v>0.38500000000000001</v>
      </c>
      <c r="AT37" s="4">
        <v>1</v>
      </c>
      <c r="AU37" s="4">
        <v>0.10199999999999999</v>
      </c>
      <c r="AV37" s="4">
        <v>0.54600000000000004</v>
      </c>
      <c r="AW37" s="4">
        <v>0.14399999999999999</v>
      </c>
      <c r="AX37" s="4">
        <v>0.31</v>
      </c>
      <c r="AY37" s="4">
        <v>0.84099999999999997</v>
      </c>
      <c r="AZ37" s="4">
        <v>0.96299999999999997</v>
      </c>
      <c r="BA37" s="4">
        <v>0.32600000000000001</v>
      </c>
      <c r="BB37" s="4">
        <v>-0.75900000000000001</v>
      </c>
      <c r="BC37" s="4">
        <v>-0.29499999999999998</v>
      </c>
      <c r="BD37" s="4">
        <v>-0.27400000000000002</v>
      </c>
      <c r="BE37" s="4">
        <v>0.57299999999999995</v>
      </c>
      <c r="BF37" s="4">
        <v>-4.2999999999999997E-2</v>
      </c>
      <c r="BG37" s="4">
        <v>0.33500000000000002</v>
      </c>
      <c r="BH37" s="4">
        <v>-0.98099999999999998</v>
      </c>
      <c r="BI37" s="4">
        <v>0.17199999999999999</v>
      </c>
      <c r="BJ37" s="4">
        <v>-0.42699999999999999</v>
      </c>
      <c r="BK37" s="4">
        <v>-0.33600000000000002</v>
      </c>
      <c r="BL37" s="4"/>
      <c r="BM37" s="4">
        <f t="shared" si="10"/>
        <v>0.5391686</v>
      </c>
    </row>
    <row r="38" spans="1:65" hidden="1" x14ac:dyDescent="0.3">
      <c r="A38" t="s">
        <v>93</v>
      </c>
      <c r="B38" s="53">
        <f>K38</f>
        <v>1.6E-2</v>
      </c>
      <c r="C38" s="53">
        <f t="shared" si="4"/>
        <v>0.01</v>
      </c>
      <c r="D38" s="53">
        <f t="shared" si="5"/>
        <v>0</v>
      </c>
      <c r="E38" s="53">
        <f t="shared" si="6"/>
        <v>6.0000000000000001E-3</v>
      </c>
      <c r="F38" s="15">
        <v>2.3479999999999999</v>
      </c>
      <c r="G38">
        <v>3.8740000000000001</v>
      </c>
      <c r="H38" t="s">
        <v>55</v>
      </c>
      <c r="I38" t="str">
        <f>VLOOKUP(A38,Planilha6!$BL$9:$BN$222,2,0)</f>
        <v>real_estate</v>
      </c>
      <c r="J38" t="str">
        <f>VLOOKUP(A38,Planilha6!$BL$9:$BN$222,3,0)</f>
        <v>high_beta</v>
      </c>
      <c r="K38" s="41">
        <v>1.6E-2</v>
      </c>
      <c r="L38" s="42">
        <v>0.01</v>
      </c>
      <c r="M38" s="41">
        <f>VLOOKUP(A38,'Mandato Ibov'!$B$1:$C$215,2,0)</f>
        <v>1.8441013838119202E-2</v>
      </c>
      <c r="N38" s="59">
        <f t="shared" si="7"/>
        <v>-2.4410138381192013E-3</v>
      </c>
      <c r="O38" s="42">
        <f t="shared" si="8"/>
        <v>-2.4410138381192013E-3</v>
      </c>
      <c r="P38" s="59">
        <f>VLOOKUP(A38,'Mandato Ibov'!$B$2:$D$215,3,0)</f>
        <v>1.3361494887495899E-2</v>
      </c>
      <c r="Q38" s="42">
        <f t="shared" si="9"/>
        <v>2.6385051125041008E-3</v>
      </c>
      <c r="R38" s="15">
        <v>0.19</v>
      </c>
      <c r="S38" s="15">
        <v>0.83599999999999997</v>
      </c>
      <c r="T38" s="15">
        <v>-0.35</v>
      </c>
      <c r="U38" s="15">
        <v>0.44700000000000001</v>
      </c>
      <c r="V38" s="15">
        <v>0.505</v>
      </c>
      <c r="W38" s="15">
        <v>0.61299999999999999</v>
      </c>
      <c r="X38" s="15">
        <v>0.90600000000000003</v>
      </c>
      <c r="Y38" s="15">
        <v>0.57999999999999996</v>
      </c>
      <c r="Z38" s="15">
        <v>0.67</v>
      </c>
      <c r="AA38" s="15">
        <v>0.67500000000000004</v>
      </c>
      <c r="AB38" s="15">
        <v>0.75700000000000001</v>
      </c>
      <c r="AC38" s="15">
        <v>0.72299999999999998</v>
      </c>
      <c r="AD38" s="15">
        <v>0.69299999999999995</v>
      </c>
      <c r="AE38" s="14">
        <v>0.628</v>
      </c>
      <c r="AF38" s="15">
        <v>-0.127</v>
      </c>
      <c r="AG38" s="15">
        <v>0.51800000000000002</v>
      </c>
      <c r="AH38" s="15">
        <v>-0.77200000000000002</v>
      </c>
      <c r="AI38" s="15">
        <v>-0.114</v>
      </c>
      <c r="AJ38" s="16">
        <v>-0.29299999999999998</v>
      </c>
      <c r="AK38" s="4">
        <v>-7.9000000000000001E-2</v>
      </c>
      <c r="AL38" s="4">
        <v>-0.193</v>
      </c>
      <c r="AM38" s="4">
        <v>-0.51300000000000001</v>
      </c>
      <c r="AN38" s="4">
        <v>1.7999999999999999E-2</v>
      </c>
      <c r="AO38" s="4">
        <v>0.59799999999999998</v>
      </c>
      <c r="AP38" s="4">
        <v>0.47199999999999998</v>
      </c>
      <c r="AQ38" s="4">
        <v>0.26500000000000001</v>
      </c>
      <c r="AR38" s="4">
        <v>0.28599999999999998</v>
      </c>
      <c r="AS38" s="4">
        <v>-0.13600000000000001</v>
      </c>
      <c r="AT38" s="4">
        <v>1.4999999999999999E-2</v>
      </c>
      <c r="AU38" s="4">
        <v>0.87</v>
      </c>
      <c r="AV38" s="4">
        <v>0.65600000000000003</v>
      </c>
      <c r="AW38" s="4">
        <v>0.31900000000000001</v>
      </c>
      <c r="AX38" s="4">
        <v>0.29299999999999998</v>
      </c>
      <c r="AY38" s="4">
        <v>0.57699999999999996</v>
      </c>
      <c r="AZ38" s="4">
        <v>0.41899999999999998</v>
      </c>
      <c r="BA38" s="4">
        <v>-0.7</v>
      </c>
      <c r="BB38" s="4">
        <v>-4.8000000000000001E-2</v>
      </c>
      <c r="BC38" s="4">
        <v>-0.14299999999999999</v>
      </c>
      <c r="BD38" s="4">
        <v>0.36299999999999999</v>
      </c>
      <c r="BE38" s="4">
        <v>-0.38800000000000001</v>
      </c>
      <c r="BF38" s="4">
        <v>0.155</v>
      </c>
      <c r="BG38" s="4">
        <v>0.749</v>
      </c>
      <c r="BH38" s="4">
        <v>-0.48899999999999999</v>
      </c>
      <c r="BI38" s="4">
        <v>0.38100000000000001</v>
      </c>
      <c r="BJ38" s="4">
        <v>-0.58699999999999997</v>
      </c>
      <c r="BK38" s="4">
        <v>-0.41599999999999998</v>
      </c>
      <c r="BL38" s="4"/>
      <c r="BM38" s="4">
        <f t="shared" si="10"/>
        <v>0.5377945999999999</v>
      </c>
    </row>
    <row r="39" spans="1:65" hidden="1" x14ac:dyDescent="0.3">
      <c r="A39" t="s">
        <v>109</v>
      </c>
      <c r="B39" s="53">
        <f>K39</f>
        <v>2.1000000000000001E-2</v>
      </c>
      <c r="C39" s="53">
        <f t="shared" si="4"/>
        <v>2.1000000000000001E-2</v>
      </c>
      <c r="D39" s="53">
        <f t="shared" si="5"/>
        <v>0</v>
      </c>
      <c r="E39" s="53">
        <f t="shared" si="6"/>
        <v>0</v>
      </c>
      <c r="F39" s="15">
        <v>2.3340000000000001</v>
      </c>
      <c r="G39">
        <v>3.14</v>
      </c>
      <c r="H39" t="s">
        <v>57</v>
      </c>
      <c r="I39" t="str">
        <f>VLOOKUP(A39,Planilha6!$BL$9:$BN$222,2,0)</f>
        <v>banks</v>
      </c>
      <c r="J39" t="str">
        <f>VLOOKUP(A39,Planilha6!$BL$9:$BN$222,3,0)</f>
        <v>neutral_beta</v>
      </c>
      <c r="K39" s="41">
        <v>2.1000000000000001E-2</v>
      </c>
      <c r="L39" s="42">
        <v>2.1000000000000001E-2</v>
      </c>
      <c r="M39" s="41">
        <f>VLOOKUP(A39,'Mandato Ibov'!$B$1:$C$215,2,0)</f>
        <v>1.05214578255716E-2</v>
      </c>
      <c r="N39" s="59">
        <f t="shared" si="7"/>
        <v>1.0478542174428401E-2</v>
      </c>
      <c r="O39" s="42">
        <f t="shared" si="8"/>
        <v>1.0478542174428401E-2</v>
      </c>
      <c r="P39" s="59">
        <f>VLOOKUP(A39,'Mandato Ibov'!$B$2:$D$215,3,0)</f>
        <v>7.5607711310933601E-3</v>
      </c>
      <c r="Q39" s="42">
        <f t="shared" si="9"/>
        <v>1.3439228868906642E-2</v>
      </c>
      <c r="R39" s="15">
        <v>0.126</v>
      </c>
      <c r="S39" s="15">
        <v>0.66400000000000003</v>
      </c>
      <c r="T39" s="15">
        <v>-0.309</v>
      </c>
      <c r="U39" s="15">
        <v>0.27600000000000002</v>
      </c>
      <c r="V39" s="15">
        <v>0.38900000000000001</v>
      </c>
      <c r="W39" s="15">
        <v>0.442</v>
      </c>
      <c r="X39" s="15">
        <v>0.61599999999999999</v>
      </c>
      <c r="Y39" s="15">
        <v>0.61</v>
      </c>
      <c r="Z39" s="15">
        <v>0.752</v>
      </c>
      <c r="AA39" s="15">
        <v>0.76</v>
      </c>
      <c r="AB39" s="15">
        <v>0.8</v>
      </c>
      <c r="AC39" s="15">
        <v>0.88600000000000001</v>
      </c>
      <c r="AD39" s="15">
        <v>0.873</v>
      </c>
      <c r="AE39" s="14">
        <v>0.106</v>
      </c>
      <c r="AF39" s="15">
        <v>-0.29699999999999999</v>
      </c>
      <c r="AG39" s="15">
        <v>0.55700000000000005</v>
      </c>
      <c r="AH39" s="15">
        <v>-0.96599999999999997</v>
      </c>
      <c r="AI39" s="15">
        <v>-0.63600000000000001</v>
      </c>
      <c r="AJ39" s="16">
        <v>-0.84499999999999997</v>
      </c>
      <c r="AK39" s="4">
        <v>-0.14899999999999999</v>
      </c>
      <c r="AL39" s="4">
        <v>0.186</v>
      </c>
      <c r="AM39" s="4">
        <v>-0.66500000000000004</v>
      </c>
      <c r="AN39" s="4">
        <v>-0.39900000000000002</v>
      </c>
      <c r="AO39" s="4">
        <v>0.67100000000000004</v>
      </c>
      <c r="AP39" s="4">
        <v>0.68500000000000005</v>
      </c>
      <c r="AQ39" s="4">
        <v>-0.01</v>
      </c>
      <c r="AR39" s="4">
        <v>0.17100000000000001</v>
      </c>
      <c r="AS39" s="4">
        <v>0.41</v>
      </c>
      <c r="AT39" s="4">
        <v>5.8000000000000003E-2</v>
      </c>
      <c r="AU39" s="4">
        <v>5.0999999999999997E-2</v>
      </c>
      <c r="AV39" s="4">
        <v>0.29399999999999998</v>
      </c>
      <c r="AW39" s="4">
        <v>0.502</v>
      </c>
      <c r="AX39" s="4">
        <v>-0.45100000000000001</v>
      </c>
      <c r="AY39" s="4">
        <v>0.93600000000000005</v>
      </c>
      <c r="AZ39" s="4">
        <v>0.252</v>
      </c>
      <c r="BA39" s="4">
        <v>0.91100000000000003</v>
      </c>
      <c r="BB39" s="4">
        <v>-2.3E-2</v>
      </c>
      <c r="BC39" s="4">
        <v>0.32100000000000001</v>
      </c>
      <c r="BD39" s="4">
        <v>0.52100000000000002</v>
      </c>
      <c r="BE39" s="4">
        <v>-0.23100000000000001</v>
      </c>
      <c r="BF39" s="4">
        <v>-0.27500000000000002</v>
      </c>
      <c r="BG39" s="4">
        <v>0.83199999999999996</v>
      </c>
      <c r="BH39" s="4">
        <v>-0.66800000000000004</v>
      </c>
      <c r="BI39" s="4">
        <v>-1.7000000000000001E-2</v>
      </c>
      <c r="BJ39" s="4">
        <v>0.88500000000000001</v>
      </c>
      <c r="BK39" s="4">
        <v>-0.68899999999999995</v>
      </c>
      <c r="BL39" s="4"/>
      <c r="BM39" s="4">
        <f t="shared" si="10"/>
        <v>0.53277160000000001</v>
      </c>
    </row>
    <row r="40" spans="1:65" hidden="1" x14ac:dyDescent="0.3">
      <c r="A40" t="s">
        <v>65</v>
      </c>
      <c r="B40" s="53">
        <v>1.15E-2</v>
      </c>
      <c r="C40" s="53">
        <f t="shared" si="4"/>
        <v>1.15E-2</v>
      </c>
      <c r="D40" s="53">
        <f t="shared" si="5"/>
        <v>-1.4999999999999996E-3</v>
      </c>
      <c r="E40" s="53">
        <f t="shared" si="6"/>
        <v>0</v>
      </c>
      <c r="F40" s="15">
        <v>2.3149999999999999</v>
      </c>
      <c r="G40">
        <v>2.5390000000000001</v>
      </c>
      <c r="H40" t="s">
        <v>57</v>
      </c>
      <c r="I40" t="str">
        <f>VLOOKUP(A40,Planilha6!$BL$9:$BN$222,2,0)</f>
        <v>homebuilders</v>
      </c>
      <c r="J40" t="str">
        <f>VLOOKUP(A40,Planilha6!$BL$9:$BN$222,3,0)</f>
        <v>neutral_beta</v>
      </c>
      <c r="K40" s="41">
        <v>1.2999999999999999E-2</v>
      </c>
      <c r="L40" s="42">
        <v>1.2999999999999999E-2</v>
      </c>
      <c r="M40" s="41">
        <f>VLOOKUP(A40,'Mandato Ibov'!$B$1:$C$215,2,0)</f>
        <v>1.0436295466367601E-2</v>
      </c>
      <c r="N40" s="59">
        <f t="shared" si="7"/>
        <v>2.5637045336323987E-3</v>
      </c>
      <c r="O40" s="42">
        <f t="shared" si="8"/>
        <v>1.0637045336323991E-3</v>
      </c>
      <c r="P40" s="59">
        <f>VLOOKUP(A40,'Mandato Ibov'!$B$2:$D$215,3,0)</f>
        <v>7.1146122449661899E-3</v>
      </c>
      <c r="Q40" s="42">
        <f t="shared" si="9"/>
        <v>5.8853877550338095E-3</v>
      </c>
      <c r="R40" s="15">
        <v>0.20100000000000001</v>
      </c>
      <c r="S40" s="15">
        <v>0.158</v>
      </c>
      <c r="T40" s="15">
        <v>0.56999999999999995</v>
      </c>
      <c r="U40" s="15">
        <v>2.1000000000000001E-2</v>
      </c>
      <c r="V40" s="15">
        <v>0.36499999999999999</v>
      </c>
      <c r="W40" s="15">
        <v>0.36399999999999999</v>
      </c>
      <c r="X40" s="15">
        <v>0.48599999999999999</v>
      </c>
      <c r="Y40" s="15">
        <v>0.73299999999999998</v>
      </c>
      <c r="Z40" s="15">
        <v>0.63600000000000001</v>
      </c>
      <c r="AA40" s="15">
        <v>0.63700000000000001</v>
      </c>
      <c r="AB40" s="15">
        <v>0.82499999999999996</v>
      </c>
      <c r="AC40" s="15">
        <v>0.69899999999999995</v>
      </c>
      <c r="AD40" s="15">
        <v>0.749</v>
      </c>
      <c r="AE40" s="14">
        <v>0.156</v>
      </c>
      <c r="AF40" s="15">
        <v>-0.11600000000000001</v>
      </c>
      <c r="AG40" s="15">
        <v>-0.124</v>
      </c>
      <c r="AH40" s="15">
        <v>0.97799999999999998</v>
      </c>
      <c r="AI40" s="15">
        <v>0.64900000000000002</v>
      </c>
      <c r="AJ40" s="16">
        <v>-7.6999999999999999E-2</v>
      </c>
      <c r="AK40" s="4">
        <v>-0.16500000000000001</v>
      </c>
      <c r="AL40" s="4">
        <v>0.98599999999999999</v>
      </c>
      <c r="AM40" s="4">
        <v>-3.1E-2</v>
      </c>
      <c r="AN40" s="4">
        <v>-4.9000000000000002E-2</v>
      </c>
      <c r="AO40" s="4">
        <v>-0.128</v>
      </c>
      <c r="AP40" s="4">
        <v>-2.1999999999999999E-2</v>
      </c>
      <c r="AQ40" s="4">
        <v>2.1000000000000001E-2</v>
      </c>
      <c r="AR40" s="4">
        <v>-0.13</v>
      </c>
      <c r="AS40" s="4">
        <v>-0.125</v>
      </c>
      <c r="AT40" s="4">
        <v>1.6E-2</v>
      </c>
      <c r="AU40" s="4">
        <v>-0.41199999999999998</v>
      </c>
      <c r="AV40" s="4">
        <v>-6.4000000000000001E-2</v>
      </c>
      <c r="AW40" s="4">
        <v>0.59799999999999998</v>
      </c>
      <c r="AX40" s="4">
        <v>-0.36699999999999999</v>
      </c>
      <c r="AY40" s="4">
        <v>0.67800000000000005</v>
      </c>
      <c r="AZ40" s="4">
        <v>0.41099999999999998</v>
      </c>
      <c r="BA40" s="4">
        <v>0.23100000000000001</v>
      </c>
      <c r="BB40" s="4">
        <v>-2.9000000000000001E-2</v>
      </c>
      <c r="BC40" s="4">
        <v>-0.434</v>
      </c>
      <c r="BD40" s="4">
        <v>-0.499</v>
      </c>
      <c r="BE40" s="4">
        <v>0.43</v>
      </c>
      <c r="BF40" s="4">
        <v>0.67100000000000004</v>
      </c>
      <c r="BG40" s="4">
        <v>0.88100000000000001</v>
      </c>
      <c r="BH40" s="4">
        <v>-0.40400000000000003</v>
      </c>
      <c r="BI40" s="4">
        <v>0.26500000000000001</v>
      </c>
      <c r="BJ40" s="4">
        <v>0.72899999999999998</v>
      </c>
      <c r="BK40" s="4">
        <v>0.63800000000000001</v>
      </c>
      <c r="BL40" s="4"/>
      <c r="BM40" s="4">
        <f t="shared" si="10"/>
        <v>0.52607850000000012</v>
      </c>
    </row>
    <row r="41" spans="1:65" hidden="1" x14ac:dyDescent="0.3">
      <c r="A41" t="s">
        <v>80</v>
      </c>
      <c r="B41" s="53">
        <v>1.2500000000000001E-2</v>
      </c>
      <c r="C41" s="53">
        <f t="shared" si="4"/>
        <v>1.2500000000000001E-2</v>
      </c>
      <c r="D41" s="53">
        <f t="shared" si="5"/>
        <v>-1.4999999999999996E-3</v>
      </c>
      <c r="E41" s="53">
        <f t="shared" si="6"/>
        <v>0</v>
      </c>
      <c r="F41" s="15">
        <v>2.2770000000000001</v>
      </c>
      <c r="G41">
        <v>2.2930000000000001</v>
      </c>
      <c r="H41" t="s">
        <v>57</v>
      </c>
      <c r="I41" t="str">
        <f>VLOOKUP(A41,Planilha6!$BL$9:$BN$222,2,0)</f>
        <v>tech</v>
      </c>
      <c r="J41" t="str">
        <f>VLOOKUP(A41,Planilha6!$BL$9:$BN$222,3,0)</f>
        <v>low_beta</v>
      </c>
      <c r="K41" s="41">
        <v>1.4E-2</v>
      </c>
      <c r="L41" s="42">
        <v>1.4E-2</v>
      </c>
      <c r="M41" s="41">
        <f>VLOOKUP(A41,'Mandato Ibov'!$B$1:$C$215,2,0)</f>
        <v>1.0264781911688701E-2</v>
      </c>
      <c r="N41" s="59">
        <f t="shared" si="7"/>
        <v>3.7352180883112995E-3</v>
      </c>
      <c r="O41" s="42">
        <f t="shared" si="8"/>
        <v>2.2352180883112999E-3</v>
      </c>
      <c r="P41" s="59">
        <f>VLOOKUP(A41,'Mandato Ibov'!$B$2:$D$215,3,0)</f>
        <v>9.7176257393080008E-3</v>
      </c>
      <c r="Q41" s="42">
        <f t="shared" si="9"/>
        <v>4.2823742606919995E-3</v>
      </c>
      <c r="R41" s="15">
        <v>0.45900000000000002</v>
      </c>
      <c r="S41" s="15">
        <v>0.32900000000000001</v>
      </c>
      <c r="T41" s="15">
        <v>0.60899999999999999</v>
      </c>
      <c r="U41" s="15">
        <v>0.23100000000000001</v>
      </c>
      <c r="V41" s="15">
        <v>0.442</v>
      </c>
      <c r="W41" s="15">
        <v>0.45900000000000002</v>
      </c>
      <c r="X41" s="15">
        <v>0.496</v>
      </c>
      <c r="Y41" s="15">
        <v>0.317</v>
      </c>
      <c r="Z41" s="15">
        <v>0.58499999999999996</v>
      </c>
      <c r="AA41" s="15">
        <v>0.59199999999999997</v>
      </c>
      <c r="AB41" s="15">
        <v>0.82399999999999995</v>
      </c>
      <c r="AC41" s="15">
        <v>0.79500000000000004</v>
      </c>
      <c r="AD41" s="15">
        <v>0.74199999999999999</v>
      </c>
      <c r="AE41" s="14">
        <v>0.20799999999999999</v>
      </c>
      <c r="AF41" s="15">
        <v>0.34</v>
      </c>
      <c r="AG41" s="15">
        <v>-0.36499999999999999</v>
      </c>
      <c r="AH41" s="15">
        <v>0.246</v>
      </c>
      <c r="AI41" s="15">
        <v>-0.13900000000000001</v>
      </c>
      <c r="AJ41" s="16">
        <v>1</v>
      </c>
      <c r="AK41" s="4">
        <v>0.245</v>
      </c>
      <c r="AL41" s="4">
        <v>8.8999999999999996E-2</v>
      </c>
      <c r="AM41" s="4">
        <v>-0.32600000000000001</v>
      </c>
      <c r="AN41" s="4">
        <v>-3.7999999999999999E-2</v>
      </c>
      <c r="AO41" s="4">
        <v>-0.13700000000000001</v>
      </c>
      <c r="AP41" s="4">
        <v>-8.7999999999999995E-2</v>
      </c>
      <c r="AQ41" s="4">
        <v>0.47</v>
      </c>
      <c r="AR41" s="4">
        <v>0.27500000000000002</v>
      </c>
      <c r="AS41" s="4">
        <v>0.1</v>
      </c>
      <c r="AT41" s="4">
        <v>0.42799999999999999</v>
      </c>
      <c r="AU41" s="4">
        <v>-3.5999999999999997E-2</v>
      </c>
      <c r="AV41" s="4">
        <v>-4.1000000000000002E-2</v>
      </c>
      <c r="AW41" s="4">
        <v>0.442</v>
      </c>
      <c r="AX41" s="4">
        <v>0.223</v>
      </c>
      <c r="AY41" s="4">
        <v>0.73299999999999998</v>
      </c>
      <c r="AZ41" s="4">
        <v>0.46899999999999997</v>
      </c>
      <c r="BA41" s="4">
        <v>0.79700000000000004</v>
      </c>
      <c r="BB41" s="4">
        <v>-8.3000000000000004E-2</v>
      </c>
      <c r="BC41" s="4">
        <v>-5.6000000000000001E-2</v>
      </c>
      <c r="BD41" s="4">
        <v>-2.1000000000000001E-2</v>
      </c>
      <c r="BE41" s="4">
        <v>0.3</v>
      </c>
      <c r="BF41" s="4">
        <v>-9.1999999999999998E-2</v>
      </c>
      <c r="BG41" s="4">
        <v>0.75</v>
      </c>
      <c r="BH41" s="4">
        <v>-0.78500000000000003</v>
      </c>
      <c r="BI41" s="4">
        <v>-0.16400000000000001</v>
      </c>
      <c r="BJ41" s="4">
        <v>0.5</v>
      </c>
      <c r="BK41" s="4">
        <v>0.34899999999999998</v>
      </c>
      <c r="BL41" s="4"/>
      <c r="BM41" s="4">
        <f t="shared" si="10"/>
        <v>0.51264050000000005</v>
      </c>
    </row>
    <row r="42" spans="1:65" hidden="1" x14ac:dyDescent="0.3">
      <c r="A42" t="s">
        <v>76</v>
      </c>
      <c r="B42" s="53">
        <f t="shared" ref="B42:B50" si="12">K42</f>
        <v>5.0000000000000001E-3</v>
      </c>
      <c r="C42" s="53">
        <f t="shared" si="4"/>
        <v>5.0000000000000001E-3</v>
      </c>
      <c r="D42" s="53">
        <f t="shared" si="5"/>
        <v>0</v>
      </c>
      <c r="E42" s="53">
        <f t="shared" si="6"/>
        <v>0</v>
      </c>
      <c r="F42" s="15">
        <v>2.2280000000000002</v>
      </c>
      <c r="G42">
        <v>1.6439999999999999</v>
      </c>
      <c r="H42" t="s">
        <v>57</v>
      </c>
      <c r="I42" t="str">
        <f>VLOOKUP(A42,Planilha6!$BL$9:$BN$222,2,0)</f>
        <v>homebuilders</v>
      </c>
      <c r="J42" t="str">
        <f>VLOOKUP(A42,Planilha6!$BL$9:$BN$222,3,0)</f>
        <v>high_beta</v>
      </c>
      <c r="K42" s="41">
        <v>5.0000000000000001E-3</v>
      </c>
      <c r="L42" s="42">
        <v>5.0000000000000001E-3</v>
      </c>
      <c r="M42" s="41">
        <f>VLOOKUP(A42,'Mandato Ibov'!$B$1:$C$215,2,0)</f>
        <v>1.00410285671886E-2</v>
      </c>
      <c r="N42" s="59">
        <f t="shared" si="7"/>
        <v>-5.0410285671886003E-3</v>
      </c>
      <c r="O42" s="42">
        <f t="shared" si="8"/>
        <v>-5.0410285671886003E-3</v>
      </c>
      <c r="P42" s="59">
        <f>VLOOKUP(A42,'Mandato Ibov'!$B$2:$D$215,3,0)</f>
        <v>0</v>
      </c>
      <c r="Q42" s="42">
        <f t="shared" si="9"/>
        <v>5.0000000000000001E-3</v>
      </c>
      <c r="R42" s="15">
        <v>0.57599999999999996</v>
      </c>
      <c r="S42" s="15">
        <v>0.22500000000000001</v>
      </c>
      <c r="T42" s="15">
        <v>0.71</v>
      </c>
      <c r="U42" s="15">
        <v>0.35699999999999998</v>
      </c>
      <c r="V42" s="15">
        <v>0.48299999999999998</v>
      </c>
      <c r="W42" s="15">
        <v>0.40400000000000003</v>
      </c>
      <c r="X42" s="15">
        <v>0.29199999999999998</v>
      </c>
      <c r="Y42" s="15">
        <v>0.30399999999999999</v>
      </c>
      <c r="Z42" s="15">
        <v>0.36899999999999999</v>
      </c>
      <c r="AA42" s="15">
        <v>0.36699999999999999</v>
      </c>
      <c r="AB42" s="15">
        <v>0.876</v>
      </c>
      <c r="AC42" s="15">
        <v>0.73699999999999999</v>
      </c>
      <c r="AD42" s="15">
        <v>0.71799999999999997</v>
      </c>
      <c r="AE42" s="14">
        <v>0.57899999999999996</v>
      </c>
      <c r="AF42" s="15">
        <v>0.80600000000000005</v>
      </c>
      <c r="AG42" s="15">
        <v>-0.35599999999999998</v>
      </c>
      <c r="AH42" s="15">
        <v>0.40600000000000003</v>
      </c>
      <c r="AI42" s="15">
        <v>0.33800000000000002</v>
      </c>
      <c r="AJ42" s="16">
        <v>0.34799999999999998</v>
      </c>
      <c r="AK42" s="4">
        <v>-0.186</v>
      </c>
      <c r="AL42" s="4">
        <v>0.315</v>
      </c>
      <c r="AM42" s="4">
        <v>-0.30599999999999999</v>
      </c>
      <c r="AN42" s="4">
        <v>0.58799999999999997</v>
      </c>
      <c r="AO42" s="4">
        <v>0.13700000000000001</v>
      </c>
      <c r="AP42" s="4">
        <v>-0.187</v>
      </c>
      <c r="AQ42" s="4">
        <v>0.60399999999999998</v>
      </c>
      <c r="AR42" s="4">
        <v>-8.9999999999999993E-3</v>
      </c>
      <c r="AS42" s="4">
        <v>-0.33900000000000002</v>
      </c>
      <c r="AT42" s="4">
        <v>9.1999999999999998E-2</v>
      </c>
      <c r="AU42" s="4">
        <v>-0.106</v>
      </c>
      <c r="AV42" s="4">
        <v>0.251</v>
      </c>
      <c r="AW42" s="4">
        <v>-0.26</v>
      </c>
      <c r="AX42" s="4">
        <v>3.4000000000000002E-2</v>
      </c>
      <c r="AY42" s="4">
        <v>0.67100000000000004</v>
      </c>
      <c r="AZ42" s="4">
        <v>0.61199999999999999</v>
      </c>
      <c r="BA42" s="4">
        <v>0.80400000000000005</v>
      </c>
      <c r="BB42" s="4">
        <v>-4.0000000000000001E-3</v>
      </c>
      <c r="BC42" s="4">
        <v>-0.32500000000000001</v>
      </c>
      <c r="BD42" s="4">
        <v>9.9000000000000005E-2</v>
      </c>
      <c r="BE42" s="4">
        <v>0.64100000000000001</v>
      </c>
      <c r="BF42" s="4">
        <v>-0.54100000000000004</v>
      </c>
      <c r="BG42" s="4">
        <v>0.375</v>
      </c>
      <c r="BH42" s="4">
        <v>-0.55900000000000005</v>
      </c>
      <c r="BI42" s="4">
        <v>0.60299999999999998</v>
      </c>
      <c r="BJ42" s="4">
        <v>0.75700000000000001</v>
      </c>
      <c r="BK42" s="4">
        <v>0.41299999999999998</v>
      </c>
      <c r="BL42" s="4"/>
      <c r="BM42" s="4">
        <f t="shared" si="10"/>
        <v>0.49505929999999998</v>
      </c>
    </row>
    <row r="43" spans="1:65" hidden="1" x14ac:dyDescent="0.3">
      <c r="A43" t="s">
        <v>63</v>
      </c>
      <c r="B43" s="53">
        <f t="shared" si="12"/>
        <v>1.2E-2</v>
      </c>
      <c r="C43" s="53">
        <f t="shared" si="4"/>
        <v>1.2E-2</v>
      </c>
      <c r="D43" s="53">
        <f t="shared" si="5"/>
        <v>0</v>
      </c>
      <c r="E43" s="53">
        <f t="shared" si="6"/>
        <v>0</v>
      </c>
      <c r="F43" s="15">
        <v>2.2240000000000002</v>
      </c>
      <c r="G43">
        <v>2.4630000000000001</v>
      </c>
      <c r="H43" t="s">
        <v>57</v>
      </c>
      <c r="I43" t="str">
        <f>VLOOKUP(A43,Planilha6!$BL$9:$BN$222,2,0)</f>
        <v>apparel</v>
      </c>
      <c r="J43" t="str">
        <f>VLOOKUP(A43,Planilha6!$BL$9:$BN$222,3,0)</f>
        <v>low_beta</v>
      </c>
      <c r="K43" s="41">
        <v>1.2E-2</v>
      </c>
      <c r="L43" s="42">
        <v>1.2E-2</v>
      </c>
      <c r="M43" s="41">
        <f>VLOOKUP(A43,'Mandato Ibov'!$B$1:$C$215,2,0)</f>
        <v>1.002617621347E-2</v>
      </c>
      <c r="N43" s="59">
        <f t="shared" si="7"/>
        <v>1.9738237865300004E-3</v>
      </c>
      <c r="O43" s="42">
        <f t="shared" si="8"/>
        <v>1.9738237865300004E-3</v>
      </c>
      <c r="P43" s="59">
        <f>VLOOKUP(A43,'Mandato Ibov'!$B$2:$D$215,3,0)</f>
        <v>6.2237229790983702E-3</v>
      </c>
      <c r="Q43" s="42">
        <f t="shared" si="9"/>
        <v>5.7762770209016301E-3</v>
      </c>
      <c r="R43" s="15">
        <v>-0.10100000000000001</v>
      </c>
      <c r="S43" s="15">
        <v>0.22900000000000001</v>
      </c>
      <c r="T43" s="15">
        <v>3.7999999999999999E-2</v>
      </c>
      <c r="U43" s="15">
        <v>0.215</v>
      </c>
      <c r="V43" s="15">
        <v>0.45400000000000001</v>
      </c>
      <c r="W43" s="15">
        <v>0.48699999999999999</v>
      </c>
      <c r="X43" s="15">
        <v>0.82299999999999995</v>
      </c>
      <c r="Y43" s="15">
        <v>1</v>
      </c>
      <c r="Z43" s="15">
        <v>0.61299999999999999</v>
      </c>
      <c r="AA43" s="15">
        <v>0.61899999999999999</v>
      </c>
      <c r="AB43" s="15">
        <v>0.748</v>
      </c>
      <c r="AC43" s="15">
        <v>0.64300000000000002</v>
      </c>
      <c r="AD43" s="15">
        <v>0.47399999999999998</v>
      </c>
      <c r="AE43" s="14">
        <v>0.75800000000000001</v>
      </c>
      <c r="AF43" s="15">
        <v>0.219</v>
      </c>
      <c r="AG43" s="15">
        <v>-0.64200000000000002</v>
      </c>
      <c r="AH43" s="15">
        <v>-0.23599999999999999</v>
      </c>
      <c r="AI43" s="15">
        <v>-0.57499999999999996</v>
      </c>
      <c r="AJ43" s="16">
        <v>0.38100000000000001</v>
      </c>
      <c r="AK43" s="4">
        <v>-0.27300000000000002</v>
      </c>
      <c r="AL43" s="4">
        <v>1</v>
      </c>
      <c r="AM43" s="4">
        <v>-0.745</v>
      </c>
      <c r="AN43" s="4">
        <v>0.55200000000000005</v>
      </c>
      <c r="AO43" s="4">
        <v>-0.27500000000000002</v>
      </c>
      <c r="AP43" s="4">
        <v>-0.51400000000000001</v>
      </c>
      <c r="AQ43" s="4">
        <v>0.28799999999999998</v>
      </c>
      <c r="AR43" s="4">
        <v>-5.7000000000000002E-2</v>
      </c>
      <c r="AS43" s="4">
        <v>-0.39700000000000002</v>
      </c>
      <c r="AT43" s="4">
        <v>0.83099999999999996</v>
      </c>
      <c r="AU43" s="4">
        <v>0.13800000000000001</v>
      </c>
      <c r="AV43" s="4">
        <v>0.36599999999999999</v>
      </c>
      <c r="AW43" s="4">
        <v>0.373</v>
      </c>
      <c r="AX43" s="4">
        <v>-5.8000000000000003E-2</v>
      </c>
      <c r="AY43" s="4">
        <v>0.72399999999999998</v>
      </c>
      <c r="AZ43" s="4">
        <v>1</v>
      </c>
      <c r="BA43" s="4">
        <v>7.2999999999999995E-2</v>
      </c>
      <c r="BB43" s="4">
        <v>-0.70899999999999996</v>
      </c>
      <c r="BC43" s="4">
        <v>-0.76700000000000002</v>
      </c>
      <c r="BD43" s="4">
        <v>-0.52500000000000002</v>
      </c>
      <c r="BE43" s="4">
        <v>0.109</v>
      </c>
      <c r="BF43" s="4">
        <v>-5.6000000000000001E-2</v>
      </c>
      <c r="BG43" s="4">
        <v>0.79700000000000004</v>
      </c>
      <c r="BH43" s="4">
        <v>-0.746</v>
      </c>
      <c r="BI43" s="4">
        <v>-0.25</v>
      </c>
      <c r="BJ43" s="4">
        <v>0.17100000000000001</v>
      </c>
      <c r="BK43" s="4">
        <v>8.8999999999999996E-2</v>
      </c>
      <c r="BL43" s="4"/>
      <c r="BM43" s="4">
        <f t="shared" si="10"/>
        <v>0.49381170000000002</v>
      </c>
    </row>
    <row r="44" spans="1:65" hidden="1" x14ac:dyDescent="0.3">
      <c r="A44" t="s">
        <v>167</v>
      </c>
      <c r="B44" s="53">
        <f t="shared" si="12"/>
        <v>1.0999999999999999E-2</v>
      </c>
      <c r="C44" s="53">
        <f t="shared" si="4"/>
        <v>1.0999999999999999E-2</v>
      </c>
      <c r="D44" s="53">
        <f t="shared" si="5"/>
        <v>0</v>
      </c>
      <c r="E44" s="53">
        <f t="shared" si="6"/>
        <v>0</v>
      </c>
      <c r="F44" s="15">
        <v>2.2210000000000001</v>
      </c>
      <c r="G44">
        <v>2.1160000000000001</v>
      </c>
      <c r="H44" t="s">
        <v>57</v>
      </c>
      <c r="I44" t="str">
        <f>VLOOKUP(A44,Planilha6!$BL$9:$BN$222,2,0)</f>
        <v>tech</v>
      </c>
      <c r="J44" t="str">
        <f>VLOOKUP(A44,Planilha6!$BL$9:$BN$222,3,0)</f>
        <v>high_beta</v>
      </c>
      <c r="K44" s="41">
        <v>1.0999999999999999E-2</v>
      </c>
      <c r="L44" s="42">
        <v>1.0999999999999999E-2</v>
      </c>
      <c r="M44" s="41">
        <f>VLOOKUP(A44,'Mandato Ibov'!$B$1:$C$215,2,0)</f>
        <v>1.0012073999949699E-2</v>
      </c>
      <c r="N44" s="59">
        <f t="shared" si="7"/>
        <v>9.8792600005030012E-4</v>
      </c>
      <c r="O44" s="42">
        <f t="shared" si="8"/>
        <v>9.8792600005030012E-4</v>
      </c>
      <c r="P44" s="59">
        <f>VLOOKUP(A44,'Mandato Ibov'!$B$2:$D$215,3,0)</f>
        <v>6.3078922061141603E-3</v>
      </c>
      <c r="Q44" s="42">
        <f t="shared" si="9"/>
        <v>4.6921077938858391E-3</v>
      </c>
      <c r="R44" s="15">
        <v>0.56299999999999994</v>
      </c>
      <c r="S44" s="15">
        <v>0.54400000000000004</v>
      </c>
      <c r="T44" s="15">
        <v>0.25600000000000001</v>
      </c>
      <c r="U44" s="15">
        <v>0.33400000000000002</v>
      </c>
      <c r="V44" s="15">
        <v>0.40400000000000003</v>
      </c>
      <c r="W44" s="15">
        <v>0.39300000000000002</v>
      </c>
      <c r="X44" s="15">
        <v>0.308</v>
      </c>
      <c r="Y44" s="15">
        <v>0.17399999999999999</v>
      </c>
      <c r="Z44" s="15">
        <v>0.53300000000000003</v>
      </c>
      <c r="AA44" s="15">
        <v>0.53700000000000003</v>
      </c>
      <c r="AB44" s="15">
        <v>0.83299999999999996</v>
      </c>
      <c r="AC44" s="15">
        <v>0.85199999999999998</v>
      </c>
      <c r="AD44" s="15">
        <v>0.82099999999999995</v>
      </c>
      <c r="AE44" s="14">
        <v>0.28499999999999998</v>
      </c>
      <c r="AF44" s="15">
        <v>-0.33900000000000002</v>
      </c>
      <c r="AG44" s="15">
        <v>0.34799999999999998</v>
      </c>
      <c r="AH44" s="15">
        <v>-0.32700000000000001</v>
      </c>
      <c r="AI44" s="15">
        <v>0.58899999999999997</v>
      </c>
      <c r="AJ44" s="16">
        <v>7.8E-2</v>
      </c>
      <c r="AK44" s="4">
        <v>9.5000000000000001E-2</v>
      </c>
      <c r="AL44" s="4">
        <v>-0.24199999999999999</v>
      </c>
      <c r="AM44" s="4">
        <v>-0.64500000000000002</v>
      </c>
      <c r="AN44" s="4">
        <v>0.76600000000000001</v>
      </c>
      <c r="AO44" s="4">
        <v>0.35899999999999999</v>
      </c>
      <c r="AP44" s="4">
        <v>0.78900000000000003</v>
      </c>
      <c r="AQ44" s="4">
        <v>7.4999999999999997E-2</v>
      </c>
      <c r="AR44" s="4">
        <v>0.13500000000000001</v>
      </c>
      <c r="AS44" s="4">
        <v>0.17299999999999999</v>
      </c>
      <c r="AT44" s="4">
        <v>0.53200000000000003</v>
      </c>
      <c r="AU44" s="4">
        <v>-9.2999999999999999E-2</v>
      </c>
      <c r="AV44" s="4">
        <v>0.35299999999999998</v>
      </c>
      <c r="AW44" s="4">
        <v>0.20799999999999999</v>
      </c>
      <c r="AX44" s="4">
        <v>0.38</v>
      </c>
      <c r="AY44" s="4">
        <v>0.81699999999999995</v>
      </c>
      <c r="AZ44" s="4">
        <v>0.29299999999999998</v>
      </c>
      <c r="BA44" s="4">
        <v>0.16400000000000001</v>
      </c>
      <c r="BB44" s="4">
        <v>0.12</v>
      </c>
      <c r="BC44" s="4">
        <v>0.09</v>
      </c>
      <c r="BD44" s="4">
        <v>0.38600000000000001</v>
      </c>
      <c r="BE44" s="4">
        <v>0.30399999999999999</v>
      </c>
      <c r="BF44" s="4">
        <v>0.443</v>
      </c>
      <c r="BG44" s="4">
        <v>0.46400000000000002</v>
      </c>
      <c r="BH44" s="4">
        <v>0.03</v>
      </c>
      <c r="BI44" s="4">
        <v>0.09</v>
      </c>
      <c r="BJ44" s="4">
        <v>2E-3</v>
      </c>
      <c r="BK44" s="4">
        <v>-0.111</v>
      </c>
      <c r="BL44" s="4"/>
      <c r="BM44" s="4">
        <f t="shared" si="10"/>
        <v>0.49247349999999995</v>
      </c>
    </row>
    <row r="45" spans="1:65" hidden="1" x14ac:dyDescent="0.3">
      <c r="A45" t="s">
        <v>145</v>
      </c>
      <c r="B45" s="53">
        <f t="shared" si="12"/>
        <v>8.0000000000000002E-3</v>
      </c>
      <c r="C45" s="53">
        <f t="shared" si="4"/>
        <v>8.0000000000000002E-3</v>
      </c>
      <c r="D45" s="53">
        <f t="shared" si="5"/>
        <v>0</v>
      </c>
      <c r="E45" s="53">
        <f t="shared" si="6"/>
        <v>0</v>
      </c>
      <c r="F45" s="15">
        <v>2.1819999999999999</v>
      </c>
      <c r="G45">
        <v>1.6180000000000001</v>
      </c>
      <c r="H45" t="s">
        <v>57</v>
      </c>
      <c r="I45" t="str">
        <f>VLOOKUP(A45,Planilha6!$BL$9:$BN$222,2,0)</f>
        <v>banks</v>
      </c>
      <c r="J45" t="str">
        <f>VLOOKUP(A45,Planilha6!$BL$9:$BN$222,3,0)</f>
        <v>high_beta</v>
      </c>
      <c r="K45" s="41">
        <v>8.0000000000000002E-3</v>
      </c>
      <c r="L45" s="42">
        <v>8.0000000000000002E-3</v>
      </c>
      <c r="M45" s="41">
        <f>VLOOKUP(A45,'Mandato Ibov'!$B$1:$C$215,2,0)</f>
        <v>9.8346790837545595E-3</v>
      </c>
      <c r="N45" s="59">
        <f t="shared" si="7"/>
        <v>-1.8346790837545594E-3</v>
      </c>
      <c r="O45" s="42">
        <f t="shared" si="8"/>
        <v>-1.8346790837545594E-3</v>
      </c>
      <c r="P45" s="59">
        <f>VLOOKUP(A45,'Mandato Ibov'!$B$2:$D$215,3,0)</f>
        <v>7.2699068603040498E-3</v>
      </c>
      <c r="Q45" s="42">
        <f t="shared" si="9"/>
        <v>7.3009313969595035E-4</v>
      </c>
      <c r="R45" s="15">
        <v>0.311</v>
      </c>
      <c r="S45" s="15">
        <v>0.54900000000000004</v>
      </c>
      <c r="T45" s="15">
        <v>0.41399999999999998</v>
      </c>
      <c r="U45" s="15">
        <v>0.17699999999999999</v>
      </c>
      <c r="V45" s="15">
        <v>0.504</v>
      </c>
      <c r="W45" s="15">
        <v>0.17199999999999999</v>
      </c>
      <c r="X45" s="15">
        <v>7.0000000000000001E-3</v>
      </c>
      <c r="Y45" s="15">
        <v>0.13900000000000001</v>
      </c>
      <c r="Z45" s="15">
        <v>0.88800000000000001</v>
      </c>
      <c r="AA45" s="15">
        <v>0.88900000000000001</v>
      </c>
      <c r="AB45" s="15">
        <v>0.96199999999999997</v>
      </c>
      <c r="AC45" s="15">
        <v>0.93200000000000005</v>
      </c>
      <c r="AD45" s="15">
        <v>0.96799999999999997</v>
      </c>
      <c r="AE45" s="14">
        <v>-0.51700000000000002</v>
      </c>
      <c r="AF45" s="15">
        <v>5.0999999999999997E-2</v>
      </c>
      <c r="AG45" s="15">
        <v>0.46600000000000003</v>
      </c>
      <c r="AH45" s="15">
        <v>-0.71799999999999997</v>
      </c>
      <c r="AI45" s="15">
        <v>0.61499999999999999</v>
      </c>
      <c r="AJ45" s="16">
        <v>-5.5E-2</v>
      </c>
      <c r="AK45" s="4">
        <v>-9.7000000000000003E-2</v>
      </c>
      <c r="AL45" s="4">
        <v>-0.40600000000000003</v>
      </c>
      <c r="AM45" s="4">
        <v>-0.58699999999999997</v>
      </c>
      <c r="AN45" s="4">
        <v>-0.61299999999999999</v>
      </c>
      <c r="AO45" s="4">
        <v>0.71299999999999997</v>
      </c>
      <c r="AP45" s="4">
        <v>0.80500000000000005</v>
      </c>
      <c r="AQ45" s="4">
        <v>0.32400000000000001</v>
      </c>
      <c r="AR45" s="4">
        <v>1</v>
      </c>
      <c r="AS45" s="4">
        <v>0.68100000000000005</v>
      </c>
      <c r="AT45" s="4">
        <v>0.36299999999999999</v>
      </c>
      <c r="AU45" s="4">
        <v>-8.4000000000000005E-2</v>
      </c>
      <c r="AV45" s="4">
        <v>-5.2999999999999999E-2</v>
      </c>
      <c r="AW45" s="4">
        <v>0.38200000000000001</v>
      </c>
      <c r="AX45" s="4">
        <v>8.8999999999999996E-2</v>
      </c>
      <c r="AY45" s="4">
        <v>0.62</v>
      </c>
      <c r="AZ45" s="4">
        <v>1</v>
      </c>
      <c r="BA45" s="4">
        <v>0.23300000000000001</v>
      </c>
      <c r="BB45" s="4">
        <v>-0.53500000000000003</v>
      </c>
      <c r="BC45" s="4">
        <v>-0.20799999999999999</v>
      </c>
      <c r="BD45" s="4">
        <v>-0.46100000000000002</v>
      </c>
      <c r="BE45" s="4">
        <v>0.47699999999999998</v>
      </c>
      <c r="BF45" s="4">
        <v>0.17399999999999999</v>
      </c>
      <c r="BG45" s="4">
        <v>0.32800000000000001</v>
      </c>
      <c r="BH45" s="4">
        <v>-1</v>
      </c>
      <c r="BI45" s="4">
        <v>0.30599999999999999</v>
      </c>
      <c r="BJ45" s="4">
        <v>0.90600000000000003</v>
      </c>
      <c r="BK45" s="4">
        <v>0.39900000000000002</v>
      </c>
      <c r="BL45" s="4"/>
      <c r="BM45" s="4">
        <f t="shared" si="10"/>
        <v>0.47862879999999997</v>
      </c>
    </row>
    <row r="46" spans="1:65" hidden="1" x14ac:dyDescent="0.3">
      <c r="A46" t="s">
        <v>126</v>
      </c>
      <c r="B46" s="53">
        <f t="shared" si="12"/>
        <v>7.0000000000000001E-3</v>
      </c>
      <c r="C46" s="53">
        <f t="shared" si="4"/>
        <v>7.0000000000000001E-3</v>
      </c>
      <c r="D46" s="53">
        <f t="shared" si="5"/>
        <v>0</v>
      </c>
      <c r="E46" s="53">
        <f t="shared" si="6"/>
        <v>0</v>
      </c>
      <c r="F46" s="15">
        <v>2.15</v>
      </c>
      <c r="G46">
        <v>1.6220000000000001</v>
      </c>
      <c r="H46" t="s">
        <v>57</v>
      </c>
      <c r="I46" t="str">
        <f>VLOOKUP(A46,Planilha6!$BL$9:$BN$222,2,0)</f>
        <v>tech</v>
      </c>
      <c r="J46" t="str">
        <f>VLOOKUP(A46,Planilha6!$BL$9:$BN$222,3,0)</f>
        <v>neutral_beta</v>
      </c>
      <c r="K46" s="41">
        <v>7.0000000000000001E-3</v>
      </c>
      <c r="L46" s="42">
        <v>7.0000000000000001E-3</v>
      </c>
      <c r="M46" s="41">
        <f>VLOOKUP(A46,'Mandato Ibov'!$B$1:$C$215,2,0)</f>
        <v>9.6885846554920392E-3</v>
      </c>
      <c r="N46" s="59">
        <f t="shared" si="7"/>
        <v>-2.6885846554920391E-3</v>
      </c>
      <c r="O46" s="42">
        <f t="shared" si="8"/>
        <v>-2.6885846554920391E-3</v>
      </c>
      <c r="P46" s="59">
        <f>VLOOKUP(A46,'Mandato Ibov'!$B$2:$D$215,3,0)</f>
        <v>0</v>
      </c>
      <c r="Q46" s="42">
        <f t="shared" si="9"/>
        <v>7.0000000000000001E-3</v>
      </c>
      <c r="R46" s="15">
        <v>0.94599999999999995</v>
      </c>
      <c r="S46" s="15">
        <v>0.20899999999999999</v>
      </c>
      <c r="T46" s="15">
        <v>0.95599999999999996</v>
      </c>
      <c r="U46" s="15">
        <v>0.49099999999999999</v>
      </c>
      <c r="V46" s="15">
        <v>0.44800000000000001</v>
      </c>
      <c r="W46" s="15">
        <v>0.17699999999999999</v>
      </c>
      <c r="X46" s="15">
        <v>-0.253</v>
      </c>
      <c r="Y46" s="15">
        <v>-0.45900000000000002</v>
      </c>
      <c r="Z46" s="15">
        <v>0.71899999999999997</v>
      </c>
      <c r="AA46" s="15">
        <v>0.72099999999999997</v>
      </c>
      <c r="AB46" s="15">
        <v>0.98299999999999998</v>
      </c>
      <c r="AC46" s="15">
        <v>1</v>
      </c>
      <c r="AD46" s="15">
        <v>1</v>
      </c>
      <c r="AE46" s="14">
        <v>0.59199999999999997</v>
      </c>
      <c r="AF46" s="15">
        <v>0.40200000000000002</v>
      </c>
      <c r="AG46" s="15">
        <v>0.47399999999999998</v>
      </c>
      <c r="AH46" s="15">
        <v>0.26600000000000001</v>
      </c>
      <c r="AI46" s="15">
        <v>0.38100000000000001</v>
      </c>
      <c r="AJ46" s="16">
        <v>0.307</v>
      </c>
      <c r="AK46" s="4">
        <v>-0.221</v>
      </c>
      <c r="AL46" s="4">
        <v>-0.79100000000000004</v>
      </c>
      <c r="AM46" s="4">
        <v>0.55800000000000005</v>
      </c>
      <c r="AN46" s="4">
        <v>0.31</v>
      </c>
      <c r="AO46" s="4">
        <v>0.41199999999999998</v>
      </c>
      <c r="AP46" s="4">
        <v>-0.161</v>
      </c>
      <c r="AQ46" s="4">
        <v>0.28499999999999998</v>
      </c>
      <c r="AR46" s="4">
        <v>1</v>
      </c>
      <c r="AS46" s="4">
        <v>0.80300000000000005</v>
      </c>
      <c r="AT46" s="4">
        <v>1E-3</v>
      </c>
      <c r="AU46" s="4">
        <v>-0.315</v>
      </c>
      <c r="AV46" s="4">
        <v>0.38300000000000001</v>
      </c>
      <c r="AW46" s="4">
        <v>-0.45700000000000002</v>
      </c>
      <c r="AX46" s="4">
        <v>0.371</v>
      </c>
      <c r="AY46" s="4">
        <v>0.61399999999999999</v>
      </c>
      <c r="AZ46" s="4">
        <v>-4.0000000000000001E-3</v>
      </c>
      <c r="BA46" s="4">
        <v>0.88500000000000001</v>
      </c>
      <c r="BB46" s="4">
        <v>0.308</v>
      </c>
      <c r="BC46" s="4">
        <v>-0.192</v>
      </c>
      <c r="BD46" s="4">
        <v>0.66400000000000003</v>
      </c>
      <c r="BE46" s="4">
        <v>-0.495</v>
      </c>
      <c r="BF46" s="4">
        <v>0.13100000000000001</v>
      </c>
      <c r="BG46" s="4">
        <v>0.217</v>
      </c>
      <c r="BH46" s="4">
        <v>0.498</v>
      </c>
      <c r="BI46" s="4">
        <v>-0.127</v>
      </c>
      <c r="BJ46" s="4">
        <v>0.88700000000000001</v>
      </c>
      <c r="BK46" s="4">
        <v>0.48199999999999998</v>
      </c>
      <c r="BL46" s="4"/>
      <c r="BM46" s="4">
        <f t="shared" si="10"/>
        <v>0.46708479999999997</v>
      </c>
    </row>
    <row r="47" spans="1:65" hidden="1" x14ac:dyDescent="0.3">
      <c r="A47" t="s">
        <v>114</v>
      </c>
      <c r="B47" s="53">
        <f t="shared" si="12"/>
        <v>0.02</v>
      </c>
      <c r="C47" s="53">
        <f t="shared" si="4"/>
        <v>0.02</v>
      </c>
      <c r="D47" s="53">
        <f t="shared" si="5"/>
        <v>0</v>
      </c>
      <c r="E47" s="53">
        <f t="shared" si="6"/>
        <v>0</v>
      </c>
      <c r="F47" s="15">
        <v>2.081</v>
      </c>
      <c r="G47">
        <v>2.7989999999999999</v>
      </c>
      <c r="H47" t="s">
        <v>55</v>
      </c>
      <c r="I47" t="str">
        <f>VLOOKUP(A47,Planilha6!$BL$9:$BN$222,2,0)</f>
        <v>utilities</v>
      </c>
      <c r="J47" t="str">
        <f>VLOOKUP(A47,Planilha6!$BL$9:$BN$222,3,0)</f>
        <v>very_low_beta</v>
      </c>
      <c r="K47" s="41">
        <v>0.02</v>
      </c>
      <c r="L47" s="42">
        <v>0.02</v>
      </c>
      <c r="M47" s="41">
        <f>VLOOKUP(A47,'Mandato Ibov'!$B$1:$C$215,2,0)</f>
        <v>9.3783751061084393E-3</v>
      </c>
      <c r="N47" s="59">
        <f t="shared" si="7"/>
        <v>1.0621624893891561E-2</v>
      </c>
      <c r="O47" s="42">
        <f t="shared" si="8"/>
        <v>1.0621624893891561E-2</v>
      </c>
      <c r="P47" s="59">
        <f>VLOOKUP(A47,'Mandato Ibov'!$B$2:$D$215,3,0)</f>
        <v>6.4669248852750796E-3</v>
      </c>
      <c r="Q47" s="42">
        <f t="shared" si="9"/>
        <v>1.3533075114724921E-2</v>
      </c>
      <c r="R47" s="15">
        <v>-0.121</v>
      </c>
      <c r="S47" s="15">
        <v>0.68</v>
      </c>
      <c r="T47" s="15">
        <v>-0.33</v>
      </c>
      <c r="U47" s="15">
        <v>1.9E-2</v>
      </c>
      <c r="V47" s="15">
        <v>0.33700000000000002</v>
      </c>
      <c r="W47" s="15">
        <v>0.38300000000000001</v>
      </c>
      <c r="X47" s="15">
        <v>0.72499999999999998</v>
      </c>
      <c r="Y47" s="15">
        <v>0.47899999999999998</v>
      </c>
      <c r="Z47" s="15">
        <v>0.88</v>
      </c>
      <c r="AA47" s="15">
        <v>0.88600000000000001</v>
      </c>
      <c r="AB47" s="15">
        <v>0.70399999999999996</v>
      </c>
      <c r="AC47" s="15">
        <v>0.90200000000000002</v>
      </c>
      <c r="AD47" s="15">
        <v>0.74399999999999999</v>
      </c>
      <c r="AE47" s="14">
        <v>0.10100000000000001</v>
      </c>
      <c r="AF47" s="15">
        <v>-0.58099999999999996</v>
      </c>
      <c r="AG47" s="15">
        <v>0.371</v>
      </c>
      <c r="AH47" s="15">
        <v>-0.70499999999999996</v>
      </c>
      <c r="AI47" s="15">
        <v>-0.30599999999999999</v>
      </c>
      <c r="AJ47" s="16">
        <v>-0.75600000000000001</v>
      </c>
      <c r="AK47" s="4">
        <v>-4.9000000000000002E-2</v>
      </c>
      <c r="AL47" s="4">
        <v>-0.42799999999999999</v>
      </c>
      <c r="AM47" s="4">
        <v>-0.28699999999999998</v>
      </c>
      <c r="AN47" s="4">
        <v>-0.36799999999999999</v>
      </c>
      <c r="AO47" s="4">
        <v>0.34699999999999998</v>
      </c>
      <c r="AP47" s="4">
        <v>0.40300000000000002</v>
      </c>
      <c r="AQ47" s="4">
        <v>-0.109</v>
      </c>
      <c r="AR47" s="4">
        <v>7.0000000000000007E-2</v>
      </c>
      <c r="AS47" s="4">
        <v>0.307</v>
      </c>
      <c r="AT47" s="4">
        <v>0.06</v>
      </c>
      <c r="AU47" s="4">
        <v>0.70799999999999996</v>
      </c>
      <c r="AV47" s="4">
        <v>0.27800000000000002</v>
      </c>
      <c r="AW47" s="4">
        <v>0.79100000000000004</v>
      </c>
      <c r="AX47" s="4">
        <v>-0.504</v>
      </c>
      <c r="AY47" s="4">
        <v>0.81799999999999995</v>
      </c>
      <c r="AZ47" s="4">
        <v>1</v>
      </c>
      <c r="BA47" s="4">
        <v>2.1000000000000001E-2</v>
      </c>
      <c r="BB47" s="4">
        <v>0.03</v>
      </c>
      <c r="BC47" s="4">
        <v>-0.223</v>
      </c>
      <c r="BD47" s="4">
        <v>0.28399999999999997</v>
      </c>
      <c r="BE47" s="4">
        <v>0.14699999999999999</v>
      </c>
      <c r="BF47" s="4">
        <v>-0.23300000000000001</v>
      </c>
      <c r="BG47" s="4">
        <v>0.93700000000000006</v>
      </c>
      <c r="BH47" s="4">
        <v>-0.49399999999999999</v>
      </c>
      <c r="BI47" s="4">
        <v>-0.40300000000000002</v>
      </c>
      <c r="BJ47" s="4">
        <v>0.29799999999999999</v>
      </c>
      <c r="BK47" s="4">
        <v>0.11799999999999999</v>
      </c>
      <c r="BL47" s="4"/>
      <c r="BM47" s="4">
        <f t="shared" si="10"/>
        <v>0.44279369999999996</v>
      </c>
    </row>
    <row r="48" spans="1:65" hidden="1" x14ac:dyDescent="0.3">
      <c r="A48" t="s">
        <v>116</v>
      </c>
      <c r="B48" s="53">
        <f t="shared" si="12"/>
        <v>1.2E-2</v>
      </c>
      <c r="C48" s="53">
        <f t="shared" si="4"/>
        <v>1.2E-2</v>
      </c>
      <c r="D48" s="53">
        <f t="shared" si="5"/>
        <v>0</v>
      </c>
      <c r="E48" s="53">
        <f t="shared" si="6"/>
        <v>0</v>
      </c>
      <c r="F48" s="15">
        <v>2.0649999999999999</v>
      </c>
      <c r="G48">
        <v>2.254</v>
      </c>
      <c r="H48" t="s">
        <v>53</v>
      </c>
      <c r="I48" t="str">
        <f>VLOOKUP(A48,Planilha6!$BL$9:$BN$222,2,0)</f>
        <v>healthcare</v>
      </c>
      <c r="J48" t="str">
        <f>VLOOKUP(A48,Planilha6!$BL$9:$BN$222,3,0)</f>
        <v>neutral_beta</v>
      </c>
      <c r="K48" s="41">
        <v>1.2E-2</v>
      </c>
      <c r="L48" s="42">
        <v>1.2E-2</v>
      </c>
      <c r="M48" s="41">
        <f>VLOOKUP(A48,'Mandato Ibov'!$B$1:$C$215,2,0)</f>
        <v>9.3097022598520492E-3</v>
      </c>
      <c r="N48" s="59">
        <f t="shared" si="7"/>
        <v>2.6902977401479511E-3</v>
      </c>
      <c r="O48" s="42">
        <f t="shared" si="8"/>
        <v>2.6902977401479511E-3</v>
      </c>
      <c r="P48" s="59">
        <f>VLOOKUP(A48,'Mandato Ibov'!$B$2:$D$215,3,0)</f>
        <v>9.2720699152648908E-3</v>
      </c>
      <c r="Q48" s="42">
        <f t="shared" si="9"/>
        <v>2.7279300847351095E-3</v>
      </c>
      <c r="R48" s="15">
        <v>0.45100000000000001</v>
      </c>
      <c r="S48" s="15">
        <v>0.49099999999999999</v>
      </c>
      <c r="T48" s="15">
        <v>0.28499999999999998</v>
      </c>
      <c r="U48" s="15">
        <v>0.33600000000000002</v>
      </c>
      <c r="V48" s="15">
        <v>0.41</v>
      </c>
      <c r="W48" s="15">
        <v>0.27600000000000002</v>
      </c>
      <c r="X48" s="15">
        <v>0.27400000000000002</v>
      </c>
      <c r="Y48" s="15">
        <v>-8.6999999999999994E-2</v>
      </c>
      <c r="Z48" s="15">
        <v>0.55600000000000005</v>
      </c>
      <c r="AA48" s="15">
        <v>0.56000000000000005</v>
      </c>
      <c r="AB48" s="15">
        <v>0.89800000000000002</v>
      </c>
      <c r="AC48" s="15">
        <v>1</v>
      </c>
      <c r="AD48" s="15">
        <v>0.91500000000000004</v>
      </c>
      <c r="AE48" s="14">
        <v>-0.14499999999999999</v>
      </c>
      <c r="AF48" s="15">
        <v>-0.35199999999999998</v>
      </c>
      <c r="AG48" s="15">
        <v>0.78200000000000003</v>
      </c>
      <c r="AH48" s="15">
        <v>-0.374</v>
      </c>
      <c r="AI48" s="15">
        <v>1</v>
      </c>
      <c r="AJ48" s="16">
        <v>0.35199999999999998</v>
      </c>
      <c r="AK48" s="4">
        <v>-0.17299999999999999</v>
      </c>
      <c r="AL48" s="4">
        <v>-0.6</v>
      </c>
      <c r="AM48" s="4">
        <v>-0.58099999999999996</v>
      </c>
      <c r="AN48" s="4">
        <v>9.5000000000000001E-2</v>
      </c>
      <c r="AO48" s="4">
        <v>0.71899999999999997</v>
      </c>
      <c r="AP48" s="4">
        <v>0.66500000000000004</v>
      </c>
      <c r="AQ48" s="4">
        <v>0.33200000000000002</v>
      </c>
      <c r="AR48" s="4">
        <v>0.214</v>
      </c>
      <c r="AS48" s="4">
        <v>0.47499999999999998</v>
      </c>
      <c r="AT48" s="4">
        <v>0.52600000000000002</v>
      </c>
      <c r="AU48" s="4">
        <v>-0.32100000000000001</v>
      </c>
      <c r="AV48" s="4">
        <v>0.46700000000000003</v>
      </c>
      <c r="AW48" s="4">
        <v>0.39800000000000002</v>
      </c>
      <c r="AX48" s="4">
        <v>-0.129</v>
      </c>
      <c r="AY48" s="4">
        <v>0.999</v>
      </c>
      <c r="AZ48" s="4">
        <v>-0.28000000000000003</v>
      </c>
      <c r="BA48" s="4">
        <v>0.77900000000000003</v>
      </c>
      <c r="BB48" s="4">
        <v>-0.28499999999999998</v>
      </c>
      <c r="BC48" s="4">
        <v>-0.27600000000000002</v>
      </c>
      <c r="BD48" s="4">
        <v>0.16600000000000001</v>
      </c>
      <c r="BE48" s="4">
        <v>0.29899999999999999</v>
      </c>
      <c r="BF48" s="4">
        <v>-0.69199999999999995</v>
      </c>
      <c r="BG48" s="4">
        <v>0.67200000000000004</v>
      </c>
      <c r="BH48" s="4">
        <v>-0.30599999999999999</v>
      </c>
      <c r="BI48" s="4">
        <v>-3.4000000000000002E-2</v>
      </c>
      <c r="BJ48" s="4">
        <v>0.26900000000000002</v>
      </c>
      <c r="BK48" s="4">
        <v>0.40200000000000002</v>
      </c>
      <c r="BL48" s="4"/>
      <c r="BM48" s="4">
        <f t="shared" si="10"/>
        <v>0.4373148</v>
      </c>
    </row>
    <row r="49" spans="1:65" hidden="1" x14ac:dyDescent="0.3">
      <c r="A49" t="s">
        <v>131</v>
      </c>
      <c r="B49" s="53">
        <f t="shared" si="12"/>
        <v>1.4999999999999999E-2</v>
      </c>
      <c r="C49" s="53">
        <f t="shared" si="4"/>
        <v>1.4E-2</v>
      </c>
      <c r="D49" s="53">
        <f t="shared" si="5"/>
        <v>0</v>
      </c>
      <c r="E49" s="53">
        <f t="shared" si="6"/>
        <v>9.9999999999999915E-4</v>
      </c>
      <c r="F49" s="15">
        <v>2.0209999999999999</v>
      </c>
      <c r="G49">
        <v>2.02</v>
      </c>
      <c r="H49" t="s">
        <v>71</v>
      </c>
      <c r="I49" t="str">
        <f>VLOOKUP(A49,Planilha6!$BL$9:$BN$222,2,0)</f>
        <v>crude_oil</v>
      </c>
      <c r="J49" t="str">
        <f>VLOOKUP(A49,Planilha6!$BL$9:$BN$222,3,0)</f>
        <v>very_low_beta</v>
      </c>
      <c r="K49" s="41">
        <v>1.4999999999999999E-2</v>
      </c>
      <c r="L49" s="42">
        <v>1.4E-2</v>
      </c>
      <c r="M49" s="41">
        <f>VLOOKUP(A49,'Mandato Ibov'!$B$1:$C$215,2,0)</f>
        <v>9.8997659306566798E-3</v>
      </c>
      <c r="N49" s="59">
        <f t="shared" si="7"/>
        <v>5.1002340693433196E-3</v>
      </c>
      <c r="O49" s="42">
        <f t="shared" si="8"/>
        <v>5.1002340693433196E-3</v>
      </c>
      <c r="P49" s="59">
        <f>VLOOKUP(A49,'Mandato Ibov'!$B$2:$D$215,3,0)</f>
        <v>8.3775132854182702E-3</v>
      </c>
      <c r="Q49" s="42">
        <f t="shared" si="9"/>
        <v>6.6224867145817292E-3</v>
      </c>
      <c r="R49" s="15">
        <v>-0.17599999999999999</v>
      </c>
      <c r="S49" s="15">
        <v>0.311</v>
      </c>
      <c r="T49" s="15">
        <v>-0.40400000000000003</v>
      </c>
      <c r="U49" s="15">
        <v>2E-3</v>
      </c>
      <c r="V49" s="15">
        <v>0.17100000000000001</v>
      </c>
      <c r="W49" s="15">
        <v>0.36099999999999999</v>
      </c>
      <c r="X49" s="15">
        <v>0.40600000000000003</v>
      </c>
      <c r="Y49" s="15">
        <v>0.65700000000000003</v>
      </c>
      <c r="Z49" s="15">
        <v>0.90500000000000003</v>
      </c>
      <c r="AA49" s="15">
        <v>0.90700000000000003</v>
      </c>
      <c r="AB49" s="15">
        <v>0.77800000000000002</v>
      </c>
      <c r="AC49" s="15">
        <v>0.82799999999999996</v>
      </c>
      <c r="AD49" s="15">
        <v>0.73599999999999999</v>
      </c>
      <c r="AE49" s="14">
        <v>-0.25600000000000001</v>
      </c>
      <c r="AF49" s="15">
        <v>-0.34100000000000003</v>
      </c>
      <c r="AG49" s="15">
        <v>0.95499999999999996</v>
      </c>
      <c r="AH49" s="15">
        <v>5.0999999999999997E-2</v>
      </c>
      <c r="AI49" s="15">
        <v>0.52200000000000002</v>
      </c>
      <c r="AJ49" s="16">
        <v>-0.66600000000000004</v>
      </c>
      <c r="AK49" s="4">
        <v>-0.24299999999999999</v>
      </c>
      <c r="AL49" s="4">
        <v>0.77</v>
      </c>
      <c r="AM49" s="4">
        <v>-0.06</v>
      </c>
      <c r="AN49" s="4">
        <v>0.33100000000000002</v>
      </c>
      <c r="AO49" s="4">
        <v>0.36699999999999999</v>
      </c>
      <c r="AP49" s="4">
        <v>0.89600000000000002</v>
      </c>
      <c r="AQ49" s="4">
        <v>-0.42699999999999999</v>
      </c>
      <c r="AR49" s="4">
        <v>0.28000000000000003</v>
      </c>
      <c r="AS49" s="4">
        <v>4.4999999999999998E-2</v>
      </c>
      <c r="AT49" s="4">
        <v>0.16300000000000001</v>
      </c>
      <c r="AU49" s="4">
        <v>0.17</v>
      </c>
      <c r="AV49" s="4">
        <v>-0.17499999999999999</v>
      </c>
      <c r="AW49" s="4">
        <v>0.312</v>
      </c>
      <c r="AX49" s="4">
        <v>0.16600000000000001</v>
      </c>
      <c r="AY49" s="4">
        <v>0.82199999999999995</v>
      </c>
      <c r="AZ49" s="4">
        <v>0.111</v>
      </c>
      <c r="BA49" s="4">
        <v>-0.317</v>
      </c>
      <c r="BB49" s="4">
        <v>-0.42199999999999999</v>
      </c>
      <c r="BC49" s="4">
        <v>-0.65600000000000003</v>
      </c>
      <c r="BD49" s="4">
        <v>-0.67400000000000004</v>
      </c>
      <c r="BE49" s="4">
        <v>0.17899999999999999</v>
      </c>
      <c r="BF49" s="4">
        <v>0.78700000000000003</v>
      </c>
      <c r="BG49" s="4">
        <v>0.624</v>
      </c>
      <c r="BH49" s="4">
        <v>-0.20200000000000001</v>
      </c>
      <c r="BI49" s="4">
        <v>-0.78500000000000003</v>
      </c>
      <c r="BJ49" s="4">
        <v>-0.54300000000000004</v>
      </c>
      <c r="BK49" s="4">
        <v>0.437</v>
      </c>
      <c r="BL49" s="4"/>
      <c r="BM49" s="4">
        <f t="shared" si="10"/>
        <v>0.42128120000000002</v>
      </c>
    </row>
    <row r="50" spans="1:65" hidden="1" x14ac:dyDescent="0.3">
      <c r="A50" t="s">
        <v>101</v>
      </c>
      <c r="B50" s="53">
        <f t="shared" si="12"/>
        <v>1.4E-2</v>
      </c>
      <c r="C50" s="53">
        <f t="shared" si="4"/>
        <v>1.4E-2</v>
      </c>
      <c r="D50" s="53">
        <f t="shared" si="5"/>
        <v>0</v>
      </c>
      <c r="E50" s="53">
        <f t="shared" si="6"/>
        <v>0</v>
      </c>
      <c r="F50" s="15">
        <v>1.992</v>
      </c>
      <c r="G50">
        <v>2.149</v>
      </c>
      <c r="H50" t="s">
        <v>71</v>
      </c>
      <c r="I50" t="str">
        <f>VLOOKUP(A50,Planilha6!$BL$9:$BN$222,2,0)</f>
        <v>crude_oil</v>
      </c>
      <c r="J50" t="str">
        <f>VLOOKUP(A50,Planilha6!$BL$9:$BN$222,3,0)</f>
        <v>very_low_beta</v>
      </c>
      <c r="K50" s="41">
        <v>1.4E-2</v>
      </c>
      <c r="L50" s="42">
        <v>1.4E-2</v>
      </c>
      <c r="M50" s="41">
        <f>VLOOKUP(A50,'Mandato Ibov'!$B$1:$C$215,2,0)</f>
        <v>8.9807712525459098E-3</v>
      </c>
      <c r="N50" s="59">
        <f t="shared" si="7"/>
        <v>5.0192287474540905E-3</v>
      </c>
      <c r="O50" s="42">
        <f t="shared" si="8"/>
        <v>5.0192287474540905E-3</v>
      </c>
      <c r="P50" s="59">
        <f>VLOOKUP(A50,'Mandato Ibov'!$B$2:$D$215,3,0)</f>
        <v>7.2310179468144803E-3</v>
      </c>
      <c r="Q50" s="42">
        <f t="shared" si="9"/>
        <v>6.76898205318552E-3</v>
      </c>
      <c r="R50" s="15">
        <v>0.46500000000000002</v>
      </c>
      <c r="S50" s="15">
        <v>0.36099999999999999</v>
      </c>
      <c r="T50" s="15">
        <v>0.45700000000000002</v>
      </c>
      <c r="U50" s="15">
        <v>0.25800000000000001</v>
      </c>
      <c r="V50" s="15">
        <v>0.377</v>
      </c>
      <c r="W50" s="15">
        <v>0.42399999999999999</v>
      </c>
      <c r="X50" s="15">
        <v>0.193</v>
      </c>
      <c r="Y50" s="15">
        <v>-0.24099999999999999</v>
      </c>
      <c r="Z50" s="15">
        <v>0.73399999999999999</v>
      </c>
      <c r="AA50" s="15">
        <v>0.73099999999999998</v>
      </c>
      <c r="AB50" s="15">
        <v>0.83899999999999997</v>
      </c>
      <c r="AC50" s="15">
        <v>0.86799999999999999</v>
      </c>
      <c r="AD50" s="15">
        <v>0.871</v>
      </c>
      <c r="AE50" s="14">
        <v>-0.24299999999999999</v>
      </c>
      <c r="AF50" s="15">
        <v>0.14499999999999999</v>
      </c>
      <c r="AG50" s="15">
        <v>0.13900000000000001</v>
      </c>
      <c r="AH50" s="15">
        <v>-0.43099999999999999</v>
      </c>
      <c r="AI50" s="15">
        <v>1</v>
      </c>
      <c r="AJ50" s="16">
        <v>0.46899999999999997</v>
      </c>
      <c r="AK50" s="4">
        <v>-0.29699999999999999</v>
      </c>
      <c r="AL50" s="4">
        <v>-0.94</v>
      </c>
      <c r="AM50" s="4">
        <v>-0.67100000000000004</v>
      </c>
      <c r="AN50" s="4">
        <v>0.63700000000000001</v>
      </c>
      <c r="AO50" s="4">
        <v>0.48199999999999998</v>
      </c>
      <c r="AP50" s="4">
        <v>0.309</v>
      </c>
      <c r="AQ50" s="4">
        <v>0.91700000000000004</v>
      </c>
      <c r="AR50" s="4">
        <v>0.70499999999999996</v>
      </c>
      <c r="AS50" s="4">
        <v>0.38800000000000001</v>
      </c>
      <c r="AT50" s="4">
        <v>0.25900000000000001</v>
      </c>
      <c r="AU50" s="4">
        <v>-0.13900000000000001</v>
      </c>
      <c r="AV50" s="4">
        <v>0.48699999999999999</v>
      </c>
      <c r="AW50" s="4">
        <v>0.48399999999999999</v>
      </c>
      <c r="AX50" s="4">
        <v>-6.7000000000000004E-2</v>
      </c>
      <c r="AY50" s="4">
        <v>0.77700000000000002</v>
      </c>
      <c r="AZ50" s="4">
        <v>0.28000000000000003</v>
      </c>
      <c r="BA50" s="4">
        <v>0.93</v>
      </c>
      <c r="BB50" s="4">
        <v>-0.27200000000000002</v>
      </c>
      <c r="BC50" s="4">
        <v>-0.54700000000000004</v>
      </c>
      <c r="BD50" s="4">
        <v>0.254</v>
      </c>
      <c r="BE50" s="4">
        <v>-0.215</v>
      </c>
      <c r="BF50" s="4">
        <v>-4.8000000000000001E-2</v>
      </c>
      <c r="BG50" s="4">
        <v>0.55400000000000005</v>
      </c>
      <c r="BH50" s="4">
        <v>-0.56499999999999995</v>
      </c>
      <c r="BI50" s="4">
        <v>-0.74299999999999999</v>
      </c>
      <c r="BJ50" s="4">
        <v>0.626</v>
      </c>
      <c r="BK50" s="4">
        <v>0.63500000000000001</v>
      </c>
      <c r="BL50" s="4"/>
      <c r="BM50" s="4">
        <f t="shared" si="10"/>
        <v>0.41145139999999997</v>
      </c>
    </row>
    <row r="51" spans="1:65" hidden="1" x14ac:dyDescent="0.3">
      <c r="A51" t="s">
        <v>61</v>
      </c>
      <c r="B51" s="53">
        <v>1.0999999999999999E-2</v>
      </c>
      <c r="C51" s="53">
        <f t="shared" si="4"/>
        <v>1.0999999999999999E-2</v>
      </c>
      <c r="D51" s="53">
        <f t="shared" si="5"/>
        <v>-3.0000000000000009E-3</v>
      </c>
      <c r="E51" s="53">
        <f t="shared" si="6"/>
        <v>0</v>
      </c>
      <c r="F51" s="15">
        <v>1.9830000000000001</v>
      </c>
      <c r="G51">
        <v>2.2890000000000001</v>
      </c>
      <c r="H51" t="s">
        <v>57</v>
      </c>
      <c r="I51" t="str">
        <f>VLOOKUP(A51,Planilha6!$BL$9:$BN$222,2,0)</f>
        <v>homebuilders</v>
      </c>
      <c r="J51" t="str">
        <f>VLOOKUP(A51,Planilha6!$BL$9:$BN$222,3,0)</f>
        <v>high_beta</v>
      </c>
      <c r="K51" s="41">
        <v>1.4E-2</v>
      </c>
      <c r="L51" s="42">
        <v>1.4E-2</v>
      </c>
      <c r="M51" s="41">
        <f>VLOOKUP(A51,'Mandato Ibov'!$B$1:$C$215,2,0)</f>
        <v>8.9362388341619609E-3</v>
      </c>
      <c r="N51" s="59">
        <f t="shared" si="7"/>
        <v>5.0637611658380394E-3</v>
      </c>
      <c r="O51" s="42">
        <f t="shared" si="8"/>
        <v>2.0637611658380385E-3</v>
      </c>
      <c r="P51" s="59">
        <f>VLOOKUP(A51,'Mandato Ibov'!$B$2:$D$215,3,0)</f>
        <v>8.2533799251437896E-3</v>
      </c>
      <c r="Q51" s="42">
        <f t="shared" si="9"/>
        <v>5.7466200748562107E-3</v>
      </c>
      <c r="R51" s="15">
        <v>3.4000000000000002E-2</v>
      </c>
      <c r="S51" s="15">
        <v>0.27100000000000002</v>
      </c>
      <c r="T51" s="15">
        <v>0.19500000000000001</v>
      </c>
      <c r="U51" s="15">
        <v>-6.2E-2</v>
      </c>
      <c r="V51" s="15">
        <v>0.30499999999999999</v>
      </c>
      <c r="W51" s="15">
        <v>0.23499999999999999</v>
      </c>
      <c r="X51" s="15">
        <v>0.307</v>
      </c>
      <c r="Y51" s="15">
        <v>0.58399999999999996</v>
      </c>
      <c r="Z51" s="15">
        <v>0.495</v>
      </c>
      <c r="AA51" s="15">
        <v>0.49199999999999999</v>
      </c>
      <c r="AB51" s="15">
        <v>0.70799999999999996</v>
      </c>
      <c r="AC51" s="15">
        <v>0.79700000000000004</v>
      </c>
      <c r="AD51" s="15">
        <v>0.7</v>
      </c>
      <c r="AE51" s="14">
        <v>-0.33200000000000002</v>
      </c>
      <c r="AF51" s="15">
        <v>0.32</v>
      </c>
      <c r="AG51" s="15">
        <v>0.09</v>
      </c>
      <c r="AH51" s="15">
        <v>-7.3999999999999996E-2</v>
      </c>
      <c r="AI51" s="15">
        <v>0.88500000000000001</v>
      </c>
      <c r="AJ51" s="16">
        <v>-0.17799999999999999</v>
      </c>
      <c r="AK51" s="4">
        <v>-0.29099999999999998</v>
      </c>
      <c r="AL51" s="4">
        <v>0.66100000000000003</v>
      </c>
      <c r="AM51" s="4">
        <v>-0.57199999999999995</v>
      </c>
      <c r="AN51" s="4">
        <v>0.11799999999999999</v>
      </c>
      <c r="AO51" s="4">
        <v>0.26100000000000001</v>
      </c>
      <c r="AP51" s="4">
        <v>-0.223</v>
      </c>
      <c r="AQ51" s="4">
        <v>0.40600000000000003</v>
      </c>
      <c r="AR51" s="4">
        <v>-0.122</v>
      </c>
      <c r="AS51" s="4">
        <v>-0.752</v>
      </c>
      <c r="AT51" s="4">
        <v>0.217</v>
      </c>
      <c r="AU51" s="4">
        <v>-0.14000000000000001</v>
      </c>
      <c r="AV51" s="4">
        <v>-0.27300000000000002</v>
      </c>
      <c r="AW51" s="4">
        <v>0.19900000000000001</v>
      </c>
      <c r="AX51" s="4">
        <v>0.17799999999999999</v>
      </c>
      <c r="AY51" s="4">
        <v>0.53800000000000003</v>
      </c>
      <c r="AZ51" s="4">
        <v>1</v>
      </c>
      <c r="BA51" s="4">
        <v>0.69499999999999995</v>
      </c>
      <c r="BB51" s="4">
        <v>-0.38200000000000001</v>
      </c>
      <c r="BC51" s="4">
        <v>-0.54800000000000004</v>
      </c>
      <c r="BD51" s="4">
        <v>-0.54600000000000004</v>
      </c>
      <c r="BE51" s="4">
        <v>0.441</v>
      </c>
      <c r="BF51" s="4">
        <v>3.6999999999999998E-2</v>
      </c>
      <c r="BG51" s="4">
        <v>0.60399999999999998</v>
      </c>
      <c r="BH51" s="4">
        <v>-0.89200000000000002</v>
      </c>
      <c r="BI51" s="4">
        <v>0.61399999999999999</v>
      </c>
      <c r="BJ51" s="4">
        <v>0.42499999999999999</v>
      </c>
      <c r="BK51" s="4">
        <v>0.13200000000000001</v>
      </c>
      <c r="BL51" s="4"/>
      <c r="BM51" s="4">
        <f t="shared" si="10"/>
        <v>0.40786999999999995</v>
      </c>
    </row>
    <row r="52" spans="1:65" hidden="1" x14ac:dyDescent="0.3">
      <c r="A52" t="s">
        <v>123</v>
      </c>
      <c r="B52" s="53">
        <f>K52</f>
        <v>1.6E-2</v>
      </c>
      <c r="C52" s="53">
        <f t="shared" si="4"/>
        <v>6.0000000000000001E-3</v>
      </c>
      <c r="D52" s="53">
        <f t="shared" si="5"/>
        <v>0</v>
      </c>
      <c r="E52" s="53">
        <f t="shared" si="6"/>
        <v>0.01</v>
      </c>
      <c r="F52" s="15">
        <v>1.978</v>
      </c>
      <c r="G52">
        <v>3.4750000000000001</v>
      </c>
      <c r="H52" t="s">
        <v>55</v>
      </c>
      <c r="I52" t="str">
        <f>VLOOKUP(A52,Planilha6!$BL$9:$BN$222,2,0)</f>
        <v>telecom</v>
      </c>
      <c r="J52" t="str">
        <f>VLOOKUP(A52,Planilha6!$BL$9:$BN$222,3,0)</f>
        <v>very_low_beta</v>
      </c>
      <c r="K52" s="41">
        <v>1.6E-2</v>
      </c>
      <c r="L52" s="42">
        <v>6.0000000000000001E-3</v>
      </c>
      <c r="M52" s="41">
        <f>VLOOKUP(A52,'Mandato Ibov'!$B$1:$C$215,2,0)</f>
        <v>2.4317677161429199E-2</v>
      </c>
      <c r="N52" s="59">
        <f t="shared" si="7"/>
        <v>-8.3176771614291989E-3</v>
      </c>
      <c r="O52" s="42">
        <f t="shared" si="8"/>
        <v>-8.3176771614291989E-3</v>
      </c>
      <c r="P52" s="59">
        <f>VLOOKUP(A52,'Mandato Ibov'!$B$2:$D$215,3,0)</f>
        <v>2.1978560176592801E-2</v>
      </c>
      <c r="Q52" s="42">
        <f t="shared" si="9"/>
        <v>-5.9785601765928002E-3</v>
      </c>
      <c r="R52" s="15">
        <v>-6.4000000000000001E-2</v>
      </c>
      <c r="S52" s="15">
        <v>0.59</v>
      </c>
      <c r="T52" s="15">
        <v>-0.58899999999999997</v>
      </c>
      <c r="U52" s="15">
        <v>0.26500000000000001</v>
      </c>
      <c r="V52" s="15">
        <v>0.27300000000000002</v>
      </c>
      <c r="W52" s="15">
        <v>0.41</v>
      </c>
      <c r="X52" s="15">
        <v>0.61</v>
      </c>
      <c r="Y52" s="15">
        <v>0.34</v>
      </c>
      <c r="Z52" s="15">
        <v>0.79600000000000004</v>
      </c>
      <c r="AA52" s="15">
        <v>0.80300000000000005</v>
      </c>
      <c r="AB52" s="15">
        <v>0.754</v>
      </c>
      <c r="AC52" s="15">
        <v>0.84699999999999998</v>
      </c>
      <c r="AD52" s="15">
        <v>0.76600000000000001</v>
      </c>
      <c r="AE52" s="14">
        <v>0.16200000000000001</v>
      </c>
      <c r="AF52" s="15">
        <v>-0.28599999999999998</v>
      </c>
      <c r="AG52" s="15">
        <v>0.48899999999999999</v>
      </c>
      <c r="AH52" s="15">
        <v>-1</v>
      </c>
      <c r="AI52" s="15">
        <v>-0.54500000000000004</v>
      </c>
      <c r="AJ52" s="16">
        <v>-0.72299999999999998</v>
      </c>
      <c r="AK52" s="4">
        <v>-0.24099999999999999</v>
      </c>
      <c r="AL52" s="4">
        <v>-0.41299999999999998</v>
      </c>
      <c r="AM52" s="4">
        <v>-0.54900000000000004</v>
      </c>
      <c r="AN52" s="4">
        <v>-0.79400000000000004</v>
      </c>
      <c r="AO52" s="4">
        <v>0.49399999999999999</v>
      </c>
      <c r="AP52" s="4">
        <v>0.996</v>
      </c>
      <c r="AQ52" s="4">
        <v>0.38900000000000001</v>
      </c>
      <c r="AR52" s="4">
        <v>0.12</v>
      </c>
      <c r="AS52" s="4">
        <v>0.35</v>
      </c>
      <c r="AT52" s="4">
        <v>0.248</v>
      </c>
      <c r="AU52" s="4">
        <v>6.7000000000000004E-2</v>
      </c>
      <c r="AV52" s="4">
        <v>0.748</v>
      </c>
      <c r="AW52" s="4">
        <v>0.86199999999999999</v>
      </c>
      <c r="AX52" s="4">
        <v>-0.16600000000000001</v>
      </c>
      <c r="AY52" s="4">
        <v>0.79700000000000004</v>
      </c>
      <c r="AZ52" s="4">
        <v>0.13</v>
      </c>
      <c r="BA52" s="4">
        <v>0.48</v>
      </c>
      <c r="BB52" s="4">
        <v>0.14199999999999999</v>
      </c>
      <c r="BC52" s="4">
        <v>-8.6999999999999994E-2</v>
      </c>
      <c r="BD52" s="4">
        <v>0.45300000000000001</v>
      </c>
      <c r="BE52" s="4">
        <v>0.29099999999999998</v>
      </c>
      <c r="BF52" s="4">
        <v>0.09</v>
      </c>
      <c r="BG52" s="4">
        <v>0.92</v>
      </c>
      <c r="BH52" s="4">
        <v>-0.69</v>
      </c>
      <c r="BI52" s="4">
        <v>-0.33200000000000002</v>
      </c>
      <c r="BJ52" s="4">
        <v>3.9E-2</v>
      </c>
      <c r="BK52" s="4">
        <v>-0.78100000000000003</v>
      </c>
      <c r="BL52" s="4"/>
      <c r="BM52" s="4">
        <f t="shared" si="10"/>
        <v>0.4063367</v>
      </c>
    </row>
    <row r="53" spans="1:65" hidden="1" x14ac:dyDescent="0.3">
      <c r="A53" t="s">
        <v>84</v>
      </c>
      <c r="B53" s="53">
        <f>K53</f>
        <v>8.9999999999999993E-3</v>
      </c>
      <c r="C53" s="53">
        <f t="shared" si="4"/>
        <v>8.9999999999999993E-3</v>
      </c>
      <c r="D53" s="53">
        <f t="shared" si="5"/>
        <v>0</v>
      </c>
      <c r="E53" s="53">
        <f t="shared" si="6"/>
        <v>0</v>
      </c>
      <c r="F53" s="15">
        <v>1.9630000000000001</v>
      </c>
      <c r="G53">
        <v>1.5229999999999999</v>
      </c>
      <c r="H53" t="s">
        <v>57</v>
      </c>
      <c r="I53" t="str">
        <f>VLOOKUP(A53,Planilha6!$BL$9:$BN$222,2,0)</f>
        <v>banks</v>
      </c>
      <c r="J53" t="str">
        <f>VLOOKUP(A53,Planilha6!$BL$9:$BN$222,3,0)</f>
        <v>neutral_beta</v>
      </c>
      <c r="K53" s="41">
        <v>8.9999999999999993E-3</v>
      </c>
      <c r="L53" s="42">
        <v>8.9999999999999993E-3</v>
      </c>
      <c r="M53" s="41">
        <f>VLOOKUP(A53,'Mandato Ibov'!$B$1:$C$215,2,0)</f>
        <v>8.8460815687471106E-3</v>
      </c>
      <c r="N53" s="59">
        <f t="shared" si="7"/>
        <v>1.5391843125288872E-4</v>
      </c>
      <c r="O53" s="42">
        <f t="shared" si="8"/>
        <v>1.5391843125288872E-4</v>
      </c>
      <c r="P53" s="59">
        <f>VLOOKUP(A53,'Mandato Ibov'!$B$2:$D$215,3,0)</f>
        <v>1.12224185713198E-2</v>
      </c>
      <c r="Q53" s="42">
        <f t="shared" si="9"/>
        <v>-2.2224185713198008E-3</v>
      </c>
      <c r="R53" s="15">
        <v>0.19</v>
      </c>
      <c r="S53" s="15">
        <v>0.26800000000000002</v>
      </c>
      <c r="T53" s="15">
        <v>0.32600000000000001</v>
      </c>
      <c r="U53" s="15">
        <v>0.308</v>
      </c>
      <c r="V53" s="15">
        <v>0.47</v>
      </c>
      <c r="W53" s="15">
        <v>5.6000000000000001E-2</v>
      </c>
      <c r="X53" s="15">
        <v>-3.3000000000000002E-2</v>
      </c>
      <c r="Y53" s="15">
        <v>0.159</v>
      </c>
      <c r="Z53" s="15">
        <v>0.71099999999999997</v>
      </c>
      <c r="AA53" s="15">
        <v>0.71</v>
      </c>
      <c r="AB53" s="15">
        <v>0.86799999999999999</v>
      </c>
      <c r="AC53" s="15">
        <v>0.86799999999999999</v>
      </c>
      <c r="AD53" s="15">
        <v>0.87</v>
      </c>
      <c r="AE53" s="14">
        <v>-0.18099999999999999</v>
      </c>
      <c r="AF53" s="15">
        <v>0.43099999999999999</v>
      </c>
      <c r="AG53" s="15">
        <v>0.44600000000000001</v>
      </c>
      <c r="AH53" s="15">
        <v>-0.42599999999999999</v>
      </c>
      <c r="AI53" s="15">
        <v>0.67900000000000005</v>
      </c>
      <c r="AJ53" s="16">
        <v>0.79300000000000004</v>
      </c>
      <c r="AK53" s="4">
        <v>-4.9000000000000002E-2</v>
      </c>
      <c r="AL53" s="4">
        <v>-0.159</v>
      </c>
      <c r="AM53" s="4">
        <v>-0.40300000000000002</v>
      </c>
      <c r="AN53" s="4">
        <v>-9.7000000000000003E-2</v>
      </c>
      <c r="AO53" s="4">
        <v>0.73599999999999999</v>
      </c>
      <c r="AP53" s="4">
        <v>-0.17100000000000001</v>
      </c>
      <c r="AQ53" s="4">
        <v>0.86799999999999999</v>
      </c>
      <c r="AR53" s="4">
        <v>-4.3999999999999997E-2</v>
      </c>
      <c r="AS53" s="4">
        <v>-0.317</v>
      </c>
      <c r="AT53" s="4">
        <v>0.23599999999999999</v>
      </c>
      <c r="AU53" s="4">
        <v>-0.21</v>
      </c>
      <c r="AV53" s="4">
        <v>0.23699999999999999</v>
      </c>
      <c r="AW53" s="4">
        <v>0.4</v>
      </c>
      <c r="AX53" s="4">
        <v>-0.16600000000000001</v>
      </c>
      <c r="AY53" s="4">
        <v>-0.13500000000000001</v>
      </c>
      <c r="AZ53" s="4">
        <v>0.45800000000000002</v>
      </c>
      <c r="BA53" s="4">
        <v>0.48</v>
      </c>
      <c r="BB53" s="4">
        <v>-0.189</v>
      </c>
      <c r="BC53" s="4">
        <v>-0.113</v>
      </c>
      <c r="BD53" s="4">
        <v>-0.46100000000000002</v>
      </c>
      <c r="BE53" s="4">
        <v>-1</v>
      </c>
      <c r="BF53" s="4">
        <v>-0.72799999999999998</v>
      </c>
      <c r="BG53" s="4">
        <v>0.214</v>
      </c>
      <c r="BH53" s="4">
        <v>-1</v>
      </c>
      <c r="BI53" s="4">
        <v>-0.01</v>
      </c>
      <c r="BJ53" s="4">
        <v>0.53300000000000003</v>
      </c>
      <c r="BK53" s="4">
        <v>0.65600000000000003</v>
      </c>
      <c r="BL53" s="4"/>
      <c r="BM53" s="4">
        <f t="shared" si="10"/>
        <v>0.40097280000000002</v>
      </c>
    </row>
    <row r="54" spans="1:65" hidden="1" x14ac:dyDescent="0.3">
      <c r="A54" t="s">
        <v>92</v>
      </c>
      <c r="B54" s="53">
        <v>0.01</v>
      </c>
      <c r="C54" s="53">
        <f t="shared" si="4"/>
        <v>0.01</v>
      </c>
      <c r="D54" s="53">
        <f t="shared" si="5"/>
        <v>-2E-3</v>
      </c>
      <c r="E54" s="53">
        <f t="shared" si="6"/>
        <v>0</v>
      </c>
      <c r="F54" s="15">
        <v>1.913</v>
      </c>
      <c r="G54">
        <v>1.879</v>
      </c>
      <c r="H54" t="s">
        <v>57</v>
      </c>
      <c r="I54" t="str">
        <f>VLOOKUP(A54,Planilha6!$BL$9:$BN$222,2,0)</f>
        <v>tech</v>
      </c>
      <c r="J54" t="str">
        <f>VLOOKUP(A54,Planilha6!$BL$9:$BN$222,3,0)</f>
        <v>high_beta</v>
      </c>
      <c r="K54" s="41">
        <v>1.2E-2</v>
      </c>
      <c r="L54" s="42">
        <v>1.2E-2</v>
      </c>
      <c r="M54" s="41">
        <f>VLOOKUP(A54,'Mandato Ibov'!$B$1:$C$215,2,0)</f>
        <v>8.6222545495699601E-3</v>
      </c>
      <c r="N54" s="59">
        <f t="shared" si="7"/>
        <v>3.3777454504300402E-3</v>
      </c>
      <c r="O54" s="42">
        <f t="shared" si="8"/>
        <v>1.3777454504300402E-3</v>
      </c>
      <c r="P54" s="59">
        <f>VLOOKUP(A54,'Mandato Ibov'!$B$2:$D$215,3,0)</f>
        <v>7.9462234109856696E-3</v>
      </c>
      <c r="Q54" s="42">
        <f t="shared" si="9"/>
        <v>4.0537765890143306E-3</v>
      </c>
      <c r="R54" s="15">
        <v>0.43</v>
      </c>
      <c r="S54" s="15">
        <v>0.13800000000000001</v>
      </c>
      <c r="T54" s="15">
        <v>0.57399999999999995</v>
      </c>
      <c r="U54" s="15">
        <v>0.186</v>
      </c>
      <c r="V54" s="15">
        <v>0.33900000000000002</v>
      </c>
      <c r="W54" s="15">
        <v>0.20899999999999999</v>
      </c>
      <c r="X54" s="15">
        <v>7.1999999999999995E-2</v>
      </c>
      <c r="Y54" s="15">
        <v>8.7999999999999995E-2</v>
      </c>
      <c r="Z54" s="15">
        <v>0.27300000000000002</v>
      </c>
      <c r="AA54" s="15">
        <v>0.27400000000000002</v>
      </c>
      <c r="AB54" s="15">
        <v>0.72199999999999998</v>
      </c>
      <c r="AC54" s="15">
        <v>0.93400000000000005</v>
      </c>
      <c r="AD54" s="15">
        <v>0.78800000000000003</v>
      </c>
      <c r="AE54" s="14">
        <v>0.29799999999999999</v>
      </c>
      <c r="AF54" s="15">
        <v>-0.21199999999999999</v>
      </c>
      <c r="AG54" s="15">
        <v>-0.185</v>
      </c>
      <c r="AH54" s="15">
        <v>-0.252</v>
      </c>
      <c r="AI54" s="15">
        <v>0.92800000000000005</v>
      </c>
      <c r="AJ54" s="16">
        <v>0.87</v>
      </c>
      <c r="AK54" s="4">
        <v>-0.28599999999999998</v>
      </c>
      <c r="AL54" s="4">
        <v>-0.06</v>
      </c>
      <c r="AM54" s="4">
        <v>-0.86</v>
      </c>
      <c r="AN54" s="4">
        <v>7.0999999999999994E-2</v>
      </c>
      <c r="AO54" s="4">
        <v>0.20699999999999999</v>
      </c>
      <c r="AP54" s="4">
        <v>0.53500000000000003</v>
      </c>
      <c r="AQ54" s="4">
        <v>0.28399999999999997</v>
      </c>
      <c r="AR54" s="4">
        <v>0.221</v>
      </c>
      <c r="AS54" s="4">
        <v>0.38600000000000001</v>
      </c>
      <c r="AT54" s="4">
        <v>0.51700000000000002</v>
      </c>
      <c r="AU54" s="4">
        <v>-0.27600000000000002</v>
      </c>
      <c r="AV54" s="4">
        <v>0.47899999999999998</v>
      </c>
      <c r="AW54" s="4">
        <v>0.23499999999999999</v>
      </c>
      <c r="AX54" s="4">
        <v>0.751</v>
      </c>
      <c r="AY54" s="4">
        <v>0.96199999999999997</v>
      </c>
      <c r="AZ54" s="4">
        <v>0.23300000000000001</v>
      </c>
      <c r="BA54" s="4">
        <v>0.86099999999999999</v>
      </c>
      <c r="BB54" s="4">
        <v>8.4000000000000005E-2</v>
      </c>
      <c r="BC54" s="4">
        <v>-4.8000000000000001E-2</v>
      </c>
      <c r="BD54" s="4">
        <v>-0.63800000000000001</v>
      </c>
      <c r="BE54" s="4">
        <v>-0.72599999999999998</v>
      </c>
      <c r="BF54" s="4">
        <v>-0.67500000000000004</v>
      </c>
      <c r="BG54" s="4">
        <v>0.32700000000000001</v>
      </c>
      <c r="BH54" s="4">
        <v>-0.59099999999999997</v>
      </c>
      <c r="BI54" s="4">
        <v>9.8000000000000004E-2</v>
      </c>
      <c r="BJ54" s="4">
        <v>0.316</v>
      </c>
      <c r="BK54" s="4">
        <v>0.191</v>
      </c>
      <c r="BL54" s="4"/>
      <c r="BM54" s="4">
        <f t="shared" si="10"/>
        <v>0.38311329999999999</v>
      </c>
    </row>
    <row r="55" spans="1:65" hidden="1" x14ac:dyDescent="0.3">
      <c r="A55" t="s">
        <v>106</v>
      </c>
      <c r="B55" s="53">
        <v>0.01</v>
      </c>
      <c r="C55" s="53">
        <f t="shared" si="4"/>
        <v>0.01</v>
      </c>
      <c r="D55" s="53">
        <f t="shared" si="5"/>
        <v>-4.0000000000000001E-3</v>
      </c>
      <c r="E55" s="53">
        <f t="shared" si="6"/>
        <v>0</v>
      </c>
      <c r="F55" s="15">
        <v>1.847</v>
      </c>
      <c r="G55">
        <v>1.5680000000000001</v>
      </c>
      <c r="H55" t="s">
        <v>57</v>
      </c>
      <c r="I55" t="str">
        <f>VLOOKUP(A55,Planilha6!$BL$9:$BN$222,2,0)</f>
        <v>tech</v>
      </c>
      <c r="J55" t="str">
        <f>VLOOKUP(A55,Planilha6!$BL$9:$BN$222,3,0)</f>
        <v>low_beta</v>
      </c>
      <c r="K55" s="41">
        <v>1.4E-2</v>
      </c>
      <c r="L55" s="42">
        <v>1.4E-2</v>
      </c>
      <c r="M55" s="41">
        <f>VLOOKUP(A55,'Mandato Ibov'!$B$1:$C$215,2,0)</f>
        <v>8.3264803160235205E-3</v>
      </c>
      <c r="N55" s="59">
        <f t="shared" si="7"/>
        <v>5.6735196839764798E-3</v>
      </c>
      <c r="O55" s="42">
        <f t="shared" si="8"/>
        <v>1.6735196839764797E-3</v>
      </c>
      <c r="P55" s="59">
        <f>VLOOKUP(A55,'Mandato Ibov'!$B$2:$D$215,3,0)</f>
        <v>0</v>
      </c>
      <c r="Q55" s="42">
        <f t="shared" si="9"/>
        <v>1.4E-2</v>
      </c>
      <c r="R55" s="15">
        <v>0.32100000000000001</v>
      </c>
      <c r="S55" s="15">
        <v>0</v>
      </c>
      <c r="T55" s="15">
        <v>0.34300000000000003</v>
      </c>
      <c r="U55" s="15">
        <v>4.8000000000000001E-2</v>
      </c>
      <c r="V55" s="15">
        <v>9.7000000000000003E-2</v>
      </c>
      <c r="W55" s="15">
        <v>-8.0000000000000002E-3</v>
      </c>
      <c r="X55" s="15">
        <v>-0.16800000000000001</v>
      </c>
      <c r="Y55" s="15">
        <v>-0.125</v>
      </c>
      <c r="Z55" s="15">
        <v>0.92500000000000004</v>
      </c>
      <c r="AA55" s="15">
        <v>0.92400000000000004</v>
      </c>
      <c r="AB55" s="15">
        <v>0.94299999999999995</v>
      </c>
      <c r="AC55" s="15">
        <v>1</v>
      </c>
      <c r="AD55" s="15">
        <v>0.93200000000000005</v>
      </c>
      <c r="AE55" s="14">
        <v>-0.13900000000000001</v>
      </c>
      <c r="AF55" s="15">
        <v>0.19</v>
      </c>
      <c r="AG55" s="15">
        <v>0.80300000000000005</v>
      </c>
      <c r="AH55" s="15">
        <v>1</v>
      </c>
      <c r="AI55" s="15">
        <v>0.998</v>
      </c>
      <c r="AJ55" s="16">
        <v>-0.46899999999999997</v>
      </c>
      <c r="AK55" s="4">
        <v>0.44900000000000001</v>
      </c>
      <c r="AL55" s="4">
        <v>0.191</v>
      </c>
      <c r="AM55" s="4">
        <v>0.68200000000000005</v>
      </c>
      <c r="AN55" s="4">
        <v>6.6000000000000003E-2</v>
      </c>
      <c r="AO55" s="4">
        <v>-3.9E-2</v>
      </c>
      <c r="AP55" s="4">
        <v>0.40300000000000002</v>
      </c>
      <c r="AQ55" s="4">
        <v>-0.502</v>
      </c>
      <c r="AR55" s="4">
        <v>0.32600000000000001</v>
      </c>
      <c r="AS55" s="4">
        <v>0.13600000000000001</v>
      </c>
      <c r="AT55" s="4">
        <v>0.1</v>
      </c>
      <c r="AU55" s="4">
        <v>-0.434</v>
      </c>
      <c r="AV55" s="4">
        <v>-0.28999999999999998</v>
      </c>
      <c r="AW55" s="4">
        <v>-0.111</v>
      </c>
      <c r="AX55" s="4">
        <v>-0.13900000000000001</v>
      </c>
      <c r="AY55" s="4">
        <v>0.69399999999999995</v>
      </c>
      <c r="AZ55" s="4">
        <v>-0.36899999999999999</v>
      </c>
      <c r="BA55" s="4">
        <v>-0.55500000000000005</v>
      </c>
      <c r="BB55" s="4">
        <v>0.21099999999999999</v>
      </c>
      <c r="BC55" s="4">
        <v>0.223</v>
      </c>
      <c r="BD55" s="4">
        <v>0.23899999999999999</v>
      </c>
      <c r="BE55" s="4">
        <v>0.44400000000000001</v>
      </c>
      <c r="BF55" s="4">
        <v>0.314</v>
      </c>
      <c r="BG55" s="4">
        <v>0.59199999999999997</v>
      </c>
      <c r="BH55" s="4">
        <v>0.13500000000000001</v>
      </c>
      <c r="BI55" s="4">
        <v>-0.17399999999999999</v>
      </c>
      <c r="BJ55" s="4">
        <v>0.21</v>
      </c>
      <c r="BK55" s="4">
        <v>0.78</v>
      </c>
      <c r="BL55" s="4"/>
      <c r="BM55" s="4">
        <f t="shared" si="10"/>
        <v>0.35998220000000003</v>
      </c>
    </row>
    <row r="56" spans="1:65" hidden="1" x14ac:dyDescent="0.3">
      <c r="A56" t="s">
        <v>121</v>
      </c>
      <c r="B56" s="53">
        <f>K56</f>
        <v>2.5000000000000001E-2</v>
      </c>
      <c r="C56" s="53">
        <f t="shared" si="4"/>
        <v>-5.9999999999999984E-3</v>
      </c>
      <c r="D56" s="53">
        <f t="shared" si="5"/>
        <v>0</v>
      </c>
      <c r="E56" s="53">
        <f t="shared" si="6"/>
        <v>3.1E-2</v>
      </c>
      <c r="F56" s="15">
        <v>1.845</v>
      </c>
      <c r="G56">
        <v>4.0359999999999996</v>
      </c>
      <c r="H56" t="s">
        <v>57</v>
      </c>
      <c r="I56" t="str">
        <f>VLOOKUP(A56,Planilha6!$BL$9:$BN$222,2,0)</f>
        <v>banks</v>
      </c>
      <c r="J56" t="str">
        <f>VLOOKUP(A56,Planilha6!$BL$9:$BN$222,3,0)</f>
        <v>neutral_beta</v>
      </c>
      <c r="K56" s="41">
        <v>2.5000000000000001E-2</v>
      </c>
      <c r="L56" s="42">
        <v>-6.0000000000000001E-3</v>
      </c>
      <c r="M56" s="41">
        <f>VLOOKUP(A56,'Mandato Ibov'!$B$1:$C$215,2,0)</f>
        <v>4.6306272510921703E-2</v>
      </c>
      <c r="N56" s="59">
        <f t="shared" si="7"/>
        <v>-2.1306272510921702E-2</v>
      </c>
      <c r="O56" s="42">
        <f t="shared" si="8"/>
        <v>-2.1306272510921702E-2</v>
      </c>
      <c r="P56" s="59">
        <f>VLOOKUP(A56,'Mandato Ibov'!$B$2:$D$215,3,0)</f>
        <v>4.1624557070220801E-2</v>
      </c>
      <c r="Q56" s="42">
        <f t="shared" si="9"/>
        <v>-1.66245570702208E-2</v>
      </c>
      <c r="R56" s="15">
        <v>-0.153</v>
      </c>
      <c r="S56" s="15">
        <v>0.496</v>
      </c>
      <c r="T56" s="15">
        <v>-0.69499999999999995</v>
      </c>
      <c r="U56" s="15">
        <v>0.13100000000000001</v>
      </c>
      <c r="V56" s="15">
        <v>0.16900000000000001</v>
      </c>
      <c r="W56" s="15">
        <v>0.23400000000000001</v>
      </c>
      <c r="X56" s="15">
        <v>0.43</v>
      </c>
      <c r="Y56" s="15">
        <v>0.49099999999999999</v>
      </c>
      <c r="Z56" s="15">
        <v>0.58799999999999997</v>
      </c>
      <c r="AA56" s="15">
        <v>0.59599999999999997</v>
      </c>
      <c r="AB56" s="15">
        <v>0.72399999999999998</v>
      </c>
      <c r="AC56" s="15">
        <v>0.83899999999999997</v>
      </c>
      <c r="AD56" s="15">
        <v>0.76</v>
      </c>
      <c r="AE56" s="14">
        <v>7.0000000000000007E-2</v>
      </c>
      <c r="AF56" s="15">
        <v>-0.3</v>
      </c>
      <c r="AG56" s="15">
        <v>0.53400000000000003</v>
      </c>
      <c r="AH56" s="15">
        <v>-0.96699999999999997</v>
      </c>
      <c r="AI56" s="15">
        <v>-0.64500000000000002</v>
      </c>
      <c r="AJ56" s="16">
        <v>-0.86</v>
      </c>
      <c r="AK56" s="4">
        <v>-0.14899999999999999</v>
      </c>
      <c r="AL56" s="4">
        <v>0.17699999999999999</v>
      </c>
      <c r="AM56" s="4">
        <v>-0.66500000000000004</v>
      </c>
      <c r="AN56" s="4">
        <v>-0.40600000000000003</v>
      </c>
      <c r="AO56" s="4">
        <v>0.61799999999999999</v>
      </c>
      <c r="AP56" s="4">
        <v>0.68899999999999995</v>
      </c>
      <c r="AQ56" s="4">
        <v>-0.01</v>
      </c>
      <c r="AR56" s="4">
        <v>0.17100000000000001</v>
      </c>
      <c r="AS56" s="4">
        <v>0.41</v>
      </c>
      <c r="AT56" s="4">
        <v>5.8000000000000003E-2</v>
      </c>
      <c r="AU56" s="4">
        <v>5.0999999999999997E-2</v>
      </c>
      <c r="AV56" s="4">
        <v>0.27300000000000002</v>
      </c>
      <c r="AW56" s="4">
        <v>0.44</v>
      </c>
      <c r="AX56" s="4">
        <v>-0.45100000000000001</v>
      </c>
      <c r="AY56" s="4">
        <v>0.93600000000000005</v>
      </c>
      <c r="AZ56" s="4">
        <v>0.29199999999999998</v>
      </c>
      <c r="BA56" s="4">
        <v>0.47399999999999998</v>
      </c>
      <c r="BB56" s="4">
        <v>-2.3E-2</v>
      </c>
      <c r="BC56" s="4">
        <v>0.32100000000000001</v>
      </c>
      <c r="BD56" s="4">
        <v>0.53200000000000003</v>
      </c>
      <c r="BE56" s="4">
        <v>-0.28499999999999998</v>
      </c>
      <c r="BF56" s="4">
        <v>-0.42799999999999999</v>
      </c>
      <c r="BG56" s="4">
        <v>0.76300000000000001</v>
      </c>
      <c r="BH56" s="4">
        <v>-0.69299999999999995</v>
      </c>
      <c r="BI56" s="4">
        <v>3.9E-2</v>
      </c>
      <c r="BJ56" s="4">
        <v>-0.2</v>
      </c>
      <c r="BK56" s="4">
        <v>-0.68899999999999995</v>
      </c>
      <c r="BL56" s="4"/>
      <c r="BM56" s="4">
        <f t="shared" si="10"/>
        <v>0.35886899999999999</v>
      </c>
    </row>
    <row r="57" spans="1:65" hidden="1" x14ac:dyDescent="0.3">
      <c r="A57" t="s">
        <v>83</v>
      </c>
      <c r="B57" s="53">
        <v>1.7000000000000001E-2</v>
      </c>
      <c r="C57" s="53">
        <f t="shared" si="4"/>
        <v>-5.9999999999999984E-3</v>
      </c>
      <c r="D57" s="53">
        <f t="shared" si="5"/>
        <v>2.0000000000000018E-3</v>
      </c>
      <c r="E57" s="53">
        <f t="shared" si="6"/>
        <v>2.3E-2</v>
      </c>
      <c r="F57" s="15">
        <v>1.8420000000000001</v>
      </c>
      <c r="G57">
        <v>4.0289999999999999</v>
      </c>
      <c r="H57" t="s">
        <v>53</v>
      </c>
      <c r="I57" t="str">
        <f>VLOOKUP(A57,Planilha6!$BL$9:$BN$222,2,0)</f>
        <v>consumer_staples</v>
      </c>
      <c r="J57" t="str">
        <f>VLOOKUP(A57,Planilha6!$BL$9:$BN$222,3,0)</f>
        <v>very_low_beta</v>
      </c>
      <c r="K57" s="41">
        <v>1.4999999999999999E-2</v>
      </c>
      <c r="L57" s="42">
        <v>-8.0000000000000002E-3</v>
      </c>
      <c r="M57" s="41">
        <f>VLOOKUP(A57,'Mandato Ibov'!$B$1:$C$215,2,0)</f>
        <v>4.2916866036267098E-2</v>
      </c>
      <c r="N57" s="59">
        <f t="shared" si="7"/>
        <v>-2.7916866036267099E-2</v>
      </c>
      <c r="O57" s="42">
        <f t="shared" si="8"/>
        <v>-2.5916866036267097E-2</v>
      </c>
      <c r="P57" s="59">
        <f>VLOOKUP(A57,'Mandato Ibov'!$B$2:$D$215,3,0)</f>
        <v>3.4187506051222102E-2</v>
      </c>
      <c r="Q57" s="42">
        <f t="shared" si="9"/>
        <v>-1.9187506051222103E-2</v>
      </c>
      <c r="R57" s="15">
        <v>-0.22800000000000001</v>
      </c>
      <c r="S57" s="15">
        <v>0.50800000000000001</v>
      </c>
      <c r="T57" s="15">
        <v>-0.76900000000000002</v>
      </c>
      <c r="U57" s="15">
        <v>0.14699999999999999</v>
      </c>
      <c r="V57" s="15">
        <v>0.13600000000000001</v>
      </c>
      <c r="W57" s="15">
        <v>0.34100000000000003</v>
      </c>
      <c r="X57" s="15">
        <v>0.80200000000000005</v>
      </c>
      <c r="Y57" s="15">
        <v>0.47899999999999998</v>
      </c>
      <c r="Z57" s="15">
        <v>0.70699999999999996</v>
      </c>
      <c r="AA57" s="15">
        <v>0.71599999999999997</v>
      </c>
      <c r="AB57" s="15">
        <v>0.73099999999999998</v>
      </c>
      <c r="AC57" s="15">
        <v>0.78</v>
      </c>
      <c r="AD57" s="15">
        <v>0.621</v>
      </c>
      <c r="AE57" s="14">
        <v>0.34200000000000003</v>
      </c>
      <c r="AF57" s="15">
        <v>-0.53300000000000003</v>
      </c>
      <c r="AG57" s="15">
        <v>0.185</v>
      </c>
      <c r="AH57" s="15">
        <v>-0.999</v>
      </c>
      <c r="AI57" s="15">
        <v>-0.78700000000000003</v>
      </c>
      <c r="AJ57" s="16">
        <v>-0.58399999999999996</v>
      </c>
      <c r="AK57" s="4">
        <v>-0.30199999999999999</v>
      </c>
      <c r="AL57" s="4">
        <v>-0.121</v>
      </c>
      <c r="AM57" s="4">
        <v>-0.91200000000000003</v>
      </c>
      <c r="AN57" s="4">
        <v>-8.3000000000000004E-2</v>
      </c>
      <c r="AO57" s="4">
        <v>0.63</v>
      </c>
      <c r="AP57" s="4">
        <v>0.40400000000000003</v>
      </c>
      <c r="AQ57" s="4">
        <v>0.20899999999999999</v>
      </c>
      <c r="AR57" s="4">
        <v>0.09</v>
      </c>
      <c r="AS57" s="4">
        <v>-0.41799999999999998</v>
      </c>
      <c r="AT57" s="4">
        <v>0.498</v>
      </c>
      <c r="AU57" s="4">
        <v>0.374</v>
      </c>
      <c r="AV57" s="4">
        <v>0.69299999999999995</v>
      </c>
      <c r="AW57" s="4">
        <v>0.81799999999999995</v>
      </c>
      <c r="AX57" s="4">
        <v>0.48199999999999998</v>
      </c>
      <c r="AY57" s="4">
        <v>0.74399999999999999</v>
      </c>
      <c r="AZ57" s="4">
        <v>-0.19500000000000001</v>
      </c>
      <c r="BA57" s="4">
        <v>-0.19600000000000001</v>
      </c>
      <c r="BB57" s="4">
        <v>0.26300000000000001</v>
      </c>
      <c r="BC57" s="4">
        <v>-7.0000000000000001E-3</v>
      </c>
      <c r="BD57" s="4">
        <v>0.32300000000000001</v>
      </c>
      <c r="BE57" s="4">
        <v>0.16300000000000001</v>
      </c>
      <c r="BF57" s="4">
        <v>8.9999999999999993E-3</v>
      </c>
      <c r="BG57" s="4">
        <v>1</v>
      </c>
      <c r="BH57" s="4">
        <v>-0.30099999999999999</v>
      </c>
      <c r="BI57" s="4">
        <v>-0.36199999999999999</v>
      </c>
      <c r="BJ57" s="4">
        <v>-0.15</v>
      </c>
      <c r="BK57" s="4">
        <v>-1</v>
      </c>
      <c r="BL57" s="4"/>
      <c r="BM57" s="4">
        <f t="shared" si="10"/>
        <v>0.3577998</v>
      </c>
    </row>
    <row r="58" spans="1:65" hidden="1" x14ac:dyDescent="0.3">
      <c r="A58" t="s">
        <v>237</v>
      </c>
      <c r="B58" s="53">
        <v>4.0000000000000001E-3</v>
      </c>
      <c r="C58" s="53">
        <f t="shared" si="4"/>
        <v>4.0000000000000001E-3</v>
      </c>
      <c r="D58" s="53">
        <f t="shared" si="5"/>
        <v>0</v>
      </c>
      <c r="E58" s="53">
        <f t="shared" si="6"/>
        <v>0</v>
      </c>
      <c r="F58" s="15">
        <v>1.84</v>
      </c>
      <c r="G58">
        <v>1.292</v>
      </c>
      <c r="H58" t="s">
        <v>53</v>
      </c>
      <c r="I58" t="str">
        <f>VLOOKUP(A58,Planilha6!$BL$9:$BN$222,2,0)</f>
        <v>healthcare</v>
      </c>
      <c r="J58" t="str">
        <f>VLOOKUP(A58,Planilha6!$BL$9:$BN$222,3,0)</f>
        <v>high_beta</v>
      </c>
      <c r="K58" s="41">
        <v>4.0000000000000001E-3</v>
      </c>
      <c r="L58" s="42">
        <v>4.0000000000000001E-3</v>
      </c>
      <c r="M58" s="41">
        <f>VLOOKUP(A58,'Mandato Ibov'!$B$1:$C$215,2,0)</f>
        <v>8.2949665643067706E-3</v>
      </c>
      <c r="N58" s="59">
        <f t="shared" si="7"/>
        <v>-4.2949665643067705E-3</v>
      </c>
      <c r="O58" s="42">
        <f t="shared" si="8"/>
        <v>-4.2949665643067705E-3</v>
      </c>
      <c r="P58" s="59">
        <f>VLOOKUP(A58,'Mandato Ibov'!$B$2:$D$215,3,0)</f>
        <v>0</v>
      </c>
      <c r="Q58" s="42">
        <f t="shared" si="9"/>
        <v>4.0000000000000001E-3</v>
      </c>
      <c r="R58" s="15">
        <v>0.96</v>
      </c>
      <c r="S58" s="15">
        <v>4.9000000000000002E-2</v>
      </c>
      <c r="T58" s="15">
        <v>0.85899999999999999</v>
      </c>
      <c r="U58" s="15">
        <v>0.61499999999999999</v>
      </c>
      <c r="V58" s="15">
        <v>0.39100000000000001</v>
      </c>
      <c r="W58" s="15">
        <v>0.05</v>
      </c>
      <c r="X58" s="15">
        <v>-0.40400000000000003</v>
      </c>
      <c r="Y58" s="15">
        <v>-0.60899999999999999</v>
      </c>
      <c r="Z58" s="15">
        <v>0.46800000000000003</v>
      </c>
      <c r="AA58" s="15">
        <v>0.47099999999999997</v>
      </c>
      <c r="AB58" s="15">
        <v>0.32100000000000001</v>
      </c>
      <c r="AC58" s="15">
        <v>0.879</v>
      </c>
      <c r="AD58" s="15">
        <v>0.995</v>
      </c>
      <c r="AE58" s="14">
        <v>1</v>
      </c>
      <c r="AF58" s="15">
        <v>0.67600000000000005</v>
      </c>
      <c r="AG58" s="15">
        <v>1</v>
      </c>
      <c r="AH58" s="15">
        <v>1</v>
      </c>
      <c r="AI58" s="15">
        <v>1</v>
      </c>
      <c r="AJ58" s="16">
        <v>-0.53800000000000003</v>
      </c>
      <c r="AK58" s="4">
        <v>0.86</v>
      </c>
      <c r="AL58" s="4">
        <v>-0.878</v>
      </c>
      <c r="AM58" s="4">
        <v>0.79600000000000004</v>
      </c>
      <c r="AN58" s="4">
        <v>0.23100000000000001</v>
      </c>
      <c r="AO58" s="4">
        <v>0.42699999999999999</v>
      </c>
      <c r="AP58" s="4">
        <v>0.224</v>
      </c>
      <c r="AQ58" s="4">
        <v>-0.58799999999999997</v>
      </c>
      <c r="AR58" s="4">
        <v>1</v>
      </c>
      <c r="AS58" s="4">
        <v>0.44500000000000001</v>
      </c>
      <c r="AT58" s="4">
        <v>0.184</v>
      </c>
      <c r="AU58" s="4">
        <v>-0.46600000000000003</v>
      </c>
      <c r="AV58" s="4">
        <v>7.4999999999999997E-2</v>
      </c>
      <c r="AW58" s="4">
        <v>-0.54600000000000004</v>
      </c>
      <c r="AX58" s="4">
        <v>-0.57899999999999996</v>
      </c>
      <c r="AY58" s="4">
        <v>8.3000000000000004E-2</v>
      </c>
      <c r="AZ58" s="4">
        <v>-0.70699999999999996</v>
      </c>
      <c r="BA58" s="4">
        <v>0.94199999999999995</v>
      </c>
      <c r="BB58" s="4">
        <v>0.25600000000000001</v>
      </c>
      <c r="BC58" s="4">
        <v>-0.23799999999999999</v>
      </c>
      <c r="BD58" s="4">
        <v>0.36099999999999999</v>
      </c>
      <c r="BE58" s="4">
        <v>-0.47</v>
      </c>
      <c r="BF58" s="4">
        <v>0.74099999999999999</v>
      </c>
      <c r="BG58" s="4">
        <v>0.06</v>
      </c>
      <c r="BH58" s="4">
        <v>1</v>
      </c>
      <c r="BI58" s="4">
        <v>0.16400000000000001</v>
      </c>
      <c r="BJ58" s="4">
        <v>0.60599999999999998</v>
      </c>
      <c r="BK58" s="4">
        <v>0.96599999999999997</v>
      </c>
      <c r="BL58" s="4"/>
      <c r="BM58" s="4">
        <f t="shared" si="10"/>
        <v>0.3575425000000001</v>
      </c>
    </row>
    <row r="59" spans="1:65" x14ac:dyDescent="0.3">
      <c r="A59" t="s">
        <v>70</v>
      </c>
      <c r="B59" s="53">
        <f>K59</f>
        <v>0</v>
      </c>
      <c r="C59" s="53">
        <f t="shared" si="4"/>
        <v>0</v>
      </c>
      <c r="D59" s="53">
        <f t="shared" si="5"/>
        <v>0</v>
      </c>
      <c r="E59" s="53">
        <f t="shared" si="6"/>
        <v>0</v>
      </c>
      <c r="F59" s="15">
        <v>1.794</v>
      </c>
      <c r="G59">
        <v>2.2879999999999998</v>
      </c>
      <c r="H59" t="s">
        <v>71</v>
      </c>
      <c r="I59" t="str">
        <f>VLOOKUP(A59,Planilha6!$BL$9:$BN$222,2,0)</f>
        <v>basic_materials</v>
      </c>
      <c r="J59" t="str">
        <f>VLOOKUP(A59,Planilha6!$BL$9:$BN$222,3,0)</f>
        <v>low_beta</v>
      </c>
      <c r="K59" s="41">
        <v>0</v>
      </c>
      <c r="L59" s="42">
        <v>0</v>
      </c>
      <c r="M59" s="41">
        <f>VLOOKUP(A59,'Mandato Ibov'!$B$1:$C$215,2,0)</f>
        <v>8.0862230306618897E-3</v>
      </c>
      <c r="N59" s="59">
        <f t="shared" si="7"/>
        <v>-8.0862230306618897E-3</v>
      </c>
      <c r="O59" s="42">
        <f t="shared" si="8"/>
        <v>-8.0862230306618897E-3</v>
      </c>
      <c r="P59" s="59">
        <f>VLOOKUP(A59,'Mandato Ibov'!$B$2:$D$215,3,0)</f>
        <v>0</v>
      </c>
      <c r="Q59" s="42">
        <f t="shared" si="9"/>
        <v>0</v>
      </c>
      <c r="R59" s="15">
        <v>-0.40200000000000002</v>
      </c>
      <c r="S59" s="15">
        <v>0.16500000000000001</v>
      </c>
      <c r="T59" s="15">
        <v>-0.57899999999999996</v>
      </c>
      <c r="U59" s="15">
        <v>-0.34799999999999998</v>
      </c>
      <c r="V59" s="15">
        <v>-0.11600000000000001</v>
      </c>
      <c r="W59" s="15">
        <v>0.28299999999999997</v>
      </c>
      <c r="X59" s="15">
        <v>0.61099999999999999</v>
      </c>
      <c r="Y59" s="15">
        <v>0.66300000000000003</v>
      </c>
      <c r="Z59" s="15">
        <v>0.77300000000000002</v>
      </c>
      <c r="AA59" s="15">
        <v>0.77400000000000002</v>
      </c>
      <c r="AB59" s="15">
        <v>0.626</v>
      </c>
      <c r="AC59" s="15">
        <v>0.65700000000000003</v>
      </c>
      <c r="AD59" s="15">
        <v>0.81</v>
      </c>
      <c r="AE59" s="14">
        <v>-0.223</v>
      </c>
      <c r="AF59" s="15">
        <v>-0.92</v>
      </c>
      <c r="AG59" s="15">
        <v>0.36</v>
      </c>
      <c r="AH59" s="15">
        <v>-0.55300000000000005</v>
      </c>
      <c r="AI59" s="15">
        <v>8.5000000000000006E-2</v>
      </c>
      <c r="AJ59" s="16">
        <v>-0.51800000000000002</v>
      </c>
      <c r="AK59" s="4">
        <v>-0.34</v>
      </c>
      <c r="AL59" s="4">
        <v>0.89900000000000002</v>
      </c>
      <c r="AM59" s="4">
        <v>-0.42699999999999999</v>
      </c>
      <c r="AN59" s="4">
        <v>-0.52600000000000002</v>
      </c>
      <c r="AO59" s="4">
        <v>0.76700000000000002</v>
      </c>
      <c r="AP59" s="4">
        <v>0.14000000000000001</v>
      </c>
      <c r="AQ59" s="4">
        <v>-0.93600000000000005</v>
      </c>
      <c r="AR59" s="4">
        <v>-1</v>
      </c>
      <c r="AS59" s="4">
        <v>-0.67100000000000004</v>
      </c>
      <c r="AT59" s="4">
        <v>-0.26900000000000002</v>
      </c>
      <c r="AU59" s="4">
        <v>0.309</v>
      </c>
      <c r="AV59" s="4">
        <v>-8.2000000000000003E-2</v>
      </c>
      <c r="AW59" s="4">
        <v>0.67800000000000005</v>
      </c>
      <c r="AX59" s="4">
        <v>0.04</v>
      </c>
      <c r="AY59" s="4">
        <v>0.70099999999999996</v>
      </c>
      <c r="AZ59" s="4">
        <v>-0.90700000000000003</v>
      </c>
      <c r="BA59" s="4">
        <v>0.98299999999999998</v>
      </c>
      <c r="BB59" s="4">
        <v>-0.14799999999999999</v>
      </c>
      <c r="BC59" s="4">
        <v>0.46800000000000003</v>
      </c>
      <c r="BD59" s="4">
        <v>0.35099999999999998</v>
      </c>
      <c r="BE59" s="4">
        <v>7.0000000000000001E-3</v>
      </c>
      <c r="BF59" s="4">
        <v>5.8000000000000003E-2</v>
      </c>
      <c r="BG59" s="4">
        <v>0.998</v>
      </c>
      <c r="BH59" s="4">
        <v>-0.35199999999999998</v>
      </c>
      <c r="BI59" s="4">
        <v>-0.34699999999999998</v>
      </c>
      <c r="BJ59" s="4">
        <v>1</v>
      </c>
      <c r="BK59" s="4">
        <v>8.5000000000000006E-2</v>
      </c>
      <c r="BL59" s="4"/>
      <c r="BM59" s="4">
        <f t="shared" si="10"/>
        <v>0.34100700000000006</v>
      </c>
    </row>
    <row r="60" spans="1:65" hidden="1" x14ac:dyDescent="0.3">
      <c r="A60" t="s">
        <v>118</v>
      </c>
      <c r="B60" s="53">
        <v>7.0000000000000001E-3</v>
      </c>
      <c r="C60" s="53">
        <f t="shared" si="4"/>
        <v>7.0000000000000001E-3</v>
      </c>
      <c r="D60" s="53">
        <f t="shared" si="5"/>
        <v>-1.9999999999999992E-3</v>
      </c>
      <c r="E60" s="53">
        <f t="shared" si="6"/>
        <v>0</v>
      </c>
      <c r="F60" s="15">
        <v>1.792</v>
      </c>
      <c r="G60">
        <v>1.4059999999999999</v>
      </c>
      <c r="H60" t="s">
        <v>57</v>
      </c>
      <c r="I60" t="str">
        <f>VLOOKUP(A60,Planilha6!$BL$9:$BN$222,2,0)</f>
        <v>homebuilders</v>
      </c>
      <c r="J60" t="str">
        <f>VLOOKUP(A60,Planilha6!$BL$9:$BN$222,3,0)</f>
        <v>very_high_beta</v>
      </c>
      <c r="K60" s="41">
        <v>8.9999999999999993E-3</v>
      </c>
      <c r="L60" s="42">
        <v>8.9999999999999993E-3</v>
      </c>
      <c r="M60" s="41">
        <f>VLOOKUP(A60,'Mandato Ibov'!$B$1:$C$215,2,0)</f>
        <v>8.0792796088986502E-3</v>
      </c>
      <c r="N60" s="59">
        <f t="shared" si="7"/>
        <v>9.2072039110134909E-4</v>
      </c>
      <c r="O60" s="42">
        <f t="shared" si="8"/>
        <v>-1.0792796088986501E-3</v>
      </c>
      <c r="P60" s="59">
        <f>VLOOKUP(A60,'Mandato Ibov'!$B$2:$D$215,3,0)</f>
        <v>6.4597299480142001E-3</v>
      </c>
      <c r="Q60" s="42">
        <f t="shared" si="9"/>
        <v>2.5402700519857992E-3</v>
      </c>
      <c r="R60" s="15">
        <v>0.34599999999999997</v>
      </c>
      <c r="S60" s="15">
        <v>0.23</v>
      </c>
      <c r="T60" s="15">
        <v>0.22800000000000001</v>
      </c>
      <c r="U60" s="15">
        <v>0.28899999999999998</v>
      </c>
      <c r="V60" s="15">
        <v>0.33700000000000002</v>
      </c>
      <c r="W60" s="15">
        <v>0.14299999999999999</v>
      </c>
      <c r="X60" s="15">
        <v>-0.03</v>
      </c>
      <c r="Y60" s="15">
        <v>1.7000000000000001E-2</v>
      </c>
      <c r="Z60" s="15">
        <v>0.26600000000000001</v>
      </c>
      <c r="AA60" s="15">
        <v>0.26400000000000001</v>
      </c>
      <c r="AB60" s="15">
        <v>0.85899999999999999</v>
      </c>
      <c r="AC60" s="15">
        <v>0.92700000000000005</v>
      </c>
      <c r="AD60" s="15">
        <v>0.78800000000000003</v>
      </c>
      <c r="AE60" s="14">
        <v>-1.7999999999999999E-2</v>
      </c>
      <c r="AF60" s="15">
        <v>0.70199999999999996</v>
      </c>
      <c r="AG60" s="15">
        <v>0.26800000000000002</v>
      </c>
      <c r="AH60" s="15">
        <v>-0.06</v>
      </c>
      <c r="AI60" s="15">
        <v>1</v>
      </c>
      <c r="AJ60" s="16">
        <v>-0.125</v>
      </c>
      <c r="AK60" s="4">
        <v>-0.309</v>
      </c>
      <c r="AL60" s="4">
        <v>-1.0999999999999999E-2</v>
      </c>
      <c r="AM60" s="4">
        <v>-0.57999999999999996</v>
      </c>
      <c r="AN60" s="4">
        <v>0.25900000000000001</v>
      </c>
      <c r="AO60" s="4">
        <v>0.34100000000000003</v>
      </c>
      <c r="AP60" s="4">
        <v>0.76100000000000001</v>
      </c>
      <c r="AQ60" s="4">
        <v>0.51500000000000001</v>
      </c>
      <c r="AR60" s="4">
        <v>0.51100000000000001</v>
      </c>
      <c r="AS60" s="4">
        <v>0.97</v>
      </c>
      <c r="AT60" s="4">
        <v>0.16</v>
      </c>
      <c r="AU60" s="4">
        <v>-0.10100000000000001</v>
      </c>
      <c r="AV60" s="4">
        <v>4.2999999999999997E-2</v>
      </c>
      <c r="AW60" s="4">
        <v>-0.251</v>
      </c>
      <c r="AX60" s="4">
        <v>-0.123</v>
      </c>
      <c r="AY60" s="4">
        <v>0.85699999999999998</v>
      </c>
      <c r="AZ60" s="4">
        <v>0.53</v>
      </c>
      <c r="BA60" s="4">
        <v>0.375</v>
      </c>
      <c r="BB60" s="4">
        <v>-0.56399999999999995</v>
      </c>
      <c r="BC60" s="4">
        <v>-0.35399999999999998</v>
      </c>
      <c r="BD60" s="4">
        <v>-0.27300000000000002</v>
      </c>
      <c r="BE60" s="4">
        <v>-0.05</v>
      </c>
      <c r="BF60" s="4">
        <v>-1.7999999999999999E-2</v>
      </c>
      <c r="BG60" s="4">
        <v>0.122</v>
      </c>
      <c r="BH60" s="4">
        <v>-0.999</v>
      </c>
      <c r="BI60" s="4">
        <v>0.84299999999999997</v>
      </c>
      <c r="BJ60" s="4">
        <v>-0.51500000000000001</v>
      </c>
      <c r="BK60" s="4">
        <v>0.16</v>
      </c>
      <c r="BL60" s="4"/>
      <c r="BM60" s="4">
        <f t="shared" si="10"/>
        <v>0.34040900000000002</v>
      </c>
    </row>
    <row r="61" spans="1:65" hidden="1" x14ac:dyDescent="0.3">
      <c r="A61" t="s">
        <v>127</v>
      </c>
      <c r="B61" s="53">
        <f>K61</f>
        <v>1.2999999999999999E-2</v>
      </c>
      <c r="C61" s="53">
        <f t="shared" si="4"/>
        <v>8.9999999999999993E-3</v>
      </c>
      <c r="D61" s="53">
        <f t="shared" si="5"/>
        <v>0</v>
      </c>
      <c r="E61" s="53">
        <f t="shared" si="6"/>
        <v>4.0000000000000001E-3</v>
      </c>
      <c r="F61" s="15">
        <v>1.7889999999999999</v>
      </c>
      <c r="G61">
        <v>2.3010000000000002</v>
      </c>
      <c r="H61" t="s">
        <v>53</v>
      </c>
      <c r="I61" t="str">
        <f>VLOOKUP(A61,Planilha6!$BL$9:$BN$222,2,0)</f>
        <v>float_financials</v>
      </c>
      <c r="J61" t="str">
        <f>VLOOKUP(A61,Planilha6!$BL$9:$BN$222,3,0)</f>
        <v>very_low_beta</v>
      </c>
      <c r="K61" s="41">
        <v>1.2999999999999999E-2</v>
      </c>
      <c r="L61" s="42">
        <v>8.9999999999999993E-3</v>
      </c>
      <c r="M61" s="41">
        <f>VLOOKUP(A61,'Mandato Ibov'!$B$1:$C$215,2,0)</f>
        <v>1.08848284692117E-2</v>
      </c>
      <c r="N61" s="59">
        <f t="shared" si="7"/>
        <v>2.1151715307882995E-3</v>
      </c>
      <c r="O61" s="42">
        <f t="shared" si="8"/>
        <v>2.1151715307882995E-3</v>
      </c>
      <c r="P61" s="59">
        <f>VLOOKUP(A61,'Mandato Ibov'!$B$2:$D$215,3,0)</f>
        <v>9.5923515980421998E-3</v>
      </c>
      <c r="Q61" s="42">
        <f t="shared" si="9"/>
        <v>3.4076484019577996E-3</v>
      </c>
      <c r="R61" s="15">
        <v>-8.2000000000000003E-2</v>
      </c>
      <c r="S61" s="15">
        <v>0.312</v>
      </c>
      <c r="T61" s="15">
        <v>-0.34</v>
      </c>
      <c r="U61" s="15">
        <v>0.123</v>
      </c>
      <c r="V61" s="15">
        <v>0.246</v>
      </c>
      <c r="W61" s="15">
        <v>0.33300000000000002</v>
      </c>
      <c r="X61" s="15">
        <v>0.56799999999999995</v>
      </c>
      <c r="Y61" s="15">
        <v>0.32800000000000001</v>
      </c>
      <c r="Z61" s="15">
        <v>0.59599999999999997</v>
      </c>
      <c r="AA61" s="15">
        <v>0.6</v>
      </c>
      <c r="AB61" s="15">
        <v>0.69599999999999995</v>
      </c>
      <c r="AC61" s="15">
        <v>0.82199999999999995</v>
      </c>
      <c r="AD61" s="15">
        <v>0.61299999999999999</v>
      </c>
      <c r="AE61" s="14">
        <v>6.6000000000000003E-2</v>
      </c>
      <c r="AF61" s="15">
        <v>0.186</v>
      </c>
      <c r="AG61" s="15">
        <v>-0.17499999999999999</v>
      </c>
      <c r="AH61" s="15">
        <v>-0.88100000000000001</v>
      </c>
      <c r="AI61" s="15">
        <v>-0.72799999999999998</v>
      </c>
      <c r="AJ61" s="16">
        <v>-0.28199999999999997</v>
      </c>
      <c r="AK61" s="4">
        <v>-0.23</v>
      </c>
      <c r="AL61" s="4">
        <v>-0.27600000000000002</v>
      </c>
      <c r="AM61" s="4">
        <v>-0.71699999999999997</v>
      </c>
      <c r="AN61" s="4">
        <v>0.03</v>
      </c>
      <c r="AO61" s="4">
        <v>0.155</v>
      </c>
      <c r="AP61" s="4">
        <v>0.375</v>
      </c>
      <c r="AQ61" s="4">
        <v>0.55800000000000005</v>
      </c>
      <c r="AR61" s="4">
        <v>0.127</v>
      </c>
      <c r="AS61" s="4">
        <v>0.495</v>
      </c>
      <c r="AT61" s="4">
        <v>0.45700000000000002</v>
      </c>
      <c r="AU61" s="4">
        <v>0.24199999999999999</v>
      </c>
      <c r="AV61" s="4">
        <v>0.38600000000000001</v>
      </c>
      <c r="AW61" s="4">
        <v>0.78400000000000003</v>
      </c>
      <c r="AX61" s="4">
        <v>0.66800000000000004</v>
      </c>
      <c r="AY61" s="4">
        <v>0.91300000000000003</v>
      </c>
      <c r="AZ61" s="4">
        <v>0.70899999999999996</v>
      </c>
      <c r="BA61" s="4">
        <v>0.35899999999999999</v>
      </c>
      <c r="BB61" s="4">
        <v>-9.8000000000000004E-2</v>
      </c>
      <c r="BC61" s="4">
        <v>-6.5000000000000002E-2</v>
      </c>
      <c r="BD61" s="4">
        <v>-0.82</v>
      </c>
      <c r="BE61" s="4">
        <v>-0.159</v>
      </c>
      <c r="BF61" s="4">
        <v>0.61699999999999999</v>
      </c>
      <c r="BG61" s="4">
        <v>0.73199999999999998</v>
      </c>
      <c r="BH61" s="4">
        <v>-0.71699999999999997</v>
      </c>
      <c r="BI61" s="4">
        <v>-0.48899999999999999</v>
      </c>
      <c r="BJ61" s="4">
        <v>5.5E-2</v>
      </c>
      <c r="BK61" s="4">
        <v>-0.26700000000000002</v>
      </c>
      <c r="BL61" s="4"/>
      <c r="BM61" s="4">
        <f t="shared" si="10"/>
        <v>0.33926129999999999</v>
      </c>
    </row>
    <row r="62" spans="1:65" hidden="1" x14ac:dyDescent="0.3">
      <c r="A62" t="s">
        <v>115</v>
      </c>
      <c r="B62" s="53">
        <v>0</v>
      </c>
      <c r="C62" s="53">
        <f t="shared" si="4"/>
        <v>0</v>
      </c>
      <c r="D62" s="53">
        <f t="shared" si="5"/>
        <v>-1.4E-2</v>
      </c>
      <c r="E62" s="53">
        <f t="shared" si="6"/>
        <v>0</v>
      </c>
      <c r="F62" s="15">
        <v>1.7529999999999999</v>
      </c>
      <c r="G62">
        <v>2.1259999999999999</v>
      </c>
      <c r="H62" t="s">
        <v>55</v>
      </c>
      <c r="I62" t="str">
        <f>VLOOKUP(A62,Planilha6!$BL$9:$BN$222,2,0)</f>
        <v>utilities</v>
      </c>
      <c r="J62" t="str">
        <f>VLOOKUP(A62,Planilha6!$BL$9:$BN$222,3,0)</f>
        <v>very_low_beta</v>
      </c>
      <c r="K62" s="41">
        <v>1.4E-2</v>
      </c>
      <c r="L62" s="42">
        <v>1.4E-2</v>
      </c>
      <c r="M62" s="41">
        <f>VLOOKUP(A62,'Mandato Ibov'!$B$1:$C$215,2,0)</f>
        <v>7.9013384755586592E-3</v>
      </c>
      <c r="N62" s="59">
        <f t="shared" si="7"/>
        <v>6.0986615244413411E-3</v>
      </c>
      <c r="O62" s="42">
        <f t="shared" si="8"/>
        <v>-7.9013384755586592E-3</v>
      </c>
      <c r="P62" s="59">
        <f>VLOOKUP(A62,'Mandato Ibov'!$B$2:$D$215,3,0)</f>
        <v>6.7361009204006898E-3</v>
      </c>
      <c r="Q62" s="42">
        <f t="shared" si="9"/>
        <v>7.2638990795993105E-3</v>
      </c>
      <c r="R62" s="15">
        <v>-0.311</v>
      </c>
      <c r="S62" s="15">
        <v>0.57199999999999995</v>
      </c>
      <c r="T62" s="15">
        <v>-0.626</v>
      </c>
      <c r="U62" s="15">
        <v>-0.107</v>
      </c>
      <c r="V62" s="15">
        <v>0.17799999999999999</v>
      </c>
      <c r="W62" s="15">
        <v>0.183</v>
      </c>
      <c r="X62" s="15">
        <v>0.33900000000000002</v>
      </c>
      <c r="Y62" s="15">
        <v>0.35</v>
      </c>
      <c r="Z62" s="15">
        <v>0.876</v>
      </c>
      <c r="AA62" s="15">
        <v>0.88500000000000001</v>
      </c>
      <c r="AB62" s="15">
        <v>0.67600000000000005</v>
      </c>
      <c r="AC62" s="15">
        <v>0.74</v>
      </c>
      <c r="AD62" s="15">
        <v>0.84499999999999997</v>
      </c>
      <c r="AE62" s="14">
        <v>-0.45800000000000002</v>
      </c>
      <c r="AF62" s="15">
        <v>-0.63</v>
      </c>
      <c r="AG62" s="15">
        <v>1</v>
      </c>
      <c r="AH62" s="15">
        <v>-0.92800000000000005</v>
      </c>
      <c r="AI62" s="15">
        <v>-0.13900000000000001</v>
      </c>
      <c r="AJ62" s="16">
        <v>-0.98599999999999999</v>
      </c>
      <c r="AK62" s="4">
        <v>-0.42899999999999999</v>
      </c>
      <c r="AL62" s="4">
        <v>-0.35899999999999999</v>
      </c>
      <c r="AM62" s="4">
        <v>-0.308</v>
      </c>
      <c r="AN62" s="4">
        <v>-0.45</v>
      </c>
      <c r="AO62" s="4">
        <v>0.86299999999999999</v>
      </c>
      <c r="AP62" s="4">
        <v>0.64100000000000001</v>
      </c>
      <c r="AQ62" s="4">
        <v>-0.128</v>
      </c>
      <c r="AR62" s="4">
        <v>0.34699999999999998</v>
      </c>
      <c r="AS62" s="4">
        <v>0.38500000000000001</v>
      </c>
      <c r="AT62" s="4">
        <v>0.11799999999999999</v>
      </c>
      <c r="AU62" s="4">
        <v>-0.17100000000000001</v>
      </c>
      <c r="AV62" s="4">
        <v>-7.9000000000000001E-2</v>
      </c>
      <c r="AW62" s="4">
        <v>0.82699999999999996</v>
      </c>
      <c r="AX62" s="4">
        <v>-0.71299999999999997</v>
      </c>
      <c r="AY62" s="4">
        <v>0.98899999999999999</v>
      </c>
      <c r="AZ62" s="4">
        <v>0.76300000000000001</v>
      </c>
      <c r="BA62" s="4">
        <v>1</v>
      </c>
      <c r="BB62" s="4">
        <v>-0.23300000000000001</v>
      </c>
      <c r="BC62" s="4">
        <v>-0.53200000000000003</v>
      </c>
      <c r="BD62" s="4">
        <v>0.312</v>
      </c>
      <c r="BE62" s="4">
        <v>0.36599999999999999</v>
      </c>
      <c r="BF62" s="4">
        <v>-0.29799999999999999</v>
      </c>
      <c r="BG62" s="4">
        <v>1</v>
      </c>
      <c r="BH62" s="4">
        <v>-0.752</v>
      </c>
      <c r="BI62" s="4">
        <v>-0.70099999999999996</v>
      </c>
      <c r="BJ62" s="4">
        <v>8.6999999999999994E-2</v>
      </c>
      <c r="BK62" s="4">
        <v>-0.35099999999999998</v>
      </c>
      <c r="BL62" s="4"/>
      <c r="BM62" s="4">
        <f t="shared" si="10"/>
        <v>0.3263644</v>
      </c>
    </row>
    <row r="63" spans="1:65" hidden="1" x14ac:dyDescent="0.3">
      <c r="A63" t="s">
        <v>137</v>
      </c>
      <c r="B63" s="53">
        <v>6.0000000000000001E-3</v>
      </c>
      <c r="C63" s="53">
        <f t="shared" si="4"/>
        <v>6.0000000000000001E-3</v>
      </c>
      <c r="D63" s="53">
        <f t="shared" si="5"/>
        <v>-1E-3</v>
      </c>
      <c r="E63" s="53">
        <f t="shared" si="6"/>
        <v>0</v>
      </c>
      <c r="F63" s="15">
        <v>1.7250000000000001</v>
      </c>
      <c r="G63">
        <v>1.248</v>
      </c>
      <c r="H63" t="s">
        <v>57</v>
      </c>
      <c r="I63" t="str">
        <f>VLOOKUP(A63,Planilha6!$BL$9:$BN$222,2,0)</f>
        <v>education</v>
      </c>
      <c r="J63" t="str">
        <f>VLOOKUP(A63,Planilha6!$BL$9:$BN$222,3,0)</f>
        <v>neutral_beta</v>
      </c>
      <c r="K63" s="41">
        <v>7.0000000000000001E-3</v>
      </c>
      <c r="L63" s="42">
        <v>7.0000000000000001E-3</v>
      </c>
      <c r="M63" s="41">
        <f>VLOOKUP(A63,'Mandato Ibov'!$B$1:$C$215,2,0)</f>
        <v>7.7744705893352997E-3</v>
      </c>
      <c r="N63" s="59">
        <f t="shared" si="7"/>
        <v>-7.744705893352995E-4</v>
      </c>
      <c r="O63" s="42">
        <f t="shared" si="8"/>
        <v>-1.7744705893352995E-3</v>
      </c>
      <c r="P63" s="59">
        <f>VLOOKUP(A63,'Mandato Ibov'!$B$2:$D$215,3,0)</f>
        <v>0</v>
      </c>
      <c r="Q63" s="42">
        <f t="shared" si="9"/>
        <v>7.0000000000000001E-3</v>
      </c>
      <c r="R63" s="15">
        <v>0.72699999999999998</v>
      </c>
      <c r="S63" s="15">
        <v>0.111</v>
      </c>
      <c r="T63" s="15">
        <v>0.68300000000000005</v>
      </c>
      <c r="U63" s="15">
        <v>0.61399999999999999</v>
      </c>
      <c r="V63" s="15">
        <v>0.44800000000000001</v>
      </c>
      <c r="W63" s="15">
        <v>-2.5999999999999999E-2</v>
      </c>
      <c r="X63" s="15">
        <v>-0.40200000000000002</v>
      </c>
      <c r="Y63" s="15">
        <v>-0.39700000000000002</v>
      </c>
      <c r="Z63" s="15">
        <v>0.24299999999999999</v>
      </c>
      <c r="AA63" s="15">
        <v>0.24399999999999999</v>
      </c>
      <c r="AB63" s="15">
        <v>0.93100000000000005</v>
      </c>
      <c r="AC63" s="15">
        <v>0.77700000000000002</v>
      </c>
      <c r="AD63" s="15">
        <v>0.78700000000000003</v>
      </c>
      <c r="AE63" s="14">
        <v>0.86499999999999999</v>
      </c>
      <c r="AF63" s="15">
        <v>0.57199999999999995</v>
      </c>
      <c r="AG63" s="15">
        <v>7.0000000000000001E-3</v>
      </c>
      <c r="AH63" s="15">
        <v>-2.8000000000000001E-2</v>
      </c>
      <c r="AI63" s="15">
        <v>0.75800000000000001</v>
      </c>
      <c r="AJ63" s="16">
        <v>1</v>
      </c>
      <c r="AK63" s="4">
        <v>0.108</v>
      </c>
      <c r="AL63" s="4">
        <v>-0.69899999999999995</v>
      </c>
      <c r="AM63" s="4">
        <v>-0.54200000000000004</v>
      </c>
      <c r="AN63" s="4">
        <v>0.53</v>
      </c>
      <c r="AO63" s="4">
        <v>0.125</v>
      </c>
      <c r="AP63" s="4">
        <v>0.122</v>
      </c>
      <c r="AQ63" s="4">
        <v>0.49</v>
      </c>
      <c r="AR63" s="4">
        <v>0.93400000000000005</v>
      </c>
      <c r="AS63" s="4">
        <v>0.441</v>
      </c>
      <c r="AT63" s="4">
        <v>0.50900000000000001</v>
      </c>
      <c r="AU63" s="4">
        <v>7.9000000000000001E-2</v>
      </c>
      <c r="AV63" s="4">
        <v>0.88700000000000001</v>
      </c>
      <c r="AW63" s="4">
        <v>-0.57099999999999995</v>
      </c>
      <c r="AX63" s="4">
        <v>-0.16400000000000001</v>
      </c>
      <c r="AY63" s="4">
        <v>0.78100000000000003</v>
      </c>
      <c r="AZ63" s="4">
        <v>0.44500000000000001</v>
      </c>
      <c r="BA63" s="4">
        <v>0.61099999999999999</v>
      </c>
      <c r="BB63" s="4">
        <v>8.5999999999999993E-2</v>
      </c>
      <c r="BC63" s="4">
        <v>-9.4E-2</v>
      </c>
      <c r="BD63" s="4">
        <v>0.93400000000000005</v>
      </c>
      <c r="BE63" s="4">
        <v>-1</v>
      </c>
      <c r="BF63" s="4">
        <v>-1</v>
      </c>
      <c r="BG63" s="4">
        <v>-0.61</v>
      </c>
      <c r="BH63" s="4">
        <v>-0.64200000000000002</v>
      </c>
      <c r="BI63" s="4">
        <v>-0.01</v>
      </c>
      <c r="BJ63" s="4">
        <v>-1E-3</v>
      </c>
      <c r="BK63" s="4">
        <v>0.55400000000000005</v>
      </c>
      <c r="BL63" s="4"/>
      <c r="BM63" s="4">
        <f t="shared" si="10"/>
        <v>0.31643459999999995</v>
      </c>
    </row>
    <row r="64" spans="1:65" hidden="1" x14ac:dyDescent="0.3">
      <c r="A64" t="s">
        <v>111</v>
      </c>
      <c r="B64" s="53">
        <f t="shared" ref="B64:B69" si="13">K64</f>
        <v>0.01</v>
      </c>
      <c r="C64" s="53">
        <f t="shared" si="4"/>
        <v>0.01</v>
      </c>
      <c r="D64" s="53">
        <f t="shared" si="5"/>
        <v>0</v>
      </c>
      <c r="E64" s="53">
        <f t="shared" si="6"/>
        <v>0</v>
      </c>
      <c r="F64" s="15">
        <v>1.641</v>
      </c>
      <c r="G64">
        <v>1.5569999999999999</v>
      </c>
      <c r="H64" t="s">
        <v>53</v>
      </c>
      <c r="I64" t="str">
        <f>VLOOKUP(A64,Planilha6!$BL$9:$BN$222,2,0)</f>
        <v>consumer_staples</v>
      </c>
      <c r="J64" t="str">
        <f>VLOOKUP(A64,Planilha6!$BL$9:$BN$222,3,0)</f>
        <v>very_high_beta</v>
      </c>
      <c r="K64" s="41">
        <v>0.01</v>
      </c>
      <c r="L64" s="42">
        <v>0.01</v>
      </c>
      <c r="M64" s="41">
        <f>VLOOKUP(A64,'Mandato Ibov'!$B$1:$C$215,2,0)</f>
        <v>7.3960677069385399E-3</v>
      </c>
      <c r="N64" s="59">
        <f t="shared" si="7"/>
        <v>2.6039322930614603E-3</v>
      </c>
      <c r="O64" s="42">
        <f t="shared" si="8"/>
        <v>2.6039322930614603E-3</v>
      </c>
      <c r="P64" s="59">
        <f>VLOOKUP(A64,'Mandato Ibov'!$B$2:$D$215,3,0)</f>
        <v>0</v>
      </c>
      <c r="Q64" s="42">
        <f t="shared" si="9"/>
        <v>0.01</v>
      </c>
      <c r="R64" s="15">
        <v>0.30599999999999999</v>
      </c>
      <c r="S64" s="15">
        <v>0.20100000000000001</v>
      </c>
      <c r="T64" s="15">
        <v>0.23300000000000001</v>
      </c>
      <c r="U64" s="15">
        <v>0.14000000000000001</v>
      </c>
      <c r="V64" s="15">
        <v>0.223</v>
      </c>
      <c r="W64" s="15">
        <v>-6.9000000000000006E-2</v>
      </c>
      <c r="X64" s="15">
        <v>-0.26200000000000001</v>
      </c>
      <c r="Y64" s="15">
        <v>-0.154</v>
      </c>
      <c r="Z64" s="15">
        <v>0.47299999999999998</v>
      </c>
      <c r="AA64" s="15">
        <v>0.47699999999999998</v>
      </c>
      <c r="AB64" s="15">
        <v>0.88200000000000001</v>
      </c>
      <c r="AC64" s="15">
        <v>0.91500000000000004</v>
      </c>
      <c r="AD64" s="15">
        <v>0.82299999999999995</v>
      </c>
      <c r="AE64" s="14">
        <v>-8.8999999999999996E-2</v>
      </c>
      <c r="AF64" s="15">
        <v>2.4E-2</v>
      </c>
      <c r="AG64" s="15">
        <v>1</v>
      </c>
      <c r="AH64" s="15">
        <v>0.19</v>
      </c>
      <c r="AI64" s="15">
        <v>0.747</v>
      </c>
      <c r="AJ64" s="16">
        <v>-0.51300000000000001</v>
      </c>
      <c r="AK64" s="4">
        <v>0.16200000000000001</v>
      </c>
      <c r="AL64" s="4">
        <v>-0.39700000000000002</v>
      </c>
      <c r="AM64" s="4">
        <v>0.09</v>
      </c>
      <c r="AN64" s="4">
        <v>-6.0999999999999999E-2</v>
      </c>
      <c r="AO64" s="4">
        <v>0.311</v>
      </c>
      <c r="AP64" s="4">
        <v>0.312</v>
      </c>
      <c r="AQ64" s="4">
        <v>-2.5999999999999999E-2</v>
      </c>
      <c r="AR64" s="4">
        <v>7.9000000000000001E-2</v>
      </c>
      <c r="AS64" s="4">
        <v>-0.33700000000000002</v>
      </c>
      <c r="AT64" s="4">
        <v>0.24199999999999999</v>
      </c>
      <c r="AU64" s="4">
        <v>-0.45800000000000002</v>
      </c>
      <c r="AV64" s="4">
        <v>2.1999999999999999E-2</v>
      </c>
      <c r="AW64" s="4">
        <v>0.34599999999999997</v>
      </c>
      <c r="AX64" s="4">
        <v>-0.26500000000000001</v>
      </c>
      <c r="AY64" s="4">
        <v>0.72199999999999998</v>
      </c>
      <c r="AZ64" s="4">
        <v>0.308</v>
      </c>
      <c r="BA64" s="4">
        <v>0.245</v>
      </c>
      <c r="BB64" s="4">
        <v>7.0000000000000001E-3</v>
      </c>
      <c r="BC64" s="4">
        <v>9.5000000000000001E-2</v>
      </c>
      <c r="BD64" s="4">
        <v>0.28599999999999998</v>
      </c>
      <c r="BE64" s="4">
        <v>-0.46800000000000003</v>
      </c>
      <c r="BF64" s="4">
        <v>-0.23899999999999999</v>
      </c>
      <c r="BG64" s="4">
        <v>5.2999999999999999E-2</v>
      </c>
      <c r="BH64" s="4">
        <v>-5.2999999999999999E-2</v>
      </c>
      <c r="BI64" s="4">
        <v>0.55000000000000004</v>
      </c>
      <c r="BJ64" s="4">
        <v>0.56499999999999995</v>
      </c>
      <c r="BK64" s="4">
        <v>0.47599999999999998</v>
      </c>
      <c r="BL64" s="4"/>
      <c r="BM64" s="4">
        <f t="shared" si="10"/>
        <v>0.28674659999999996</v>
      </c>
    </row>
    <row r="65" spans="1:65" hidden="1" x14ac:dyDescent="0.3">
      <c r="A65" t="s">
        <v>75</v>
      </c>
      <c r="B65" s="53">
        <f t="shared" si="13"/>
        <v>8.0000000000000002E-3</v>
      </c>
      <c r="C65" s="53">
        <f t="shared" si="4"/>
        <v>8.0000000000000002E-3</v>
      </c>
      <c r="D65" s="53">
        <f t="shared" si="5"/>
        <v>0</v>
      </c>
      <c r="E65" s="53">
        <f t="shared" si="6"/>
        <v>0</v>
      </c>
      <c r="F65" s="15">
        <v>1.6180000000000001</v>
      </c>
      <c r="G65">
        <v>1.25</v>
      </c>
      <c r="H65" t="s">
        <v>55</v>
      </c>
      <c r="I65" t="str">
        <f>VLOOKUP(A65,Planilha6!$BL$9:$BN$222,2,0)</f>
        <v>real_estate</v>
      </c>
      <c r="J65" t="str">
        <f>VLOOKUP(A65,Planilha6!$BL$9:$BN$222,3,0)</f>
        <v>very_high_beta</v>
      </c>
      <c r="K65" s="41">
        <v>8.0000000000000002E-3</v>
      </c>
      <c r="L65" s="42">
        <v>8.0000000000000002E-3</v>
      </c>
      <c r="M65" s="41">
        <f>VLOOKUP(A65,'Mandato Ibov'!$B$1:$C$215,2,0)</f>
        <v>7.2909245853264902E-3</v>
      </c>
      <c r="N65" s="59">
        <f t="shared" si="7"/>
        <v>7.0907541467350992E-4</v>
      </c>
      <c r="O65" s="42">
        <f t="shared" si="8"/>
        <v>7.0907541467350992E-4</v>
      </c>
      <c r="P65" s="59">
        <f>VLOOKUP(A65,'Mandato Ibov'!$B$2:$D$215,3,0)</f>
        <v>0</v>
      </c>
      <c r="Q65" s="42">
        <f t="shared" si="9"/>
        <v>8.0000000000000002E-3</v>
      </c>
      <c r="R65" s="15">
        <v>0.375</v>
      </c>
      <c r="S65" s="15">
        <v>-0.26</v>
      </c>
      <c r="T65" s="15">
        <v>0.44</v>
      </c>
      <c r="U65" s="15">
        <v>3.5000000000000003E-2</v>
      </c>
      <c r="V65" s="15">
        <v>1.4999999999999999E-2</v>
      </c>
      <c r="W65" s="15">
        <v>6.3E-2</v>
      </c>
      <c r="X65" s="15">
        <v>4.2000000000000003E-2</v>
      </c>
      <c r="Y65" s="15">
        <v>-0.22900000000000001</v>
      </c>
      <c r="Z65" s="15">
        <v>0.59399999999999997</v>
      </c>
      <c r="AA65" s="15">
        <v>0.59399999999999997</v>
      </c>
      <c r="AB65" s="15">
        <v>0.70899999999999996</v>
      </c>
      <c r="AC65" s="15">
        <v>0.95399999999999996</v>
      </c>
      <c r="AD65" s="15">
        <v>0.71</v>
      </c>
      <c r="AE65" s="14">
        <v>0.33300000000000002</v>
      </c>
      <c r="AF65" s="15">
        <v>0.59299999999999997</v>
      </c>
      <c r="AG65" s="15">
        <v>-8.0000000000000002E-3</v>
      </c>
      <c r="AH65" s="15">
        <v>1</v>
      </c>
      <c r="AI65" s="15">
        <v>-4.2999999999999997E-2</v>
      </c>
      <c r="AJ65" s="16">
        <v>-0.32500000000000001</v>
      </c>
      <c r="AK65" s="4">
        <v>0.23100000000000001</v>
      </c>
      <c r="AL65" s="4">
        <v>-1.0999999999999999E-2</v>
      </c>
      <c r="AM65" s="4">
        <v>1</v>
      </c>
      <c r="AN65" s="4">
        <v>0.497</v>
      </c>
      <c r="AO65" s="4">
        <v>-0.19400000000000001</v>
      </c>
      <c r="AP65" s="4">
        <v>-0.72599999999999998</v>
      </c>
      <c r="AQ65" s="4">
        <v>-0.39900000000000002</v>
      </c>
      <c r="AR65" s="4">
        <v>0.121</v>
      </c>
      <c r="AS65" s="4">
        <v>0.38200000000000001</v>
      </c>
      <c r="AT65" s="4">
        <v>-6.5000000000000002E-2</v>
      </c>
      <c r="AU65" s="4">
        <v>8.2000000000000003E-2</v>
      </c>
      <c r="AV65" s="4">
        <v>-0.22900000000000001</v>
      </c>
      <c r="AW65" s="4">
        <v>2E-3</v>
      </c>
      <c r="AX65" s="4">
        <v>-0.79400000000000004</v>
      </c>
      <c r="AY65" s="4">
        <v>-0.11700000000000001</v>
      </c>
      <c r="AZ65" s="4">
        <v>-0.38100000000000001</v>
      </c>
      <c r="BA65" s="4">
        <v>0.85499999999999998</v>
      </c>
      <c r="BB65" s="4">
        <v>-8.4000000000000005E-2</v>
      </c>
      <c r="BC65" s="4">
        <v>0.122</v>
      </c>
      <c r="BD65" s="4">
        <v>9.9000000000000005E-2</v>
      </c>
      <c r="BE65" s="4">
        <v>-0.36699999999999999</v>
      </c>
      <c r="BF65" s="4">
        <v>0.28799999999999998</v>
      </c>
      <c r="BG65" s="4">
        <v>0.14199999999999999</v>
      </c>
      <c r="BH65" s="4">
        <v>0.16400000000000001</v>
      </c>
      <c r="BI65" s="4">
        <v>0.8</v>
      </c>
      <c r="BJ65" s="4">
        <v>0.61299999999999999</v>
      </c>
      <c r="BK65" s="4">
        <v>0.96</v>
      </c>
      <c r="BL65" s="4"/>
      <c r="BM65" s="4">
        <f t="shared" si="10"/>
        <v>0.27834639999999999</v>
      </c>
    </row>
    <row r="66" spans="1:65" hidden="1" x14ac:dyDescent="0.3">
      <c r="A66" t="s">
        <v>110</v>
      </c>
      <c r="B66" s="53">
        <f t="shared" si="13"/>
        <v>2.3E-2</v>
      </c>
      <c r="C66" s="53">
        <f t="shared" si="4"/>
        <v>2.3E-2</v>
      </c>
      <c r="D66" s="53">
        <f t="shared" si="5"/>
        <v>0</v>
      </c>
      <c r="E66" s="53">
        <f t="shared" si="6"/>
        <v>0</v>
      </c>
      <c r="F66" s="15">
        <v>1.5840000000000001</v>
      </c>
      <c r="G66">
        <v>2.13</v>
      </c>
      <c r="H66" t="s">
        <v>57</v>
      </c>
      <c r="I66" t="str">
        <f>VLOOKUP(A66,Planilha6!$BL$9:$BN$222,2,0)</f>
        <v>banks</v>
      </c>
      <c r="J66" t="str">
        <f>VLOOKUP(A66,Planilha6!$BL$9:$BN$222,3,0)</f>
        <v>neutral_beta</v>
      </c>
      <c r="K66" s="41">
        <v>2.3E-2</v>
      </c>
      <c r="L66" s="42">
        <v>2.3E-2</v>
      </c>
      <c r="M66" s="41">
        <f>VLOOKUP(A66,'Mandato Ibov'!$B$1:$C$215,2,0)</f>
        <v>7.1385199714608097E-3</v>
      </c>
      <c r="N66" s="59">
        <f t="shared" si="7"/>
        <v>1.5861480028539189E-2</v>
      </c>
      <c r="O66" s="42">
        <f t="shared" si="8"/>
        <v>1.5861480028539189E-2</v>
      </c>
      <c r="P66" s="59">
        <f>VLOOKUP(A66,'Mandato Ibov'!$B$2:$D$215,3,0)</f>
        <v>8.7436516854604903E-3</v>
      </c>
      <c r="Q66" s="42">
        <f t="shared" si="9"/>
        <v>1.4256348314539509E-2</v>
      </c>
      <c r="R66" s="15">
        <v>-0.40500000000000003</v>
      </c>
      <c r="S66" s="15">
        <v>0.42399999999999999</v>
      </c>
      <c r="T66" s="15">
        <v>-0.73399999999999999</v>
      </c>
      <c r="U66" s="15">
        <v>-3.4000000000000002E-2</v>
      </c>
      <c r="V66" s="15">
        <v>0.09</v>
      </c>
      <c r="W66" s="15">
        <v>2.7E-2</v>
      </c>
      <c r="X66" s="15">
        <v>0.19</v>
      </c>
      <c r="Y66" s="15">
        <v>0.33500000000000002</v>
      </c>
      <c r="Z66" s="15">
        <v>0.86699999999999999</v>
      </c>
      <c r="AA66" s="15">
        <v>0.875</v>
      </c>
      <c r="AB66" s="15">
        <v>0.68200000000000005</v>
      </c>
      <c r="AC66" s="15">
        <v>0.77500000000000002</v>
      </c>
      <c r="AD66" s="15">
        <v>0.77700000000000002</v>
      </c>
      <c r="AE66" s="14">
        <v>-0.58299999999999996</v>
      </c>
      <c r="AF66" s="15">
        <v>4.2000000000000003E-2</v>
      </c>
      <c r="AG66" s="15">
        <v>0.94399999999999995</v>
      </c>
      <c r="AH66" s="15">
        <v>-0.96299999999999997</v>
      </c>
      <c r="AI66" s="15">
        <v>-0.60299999999999998</v>
      </c>
      <c r="AJ66" s="16">
        <v>-0.96699999999999997</v>
      </c>
      <c r="AK66" s="4">
        <v>-0.19400000000000001</v>
      </c>
      <c r="AL66" s="4">
        <v>9.8000000000000004E-2</v>
      </c>
      <c r="AM66" s="4">
        <v>-0.54800000000000004</v>
      </c>
      <c r="AN66" s="4">
        <v>-0.309</v>
      </c>
      <c r="AO66" s="4">
        <v>0.753</v>
      </c>
      <c r="AP66" s="4">
        <v>0.80700000000000005</v>
      </c>
      <c r="AQ66" s="4">
        <v>0.27400000000000002</v>
      </c>
      <c r="AR66" s="4">
        <v>0.11899999999999999</v>
      </c>
      <c r="AS66" s="4">
        <v>-6.3E-2</v>
      </c>
      <c r="AT66" s="4">
        <v>5.1999999999999998E-2</v>
      </c>
      <c r="AU66" s="4">
        <v>-0.185</v>
      </c>
      <c r="AV66" s="4">
        <v>-0.18099999999999999</v>
      </c>
      <c r="AW66" s="4">
        <v>0.48099999999999998</v>
      </c>
      <c r="AX66" s="4">
        <v>-0.53500000000000003</v>
      </c>
      <c r="AY66" s="4">
        <v>0.89300000000000002</v>
      </c>
      <c r="AZ66" s="4">
        <v>0.36</v>
      </c>
      <c r="BA66" s="4">
        <v>-0.26700000000000002</v>
      </c>
      <c r="BB66" s="4">
        <v>-0.24199999999999999</v>
      </c>
      <c r="BC66" s="4">
        <v>-0.24199999999999999</v>
      </c>
      <c r="BD66" s="4">
        <v>0.39700000000000002</v>
      </c>
      <c r="BE66" s="4">
        <v>-0.28399999999999997</v>
      </c>
      <c r="BF66" s="4">
        <v>0.13100000000000001</v>
      </c>
      <c r="BG66" s="4">
        <v>0.83399999999999996</v>
      </c>
      <c r="BH66" s="4">
        <v>-0.82399999999999995</v>
      </c>
      <c r="BI66" s="4">
        <v>-5.7000000000000002E-2</v>
      </c>
      <c r="BJ66" s="4">
        <v>0.35099999999999998</v>
      </c>
      <c r="BK66" s="4">
        <v>-0.92300000000000004</v>
      </c>
      <c r="BL66" s="4"/>
      <c r="BM66" s="4">
        <f t="shared" si="10"/>
        <v>0.26609179999999999</v>
      </c>
    </row>
    <row r="67" spans="1:65" hidden="1" x14ac:dyDescent="0.3">
      <c r="A67" t="s">
        <v>95</v>
      </c>
      <c r="B67" s="53">
        <f t="shared" si="13"/>
        <v>0.02</v>
      </c>
      <c r="C67" s="53">
        <f t="shared" si="4"/>
        <v>1.2999999999999999E-2</v>
      </c>
      <c r="D67" s="53">
        <f t="shared" si="5"/>
        <v>0</v>
      </c>
      <c r="E67" s="53">
        <f t="shared" si="6"/>
        <v>7.000000000000001E-3</v>
      </c>
      <c r="F67" s="15">
        <v>1.5409999999999999</v>
      </c>
      <c r="G67">
        <v>2.6040000000000001</v>
      </c>
      <c r="H67" t="s">
        <v>53</v>
      </c>
      <c r="I67" t="str">
        <f>VLOOKUP(A67,Planilha6!$BL$9:$BN$222,2,0)</f>
        <v>float_financials</v>
      </c>
      <c r="J67" t="str">
        <f>VLOOKUP(A67,Planilha6!$BL$9:$BN$222,3,0)</f>
        <v>very_low_beta</v>
      </c>
      <c r="K67" s="41">
        <v>0.02</v>
      </c>
      <c r="L67" s="42">
        <v>1.2999999999999999E-2</v>
      </c>
      <c r="M67" s="41">
        <f>VLOOKUP(A67,'Mandato Ibov'!$B$1:$C$215,2,0)</f>
        <v>1.5053042118270601E-2</v>
      </c>
      <c r="N67" s="59">
        <f t="shared" si="7"/>
        <v>4.9469578817293997E-3</v>
      </c>
      <c r="O67" s="42">
        <f t="shared" si="8"/>
        <v>4.9469578817293997E-3</v>
      </c>
      <c r="P67" s="59">
        <f>VLOOKUP(A67,'Mandato Ibov'!$B$2:$D$215,3,0)</f>
        <v>1.5198090750551001E-2</v>
      </c>
      <c r="Q67" s="42">
        <f t="shared" si="9"/>
        <v>4.8019092494489997E-3</v>
      </c>
      <c r="R67" s="15">
        <v>-0.54</v>
      </c>
      <c r="S67" s="15">
        <v>-1.2999999999999999E-2</v>
      </c>
      <c r="T67" s="15">
        <v>-0.81799999999999995</v>
      </c>
      <c r="U67" s="15">
        <v>4.2000000000000003E-2</v>
      </c>
      <c r="V67" s="15">
        <v>-0.03</v>
      </c>
      <c r="W67" s="15">
        <v>0.25600000000000001</v>
      </c>
      <c r="X67" s="15">
        <v>0.85399999999999998</v>
      </c>
      <c r="Y67" s="15">
        <v>0.57999999999999996</v>
      </c>
      <c r="Z67" s="15">
        <v>0.57299999999999995</v>
      </c>
      <c r="AA67" s="15">
        <v>0.58199999999999996</v>
      </c>
      <c r="AB67" s="15">
        <v>0.71099999999999997</v>
      </c>
      <c r="AC67" s="15">
        <v>0.76700000000000002</v>
      </c>
      <c r="AD67" s="15">
        <v>0.48</v>
      </c>
      <c r="AE67" s="14">
        <v>0.155</v>
      </c>
      <c r="AF67" s="15">
        <v>0.75</v>
      </c>
      <c r="AG67" s="15">
        <v>-0.14099999999999999</v>
      </c>
      <c r="AH67" s="15">
        <v>-0.80600000000000005</v>
      </c>
      <c r="AI67" s="15">
        <v>-0.84699999999999998</v>
      </c>
      <c r="AJ67" s="16">
        <v>-0.61199999999999999</v>
      </c>
      <c r="AK67" s="4">
        <v>-0.27700000000000002</v>
      </c>
      <c r="AL67" s="4">
        <v>0.61599999999999999</v>
      </c>
      <c r="AM67" s="4">
        <v>-0.94799999999999995</v>
      </c>
      <c r="AN67" s="4">
        <v>0.374</v>
      </c>
      <c r="AO67" s="4">
        <v>0.22900000000000001</v>
      </c>
      <c r="AP67" s="4">
        <v>0.35599999999999998</v>
      </c>
      <c r="AQ67" s="4">
        <v>0.17199999999999999</v>
      </c>
      <c r="AR67" s="4">
        <v>5.1999999999999998E-2</v>
      </c>
      <c r="AS67" s="4">
        <v>-0.33100000000000002</v>
      </c>
      <c r="AT67" s="4">
        <v>0.66900000000000004</v>
      </c>
      <c r="AU67" s="4">
        <v>0.36499999999999999</v>
      </c>
      <c r="AV67" s="4">
        <v>-0.27900000000000003</v>
      </c>
      <c r="AW67" s="4">
        <v>0.93</v>
      </c>
      <c r="AX67" s="4">
        <v>0.371</v>
      </c>
      <c r="AY67" s="4">
        <v>0.83399999999999996</v>
      </c>
      <c r="AZ67" s="4">
        <v>-0.92700000000000005</v>
      </c>
      <c r="BA67" s="4">
        <v>-0.53200000000000003</v>
      </c>
      <c r="BB67" s="4">
        <v>-6.6000000000000003E-2</v>
      </c>
      <c r="BC67" s="4">
        <v>-6.6000000000000003E-2</v>
      </c>
      <c r="BD67" s="4">
        <v>-0.99299999999999999</v>
      </c>
      <c r="BE67" s="4">
        <v>0.44400000000000001</v>
      </c>
      <c r="BF67" s="4">
        <v>0.20799999999999999</v>
      </c>
      <c r="BG67" s="4">
        <v>1</v>
      </c>
      <c r="BH67" s="4">
        <v>-0.45900000000000002</v>
      </c>
      <c r="BI67" s="4">
        <v>-0.59199999999999997</v>
      </c>
      <c r="BJ67" s="4">
        <v>-9.7000000000000003E-2</v>
      </c>
      <c r="BK67" s="4">
        <v>-0.57499999999999996</v>
      </c>
      <c r="BL67" s="4"/>
      <c r="BM67" s="4">
        <f t="shared" si="10"/>
        <v>0.25085240000000003</v>
      </c>
    </row>
    <row r="68" spans="1:65" hidden="1" x14ac:dyDescent="0.3">
      <c r="A68" t="s">
        <v>108</v>
      </c>
      <c r="B68" s="53">
        <f t="shared" si="13"/>
        <v>1.7999999999999999E-2</v>
      </c>
      <c r="C68" s="53">
        <f t="shared" si="4"/>
        <v>1.7999999999999999E-2</v>
      </c>
      <c r="D68" s="53">
        <f t="shared" si="5"/>
        <v>0</v>
      </c>
      <c r="E68" s="53">
        <f t="shared" si="6"/>
        <v>0</v>
      </c>
      <c r="F68" s="15">
        <v>1.478</v>
      </c>
      <c r="G68">
        <v>1.9690000000000001</v>
      </c>
      <c r="H68" t="s">
        <v>55</v>
      </c>
      <c r="I68" t="str">
        <f>VLOOKUP(A68,Planilha6!$BL$9:$BN$222,2,0)</f>
        <v>utilities</v>
      </c>
      <c r="J68" t="str">
        <f>VLOOKUP(A68,Planilha6!$BL$9:$BN$222,3,0)</f>
        <v>low_beta</v>
      </c>
      <c r="K68" s="41">
        <v>1.7999999999999999E-2</v>
      </c>
      <c r="L68" s="42">
        <v>1.7999999999999999E-2</v>
      </c>
      <c r="M68" s="41">
        <f>VLOOKUP(A68,'Mandato Ibov'!$B$1:$C$215,2,0)</f>
        <v>6.6627778875297597E-3</v>
      </c>
      <c r="N68" s="59">
        <f t="shared" si="7"/>
        <v>1.1337222112470239E-2</v>
      </c>
      <c r="O68" s="42">
        <f t="shared" si="8"/>
        <v>1.1337222112470239E-2</v>
      </c>
      <c r="P68" s="59">
        <f>VLOOKUP(A68,'Mandato Ibov'!$B$2:$D$215,3,0)</f>
        <v>7.9140861822037094E-3</v>
      </c>
      <c r="Q68" s="42">
        <f t="shared" si="9"/>
        <v>1.0085913817796289E-2</v>
      </c>
      <c r="R68" s="15">
        <v>-0.58399999999999996</v>
      </c>
      <c r="S68" s="15">
        <v>0.21099999999999999</v>
      </c>
      <c r="T68" s="15">
        <v>-0.62</v>
      </c>
      <c r="U68" s="15">
        <v>-0.39100000000000001</v>
      </c>
      <c r="V68" s="15">
        <v>-8.7999999999999995E-2</v>
      </c>
      <c r="W68" s="15">
        <v>5.6000000000000001E-2</v>
      </c>
      <c r="X68" s="15">
        <v>0.58199999999999996</v>
      </c>
      <c r="Y68" s="15">
        <v>0.39100000000000001</v>
      </c>
      <c r="Z68" s="15">
        <v>0.90400000000000003</v>
      </c>
      <c r="AA68" s="15">
        <v>0.90800000000000003</v>
      </c>
      <c r="AB68" s="15">
        <v>0.65100000000000002</v>
      </c>
      <c r="AC68" s="15">
        <v>0.71099999999999997</v>
      </c>
      <c r="AD68" s="15">
        <v>0.64900000000000002</v>
      </c>
      <c r="AE68" s="14">
        <v>-0.54300000000000004</v>
      </c>
      <c r="AF68" s="15">
        <v>-0.67500000000000004</v>
      </c>
      <c r="AG68" s="15">
        <v>2E-3</v>
      </c>
      <c r="AH68" s="15">
        <v>-0.79</v>
      </c>
      <c r="AI68" s="15">
        <v>-0.34200000000000003</v>
      </c>
      <c r="AJ68" s="16">
        <v>-0.88800000000000001</v>
      </c>
      <c r="AK68" s="4">
        <v>-0.26900000000000002</v>
      </c>
      <c r="AL68" s="4">
        <v>0.155</v>
      </c>
      <c r="AM68" s="4">
        <v>-0.59299999999999997</v>
      </c>
      <c r="AN68" s="4">
        <v>-0.435</v>
      </c>
      <c r="AO68" s="4">
        <v>0.373</v>
      </c>
      <c r="AP68" s="4">
        <v>0.45200000000000001</v>
      </c>
      <c r="AQ68" s="4">
        <v>-0.16600000000000001</v>
      </c>
      <c r="AR68" s="4">
        <v>-0.14199999999999999</v>
      </c>
      <c r="AS68" s="4">
        <v>0.17499999999999999</v>
      </c>
      <c r="AT68" s="4">
        <v>0.191</v>
      </c>
      <c r="AU68" s="4">
        <v>0.503</v>
      </c>
      <c r="AV68" s="4">
        <v>-0.157</v>
      </c>
      <c r="AW68" s="4">
        <v>0.92500000000000004</v>
      </c>
      <c r="AX68" s="4">
        <v>-0.92800000000000005</v>
      </c>
      <c r="AY68" s="4">
        <v>0.495</v>
      </c>
      <c r="AZ68" s="4">
        <v>7.2999999999999995E-2</v>
      </c>
      <c r="BA68" s="4">
        <v>-2E-3</v>
      </c>
      <c r="BB68" s="4">
        <v>-0.41599999999999998</v>
      </c>
      <c r="BC68" s="4">
        <v>-0.52100000000000002</v>
      </c>
      <c r="BD68" s="4">
        <v>0.18</v>
      </c>
      <c r="BE68" s="4">
        <v>7.0000000000000007E-2</v>
      </c>
      <c r="BF68" s="4">
        <v>-0.189</v>
      </c>
      <c r="BG68" s="4">
        <v>0.93100000000000005</v>
      </c>
      <c r="BH68" s="4">
        <v>-0.435</v>
      </c>
      <c r="BI68" s="4">
        <v>-0.27400000000000002</v>
      </c>
      <c r="BJ68" s="4">
        <v>1</v>
      </c>
      <c r="BK68" s="4">
        <v>4.3999999999999997E-2</v>
      </c>
      <c r="BL68" s="4"/>
      <c r="BM68" s="4">
        <f t="shared" si="10"/>
        <v>0.22875680000000004</v>
      </c>
    </row>
    <row r="69" spans="1:65" hidden="1" x14ac:dyDescent="0.3">
      <c r="A69" t="s">
        <v>104</v>
      </c>
      <c r="B69" s="53">
        <f t="shared" si="13"/>
        <v>1.7000000000000001E-2</v>
      </c>
      <c r="C69" s="53">
        <f t="shared" si="4"/>
        <v>1.7000000000000001E-2</v>
      </c>
      <c r="D69" s="53">
        <f t="shared" si="5"/>
        <v>0</v>
      </c>
      <c r="E69" s="53">
        <f t="shared" si="6"/>
        <v>0</v>
      </c>
      <c r="F69" s="15">
        <v>1.4590000000000001</v>
      </c>
      <c r="G69">
        <v>1.9630000000000001</v>
      </c>
      <c r="H69" t="s">
        <v>55</v>
      </c>
      <c r="I69" t="str">
        <f>VLOOKUP(A69,Planilha6!$BL$9:$BN$222,2,0)</f>
        <v>utilities</v>
      </c>
      <c r="J69" t="str">
        <f>VLOOKUP(A69,Planilha6!$BL$9:$BN$222,3,0)</f>
        <v>low_beta</v>
      </c>
      <c r="K69" s="41">
        <v>1.7000000000000001E-2</v>
      </c>
      <c r="L69" s="42">
        <v>1.7000000000000001E-2</v>
      </c>
      <c r="M69" s="41">
        <f>VLOOKUP(A69,'Mandato Ibov'!$B$1:$C$215,2,0)</f>
        <v>6.5779814597503204E-3</v>
      </c>
      <c r="N69" s="59">
        <f t="shared" si="7"/>
        <v>1.042201854024968E-2</v>
      </c>
      <c r="O69" s="42">
        <f t="shared" si="8"/>
        <v>1.042201854024968E-2</v>
      </c>
      <c r="P69" s="59">
        <f>VLOOKUP(A69,'Mandato Ibov'!$B$2:$D$215,3,0)</f>
        <v>8.2604486140125197E-3</v>
      </c>
      <c r="Q69" s="42">
        <f t="shared" si="9"/>
        <v>8.7395513859874815E-3</v>
      </c>
      <c r="R69" s="15">
        <v>-0.55600000000000005</v>
      </c>
      <c r="S69" s="15">
        <v>0.219</v>
      </c>
      <c r="T69" s="15">
        <v>-0.63600000000000001</v>
      </c>
      <c r="U69" s="15">
        <v>-0.36</v>
      </c>
      <c r="V69" s="15">
        <v>-8.7999999999999995E-2</v>
      </c>
      <c r="W69" s="15">
        <v>4.2999999999999997E-2</v>
      </c>
      <c r="X69" s="15">
        <v>0.54500000000000004</v>
      </c>
      <c r="Y69" s="15">
        <v>0.374</v>
      </c>
      <c r="Z69" s="15">
        <v>0.85199999999999998</v>
      </c>
      <c r="AA69" s="15">
        <v>0.85599999999999998</v>
      </c>
      <c r="AB69" s="15">
        <v>0.64200000000000002</v>
      </c>
      <c r="AC69" s="15">
        <v>0.65200000000000002</v>
      </c>
      <c r="AD69" s="15">
        <v>0.66100000000000003</v>
      </c>
      <c r="AE69" s="14">
        <v>-0.54800000000000004</v>
      </c>
      <c r="AF69" s="15">
        <v>-0.68</v>
      </c>
      <c r="AG69" s="15">
        <v>9.5000000000000001E-2</v>
      </c>
      <c r="AH69" s="15">
        <v>-0.79300000000000004</v>
      </c>
      <c r="AI69" s="15">
        <v>-0.28199999999999997</v>
      </c>
      <c r="AJ69" s="16">
        <v>-0.88800000000000001</v>
      </c>
      <c r="AK69" s="4">
        <v>-0.26900000000000002</v>
      </c>
      <c r="AL69" s="4">
        <v>0.14499999999999999</v>
      </c>
      <c r="AM69" s="4">
        <v>-0.59299999999999997</v>
      </c>
      <c r="AN69" s="4">
        <v>-0.44</v>
      </c>
      <c r="AO69" s="4">
        <v>0.41699999999999998</v>
      </c>
      <c r="AP69" s="4">
        <v>0.49199999999999999</v>
      </c>
      <c r="AQ69" s="4">
        <v>-0.16600000000000001</v>
      </c>
      <c r="AR69" s="4">
        <v>-0.14199999999999999</v>
      </c>
      <c r="AS69" s="4">
        <v>0.17499999999999999</v>
      </c>
      <c r="AT69" s="4">
        <v>0.191</v>
      </c>
      <c r="AU69" s="4">
        <v>0.503</v>
      </c>
      <c r="AV69" s="4">
        <v>-0.157</v>
      </c>
      <c r="AW69" s="4">
        <v>0.91700000000000004</v>
      </c>
      <c r="AX69" s="4">
        <v>-0.92800000000000005</v>
      </c>
      <c r="AY69" s="4">
        <v>0.495</v>
      </c>
      <c r="AZ69" s="4">
        <v>4.0000000000000001E-3</v>
      </c>
      <c r="BA69" s="4">
        <v>0.26100000000000001</v>
      </c>
      <c r="BB69" s="4">
        <v>-0.41599999999999998</v>
      </c>
      <c r="BC69" s="4">
        <v>-0.52100000000000002</v>
      </c>
      <c r="BD69" s="4">
        <v>0.188</v>
      </c>
      <c r="BE69" s="4">
        <v>7.4999999999999997E-2</v>
      </c>
      <c r="BF69" s="4">
        <v>-0.58799999999999997</v>
      </c>
      <c r="BG69" s="4">
        <v>0.82299999999999995</v>
      </c>
      <c r="BH69" s="4">
        <v>-0.44400000000000001</v>
      </c>
      <c r="BI69" s="4">
        <v>-0.247</v>
      </c>
      <c r="BJ69" s="4">
        <v>0.90300000000000002</v>
      </c>
      <c r="BK69" s="4">
        <v>4.3999999999999997E-2</v>
      </c>
      <c r="BL69" s="4"/>
      <c r="BM69" s="4">
        <f t="shared" si="10"/>
        <v>0.2221226</v>
      </c>
    </row>
    <row r="70" spans="1:65" hidden="1" x14ac:dyDescent="0.3">
      <c r="A70" t="s">
        <v>232</v>
      </c>
      <c r="B70" s="53">
        <v>6.0000000000000001E-3</v>
      </c>
      <c r="C70" s="53">
        <f t="shared" si="4"/>
        <v>5.000000000000001E-3</v>
      </c>
      <c r="D70" s="53">
        <f t="shared" si="5"/>
        <v>-2.9999999999999992E-3</v>
      </c>
      <c r="E70" s="53">
        <f t="shared" si="6"/>
        <v>9.9999999999999915E-4</v>
      </c>
      <c r="F70" s="15">
        <v>1.4379999999999999</v>
      </c>
      <c r="G70">
        <v>1.117</v>
      </c>
      <c r="H70" t="s">
        <v>57</v>
      </c>
      <c r="I70" t="str">
        <f>VLOOKUP(A70,Planilha6!$BL$9:$BN$222,2,0)</f>
        <v>apparel</v>
      </c>
      <c r="J70" t="str">
        <f>VLOOKUP(A70,Planilha6!$BL$9:$BN$222,3,0)</f>
        <v>neutral_beta</v>
      </c>
      <c r="K70" s="41">
        <v>8.9999999999999993E-3</v>
      </c>
      <c r="L70" s="42">
        <v>8.0000000000000002E-3</v>
      </c>
      <c r="M70" s="41">
        <f>VLOOKUP(A70,'Mandato Ibov'!$B$1:$C$215,2,0)</f>
        <v>6.8908392114838098E-3</v>
      </c>
      <c r="N70" s="59">
        <f t="shared" si="7"/>
        <v>2.1091607885161895E-3</v>
      </c>
      <c r="O70" s="42">
        <f t="shared" si="8"/>
        <v>-8.9083921148380967E-4</v>
      </c>
      <c r="P70" s="59">
        <f>VLOOKUP(A70,'Mandato Ibov'!$B$2:$D$215,3,0)</f>
        <v>0</v>
      </c>
      <c r="Q70" s="42">
        <f t="shared" si="9"/>
        <v>8.9999999999999993E-3</v>
      </c>
      <c r="R70" s="15">
        <v>9.0999999999999998E-2</v>
      </c>
      <c r="S70" s="15">
        <v>-6.8000000000000005E-2</v>
      </c>
      <c r="T70" s="15">
        <v>-6.9000000000000006E-2</v>
      </c>
      <c r="U70" s="15">
        <v>7.6999999999999999E-2</v>
      </c>
      <c r="V70" s="15">
        <v>5.8000000000000003E-2</v>
      </c>
      <c r="W70" s="15">
        <v>1.4999999999999999E-2</v>
      </c>
      <c r="X70" s="15">
        <v>-2.1999999999999999E-2</v>
      </c>
      <c r="Y70" s="15">
        <v>-8.1000000000000003E-2</v>
      </c>
      <c r="Z70" s="15">
        <v>0.52</v>
      </c>
      <c r="AA70" s="15">
        <v>0.52200000000000002</v>
      </c>
      <c r="AB70" s="15">
        <v>0.78300000000000003</v>
      </c>
      <c r="AC70" s="15">
        <v>0.91100000000000003</v>
      </c>
      <c r="AD70" s="15">
        <v>0.59499999999999997</v>
      </c>
      <c r="AE70" s="14">
        <v>0.29599999999999999</v>
      </c>
      <c r="AF70" s="15">
        <v>0.434</v>
      </c>
      <c r="AG70" s="15">
        <v>0.38200000000000001</v>
      </c>
      <c r="AH70" s="15">
        <v>8.9999999999999993E-3</v>
      </c>
      <c r="AI70" s="15">
        <v>3.0000000000000001E-3</v>
      </c>
      <c r="AJ70" s="16">
        <v>-0.255</v>
      </c>
      <c r="AK70" s="4">
        <v>0.17799999999999999</v>
      </c>
      <c r="AL70" s="4">
        <v>-4.4999999999999998E-2</v>
      </c>
      <c r="AM70" s="4">
        <v>0.33500000000000002</v>
      </c>
      <c r="AN70" s="4">
        <v>1</v>
      </c>
      <c r="AO70" s="4">
        <v>-0.26500000000000001</v>
      </c>
      <c r="AP70" s="4">
        <v>0.17199999999999999</v>
      </c>
      <c r="AQ70" s="4">
        <v>-5.0000000000000001E-3</v>
      </c>
      <c r="AR70" s="4">
        <v>0.76100000000000001</v>
      </c>
      <c r="AS70" s="4">
        <v>0.312</v>
      </c>
      <c r="AT70" s="4">
        <v>0.21199999999999999</v>
      </c>
      <c r="AU70" s="4">
        <v>3.1E-2</v>
      </c>
      <c r="AV70" s="4">
        <v>6.8000000000000005E-2</v>
      </c>
      <c r="AW70" s="4">
        <v>-0.27600000000000002</v>
      </c>
      <c r="AX70" s="4">
        <v>-0.186</v>
      </c>
      <c r="AY70" s="4">
        <v>0.86599999999999999</v>
      </c>
      <c r="AZ70" s="4">
        <v>0.49199999999999999</v>
      </c>
      <c r="BA70" s="4">
        <v>-0.66700000000000004</v>
      </c>
      <c r="BB70" s="4">
        <v>-0.47399999999999998</v>
      </c>
      <c r="BC70" s="4">
        <v>-0.30499999999999999</v>
      </c>
      <c r="BD70" s="4">
        <v>-0.58699999999999997</v>
      </c>
      <c r="BE70" s="4">
        <v>1</v>
      </c>
      <c r="BF70" s="4">
        <v>1</v>
      </c>
      <c r="BG70" s="4">
        <v>0.43</v>
      </c>
      <c r="BH70" s="4">
        <v>0.33600000000000002</v>
      </c>
      <c r="BI70" s="4">
        <v>-3.3000000000000002E-2</v>
      </c>
      <c r="BJ70" s="4">
        <v>-0.74299999999999999</v>
      </c>
      <c r="BK70" s="4">
        <v>0.22500000000000001</v>
      </c>
      <c r="BL70" s="4"/>
      <c r="BM70" s="4">
        <f t="shared" si="10"/>
        <v>0.2147568</v>
      </c>
    </row>
    <row r="71" spans="1:65" hidden="1" x14ac:dyDescent="0.3">
      <c r="A71" t="s">
        <v>188</v>
      </c>
      <c r="B71" s="53">
        <f>K71</f>
        <v>2.3E-2</v>
      </c>
      <c r="C71" s="53">
        <f t="shared" si="4"/>
        <v>1.7000000000000001E-2</v>
      </c>
      <c r="D71" s="53">
        <f t="shared" si="5"/>
        <v>0</v>
      </c>
      <c r="E71" s="53">
        <f t="shared" si="6"/>
        <v>5.9999999999999984E-3</v>
      </c>
      <c r="F71" s="15">
        <v>1.4339999999999999</v>
      </c>
      <c r="G71">
        <v>2.3239999999999998</v>
      </c>
      <c r="H71" t="s">
        <v>55</v>
      </c>
      <c r="I71" t="str">
        <f>VLOOKUP(A71,Planilha6!$BL$9:$BN$222,2,0)</f>
        <v>utilities</v>
      </c>
      <c r="J71" t="str">
        <f>VLOOKUP(A71,Planilha6!$BL$9:$BN$222,3,0)</f>
        <v>high_beta</v>
      </c>
      <c r="K71" s="41">
        <v>2.3E-2</v>
      </c>
      <c r="L71" s="42">
        <v>1.7000000000000001E-2</v>
      </c>
      <c r="M71" s="41">
        <f>VLOOKUP(A71,'Mandato Ibov'!$B$1:$C$215,2,0)</f>
        <v>1.31072656069666E-2</v>
      </c>
      <c r="N71" s="59">
        <f t="shared" si="7"/>
        <v>9.8927343930333995E-3</v>
      </c>
      <c r="O71" s="42">
        <f t="shared" si="8"/>
        <v>9.8927343930333995E-3</v>
      </c>
      <c r="P71" s="59">
        <f>VLOOKUP(A71,'Mandato Ibov'!$B$2:$D$215,3,0)</f>
        <v>1.7684943207392199E-2</v>
      </c>
      <c r="Q71" s="42">
        <f t="shared" si="9"/>
        <v>5.3150567926078009E-3</v>
      </c>
      <c r="R71" s="15">
        <v>-0.26400000000000001</v>
      </c>
      <c r="S71" s="15">
        <v>0.48</v>
      </c>
      <c r="T71" s="15">
        <v>-0.64900000000000002</v>
      </c>
      <c r="U71" s="15">
        <v>-0.22800000000000001</v>
      </c>
      <c r="V71" s="15">
        <v>-7.0000000000000001E-3</v>
      </c>
      <c r="W71" s="15">
        <v>8.4000000000000005E-2</v>
      </c>
      <c r="X71" s="15">
        <v>0.158</v>
      </c>
      <c r="Y71" s="15">
        <v>0.112</v>
      </c>
      <c r="Z71" s="15">
        <v>0.63</v>
      </c>
      <c r="AA71" s="15">
        <v>0.63800000000000001</v>
      </c>
      <c r="AB71" s="15">
        <v>0.72</v>
      </c>
      <c r="AC71" s="15">
        <v>0.82299999999999995</v>
      </c>
      <c r="AD71" s="15">
        <v>0.71</v>
      </c>
      <c r="AE71" s="14">
        <v>-0.65700000000000003</v>
      </c>
      <c r="AF71" s="15">
        <v>-0.442</v>
      </c>
      <c r="AG71" s="15">
        <v>0.55700000000000005</v>
      </c>
      <c r="AH71" s="15">
        <v>-1</v>
      </c>
      <c r="AI71" s="15">
        <v>-0.57999999999999996</v>
      </c>
      <c r="AJ71" s="16">
        <v>-0.998</v>
      </c>
      <c r="AK71" s="4">
        <v>-0.371</v>
      </c>
      <c r="AL71" s="4">
        <v>-0.36399999999999999</v>
      </c>
      <c r="AM71" s="4">
        <v>-0.56399999999999995</v>
      </c>
      <c r="AN71" s="4">
        <v>-0.52700000000000002</v>
      </c>
      <c r="AO71" s="4">
        <v>0.82599999999999996</v>
      </c>
      <c r="AP71" s="4">
        <v>0.90900000000000003</v>
      </c>
      <c r="AQ71" s="4">
        <v>0.13900000000000001</v>
      </c>
      <c r="AR71" s="4">
        <v>1</v>
      </c>
      <c r="AS71" s="4">
        <v>0.31</v>
      </c>
      <c r="AT71" s="4">
        <v>-4.8000000000000001E-2</v>
      </c>
      <c r="AU71" s="4">
        <v>-3.0000000000000001E-3</v>
      </c>
      <c r="AV71" s="4">
        <v>-9.8000000000000004E-2</v>
      </c>
      <c r="AW71" s="4">
        <v>0.35799999999999998</v>
      </c>
      <c r="AX71" s="4">
        <v>-0.68400000000000005</v>
      </c>
      <c r="AY71" s="4">
        <v>0.74399999999999999</v>
      </c>
      <c r="AZ71" s="4">
        <v>0.92600000000000005</v>
      </c>
      <c r="BA71" s="4">
        <v>0.61599999999999999</v>
      </c>
      <c r="BB71" s="4">
        <v>0.12</v>
      </c>
      <c r="BC71" s="4">
        <v>-0.26100000000000001</v>
      </c>
      <c r="BD71" s="4">
        <v>0.63</v>
      </c>
      <c r="BE71" s="4">
        <v>-0.32100000000000001</v>
      </c>
      <c r="BF71" s="4">
        <v>5.0999999999999997E-2</v>
      </c>
      <c r="BG71" s="4">
        <v>0.69499999999999995</v>
      </c>
      <c r="BH71" s="4">
        <v>-0.73899999999999999</v>
      </c>
      <c r="BI71" s="4">
        <v>6.5000000000000002E-2</v>
      </c>
      <c r="BJ71" s="4">
        <v>0.182</v>
      </c>
      <c r="BK71" s="4">
        <v>-1</v>
      </c>
      <c r="BL71" s="4"/>
      <c r="BM71" s="4">
        <f t="shared" si="10"/>
        <v>0.21285589999999999</v>
      </c>
    </row>
    <row r="72" spans="1:65" hidden="1" x14ac:dyDescent="0.3">
      <c r="A72" t="s">
        <v>113</v>
      </c>
      <c r="B72" s="53">
        <f>K72</f>
        <v>2.3E-2</v>
      </c>
      <c r="C72" s="53">
        <f t="shared" si="4"/>
        <v>1.2999999999999999E-2</v>
      </c>
      <c r="D72" s="53">
        <f t="shared" si="5"/>
        <v>0</v>
      </c>
      <c r="E72" s="53">
        <f t="shared" si="6"/>
        <v>0.01</v>
      </c>
      <c r="F72" s="15">
        <v>1.429</v>
      </c>
      <c r="G72">
        <v>2.5430000000000001</v>
      </c>
      <c r="H72" t="s">
        <v>57</v>
      </c>
      <c r="I72" t="str">
        <f>VLOOKUP(A72,Planilha6!$BL$9:$BN$222,2,0)</f>
        <v>banks</v>
      </c>
      <c r="J72" t="str">
        <f>VLOOKUP(A72,Planilha6!$BL$9:$BN$222,3,0)</f>
        <v>neutral_beta</v>
      </c>
      <c r="K72" s="41">
        <v>2.3E-2</v>
      </c>
      <c r="L72" s="42">
        <v>1.2999999999999999E-2</v>
      </c>
      <c r="M72" s="41">
        <f>VLOOKUP(A72,'Mandato Ibov'!$B$1:$C$215,2,0)</f>
        <v>1.5828248764407901E-2</v>
      </c>
      <c r="N72" s="59">
        <f t="shared" si="7"/>
        <v>7.1717512355920984E-3</v>
      </c>
      <c r="O72" s="42">
        <f t="shared" si="8"/>
        <v>7.1717512355920984E-3</v>
      </c>
      <c r="P72" s="59">
        <f>VLOOKUP(A72,'Mandato Ibov'!$B$2:$D$215,3,0)</f>
        <v>1.80282353189497E-2</v>
      </c>
      <c r="Q72" s="42">
        <f t="shared" si="9"/>
        <v>4.9717646810502995E-3</v>
      </c>
      <c r="R72" s="15">
        <v>-0.34799999999999998</v>
      </c>
      <c r="S72" s="15">
        <v>0.16900000000000001</v>
      </c>
      <c r="T72" s="15">
        <v>-0.67500000000000004</v>
      </c>
      <c r="U72" s="15">
        <v>-0.22500000000000001</v>
      </c>
      <c r="V72" s="15">
        <v>-0.11700000000000001</v>
      </c>
      <c r="W72" s="15">
        <v>-7.0000000000000001E-3</v>
      </c>
      <c r="X72" s="15">
        <v>0.156</v>
      </c>
      <c r="Y72" s="15">
        <v>0.154</v>
      </c>
      <c r="Z72" s="15">
        <v>0.84799999999999998</v>
      </c>
      <c r="AA72" s="15">
        <v>0.85399999999999998</v>
      </c>
      <c r="AB72" s="15">
        <v>0.73399999999999999</v>
      </c>
      <c r="AC72" s="15">
        <v>0.96899999999999997</v>
      </c>
      <c r="AD72" s="15">
        <v>0.71499999999999997</v>
      </c>
      <c r="AE72" s="14">
        <v>-0.59699999999999998</v>
      </c>
      <c r="AF72" s="15">
        <v>-0.151</v>
      </c>
      <c r="AG72" s="15">
        <v>0.53700000000000003</v>
      </c>
      <c r="AH72" s="15">
        <v>-0.92700000000000005</v>
      </c>
      <c r="AI72" s="15">
        <v>-0.84399999999999997</v>
      </c>
      <c r="AJ72" s="16">
        <v>-1</v>
      </c>
      <c r="AK72" s="4">
        <v>-0.11799999999999999</v>
      </c>
      <c r="AL72" s="4">
        <v>0.155</v>
      </c>
      <c r="AM72" s="4">
        <v>-7.9000000000000001E-2</v>
      </c>
      <c r="AN72" s="4">
        <v>-3.0000000000000001E-3</v>
      </c>
      <c r="AO72" s="4">
        <v>0.22700000000000001</v>
      </c>
      <c r="AP72" s="4">
        <v>0.38400000000000001</v>
      </c>
      <c r="AQ72" s="4">
        <v>5.7000000000000002E-2</v>
      </c>
      <c r="AR72" s="4">
        <v>0.27600000000000002</v>
      </c>
      <c r="AS72" s="4">
        <v>0.77500000000000002</v>
      </c>
      <c r="AT72" s="4">
        <v>-4.2000000000000003E-2</v>
      </c>
      <c r="AU72" s="4">
        <v>-0.115</v>
      </c>
      <c r="AV72" s="4">
        <v>-0.317</v>
      </c>
      <c r="AW72" s="4">
        <v>0.316</v>
      </c>
      <c r="AX72" s="4">
        <v>-0.374</v>
      </c>
      <c r="AY72" s="4">
        <v>0.84</v>
      </c>
      <c r="AZ72" s="4">
        <v>0.39800000000000002</v>
      </c>
      <c r="BA72" s="4">
        <v>1E-3</v>
      </c>
      <c r="BB72" s="4">
        <v>-0.20699999999999999</v>
      </c>
      <c r="BC72" s="4">
        <v>-0.08</v>
      </c>
      <c r="BD72" s="4">
        <v>0.34599999999999997</v>
      </c>
      <c r="BE72" s="4">
        <v>-0.122</v>
      </c>
      <c r="BF72" s="4">
        <v>-0.45400000000000001</v>
      </c>
      <c r="BG72" s="4">
        <v>0.81699999999999995</v>
      </c>
      <c r="BH72" s="4">
        <v>-0.42199999999999999</v>
      </c>
      <c r="BI72" s="4">
        <v>-0.03</v>
      </c>
      <c r="BJ72" s="4">
        <v>0.16200000000000001</v>
      </c>
      <c r="BK72" s="4">
        <v>-0.754</v>
      </c>
      <c r="BL72" s="4"/>
      <c r="BM72" s="4">
        <f t="shared" si="10"/>
        <v>0.21134220000000004</v>
      </c>
    </row>
    <row r="73" spans="1:65" hidden="1" x14ac:dyDescent="0.3">
      <c r="A73" t="s">
        <v>122</v>
      </c>
      <c r="B73" s="53">
        <f>K73</f>
        <v>1.0999999999999999E-2</v>
      </c>
      <c r="C73" s="53">
        <f t="shared" si="4"/>
        <v>1.0999999999999999E-2</v>
      </c>
      <c r="D73" s="53">
        <f t="shared" si="5"/>
        <v>0</v>
      </c>
      <c r="E73" s="53">
        <f t="shared" si="6"/>
        <v>0</v>
      </c>
      <c r="F73" s="15">
        <v>1.37</v>
      </c>
      <c r="G73">
        <v>1.343</v>
      </c>
      <c r="H73" t="s">
        <v>57</v>
      </c>
      <c r="I73" t="str">
        <f>VLOOKUP(A73,Planilha6!$BL$9:$BN$222,2,0)</f>
        <v>banks</v>
      </c>
      <c r="J73" t="str">
        <f>VLOOKUP(A73,Planilha6!$BL$9:$BN$222,3,0)</f>
        <v>very_low_beta</v>
      </c>
      <c r="K73" s="41">
        <v>1.0999999999999999E-2</v>
      </c>
      <c r="L73" s="42">
        <v>1.0999999999999999E-2</v>
      </c>
      <c r="M73" s="41">
        <f>VLOOKUP(A73,'Mandato Ibov'!$B$1:$C$215,2,0)</f>
        <v>6.1754167809295896E-3</v>
      </c>
      <c r="N73" s="59">
        <f t="shared" si="7"/>
        <v>4.8245832190704097E-3</v>
      </c>
      <c r="O73" s="42">
        <f t="shared" si="8"/>
        <v>4.8245832190704097E-3</v>
      </c>
      <c r="P73" s="59">
        <f>VLOOKUP(A73,'Mandato Ibov'!$B$2:$D$215,3,0)</f>
        <v>0</v>
      </c>
      <c r="Q73" s="42">
        <f t="shared" si="9"/>
        <v>1.0999999999999999E-2</v>
      </c>
      <c r="R73" s="15">
        <v>-0.14199999999999999</v>
      </c>
      <c r="S73" s="15">
        <v>-0.08</v>
      </c>
      <c r="T73" s="15">
        <v>0.14099999999999999</v>
      </c>
      <c r="U73" s="15">
        <v>-0.56499999999999995</v>
      </c>
      <c r="V73" s="15">
        <v>-0.155</v>
      </c>
      <c r="W73" s="15">
        <v>-7.5999999999999998E-2</v>
      </c>
      <c r="X73" s="15">
        <v>8.1000000000000003E-2</v>
      </c>
      <c r="Y73" s="15">
        <v>0.182</v>
      </c>
      <c r="Z73" s="15">
        <v>0.36199999999999999</v>
      </c>
      <c r="AA73" s="15">
        <v>0.36299999999999999</v>
      </c>
      <c r="AB73" s="15">
        <v>0.64500000000000002</v>
      </c>
      <c r="AC73" s="15">
        <v>0.622</v>
      </c>
      <c r="AD73" s="15">
        <v>0.70899999999999996</v>
      </c>
      <c r="AE73" s="14">
        <v>-0.43099999999999999</v>
      </c>
      <c r="AF73" s="15">
        <v>-0.74</v>
      </c>
      <c r="AG73" s="15">
        <v>-0.66800000000000004</v>
      </c>
      <c r="AH73" s="15">
        <v>-0.35599999999999998</v>
      </c>
      <c r="AI73" s="15">
        <v>0.26200000000000001</v>
      </c>
      <c r="AJ73" s="16">
        <v>0.68100000000000005</v>
      </c>
      <c r="AK73" s="4">
        <v>-0.79900000000000004</v>
      </c>
      <c r="AL73" s="4">
        <v>0.33800000000000002</v>
      </c>
      <c r="AM73" s="4">
        <v>-0.64800000000000002</v>
      </c>
      <c r="AN73" s="4">
        <v>-9.6000000000000002E-2</v>
      </c>
      <c r="AO73" s="4">
        <v>0.112</v>
      </c>
      <c r="AP73" s="4">
        <v>6.9000000000000006E-2</v>
      </c>
      <c r="AQ73" s="4">
        <v>-0.23799999999999999</v>
      </c>
      <c r="AR73" s="4">
        <v>0.08</v>
      </c>
      <c r="AS73" s="4">
        <v>0.34699999999999998</v>
      </c>
      <c r="AT73" s="4">
        <v>-0.23499999999999999</v>
      </c>
      <c r="AU73" s="4">
        <v>0.21299999999999999</v>
      </c>
      <c r="AV73" s="4">
        <v>-0.217</v>
      </c>
      <c r="AW73" s="4">
        <v>0.55700000000000005</v>
      </c>
      <c r="AX73" s="4">
        <v>1</v>
      </c>
      <c r="AY73" s="4">
        <v>2.8000000000000001E-2</v>
      </c>
      <c r="AZ73" s="4">
        <v>0.46400000000000002</v>
      </c>
      <c r="BA73" s="4">
        <v>0.61399999999999999</v>
      </c>
      <c r="BB73" s="4">
        <v>0.20499999999999999</v>
      </c>
      <c r="BC73" s="4">
        <v>0.253</v>
      </c>
      <c r="BD73" s="4">
        <v>4.0000000000000001E-3</v>
      </c>
      <c r="BE73" s="4">
        <v>0.156</v>
      </c>
      <c r="BF73" s="4">
        <v>-0.20200000000000001</v>
      </c>
      <c r="BG73" s="4">
        <v>0.51900000000000002</v>
      </c>
      <c r="BH73" s="4">
        <v>-0.65200000000000002</v>
      </c>
      <c r="BI73" s="4">
        <v>-0.38100000000000001</v>
      </c>
      <c r="BJ73" s="4">
        <v>0.58599999999999997</v>
      </c>
      <c r="BK73" s="4">
        <v>0.746</v>
      </c>
      <c r="BL73" s="4"/>
      <c r="BM73" s="4">
        <f t="shared" si="10"/>
        <v>0.19033149999999999</v>
      </c>
    </row>
    <row r="74" spans="1:65" hidden="1" x14ac:dyDescent="0.3">
      <c r="A74" t="s">
        <v>185</v>
      </c>
      <c r="B74" s="53">
        <f>K74</f>
        <v>2.1999999999999999E-2</v>
      </c>
      <c r="C74" s="53">
        <f t="shared" ref="C74:C137" si="14">B74-E74</f>
        <v>1.0999999999999999E-2</v>
      </c>
      <c r="D74" s="53">
        <f t="shared" ref="D74:D137" si="15">B74-K74</f>
        <v>0</v>
      </c>
      <c r="E74" s="53">
        <f t="shared" ref="E74:E137" si="16">K74-L74</f>
        <v>1.0999999999999999E-2</v>
      </c>
      <c r="F74" s="15">
        <v>1.355</v>
      </c>
      <c r="G74">
        <v>2.4950000000000001</v>
      </c>
      <c r="H74" t="s">
        <v>55</v>
      </c>
      <c r="I74" t="str">
        <f>VLOOKUP(A74,Planilha6!$BL$9:$BN$222,2,0)</f>
        <v>utilities</v>
      </c>
      <c r="J74" t="str">
        <f>VLOOKUP(A74,Planilha6!$BL$9:$BN$222,3,0)</f>
        <v>neutral_beta</v>
      </c>
      <c r="K74" s="41">
        <v>2.1999999999999999E-2</v>
      </c>
      <c r="L74" s="42">
        <v>1.0999999999999999E-2</v>
      </c>
      <c r="M74" s="41">
        <f>VLOOKUP(A74,'Mandato Ibov'!$B$1:$C$215,2,0)</f>
        <v>1.6007324056014099E-2</v>
      </c>
      <c r="N74" s="59">
        <f t="shared" ref="N74:N137" si="17">K74-M74</f>
        <v>5.9926759439858993E-3</v>
      </c>
      <c r="O74" s="42">
        <f t="shared" ref="O74:O137" si="18">B74-M74</f>
        <v>5.9926759439858993E-3</v>
      </c>
      <c r="P74" s="59">
        <f>VLOOKUP(A74,'Mandato Ibov'!$B$2:$D$215,3,0)</f>
        <v>2.46863226530031E-2</v>
      </c>
      <c r="Q74" s="42">
        <f t="shared" ref="Q74:Q137" si="19">K74-P74</f>
        <v>-2.6863226530031009E-3</v>
      </c>
      <c r="R74" s="15">
        <v>-0.36499999999999999</v>
      </c>
      <c r="S74" s="15">
        <v>0.28999999999999998</v>
      </c>
      <c r="T74" s="15">
        <v>-0.71299999999999997</v>
      </c>
      <c r="U74" s="15">
        <v>-0.13800000000000001</v>
      </c>
      <c r="V74" s="15">
        <v>-2.1999999999999999E-2</v>
      </c>
      <c r="W74" s="15">
        <v>2.9000000000000001E-2</v>
      </c>
      <c r="X74" s="15">
        <v>0.109</v>
      </c>
      <c r="Y74" s="15">
        <v>0.14899999999999999</v>
      </c>
      <c r="Z74" s="15">
        <v>0.60199999999999998</v>
      </c>
      <c r="AA74" s="15">
        <v>0.60799999999999998</v>
      </c>
      <c r="AB74" s="15">
        <v>0.70899999999999996</v>
      </c>
      <c r="AC74" s="15">
        <v>0.871</v>
      </c>
      <c r="AD74" s="15">
        <v>0.7</v>
      </c>
      <c r="AE74" s="14">
        <v>-0.54600000000000004</v>
      </c>
      <c r="AF74" s="15">
        <v>-0.32900000000000001</v>
      </c>
      <c r="AG74" s="15">
        <v>0.39100000000000001</v>
      </c>
      <c r="AH74" s="15">
        <v>-0.93799999999999994</v>
      </c>
      <c r="AI74" s="15">
        <v>-0.39700000000000002</v>
      </c>
      <c r="AJ74" s="16">
        <v>-0.92500000000000004</v>
      </c>
      <c r="AK74" s="4">
        <v>-0.34200000000000003</v>
      </c>
      <c r="AL74" s="4">
        <v>-0.188</v>
      </c>
      <c r="AM74" s="4">
        <v>-0.64500000000000002</v>
      </c>
      <c r="AN74" s="4">
        <v>-0.56699999999999995</v>
      </c>
      <c r="AO74" s="4">
        <v>0.69599999999999995</v>
      </c>
      <c r="AP74" s="4">
        <v>0.86899999999999999</v>
      </c>
      <c r="AQ74" s="4">
        <v>0.34399999999999997</v>
      </c>
      <c r="AR74" s="4">
        <v>0.439</v>
      </c>
      <c r="AS74" s="4">
        <v>0.92300000000000004</v>
      </c>
      <c r="AT74" s="4">
        <v>0.121</v>
      </c>
      <c r="AU74" s="4">
        <v>-0.22</v>
      </c>
      <c r="AV74" s="4">
        <v>-6.3E-2</v>
      </c>
      <c r="AW74" s="4">
        <v>0.66300000000000003</v>
      </c>
      <c r="AX74" s="4">
        <v>-0.59299999999999997</v>
      </c>
      <c r="AY74" s="4">
        <v>0.96699999999999997</v>
      </c>
      <c r="AZ74" s="4">
        <v>0.56299999999999994</v>
      </c>
      <c r="BA74" s="4">
        <v>0.6</v>
      </c>
      <c r="BB74" s="4">
        <v>0.17299999999999999</v>
      </c>
      <c r="BC74" s="4">
        <v>-0.29799999999999999</v>
      </c>
      <c r="BD74" s="4">
        <v>0.28699999999999998</v>
      </c>
      <c r="BE74" s="4">
        <v>-0.48499999999999999</v>
      </c>
      <c r="BF74" s="4">
        <v>0.16600000000000001</v>
      </c>
      <c r="BG74" s="4">
        <v>0.57299999999999995</v>
      </c>
      <c r="BH74" s="4">
        <v>-0.82599999999999996</v>
      </c>
      <c r="BI74" s="4">
        <v>-8.3000000000000004E-2</v>
      </c>
      <c r="BJ74" s="4">
        <v>-0.26600000000000001</v>
      </c>
      <c r="BK74" s="4">
        <v>-0.436</v>
      </c>
      <c r="BL74" s="4"/>
      <c r="BM74" s="4">
        <f t="shared" ref="BM74:BM137" si="20">SUMPRODUCT(R74:AD74,$R$225:$AD$225)</f>
        <v>0.18531620000000001</v>
      </c>
    </row>
    <row r="75" spans="1:65" x14ac:dyDescent="0.3">
      <c r="A75" t="s">
        <v>82</v>
      </c>
      <c r="B75" s="53">
        <v>5.0000000000000001E-3</v>
      </c>
      <c r="C75" s="53">
        <f t="shared" si="14"/>
        <v>3.0000000000000001E-3</v>
      </c>
      <c r="D75" s="53">
        <f t="shared" si="15"/>
        <v>5.0000000000000001E-3</v>
      </c>
      <c r="E75" s="53">
        <f t="shared" si="16"/>
        <v>2E-3</v>
      </c>
      <c r="F75" s="15">
        <v>1.349</v>
      </c>
      <c r="G75">
        <v>1.8320000000000001</v>
      </c>
      <c r="H75" t="s">
        <v>71</v>
      </c>
      <c r="I75" t="str">
        <f>VLOOKUP(A75,Planilha6!$BL$9:$BN$222,2,0)</f>
        <v>basic_materials</v>
      </c>
      <c r="J75" t="str">
        <f>VLOOKUP(A75,Planilha6!$BL$9:$BN$222,3,0)</f>
        <v>high_beta</v>
      </c>
      <c r="K75" s="41">
        <v>0</v>
      </c>
      <c r="L75" s="42">
        <v>-2E-3</v>
      </c>
      <c r="M75" s="41">
        <f>VLOOKUP(A75,'Mandato Ibov'!$B$1:$C$215,2,0)</f>
        <v>7.2319136123822399E-3</v>
      </c>
      <c r="N75" s="59">
        <f t="shared" si="17"/>
        <v>-7.2319136123822399E-3</v>
      </c>
      <c r="O75" s="42">
        <f t="shared" si="18"/>
        <v>-2.2319136123822398E-3</v>
      </c>
      <c r="P75" s="59">
        <f>VLOOKUP(A75,'Mandato Ibov'!$B$2:$D$215,3,0)</f>
        <v>0</v>
      </c>
      <c r="Q75" s="42">
        <f t="shared" si="19"/>
        <v>0</v>
      </c>
      <c r="R75" s="15">
        <v>-0.65500000000000003</v>
      </c>
      <c r="S75" s="15">
        <v>2.1000000000000001E-2</v>
      </c>
      <c r="T75" s="15">
        <v>-0.84299999999999997</v>
      </c>
      <c r="U75" s="15">
        <v>-0.44900000000000001</v>
      </c>
      <c r="V75" s="15">
        <v>-0.30199999999999999</v>
      </c>
      <c r="W75" s="15">
        <v>1.2999999999999999E-2</v>
      </c>
      <c r="X75" s="15">
        <v>0.26900000000000002</v>
      </c>
      <c r="Y75" s="15">
        <v>0.496</v>
      </c>
      <c r="Z75" s="15">
        <v>0.628</v>
      </c>
      <c r="AA75" s="15">
        <v>0.628</v>
      </c>
      <c r="AB75" s="15">
        <v>0.75600000000000001</v>
      </c>
      <c r="AC75" s="15">
        <v>0.84299999999999997</v>
      </c>
      <c r="AD75" s="15">
        <v>0.73399999999999999</v>
      </c>
      <c r="AE75" s="14">
        <v>-0.26300000000000001</v>
      </c>
      <c r="AF75" s="15">
        <v>-0.93500000000000005</v>
      </c>
      <c r="AG75" s="15">
        <v>0.60099999999999998</v>
      </c>
      <c r="AH75" s="15">
        <v>-0.57599999999999996</v>
      </c>
      <c r="AI75" s="15">
        <v>0.32700000000000001</v>
      </c>
      <c r="AJ75" s="16">
        <v>-0.51800000000000002</v>
      </c>
      <c r="AK75" s="4">
        <v>-0.34</v>
      </c>
      <c r="AL75" s="4">
        <v>0.82699999999999996</v>
      </c>
      <c r="AM75" s="4">
        <v>-0.42699999999999999</v>
      </c>
      <c r="AN75" s="4">
        <v>-0.52900000000000003</v>
      </c>
      <c r="AO75" s="4">
        <v>0.89</v>
      </c>
      <c r="AP75" s="4">
        <v>0.25700000000000001</v>
      </c>
      <c r="AQ75" s="4">
        <v>-0.93600000000000005</v>
      </c>
      <c r="AR75" s="4">
        <v>-1</v>
      </c>
      <c r="AS75" s="4">
        <v>-0.66</v>
      </c>
      <c r="AT75" s="4">
        <v>-0.26900000000000002</v>
      </c>
      <c r="AU75" s="4">
        <v>6.3E-2</v>
      </c>
      <c r="AV75" s="4">
        <v>-8.2000000000000003E-2</v>
      </c>
      <c r="AW75" s="4">
        <v>0.56899999999999995</v>
      </c>
      <c r="AX75" s="4">
        <v>4.1000000000000002E-2</v>
      </c>
      <c r="AY75" s="4">
        <v>0.70799999999999996</v>
      </c>
      <c r="AZ75" s="4">
        <v>-0.82599999999999996</v>
      </c>
      <c r="BA75" s="4">
        <v>0.02</v>
      </c>
      <c r="BB75" s="4">
        <v>-0.14799999999999999</v>
      </c>
      <c r="BC75" s="4">
        <v>0.46800000000000003</v>
      </c>
      <c r="BD75" s="4">
        <v>0.433</v>
      </c>
      <c r="BE75" s="4">
        <v>-0.26200000000000001</v>
      </c>
      <c r="BF75" s="4">
        <v>0.2</v>
      </c>
      <c r="BG75" s="4">
        <v>0.92100000000000004</v>
      </c>
      <c r="BH75" s="4">
        <v>-0.35899999999999999</v>
      </c>
      <c r="BI75" s="4">
        <v>-0.182</v>
      </c>
      <c r="BJ75" s="4">
        <v>-0.35299999999999998</v>
      </c>
      <c r="BK75" s="4">
        <v>8.5000000000000006E-2</v>
      </c>
      <c r="BL75" s="4"/>
      <c r="BM75" s="4">
        <f t="shared" si="20"/>
        <v>0.18279190000000001</v>
      </c>
    </row>
    <row r="76" spans="1:65" hidden="1" x14ac:dyDescent="0.3">
      <c r="A76" t="s">
        <v>151</v>
      </c>
      <c r="B76" s="53">
        <v>7.4999999999999997E-3</v>
      </c>
      <c r="C76" s="53">
        <f t="shared" si="14"/>
        <v>5.4999999999999997E-3</v>
      </c>
      <c r="D76" s="53">
        <f t="shared" si="15"/>
        <v>-3.4999999999999996E-3</v>
      </c>
      <c r="E76" s="53">
        <f t="shared" si="16"/>
        <v>2E-3</v>
      </c>
      <c r="F76" s="15">
        <v>1.3340000000000001</v>
      </c>
      <c r="G76">
        <v>1.377</v>
      </c>
      <c r="H76" t="s">
        <v>57</v>
      </c>
      <c r="I76" t="str">
        <f>VLOOKUP(A76,Planilha6!$BL$9:$BN$222,2,0)</f>
        <v>homebuilders</v>
      </c>
      <c r="J76" t="str">
        <f>VLOOKUP(A76,Planilha6!$BL$9:$BN$222,3,0)</f>
        <v>high_beta</v>
      </c>
      <c r="K76" s="41">
        <v>1.0999999999999999E-2</v>
      </c>
      <c r="L76" s="42">
        <v>8.9999999999999993E-3</v>
      </c>
      <c r="M76" s="41">
        <f>VLOOKUP(A76,'Mandato Ibov'!$B$1:$C$215,2,0)</f>
        <v>6.7526103153495503E-3</v>
      </c>
      <c r="N76" s="59">
        <f t="shared" si="17"/>
        <v>4.247389684650449E-3</v>
      </c>
      <c r="O76" s="42">
        <f t="shared" si="18"/>
        <v>7.4738968465044939E-4</v>
      </c>
      <c r="P76" s="59">
        <f>VLOOKUP(A76,'Mandato Ibov'!$B$2:$D$215,3,0)</f>
        <v>0</v>
      </c>
      <c r="Q76" s="42">
        <f t="shared" si="19"/>
        <v>1.0999999999999999E-2</v>
      </c>
      <c r="R76" s="15">
        <v>-0.24299999999999999</v>
      </c>
      <c r="S76" s="15">
        <v>-4.5999999999999999E-2</v>
      </c>
      <c r="T76" s="15">
        <v>-0.50700000000000001</v>
      </c>
      <c r="U76" s="15">
        <v>-6.6000000000000003E-2</v>
      </c>
      <c r="V76" s="15">
        <v>-3.3000000000000002E-2</v>
      </c>
      <c r="W76" s="15">
        <v>8.8999999999999996E-2</v>
      </c>
      <c r="X76" s="15">
        <v>0.21</v>
      </c>
      <c r="Y76" s="15">
        <v>0.39</v>
      </c>
      <c r="Z76" s="15">
        <v>0.251</v>
      </c>
      <c r="AA76" s="15">
        <v>0.25</v>
      </c>
      <c r="AB76" s="15">
        <v>0.68799999999999994</v>
      </c>
      <c r="AC76" s="15">
        <v>0.70199999999999996</v>
      </c>
      <c r="AD76" s="15">
        <v>0.43099999999999999</v>
      </c>
      <c r="AE76" s="14">
        <v>0.21299999999999999</v>
      </c>
      <c r="AF76" s="15">
        <v>0.42099999999999999</v>
      </c>
      <c r="AG76" s="15">
        <v>-0.59899999999999998</v>
      </c>
      <c r="AH76" s="15">
        <v>-0.44900000000000001</v>
      </c>
      <c r="AI76" s="15">
        <v>-0.46100000000000002</v>
      </c>
      <c r="AJ76" s="16">
        <v>-0.55800000000000005</v>
      </c>
      <c r="AK76" s="4">
        <v>-0.16</v>
      </c>
      <c r="AL76" s="4">
        <v>0.57699999999999996</v>
      </c>
      <c r="AM76" s="4">
        <v>-0.71199999999999997</v>
      </c>
      <c r="AN76" s="4">
        <v>0.51500000000000001</v>
      </c>
      <c r="AO76" s="4">
        <v>-0.20200000000000001</v>
      </c>
      <c r="AP76" s="4">
        <v>0.158</v>
      </c>
      <c r="AQ76" s="4">
        <v>0.49399999999999999</v>
      </c>
      <c r="AR76" s="4">
        <v>0.17799999999999999</v>
      </c>
      <c r="AS76" s="4">
        <v>0.111</v>
      </c>
      <c r="AT76" s="4">
        <v>0.28999999999999998</v>
      </c>
      <c r="AU76" s="4">
        <v>3.9E-2</v>
      </c>
      <c r="AV76" s="4">
        <v>0.16400000000000001</v>
      </c>
      <c r="AW76" s="4">
        <v>4.2999999999999997E-2</v>
      </c>
      <c r="AX76" s="4">
        <v>-7.1999999999999995E-2</v>
      </c>
      <c r="AY76" s="4">
        <v>0.76300000000000001</v>
      </c>
      <c r="AZ76" s="4">
        <v>1</v>
      </c>
      <c r="BA76" s="4">
        <v>0.26</v>
      </c>
      <c r="BB76" s="4">
        <v>-0.44700000000000001</v>
      </c>
      <c r="BC76" s="4">
        <v>-0.248</v>
      </c>
      <c r="BD76" s="4">
        <v>-0.247</v>
      </c>
      <c r="BE76" s="4">
        <v>0.122</v>
      </c>
      <c r="BF76" s="4">
        <v>-0.14599999999999999</v>
      </c>
      <c r="BG76" s="4">
        <v>0.28699999999999998</v>
      </c>
      <c r="BH76" s="4">
        <v>-0.92600000000000005</v>
      </c>
      <c r="BI76" s="4">
        <v>0.54300000000000004</v>
      </c>
      <c r="BJ76" s="4">
        <v>-0.66100000000000003</v>
      </c>
      <c r="BK76" s="4">
        <v>-0.20200000000000001</v>
      </c>
      <c r="BL76" s="4"/>
      <c r="BM76" s="4">
        <f t="shared" si="20"/>
        <v>0.17755480000000001</v>
      </c>
    </row>
    <row r="77" spans="1:65" hidden="1" x14ac:dyDescent="0.3">
      <c r="A77" t="s">
        <v>154</v>
      </c>
      <c r="B77" s="53">
        <v>1.7500000000000002E-2</v>
      </c>
      <c r="C77" s="53">
        <f t="shared" si="14"/>
        <v>8.5000000000000006E-3</v>
      </c>
      <c r="D77" s="53">
        <f t="shared" si="15"/>
        <v>-3.4999999999999996E-3</v>
      </c>
      <c r="E77" s="53">
        <f t="shared" si="16"/>
        <v>9.0000000000000011E-3</v>
      </c>
      <c r="F77" s="15">
        <v>1.3129999999999999</v>
      </c>
      <c r="G77">
        <v>2.359</v>
      </c>
      <c r="H77" t="s">
        <v>55</v>
      </c>
      <c r="I77" t="str">
        <f>VLOOKUP(A77,Planilha6!$BL$9:$BN$222,2,0)</f>
        <v>utilities</v>
      </c>
      <c r="J77" t="str">
        <f>VLOOKUP(A77,Planilha6!$BL$9:$BN$222,3,0)</f>
        <v>low_beta</v>
      </c>
      <c r="K77" s="41">
        <v>2.1000000000000001E-2</v>
      </c>
      <c r="L77" s="42">
        <v>1.2E-2</v>
      </c>
      <c r="M77" s="41">
        <f>VLOOKUP(A77,'Mandato Ibov'!$B$1:$C$215,2,0)</f>
        <v>1.43655012455521E-2</v>
      </c>
      <c r="N77" s="59">
        <f t="shared" si="17"/>
        <v>6.6344987544479008E-3</v>
      </c>
      <c r="O77" s="42">
        <f t="shared" si="18"/>
        <v>3.1344987544479012E-3</v>
      </c>
      <c r="P77" s="59">
        <f>VLOOKUP(A77,'Mandato Ibov'!$B$2:$D$215,3,0)</f>
        <v>1.96624261185161E-2</v>
      </c>
      <c r="Q77" s="42">
        <f t="shared" si="19"/>
        <v>1.3375738814839014E-3</v>
      </c>
      <c r="R77" s="15">
        <v>-0.71699999999999997</v>
      </c>
      <c r="S77" s="15">
        <v>0.121</v>
      </c>
      <c r="T77" s="15">
        <v>-0.81299999999999994</v>
      </c>
      <c r="U77" s="15">
        <v>-0.41</v>
      </c>
      <c r="V77" s="15">
        <v>-0.14199999999999999</v>
      </c>
      <c r="W77" s="15">
        <v>-4.2999999999999997E-2</v>
      </c>
      <c r="X77" s="15">
        <v>0.20699999999999999</v>
      </c>
      <c r="Y77" s="15">
        <v>0.58199999999999996</v>
      </c>
      <c r="Z77" s="15">
        <v>0.80700000000000005</v>
      </c>
      <c r="AA77" s="15">
        <v>0.81299999999999994</v>
      </c>
      <c r="AB77" s="15">
        <v>0.64800000000000002</v>
      </c>
      <c r="AC77" s="15">
        <v>0.71</v>
      </c>
      <c r="AD77" s="15">
        <v>0.54100000000000004</v>
      </c>
      <c r="AE77" s="14">
        <v>-0.6</v>
      </c>
      <c r="AF77" s="15">
        <v>-0.42799999999999999</v>
      </c>
      <c r="AG77" s="15">
        <v>0.33500000000000002</v>
      </c>
      <c r="AH77" s="15">
        <v>-0.86399999999999999</v>
      </c>
      <c r="AI77" s="15">
        <v>-0.55600000000000005</v>
      </c>
      <c r="AJ77" s="16">
        <v>-0.95799999999999996</v>
      </c>
      <c r="AK77" s="4">
        <v>-0.38400000000000001</v>
      </c>
      <c r="AL77" s="4">
        <v>0.70499999999999996</v>
      </c>
      <c r="AM77" s="4">
        <v>-0.51900000000000002</v>
      </c>
      <c r="AN77" s="4">
        <v>-0.59099999999999997</v>
      </c>
      <c r="AO77" s="4">
        <v>0.439</v>
      </c>
      <c r="AP77" s="4">
        <v>0.79</v>
      </c>
      <c r="AQ77" s="4">
        <v>-0.106</v>
      </c>
      <c r="AR77" s="4">
        <v>0.38800000000000001</v>
      </c>
      <c r="AS77" s="4">
        <v>-0.15</v>
      </c>
      <c r="AT77" s="4">
        <v>0.33600000000000002</v>
      </c>
      <c r="AU77" s="4">
        <v>-0.27300000000000002</v>
      </c>
      <c r="AV77" s="4">
        <v>-0.29699999999999999</v>
      </c>
      <c r="AW77" s="4">
        <v>0.55900000000000005</v>
      </c>
      <c r="AX77" s="4">
        <v>-0.55800000000000005</v>
      </c>
      <c r="AY77" s="4">
        <v>0.90800000000000003</v>
      </c>
      <c r="AZ77" s="4">
        <v>0.745</v>
      </c>
      <c r="BA77" s="4">
        <v>-0.57799999999999996</v>
      </c>
      <c r="BB77" s="4">
        <v>-0.46899999999999997</v>
      </c>
      <c r="BC77" s="4">
        <v>-0.66100000000000003</v>
      </c>
      <c r="BD77" s="4">
        <v>-0.127</v>
      </c>
      <c r="BE77" s="4">
        <v>-0.44700000000000001</v>
      </c>
      <c r="BF77" s="4">
        <v>-0.13600000000000001</v>
      </c>
      <c r="BG77" s="4">
        <v>0.85</v>
      </c>
      <c r="BH77" s="4">
        <v>-0.68600000000000005</v>
      </c>
      <c r="BI77" s="4">
        <v>-0.247</v>
      </c>
      <c r="BJ77" s="4">
        <v>-9.7000000000000003E-2</v>
      </c>
      <c r="BK77" s="4">
        <v>-0.38600000000000001</v>
      </c>
      <c r="BL77" s="4"/>
      <c r="BM77" s="4">
        <f t="shared" si="20"/>
        <v>0.17023540000000004</v>
      </c>
    </row>
    <row r="78" spans="1:65" x14ac:dyDescent="0.3">
      <c r="A78" t="s">
        <v>138</v>
      </c>
      <c r="B78" s="53">
        <f>K78</f>
        <v>8.0000000000000002E-3</v>
      </c>
      <c r="C78" s="53">
        <f t="shared" si="14"/>
        <v>8.0000000000000002E-3</v>
      </c>
      <c r="D78" s="53">
        <f t="shared" si="15"/>
        <v>0</v>
      </c>
      <c r="E78" s="53">
        <f t="shared" si="16"/>
        <v>0</v>
      </c>
      <c r="F78" s="15">
        <v>1.292</v>
      </c>
      <c r="G78">
        <v>1.3320000000000001</v>
      </c>
      <c r="H78" t="s">
        <v>71</v>
      </c>
      <c r="I78" t="str">
        <f>VLOOKUP(A78,Planilha6!$BL$9:$BN$222,2,0)</f>
        <v>basic_materials</v>
      </c>
      <c r="J78" t="str">
        <f>VLOOKUP(A78,Planilha6!$BL$9:$BN$222,3,0)</f>
        <v>low_beta</v>
      </c>
      <c r="K78" s="41">
        <v>8.0000000000000002E-3</v>
      </c>
      <c r="L78" s="42">
        <v>8.0000000000000002E-3</v>
      </c>
      <c r="M78" s="41">
        <f>VLOOKUP(A78,'Mandato Ibov'!$B$1:$C$215,2,0)</f>
        <v>5.8248436155990697E-3</v>
      </c>
      <c r="N78" s="59">
        <f t="shared" si="17"/>
        <v>2.1751563844009305E-3</v>
      </c>
      <c r="O78" s="42">
        <f t="shared" si="18"/>
        <v>2.1751563844009305E-3</v>
      </c>
      <c r="P78" s="59">
        <f>VLOOKUP(A78,'Mandato Ibov'!$B$2:$D$215,3,0)</f>
        <v>0</v>
      </c>
      <c r="Q78" s="42">
        <f t="shared" si="19"/>
        <v>8.0000000000000002E-3</v>
      </c>
      <c r="R78" s="15">
        <v>-0.22500000000000001</v>
      </c>
      <c r="S78" s="15">
        <v>-0.14199999999999999</v>
      </c>
      <c r="T78" s="15">
        <v>-0.19700000000000001</v>
      </c>
      <c r="U78" s="15">
        <v>-0.505</v>
      </c>
      <c r="V78" s="15">
        <v>-0.26800000000000002</v>
      </c>
      <c r="W78" s="15">
        <v>2E-3</v>
      </c>
      <c r="X78" s="15">
        <v>-0.127</v>
      </c>
      <c r="Y78" s="15">
        <v>3.1E-2</v>
      </c>
      <c r="Z78" s="15">
        <v>0.73</v>
      </c>
      <c r="AA78" s="15">
        <v>0.72699999999999998</v>
      </c>
      <c r="AB78" s="15">
        <v>0.68</v>
      </c>
      <c r="AC78" s="15">
        <v>0.66600000000000004</v>
      </c>
      <c r="AD78" s="15">
        <v>0.75900000000000001</v>
      </c>
      <c r="AE78" s="14">
        <v>-0.33400000000000002</v>
      </c>
      <c r="AF78" s="15">
        <v>-0.90700000000000003</v>
      </c>
      <c r="AG78" s="15">
        <v>-0.16</v>
      </c>
      <c r="AH78" s="15">
        <v>-0.28299999999999997</v>
      </c>
      <c r="AI78" s="15">
        <v>0.184</v>
      </c>
      <c r="AJ78" s="16">
        <v>-0.35099999999999998</v>
      </c>
      <c r="AK78" s="4">
        <v>-0.22500000000000001</v>
      </c>
      <c r="AL78" s="4">
        <v>0.17699999999999999</v>
      </c>
      <c r="AM78" s="4">
        <v>-0.308</v>
      </c>
      <c r="AN78" s="4">
        <v>-0.22700000000000001</v>
      </c>
      <c r="AO78" s="4">
        <v>0.35499999999999998</v>
      </c>
      <c r="AP78" s="4">
        <v>0.313</v>
      </c>
      <c r="AQ78" s="4">
        <v>-0.92800000000000005</v>
      </c>
      <c r="AR78" s="4">
        <v>-4.2000000000000003E-2</v>
      </c>
      <c r="AS78" s="4">
        <v>0.14499999999999999</v>
      </c>
      <c r="AT78" s="4">
        <v>0.13800000000000001</v>
      </c>
      <c r="AU78" s="4">
        <v>-0.32700000000000001</v>
      </c>
      <c r="AV78" s="4">
        <v>-1.2E-2</v>
      </c>
      <c r="AW78" s="4">
        <v>0.48699999999999999</v>
      </c>
      <c r="AX78" s="4">
        <v>0.45900000000000002</v>
      </c>
      <c r="AY78" s="4">
        <v>0.85299999999999998</v>
      </c>
      <c r="AZ78" s="4">
        <v>2.8000000000000001E-2</v>
      </c>
      <c r="BA78" s="4">
        <v>0.83199999999999996</v>
      </c>
      <c r="BB78" s="4">
        <v>0.14899999999999999</v>
      </c>
      <c r="BC78" s="4">
        <v>8.3000000000000004E-2</v>
      </c>
      <c r="BD78" s="4">
        <v>0.36099999999999999</v>
      </c>
      <c r="BE78" s="4">
        <v>-5.8999999999999997E-2</v>
      </c>
      <c r="BF78" s="4">
        <v>-4.9000000000000002E-2</v>
      </c>
      <c r="BG78" s="4">
        <v>0.53500000000000003</v>
      </c>
      <c r="BH78" s="4">
        <v>-0.108</v>
      </c>
      <c r="BI78" s="4">
        <v>-0.39600000000000002</v>
      </c>
      <c r="BJ78" s="4">
        <v>0.625</v>
      </c>
      <c r="BK78" s="4">
        <v>0.505</v>
      </c>
      <c r="BL78" s="4"/>
      <c r="BM78" s="4">
        <f t="shared" si="20"/>
        <v>0.16268310000000002</v>
      </c>
    </row>
    <row r="79" spans="1:65" hidden="1" x14ac:dyDescent="0.3">
      <c r="A79" t="s">
        <v>147</v>
      </c>
      <c r="B79" s="53">
        <v>0.01</v>
      </c>
      <c r="C79" s="53">
        <f t="shared" si="14"/>
        <v>4.0000000000000001E-3</v>
      </c>
      <c r="D79" s="53">
        <f t="shared" si="15"/>
        <v>-4.9999999999999992E-3</v>
      </c>
      <c r="E79" s="53">
        <f t="shared" si="16"/>
        <v>6.0000000000000001E-3</v>
      </c>
      <c r="F79" s="15">
        <v>1.278</v>
      </c>
      <c r="G79">
        <v>1.579</v>
      </c>
      <c r="H79" t="s">
        <v>57</v>
      </c>
      <c r="I79" t="str">
        <f>VLOOKUP(A79,Planilha6!$BL$9:$BN$222,2,0)</f>
        <v>apparel</v>
      </c>
      <c r="J79" t="str">
        <f>VLOOKUP(A79,Planilha6!$BL$9:$BN$222,3,0)</f>
        <v>neutral_beta</v>
      </c>
      <c r="K79" s="41">
        <v>1.4999999999999999E-2</v>
      </c>
      <c r="L79" s="42">
        <v>8.9999999999999993E-3</v>
      </c>
      <c r="M79" s="41">
        <f>VLOOKUP(A79,'Mandato Ibov'!$B$1:$C$215,2,0)</f>
        <v>9.9878156753923503E-3</v>
      </c>
      <c r="N79" s="59">
        <f t="shared" si="17"/>
        <v>5.0121843246076492E-3</v>
      </c>
      <c r="O79" s="42">
        <f t="shared" si="18"/>
        <v>1.2184324607649941E-5</v>
      </c>
      <c r="P79" s="59">
        <f>VLOOKUP(A79,'Mandato Ibov'!$B$2:$D$215,3,0)</f>
        <v>0</v>
      </c>
      <c r="Q79" s="42">
        <f t="shared" si="19"/>
        <v>1.4999999999999999E-2</v>
      </c>
      <c r="R79" s="15">
        <v>1.4999999999999999E-2</v>
      </c>
      <c r="S79" s="15">
        <v>2.3E-2</v>
      </c>
      <c r="T79" s="15">
        <v>-0.495</v>
      </c>
      <c r="U79" s="15">
        <v>0.14899999999999999</v>
      </c>
      <c r="V79" s="15">
        <v>-5.6000000000000001E-2</v>
      </c>
      <c r="W79" s="15">
        <v>0.11600000000000001</v>
      </c>
      <c r="X79" s="15">
        <v>0.14899999999999999</v>
      </c>
      <c r="Y79" s="15">
        <v>-6.8000000000000005E-2</v>
      </c>
      <c r="Z79" s="15">
        <v>0.29899999999999999</v>
      </c>
      <c r="AA79" s="15">
        <v>0.30199999999999999</v>
      </c>
      <c r="AB79" s="15">
        <v>0.73399999999999999</v>
      </c>
      <c r="AC79" s="15">
        <v>0.69599999999999995</v>
      </c>
      <c r="AD79" s="15">
        <v>0.501</v>
      </c>
      <c r="AE79" s="14">
        <v>0.94099999999999995</v>
      </c>
      <c r="AF79" s="15">
        <v>-0.11</v>
      </c>
      <c r="AG79" s="15">
        <v>-0.41499999999999998</v>
      </c>
      <c r="AH79" s="15">
        <v>-0.76900000000000002</v>
      </c>
      <c r="AI79" s="15">
        <v>-0.67300000000000004</v>
      </c>
      <c r="AJ79" s="16">
        <v>1E-3</v>
      </c>
      <c r="AK79" s="4">
        <v>5.0999999999999997E-2</v>
      </c>
      <c r="AL79" s="4">
        <v>-0.24399999999999999</v>
      </c>
      <c r="AM79" s="4">
        <v>-0.54600000000000004</v>
      </c>
      <c r="AN79" s="4">
        <v>0.49199999999999999</v>
      </c>
      <c r="AO79" s="4">
        <v>-0.22800000000000001</v>
      </c>
      <c r="AP79" s="4">
        <v>0.48899999999999999</v>
      </c>
      <c r="AQ79" s="4">
        <v>0.251</v>
      </c>
      <c r="AR79" s="4">
        <v>0.17100000000000001</v>
      </c>
      <c r="AS79" s="4">
        <v>0.16</v>
      </c>
      <c r="AT79" s="4">
        <v>0.45200000000000001</v>
      </c>
      <c r="AU79" s="4">
        <v>0.04</v>
      </c>
      <c r="AV79" s="4">
        <v>1</v>
      </c>
      <c r="AW79" s="4">
        <v>-0.192</v>
      </c>
      <c r="AX79" s="4">
        <v>0.48599999999999999</v>
      </c>
      <c r="AY79" s="4">
        <v>0.91700000000000004</v>
      </c>
      <c r="AZ79" s="4">
        <v>0.28499999999999998</v>
      </c>
      <c r="BA79" s="4">
        <v>-9.9000000000000005E-2</v>
      </c>
      <c r="BB79" s="4">
        <v>0.189</v>
      </c>
      <c r="BC79" s="4">
        <v>8.0000000000000002E-3</v>
      </c>
      <c r="BD79" s="4">
        <v>0.66700000000000004</v>
      </c>
      <c r="BE79" s="4">
        <v>0.186</v>
      </c>
      <c r="BF79" s="4">
        <v>-0.53300000000000003</v>
      </c>
      <c r="BG79" s="4">
        <v>0.51600000000000001</v>
      </c>
      <c r="BH79" s="4">
        <v>-0.10100000000000001</v>
      </c>
      <c r="BI79" s="4">
        <v>-0.06</v>
      </c>
      <c r="BJ79" s="4">
        <v>-0.95399999999999996</v>
      </c>
      <c r="BK79" s="4">
        <v>-0.58099999999999996</v>
      </c>
      <c r="BL79" s="4"/>
      <c r="BM79" s="4">
        <f t="shared" si="20"/>
        <v>0.15784120000000001</v>
      </c>
    </row>
    <row r="80" spans="1:65" hidden="1" x14ac:dyDescent="0.3">
      <c r="A80" t="s">
        <v>88</v>
      </c>
      <c r="B80" s="53">
        <f t="shared" ref="B80:B111" si="21">K80</f>
        <v>0</v>
      </c>
      <c r="C80" s="53">
        <f t="shared" si="14"/>
        <v>0</v>
      </c>
      <c r="D80" s="53">
        <f t="shared" si="15"/>
        <v>0</v>
      </c>
      <c r="E80" s="53">
        <f t="shared" si="16"/>
        <v>0</v>
      </c>
      <c r="F80" s="15">
        <v>1.268</v>
      </c>
      <c r="G80">
        <v>1.4950000000000001</v>
      </c>
      <c r="H80" t="s">
        <v>53</v>
      </c>
      <c r="I80" t="str">
        <f>VLOOKUP(A80,Planilha6!$BL$9:$BN$222,2,0)</f>
        <v>consumer_staples</v>
      </c>
      <c r="J80" t="str">
        <f>VLOOKUP(A80,Planilha6!$BL$9:$BN$222,3,0)</f>
        <v>low_beta</v>
      </c>
      <c r="K80" s="41">
        <v>0</v>
      </c>
      <c r="L80" s="42">
        <v>0</v>
      </c>
      <c r="M80" s="41">
        <f>VLOOKUP(A80,'Mandato Ibov'!$B$1:$C$215,2,0)</f>
        <v>0</v>
      </c>
      <c r="N80" s="59">
        <f t="shared" si="17"/>
        <v>0</v>
      </c>
      <c r="O80" s="42">
        <f t="shared" si="18"/>
        <v>0</v>
      </c>
      <c r="P80" s="59">
        <f>VLOOKUP(A80,'Mandato Ibov'!$B$2:$D$215,3,0)</f>
        <v>0</v>
      </c>
      <c r="Q80" s="42">
        <f t="shared" si="19"/>
        <v>0</v>
      </c>
      <c r="R80" s="15">
        <v>-0.32500000000000001</v>
      </c>
      <c r="S80" s="15">
        <v>6.8000000000000005E-2</v>
      </c>
      <c r="T80" s="15">
        <v>-0.25900000000000001</v>
      </c>
      <c r="U80" s="15">
        <v>-0.495</v>
      </c>
      <c r="V80" s="15">
        <v>-0.14799999999999999</v>
      </c>
      <c r="W80" s="15">
        <v>-2.5000000000000001E-2</v>
      </c>
      <c r="X80" s="15">
        <v>0.29099999999999998</v>
      </c>
      <c r="Y80" s="15">
        <v>0.20699999999999999</v>
      </c>
      <c r="Z80" s="15">
        <v>0.41</v>
      </c>
      <c r="AA80" s="15">
        <v>0.41099999999999998</v>
      </c>
      <c r="AB80" s="15">
        <v>0.625</v>
      </c>
      <c r="AC80" s="15">
        <v>0.59799999999999998</v>
      </c>
      <c r="AD80" s="15">
        <v>0.58499999999999996</v>
      </c>
      <c r="AE80" s="14">
        <v>-0.28000000000000003</v>
      </c>
      <c r="AF80" s="15">
        <v>-0.77700000000000002</v>
      </c>
      <c r="AG80" s="15">
        <v>-0.311</v>
      </c>
      <c r="AH80" s="15">
        <v>-0.1</v>
      </c>
      <c r="AI80" s="15">
        <v>0.27100000000000002</v>
      </c>
      <c r="AJ80" s="16">
        <v>-0.495</v>
      </c>
      <c r="AK80" s="4">
        <v>-0.109</v>
      </c>
      <c r="AL80" s="4">
        <v>7.1999999999999995E-2</v>
      </c>
      <c r="AM80" s="4">
        <v>-0.54200000000000004</v>
      </c>
      <c r="AN80" s="4">
        <v>-0.12</v>
      </c>
      <c r="AO80" s="4">
        <v>-0.13200000000000001</v>
      </c>
      <c r="AP80" s="4">
        <v>0.19</v>
      </c>
      <c r="AQ80" s="4">
        <v>-0.159</v>
      </c>
      <c r="AR80" s="4">
        <v>-0.752</v>
      </c>
      <c r="AS80" s="4">
        <v>-0.495</v>
      </c>
      <c r="AT80" s="4">
        <v>0.25700000000000001</v>
      </c>
      <c r="AU80" s="4">
        <v>0.153</v>
      </c>
      <c r="AV80" s="4">
        <v>1.4E-2</v>
      </c>
      <c r="AW80" s="4">
        <v>0.66400000000000003</v>
      </c>
      <c r="AX80" s="4">
        <v>2.1000000000000001E-2</v>
      </c>
      <c r="AY80" s="4">
        <v>0.67100000000000004</v>
      </c>
      <c r="AZ80" s="4">
        <v>0.73</v>
      </c>
      <c r="BA80" s="4">
        <v>0.81899999999999995</v>
      </c>
      <c r="BB80" s="4">
        <v>-0.14599999999999999</v>
      </c>
      <c r="BC80" s="4">
        <v>-0.223</v>
      </c>
      <c r="BD80" s="4">
        <v>0.245</v>
      </c>
      <c r="BE80" s="4">
        <v>0.29199999999999998</v>
      </c>
      <c r="BF80" s="4">
        <v>-0.60199999999999998</v>
      </c>
      <c r="BG80" s="4">
        <v>0.72699999999999998</v>
      </c>
      <c r="BH80" s="4">
        <v>-0.51800000000000002</v>
      </c>
      <c r="BI80" s="4">
        <v>-0.21199999999999999</v>
      </c>
      <c r="BJ80" s="4">
        <v>0.55500000000000005</v>
      </c>
      <c r="BK80" s="4">
        <v>0.52500000000000002</v>
      </c>
      <c r="BL80" s="4"/>
      <c r="BM80" s="4">
        <f t="shared" si="20"/>
        <v>0.1541315</v>
      </c>
    </row>
    <row r="81" spans="1:65" hidden="1" x14ac:dyDescent="0.3">
      <c r="A81" t="s">
        <v>112</v>
      </c>
      <c r="B81" s="53">
        <f t="shared" si="21"/>
        <v>0</v>
      </c>
      <c r="C81" s="53">
        <f t="shared" si="14"/>
        <v>-4.0000000000000001E-3</v>
      </c>
      <c r="D81" s="53">
        <f t="shared" si="15"/>
        <v>0</v>
      </c>
      <c r="E81" s="53">
        <f t="shared" si="16"/>
        <v>4.0000000000000001E-3</v>
      </c>
      <c r="F81" s="15">
        <v>1.2310000000000001</v>
      </c>
      <c r="G81">
        <v>1.5549999999999999</v>
      </c>
      <c r="H81" t="s">
        <v>55</v>
      </c>
      <c r="I81" t="str">
        <f>VLOOKUP(A81,Planilha6!$BL$9:$BN$222,2,0)</f>
        <v>utilities</v>
      </c>
      <c r="J81" t="str">
        <f>VLOOKUP(A81,Planilha6!$BL$9:$BN$222,3,0)</f>
        <v>low_beta</v>
      </c>
      <c r="K81" s="41">
        <v>0</v>
      </c>
      <c r="L81" s="42">
        <v>-4.0000000000000001E-3</v>
      </c>
      <c r="M81" s="41">
        <f>VLOOKUP(A81,'Mandato Ibov'!$B$1:$C$215,2,0)</f>
        <v>0</v>
      </c>
      <c r="N81" s="59">
        <f t="shared" si="17"/>
        <v>0</v>
      </c>
      <c r="O81" s="42">
        <f t="shared" si="18"/>
        <v>0</v>
      </c>
      <c r="P81" s="59">
        <f>VLOOKUP(A81,'Mandato Ibov'!$B$2:$D$215,3,0)</f>
        <v>1.3473572330424399E-2</v>
      </c>
      <c r="Q81" s="42">
        <f t="shared" si="19"/>
        <v>-1.3473572330424399E-2</v>
      </c>
      <c r="R81" s="15">
        <v>-0.68300000000000005</v>
      </c>
      <c r="S81" s="15">
        <v>0.35199999999999998</v>
      </c>
      <c r="T81" s="15">
        <v>-0.82899999999999996</v>
      </c>
      <c r="U81" s="15">
        <v>-0.246</v>
      </c>
      <c r="V81" s="15">
        <v>-3.5999999999999997E-2</v>
      </c>
      <c r="W81" s="15">
        <v>-0.16900000000000001</v>
      </c>
      <c r="X81" s="15">
        <v>9.8000000000000004E-2</v>
      </c>
      <c r="Y81" s="15">
        <v>0.25800000000000001</v>
      </c>
      <c r="Z81" s="15">
        <v>0.875</v>
      </c>
      <c r="AA81" s="15">
        <v>0.88200000000000001</v>
      </c>
      <c r="AB81" s="15">
        <v>0.58899999999999997</v>
      </c>
      <c r="AC81" s="15">
        <v>0.62</v>
      </c>
      <c r="AD81" s="15">
        <v>0.69099999999999995</v>
      </c>
      <c r="AE81" s="14">
        <v>-0.73299999999999998</v>
      </c>
      <c r="AF81" s="15">
        <v>-0.48099999999999998</v>
      </c>
      <c r="AG81" s="15">
        <v>0.80900000000000005</v>
      </c>
      <c r="AH81" s="15">
        <v>-0.91100000000000003</v>
      </c>
      <c r="AI81" s="15">
        <v>0.13</v>
      </c>
      <c r="AJ81" s="16">
        <v>-0.73099999999999998</v>
      </c>
      <c r="AK81" s="4">
        <v>-0.38</v>
      </c>
      <c r="AL81" s="4">
        <v>-3.2000000000000001E-2</v>
      </c>
      <c r="AM81" s="4">
        <v>-0.70399999999999996</v>
      </c>
      <c r="AN81" s="4">
        <v>-0.88500000000000001</v>
      </c>
      <c r="AO81" s="4">
        <v>0.91400000000000003</v>
      </c>
      <c r="AP81" s="4">
        <v>0.93400000000000005</v>
      </c>
      <c r="AQ81" s="4">
        <v>0.37</v>
      </c>
      <c r="AR81" s="4">
        <v>0.14599999999999999</v>
      </c>
      <c r="AS81" s="4">
        <v>-8.2000000000000003E-2</v>
      </c>
      <c r="AT81" s="4">
        <v>0.35199999999999998</v>
      </c>
      <c r="AU81" s="4">
        <v>0.10199999999999999</v>
      </c>
      <c r="AV81" s="4">
        <v>-0.252</v>
      </c>
      <c r="AW81" s="4">
        <v>0.61599999999999999</v>
      </c>
      <c r="AX81" s="4">
        <v>-0.61899999999999999</v>
      </c>
      <c r="AY81" s="4">
        <v>1</v>
      </c>
      <c r="AZ81" s="4">
        <v>0.379</v>
      </c>
      <c r="BA81" s="4">
        <v>-0.90100000000000002</v>
      </c>
      <c r="BB81" s="4">
        <v>-0.26200000000000001</v>
      </c>
      <c r="BC81" s="4">
        <v>-0.64100000000000001</v>
      </c>
      <c r="BD81" s="4">
        <v>0.35699999999999998</v>
      </c>
      <c r="BE81" s="4">
        <v>-0.13300000000000001</v>
      </c>
      <c r="BF81" s="4">
        <v>0.442</v>
      </c>
      <c r="BG81" s="4">
        <v>0.67800000000000005</v>
      </c>
      <c r="BH81" s="4">
        <v>-1</v>
      </c>
      <c r="BI81" s="4">
        <v>-0.247</v>
      </c>
      <c r="BJ81" s="4">
        <v>-0.316</v>
      </c>
      <c r="BK81" s="4">
        <v>-9.8000000000000004E-2</v>
      </c>
      <c r="BL81" s="4"/>
      <c r="BM81" s="4">
        <f t="shared" si="20"/>
        <v>0.14083369999999995</v>
      </c>
    </row>
    <row r="82" spans="1:65" hidden="1" x14ac:dyDescent="0.3">
      <c r="A82" t="s">
        <v>94</v>
      </c>
      <c r="B82" s="53">
        <f t="shared" si="21"/>
        <v>0</v>
      </c>
      <c r="C82" s="53">
        <f t="shared" si="14"/>
        <v>-2E-3</v>
      </c>
      <c r="D82" s="53">
        <f t="shared" si="15"/>
        <v>0</v>
      </c>
      <c r="E82" s="53">
        <f t="shared" si="16"/>
        <v>2E-3</v>
      </c>
      <c r="F82" s="15">
        <v>1.1499999999999999</v>
      </c>
      <c r="G82">
        <v>1.619</v>
      </c>
      <c r="H82" t="s">
        <v>55</v>
      </c>
      <c r="I82" t="str">
        <f>VLOOKUP(A82,Planilha6!$BL$9:$BN$222,2,0)</f>
        <v>real_estate</v>
      </c>
      <c r="J82" t="str">
        <f>VLOOKUP(A82,Planilha6!$BL$9:$BN$222,3,0)</f>
        <v>high_beta</v>
      </c>
      <c r="K82" s="41">
        <v>0</v>
      </c>
      <c r="L82" s="42">
        <v>-2E-3</v>
      </c>
      <c r="M82" s="41">
        <f>VLOOKUP(A82,'Mandato Ibov'!$B$1:$C$215,2,0)</f>
        <v>0</v>
      </c>
      <c r="N82" s="59">
        <f t="shared" si="17"/>
        <v>0</v>
      </c>
      <c r="O82" s="42">
        <f t="shared" si="18"/>
        <v>0</v>
      </c>
      <c r="P82" s="59">
        <f>VLOOKUP(A82,'Mandato Ibov'!$B$2:$D$215,3,0)</f>
        <v>9.62111582891346E-3</v>
      </c>
      <c r="Q82" s="42">
        <f t="shared" si="19"/>
        <v>-9.62111582891346E-3</v>
      </c>
      <c r="R82" s="15">
        <v>-0.19800000000000001</v>
      </c>
      <c r="S82" s="15">
        <v>0.21299999999999999</v>
      </c>
      <c r="T82" s="15">
        <v>-0.47199999999999998</v>
      </c>
      <c r="U82" s="15">
        <v>-0.126</v>
      </c>
      <c r="V82" s="15">
        <v>-0.05</v>
      </c>
      <c r="W82" s="15">
        <v>4.0000000000000001E-3</v>
      </c>
      <c r="X82" s="15">
        <v>0.224</v>
      </c>
      <c r="Y82" s="15">
        <v>-0.16600000000000001</v>
      </c>
      <c r="Z82" s="15">
        <v>0.35</v>
      </c>
      <c r="AA82" s="15">
        <v>0.35199999999999998</v>
      </c>
      <c r="AB82" s="15">
        <v>0.70699999999999996</v>
      </c>
      <c r="AC82" s="15">
        <v>0.73299999999999998</v>
      </c>
      <c r="AD82" s="15">
        <v>0.55700000000000005</v>
      </c>
      <c r="AE82" s="14">
        <v>-0.19400000000000001</v>
      </c>
      <c r="AF82" s="15">
        <v>-0.23699999999999999</v>
      </c>
      <c r="AG82" s="15">
        <v>5.0000000000000001E-3</v>
      </c>
      <c r="AH82" s="15">
        <v>-0.78800000000000003</v>
      </c>
      <c r="AI82" s="15">
        <v>7.6999999999999999E-2</v>
      </c>
      <c r="AJ82" s="16">
        <v>-7.9000000000000001E-2</v>
      </c>
      <c r="AK82" s="4">
        <v>-0.439</v>
      </c>
      <c r="AL82" s="4">
        <v>-0.59299999999999997</v>
      </c>
      <c r="AM82" s="4">
        <v>-0.64300000000000002</v>
      </c>
      <c r="AN82" s="4">
        <v>-0.128</v>
      </c>
      <c r="AO82" s="4">
        <v>0.39600000000000002</v>
      </c>
      <c r="AP82" s="4">
        <v>0.45900000000000002</v>
      </c>
      <c r="AQ82" s="4">
        <v>0.82699999999999996</v>
      </c>
      <c r="AR82" s="4">
        <v>4.8000000000000001E-2</v>
      </c>
      <c r="AS82" s="4">
        <v>-2.8000000000000001E-2</v>
      </c>
      <c r="AT82" s="4">
        <v>0.16200000000000001</v>
      </c>
      <c r="AU82" s="4">
        <v>0.53400000000000003</v>
      </c>
      <c r="AV82" s="4">
        <v>0.438</v>
      </c>
      <c r="AW82" s="4">
        <v>0.22600000000000001</v>
      </c>
      <c r="AX82" s="4">
        <v>-0.28399999999999997</v>
      </c>
      <c r="AY82" s="4">
        <v>0.65800000000000003</v>
      </c>
      <c r="AZ82" s="4">
        <v>0.33800000000000002</v>
      </c>
      <c r="BA82" s="4">
        <v>-0.26300000000000001</v>
      </c>
      <c r="BB82" s="4">
        <v>-0.51500000000000001</v>
      </c>
      <c r="BC82" s="4">
        <v>-3.2000000000000001E-2</v>
      </c>
      <c r="BD82" s="4">
        <v>0.27800000000000002</v>
      </c>
      <c r="BE82" s="4">
        <v>-0.30299999999999999</v>
      </c>
      <c r="BF82" s="4">
        <v>0.113</v>
      </c>
      <c r="BG82" s="4">
        <v>0.48</v>
      </c>
      <c r="BH82" s="4">
        <v>-0.432</v>
      </c>
      <c r="BI82" s="4">
        <v>0.47099999999999997</v>
      </c>
      <c r="BJ82" s="4">
        <v>-0.314</v>
      </c>
      <c r="BK82" s="4">
        <v>-0.16</v>
      </c>
      <c r="BL82" s="4"/>
      <c r="BM82" s="4">
        <f t="shared" si="20"/>
        <v>0.11222130000000002</v>
      </c>
    </row>
    <row r="83" spans="1:65" hidden="1" x14ac:dyDescent="0.3">
      <c r="A83" t="s">
        <v>166</v>
      </c>
      <c r="B83" s="53">
        <f t="shared" si="21"/>
        <v>0</v>
      </c>
      <c r="C83" s="53">
        <f t="shared" si="14"/>
        <v>0</v>
      </c>
      <c r="D83" s="53">
        <f t="shared" si="15"/>
        <v>0</v>
      </c>
      <c r="E83" s="53">
        <f t="shared" si="16"/>
        <v>0</v>
      </c>
      <c r="F83" s="15">
        <v>1.105</v>
      </c>
      <c r="G83">
        <v>1.194</v>
      </c>
      <c r="H83" t="s">
        <v>55</v>
      </c>
      <c r="I83" t="str">
        <f>VLOOKUP(A83,Planilha6!$BL$9:$BN$222,2,0)</f>
        <v>utilities</v>
      </c>
      <c r="J83" t="str">
        <f>VLOOKUP(A83,Planilha6!$BL$9:$BN$222,3,0)</f>
        <v>very_low_beta</v>
      </c>
      <c r="K83" s="41">
        <v>0</v>
      </c>
      <c r="L83" s="42">
        <v>0</v>
      </c>
      <c r="M83" s="41">
        <f>VLOOKUP(A83,'Mandato Ibov'!$B$1:$C$215,2,0)</f>
        <v>0</v>
      </c>
      <c r="N83" s="59">
        <f t="shared" si="17"/>
        <v>0</v>
      </c>
      <c r="O83" s="42">
        <f t="shared" si="18"/>
        <v>0</v>
      </c>
      <c r="P83" s="59">
        <f>VLOOKUP(A83,'Mandato Ibov'!$B$2:$D$215,3,0)</f>
        <v>7.6416264006607497E-3</v>
      </c>
      <c r="Q83" s="42">
        <f t="shared" si="19"/>
        <v>-7.6416264006607497E-3</v>
      </c>
      <c r="R83" s="15">
        <v>-0.67400000000000004</v>
      </c>
      <c r="S83" s="15">
        <v>-0.02</v>
      </c>
      <c r="T83" s="15">
        <v>-0.7</v>
      </c>
      <c r="U83" s="15">
        <v>-0.47</v>
      </c>
      <c r="V83" s="15">
        <v>-0.20899999999999999</v>
      </c>
      <c r="W83" s="15">
        <v>-0.22600000000000001</v>
      </c>
      <c r="X83" s="15">
        <v>-7.8E-2</v>
      </c>
      <c r="Y83" s="15">
        <v>0.26600000000000001</v>
      </c>
      <c r="Z83" s="15">
        <v>0.82799999999999996</v>
      </c>
      <c r="AA83" s="15">
        <v>0.83399999999999996</v>
      </c>
      <c r="AB83" s="15">
        <v>0.69099999999999995</v>
      </c>
      <c r="AC83" s="15">
        <v>0.77300000000000002</v>
      </c>
      <c r="AD83" s="15">
        <v>0.60599999999999998</v>
      </c>
      <c r="AE83" s="14">
        <v>-0.67600000000000005</v>
      </c>
      <c r="AF83" s="15">
        <v>-0.53800000000000003</v>
      </c>
      <c r="AG83" s="15">
        <v>0.27700000000000002</v>
      </c>
      <c r="AH83" s="15">
        <v>-0.90100000000000002</v>
      </c>
      <c r="AI83" s="15">
        <v>-0.64800000000000002</v>
      </c>
      <c r="AJ83" s="16">
        <v>-0.95399999999999996</v>
      </c>
      <c r="AK83" s="4">
        <v>-0.38400000000000001</v>
      </c>
      <c r="AL83" s="4">
        <v>0.29899999999999999</v>
      </c>
      <c r="AM83" s="4">
        <v>-0.51900000000000002</v>
      </c>
      <c r="AN83" s="4">
        <v>-0.621</v>
      </c>
      <c r="AO83" s="4">
        <v>0.54200000000000004</v>
      </c>
      <c r="AP83" s="4">
        <v>0.78400000000000003</v>
      </c>
      <c r="AQ83" s="4">
        <v>-0.106</v>
      </c>
      <c r="AR83" s="4">
        <v>0.38800000000000001</v>
      </c>
      <c r="AS83" s="4">
        <v>-0.15</v>
      </c>
      <c r="AT83" s="4">
        <v>0.33600000000000002</v>
      </c>
      <c r="AU83" s="4">
        <v>-0.27300000000000002</v>
      </c>
      <c r="AV83" s="4">
        <v>-0.28499999999999998</v>
      </c>
      <c r="AW83" s="4">
        <v>0.61899999999999999</v>
      </c>
      <c r="AX83" s="4">
        <v>-0.55800000000000005</v>
      </c>
      <c r="AY83" s="4">
        <v>0.90800000000000003</v>
      </c>
      <c r="AZ83" s="4">
        <v>0.58299999999999996</v>
      </c>
      <c r="BA83" s="4">
        <v>9.8000000000000004E-2</v>
      </c>
      <c r="BB83" s="4">
        <v>-0.46899999999999997</v>
      </c>
      <c r="BC83" s="4">
        <v>-0.66100000000000003</v>
      </c>
      <c r="BD83" s="4">
        <v>-0.14799999999999999</v>
      </c>
      <c r="BE83" s="4">
        <v>-0.751</v>
      </c>
      <c r="BF83" s="4">
        <v>-0.58199999999999996</v>
      </c>
      <c r="BG83" s="4">
        <v>0.502</v>
      </c>
      <c r="BH83" s="4">
        <v>-0.59799999999999998</v>
      </c>
      <c r="BI83" s="4">
        <v>-0.35699999999999998</v>
      </c>
      <c r="BJ83" s="4">
        <v>0.91500000000000004</v>
      </c>
      <c r="BK83" s="4">
        <v>-0.38600000000000001</v>
      </c>
      <c r="BL83" s="4"/>
      <c r="BM83" s="4">
        <f t="shared" si="20"/>
        <v>9.6525299999999981E-2</v>
      </c>
    </row>
    <row r="84" spans="1:65" hidden="1" x14ac:dyDescent="0.3">
      <c r="A84" t="s">
        <v>124</v>
      </c>
      <c r="B84" s="53">
        <f t="shared" si="21"/>
        <v>0</v>
      </c>
      <c r="C84" s="53">
        <f t="shared" si="14"/>
        <v>-3.0000000000000001E-3</v>
      </c>
      <c r="D84" s="53">
        <f t="shared" si="15"/>
        <v>0</v>
      </c>
      <c r="E84" s="53">
        <f t="shared" si="16"/>
        <v>3.0000000000000001E-3</v>
      </c>
      <c r="F84" s="15">
        <v>1.101</v>
      </c>
      <c r="G84">
        <v>1.6839999999999999</v>
      </c>
      <c r="H84" t="s">
        <v>55</v>
      </c>
      <c r="I84" t="str">
        <f>VLOOKUP(A84,Planilha6!$BL$9:$BN$222,2,0)</f>
        <v>utilities</v>
      </c>
      <c r="J84" t="str">
        <f>VLOOKUP(A84,Planilha6!$BL$9:$BN$222,3,0)</f>
        <v>low_beta</v>
      </c>
      <c r="K84" s="41">
        <v>0</v>
      </c>
      <c r="L84" s="42">
        <v>-3.0000000000000001E-3</v>
      </c>
      <c r="M84" s="41">
        <f>VLOOKUP(A84,'Mandato Ibov'!$B$1:$C$215,2,0)</f>
        <v>0</v>
      </c>
      <c r="N84" s="59">
        <f t="shared" si="17"/>
        <v>0</v>
      </c>
      <c r="O84" s="42">
        <f t="shared" si="18"/>
        <v>0</v>
      </c>
      <c r="P84" s="59">
        <f>VLOOKUP(A84,'Mandato Ibov'!$B$2:$D$215,3,0)</f>
        <v>1.1237760521915399E-2</v>
      </c>
      <c r="Q84" s="42">
        <f t="shared" si="19"/>
        <v>-1.1237760521915399E-2</v>
      </c>
      <c r="R84" s="15">
        <v>-0.73799999999999999</v>
      </c>
      <c r="S84" s="15">
        <v>7.5999999999999998E-2</v>
      </c>
      <c r="T84" s="15">
        <v>-0.85099999999999998</v>
      </c>
      <c r="U84" s="15">
        <v>-0.495</v>
      </c>
      <c r="V84" s="15">
        <v>-0.27500000000000002</v>
      </c>
      <c r="W84" s="15">
        <v>-0.13500000000000001</v>
      </c>
      <c r="X84" s="15">
        <v>0.40799999999999997</v>
      </c>
      <c r="Y84" s="15">
        <v>0.29599999999999999</v>
      </c>
      <c r="Z84" s="15">
        <v>0.73699999999999999</v>
      </c>
      <c r="AA84" s="15">
        <v>0.74099999999999999</v>
      </c>
      <c r="AB84" s="15">
        <v>0.60399999999999998</v>
      </c>
      <c r="AC84" s="15">
        <v>0.6</v>
      </c>
      <c r="AD84" s="15">
        <v>0.54900000000000004</v>
      </c>
      <c r="AE84" s="14">
        <v>-0.54800000000000004</v>
      </c>
      <c r="AF84" s="15">
        <v>-0.67900000000000005</v>
      </c>
      <c r="AG84" s="15">
        <v>5.8000000000000003E-2</v>
      </c>
      <c r="AH84" s="15">
        <v>-0.79300000000000004</v>
      </c>
      <c r="AI84" s="15">
        <v>-0.317</v>
      </c>
      <c r="AJ84" s="16">
        <v>-0.88800000000000001</v>
      </c>
      <c r="AK84" s="4">
        <v>-0.26900000000000002</v>
      </c>
      <c r="AL84" s="4">
        <v>0.14499999999999999</v>
      </c>
      <c r="AM84" s="4">
        <v>-0.59299999999999997</v>
      </c>
      <c r="AN84" s="4">
        <v>-0.44</v>
      </c>
      <c r="AO84" s="4">
        <v>0.36899999999999999</v>
      </c>
      <c r="AP84" s="4">
        <v>0.443</v>
      </c>
      <c r="AQ84" s="4">
        <v>-0.16600000000000001</v>
      </c>
      <c r="AR84" s="4">
        <v>-0.14199999999999999</v>
      </c>
      <c r="AS84" s="4">
        <v>0.17499999999999999</v>
      </c>
      <c r="AT84" s="4">
        <v>0.191</v>
      </c>
      <c r="AU84" s="4">
        <v>0.503</v>
      </c>
      <c r="AV84" s="4">
        <v>-0.157</v>
      </c>
      <c r="AW84" s="4">
        <v>0.85699999999999998</v>
      </c>
      <c r="AX84" s="4">
        <v>-0.92800000000000005</v>
      </c>
      <c r="AY84" s="4">
        <v>0.495</v>
      </c>
      <c r="AZ84" s="4">
        <v>0.1</v>
      </c>
      <c r="BA84" s="4">
        <v>-0.41299999999999998</v>
      </c>
      <c r="BB84" s="4">
        <v>-0.41599999999999998</v>
      </c>
      <c r="BC84" s="4">
        <v>-0.52100000000000002</v>
      </c>
      <c r="BD84" s="4">
        <v>0.186</v>
      </c>
      <c r="BE84" s="4">
        <v>4.2999999999999997E-2</v>
      </c>
      <c r="BF84" s="4">
        <v>-7.3999999999999996E-2</v>
      </c>
      <c r="BG84" s="4">
        <v>0.86099999999999999</v>
      </c>
      <c r="BH84" s="4">
        <v>-0.437</v>
      </c>
      <c r="BI84" s="4">
        <v>-0.253</v>
      </c>
      <c r="BJ84" s="4">
        <v>-0.155</v>
      </c>
      <c r="BK84" s="4">
        <v>4.3999999999999997E-2</v>
      </c>
      <c r="BL84" s="4"/>
      <c r="BM84" s="4">
        <f t="shared" si="20"/>
        <v>9.4817199999999963E-2</v>
      </c>
    </row>
    <row r="85" spans="1:65" hidden="1" x14ac:dyDescent="0.3">
      <c r="A85" t="s">
        <v>163</v>
      </c>
      <c r="B85" s="53">
        <f t="shared" si="21"/>
        <v>0</v>
      </c>
      <c r="C85" s="53">
        <f t="shared" si="14"/>
        <v>0</v>
      </c>
      <c r="D85" s="53">
        <f t="shared" si="15"/>
        <v>0</v>
      </c>
      <c r="E85" s="53">
        <f t="shared" si="16"/>
        <v>0</v>
      </c>
      <c r="F85" s="15">
        <v>1.0900000000000001</v>
      </c>
      <c r="G85">
        <v>1.3680000000000001</v>
      </c>
      <c r="H85" t="s">
        <v>68</v>
      </c>
      <c r="I85" t="str">
        <f>VLOOKUP(A85,Planilha6!$BL$9:$BN$222,2,0)</f>
        <v>building_materials</v>
      </c>
      <c r="J85" t="str">
        <f>VLOOKUP(A85,Planilha6!$BL$9:$BN$222,3,0)</f>
        <v>neutral_beta</v>
      </c>
      <c r="K85" s="41">
        <v>0</v>
      </c>
      <c r="L85" s="42">
        <v>0</v>
      </c>
      <c r="M85" s="41">
        <f>VLOOKUP(A85,'Mandato Ibov'!$B$1:$C$215,2,0)</f>
        <v>0</v>
      </c>
      <c r="N85" s="59">
        <f t="shared" si="17"/>
        <v>0</v>
      </c>
      <c r="O85" s="42">
        <f t="shared" si="18"/>
        <v>0</v>
      </c>
      <c r="P85" s="59">
        <f>VLOOKUP(A85,'Mandato Ibov'!$B$2:$D$215,3,0)</f>
        <v>0</v>
      </c>
      <c r="Q85" s="42">
        <f t="shared" si="19"/>
        <v>0</v>
      </c>
      <c r="R85" s="15">
        <v>-0.29599999999999999</v>
      </c>
      <c r="S85" s="15">
        <v>0.157</v>
      </c>
      <c r="T85" s="15">
        <v>-0.4</v>
      </c>
      <c r="U85" s="15">
        <v>-0.52</v>
      </c>
      <c r="V85" s="15">
        <v>-0.23499999999999999</v>
      </c>
      <c r="W85" s="15">
        <v>-0.125</v>
      </c>
      <c r="X85" s="15">
        <v>0.25800000000000001</v>
      </c>
      <c r="Y85" s="15">
        <v>-0.22800000000000001</v>
      </c>
      <c r="Z85" s="15">
        <v>0.61</v>
      </c>
      <c r="AA85" s="15">
        <v>0.60899999999999999</v>
      </c>
      <c r="AB85" s="15">
        <v>0.69</v>
      </c>
      <c r="AC85" s="15">
        <v>0.63400000000000001</v>
      </c>
      <c r="AD85" s="15">
        <v>0.64600000000000002</v>
      </c>
      <c r="AE85" s="14">
        <v>-0.77200000000000002</v>
      </c>
      <c r="AF85" s="15">
        <v>-0.57199999999999995</v>
      </c>
      <c r="AG85" s="15">
        <v>-0.11899999999999999</v>
      </c>
      <c r="AH85" s="15">
        <v>-0.52900000000000003</v>
      </c>
      <c r="AI85" s="15">
        <v>0.63400000000000001</v>
      </c>
      <c r="AJ85" s="16">
        <v>-0.52500000000000002</v>
      </c>
      <c r="AK85" s="4">
        <v>-0.14899999999999999</v>
      </c>
      <c r="AL85" s="4">
        <v>-0.54900000000000004</v>
      </c>
      <c r="AM85" s="4">
        <v>-0.65600000000000003</v>
      </c>
      <c r="AN85" s="4">
        <v>0.17599999999999999</v>
      </c>
      <c r="AO85" s="4">
        <v>0.17799999999999999</v>
      </c>
      <c r="AP85" s="4">
        <v>-1.4999999999999999E-2</v>
      </c>
      <c r="AQ85" s="4">
        <v>0.25600000000000001</v>
      </c>
      <c r="AR85" s="4">
        <v>6.5000000000000002E-2</v>
      </c>
      <c r="AS85" s="4">
        <v>-0.24099999999999999</v>
      </c>
      <c r="AT85" s="4">
        <v>0.379</v>
      </c>
      <c r="AU85" s="4">
        <v>0.54400000000000004</v>
      </c>
      <c r="AV85" s="4">
        <v>-0.247</v>
      </c>
      <c r="AW85" s="4">
        <v>0.40600000000000003</v>
      </c>
      <c r="AX85" s="4">
        <v>-4.7E-2</v>
      </c>
      <c r="AY85" s="4">
        <v>0.64900000000000002</v>
      </c>
      <c r="AZ85" s="4">
        <v>0.33200000000000002</v>
      </c>
      <c r="BA85" s="4">
        <v>0.442</v>
      </c>
      <c r="BB85" s="4">
        <v>-0.23100000000000001</v>
      </c>
      <c r="BC85" s="4">
        <v>-0.46700000000000003</v>
      </c>
      <c r="BD85" s="4">
        <v>0.22600000000000001</v>
      </c>
      <c r="BE85" s="4">
        <v>0.25700000000000001</v>
      </c>
      <c r="BF85" s="4">
        <v>-5.8000000000000003E-2</v>
      </c>
      <c r="BG85" s="4">
        <v>0.871</v>
      </c>
      <c r="BH85" s="4">
        <v>-0.52800000000000002</v>
      </c>
      <c r="BI85" s="4">
        <v>0.33</v>
      </c>
      <c r="BJ85" s="4">
        <v>0.249</v>
      </c>
      <c r="BK85" s="4">
        <v>-6.4000000000000001E-2</v>
      </c>
      <c r="BL85" s="4"/>
      <c r="BM85" s="4">
        <f t="shared" si="20"/>
        <v>9.1087500000000016E-2</v>
      </c>
    </row>
    <row r="86" spans="1:65" hidden="1" x14ac:dyDescent="0.3">
      <c r="A86" t="s">
        <v>135</v>
      </c>
      <c r="B86" s="53">
        <f t="shared" si="21"/>
        <v>3.1E-2</v>
      </c>
      <c r="C86" s="53">
        <f t="shared" si="14"/>
        <v>-0.05</v>
      </c>
      <c r="D86" s="53">
        <f t="shared" si="15"/>
        <v>0</v>
      </c>
      <c r="E86" s="53">
        <f t="shared" si="16"/>
        <v>8.1000000000000003E-2</v>
      </c>
      <c r="F86" s="15">
        <v>1.046</v>
      </c>
      <c r="G86">
        <v>2.2890000000000001</v>
      </c>
      <c r="H86" t="s">
        <v>57</v>
      </c>
      <c r="I86" t="str">
        <f>VLOOKUP(A86,Planilha6!$BL$9:$BN$222,2,0)</f>
        <v>banks</v>
      </c>
      <c r="J86" t="str">
        <f>VLOOKUP(A86,Planilha6!$BL$9:$BN$222,3,0)</f>
        <v>neutral_beta</v>
      </c>
      <c r="K86" s="41">
        <v>3.1E-2</v>
      </c>
      <c r="L86" s="42">
        <v>-0.05</v>
      </c>
      <c r="M86" s="41">
        <f>VLOOKUP(A86,'Mandato Ibov'!$B$1:$C$215,2,0)</f>
        <v>0</v>
      </c>
      <c r="N86" s="59">
        <f t="shared" si="17"/>
        <v>3.1E-2</v>
      </c>
      <c r="O86" s="42">
        <f t="shared" si="18"/>
        <v>3.1E-2</v>
      </c>
      <c r="P86" s="59">
        <f>VLOOKUP(A86,'Mandato Ibov'!$B$2:$D$215,3,0)</f>
        <v>3.5143369458620302E-2</v>
      </c>
      <c r="Q86" s="42">
        <f t="shared" si="19"/>
        <v>-4.1433694586203024E-3</v>
      </c>
      <c r="R86" s="15">
        <v>-0.56100000000000005</v>
      </c>
      <c r="S86" s="15">
        <v>8.5000000000000006E-2</v>
      </c>
      <c r="T86" s="15">
        <v>-0.84799999999999998</v>
      </c>
      <c r="U86" s="15">
        <v>-0.30099999999999999</v>
      </c>
      <c r="V86" s="15">
        <v>-0.255</v>
      </c>
      <c r="W86" s="15">
        <v>-0.13800000000000001</v>
      </c>
      <c r="X86" s="15">
        <v>7.0000000000000007E-2</v>
      </c>
      <c r="Y86" s="15">
        <v>7.8E-2</v>
      </c>
      <c r="Z86" s="15">
        <v>0.56200000000000006</v>
      </c>
      <c r="AA86" s="15">
        <v>0.56699999999999995</v>
      </c>
      <c r="AB86" s="15">
        <v>0.69499999999999995</v>
      </c>
      <c r="AC86" s="15">
        <v>0.79200000000000004</v>
      </c>
      <c r="AD86" s="15">
        <v>0.627</v>
      </c>
      <c r="AE86" s="14">
        <v>-0.61</v>
      </c>
      <c r="AF86" s="15">
        <v>3.9E-2</v>
      </c>
      <c r="AG86" s="15">
        <v>0.44900000000000001</v>
      </c>
      <c r="AH86" s="15">
        <v>-0.96399999999999997</v>
      </c>
      <c r="AI86" s="15">
        <v>-0.751</v>
      </c>
      <c r="AJ86" s="16">
        <v>-0.97899999999999998</v>
      </c>
      <c r="AK86" s="4">
        <v>-0.183</v>
      </c>
      <c r="AL86" s="4">
        <v>2.8000000000000001E-2</v>
      </c>
      <c r="AM86" s="4">
        <v>-0.53600000000000003</v>
      </c>
      <c r="AN86" s="4">
        <v>-0.16500000000000001</v>
      </c>
      <c r="AO86" s="4">
        <v>0.40699999999999997</v>
      </c>
      <c r="AP86" s="4">
        <v>0.53700000000000003</v>
      </c>
      <c r="AQ86" s="4">
        <v>0.27900000000000003</v>
      </c>
      <c r="AR86" s="4">
        <v>0.11899999999999999</v>
      </c>
      <c r="AS86" s="4">
        <v>-6.3E-2</v>
      </c>
      <c r="AT86" s="4">
        <v>4.1000000000000002E-2</v>
      </c>
      <c r="AU86" s="4">
        <v>-0.16900000000000001</v>
      </c>
      <c r="AV86" s="4">
        <v>-0.20599999999999999</v>
      </c>
      <c r="AW86" s="4">
        <v>0.44400000000000001</v>
      </c>
      <c r="AX86" s="4">
        <v>-0.47099999999999997</v>
      </c>
      <c r="AY86" s="4">
        <v>0.85599999999999998</v>
      </c>
      <c r="AZ86" s="4">
        <v>0.251</v>
      </c>
      <c r="BA86" s="4">
        <v>0.34200000000000003</v>
      </c>
      <c r="BB86" s="4">
        <v>-0.159</v>
      </c>
      <c r="BC86" s="4">
        <v>-5.1999999999999998E-2</v>
      </c>
      <c r="BD86" s="4">
        <v>0.30299999999999999</v>
      </c>
      <c r="BE86" s="4">
        <v>-0.14299999999999999</v>
      </c>
      <c r="BF86" s="4">
        <v>-0.26500000000000001</v>
      </c>
      <c r="BG86" s="4">
        <v>0.80100000000000005</v>
      </c>
      <c r="BH86" s="4">
        <v>-0.72499999999999998</v>
      </c>
      <c r="BI86" s="4">
        <v>8.0000000000000002E-3</v>
      </c>
      <c r="BJ86" s="4">
        <v>-0.19900000000000001</v>
      </c>
      <c r="BK86" s="4">
        <v>-0.92300000000000004</v>
      </c>
      <c r="BL86" s="4"/>
      <c r="BM86" s="4">
        <f t="shared" si="20"/>
        <v>7.5722400000000009E-2</v>
      </c>
    </row>
    <row r="87" spans="1:65" hidden="1" x14ac:dyDescent="0.3">
      <c r="A87" t="s">
        <v>143</v>
      </c>
      <c r="B87" s="53">
        <f t="shared" si="21"/>
        <v>0</v>
      </c>
      <c r="C87" s="53">
        <f t="shared" si="14"/>
        <v>-3.0000000000000001E-3</v>
      </c>
      <c r="D87" s="53">
        <f t="shared" si="15"/>
        <v>0</v>
      </c>
      <c r="E87" s="53">
        <f t="shared" si="16"/>
        <v>3.0000000000000001E-3</v>
      </c>
      <c r="F87" s="15">
        <v>1.0289999999999999</v>
      </c>
      <c r="G87">
        <v>1.262</v>
      </c>
      <c r="H87" t="s">
        <v>53</v>
      </c>
      <c r="I87" t="str">
        <f>VLOOKUP(A87,Planilha6!$BL$9:$BN$222,2,0)</f>
        <v>healthcare</v>
      </c>
      <c r="J87" t="str">
        <f>VLOOKUP(A87,Planilha6!$BL$9:$BN$222,3,0)</f>
        <v>low_beta</v>
      </c>
      <c r="K87" s="41">
        <v>0</v>
      </c>
      <c r="L87" s="42">
        <v>-3.0000000000000001E-3</v>
      </c>
      <c r="M87" s="41">
        <f>VLOOKUP(A87,'Mandato Ibov'!$B$1:$C$215,2,0)</f>
        <v>0</v>
      </c>
      <c r="N87" s="59">
        <f t="shared" si="17"/>
        <v>0</v>
      </c>
      <c r="O87" s="42">
        <f t="shared" si="18"/>
        <v>0</v>
      </c>
      <c r="P87" s="59">
        <f>VLOOKUP(A87,'Mandato Ibov'!$B$2:$D$215,3,0)</f>
        <v>0</v>
      </c>
      <c r="Q87" s="42">
        <f t="shared" si="19"/>
        <v>0</v>
      </c>
      <c r="R87" s="15">
        <v>-0.36299999999999999</v>
      </c>
      <c r="S87" s="15">
        <v>-5.7000000000000002E-2</v>
      </c>
      <c r="T87" s="15">
        <v>-0.60499999999999998</v>
      </c>
      <c r="U87" s="15">
        <v>-0.35299999999999998</v>
      </c>
      <c r="V87" s="15">
        <v>-0.254</v>
      </c>
      <c r="W87" s="15">
        <v>-6.0999999999999999E-2</v>
      </c>
      <c r="X87" s="15">
        <v>0.17100000000000001</v>
      </c>
      <c r="Y87" s="15">
        <v>-0.02</v>
      </c>
      <c r="Z87" s="15">
        <v>0.38500000000000001</v>
      </c>
      <c r="AA87" s="15">
        <v>0.38800000000000001</v>
      </c>
      <c r="AB87" s="15">
        <v>0.71499999999999997</v>
      </c>
      <c r="AC87" s="15">
        <v>0.77600000000000002</v>
      </c>
      <c r="AD87" s="15">
        <v>0.50900000000000001</v>
      </c>
      <c r="AE87" s="14">
        <v>-0.20599999999999999</v>
      </c>
      <c r="AF87" s="15">
        <v>-0.378</v>
      </c>
      <c r="AG87" s="15">
        <v>-0.29399999999999998</v>
      </c>
      <c r="AH87" s="15">
        <v>-0.60899999999999999</v>
      </c>
      <c r="AI87" s="15">
        <v>-0.43</v>
      </c>
      <c r="AJ87" s="16">
        <v>-0.74</v>
      </c>
      <c r="AK87" s="4">
        <v>-1.6E-2</v>
      </c>
      <c r="AL87" s="4">
        <v>-0.10100000000000001</v>
      </c>
      <c r="AM87" s="4">
        <v>-0.61699999999999999</v>
      </c>
      <c r="AN87" s="4">
        <v>0.20799999999999999</v>
      </c>
      <c r="AO87" s="4">
        <v>-2.3E-2</v>
      </c>
      <c r="AP87" s="4">
        <v>0.17199999999999999</v>
      </c>
      <c r="AQ87" s="4">
        <v>9.4E-2</v>
      </c>
      <c r="AR87" s="4">
        <v>0.20699999999999999</v>
      </c>
      <c r="AS87" s="4">
        <v>0.20399999999999999</v>
      </c>
      <c r="AT87" s="4">
        <v>0.28000000000000003</v>
      </c>
      <c r="AU87" s="4">
        <v>-0.106</v>
      </c>
      <c r="AV87" s="4">
        <v>8.5000000000000006E-2</v>
      </c>
      <c r="AW87" s="4">
        <v>0.45600000000000002</v>
      </c>
      <c r="AX87" s="4">
        <v>-0.17799999999999999</v>
      </c>
      <c r="AY87" s="4">
        <v>0.95899999999999996</v>
      </c>
      <c r="AZ87" s="4">
        <v>0.47799999999999998</v>
      </c>
      <c r="BA87" s="4">
        <v>0.13800000000000001</v>
      </c>
      <c r="BB87" s="4">
        <v>-2.3E-2</v>
      </c>
      <c r="BC87" s="4">
        <v>7.0000000000000001E-3</v>
      </c>
      <c r="BD87" s="4">
        <v>0.27900000000000003</v>
      </c>
      <c r="BE87" s="4">
        <v>-0.09</v>
      </c>
      <c r="BF87" s="4">
        <v>0.16900000000000001</v>
      </c>
      <c r="BG87" s="4">
        <v>0.73799999999999999</v>
      </c>
      <c r="BH87" s="4">
        <v>-0.21199999999999999</v>
      </c>
      <c r="BI87" s="4">
        <v>-0.13400000000000001</v>
      </c>
      <c r="BJ87" s="4">
        <v>-4.7E-2</v>
      </c>
      <c r="BK87" s="4">
        <v>-0.152</v>
      </c>
      <c r="BL87" s="4"/>
      <c r="BM87" s="4">
        <f t="shared" si="20"/>
        <v>6.9562400000000024E-2</v>
      </c>
    </row>
    <row r="88" spans="1:65" hidden="1" x14ac:dyDescent="0.3">
      <c r="A88" t="s">
        <v>119</v>
      </c>
      <c r="B88" s="53">
        <f t="shared" si="21"/>
        <v>0</v>
      </c>
      <c r="C88" s="53">
        <f t="shared" si="14"/>
        <v>0</v>
      </c>
      <c r="D88" s="53">
        <f t="shared" si="15"/>
        <v>0</v>
      </c>
      <c r="E88" s="53">
        <f t="shared" si="16"/>
        <v>0</v>
      </c>
      <c r="F88" s="15">
        <v>1.018</v>
      </c>
      <c r="G88">
        <v>0.98899999999999999</v>
      </c>
      <c r="H88" t="s">
        <v>57</v>
      </c>
      <c r="I88" t="str">
        <f>VLOOKUP(A88,Planilha6!$BL$9:$BN$222,2,0)</f>
        <v>homebuilders</v>
      </c>
      <c r="J88" t="str">
        <f>VLOOKUP(A88,Planilha6!$BL$9:$BN$222,3,0)</f>
        <v>high_beta</v>
      </c>
      <c r="K88" s="41">
        <v>0</v>
      </c>
      <c r="L88" s="42">
        <v>0</v>
      </c>
      <c r="M88" s="41">
        <f>VLOOKUP(A88,'Mandato Ibov'!$B$1:$C$215,2,0)</f>
        <v>0</v>
      </c>
      <c r="N88" s="59">
        <f t="shared" si="17"/>
        <v>0</v>
      </c>
      <c r="O88" s="42">
        <f t="shared" si="18"/>
        <v>0</v>
      </c>
      <c r="P88" s="59">
        <f>VLOOKUP(A88,'Mandato Ibov'!$B$2:$D$215,3,0)</f>
        <v>0</v>
      </c>
      <c r="Q88" s="42">
        <f t="shared" si="19"/>
        <v>0</v>
      </c>
      <c r="R88" s="15">
        <v>-0.21099999999999999</v>
      </c>
      <c r="S88" s="15">
        <v>-8.8999999999999996E-2</v>
      </c>
      <c r="T88" s="15">
        <v>-0.39400000000000002</v>
      </c>
      <c r="U88" s="15">
        <v>-0.23200000000000001</v>
      </c>
      <c r="V88" s="15">
        <v>-0.189</v>
      </c>
      <c r="W88" s="15">
        <v>-0.16500000000000001</v>
      </c>
      <c r="X88" s="15">
        <v>0.04</v>
      </c>
      <c r="Y88" s="15">
        <v>-0.24399999999999999</v>
      </c>
      <c r="Z88" s="15">
        <v>0.41199999999999998</v>
      </c>
      <c r="AA88" s="15">
        <v>0.41299999999999998</v>
      </c>
      <c r="AB88" s="15">
        <v>0.72699999999999998</v>
      </c>
      <c r="AC88" s="15">
        <v>0.76400000000000001</v>
      </c>
      <c r="AD88" s="15">
        <v>0.57599999999999996</v>
      </c>
      <c r="AE88" s="14">
        <v>-0.02</v>
      </c>
      <c r="AF88" s="15">
        <v>-0.06</v>
      </c>
      <c r="AG88" s="15">
        <v>-5.1999999999999998E-2</v>
      </c>
      <c r="AH88" s="15">
        <v>-0.38300000000000001</v>
      </c>
      <c r="AI88" s="15">
        <v>-0.158</v>
      </c>
      <c r="AJ88" s="16">
        <v>-0.30199999999999999</v>
      </c>
      <c r="AK88" s="4">
        <v>-0.26900000000000002</v>
      </c>
      <c r="AL88" s="4">
        <v>-0.33900000000000002</v>
      </c>
      <c r="AM88" s="4">
        <v>-0.28399999999999997</v>
      </c>
      <c r="AN88" s="4">
        <v>0.56299999999999994</v>
      </c>
      <c r="AO88" s="4">
        <v>0.20699999999999999</v>
      </c>
      <c r="AP88" s="4">
        <v>1.0999999999999999E-2</v>
      </c>
      <c r="AQ88" s="4">
        <v>0.39300000000000002</v>
      </c>
      <c r="AR88" s="4">
        <v>-5.0000000000000001E-3</v>
      </c>
      <c r="AS88" s="4">
        <v>-6.6000000000000003E-2</v>
      </c>
      <c r="AT88" s="4">
        <v>2E-3</v>
      </c>
      <c r="AU88" s="4">
        <v>0.51600000000000001</v>
      </c>
      <c r="AV88" s="4">
        <v>0.19500000000000001</v>
      </c>
      <c r="AW88" s="4">
        <v>-0.09</v>
      </c>
      <c r="AX88" s="4">
        <v>9.9000000000000005E-2</v>
      </c>
      <c r="AY88" s="4">
        <v>0.60299999999999998</v>
      </c>
      <c r="AZ88" s="4">
        <v>0.15</v>
      </c>
      <c r="BA88" s="4">
        <v>5.5E-2</v>
      </c>
      <c r="BB88" s="4">
        <v>-0.20899999999999999</v>
      </c>
      <c r="BC88" s="4">
        <v>-0.30599999999999999</v>
      </c>
      <c r="BD88" s="4">
        <v>-0.3</v>
      </c>
      <c r="BE88" s="4">
        <v>-0.376</v>
      </c>
      <c r="BF88" s="4">
        <v>0.27300000000000002</v>
      </c>
      <c r="BG88" s="4">
        <v>0.44</v>
      </c>
      <c r="BH88" s="4">
        <v>-0.18</v>
      </c>
      <c r="BI88" s="4">
        <v>0.41299999999999998</v>
      </c>
      <c r="BJ88" s="4">
        <v>-2.8000000000000001E-2</v>
      </c>
      <c r="BK88" s="4">
        <v>-1.0999999999999999E-2</v>
      </c>
      <c r="BL88" s="4"/>
      <c r="BM88" s="4">
        <f t="shared" si="20"/>
        <v>6.5344499999999972E-2</v>
      </c>
    </row>
    <row r="89" spans="1:65" hidden="1" x14ac:dyDescent="0.3">
      <c r="A89" t="s">
        <v>125</v>
      </c>
      <c r="B89" s="53">
        <f t="shared" si="21"/>
        <v>0</v>
      </c>
      <c r="C89" s="53">
        <f t="shared" si="14"/>
        <v>-4.0000000000000001E-3</v>
      </c>
      <c r="D89" s="53">
        <f t="shared" si="15"/>
        <v>0</v>
      </c>
      <c r="E89" s="53">
        <f t="shared" si="16"/>
        <v>4.0000000000000001E-3</v>
      </c>
      <c r="F89" s="15">
        <v>1.0149999999999999</v>
      </c>
      <c r="G89">
        <v>1.577</v>
      </c>
      <c r="H89" t="s">
        <v>55</v>
      </c>
      <c r="I89" t="str">
        <f>VLOOKUP(A89,Planilha6!$BL$9:$BN$222,2,0)</f>
        <v>real_estate</v>
      </c>
      <c r="J89" t="str">
        <f>VLOOKUP(A89,Planilha6!$BL$9:$BN$222,3,0)</f>
        <v>high_beta</v>
      </c>
      <c r="K89" s="41">
        <v>0</v>
      </c>
      <c r="L89" s="42">
        <v>-4.0000000000000001E-3</v>
      </c>
      <c r="M89" s="41">
        <f>VLOOKUP(A89,'Mandato Ibov'!$B$1:$C$215,2,0)</f>
        <v>0</v>
      </c>
      <c r="N89" s="59">
        <f t="shared" si="17"/>
        <v>0</v>
      </c>
      <c r="O89" s="42">
        <f t="shared" si="18"/>
        <v>0</v>
      </c>
      <c r="P89" s="59">
        <f>VLOOKUP(A89,'Mandato Ibov'!$B$2:$D$215,3,0)</f>
        <v>0</v>
      </c>
      <c r="Q89" s="42">
        <f t="shared" si="19"/>
        <v>0</v>
      </c>
      <c r="R89" s="15">
        <v>-0.47399999999999998</v>
      </c>
      <c r="S89" s="15">
        <v>0.20599999999999999</v>
      </c>
      <c r="T89" s="15">
        <v>-0.78100000000000003</v>
      </c>
      <c r="U89" s="15">
        <v>-0.36</v>
      </c>
      <c r="V89" s="15">
        <v>-0.23100000000000001</v>
      </c>
      <c r="W89" s="15">
        <v>5.0000000000000001E-3</v>
      </c>
      <c r="X89" s="15">
        <v>0.499</v>
      </c>
      <c r="Y89" s="15">
        <v>5.0000000000000001E-3</v>
      </c>
      <c r="Z89" s="15">
        <v>0.40200000000000002</v>
      </c>
      <c r="AA89" s="15">
        <v>0.40699999999999997</v>
      </c>
      <c r="AB89" s="15">
        <v>0.59799999999999998</v>
      </c>
      <c r="AC89" s="15">
        <v>0.63700000000000001</v>
      </c>
      <c r="AD89" s="15">
        <v>0.44</v>
      </c>
      <c r="AE89" s="14">
        <v>-0.20200000000000001</v>
      </c>
      <c r="AF89" s="15">
        <v>-0.57199999999999995</v>
      </c>
      <c r="AG89" s="15">
        <v>-0.20399999999999999</v>
      </c>
      <c r="AH89" s="15">
        <v>-0.874</v>
      </c>
      <c r="AI89" s="15">
        <v>-0.45</v>
      </c>
      <c r="AJ89" s="16">
        <v>-0.51800000000000002</v>
      </c>
      <c r="AK89" s="4">
        <v>-0.3</v>
      </c>
      <c r="AL89" s="4">
        <v>-0.42099999999999999</v>
      </c>
      <c r="AM89" s="4">
        <v>-0.76200000000000001</v>
      </c>
      <c r="AN89" s="4">
        <v>1.4999999999999999E-2</v>
      </c>
      <c r="AO89" s="4">
        <v>0.214</v>
      </c>
      <c r="AP89" s="4">
        <v>0.54</v>
      </c>
      <c r="AQ89" s="4">
        <v>0.16200000000000001</v>
      </c>
      <c r="AR89" s="4">
        <v>-6.2E-2</v>
      </c>
      <c r="AS89" s="4">
        <v>-0.42299999999999999</v>
      </c>
      <c r="AT89" s="4">
        <v>0.5</v>
      </c>
      <c r="AU89" s="4">
        <v>0.98599999999999999</v>
      </c>
      <c r="AV89" s="4">
        <v>0.34399999999999997</v>
      </c>
      <c r="AW89" s="4">
        <v>0.315</v>
      </c>
      <c r="AX89" s="4">
        <v>-0.63100000000000001</v>
      </c>
      <c r="AY89" s="4">
        <v>0.874</v>
      </c>
      <c r="AZ89" s="4">
        <v>0.318</v>
      </c>
      <c r="BA89" s="4">
        <v>-0.36799999999999999</v>
      </c>
      <c r="BB89" s="4">
        <v>-0.28399999999999997</v>
      </c>
      <c r="BC89" s="4">
        <v>0.28399999999999997</v>
      </c>
      <c r="BD89" s="4">
        <v>0.184</v>
      </c>
      <c r="BE89" s="4">
        <v>-0.36599999999999999</v>
      </c>
      <c r="BF89" s="4">
        <v>-0.17499999999999999</v>
      </c>
      <c r="BG89" s="4">
        <v>0.64800000000000002</v>
      </c>
      <c r="BH89" s="4">
        <v>-0.39800000000000002</v>
      </c>
      <c r="BI89" s="4">
        <v>0.52500000000000002</v>
      </c>
      <c r="BJ89" s="4">
        <v>-0.28999999999999998</v>
      </c>
      <c r="BK89" s="4">
        <v>-0.434</v>
      </c>
      <c r="BL89" s="4"/>
      <c r="BM89" s="4">
        <f t="shared" si="20"/>
        <v>6.4555899999999999E-2</v>
      </c>
    </row>
    <row r="90" spans="1:65" x14ac:dyDescent="0.3">
      <c r="A90" t="s">
        <v>177</v>
      </c>
      <c r="B90" s="53">
        <f t="shared" si="21"/>
        <v>0</v>
      </c>
      <c r="C90" s="53">
        <f t="shared" si="14"/>
        <v>0</v>
      </c>
      <c r="D90" s="53">
        <f t="shared" si="15"/>
        <v>0</v>
      </c>
      <c r="E90" s="53">
        <f t="shared" si="16"/>
        <v>0</v>
      </c>
      <c r="F90" s="15">
        <v>1.0069999999999999</v>
      </c>
      <c r="G90">
        <v>1.2290000000000001</v>
      </c>
      <c r="H90" t="s">
        <v>71</v>
      </c>
      <c r="I90" t="str">
        <f>VLOOKUP(A90,Planilha6!$BL$9:$BN$222,2,0)</f>
        <v>basic_materials</v>
      </c>
      <c r="J90" t="str">
        <f>VLOOKUP(A90,Planilha6!$BL$9:$BN$222,3,0)</f>
        <v>very_low_beta</v>
      </c>
      <c r="K90" s="41">
        <v>0</v>
      </c>
      <c r="L90" s="42">
        <v>0</v>
      </c>
      <c r="M90" s="41">
        <f>VLOOKUP(A90,'Mandato Ibov'!$B$1:$C$215,2,0)</f>
        <v>0</v>
      </c>
      <c r="N90" s="59">
        <f t="shared" si="17"/>
        <v>0</v>
      </c>
      <c r="O90" s="42">
        <f t="shared" si="18"/>
        <v>0</v>
      </c>
      <c r="P90" s="59">
        <f>VLOOKUP(A90,'Mandato Ibov'!$B$2:$D$215,3,0)</f>
        <v>0</v>
      </c>
      <c r="Q90" s="42">
        <f t="shared" si="19"/>
        <v>0</v>
      </c>
      <c r="R90" s="15">
        <v>-0.70399999999999996</v>
      </c>
      <c r="S90" s="15">
        <v>-0.22700000000000001</v>
      </c>
      <c r="T90" s="15">
        <v>-0.81299999999999994</v>
      </c>
      <c r="U90" s="15">
        <v>-0.51600000000000001</v>
      </c>
      <c r="V90" s="15">
        <v>-0.41499999999999998</v>
      </c>
      <c r="W90" s="15">
        <v>-5.7000000000000002E-2</v>
      </c>
      <c r="X90" s="15">
        <v>0.19500000000000001</v>
      </c>
      <c r="Y90" s="15">
        <v>0.113</v>
      </c>
      <c r="Z90" s="15">
        <v>0.88</v>
      </c>
      <c r="AA90" s="15">
        <v>0.88200000000000001</v>
      </c>
      <c r="AB90" s="15">
        <v>0.61399999999999999</v>
      </c>
      <c r="AC90" s="15">
        <v>0.68300000000000005</v>
      </c>
      <c r="AD90" s="15">
        <v>0.59</v>
      </c>
      <c r="AE90" s="14">
        <v>-1E-3</v>
      </c>
      <c r="AF90" s="15">
        <v>-0.82899999999999996</v>
      </c>
      <c r="AG90" s="15">
        <v>-0.186</v>
      </c>
      <c r="AH90" s="15">
        <v>-0.754</v>
      </c>
      <c r="AI90" s="15">
        <v>-0.74099999999999999</v>
      </c>
      <c r="AJ90" s="16">
        <v>-0.97499999999999998</v>
      </c>
      <c r="AK90" s="4">
        <v>0.122</v>
      </c>
      <c r="AL90" s="4">
        <v>2.8000000000000001E-2</v>
      </c>
      <c r="AM90" s="4">
        <v>-0.42299999999999999</v>
      </c>
      <c r="AN90" s="4">
        <v>-5.3999999999999999E-2</v>
      </c>
      <c r="AO90" s="4">
        <v>0.28199999999999997</v>
      </c>
      <c r="AP90" s="4">
        <v>-2E-3</v>
      </c>
      <c r="AQ90" s="4">
        <v>-0.38700000000000001</v>
      </c>
      <c r="AR90" s="4">
        <v>-0.65300000000000002</v>
      </c>
      <c r="AS90" s="4">
        <v>-0.49</v>
      </c>
      <c r="AT90" s="4">
        <v>0.184</v>
      </c>
      <c r="AU90" s="4">
        <v>-7.0999999999999994E-2</v>
      </c>
      <c r="AV90" s="4">
        <v>1.7000000000000001E-2</v>
      </c>
      <c r="AW90" s="4">
        <v>0.97899999999999998</v>
      </c>
      <c r="AX90" s="4">
        <v>-0.34599999999999997</v>
      </c>
      <c r="AY90" s="4">
        <v>0.75800000000000001</v>
      </c>
      <c r="AZ90" s="4">
        <v>-0.33600000000000002</v>
      </c>
      <c r="BA90" s="4">
        <v>0.23400000000000001</v>
      </c>
      <c r="BB90" s="4">
        <v>9.2999999999999999E-2</v>
      </c>
      <c r="BC90" s="4">
        <v>-7.0000000000000007E-2</v>
      </c>
      <c r="BD90" s="4">
        <v>0.20499999999999999</v>
      </c>
      <c r="BE90" s="4">
        <v>0.45800000000000002</v>
      </c>
      <c r="BF90" s="4">
        <v>0.45100000000000001</v>
      </c>
      <c r="BG90" s="4">
        <v>0.94799999999999995</v>
      </c>
      <c r="BH90" s="4">
        <v>-0.29599999999999999</v>
      </c>
      <c r="BI90" s="4">
        <v>-0.62</v>
      </c>
      <c r="BJ90" s="4">
        <v>0.85399999999999998</v>
      </c>
      <c r="BK90" s="4">
        <v>-0.29599999999999999</v>
      </c>
      <c r="BL90" s="4"/>
      <c r="BM90" s="4">
        <f t="shared" si="20"/>
        <v>6.1559500000000003E-2</v>
      </c>
    </row>
    <row r="91" spans="1:65" x14ac:dyDescent="0.3">
      <c r="A91" t="s">
        <v>159</v>
      </c>
      <c r="B91" s="53">
        <f t="shared" si="21"/>
        <v>0</v>
      </c>
      <c r="C91" s="53">
        <f t="shared" si="14"/>
        <v>0</v>
      </c>
      <c r="D91" s="53">
        <f t="shared" si="15"/>
        <v>0</v>
      </c>
      <c r="E91" s="53">
        <f t="shared" si="16"/>
        <v>0</v>
      </c>
      <c r="F91" s="15">
        <v>1.0049999999999999</v>
      </c>
      <c r="G91">
        <v>1.2629999999999999</v>
      </c>
      <c r="H91" t="s">
        <v>71</v>
      </c>
      <c r="I91" t="str">
        <f>VLOOKUP(A91,Planilha6!$BL$9:$BN$222,2,0)</f>
        <v>basic_materials</v>
      </c>
      <c r="J91" t="str">
        <f>VLOOKUP(A91,Planilha6!$BL$9:$BN$222,3,0)</f>
        <v>low_beta</v>
      </c>
      <c r="K91" s="41">
        <v>0</v>
      </c>
      <c r="L91" s="42">
        <v>0</v>
      </c>
      <c r="M91" s="41">
        <f>VLOOKUP(A91,'Mandato Ibov'!$B$1:$C$215,2,0)</f>
        <v>0</v>
      </c>
      <c r="N91" s="59">
        <f t="shared" si="17"/>
        <v>0</v>
      </c>
      <c r="O91" s="42">
        <f t="shared" si="18"/>
        <v>0</v>
      </c>
      <c r="P91" s="59">
        <f>VLOOKUP(A91,'Mandato Ibov'!$B$2:$D$215,3,0)</f>
        <v>0</v>
      </c>
      <c r="Q91" s="42">
        <f t="shared" si="19"/>
        <v>0</v>
      </c>
      <c r="R91" s="15">
        <v>-0.68600000000000005</v>
      </c>
      <c r="S91" s="15">
        <v>-0.20100000000000001</v>
      </c>
      <c r="T91" s="15">
        <v>-0.84199999999999997</v>
      </c>
      <c r="U91" s="15">
        <v>-0.495</v>
      </c>
      <c r="V91" s="15">
        <v>-0.42799999999999999</v>
      </c>
      <c r="W91" s="15">
        <v>-3.4000000000000002E-2</v>
      </c>
      <c r="X91" s="15">
        <v>0.21299999999999999</v>
      </c>
      <c r="Y91" s="15">
        <v>0.122</v>
      </c>
      <c r="Z91" s="15">
        <v>0.79100000000000004</v>
      </c>
      <c r="AA91" s="15">
        <v>0.79400000000000004</v>
      </c>
      <c r="AB91" s="15">
        <v>0.63300000000000001</v>
      </c>
      <c r="AC91" s="15">
        <v>0.68</v>
      </c>
      <c r="AD91" s="15">
        <v>0.58699999999999997</v>
      </c>
      <c r="AE91" s="14">
        <v>-3.0000000000000001E-3</v>
      </c>
      <c r="AF91" s="15">
        <v>-0.83</v>
      </c>
      <c r="AG91" s="15">
        <v>-0.13</v>
      </c>
      <c r="AH91" s="15">
        <v>-0.754</v>
      </c>
      <c r="AI91" s="15">
        <v>-0.71899999999999997</v>
      </c>
      <c r="AJ91" s="16">
        <v>-0.97499999999999998</v>
      </c>
      <c r="AK91" s="4">
        <v>0.122</v>
      </c>
      <c r="AL91" s="4">
        <v>4.2999999999999997E-2</v>
      </c>
      <c r="AM91" s="4">
        <v>-0.42299999999999999</v>
      </c>
      <c r="AN91" s="4">
        <v>-0.06</v>
      </c>
      <c r="AO91" s="4">
        <v>0.308</v>
      </c>
      <c r="AP91" s="4">
        <v>5.7000000000000002E-2</v>
      </c>
      <c r="AQ91" s="4">
        <v>-0.38700000000000001</v>
      </c>
      <c r="AR91" s="4">
        <v>-0.65300000000000002</v>
      </c>
      <c r="AS91" s="4">
        <v>-0.49</v>
      </c>
      <c r="AT91" s="4">
        <v>0.184</v>
      </c>
      <c r="AU91" s="4">
        <v>-7.0999999999999994E-2</v>
      </c>
      <c r="AV91" s="4">
        <v>1.7000000000000001E-2</v>
      </c>
      <c r="AW91" s="4">
        <v>0.97599999999999998</v>
      </c>
      <c r="AX91" s="4">
        <v>-0.34599999999999997</v>
      </c>
      <c r="AY91" s="4">
        <v>0.75800000000000001</v>
      </c>
      <c r="AZ91" s="4">
        <v>-0.39800000000000002</v>
      </c>
      <c r="BA91" s="4">
        <v>0.627</v>
      </c>
      <c r="BB91" s="4">
        <v>9.2999999999999999E-2</v>
      </c>
      <c r="BC91" s="4">
        <v>-7.0000000000000007E-2</v>
      </c>
      <c r="BD91" s="4">
        <v>0.222</v>
      </c>
      <c r="BE91" s="4">
        <v>0.41699999999999998</v>
      </c>
      <c r="BF91" s="4">
        <v>0.15</v>
      </c>
      <c r="BG91" s="4">
        <v>0.91</v>
      </c>
      <c r="BH91" s="4">
        <v>-0.30299999999999999</v>
      </c>
      <c r="BI91" s="4">
        <v>-0.58899999999999997</v>
      </c>
      <c r="BJ91" s="4">
        <v>0.56299999999999994</v>
      </c>
      <c r="BK91" s="4">
        <v>-0.29599999999999999</v>
      </c>
      <c r="BL91" s="4"/>
      <c r="BM91" s="4">
        <f t="shared" si="20"/>
        <v>6.0917400000000052E-2</v>
      </c>
    </row>
    <row r="92" spans="1:65" hidden="1" x14ac:dyDescent="0.3">
      <c r="A92" t="s">
        <v>196</v>
      </c>
      <c r="B92" s="53">
        <f t="shared" si="21"/>
        <v>0</v>
      </c>
      <c r="C92" s="53">
        <f t="shared" si="14"/>
        <v>0</v>
      </c>
      <c r="D92" s="53">
        <f t="shared" si="15"/>
        <v>0</v>
      </c>
      <c r="E92" s="53">
        <f t="shared" si="16"/>
        <v>0</v>
      </c>
      <c r="F92" s="15">
        <v>0.99099999999999999</v>
      </c>
      <c r="G92">
        <v>0.71399999999999997</v>
      </c>
      <c r="H92" t="s">
        <v>57</v>
      </c>
      <c r="I92" t="str">
        <f>VLOOKUP(A92,Planilha6!$BL$9:$BN$222,2,0)</f>
        <v>education</v>
      </c>
      <c r="J92" t="str">
        <f>VLOOKUP(A92,Planilha6!$BL$9:$BN$222,3,0)</f>
        <v>very_high_beta</v>
      </c>
      <c r="K92" s="41">
        <v>0</v>
      </c>
      <c r="L92" s="42">
        <v>0</v>
      </c>
      <c r="M92" s="41">
        <f>VLOOKUP(A92,'Mandato Ibov'!$B$1:$C$215,2,0)</f>
        <v>0</v>
      </c>
      <c r="N92" s="59">
        <f t="shared" si="17"/>
        <v>0</v>
      </c>
      <c r="O92" s="42">
        <f t="shared" si="18"/>
        <v>0</v>
      </c>
      <c r="P92" s="59">
        <f>VLOOKUP(A92,'Mandato Ibov'!$B$2:$D$215,3,0)</f>
        <v>7.9979717918270393E-3</v>
      </c>
      <c r="Q92" s="42">
        <f t="shared" si="19"/>
        <v>-7.9979717918270393E-3</v>
      </c>
      <c r="R92" s="15">
        <v>0.34</v>
      </c>
      <c r="S92" s="15">
        <v>-1.9E-2</v>
      </c>
      <c r="T92" s="15">
        <v>0.25</v>
      </c>
      <c r="U92" s="15">
        <v>0.34300000000000003</v>
      </c>
      <c r="V92" s="15">
        <v>0.20300000000000001</v>
      </c>
      <c r="W92" s="15">
        <v>-0.17199999999999999</v>
      </c>
      <c r="X92" s="15">
        <v>-0.45</v>
      </c>
      <c r="Y92" s="15">
        <v>-0.57399999999999995</v>
      </c>
      <c r="Z92" s="15">
        <v>-3.5000000000000003E-2</v>
      </c>
      <c r="AA92" s="15">
        <v>-3.2000000000000001E-2</v>
      </c>
      <c r="AB92" s="15">
        <v>0.317</v>
      </c>
      <c r="AC92" s="15">
        <v>0.44700000000000001</v>
      </c>
      <c r="AD92" s="15">
        <v>0.56100000000000005</v>
      </c>
      <c r="AE92" s="14">
        <v>0.76500000000000001</v>
      </c>
      <c r="AF92" s="15">
        <v>0.623</v>
      </c>
      <c r="AG92" s="15">
        <v>0.53</v>
      </c>
      <c r="AH92" s="15">
        <v>0.159</v>
      </c>
      <c r="AI92" s="15">
        <v>0.434</v>
      </c>
      <c r="AJ92" s="16">
        <v>0.76900000000000002</v>
      </c>
      <c r="AK92" s="4">
        <v>9.0999999999999998E-2</v>
      </c>
      <c r="AL92" s="4">
        <v>-0.81499999999999995</v>
      </c>
      <c r="AM92" s="4">
        <v>0.14000000000000001</v>
      </c>
      <c r="AN92" s="4">
        <v>0.125</v>
      </c>
      <c r="AO92" s="4">
        <v>0.14299999999999999</v>
      </c>
      <c r="AP92" s="4">
        <v>7.6999999999999999E-2</v>
      </c>
      <c r="AQ92" s="4">
        <v>0.77200000000000002</v>
      </c>
      <c r="AR92" s="4">
        <v>-0.68799999999999994</v>
      </c>
      <c r="AS92" s="4">
        <v>-8.0000000000000002E-3</v>
      </c>
      <c r="AT92" s="4">
        <v>0.13300000000000001</v>
      </c>
      <c r="AU92" s="4">
        <v>-5.7000000000000002E-2</v>
      </c>
      <c r="AV92" s="4">
        <v>0.70299999999999996</v>
      </c>
      <c r="AW92" s="4">
        <v>-0.92800000000000005</v>
      </c>
      <c r="AX92" s="4">
        <v>-0.48099999999999998</v>
      </c>
      <c r="AY92" s="4">
        <v>0.72799999999999998</v>
      </c>
      <c r="AZ92" s="4">
        <v>0.39700000000000002</v>
      </c>
      <c r="BA92" s="4">
        <v>0.78300000000000003</v>
      </c>
      <c r="BB92" s="4">
        <v>0.151</v>
      </c>
      <c r="BC92" s="4">
        <v>-0.182</v>
      </c>
      <c r="BD92" s="4">
        <v>0.41599999999999998</v>
      </c>
      <c r="BE92" s="4">
        <v>3.7999999999999999E-2</v>
      </c>
      <c r="BF92" s="4">
        <v>-0.47199999999999998</v>
      </c>
      <c r="BG92" s="4">
        <v>7.9000000000000001E-2</v>
      </c>
      <c r="BH92" s="4">
        <v>-0.214</v>
      </c>
      <c r="BI92" s="4">
        <v>0.54700000000000004</v>
      </c>
      <c r="BJ92" s="4">
        <v>-0.67</v>
      </c>
      <c r="BK92" s="4">
        <v>0.51400000000000001</v>
      </c>
      <c r="BL92" s="4"/>
      <c r="BM92" s="4">
        <f t="shared" si="20"/>
        <v>5.5880600000000044E-2</v>
      </c>
    </row>
    <row r="93" spans="1:65" hidden="1" x14ac:dyDescent="0.3">
      <c r="A93" t="s">
        <v>158</v>
      </c>
      <c r="B93" s="53">
        <f t="shared" si="21"/>
        <v>0</v>
      </c>
      <c r="C93" s="53">
        <f t="shared" si="14"/>
        <v>-1E-3</v>
      </c>
      <c r="D93" s="53">
        <f t="shared" si="15"/>
        <v>0</v>
      </c>
      <c r="E93" s="53">
        <f t="shared" si="16"/>
        <v>1E-3</v>
      </c>
      <c r="F93" s="15">
        <v>0.98099999999999998</v>
      </c>
      <c r="G93">
        <v>1.254</v>
      </c>
      <c r="H93" t="s">
        <v>71</v>
      </c>
      <c r="I93" t="str">
        <f>VLOOKUP(A93,Planilha6!$BL$9:$BN$222,2,0)</f>
        <v>food</v>
      </c>
      <c r="J93" t="str">
        <f>VLOOKUP(A93,Planilha6!$BL$9:$BN$222,3,0)</f>
        <v>very_low_beta</v>
      </c>
      <c r="K93" s="41">
        <v>0</v>
      </c>
      <c r="L93" s="42">
        <v>-1E-3</v>
      </c>
      <c r="M93" s="41">
        <f>VLOOKUP(A93,'Mandato Ibov'!$B$1:$C$215,2,0)</f>
        <v>0</v>
      </c>
      <c r="N93" s="59">
        <f t="shared" si="17"/>
        <v>0</v>
      </c>
      <c r="O93" s="42">
        <f t="shared" si="18"/>
        <v>0</v>
      </c>
      <c r="P93" s="59">
        <f>VLOOKUP(A93,'Mandato Ibov'!$B$2:$D$215,3,0)</f>
        <v>0</v>
      </c>
      <c r="Q93" s="42">
        <f t="shared" si="19"/>
        <v>0</v>
      </c>
      <c r="R93" s="15">
        <v>-0.68400000000000005</v>
      </c>
      <c r="S93" s="15">
        <v>-0.14199999999999999</v>
      </c>
      <c r="T93" s="15">
        <v>-0.80900000000000005</v>
      </c>
      <c r="U93" s="15">
        <v>-0.41599999999999998</v>
      </c>
      <c r="V93" s="15">
        <v>-0.34</v>
      </c>
      <c r="W93" s="15">
        <v>-0.10199999999999999</v>
      </c>
      <c r="X93" s="15">
        <v>9.0999999999999998E-2</v>
      </c>
      <c r="Y93" s="15">
        <v>2.7E-2</v>
      </c>
      <c r="Z93" s="15">
        <v>0.85099999999999998</v>
      </c>
      <c r="AA93" s="15">
        <v>0.85299999999999998</v>
      </c>
      <c r="AB93" s="15">
        <v>0.57499999999999996</v>
      </c>
      <c r="AC93" s="15">
        <v>0.61399999999999999</v>
      </c>
      <c r="AD93" s="15">
        <v>0.65700000000000003</v>
      </c>
      <c r="AE93" s="14">
        <v>-0.24299999999999999</v>
      </c>
      <c r="AF93" s="15">
        <v>-0.78800000000000003</v>
      </c>
      <c r="AG93" s="15">
        <v>0.27900000000000003</v>
      </c>
      <c r="AH93" s="15">
        <v>-0.68500000000000005</v>
      </c>
      <c r="AI93" s="15">
        <v>3.2000000000000001E-2</v>
      </c>
      <c r="AJ93" s="16">
        <v>-0.85199999999999998</v>
      </c>
      <c r="AK93" s="4">
        <v>-0.24199999999999999</v>
      </c>
      <c r="AL93" s="4">
        <v>-0.125</v>
      </c>
      <c r="AM93" s="4">
        <v>-0.55900000000000005</v>
      </c>
      <c r="AN93" s="4">
        <v>2.1000000000000001E-2</v>
      </c>
      <c r="AO93" s="4">
        <v>0.47</v>
      </c>
      <c r="AP93" s="4">
        <v>0.79</v>
      </c>
      <c r="AQ93" s="4">
        <v>-0.23599999999999999</v>
      </c>
      <c r="AR93" s="4">
        <v>4.9000000000000002E-2</v>
      </c>
      <c r="AS93" s="4">
        <v>2.5000000000000001E-2</v>
      </c>
      <c r="AT93" s="4">
        <v>7.6999999999999999E-2</v>
      </c>
      <c r="AU93" s="4">
        <v>-3.3000000000000002E-2</v>
      </c>
      <c r="AV93" s="4">
        <v>9.6000000000000002E-2</v>
      </c>
      <c r="AW93" s="4">
        <v>1</v>
      </c>
      <c r="AX93" s="4">
        <v>-0.13400000000000001</v>
      </c>
      <c r="AY93" s="4">
        <v>0.59899999999999998</v>
      </c>
      <c r="AZ93" s="4">
        <v>-0.496</v>
      </c>
      <c r="BA93" s="4">
        <v>-0.28499999999999998</v>
      </c>
      <c r="BB93" s="4">
        <v>-0.63900000000000001</v>
      </c>
      <c r="BC93" s="4">
        <v>-0.748</v>
      </c>
      <c r="BD93" s="4">
        <v>-0.27100000000000002</v>
      </c>
      <c r="BE93" s="4">
        <v>0.34399999999999997</v>
      </c>
      <c r="BF93" s="4">
        <v>1</v>
      </c>
      <c r="BG93" s="4">
        <v>0.82699999999999996</v>
      </c>
      <c r="BH93" s="4">
        <v>-0.31</v>
      </c>
      <c r="BI93" s="4">
        <v>-0.88400000000000001</v>
      </c>
      <c r="BJ93" s="4">
        <v>8.3000000000000004E-2</v>
      </c>
      <c r="BK93" s="4">
        <v>-8.5000000000000006E-2</v>
      </c>
      <c r="BL93" s="4"/>
      <c r="BM93" s="4">
        <f t="shared" si="20"/>
        <v>5.2254100000000005E-2</v>
      </c>
    </row>
    <row r="94" spans="1:65" hidden="1" x14ac:dyDescent="0.3">
      <c r="A94" t="s">
        <v>78</v>
      </c>
      <c r="B94" s="53">
        <f t="shared" si="21"/>
        <v>0</v>
      </c>
      <c r="C94" s="53">
        <f t="shared" si="14"/>
        <v>0</v>
      </c>
      <c r="D94" s="53">
        <f t="shared" si="15"/>
        <v>0</v>
      </c>
      <c r="E94" s="53">
        <f t="shared" si="16"/>
        <v>0</v>
      </c>
      <c r="F94" s="15">
        <v>0.97099999999999997</v>
      </c>
      <c r="G94">
        <v>1.085</v>
      </c>
      <c r="H94" t="s">
        <v>57</v>
      </c>
      <c r="I94" t="str">
        <f>VLOOKUP(A94,Planilha6!$BL$9:$BN$222,2,0)</f>
        <v>transportation</v>
      </c>
      <c r="J94" t="str">
        <f>VLOOKUP(A94,Planilha6!$BL$9:$BN$222,3,0)</f>
        <v>neutral_beta</v>
      </c>
      <c r="K94" s="41">
        <v>0</v>
      </c>
      <c r="L94" s="42">
        <v>0</v>
      </c>
      <c r="M94" s="41">
        <f>VLOOKUP(A94,'Mandato Ibov'!$B$1:$C$215,2,0)</f>
        <v>0</v>
      </c>
      <c r="N94" s="59">
        <f t="shared" si="17"/>
        <v>0</v>
      </c>
      <c r="O94" s="42">
        <f t="shared" si="18"/>
        <v>0</v>
      </c>
      <c r="P94" s="59">
        <f>VLOOKUP(A94,'Mandato Ibov'!$B$2:$D$215,3,0)</f>
        <v>0</v>
      </c>
      <c r="Q94" s="42">
        <f t="shared" si="19"/>
        <v>0</v>
      </c>
      <c r="R94" s="15">
        <v>-0.33900000000000002</v>
      </c>
      <c r="S94" s="15">
        <v>-0.29499999999999998</v>
      </c>
      <c r="T94" s="15">
        <v>-7.6999999999999999E-2</v>
      </c>
      <c r="U94" s="15">
        <v>-0.373</v>
      </c>
      <c r="V94" s="15">
        <v>-0.17599999999999999</v>
      </c>
      <c r="W94" s="15">
        <v>-0.20599999999999999</v>
      </c>
      <c r="X94" s="15">
        <v>-7.4999999999999997E-2</v>
      </c>
      <c r="Y94" s="15">
        <v>0.09</v>
      </c>
      <c r="Z94" s="15">
        <v>0.26200000000000001</v>
      </c>
      <c r="AA94" s="15">
        <v>0.26900000000000002</v>
      </c>
      <c r="AB94" s="15">
        <v>0.65800000000000003</v>
      </c>
      <c r="AC94" s="15">
        <v>0.58899999999999997</v>
      </c>
      <c r="AD94" s="15">
        <v>0.41099999999999998</v>
      </c>
      <c r="AE94" s="14">
        <v>2.4E-2</v>
      </c>
      <c r="AF94" s="15">
        <v>-0.19</v>
      </c>
      <c r="AG94" s="15">
        <v>-0.85399999999999998</v>
      </c>
      <c r="AH94" s="15">
        <v>-9.8000000000000004E-2</v>
      </c>
      <c r="AI94" s="15">
        <v>-0.46200000000000002</v>
      </c>
      <c r="AJ94" s="16">
        <v>0.98399999999999999</v>
      </c>
      <c r="AK94" s="4">
        <v>-0.159</v>
      </c>
      <c r="AL94" s="4">
        <v>0.318</v>
      </c>
      <c r="AM94" s="4">
        <v>-0.874</v>
      </c>
      <c r="AN94" s="4">
        <v>0.14099999999999999</v>
      </c>
      <c r="AO94" s="4">
        <v>-0.16900000000000001</v>
      </c>
      <c r="AP94" s="4">
        <v>-0.34799999999999998</v>
      </c>
      <c r="AQ94" s="4">
        <v>0.26600000000000001</v>
      </c>
      <c r="AR94" s="4">
        <v>-0.161</v>
      </c>
      <c r="AS94" s="4">
        <v>-0.96599999999999997</v>
      </c>
      <c r="AT94" s="4">
        <v>0.90900000000000003</v>
      </c>
      <c r="AU94" s="4">
        <v>-0.28000000000000003</v>
      </c>
      <c r="AV94" s="4">
        <v>4.2000000000000003E-2</v>
      </c>
      <c r="AW94" s="4">
        <v>0.38100000000000001</v>
      </c>
      <c r="AX94" s="4">
        <v>7.4999999999999997E-2</v>
      </c>
      <c r="AY94" s="4">
        <v>0.90700000000000003</v>
      </c>
      <c r="AZ94" s="4">
        <v>0.47299999999999998</v>
      </c>
      <c r="BA94" s="4">
        <v>0.35799999999999998</v>
      </c>
      <c r="BB94" s="4">
        <v>-0.09</v>
      </c>
      <c r="BC94" s="4">
        <v>-0.42</v>
      </c>
      <c r="BD94" s="4">
        <v>4.8000000000000001E-2</v>
      </c>
      <c r="BE94" s="4">
        <v>-3.9E-2</v>
      </c>
      <c r="BF94" s="4">
        <v>0.38</v>
      </c>
      <c r="BG94" s="4">
        <v>0.34899999999999998</v>
      </c>
      <c r="BH94" s="4">
        <v>-0.59899999999999998</v>
      </c>
      <c r="BI94" s="4">
        <v>0.27</v>
      </c>
      <c r="BJ94" s="4">
        <v>0.34499999999999997</v>
      </c>
      <c r="BK94" s="4">
        <v>0.59399999999999997</v>
      </c>
      <c r="BL94" s="4"/>
      <c r="BM94" s="4">
        <f t="shared" si="20"/>
        <v>4.8553799999999994E-2</v>
      </c>
    </row>
    <row r="95" spans="1:65" hidden="1" x14ac:dyDescent="0.3">
      <c r="A95" t="s">
        <v>142</v>
      </c>
      <c r="B95" s="53">
        <f t="shared" si="21"/>
        <v>0</v>
      </c>
      <c r="C95" s="53">
        <f t="shared" si="14"/>
        <v>0</v>
      </c>
      <c r="D95" s="53">
        <f t="shared" si="15"/>
        <v>0</v>
      </c>
      <c r="E95" s="53">
        <f t="shared" si="16"/>
        <v>0</v>
      </c>
      <c r="F95" s="15">
        <v>0.96699999999999997</v>
      </c>
      <c r="G95">
        <v>0.85899999999999999</v>
      </c>
      <c r="H95" t="s">
        <v>53</v>
      </c>
      <c r="I95" t="str">
        <f>VLOOKUP(A95,Planilha6!$BL$9:$BN$222,2,0)</f>
        <v>consumer_staples</v>
      </c>
      <c r="J95" t="str">
        <f>VLOOKUP(A95,Planilha6!$BL$9:$BN$222,3,0)</f>
        <v>low_beta</v>
      </c>
      <c r="K95" s="41">
        <v>0</v>
      </c>
      <c r="L95" s="42">
        <v>0</v>
      </c>
      <c r="M95" s="41">
        <f>VLOOKUP(A95,'Mandato Ibov'!$B$1:$C$215,2,0)</f>
        <v>0</v>
      </c>
      <c r="N95" s="59">
        <f t="shared" si="17"/>
        <v>0</v>
      </c>
      <c r="O95" s="42">
        <f t="shared" si="18"/>
        <v>0</v>
      </c>
      <c r="P95" s="59">
        <f>VLOOKUP(A95,'Mandato Ibov'!$B$2:$D$215,3,0)</f>
        <v>0</v>
      </c>
      <c r="Q95" s="42">
        <f t="shared" si="19"/>
        <v>0</v>
      </c>
      <c r="R95" s="15">
        <v>-9.5000000000000001E-2</v>
      </c>
      <c r="S95" s="15">
        <v>-0.27600000000000002</v>
      </c>
      <c r="T95" s="15">
        <v>-0.106</v>
      </c>
      <c r="U95" s="15">
        <v>-0.248</v>
      </c>
      <c r="V95" s="15">
        <v>-0.20799999999999999</v>
      </c>
      <c r="W95" s="15">
        <v>-8.0000000000000002E-3</v>
      </c>
      <c r="X95" s="15">
        <v>0.105</v>
      </c>
      <c r="Y95" s="15">
        <v>-0.28999999999999998</v>
      </c>
      <c r="Z95" s="15">
        <v>0.27700000000000002</v>
      </c>
      <c r="AA95" s="15">
        <v>0.28100000000000003</v>
      </c>
      <c r="AB95" s="15">
        <v>0.65100000000000002</v>
      </c>
      <c r="AC95" s="15">
        <v>0.49399999999999999</v>
      </c>
      <c r="AD95" s="15">
        <v>0.45400000000000001</v>
      </c>
      <c r="AE95" s="14">
        <v>0.36799999999999999</v>
      </c>
      <c r="AF95" s="15">
        <v>-4.8000000000000001E-2</v>
      </c>
      <c r="AG95" s="15">
        <v>-0.88500000000000001</v>
      </c>
      <c r="AH95" s="15">
        <v>-0.59799999999999998</v>
      </c>
      <c r="AI95" s="15">
        <v>-0.92500000000000004</v>
      </c>
      <c r="AJ95" s="16">
        <v>0.11899999999999999</v>
      </c>
      <c r="AK95" s="4">
        <v>-0.11799999999999999</v>
      </c>
      <c r="AL95" s="4">
        <v>-0.53900000000000003</v>
      </c>
      <c r="AM95" s="4">
        <v>-0.27500000000000002</v>
      </c>
      <c r="AN95" s="4">
        <v>0.36899999999999999</v>
      </c>
      <c r="AO95" s="4">
        <v>-0.623</v>
      </c>
      <c r="AP95" s="4">
        <v>-0.45800000000000002</v>
      </c>
      <c r="AQ95" s="4">
        <v>0.42599999999999999</v>
      </c>
      <c r="AR95" s="4">
        <v>2.1000000000000001E-2</v>
      </c>
      <c r="AS95" s="4">
        <v>0.22800000000000001</v>
      </c>
      <c r="AT95" s="4">
        <v>0.25</v>
      </c>
      <c r="AU95" s="4">
        <v>-0.28199999999999997</v>
      </c>
      <c r="AV95" s="4">
        <v>0.52800000000000002</v>
      </c>
      <c r="AW95" s="4">
        <v>0.60599999999999998</v>
      </c>
      <c r="AX95" s="4">
        <v>0.24</v>
      </c>
      <c r="AY95" s="4">
        <v>0.91200000000000003</v>
      </c>
      <c r="AZ95" s="4">
        <v>0.55700000000000005</v>
      </c>
      <c r="BA95" s="4">
        <v>0.58899999999999997</v>
      </c>
      <c r="BB95" s="4">
        <v>0.14799999999999999</v>
      </c>
      <c r="BC95" s="4">
        <v>1.6E-2</v>
      </c>
      <c r="BD95" s="4">
        <v>0.53100000000000003</v>
      </c>
      <c r="BE95" s="4">
        <v>0.03</v>
      </c>
      <c r="BF95" s="4">
        <v>-0.77300000000000002</v>
      </c>
      <c r="BG95" s="4">
        <v>0.67</v>
      </c>
      <c r="BH95" s="4">
        <v>-0.11899999999999999</v>
      </c>
      <c r="BI95" s="4">
        <v>-0.17699999999999999</v>
      </c>
      <c r="BJ95" s="4">
        <v>0.45500000000000002</v>
      </c>
      <c r="BK95" s="4">
        <v>4.5999999999999999E-2</v>
      </c>
      <c r="BL95" s="4"/>
      <c r="BM95" s="4">
        <f t="shared" si="20"/>
        <v>4.690850000000002E-2</v>
      </c>
    </row>
    <row r="96" spans="1:65" hidden="1" x14ac:dyDescent="0.3">
      <c r="A96" t="s">
        <v>134</v>
      </c>
      <c r="B96" s="53">
        <f t="shared" si="21"/>
        <v>0</v>
      </c>
      <c r="C96" s="53">
        <f t="shared" si="14"/>
        <v>-3.6999999999999998E-2</v>
      </c>
      <c r="D96" s="53">
        <f t="shared" si="15"/>
        <v>0</v>
      </c>
      <c r="E96" s="53">
        <f t="shared" si="16"/>
        <v>3.6999999999999998E-2</v>
      </c>
      <c r="F96" s="15">
        <v>0.96199999999999997</v>
      </c>
      <c r="G96">
        <v>2.0990000000000002</v>
      </c>
      <c r="H96" t="s">
        <v>57</v>
      </c>
      <c r="I96" t="str">
        <f>VLOOKUP(A96,Planilha6!$BL$9:$BN$222,2,0)</f>
        <v>banks</v>
      </c>
      <c r="J96" t="str">
        <f>VLOOKUP(A96,Planilha6!$BL$9:$BN$222,3,0)</f>
        <v>neutral_beta</v>
      </c>
      <c r="K96" s="41">
        <v>0</v>
      </c>
      <c r="L96" s="42">
        <v>-3.6999999999999998E-2</v>
      </c>
      <c r="M96" s="41">
        <f>VLOOKUP(A96,'Mandato Ibov'!$B$1:$C$215,2,0)</f>
        <v>0</v>
      </c>
      <c r="N96" s="59">
        <f t="shared" si="17"/>
        <v>0</v>
      </c>
      <c r="O96" s="42">
        <f t="shared" si="18"/>
        <v>0</v>
      </c>
      <c r="P96" s="59">
        <f>VLOOKUP(A96,'Mandato Ibov'!$B$2:$D$215,3,0)</f>
        <v>3.51086809172367E-2</v>
      </c>
      <c r="Q96" s="42">
        <f t="shared" si="19"/>
        <v>-3.51086809172367E-2</v>
      </c>
      <c r="R96" s="15">
        <v>-0.58199999999999996</v>
      </c>
      <c r="S96" s="15">
        <v>-6.5000000000000002E-2</v>
      </c>
      <c r="T96" s="15">
        <v>-0.80600000000000005</v>
      </c>
      <c r="U96" s="15">
        <v>-0.40200000000000002</v>
      </c>
      <c r="V96" s="15">
        <v>-0.33900000000000002</v>
      </c>
      <c r="W96" s="15">
        <v>-0.24099999999999999</v>
      </c>
      <c r="X96" s="15">
        <v>-6.6000000000000003E-2</v>
      </c>
      <c r="Y96" s="15">
        <v>-3.7999999999999999E-2</v>
      </c>
      <c r="Z96" s="15">
        <v>0.78400000000000003</v>
      </c>
      <c r="AA96" s="15">
        <v>0.78900000000000003</v>
      </c>
      <c r="AB96" s="15">
        <v>0.69899999999999995</v>
      </c>
      <c r="AC96" s="15">
        <v>0.81100000000000005</v>
      </c>
      <c r="AD96" s="15">
        <v>0.629</v>
      </c>
      <c r="AE96" s="14">
        <v>-0.62</v>
      </c>
      <c r="AF96" s="15">
        <v>-0.17499999999999999</v>
      </c>
      <c r="AG96" s="15">
        <v>0.35899999999999999</v>
      </c>
      <c r="AH96" s="15">
        <v>-0.93200000000000005</v>
      </c>
      <c r="AI96" s="15">
        <v>-0.878</v>
      </c>
      <c r="AJ96" s="16">
        <v>-1</v>
      </c>
      <c r="AK96" s="4">
        <v>-0.154</v>
      </c>
      <c r="AL96" s="4">
        <v>9.8000000000000004E-2</v>
      </c>
      <c r="AM96" s="4">
        <v>-5.3999999999999999E-2</v>
      </c>
      <c r="AN96" s="4">
        <v>-1.0999999999999999E-2</v>
      </c>
      <c r="AO96" s="4">
        <v>0.154</v>
      </c>
      <c r="AP96" s="4">
        <v>0.314</v>
      </c>
      <c r="AQ96" s="4">
        <v>5.7000000000000002E-2</v>
      </c>
      <c r="AR96" s="4">
        <v>0.27600000000000002</v>
      </c>
      <c r="AS96" s="4">
        <v>0.77500000000000002</v>
      </c>
      <c r="AT96" s="4">
        <v>-4.2000000000000003E-2</v>
      </c>
      <c r="AU96" s="4">
        <v>-0.115</v>
      </c>
      <c r="AV96" s="4">
        <v>-0.33500000000000002</v>
      </c>
      <c r="AW96" s="4">
        <v>0.23100000000000001</v>
      </c>
      <c r="AX96" s="4">
        <v>-0.33700000000000002</v>
      </c>
      <c r="AY96" s="4">
        <v>0.84</v>
      </c>
      <c r="AZ96" s="4">
        <v>0.35499999999999998</v>
      </c>
      <c r="BA96" s="4">
        <v>-0.39</v>
      </c>
      <c r="BB96" s="4">
        <v>-0.20699999999999999</v>
      </c>
      <c r="BC96" s="4">
        <v>-0.2</v>
      </c>
      <c r="BD96" s="4">
        <v>0.36899999999999999</v>
      </c>
      <c r="BE96" s="4">
        <v>-0.11700000000000001</v>
      </c>
      <c r="BF96" s="4">
        <v>-0.56999999999999995</v>
      </c>
      <c r="BG96" s="4">
        <v>0.72099999999999997</v>
      </c>
      <c r="BH96" s="4">
        <v>-0.42899999999999999</v>
      </c>
      <c r="BI96" s="4">
        <v>0.04</v>
      </c>
      <c r="BJ96" s="4">
        <v>-0.25900000000000001</v>
      </c>
      <c r="BK96" s="4">
        <v>-0.754</v>
      </c>
      <c r="BL96" s="4"/>
      <c r="BM96" s="4">
        <f t="shared" si="20"/>
        <v>4.4993000000000033E-2</v>
      </c>
    </row>
    <row r="97" spans="1:65" hidden="1" x14ac:dyDescent="0.3">
      <c r="A97" t="s">
        <v>107</v>
      </c>
      <c r="B97" s="53">
        <f t="shared" si="21"/>
        <v>0</v>
      </c>
      <c r="C97" s="53">
        <f t="shared" si="14"/>
        <v>-4.0000000000000001E-3</v>
      </c>
      <c r="D97" s="53">
        <f t="shared" si="15"/>
        <v>0</v>
      </c>
      <c r="E97" s="53">
        <f t="shared" si="16"/>
        <v>4.0000000000000001E-3</v>
      </c>
      <c r="F97" s="15">
        <v>0.95599999999999996</v>
      </c>
      <c r="G97">
        <v>1.415</v>
      </c>
      <c r="H97" t="s">
        <v>53</v>
      </c>
      <c r="I97" t="str">
        <f>VLOOKUP(A97,Planilha6!$BL$9:$BN$222,2,0)</f>
        <v>float_financials</v>
      </c>
      <c r="J97" t="str">
        <f>VLOOKUP(A97,Planilha6!$BL$9:$BN$222,3,0)</f>
        <v>very_low_beta</v>
      </c>
      <c r="K97" s="41">
        <v>0</v>
      </c>
      <c r="L97" s="42">
        <v>-4.0000000000000001E-3</v>
      </c>
      <c r="M97" s="41">
        <f>VLOOKUP(A97,'Mandato Ibov'!$B$1:$C$215,2,0)</f>
        <v>0</v>
      </c>
      <c r="N97" s="59">
        <f t="shared" si="17"/>
        <v>0</v>
      </c>
      <c r="O97" s="42">
        <f t="shared" si="18"/>
        <v>0</v>
      </c>
      <c r="P97" s="59">
        <f>VLOOKUP(A97,'Mandato Ibov'!$B$2:$D$215,3,0)</f>
        <v>1.20161548263553E-2</v>
      </c>
      <c r="Q97" s="42">
        <f t="shared" si="19"/>
        <v>-1.20161548263553E-2</v>
      </c>
      <c r="R97" s="15">
        <v>-0.69</v>
      </c>
      <c r="S97" s="15">
        <v>-0.17299999999999999</v>
      </c>
      <c r="T97" s="15">
        <v>-0.86699999999999999</v>
      </c>
      <c r="U97" s="15">
        <v>-0.252</v>
      </c>
      <c r="V97" s="15">
        <v>-0.30599999999999999</v>
      </c>
      <c r="W97" s="15">
        <v>-0.192</v>
      </c>
      <c r="X97" s="15">
        <v>0.33700000000000002</v>
      </c>
      <c r="Y97" s="15">
        <v>8.8999999999999996E-2</v>
      </c>
      <c r="Z97" s="15">
        <v>0.49199999999999999</v>
      </c>
      <c r="AA97" s="15">
        <v>0.5</v>
      </c>
      <c r="AB97" s="15">
        <v>0.70799999999999996</v>
      </c>
      <c r="AC97" s="15">
        <v>0.86299999999999999</v>
      </c>
      <c r="AD97" s="15">
        <v>0.54600000000000004</v>
      </c>
      <c r="AE97" s="14">
        <v>-0.193</v>
      </c>
      <c r="AF97" s="15">
        <v>-0.14000000000000001</v>
      </c>
      <c r="AG97" s="15">
        <v>0.23400000000000001</v>
      </c>
      <c r="AH97" s="15">
        <v>-0.91400000000000003</v>
      </c>
      <c r="AI97" s="15">
        <v>-0.57999999999999996</v>
      </c>
      <c r="AJ97" s="16">
        <v>-0.54900000000000004</v>
      </c>
      <c r="AK97" s="4">
        <v>-0.312</v>
      </c>
      <c r="AL97" s="4">
        <v>9.2999999999999999E-2</v>
      </c>
      <c r="AM97" s="4">
        <v>-0.872</v>
      </c>
      <c r="AN97" s="4">
        <v>-0.20100000000000001</v>
      </c>
      <c r="AO97" s="4">
        <v>0.52600000000000002</v>
      </c>
      <c r="AP97" s="4">
        <v>0.61499999999999999</v>
      </c>
      <c r="AQ97" s="4">
        <v>0.11899999999999999</v>
      </c>
      <c r="AR97" s="4">
        <v>1.0999999999999999E-2</v>
      </c>
      <c r="AS97" s="4">
        <v>-0.32100000000000001</v>
      </c>
      <c r="AT97" s="4">
        <v>0.29099999999999998</v>
      </c>
      <c r="AU97" s="4">
        <v>0.33300000000000002</v>
      </c>
      <c r="AV97" s="4">
        <v>6.4000000000000001E-2</v>
      </c>
      <c r="AW97" s="4">
        <v>0.79400000000000004</v>
      </c>
      <c r="AX97" s="4">
        <v>3.4000000000000002E-2</v>
      </c>
      <c r="AY97" s="4">
        <v>0.88400000000000001</v>
      </c>
      <c r="AZ97" s="4">
        <v>-1</v>
      </c>
      <c r="BA97" s="4">
        <v>-3.5999999999999997E-2</v>
      </c>
      <c r="BB97" s="4">
        <v>-9.9000000000000005E-2</v>
      </c>
      <c r="BC97" s="4">
        <v>-0.223</v>
      </c>
      <c r="BD97" s="4">
        <v>-0.85899999999999999</v>
      </c>
      <c r="BE97" s="4">
        <v>0.24099999999999999</v>
      </c>
      <c r="BF97" s="4">
        <v>0.38900000000000001</v>
      </c>
      <c r="BG97" s="4">
        <v>0.73699999999999999</v>
      </c>
      <c r="BH97" s="4">
        <v>-0.70599999999999996</v>
      </c>
      <c r="BI97" s="4">
        <v>-0.36299999999999999</v>
      </c>
      <c r="BJ97" s="4">
        <v>0.20100000000000001</v>
      </c>
      <c r="BK97" s="4">
        <v>-0.48099999999999998</v>
      </c>
      <c r="BL97" s="4"/>
      <c r="BM97" s="4">
        <f t="shared" si="20"/>
        <v>4.2667000000000038E-2</v>
      </c>
    </row>
    <row r="98" spans="1:65" hidden="1" x14ac:dyDescent="0.3">
      <c r="A98" t="s">
        <v>152</v>
      </c>
      <c r="B98" s="53">
        <f t="shared" si="21"/>
        <v>0</v>
      </c>
      <c r="C98" s="53">
        <f t="shared" si="14"/>
        <v>0</v>
      </c>
      <c r="D98" s="53">
        <f t="shared" si="15"/>
        <v>0</v>
      </c>
      <c r="E98" s="53">
        <f t="shared" si="16"/>
        <v>0</v>
      </c>
      <c r="F98" s="15">
        <v>0.95399999999999996</v>
      </c>
      <c r="G98">
        <v>0.72599999999999998</v>
      </c>
      <c r="H98" t="s">
        <v>57</v>
      </c>
      <c r="I98" t="str">
        <f>VLOOKUP(A98,Planilha6!$BL$9:$BN$222,2,0)</f>
        <v>homebuilders</v>
      </c>
      <c r="J98" t="str">
        <f>VLOOKUP(A98,Planilha6!$BL$9:$BN$222,3,0)</f>
        <v>neutral_beta</v>
      </c>
      <c r="K98" s="41">
        <v>0</v>
      </c>
      <c r="L98" s="42">
        <v>0</v>
      </c>
      <c r="M98" s="41">
        <f>VLOOKUP(A98,'Mandato Ibov'!$B$1:$C$215,2,0)</f>
        <v>0</v>
      </c>
      <c r="N98" s="59">
        <f t="shared" si="17"/>
        <v>0</v>
      </c>
      <c r="O98" s="42">
        <f t="shared" si="18"/>
        <v>0</v>
      </c>
      <c r="P98" s="59">
        <f>VLOOKUP(A98,'Mandato Ibov'!$B$2:$D$215,3,0)</f>
        <v>6.1114966348128699E-3</v>
      </c>
      <c r="Q98" s="42">
        <f t="shared" si="19"/>
        <v>-6.1114966348128699E-3</v>
      </c>
      <c r="R98" s="15">
        <v>0.20200000000000001</v>
      </c>
      <c r="S98" s="15">
        <v>2.4E-2</v>
      </c>
      <c r="T98" s="15">
        <v>-0.20300000000000001</v>
      </c>
      <c r="U98" s="15">
        <v>8.2000000000000003E-2</v>
      </c>
      <c r="V98" s="15">
        <v>-7.0999999999999994E-2</v>
      </c>
      <c r="W98" s="15">
        <v>-0.216</v>
      </c>
      <c r="X98" s="15">
        <v>-0.46100000000000002</v>
      </c>
      <c r="Y98" s="15">
        <v>-0.56200000000000006</v>
      </c>
      <c r="Z98" s="15">
        <v>0.219</v>
      </c>
      <c r="AA98" s="15">
        <v>0.218</v>
      </c>
      <c r="AB98" s="15">
        <v>0.77200000000000002</v>
      </c>
      <c r="AC98" s="15">
        <v>0.79300000000000004</v>
      </c>
      <c r="AD98" s="15">
        <v>0.51600000000000001</v>
      </c>
      <c r="AE98" s="14">
        <v>-7.1999999999999995E-2</v>
      </c>
      <c r="AF98" s="15">
        <v>0.15</v>
      </c>
      <c r="AG98" s="15">
        <v>3.5000000000000003E-2</v>
      </c>
      <c r="AH98" s="15">
        <v>-0.57099999999999995</v>
      </c>
      <c r="AI98" s="15">
        <v>0.71399999999999997</v>
      </c>
      <c r="AJ98" s="16">
        <v>-5.0000000000000001E-3</v>
      </c>
      <c r="AK98" s="4">
        <v>-0.16800000000000001</v>
      </c>
      <c r="AL98" s="4">
        <v>-0.77</v>
      </c>
      <c r="AM98" s="4">
        <v>-0.73299999999999998</v>
      </c>
      <c r="AN98" s="4">
        <v>0.42399999999999999</v>
      </c>
      <c r="AO98" s="4">
        <v>0.32200000000000001</v>
      </c>
      <c r="AP98" s="4">
        <v>0.83499999999999996</v>
      </c>
      <c r="AQ98" s="4">
        <v>0.81399999999999995</v>
      </c>
      <c r="AR98" s="4">
        <v>0.82899999999999996</v>
      </c>
      <c r="AS98" s="4">
        <v>0.39800000000000002</v>
      </c>
      <c r="AT98" s="4">
        <v>0.432</v>
      </c>
      <c r="AU98" s="4">
        <v>-0.192</v>
      </c>
      <c r="AV98" s="4">
        <v>0.45</v>
      </c>
      <c r="AW98" s="4">
        <v>-0.29099999999999998</v>
      </c>
      <c r="AX98" s="4">
        <v>3.5000000000000003E-2</v>
      </c>
      <c r="AY98" s="4">
        <v>-0.21299999999999999</v>
      </c>
      <c r="AZ98" s="4">
        <v>0.37</v>
      </c>
      <c r="BA98" s="4">
        <v>0.53800000000000003</v>
      </c>
      <c r="BB98" s="4">
        <v>-0.23599999999999999</v>
      </c>
      <c r="BC98" s="4">
        <v>-0.151</v>
      </c>
      <c r="BD98" s="4">
        <v>0.69399999999999995</v>
      </c>
      <c r="BE98" s="4">
        <v>-0.35499999999999998</v>
      </c>
      <c r="BF98" s="4">
        <v>-0.55200000000000005</v>
      </c>
      <c r="BG98" s="4">
        <v>-0.17100000000000001</v>
      </c>
      <c r="BH98" s="4">
        <v>-0.68799999999999994</v>
      </c>
      <c r="BI98" s="4">
        <v>0.34499999999999997</v>
      </c>
      <c r="BJ98" s="4">
        <v>-0.79200000000000004</v>
      </c>
      <c r="BK98" s="4">
        <v>1.2999999999999999E-2</v>
      </c>
      <c r="BL98" s="4"/>
      <c r="BM98" s="4">
        <f t="shared" si="20"/>
        <v>4.1939199999999982E-2</v>
      </c>
    </row>
    <row r="99" spans="1:65" hidden="1" x14ac:dyDescent="0.3">
      <c r="A99" t="s">
        <v>132</v>
      </c>
      <c r="B99" s="53">
        <f t="shared" si="21"/>
        <v>0</v>
      </c>
      <c r="C99" s="53">
        <f t="shared" si="14"/>
        <v>0</v>
      </c>
      <c r="D99" s="53">
        <f t="shared" si="15"/>
        <v>0</v>
      </c>
      <c r="E99" s="53">
        <f t="shared" si="16"/>
        <v>0</v>
      </c>
      <c r="F99" s="15">
        <v>0.93300000000000005</v>
      </c>
      <c r="G99">
        <v>0.76200000000000001</v>
      </c>
      <c r="H99" t="s">
        <v>53</v>
      </c>
      <c r="I99" t="str">
        <f>VLOOKUP(A99,Planilha6!$BL$9:$BN$222,2,0)</f>
        <v>healthcare</v>
      </c>
      <c r="J99" t="str">
        <f>VLOOKUP(A99,Planilha6!$BL$9:$BN$222,3,0)</f>
        <v>high_beta</v>
      </c>
      <c r="K99" s="41">
        <v>0</v>
      </c>
      <c r="L99" s="42">
        <v>0</v>
      </c>
      <c r="M99" s="41">
        <f>VLOOKUP(A99,'Mandato Ibov'!$B$1:$C$215,2,0)</f>
        <v>0</v>
      </c>
      <c r="N99" s="59">
        <f t="shared" si="17"/>
        <v>0</v>
      </c>
      <c r="O99" s="42">
        <f t="shared" si="18"/>
        <v>0</v>
      </c>
      <c r="P99" s="59">
        <f>VLOOKUP(A99,'Mandato Ibov'!$B$2:$D$215,3,0)</f>
        <v>0</v>
      </c>
      <c r="Q99" s="42">
        <f t="shared" si="19"/>
        <v>0</v>
      </c>
      <c r="R99" s="15">
        <v>-0.318</v>
      </c>
      <c r="S99" s="15">
        <v>-0.20100000000000001</v>
      </c>
      <c r="T99" s="15">
        <v>-0.51800000000000002</v>
      </c>
      <c r="U99" s="15">
        <v>-0.26300000000000001</v>
      </c>
      <c r="V99" s="15">
        <v>-0.28100000000000003</v>
      </c>
      <c r="W99" s="15">
        <v>-0.25800000000000001</v>
      </c>
      <c r="X99" s="15">
        <v>-0.111</v>
      </c>
      <c r="Y99" s="15">
        <v>-0.29799999999999999</v>
      </c>
      <c r="Z99" s="15">
        <v>0.55900000000000005</v>
      </c>
      <c r="AA99" s="15">
        <v>0.55600000000000005</v>
      </c>
      <c r="AB99" s="15">
        <v>0.70499999999999996</v>
      </c>
      <c r="AC99" s="15">
        <v>0.71799999999999997</v>
      </c>
      <c r="AD99" s="15">
        <v>0.68200000000000005</v>
      </c>
      <c r="AE99" s="14">
        <v>-0.27800000000000002</v>
      </c>
      <c r="AF99" s="15">
        <v>-0.46</v>
      </c>
      <c r="AG99" s="15">
        <v>8.8999999999999996E-2</v>
      </c>
      <c r="AH99" s="15">
        <v>-0.55200000000000005</v>
      </c>
      <c r="AI99" s="15">
        <v>0.63300000000000001</v>
      </c>
      <c r="AJ99" s="16">
        <v>-0.54900000000000004</v>
      </c>
      <c r="AK99" s="4">
        <v>-0.253</v>
      </c>
      <c r="AL99" s="4">
        <v>-9.6000000000000002E-2</v>
      </c>
      <c r="AM99" s="4">
        <v>-0.443</v>
      </c>
      <c r="AN99" s="4">
        <v>-0.154</v>
      </c>
      <c r="AO99" s="4">
        <v>0.57799999999999996</v>
      </c>
      <c r="AP99" s="4">
        <v>-0.34300000000000003</v>
      </c>
      <c r="AQ99" s="4">
        <v>0.186</v>
      </c>
      <c r="AR99" s="4">
        <v>0.38800000000000001</v>
      </c>
      <c r="AS99" s="4">
        <v>0.17100000000000001</v>
      </c>
      <c r="AT99" s="4">
        <v>0.42499999999999999</v>
      </c>
      <c r="AU99" s="4">
        <v>-0.34</v>
      </c>
      <c r="AV99" s="4">
        <v>0.22</v>
      </c>
      <c r="AW99" s="4">
        <v>-0.13</v>
      </c>
      <c r="AX99" s="4">
        <v>-0.19</v>
      </c>
      <c r="AY99" s="4">
        <v>0.91300000000000003</v>
      </c>
      <c r="AZ99" s="4">
        <v>-0.38400000000000001</v>
      </c>
      <c r="BA99" s="4">
        <v>0.751</v>
      </c>
      <c r="BB99" s="4">
        <v>-0.28000000000000003</v>
      </c>
      <c r="BC99" s="4">
        <v>-0.41899999999999998</v>
      </c>
      <c r="BD99" s="4">
        <v>0.377</v>
      </c>
      <c r="BE99" s="4">
        <v>0.57499999999999996</v>
      </c>
      <c r="BF99" s="4">
        <v>-0.27500000000000002</v>
      </c>
      <c r="BG99" s="4">
        <v>0.63900000000000001</v>
      </c>
      <c r="BH99" s="4">
        <v>-0.45700000000000002</v>
      </c>
      <c r="BI99" s="4">
        <v>0.20200000000000001</v>
      </c>
      <c r="BJ99" s="4">
        <v>-7.6999999999999999E-2</v>
      </c>
      <c r="BK99" s="4">
        <v>0.186</v>
      </c>
      <c r="BL99" s="4"/>
      <c r="BM99" s="4">
        <f t="shared" si="20"/>
        <v>3.3816600000000002E-2</v>
      </c>
    </row>
    <row r="100" spans="1:65" x14ac:dyDescent="0.3">
      <c r="A100" t="s">
        <v>172</v>
      </c>
      <c r="B100" s="53">
        <f t="shared" si="21"/>
        <v>0</v>
      </c>
      <c r="C100" s="53">
        <f t="shared" si="14"/>
        <v>-5.0000000000000001E-3</v>
      </c>
      <c r="D100" s="53">
        <f t="shared" si="15"/>
        <v>0</v>
      </c>
      <c r="E100" s="53">
        <f t="shared" si="16"/>
        <v>5.0000000000000001E-3</v>
      </c>
      <c r="F100" s="15">
        <v>0.92600000000000005</v>
      </c>
      <c r="G100">
        <v>1.4019999999999999</v>
      </c>
      <c r="H100" t="s">
        <v>71</v>
      </c>
      <c r="I100" t="str">
        <f>VLOOKUP(A100,Planilha6!$BL$9:$BN$222,2,0)</f>
        <v>basic_materials</v>
      </c>
      <c r="J100" t="str">
        <f>VLOOKUP(A100,Planilha6!$BL$9:$BN$222,3,0)</f>
        <v>low_beta</v>
      </c>
      <c r="K100" s="41">
        <v>0</v>
      </c>
      <c r="L100" s="42">
        <v>-5.0000000000000001E-3</v>
      </c>
      <c r="M100" s="41">
        <f>VLOOKUP(A100,'Mandato Ibov'!$B$1:$C$215,2,0)</f>
        <v>0</v>
      </c>
      <c r="N100" s="59">
        <f t="shared" si="17"/>
        <v>0</v>
      </c>
      <c r="O100" s="42">
        <f t="shared" si="18"/>
        <v>0</v>
      </c>
      <c r="P100" s="59">
        <f>VLOOKUP(A100,'Mandato Ibov'!$B$2:$D$215,3,0)</f>
        <v>0</v>
      </c>
      <c r="Q100" s="42">
        <f t="shared" si="19"/>
        <v>0</v>
      </c>
      <c r="R100" s="15">
        <v>-0.77100000000000002</v>
      </c>
      <c r="S100" s="15">
        <v>-0.21</v>
      </c>
      <c r="T100" s="15">
        <v>-0.91700000000000004</v>
      </c>
      <c r="U100" s="15">
        <v>-0.49399999999999999</v>
      </c>
      <c r="V100" s="15">
        <v>-0.45800000000000002</v>
      </c>
      <c r="W100" s="15">
        <v>-0.13200000000000001</v>
      </c>
      <c r="X100" s="15">
        <v>0.14699999999999999</v>
      </c>
      <c r="Y100" s="15">
        <v>0.12</v>
      </c>
      <c r="Z100" s="15">
        <v>0.83299999999999996</v>
      </c>
      <c r="AA100" s="15">
        <v>0.83599999999999997</v>
      </c>
      <c r="AB100" s="15">
        <v>0.65200000000000002</v>
      </c>
      <c r="AC100" s="15">
        <v>0.65</v>
      </c>
      <c r="AD100" s="15">
        <v>0.56599999999999995</v>
      </c>
      <c r="AE100" s="14">
        <v>-1E-3</v>
      </c>
      <c r="AF100" s="15">
        <v>-0.82899999999999996</v>
      </c>
      <c r="AG100" s="15">
        <v>0.10199999999999999</v>
      </c>
      <c r="AH100" s="15">
        <v>-0.754</v>
      </c>
      <c r="AI100" s="15">
        <v>-0.63300000000000001</v>
      </c>
      <c r="AJ100" s="16">
        <v>-0.97499999999999998</v>
      </c>
      <c r="AK100" s="4">
        <v>0.122</v>
      </c>
      <c r="AL100" s="4">
        <v>0.04</v>
      </c>
      <c r="AM100" s="4">
        <v>-0.42299999999999999</v>
      </c>
      <c r="AN100" s="4">
        <v>-5.8000000000000003E-2</v>
      </c>
      <c r="AO100" s="4">
        <v>0.44500000000000001</v>
      </c>
      <c r="AP100" s="4">
        <v>-1.4E-2</v>
      </c>
      <c r="AQ100" s="4">
        <v>-0.38700000000000001</v>
      </c>
      <c r="AR100" s="4">
        <v>-0.65300000000000002</v>
      </c>
      <c r="AS100" s="4">
        <v>-0.49</v>
      </c>
      <c r="AT100" s="4">
        <v>0.184</v>
      </c>
      <c r="AU100" s="4">
        <v>-7.0999999999999994E-2</v>
      </c>
      <c r="AV100" s="4">
        <v>1.7000000000000001E-2</v>
      </c>
      <c r="AW100" s="4">
        <v>0.95099999999999996</v>
      </c>
      <c r="AX100" s="4">
        <v>-0.34599999999999997</v>
      </c>
      <c r="AY100" s="4">
        <v>0.75800000000000001</v>
      </c>
      <c r="AZ100" s="4">
        <v>-0.437</v>
      </c>
      <c r="BA100" s="4">
        <v>-0.22800000000000001</v>
      </c>
      <c r="BB100" s="4">
        <v>9.2999999999999999E-2</v>
      </c>
      <c r="BC100" s="4">
        <v>-7.0000000000000007E-2</v>
      </c>
      <c r="BD100" s="4">
        <v>0.217</v>
      </c>
      <c r="BE100" s="4">
        <v>0.43</v>
      </c>
      <c r="BF100" s="4">
        <v>0.31900000000000001</v>
      </c>
      <c r="BG100" s="4">
        <v>0.96099999999999997</v>
      </c>
      <c r="BH100" s="4">
        <v>-0.33900000000000002</v>
      </c>
      <c r="BI100" s="4">
        <v>-0.55800000000000005</v>
      </c>
      <c r="BJ100" s="4">
        <v>-0.06</v>
      </c>
      <c r="BK100" s="4">
        <v>-0.29599999999999999</v>
      </c>
      <c r="BL100" s="4"/>
      <c r="BM100" s="4">
        <f t="shared" si="20"/>
        <v>3.0769299999999958E-2</v>
      </c>
    </row>
    <row r="101" spans="1:65" hidden="1" x14ac:dyDescent="0.3">
      <c r="A101" t="s">
        <v>203</v>
      </c>
      <c r="B101" s="53">
        <f t="shared" si="21"/>
        <v>0</v>
      </c>
      <c r="C101" s="53">
        <f t="shared" si="14"/>
        <v>-3.0000000000000001E-3</v>
      </c>
      <c r="D101" s="53">
        <f t="shared" si="15"/>
        <v>0</v>
      </c>
      <c r="E101" s="53">
        <f t="shared" si="16"/>
        <v>3.0000000000000001E-3</v>
      </c>
      <c r="F101" s="15">
        <v>0.91</v>
      </c>
      <c r="G101">
        <v>0.99</v>
      </c>
      <c r="H101" t="s">
        <v>53</v>
      </c>
      <c r="I101" t="str">
        <f>VLOOKUP(A101,Planilha6!$BL$9:$BN$222,2,0)</f>
        <v>healthcare</v>
      </c>
      <c r="J101" t="str">
        <f>VLOOKUP(A101,Planilha6!$BL$9:$BN$222,3,0)</f>
        <v>low_beta</v>
      </c>
      <c r="K101" s="41">
        <v>0</v>
      </c>
      <c r="L101" s="42">
        <v>-3.0000000000000001E-3</v>
      </c>
      <c r="M101" s="41">
        <f>VLOOKUP(A101,'Mandato Ibov'!$B$1:$C$215,2,0)</f>
        <v>0</v>
      </c>
      <c r="N101" s="59">
        <f t="shared" si="17"/>
        <v>0</v>
      </c>
      <c r="O101" s="42">
        <f t="shared" si="18"/>
        <v>0</v>
      </c>
      <c r="P101" s="59">
        <f>VLOOKUP(A101,'Mandato Ibov'!$B$2:$D$215,3,0)</f>
        <v>0</v>
      </c>
      <c r="Q101" s="42">
        <f t="shared" si="19"/>
        <v>0</v>
      </c>
      <c r="R101" s="15">
        <v>-0.35</v>
      </c>
      <c r="S101" s="15">
        <v>-0.14299999999999999</v>
      </c>
      <c r="T101" s="15">
        <v>-0.56799999999999995</v>
      </c>
      <c r="U101" s="15">
        <v>-0.41699999999999998</v>
      </c>
      <c r="V101" s="15">
        <v>-0.309</v>
      </c>
      <c r="W101" s="15">
        <v>-0.09</v>
      </c>
      <c r="X101" s="15">
        <v>0.20100000000000001</v>
      </c>
      <c r="Y101" s="15">
        <v>-0.11899999999999999</v>
      </c>
      <c r="Z101" s="15">
        <v>0.32700000000000001</v>
      </c>
      <c r="AA101" s="15">
        <v>0.32900000000000001</v>
      </c>
      <c r="AB101" s="15">
        <v>0.59</v>
      </c>
      <c r="AC101" s="15">
        <v>0.72699999999999998</v>
      </c>
      <c r="AD101" s="15">
        <v>0.44900000000000001</v>
      </c>
      <c r="AE101" s="14">
        <v>-9.8000000000000004E-2</v>
      </c>
      <c r="AF101" s="15">
        <v>-0.32200000000000001</v>
      </c>
      <c r="AG101" s="15">
        <v>-0.71599999999999997</v>
      </c>
      <c r="AH101" s="15">
        <v>-0.80300000000000005</v>
      </c>
      <c r="AI101" s="15">
        <v>-0.90600000000000003</v>
      </c>
      <c r="AJ101" s="16">
        <v>-0.80200000000000005</v>
      </c>
      <c r="AK101" s="4">
        <v>-0.22500000000000001</v>
      </c>
      <c r="AL101" s="4">
        <v>-0.33400000000000002</v>
      </c>
      <c r="AM101" s="4">
        <v>-0.49399999999999999</v>
      </c>
      <c r="AN101" s="4">
        <v>0.218</v>
      </c>
      <c r="AO101" s="4">
        <v>-0.16800000000000001</v>
      </c>
      <c r="AP101" s="4">
        <v>-0.19700000000000001</v>
      </c>
      <c r="AQ101" s="4">
        <v>-5.0000000000000001E-3</v>
      </c>
      <c r="AR101" s="4">
        <v>1</v>
      </c>
      <c r="AS101" s="4">
        <v>0.68400000000000005</v>
      </c>
      <c r="AT101" s="4">
        <v>0.14399999999999999</v>
      </c>
      <c r="AU101" s="4">
        <v>0.23599999999999999</v>
      </c>
      <c r="AV101" s="4">
        <v>0.27</v>
      </c>
      <c r="AW101" s="4">
        <v>0.38500000000000001</v>
      </c>
      <c r="AX101" s="4">
        <v>-0.56200000000000006</v>
      </c>
      <c r="AY101" s="4">
        <v>0.873</v>
      </c>
      <c r="AZ101" s="4">
        <v>0.77500000000000002</v>
      </c>
      <c r="BA101" s="4">
        <v>0.80600000000000005</v>
      </c>
      <c r="BB101" s="4">
        <v>4.7E-2</v>
      </c>
      <c r="BC101" s="4">
        <v>-0.25700000000000001</v>
      </c>
      <c r="BD101" s="4">
        <v>0.29499999999999998</v>
      </c>
      <c r="BE101" s="4">
        <v>-9.1999999999999998E-2</v>
      </c>
      <c r="BF101" s="4">
        <v>-0.127</v>
      </c>
      <c r="BG101" s="4">
        <v>0.63400000000000001</v>
      </c>
      <c r="BH101" s="4">
        <v>1.2E-2</v>
      </c>
      <c r="BI101" s="4">
        <v>-0.255</v>
      </c>
      <c r="BJ101" s="4">
        <v>1.9E-2</v>
      </c>
      <c r="BK101" s="4">
        <v>-0.374</v>
      </c>
      <c r="BL101" s="4"/>
      <c r="BM101" s="4">
        <f t="shared" si="20"/>
        <v>2.381800000000002E-2</v>
      </c>
    </row>
    <row r="102" spans="1:65" hidden="1" x14ac:dyDescent="0.3">
      <c r="A102" t="s">
        <v>210</v>
      </c>
      <c r="B102" s="53">
        <f t="shared" si="21"/>
        <v>0</v>
      </c>
      <c r="C102" s="53">
        <f t="shared" si="14"/>
        <v>-4.4999999999999998E-2</v>
      </c>
      <c r="D102" s="53">
        <f t="shared" si="15"/>
        <v>0</v>
      </c>
      <c r="E102" s="53">
        <f t="shared" si="16"/>
        <v>4.4999999999999998E-2</v>
      </c>
      <c r="F102" s="15">
        <v>0.89</v>
      </c>
      <c r="G102">
        <v>1.946</v>
      </c>
      <c r="H102" t="s">
        <v>55</v>
      </c>
      <c r="I102" t="str">
        <f>VLOOKUP(A102,Planilha6!$BL$9:$BN$222,2,0)</f>
        <v>utilities</v>
      </c>
      <c r="J102" t="str">
        <f>VLOOKUP(A102,Planilha6!$BL$9:$BN$222,3,0)</f>
        <v>high_beta</v>
      </c>
      <c r="K102" s="41">
        <v>0</v>
      </c>
      <c r="L102" s="42">
        <v>-4.4999999999999998E-2</v>
      </c>
      <c r="M102" s="41">
        <f>VLOOKUP(A102,'Mandato Ibov'!$B$1:$C$215,2,0)</f>
        <v>0</v>
      </c>
      <c r="N102" s="59">
        <f t="shared" si="17"/>
        <v>0</v>
      </c>
      <c r="O102" s="42">
        <f t="shared" si="18"/>
        <v>0</v>
      </c>
      <c r="P102" s="59">
        <f>VLOOKUP(A102,'Mandato Ibov'!$B$2:$D$215,3,0)</f>
        <v>3.7833716586561698E-2</v>
      </c>
      <c r="Q102" s="42">
        <f t="shared" si="19"/>
        <v>-3.7833716586561698E-2</v>
      </c>
      <c r="R102" s="15">
        <v>-0.497</v>
      </c>
      <c r="S102" s="15">
        <v>0.19400000000000001</v>
      </c>
      <c r="T102" s="15">
        <v>-0.81200000000000006</v>
      </c>
      <c r="U102" s="15">
        <v>-0.40300000000000002</v>
      </c>
      <c r="V102" s="15">
        <v>-0.28000000000000003</v>
      </c>
      <c r="W102" s="15">
        <v>-0.161</v>
      </c>
      <c r="X102" s="15">
        <v>-5.3999999999999999E-2</v>
      </c>
      <c r="Y102" s="15">
        <v>-0.19900000000000001</v>
      </c>
      <c r="Z102" s="15">
        <v>0.48</v>
      </c>
      <c r="AA102" s="15">
        <v>0.48799999999999999</v>
      </c>
      <c r="AB102" s="15">
        <v>0.67600000000000005</v>
      </c>
      <c r="AC102" s="15">
        <v>0.83799999999999997</v>
      </c>
      <c r="AD102" s="15">
        <v>0.61699999999999999</v>
      </c>
      <c r="AE102" s="14">
        <v>-0.64500000000000002</v>
      </c>
      <c r="AF102" s="15">
        <v>-0.40200000000000002</v>
      </c>
      <c r="AG102" s="15">
        <v>0.441</v>
      </c>
      <c r="AH102" s="15">
        <v>-1</v>
      </c>
      <c r="AI102" s="15">
        <v>-0.621</v>
      </c>
      <c r="AJ102" s="16">
        <v>-1</v>
      </c>
      <c r="AK102" s="4">
        <v>-0.371</v>
      </c>
      <c r="AL102" s="4">
        <v>-0.56399999999999995</v>
      </c>
      <c r="AM102" s="4">
        <v>-0.56399999999999995</v>
      </c>
      <c r="AN102" s="4">
        <v>-0.38100000000000001</v>
      </c>
      <c r="AO102" s="4">
        <v>0.71699999999999997</v>
      </c>
      <c r="AP102" s="4">
        <v>0.78</v>
      </c>
      <c r="AQ102" s="4">
        <v>0.13900000000000001</v>
      </c>
      <c r="AR102" s="4">
        <v>1</v>
      </c>
      <c r="AS102" s="4">
        <v>0.31</v>
      </c>
      <c r="AT102" s="4">
        <v>-4.8000000000000001E-2</v>
      </c>
      <c r="AU102" s="4">
        <v>-3.0000000000000001E-3</v>
      </c>
      <c r="AV102" s="4">
        <v>-0.129</v>
      </c>
      <c r="AW102" s="4">
        <v>0.27100000000000002</v>
      </c>
      <c r="AX102" s="4">
        <v>-0.68400000000000005</v>
      </c>
      <c r="AY102" s="4">
        <v>0.74399999999999999</v>
      </c>
      <c r="AZ102" s="4">
        <v>0.64500000000000002</v>
      </c>
      <c r="BA102" s="4">
        <v>0.36399999999999999</v>
      </c>
      <c r="BB102" s="4">
        <v>0.12</v>
      </c>
      <c r="BC102" s="4">
        <v>-0.26100000000000001</v>
      </c>
      <c r="BD102" s="4">
        <v>0.628</v>
      </c>
      <c r="BE102" s="4">
        <v>-0.252</v>
      </c>
      <c r="BF102" s="4">
        <v>0.104</v>
      </c>
      <c r="BG102" s="4">
        <v>0.67200000000000004</v>
      </c>
      <c r="BH102" s="4">
        <v>-0.67800000000000005</v>
      </c>
      <c r="BI102" s="4">
        <v>8.5000000000000006E-2</v>
      </c>
      <c r="BJ102" s="4">
        <v>-0.28399999999999997</v>
      </c>
      <c r="BK102" s="4">
        <v>-1</v>
      </c>
      <c r="BL102" s="4"/>
      <c r="BM102" s="4">
        <f t="shared" si="20"/>
        <v>1.5168399999999929E-2</v>
      </c>
    </row>
    <row r="103" spans="1:65" hidden="1" x14ac:dyDescent="0.3">
      <c r="A103" t="s">
        <v>117</v>
      </c>
      <c r="B103" s="53">
        <f t="shared" si="21"/>
        <v>0</v>
      </c>
      <c r="C103" s="53">
        <f t="shared" si="14"/>
        <v>-4.0000000000000001E-3</v>
      </c>
      <c r="D103" s="53">
        <f t="shared" si="15"/>
        <v>0</v>
      </c>
      <c r="E103" s="53">
        <f t="shared" si="16"/>
        <v>4.0000000000000001E-3</v>
      </c>
      <c r="F103" s="15">
        <v>0.872</v>
      </c>
      <c r="G103">
        <v>1.264</v>
      </c>
      <c r="H103" t="s">
        <v>55</v>
      </c>
      <c r="I103" t="str">
        <f>VLOOKUP(A103,Planilha6!$BL$9:$BN$222,2,0)</f>
        <v>utilities</v>
      </c>
      <c r="J103" t="str">
        <f>VLOOKUP(A103,Planilha6!$BL$9:$BN$222,3,0)</f>
        <v>low_beta</v>
      </c>
      <c r="K103" s="41">
        <v>0</v>
      </c>
      <c r="L103" s="42">
        <v>-4.0000000000000001E-3</v>
      </c>
      <c r="M103" s="41">
        <f>VLOOKUP(A103,'Mandato Ibov'!$B$1:$C$215,2,0)</f>
        <v>0</v>
      </c>
      <c r="N103" s="59">
        <f t="shared" si="17"/>
        <v>0</v>
      </c>
      <c r="O103" s="42">
        <f t="shared" si="18"/>
        <v>0</v>
      </c>
      <c r="P103" s="59">
        <f>VLOOKUP(A103,'Mandato Ibov'!$B$2:$D$215,3,0)</f>
        <v>8.7175900976511605E-3</v>
      </c>
      <c r="Q103" s="42">
        <f t="shared" si="19"/>
        <v>-8.7175900976511605E-3</v>
      </c>
      <c r="R103" s="15">
        <v>-0.76400000000000001</v>
      </c>
      <c r="S103" s="15">
        <v>-0.06</v>
      </c>
      <c r="T103" s="15">
        <v>-0.88900000000000001</v>
      </c>
      <c r="U103" s="15">
        <v>-0.53300000000000003</v>
      </c>
      <c r="V103" s="15">
        <v>-0.38200000000000001</v>
      </c>
      <c r="W103" s="15">
        <v>-0.32600000000000001</v>
      </c>
      <c r="X103" s="15">
        <v>-8.0000000000000002E-3</v>
      </c>
      <c r="Y103" s="15">
        <v>9.8000000000000004E-2</v>
      </c>
      <c r="Z103" s="15">
        <v>0.70199999999999996</v>
      </c>
      <c r="AA103" s="15">
        <v>0.70699999999999996</v>
      </c>
      <c r="AB103" s="15">
        <v>0.69799999999999995</v>
      </c>
      <c r="AC103" s="15">
        <v>0.79600000000000004</v>
      </c>
      <c r="AD103" s="15">
        <v>0.54500000000000004</v>
      </c>
      <c r="AE103" s="14">
        <v>-0.57699999999999996</v>
      </c>
      <c r="AF103" s="15">
        <v>-0.66700000000000004</v>
      </c>
      <c r="AG103" s="15">
        <v>5.2999999999999999E-2</v>
      </c>
      <c r="AH103" s="15">
        <v>-0.96099999999999997</v>
      </c>
      <c r="AI103" s="15">
        <v>-0.76100000000000001</v>
      </c>
      <c r="AJ103" s="16">
        <v>-0.92700000000000005</v>
      </c>
      <c r="AK103" s="4">
        <v>-0.24199999999999999</v>
      </c>
      <c r="AL103" s="4">
        <v>-5.5E-2</v>
      </c>
      <c r="AM103" s="4">
        <v>-0.69599999999999995</v>
      </c>
      <c r="AN103" s="4">
        <v>-1</v>
      </c>
      <c r="AO103" s="4">
        <v>0.66</v>
      </c>
      <c r="AP103" s="4">
        <v>1.7000000000000001E-2</v>
      </c>
      <c r="AQ103" s="4">
        <v>7.0000000000000001E-3</v>
      </c>
      <c r="AR103" s="4">
        <v>4.7E-2</v>
      </c>
      <c r="AS103" s="4">
        <v>-0.36899999999999999</v>
      </c>
      <c r="AT103" s="4">
        <v>0.45900000000000002</v>
      </c>
      <c r="AU103" s="4">
        <v>-6.9000000000000006E-2</v>
      </c>
      <c r="AV103" s="4">
        <v>-4.2999999999999997E-2</v>
      </c>
      <c r="AW103" s="4">
        <v>0.751</v>
      </c>
      <c r="AX103" s="4">
        <v>-0.63900000000000001</v>
      </c>
      <c r="AY103" s="4">
        <v>0.96299999999999997</v>
      </c>
      <c r="AZ103" s="4">
        <v>0.26200000000000001</v>
      </c>
      <c r="BA103" s="4">
        <v>0.38900000000000001</v>
      </c>
      <c r="BB103" s="4">
        <v>-4.7E-2</v>
      </c>
      <c r="BC103" s="4">
        <v>-0.29499999999999998</v>
      </c>
      <c r="BD103" s="4">
        <v>0.371</v>
      </c>
      <c r="BE103" s="4">
        <v>-0.39</v>
      </c>
      <c r="BF103" s="4">
        <v>0.441</v>
      </c>
      <c r="BG103" s="4">
        <v>0.68300000000000005</v>
      </c>
      <c r="BH103" s="4">
        <v>-0.60099999999999998</v>
      </c>
      <c r="BI103" s="4">
        <v>-0.104</v>
      </c>
      <c r="BJ103" s="4">
        <v>0.11899999999999999</v>
      </c>
      <c r="BK103" s="4">
        <v>-0.54300000000000004</v>
      </c>
      <c r="BL103" s="4"/>
      <c r="BM103" s="4">
        <f t="shared" si="20"/>
        <v>6.8364999999999954E-3</v>
      </c>
    </row>
    <row r="104" spans="1:65" hidden="1" x14ac:dyDescent="0.3">
      <c r="A104" t="s">
        <v>144</v>
      </c>
      <c r="B104" s="53">
        <f t="shared" si="21"/>
        <v>0</v>
      </c>
      <c r="C104" s="53">
        <f t="shared" si="14"/>
        <v>-4.0000000000000001E-3</v>
      </c>
      <c r="D104" s="53">
        <f t="shared" si="15"/>
        <v>0</v>
      </c>
      <c r="E104" s="53">
        <f t="shared" si="16"/>
        <v>4.0000000000000001E-3</v>
      </c>
      <c r="F104" s="15">
        <v>0.83399999999999996</v>
      </c>
      <c r="G104">
        <v>1.3240000000000001</v>
      </c>
      <c r="H104" t="s">
        <v>55</v>
      </c>
      <c r="I104" t="str">
        <f>VLOOKUP(A104,Planilha6!$BL$9:$BN$222,2,0)</f>
        <v>utilities</v>
      </c>
      <c r="J104" t="str">
        <f>VLOOKUP(A104,Planilha6!$BL$9:$BN$222,3,0)</f>
        <v>low_beta</v>
      </c>
      <c r="K104" s="41">
        <v>0</v>
      </c>
      <c r="L104" s="42">
        <v>-4.0000000000000001E-3</v>
      </c>
      <c r="M104" s="41">
        <f>VLOOKUP(A104,'Mandato Ibov'!$B$1:$C$215,2,0)</f>
        <v>0</v>
      </c>
      <c r="N104" s="59">
        <f t="shared" si="17"/>
        <v>0</v>
      </c>
      <c r="O104" s="42">
        <f t="shared" si="18"/>
        <v>0</v>
      </c>
      <c r="P104" s="59">
        <f>VLOOKUP(A104,'Mandato Ibov'!$B$2:$D$215,3,0)</f>
        <v>1.15547892302785E-2</v>
      </c>
      <c r="Q104" s="42">
        <f t="shared" si="19"/>
        <v>-1.15547892302785E-2</v>
      </c>
      <c r="R104" s="15">
        <v>-0.79500000000000004</v>
      </c>
      <c r="S104" s="15">
        <v>-9.0999999999999998E-2</v>
      </c>
      <c r="T104" s="15">
        <v>-0.88200000000000001</v>
      </c>
      <c r="U104" s="15">
        <v>-0.629</v>
      </c>
      <c r="V104" s="15">
        <v>-0.44800000000000001</v>
      </c>
      <c r="W104" s="15">
        <v>-0.38500000000000001</v>
      </c>
      <c r="X104" s="15">
        <v>-2E-3</v>
      </c>
      <c r="Y104" s="15">
        <v>6.9000000000000006E-2</v>
      </c>
      <c r="Z104" s="15">
        <v>0.65100000000000002</v>
      </c>
      <c r="AA104" s="15">
        <v>0.65900000000000003</v>
      </c>
      <c r="AB104" s="15">
        <v>0.69599999999999995</v>
      </c>
      <c r="AC104" s="15">
        <v>0.68500000000000005</v>
      </c>
      <c r="AD104" s="15">
        <v>0.61899999999999999</v>
      </c>
      <c r="AE104" s="14">
        <v>-0.72399999999999998</v>
      </c>
      <c r="AF104" s="15">
        <v>-0.83599999999999997</v>
      </c>
      <c r="AG104" s="15">
        <v>0.65200000000000002</v>
      </c>
      <c r="AH104" s="15">
        <v>-0.85899999999999999</v>
      </c>
      <c r="AI104" s="15">
        <v>-0.27200000000000002</v>
      </c>
      <c r="AJ104" s="16">
        <v>-0.93300000000000005</v>
      </c>
      <c r="AK104" s="4">
        <v>-0.46</v>
      </c>
      <c r="AL104" s="4">
        <v>4.5999999999999999E-2</v>
      </c>
      <c r="AM104" s="4">
        <v>-0.29299999999999998</v>
      </c>
      <c r="AN104" s="4">
        <v>-0.81699999999999995</v>
      </c>
      <c r="AO104" s="4">
        <v>0.58799999999999997</v>
      </c>
      <c r="AP104" s="4">
        <v>0.71199999999999997</v>
      </c>
      <c r="AQ104" s="4">
        <v>-0.35599999999999998</v>
      </c>
      <c r="AR104" s="4">
        <v>-0.21299999999999999</v>
      </c>
      <c r="AS104" s="4">
        <v>-0.20699999999999999</v>
      </c>
      <c r="AT104" s="4">
        <v>-6.6000000000000003E-2</v>
      </c>
      <c r="AU104" s="4">
        <v>2.1000000000000001E-2</v>
      </c>
      <c r="AV104" s="4">
        <v>-0.34100000000000003</v>
      </c>
      <c r="AW104" s="4">
        <v>0.85599999999999998</v>
      </c>
      <c r="AX104" s="4">
        <v>-0.73599999999999999</v>
      </c>
      <c r="AY104" s="4">
        <v>0.82899999999999996</v>
      </c>
      <c r="AZ104" s="4">
        <v>-0.153</v>
      </c>
      <c r="BA104" s="4">
        <v>0.11</v>
      </c>
      <c r="BB104" s="4">
        <v>-0.432</v>
      </c>
      <c r="BC104" s="4">
        <v>-0.65800000000000003</v>
      </c>
      <c r="BD104" s="4">
        <v>3.1E-2</v>
      </c>
      <c r="BE104" s="4">
        <v>-0.30099999999999999</v>
      </c>
      <c r="BF104" s="4">
        <v>0.16300000000000001</v>
      </c>
      <c r="BG104" s="4">
        <v>0.83599999999999997</v>
      </c>
      <c r="BH104" s="4">
        <v>-0.46100000000000002</v>
      </c>
      <c r="BI104" s="4">
        <v>-0.255</v>
      </c>
      <c r="BJ104" s="4">
        <v>9.8000000000000004E-2</v>
      </c>
      <c r="BK104" s="4">
        <v>-9.6000000000000002E-2</v>
      </c>
      <c r="BL104" s="4"/>
      <c r="BM104" s="4">
        <f t="shared" si="20"/>
        <v>-1.1571800000000021E-2</v>
      </c>
    </row>
    <row r="105" spans="1:65" hidden="1" x14ac:dyDescent="0.3">
      <c r="A105" t="s">
        <v>85</v>
      </c>
      <c r="B105" s="53">
        <f t="shared" si="21"/>
        <v>0</v>
      </c>
      <c r="C105" s="53">
        <f t="shared" si="14"/>
        <v>0</v>
      </c>
      <c r="D105" s="53">
        <f t="shared" si="15"/>
        <v>0</v>
      </c>
      <c r="E105" s="53">
        <f t="shared" si="16"/>
        <v>0</v>
      </c>
      <c r="F105" s="15">
        <v>0.83</v>
      </c>
      <c r="G105">
        <v>0.63900000000000001</v>
      </c>
      <c r="H105" t="s">
        <v>57</v>
      </c>
      <c r="I105" t="str">
        <f>VLOOKUP(A105,Planilha6!$BL$9:$BN$222,2,0)</f>
        <v>education</v>
      </c>
      <c r="J105" t="str">
        <f>VLOOKUP(A105,Planilha6!$BL$9:$BN$222,3,0)</f>
        <v>low_beta</v>
      </c>
      <c r="K105" s="41">
        <v>0</v>
      </c>
      <c r="L105" s="42">
        <v>0</v>
      </c>
      <c r="M105" s="41">
        <f>VLOOKUP(A105,'Mandato Ibov'!$B$1:$C$215,2,0)</f>
        <v>0</v>
      </c>
      <c r="N105" s="59">
        <f t="shared" si="17"/>
        <v>0</v>
      </c>
      <c r="O105" s="42">
        <f t="shared" si="18"/>
        <v>0</v>
      </c>
      <c r="P105" s="59">
        <f>VLOOKUP(A105,'Mandato Ibov'!$B$2:$D$215,3,0)</f>
        <v>0</v>
      </c>
      <c r="Q105" s="42">
        <f t="shared" si="19"/>
        <v>0</v>
      </c>
      <c r="R105" s="15">
        <v>-0.17499999999999999</v>
      </c>
      <c r="S105" s="15">
        <v>-0.219</v>
      </c>
      <c r="T105" s="15">
        <v>-6.8000000000000005E-2</v>
      </c>
      <c r="U105" s="15">
        <v>-0.17899999999999999</v>
      </c>
      <c r="V105" s="15">
        <v>-0.13600000000000001</v>
      </c>
      <c r="W105" s="15">
        <v>-0.53900000000000003</v>
      </c>
      <c r="X105" s="15">
        <v>-0.54800000000000004</v>
      </c>
      <c r="Y105" s="15">
        <v>-0.59199999999999997</v>
      </c>
      <c r="Z105" s="15">
        <v>0.52100000000000002</v>
      </c>
      <c r="AA105" s="15">
        <v>0.52800000000000002</v>
      </c>
      <c r="AB105" s="15">
        <v>0.67600000000000005</v>
      </c>
      <c r="AC105" s="15">
        <v>0.627</v>
      </c>
      <c r="AD105" s="15">
        <v>0.75700000000000001</v>
      </c>
      <c r="AE105" s="14">
        <v>0.33200000000000002</v>
      </c>
      <c r="AF105" s="15">
        <v>-0.77</v>
      </c>
      <c r="AG105" s="15">
        <v>0.73499999999999999</v>
      </c>
      <c r="AH105" s="15">
        <v>9.0999999999999998E-2</v>
      </c>
      <c r="AI105" s="15">
        <v>0.77100000000000002</v>
      </c>
      <c r="AJ105" s="16">
        <v>-7.9000000000000001E-2</v>
      </c>
      <c r="AK105" s="4">
        <v>-0.04</v>
      </c>
      <c r="AL105" s="4">
        <v>-0.77300000000000002</v>
      </c>
      <c r="AM105" s="4">
        <v>0.129</v>
      </c>
      <c r="AN105" s="4">
        <v>0.35599999999999998</v>
      </c>
      <c r="AO105" s="4">
        <v>0.26100000000000001</v>
      </c>
      <c r="AP105" s="4">
        <v>-0.40100000000000002</v>
      </c>
      <c r="AQ105" s="4">
        <v>0.23300000000000001</v>
      </c>
      <c r="AR105" s="4">
        <v>-0.33800000000000002</v>
      </c>
      <c r="AS105" s="4">
        <v>0.02</v>
      </c>
      <c r="AT105" s="4">
        <v>0.19800000000000001</v>
      </c>
      <c r="AU105" s="4">
        <v>9.5000000000000001E-2</v>
      </c>
      <c r="AV105" s="4">
        <v>0.17199999999999999</v>
      </c>
      <c r="AW105" s="4">
        <v>-0.39700000000000002</v>
      </c>
      <c r="AX105" s="4">
        <v>-0.4</v>
      </c>
      <c r="AY105" s="4">
        <v>0.63500000000000001</v>
      </c>
      <c r="AZ105" s="4">
        <v>0.104</v>
      </c>
      <c r="BA105" s="4">
        <v>-0.13700000000000001</v>
      </c>
      <c r="BB105" s="4">
        <v>6.7000000000000004E-2</v>
      </c>
      <c r="BC105" s="4">
        <v>-0.311</v>
      </c>
      <c r="BD105" s="4">
        <v>0.45700000000000002</v>
      </c>
      <c r="BE105" s="4">
        <v>0.36599999999999999</v>
      </c>
      <c r="BF105" s="4">
        <v>-0.20599999999999999</v>
      </c>
      <c r="BG105" s="4">
        <v>0.13400000000000001</v>
      </c>
      <c r="BH105" s="4">
        <v>-0.14699999999999999</v>
      </c>
      <c r="BI105" s="4">
        <v>-0.23899999999999999</v>
      </c>
      <c r="BJ105" s="4">
        <v>0.374</v>
      </c>
      <c r="BK105" s="4">
        <v>0.50600000000000001</v>
      </c>
      <c r="BL105" s="4"/>
      <c r="BM105" s="4">
        <f t="shared" si="20"/>
        <v>-1.3569699999999962E-2</v>
      </c>
    </row>
    <row r="106" spans="1:65" hidden="1" x14ac:dyDescent="0.3">
      <c r="A106" t="s">
        <v>205</v>
      </c>
      <c r="B106" s="53">
        <f t="shared" si="21"/>
        <v>0</v>
      </c>
      <c r="C106" s="53">
        <f t="shared" si="14"/>
        <v>-1.4E-2</v>
      </c>
      <c r="D106" s="53">
        <f t="shared" si="15"/>
        <v>0</v>
      </c>
      <c r="E106" s="53">
        <f t="shared" si="16"/>
        <v>1.4E-2</v>
      </c>
      <c r="F106" s="15">
        <v>0.82799999999999996</v>
      </c>
      <c r="G106">
        <v>1.494</v>
      </c>
      <c r="H106" t="s">
        <v>57</v>
      </c>
      <c r="I106" t="str">
        <f>VLOOKUP(A106,Planilha6!$BL$9:$BN$222,2,0)</f>
        <v>consumer_services</v>
      </c>
      <c r="J106" t="str">
        <f>VLOOKUP(A106,Planilha6!$BL$9:$BN$222,3,0)</f>
        <v>low_beta</v>
      </c>
      <c r="K106" s="41">
        <v>0</v>
      </c>
      <c r="L106" s="42">
        <v>-1.4E-2</v>
      </c>
      <c r="M106" s="41">
        <f>VLOOKUP(A106,'Mandato Ibov'!$B$1:$C$215,2,0)</f>
        <v>0</v>
      </c>
      <c r="N106" s="59">
        <f t="shared" si="17"/>
        <v>0</v>
      </c>
      <c r="O106" s="42">
        <f t="shared" si="18"/>
        <v>0</v>
      </c>
      <c r="P106" s="59">
        <f>VLOOKUP(A106,'Mandato Ibov'!$B$2:$D$215,3,0)</f>
        <v>2.2799719561755999E-2</v>
      </c>
      <c r="Q106" s="42">
        <f t="shared" si="19"/>
        <v>-2.2799719561755999E-2</v>
      </c>
      <c r="R106" s="15">
        <v>-0.67800000000000005</v>
      </c>
      <c r="S106" s="15">
        <v>2.7E-2</v>
      </c>
      <c r="T106" s="15">
        <v>-0.86199999999999999</v>
      </c>
      <c r="U106" s="15">
        <v>-0.32100000000000001</v>
      </c>
      <c r="V106" s="15">
        <v>-0.27400000000000002</v>
      </c>
      <c r="W106" s="15">
        <v>-0.432</v>
      </c>
      <c r="X106" s="15">
        <v>-0.40400000000000003</v>
      </c>
      <c r="Y106" s="15">
        <v>-0.151</v>
      </c>
      <c r="Z106" s="15">
        <v>0.86699999999999999</v>
      </c>
      <c r="AA106" s="15">
        <v>0.872</v>
      </c>
      <c r="AB106" s="15">
        <v>0.50700000000000001</v>
      </c>
      <c r="AC106" s="15">
        <v>0.71299999999999997</v>
      </c>
      <c r="AD106" s="15">
        <v>0.69699999999999995</v>
      </c>
      <c r="AE106" s="14">
        <v>-0.54300000000000004</v>
      </c>
      <c r="AF106" s="15">
        <v>-0.505</v>
      </c>
      <c r="AG106" s="15">
        <v>0.69899999999999995</v>
      </c>
      <c r="AH106" s="15">
        <v>-0.93400000000000005</v>
      </c>
      <c r="AI106" s="15">
        <v>-0.30199999999999999</v>
      </c>
      <c r="AJ106" s="16">
        <v>-0.99399999999999999</v>
      </c>
      <c r="AK106" s="4">
        <v>-4.9000000000000002E-2</v>
      </c>
      <c r="AL106" s="4">
        <v>-0.249</v>
      </c>
      <c r="AM106" s="4">
        <v>-0.47499999999999998</v>
      </c>
      <c r="AN106" s="4">
        <v>-0.30599999999999999</v>
      </c>
      <c r="AO106" s="4">
        <v>0.70799999999999996</v>
      </c>
      <c r="AP106" s="4">
        <v>0.82</v>
      </c>
      <c r="AQ106" s="4">
        <v>0.215</v>
      </c>
      <c r="AR106" s="4">
        <v>0.17399999999999999</v>
      </c>
      <c r="AS106" s="4">
        <v>0.22900000000000001</v>
      </c>
      <c r="AT106" s="4">
        <v>0.435</v>
      </c>
      <c r="AU106" s="4">
        <v>-0.52800000000000002</v>
      </c>
      <c r="AV106" s="4">
        <v>-0.108</v>
      </c>
      <c r="AW106" s="4">
        <v>0.2</v>
      </c>
      <c r="AX106" s="4">
        <v>-0.48599999999999999</v>
      </c>
      <c r="AY106" s="4">
        <v>0.69099999999999995</v>
      </c>
      <c r="AZ106" s="4">
        <v>0.47699999999999998</v>
      </c>
      <c r="BA106" s="4">
        <v>-0.375</v>
      </c>
      <c r="BB106" s="4">
        <v>-0.71699999999999997</v>
      </c>
      <c r="BC106" s="4">
        <v>-0.79200000000000004</v>
      </c>
      <c r="BD106" s="4">
        <v>0.46800000000000003</v>
      </c>
      <c r="BE106" s="4">
        <v>-0.40300000000000002</v>
      </c>
      <c r="BF106" s="4">
        <v>0.16600000000000001</v>
      </c>
      <c r="BG106" s="4">
        <v>0.622</v>
      </c>
      <c r="BH106" s="4">
        <v>-0.73099999999999998</v>
      </c>
      <c r="BI106" s="4">
        <v>-0.30599999999999999</v>
      </c>
      <c r="BJ106" s="4">
        <v>-0.44400000000000001</v>
      </c>
      <c r="BK106" s="4">
        <v>-0.436</v>
      </c>
      <c r="BL106" s="4"/>
      <c r="BM106" s="4">
        <f t="shared" si="20"/>
        <v>-1.461800000000002E-2</v>
      </c>
    </row>
    <row r="107" spans="1:65" hidden="1" x14ac:dyDescent="0.3">
      <c r="A107" t="s">
        <v>105</v>
      </c>
      <c r="B107" s="53">
        <f t="shared" si="21"/>
        <v>0</v>
      </c>
      <c r="C107" s="53">
        <f t="shared" si="14"/>
        <v>0</v>
      </c>
      <c r="D107" s="53">
        <f t="shared" si="15"/>
        <v>0</v>
      </c>
      <c r="E107" s="53">
        <f t="shared" si="16"/>
        <v>0</v>
      </c>
      <c r="F107" s="15">
        <v>0.82699999999999996</v>
      </c>
      <c r="G107">
        <v>0.61599999999999999</v>
      </c>
      <c r="H107" t="s">
        <v>57</v>
      </c>
      <c r="I107" t="str">
        <f>VLOOKUP(A107,Planilha6!$BL$9:$BN$222,2,0)</f>
        <v>transportation</v>
      </c>
      <c r="J107" t="str">
        <f>VLOOKUP(A107,Planilha6!$BL$9:$BN$222,3,0)</f>
        <v>very_high_beta</v>
      </c>
      <c r="K107" s="41">
        <v>0</v>
      </c>
      <c r="L107" s="42">
        <v>0</v>
      </c>
      <c r="M107" s="41">
        <f>VLOOKUP(A107,'Mandato Ibov'!$B$1:$C$215,2,0)</f>
        <v>0</v>
      </c>
      <c r="N107" s="59">
        <f t="shared" si="17"/>
        <v>0</v>
      </c>
      <c r="O107" s="42">
        <f t="shared" si="18"/>
        <v>0</v>
      </c>
      <c r="P107" s="59">
        <f>VLOOKUP(A107,'Mandato Ibov'!$B$2:$D$215,3,0)</f>
        <v>0</v>
      </c>
      <c r="Q107" s="42">
        <f t="shared" si="19"/>
        <v>0</v>
      </c>
      <c r="R107" s="15">
        <v>-0.17499999999999999</v>
      </c>
      <c r="S107" s="15">
        <v>-0.378</v>
      </c>
      <c r="T107" s="15">
        <v>-0.28999999999999998</v>
      </c>
      <c r="U107" s="15">
        <v>-0.17100000000000001</v>
      </c>
      <c r="V107" s="15">
        <v>-0.29399999999999998</v>
      </c>
      <c r="W107" s="15">
        <v>-0.61</v>
      </c>
      <c r="X107" s="15">
        <v>-0.69</v>
      </c>
      <c r="Y107" s="15">
        <v>-0.27600000000000002</v>
      </c>
      <c r="Z107" s="15">
        <v>0.378</v>
      </c>
      <c r="AA107" s="15">
        <v>0.379</v>
      </c>
      <c r="AB107" s="15">
        <v>0.73399999999999999</v>
      </c>
      <c r="AC107" s="15">
        <v>0.88800000000000001</v>
      </c>
      <c r="AD107" s="15">
        <v>0.58199999999999996</v>
      </c>
      <c r="AE107" s="14">
        <v>-0.19</v>
      </c>
      <c r="AF107" s="15">
        <v>-0.25800000000000001</v>
      </c>
      <c r="AG107" s="15">
        <v>0.73599999999999999</v>
      </c>
      <c r="AH107" s="15">
        <v>0.63700000000000001</v>
      </c>
      <c r="AI107" s="15">
        <v>0.74199999999999999</v>
      </c>
      <c r="AJ107" s="16">
        <v>-0.745</v>
      </c>
      <c r="AK107" s="4">
        <v>0.50700000000000001</v>
      </c>
      <c r="AL107" s="4">
        <v>0.53200000000000003</v>
      </c>
      <c r="AM107" s="4">
        <v>-0.17199999999999999</v>
      </c>
      <c r="AN107" s="4">
        <v>0.156</v>
      </c>
      <c r="AO107" s="4">
        <v>0.54900000000000004</v>
      </c>
      <c r="AP107" s="4">
        <v>0.42799999999999999</v>
      </c>
      <c r="AQ107" s="4">
        <v>-0.29699999999999999</v>
      </c>
      <c r="AR107" s="4">
        <v>-0.248</v>
      </c>
      <c r="AS107" s="4">
        <v>-0.65900000000000003</v>
      </c>
      <c r="AT107" s="4">
        <v>0.23400000000000001</v>
      </c>
      <c r="AU107" s="4">
        <v>-0.32</v>
      </c>
      <c r="AV107" s="4">
        <v>-0.38200000000000001</v>
      </c>
      <c r="AW107" s="4">
        <v>-0.49199999999999999</v>
      </c>
      <c r="AX107" s="4">
        <v>-0.56299999999999994</v>
      </c>
      <c r="AY107" s="4">
        <v>0.501</v>
      </c>
      <c r="AZ107" s="4">
        <v>-0.442</v>
      </c>
      <c r="BA107" s="4">
        <v>1.6E-2</v>
      </c>
      <c r="BB107" s="4">
        <v>0.14699999999999999</v>
      </c>
      <c r="BC107" s="4">
        <v>0</v>
      </c>
      <c r="BD107" s="4">
        <v>0.38300000000000001</v>
      </c>
      <c r="BE107" s="4">
        <v>-1</v>
      </c>
      <c r="BF107" s="4">
        <v>-0.84799999999999998</v>
      </c>
      <c r="BG107" s="4">
        <v>-0.751</v>
      </c>
      <c r="BH107" s="4">
        <v>-0.35799999999999998</v>
      </c>
      <c r="BI107" s="4">
        <v>0.98799999999999999</v>
      </c>
      <c r="BJ107" s="4">
        <v>0.39900000000000002</v>
      </c>
      <c r="BK107" s="4">
        <v>0.56599999999999995</v>
      </c>
      <c r="BL107" s="4"/>
      <c r="BM107" s="4">
        <f t="shared" si="20"/>
        <v>-1.5449000000000018E-2</v>
      </c>
    </row>
    <row r="108" spans="1:65" hidden="1" x14ac:dyDescent="0.3">
      <c r="A108" t="s">
        <v>161</v>
      </c>
      <c r="B108" s="53">
        <f t="shared" si="21"/>
        <v>0</v>
      </c>
      <c r="C108" s="53">
        <f t="shared" si="14"/>
        <v>0</v>
      </c>
      <c r="D108" s="53">
        <f t="shared" si="15"/>
        <v>0</v>
      </c>
      <c r="E108" s="53">
        <f t="shared" si="16"/>
        <v>0</v>
      </c>
      <c r="F108" s="15">
        <v>0.81399999999999995</v>
      </c>
      <c r="G108">
        <v>0.94799999999999995</v>
      </c>
      <c r="H108" t="s">
        <v>57</v>
      </c>
      <c r="I108" t="str">
        <f>VLOOKUP(A108,Planilha6!$BL$9:$BN$222,2,0)</f>
        <v>banks</v>
      </c>
      <c r="J108" t="str">
        <f>VLOOKUP(A108,Planilha6!$BL$9:$BN$222,3,0)</f>
        <v>high_beta</v>
      </c>
      <c r="K108" s="41">
        <v>0</v>
      </c>
      <c r="L108" s="42">
        <v>0</v>
      </c>
      <c r="M108" s="41">
        <f>VLOOKUP(A108,'Mandato Ibov'!$B$1:$C$215,2,0)</f>
        <v>0</v>
      </c>
      <c r="N108" s="59">
        <f t="shared" si="17"/>
        <v>0</v>
      </c>
      <c r="O108" s="42">
        <f t="shared" si="18"/>
        <v>0</v>
      </c>
      <c r="P108" s="59">
        <f>VLOOKUP(A108,'Mandato Ibov'!$B$2:$D$215,3,0)</f>
        <v>0</v>
      </c>
      <c r="Q108" s="42">
        <f t="shared" si="19"/>
        <v>0</v>
      </c>
      <c r="R108" s="15">
        <v>-0.56499999999999995</v>
      </c>
      <c r="S108" s="15">
        <v>-0.35299999999999998</v>
      </c>
      <c r="T108" s="15">
        <v>-0.66100000000000003</v>
      </c>
      <c r="U108" s="15">
        <v>-0.55200000000000005</v>
      </c>
      <c r="V108" s="15">
        <v>-0.47799999999999998</v>
      </c>
      <c r="W108" s="15">
        <v>-0.34699999999999998</v>
      </c>
      <c r="X108" s="15">
        <v>-0.13500000000000001</v>
      </c>
      <c r="Y108" s="15">
        <v>-0.29699999999999999</v>
      </c>
      <c r="Z108" s="15">
        <v>0.80200000000000005</v>
      </c>
      <c r="AA108" s="15">
        <v>0.80400000000000005</v>
      </c>
      <c r="AB108" s="15">
        <v>0.749</v>
      </c>
      <c r="AC108" s="15">
        <v>0.85299999999999998</v>
      </c>
      <c r="AD108" s="15">
        <v>0.64800000000000002</v>
      </c>
      <c r="AE108" s="14">
        <v>-0.67400000000000004</v>
      </c>
      <c r="AF108" s="15">
        <v>-1.4E-2</v>
      </c>
      <c r="AG108" s="15">
        <v>-9.5000000000000001E-2</v>
      </c>
      <c r="AH108" s="15">
        <v>-0.89900000000000002</v>
      </c>
      <c r="AI108" s="15">
        <v>-0.999</v>
      </c>
      <c r="AJ108" s="16">
        <v>-1</v>
      </c>
      <c r="AK108" s="4">
        <v>-0.159</v>
      </c>
      <c r="AL108" s="4">
        <v>-8.7999999999999995E-2</v>
      </c>
      <c r="AM108" s="4">
        <v>4.5999999999999999E-2</v>
      </c>
      <c r="AN108" s="4">
        <v>-0.106</v>
      </c>
      <c r="AO108" s="4">
        <v>0.10199999999999999</v>
      </c>
      <c r="AP108" s="4">
        <v>-0.29399999999999998</v>
      </c>
      <c r="AQ108" s="4">
        <v>9.8000000000000004E-2</v>
      </c>
      <c r="AR108" s="4">
        <v>0.19900000000000001</v>
      </c>
      <c r="AS108" s="4">
        <v>0.51600000000000001</v>
      </c>
      <c r="AT108" s="4">
        <v>-8.5999999999999993E-2</v>
      </c>
      <c r="AU108" s="4">
        <v>-0.11600000000000001</v>
      </c>
      <c r="AV108" s="4">
        <v>-0.45800000000000002</v>
      </c>
      <c r="AW108" s="4">
        <v>0.33600000000000002</v>
      </c>
      <c r="AX108" s="4">
        <v>-0.44800000000000001</v>
      </c>
      <c r="AY108" s="4">
        <v>0.84899999999999998</v>
      </c>
      <c r="AZ108" s="4">
        <v>-8.1000000000000003E-2</v>
      </c>
      <c r="BA108" s="4">
        <v>0.66400000000000003</v>
      </c>
      <c r="BB108" s="4">
        <v>-0.151</v>
      </c>
      <c r="BC108" s="4">
        <v>-0.2</v>
      </c>
      <c r="BD108" s="4">
        <v>0.183</v>
      </c>
      <c r="BE108" s="4">
        <v>0.17899999999999999</v>
      </c>
      <c r="BF108" s="4">
        <v>-0.28699999999999998</v>
      </c>
      <c r="BG108" s="4">
        <v>0.72199999999999998</v>
      </c>
      <c r="BH108" s="4">
        <v>-0.314</v>
      </c>
      <c r="BI108" s="4">
        <v>0.11</v>
      </c>
      <c r="BJ108" s="4">
        <v>1</v>
      </c>
      <c r="BK108" s="4">
        <v>-0.56899999999999995</v>
      </c>
      <c r="BL108" s="4"/>
      <c r="BM108" s="4">
        <f t="shared" si="20"/>
        <v>-2.1957799999999972E-2</v>
      </c>
    </row>
    <row r="109" spans="1:65" hidden="1" x14ac:dyDescent="0.3">
      <c r="A109" t="s">
        <v>201</v>
      </c>
      <c r="B109" s="53">
        <f t="shared" si="21"/>
        <v>0</v>
      </c>
      <c r="C109" s="53">
        <f t="shared" si="14"/>
        <v>0</v>
      </c>
      <c r="D109" s="53">
        <f t="shared" si="15"/>
        <v>0</v>
      </c>
      <c r="E109" s="53">
        <f t="shared" si="16"/>
        <v>0</v>
      </c>
      <c r="F109" s="15">
        <v>0.79700000000000004</v>
      </c>
      <c r="G109">
        <v>0.626</v>
      </c>
      <c r="H109" t="s">
        <v>71</v>
      </c>
      <c r="I109" t="str">
        <f>VLOOKUP(A109,Planilha6!$BL$9:$BN$222,2,0)</f>
        <v>food</v>
      </c>
      <c r="J109" t="str">
        <f>VLOOKUP(A109,Planilha6!$BL$9:$BN$222,3,0)</f>
        <v>very_low_beta</v>
      </c>
      <c r="K109" s="41">
        <v>0</v>
      </c>
      <c r="L109" s="42">
        <v>0</v>
      </c>
      <c r="M109" s="41">
        <f>VLOOKUP(A109,'Mandato Ibov'!$B$1:$C$215,2,0)</f>
        <v>0</v>
      </c>
      <c r="N109" s="59">
        <f t="shared" si="17"/>
        <v>0</v>
      </c>
      <c r="O109" s="42">
        <f t="shared" si="18"/>
        <v>0</v>
      </c>
      <c r="P109" s="59">
        <f>VLOOKUP(A109,'Mandato Ibov'!$B$2:$D$215,3,0)</f>
        <v>0</v>
      </c>
      <c r="Q109" s="42">
        <f t="shared" si="19"/>
        <v>0</v>
      </c>
      <c r="R109" s="15">
        <v>-0.14000000000000001</v>
      </c>
      <c r="S109" s="15">
        <v>-0.53200000000000003</v>
      </c>
      <c r="T109" s="15">
        <v>-2E-3</v>
      </c>
      <c r="U109" s="15">
        <v>-0.42399999999999999</v>
      </c>
      <c r="V109" s="15">
        <v>-0.39800000000000002</v>
      </c>
      <c r="W109" s="15">
        <v>-0.51300000000000001</v>
      </c>
      <c r="X109" s="15">
        <v>-0.71</v>
      </c>
      <c r="Y109" s="15">
        <v>-0.70199999999999996</v>
      </c>
      <c r="Z109" s="15">
        <v>0.53400000000000003</v>
      </c>
      <c r="AA109" s="15">
        <v>0.53800000000000003</v>
      </c>
      <c r="AB109" s="15">
        <v>1</v>
      </c>
      <c r="AC109" s="15">
        <v>1</v>
      </c>
      <c r="AD109" s="15">
        <v>0.79800000000000004</v>
      </c>
      <c r="AE109" s="14">
        <v>-0.13100000000000001</v>
      </c>
      <c r="AF109" s="15">
        <v>-0.19</v>
      </c>
      <c r="AG109" s="15">
        <v>0.67</v>
      </c>
      <c r="AH109" s="15">
        <v>0.98199999999999998</v>
      </c>
      <c r="AI109" s="15">
        <v>0.31900000000000001</v>
      </c>
      <c r="AJ109" s="16">
        <v>-0.628</v>
      </c>
      <c r="AK109" s="4">
        <v>0.3</v>
      </c>
      <c r="AL109" s="4">
        <v>-0.86199999999999999</v>
      </c>
      <c r="AM109" s="4">
        <v>0.48099999999999998</v>
      </c>
      <c r="AN109" s="4">
        <v>-0.124</v>
      </c>
      <c r="AO109" s="4">
        <v>0.11899999999999999</v>
      </c>
      <c r="AP109" s="4">
        <v>0.20200000000000001</v>
      </c>
      <c r="AQ109" s="4">
        <v>-0.98899999999999999</v>
      </c>
      <c r="AR109" s="4">
        <v>0.64500000000000002</v>
      </c>
      <c r="AS109" s="4">
        <v>0.13800000000000001</v>
      </c>
      <c r="AT109" s="4">
        <v>-0.10100000000000001</v>
      </c>
      <c r="AU109" s="4">
        <v>-0.313</v>
      </c>
      <c r="AV109" s="4">
        <v>-0.23200000000000001</v>
      </c>
      <c r="AW109" s="4">
        <v>0.251</v>
      </c>
      <c r="AX109" s="4">
        <v>-0.13700000000000001</v>
      </c>
      <c r="AY109" s="4">
        <v>0.29099999999999998</v>
      </c>
      <c r="AZ109" s="4">
        <v>-0.28000000000000003</v>
      </c>
      <c r="BA109" s="4">
        <v>0.70599999999999996</v>
      </c>
      <c r="BB109" s="4">
        <v>4.3999999999999997E-2</v>
      </c>
      <c r="BC109" s="4">
        <v>-2.5000000000000001E-2</v>
      </c>
      <c r="BD109" s="4">
        <v>-0.17100000000000001</v>
      </c>
      <c r="BE109" s="4">
        <v>-0.11600000000000001</v>
      </c>
      <c r="BF109" s="4">
        <v>-0.34200000000000003</v>
      </c>
      <c r="BG109" s="4">
        <v>-8.8999999999999996E-2</v>
      </c>
      <c r="BH109" s="4">
        <v>0.20699999999999999</v>
      </c>
      <c r="BI109" s="4">
        <v>-0.68600000000000005</v>
      </c>
      <c r="BJ109" s="4">
        <v>0.58899999999999997</v>
      </c>
      <c r="BK109" s="4">
        <v>0.77100000000000002</v>
      </c>
      <c r="BL109" s="4"/>
      <c r="BM109" s="4">
        <f t="shared" si="20"/>
        <v>-3.1426399999999965E-2</v>
      </c>
    </row>
    <row r="110" spans="1:65" hidden="1" x14ac:dyDescent="0.3">
      <c r="A110" t="s">
        <v>162</v>
      </c>
      <c r="B110" s="53">
        <f t="shared" si="21"/>
        <v>0</v>
      </c>
      <c r="C110" s="53">
        <f t="shared" si="14"/>
        <v>0</v>
      </c>
      <c r="D110" s="53">
        <f t="shared" si="15"/>
        <v>0</v>
      </c>
      <c r="E110" s="53">
        <f t="shared" si="16"/>
        <v>0</v>
      </c>
      <c r="F110" s="15">
        <v>0.78300000000000003</v>
      </c>
      <c r="G110">
        <v>0.94399999999999995</v>
      </c>
      <c r="H110" t="s">
        <v>57</v>
      </c>
      <c r="I110" t="str">
        <f>VLOOKUP(A110,Planilha6!$BL$9:$BN$222,2,0)</f>
        <v>banks</v>
      </c>
      <c r="J110" t="str">
        <f>VLOOKUP(A110,Planilha6!$BL$9:$BN$222,3,0)</f>
        <v>neutral_beta</v>
      </c>
      <c r="K110" s="41">
        <v>0</v>
      </c>
      <c r="L110" s="42">
        <v>0</v>
      </c>
      <c r="M110" s="41">
        <f>VLOOKUP(A110,'Mandato Ibov'!$B$1:$C$215,2,0)</f>
        <v>0</v>
      </c>
      <c r="N110" s="59">
        <f t="shared" si="17"/>
        <v>0</v>
      </c>
      <c r="O110" s="42">
        <f t="shared" si="18"/>
        <v>0</v>
      </c>
      <c r="P110" s="59">
        <f>VLOOKUP(A110,'Mandato Ibov'!$B$2:$D$215,3,0)</f>
        <v>0</v>
      </c>
      <c r="Q110" s="42">
        <f t="shared" si="19"/>
        <v>0</v>
      </c>
      <c r="R110" s="15">
        <v>-0.58599999999999997</v>
      </c>
      <c r="S110" s="15">
        <v>-0.442</v>
      </c>
      <c r="T110" s="15">
        <v>-0.68200000000000005</v>
      </c>
      <c r="U110" s="15">
        <v>-0.58799999999999997</v>
      </c>
      <c r="V110" s="15">
        <v>-0.53900000000000003</v>
      </c>
      <c r="W110" s="15">
        <v>-0.32400000000000001</v>
      </c>
      <c r="X110" s="15">
        <v>-5.1999999999999998E-2</v>
      </c>
      <c r="Y110" s="15">
        <v>-0.32100000000000001</v>
      </c>
      <c r="Z110" s="15">
        <v>0.80300000000000005</v>
      </c>
      <c r="AA110" s="15">
        <v>0.80200000000000005</v>
      </c>
      <c r="AB110" s="15">
        <v>0.73099999999999998</v>
      </c>
      <c r="AC110" s="15">
        <v>0.80400000000000005</v>
      </c>
      <c r="AD110" s="15">
        <v>0.61699999999999999</v>
      </c>
      <c r="AE110" s="14">
        <v>-0.64700000000000002</v>
      </c>
      <c r="AF110" s="15">
        <v>2.5999999999999999E-2</v>
      </c>
      <c r="AG110" s="15">
        <v>-0.33300000000000002</v>
      </c>
      <c r="AH110" s="15">
        <v>-0.89100000000000001</v>
      </c>
      <c r="AI110" s="15">
        <v>-1</v>
      </c>
      <c r="AJ110" s="16">
        <v>-0.996</v>
      </c>
      <c r="AK110" s="4">
        <v>-0.159</v>
      </c>
      <c r="AL110" s="4">
        <v>-5.6000000000000001E-2</v>
      </c>
      <c r="AM110" s="4">
        <v>4.5999999999999999E-2</v>
      </c>
      <c r="AN110" s="4">
        <v>4.2999999999999997E-2</v>
      </c>
      <c r="AO110" s="4">
        <v>-4.3999999999999997E-2</v>
      </c>
      <c r="AP110" s="4">
        <v>-0.35099999999999998</v>
      </c>
      <c r="AQ110" s="4">
        <v>0.107</v>
      </c>
      <c r="AR110" s="4">
        <v>0.19900000000000001</v>
      </c>
      <c r="AS110" s="4">
        <v>0.51600000000000001</v>
      </c>
      <c r="AT110" s="4">
        <v>-5.3999999999999999E-2</v>
      </c>
      <c r="AU110" s="4">
        <v>-0.11600000000000001</v>
      </c>
      <c r="AV110" s="4">
        <v>-0.443</v>
      </c>
      <c r="AW110" s="4">
        <v>0.42199999999999999</v>
      </c>
      <c r="AX110" s="4">
        <v>-0.44800000000000001</v>
      </c>
      <c r="AY110" s="4">
        <v>0.32900000000000001</v>
      </c>
      <c r="AZ110" s="4">
        <v>-0.26800000000000002</v>
      </c>
      <c r="BA110" s="4">
        <v>0.76900000000000002</v>
      </c>
      <c r="BB110" s="4">
        <v>-0.13800000000000001</v>
      </c>
      <c r="BC110" s="4">
        <v>-0.2</v>
      </c>
      <c r="BD110" s="4">
        <v>0.13400000000000001</v>
      </c>
      <c r="BE110" s="4">
        <v>0.24099999999999999</v>
      </c>
      <c r="BF110" s="4">
        <v>-0.55000000000000004</v>
      </c>
      <c r="BG110" s="4">
        <v>0.82799999999999996</v>
      </c>
      <c r="BH110" s="4">
        <v>-0.28100000000000003</v>
      </c>
      <c r="BI110" s="4">
        <v>4.0000000000000001E-3</v>
      </c>
      <c r="BJ110" s="4">
        <v>0.97699999999999998</v>
      </c>
      <c r="BK110" s="4">
        <v>-0.56899999999999995</v>
      </c>
      <c r="BL110" s="4"/>
      <c r="BM110" s="4">
        <f t="shared" si="20"/>
        <v>-3.9463300000000021E-2</v>
      </c>
    </row>
    <row r="111" spans="1:65" hidden="1" x14ac:dyDescent="0.3">
      <c r="A111" t="s">
        <v>180</v>
      </c>
      <c r="B111" s="53">
        <f t="shared" si="21"/>
        <v>0</v>
      </c>
      <c r="C111" s="53">
        <f t="shared" si="14"/>
        <v>0</v>
      </c>
      <c r="D111" s="53">
        <f t="shared" si="15"/>
        <v>0</v>
      </c>
      <c r="E111" s="53">
        <f t="shared" si="16"/>
        <v>0</v>
      </c>
      <c r="F111" s="15">
        <v>0.77200000000000002</v>
      </c>
      <c r="G111">
        <v>0.86199999999999999</v>
      </c>
      <c r="H111" t="s">
        <v>57</v>
      </c>
      <c r="I111" t="str">
        <f>VLOOKUP(A111,Planilha6!$BL$9:$BN$222,2,0)</f>
        <v>apparel</v>
      </c>
      <c r="J111" t="str">
        <f>VLOOKUP(A111,Planilha6!$BL$9:$BN$222,3,0)</f>
        <v>high_beta</v>
      </c>
      <c r="K111" s="41">
        <v>0</v>
      </c>
      <c r="L111" s="42">
        <v>0</v>
      </c>
      <c r="M111" s="41">
        <f>VLOOKUP(A111,'Mandato Ibov'!$B$1:$C$215,2,0)</f>
        <v>0</v>
      </c>
      <c r="N111" s="59">
        <f t="shared" si="17"/>
        <v>0</v>
      </c>
      <c r="O111" s="42">
        <f t="shared" si="18"/>
        <v>0</v>
      </c>
      <c r="P111" s="59">
        <f>VLOOKUP(A111,'Mandato Ibov'!$B$2:$D$215,3,0)</f>
        <v>0</v>
      </c>
      <c r="Q111" s="42">
        <f t="shared" si="19"/>
        <v>0</v>
      </c>
      <c r="R111" s="15">
        <v>-0.16400000000000001</v>
      </c>
      <c r="S111" s="15">
        <v>-0.19800000000000001</v>
      </c>
      <c r="T111" s="15">
        <v>6.5000000000000002E-2</v>
      </c>
      <c r="U111" s="15">
        <v>-0.35199999999999998</v>
      </c>
      <c r="V111" s="15">
        <v>-0.161</v>
      </c>
      <c r="W111" s="15">
        <v>-0.17899999999999999</v>
      </c>
      <c r="X111" s="15">
        <v>-4.0000000000000001E-3</v>
      </c>
      <c r="Y111" s="15">
        <v>-0.371</v>
      </c>
      <c r="Z111" s="15">
        <v>0.20399999999999999</v>
      </c>
      <c r="AA111" s="15">
        <v>0.20799999999999999</v>
      </c>
      <c r="AB111" s="15">
        <v>0.51300000000000001</v>
      </c>
      <c r="AC111" s="15">
        <v>0.39100000000000001</v>
      </c>
      <c r="AD111" s="15">
        <v>0.216</v>
      </c>
      <c r="AE111" s="14">
        <v>0.182</v>
      </c>
      <c r="AF111" s="15">
        <v>-0.58499999999999996</v>
      </c>
      <c r="AG111" s="15">
        <v>-0.8</v>
      </c>
      <c r="AH111" s="15">
        <v>-0.51900000000000002</v>
      </c>
      <c r="AI111" s="15">
        <v>-7.0000000000000001E-3</v>
      </c>
      <c r="AJ111" s="16">
        <v>1</v>
      </c>
      <c r="AK111" s="4">
        <v>-0.46400000000000002</v>
      </c>
      <c r="AL111" s="4">
        <v>-0.75</v>
      </c>
      <c r="AM111" s="4">
        <v>-0.95</v>
      </c>
      <c r="AN111" s="4">
        <v>0.39300000000000002</v>
      </c>
      <c r="AO111" s="4">
        <v>-0.439</v>
      </c>
      <c r="AP111" s="4">
        <v>7.3999999999999996E-2</v>
      </c>
      <c r="AQ111" s="4">
        <v>0.155</v>
      </c>
      <c r="AR111" s="4">
        <v>0.03</v>
      </c>
      <c r="AS111" s="4">
        <v>-0.24099999999999999</v>
      </c>
      <c r="AT111" s="4">
        <v>0.874</v>
      </c>
      <c r="AU111" s="4">
        <v>7.6999999999999999E-2</v>
      </c>
      <c r="AV111" s="4">
        <v>0.878</v>
      </c>
      <c r="AW111" s="4">
        <v>0.39</v>
      </c>
      <c r="AX111" s="4">
        <v>2.1999999999999999E-2</v>
      </c>
      <c r="AY111" s="4">
        <v>0.91500000000000004</v>
      </c>
      <c r="AZ111" s="4">
        <v>0.54</v>
      </c>
      <c r="BA111" s="4">
        <v>0.46300000000000002</v>
      </c>
      <c r="BB111" s="4">
        <v>-0.52</v>
      </c>
      <c r="BC111" s="4">
        <v>-0.52</v>
      </c>
      <c r="BD111" s="4">
        <v>0.11700000000000001</v>
      </c>
      <c r="BE111" s="4">
        <v>0.46200000000000002</v>
      </c>
      <c r="BF111" s="4">
        <v>-0.40899999999999997</v>
      </c>
      <c r="BG111" s="4">
        <v>0.53900000000000003</v>
      </c>
      <c r="BH111" s="4">
        <v>-0.42899999999999999</v>
      </c>
      <c r="BI111" s="4">
        <v>0.155</v>
      </c>
      <c r="BJ111" s="4">
        <v>0.313</v>
      </c>
      <c r="BK111" s="4">
        <v>0.72199999999999998</v>
      </c>
      <c r="BL111" s="4"/>
      <c r="BM111" s="4">
        <f t="shared" si="20"/>
        <v>-4.5902000000000026E-2</v>
      </c>
    </row>
    <row r="112" spans="1:65" hidden="1" x14ac:dyDescent="0.3">
      <c r="A112" t="s">
        <v>176</v>
      </c>
      <c r="B112" s="53">
        <f t="shared" ref="B112:B132" si="22">K112</f>
        <v>0</v>
      </c>
      <c r="C112" s="53">
        <f t="shared" si="14"/>
        <v>-1E-3</v>
      </c>
      <c r="D112" s="53">
        <f t="shared" si="15"/>
        <v>0</v>
      </c>
      <c r="E112" s="53">
        <f t="shared" si="16"/>
        <v>1E-3</v>
      </c>
      <c r="F112" s="15">
        <v>0.76</v>
      </c>
      <c r="G112">
        <v>0.57299999999999995</v>
      </c>
      <c r="H112" t="s">
        <v>57</v>
      </c>
      <c r="I112" t="str">
        <f>VLOOKUP(A112,Planilha6!$BL$9:$BN$222,2,0)</f>
        <v>apparel</v>
      </c>
      <c r="J112" t="str">
        <f>VLOOKUP(A112,Planilha6!$BL$9:$BN$222,3,0)</f>
        <v>very_high_beta</v>
      </c>
      <c r="K112" s="41">
        <v>0</v>
      </c>
      <c r="L112" s="42">
        <v>-1E-3</v>
      </c>
      <c r="M112" s="41">
        <f>VLOOKUP(A112,'Mandato Ibov'!$B$1:$C$215,2,0)</f>
        <v>0</v>
      </c>
      <c r="N112" s="59">
        <f t="shared" si="17"/>
        <v>0</v>
      </c>
      <c r="O112" s="42">
        <f t="shared" si="18"/>
        <v>0</v>
      </c>
      <c r="P112" s="59">
        <f>VLOOKUP(A112,'Mandato Ibov'!$B$2:$D$215,3,0)</f>
        <v>0</v>
      </c>
      <c r="Q112" s="42">
        <f t="shared" si="19"/>
        <v>0</v>
      </c>
      <c r="R112" s="15">
        <v>0.10100000000000001</v>
      </c>
      <c r="S112" s="15">
        <v>-0.25900000000000001</v>
      </c>
      <c r="T112" s="15">
        <v>-0.14699999999999999</v>
      </c>
      <c r="U112" s="15">
        <v>0.19700000000000001</v>
      </c>
      <c r="V112" s="15">
        <v>-0.113</v>
      </c>
      <c r="W112" s="15">
        <v>-0.14000000000000001</v>
      </c>
      <c r="X112" s="15">
        <v>-0.24399999999999999</v>
      </c>
      <c r="Y112" s="15">
        <v>-0.60199999999999998</v>
      </c>
      <c r="Z112" s="15">
        <v>4.5999999999999999E-2</v>
      </c>
      <c r="AA112" s="15">
        <v>5.1999999999999998E-2</v>
      </c>
      <c r="AB112" s="15">
        <v>0.36099999999999999</v>
      </c>
      <c r="AC112" s="15">
        <v>0.25700000000000001</v>
      </c>
      <c r="AD112" s="15">
        <v>0.34699999999999998</v>
      </c>
      <c r="AE112" s="14">
        <v>1</v>
      </c>
      <c r="AF112" s="15">
        <v>0.55100000000000005</v>
      </c>
      <c r="AG112" s="15">
        <v>-0.29499999999999998</v>
      </c>
      <c r="AH112" s="15">
        <v>-0.2</v>
      </c>
      <c r="AI112" s="15">
        <v>-0.28299999999999997</v>
      </c>
      <c r="AJ112" s="16">
        <v>0.84099999999999997</v>
      </c>
      <c r="AK112" s="4">
        <v>0.48699999999999999</v>
      </c>
      <c r="AL112" s="4">
        <v>-0.73299999999999998</v>
      </c>
      <c r="AM112" s="4">
        <v>-0.26700000000000002</v>
      </c>
      <c r="AN112" s="4">
        <v>0.254</v>
      </c>
      <c r="AO112" s="4">
        <v>-0.71099999999999997</v>
      </c>
      <c r="AP112" s="4">
        <v>0.46700000000000003</v>
      </c>
      <c r="AQ112" s="4">
        <v>0.74399999999999999</v>
      </c>
      <c r="AR112" s="4">
        <v>0.187</v>
      </c>
      <c r="AS112" s="4">
        <v>-0.26100000000000001</v>
      </c>
      <c r="AT112" s="4">
        <v>0.53</v>
      </c>
      <c r="AU112" s="4">
        <v>3.5999999999999997E-2</v>
      </c>
      <c r="AV112" s="4">
        <v>0.91200000000000003</v>
      </c>
      <c r="AW112" s="4">
        <v>-0.54500000000000004</v>
      </c>
      <c r="AX112" s="4">
        <v>0.126</v>
      </c>
      <c r="AY112" s="4">
        <v>0.72699999999999998</v>
      </c>
      <c r="AZ112" s="4">
        <v>6.5000000000000002E-2</v>
      </c>
      <c r="BA112" s="4">
        <v>-0.254</v>
      </c>
      <c r="BB112" s="4">
        <v>-0.104</v>
      </c>
      <c r="BC112" s="4">
        <v>-8.5000000000000006E-2</v>
      </c>
      <c r="BD112" s="4">
        <v>0.59</v>
      </c>
      <c r="BE112" s="4">
        <v>-0.45200000000000001</v>
      </c>
      <c r="BF112" s="4">
        <v>-0.34499999999999997</v>
      </c>
      <c r="BG112" s="4">
        <v>0.223</v>
      </c>
      <c r="BH112" s="4">
        <v>-0.67100000000000004</v>
      </c>
      <c r="BI112" s="4">
        <v>0.36099999999999999</v>
      </c>
      <c r="BJ112" s="4">
        <v>-0.92</v>
      </c>
      <c r="BK112" s="4">
        <v>0.34100000000000003</v>
      </c>
      <c r="BL112" s="4"/>
      <c r="BM112" s="4">
        <f t="shared" si="20"/>
        <v>-5.3487799999999995E-2</v>
      </c>
    </row>
    <row r="113" spans="1:65" hidden="1" x14ac:dyDescent="0.3">
      <c r="A113" t="s">
        <v>150</v>
      </c>
      <c r="B113" s="53">
        <f t="shared" si="22"/>
        <v>0</v>
      </c>
      <c r="C113" s="53">
        <f t="shared" si="14"/>
        <v>0</v>
      </c>
      <c r="D113" s="53">
        <f t="shared" si="15"/>
        <v>0</v>
      </c>
      <c r="E113" s="53">
        <f t="shared" si="16"/>
        <v>0</v>
      </c>
      <c r="F113" s="15">
        <v>0.75700000000000001</v>
      </c>
      <c r="G113">
        <v>0.63400000000000001</v>
      </c>
      <c r="H113" t="s">
        <v>53</v>
      </c>
      <c r="I113" t="str">
        <f>VLOOKUP(A113,Planilha6!$BL$9:$BN$222,2,0)</f>
        <v>healthcare</v>
      </c>
      <c r="J113" t="str">
        <f>VLOOKUP(A113,Planilha6!$BL$9:$BN$222,3,0)</f>
        <v>neutral_beta</v>
      </c>
      <c r="K113" s="41">
        <v>0</v>
      </c>
      <c r="L113" s="42">
        <v>0</v>
      </c>
      <c r="M113" s="41">
        <f>VLOOKUP(A113,'Mandato Ibov'!$B$1:$C$215,2,0)</f>
        <v>0</v>
      </c>
      <c r="N113" s="59">
        <f t="shared" si="17"/>
        <v>0</v>
      </c>
      <c r="O113" s="42">
        <f t="shared" si="18"/>
        <v>0</v>
      </c>
      <c r="P113" s="59">
        <f>VLOOKUP(A113,'Mandato Ibov'!$B$2:$D$215,3,0)</f>
        <v>0</v>
      </c>
      <c r="Q113" s="42">
        <f t="shared" si="19"/>
        <v>0</v>
      </c>
      <c r="R113" s="15">
        <v>-0.28399999999999997</v>
      </c>
      <c r="S113" s="15">
        <v>-0.254</v>
      </c>
      <c r="T113" s="15">
        <v>-0.26700000000000002</v>
      </c>
      <c r="U113" s="15">
        <v>-0.56299999999999994</v>
      </c>
      <c r="V113" s="15">
        <v>-0.41499999999999998</v>
      </c>
      <c r="W113" s="15">
        <v>-0.25600000000000001</v>
      </c>
      <c r="X113" s="15">
        <v>-5.7000000000000002E-2</v>
      </c>
      <c r="Y113" s="15">
        <v>-0.372</v>
      </c>
      <c r="Z113" s="15">
        <v>0.16200000000000001</v>
      </c>
      <c r="AA113" s="15">
        <v>0.16400000000000001</v>
      </c>
      <c r="AB113" s="15">
        <v>0.55600000000000005</v>
      </c>
      <c r="AC113" s="15">
        <v>0.502</v>
      </c>
      <c r="AD113" s="15">
        <v>0.53300000000000003</v>
      </c>
      <c r="AE113" s="14">
        <v>-0.17499999999999999</v>
      </c>
      <c r="AF113" s="15">
        <v>-0.76900000000000002</v>
      </c>
      <c r="AG113" s="15">
        <v>-0.41899999999999998</v>
      </c>
      <c r="AH113" s="15">
        <v>-0.44800000000000001</v>
      </c>
      <c r="AI113" s="15">
        <v>0.105</v>
      </c>
      <c r="AJ113" s="16">
        <v>-6.3E-2</v>
      </c>
      <c r="AK113" s="4">
        <v>-0.32900000000000001</v>
      </c>
      <c r="AL113" s="4">
        <v>-0.35899999999999999</v>
      </c>
      <c r="AM113" s="4">
        <v>-0.60199999999999998</v>
      </c>
      <c r="AN113" s="4">
        <v>0.14299999999999999</v>
      </c>
      <c r="AO113" s="4">
        <v>0.126</v>
      </c>
      <c r="AP113" s="4">
        <v>0.55800000000000005</v>
      </c>
      <c r="AQ113" s="4">
        <v>-9.1999999999999998E-2</v>
      </c>
      <c r="AR113" s="4">
        <v>-0.16800000000000001</v>
      </c>
      <c r="AS113" s="4">
        <v>-0.58599999999999997</v>
      </c>
      <c r="AT113" s="4">
        <v>0.188</v>
      </c>
      <c r="AU113" s="4">
        <v>4.3999999999999997E-2</v>
      </c>
      <c r="AV113" s="4">
        <v>0.246</v>
      </c>
      <c r="AW113" s="4">
        <v>0.26700000000000002</v>
      </c>
      <c r="AX113" s="4">
        <v>0.28000000000000003</v>
      </c>
      <c r="AY113" s="4">
        <v>0.872</v>
      </c>
      <c r="AZ113" s="4">
        <v>-9.5000000000000001E-2</v>
      </c>
      <c r="BA113" s="4">
        <v>0.69099999999999995</v>
      </c>
      <c r="BB113" s="4">
        <v>-6.5000000000000002E-2</v>
      </c>
      <c r="BC113" s="4">
        <v>-0.22</v>
      </c>
      <c r="BD113" s="4">
        <v>8.0000000000000002E-3</v>
      </c>
      <c r="BE113" s="4">
        <v>-0.36599999999999999</v>
      </c>
      <c r="BF113" s="4">
        <v>0.26500000000000001</v>
      </c>
      <c r="BG113" s="4">
        <v>0.61199999999999999</v>
      </c>
      <c r="BH113" s="4">
        <v>0.20799999999999999</v>
      </c>
      <c r="BI113" s="4">
        <v>-7.4999999999999997E-2</v>
      </c>
      <c r="BJ113" s="4">
        <v>0.67200000000000004</v>
      </c>
      <c r="BK113" s="4">
        <v>0.23300000000000001</v>
      </c>
      <c r="BL113" s="4"/>
      <c r="BM113" s="4">
        <f t="shared" si="20"/>
        <v>-5.5357699999999982E-2</v>
      </c>
    </row>
    <row r="114" spans="1:65" hidden="1" x14ac:dyDescent="0.3">
      <c r="A114" t="s">
        <v>199</v>
      </c>
      <c r="B114" s="53">
        <f t="shared" si="22"/>
        <v>0</v>
      </c>
      <c r="C114" s="53">
        <f t="shared" si="14"/>
        <v>0</v>
      </c>
      <c r="D114" s="53">
        <f t="shared" si="15"/>
        <v>0</v>
      </c>
      <c r="E114" s="53">
        <f t="shared" si="16"/>
        <v>0</v>
      </c>
      <c r="F114" s="15">
        <v>0.748</v>
      </c>
      <c r="G114">
        <v>0.88200000000000001</v>
      </c>
      <c r="H114" t="s">
        <v>55</v>
      </c>
      <c r="I114" t="str">
        <f>VLOOKUP(A114,Planilha6!$BL$9:$BN$222,2,0)</f>
        <v>utilities</v>
      </c>
      <c r="J114" t="str">
        <f>VLOOKUP(A114,Planilha6!$BL$9:$BN$222,3,0)</f>
        <v>high_beta</v>
      </c>
      <c r="K114" s="41">
        <v>0</v>
      </c>
      <c r="L114" s="42">
        <v>0</v>
      </c>
      <c r="M114" s="41">
        <f>VLOOKUP(A114,'Mandato Ibov'!$B$1:$C$215,2,0)</f>
        <v>0</v>
      </c>
      <c r="N114" s="59">
        <f t="shared" si="17"/>
        <v>0</v>
      </c>
      <c r="O114" s="42">
        <f t="shared" si="18"/>
        <v>0</v>
      </c>
      <c r="P114" s="59">
        <f>VLOOKUP(A114,'Mandato Ibov'!$B$2:$D$215,3,0)</f>
        <v>6.2846974557616599E-3</v>
      </c>
      <c r="Q114" s="42">
        <f t="shared" si="19"/>
        <v>-6.2846974557616599E-3</v>
      </c>
      <c r="R114" s="15">
        <v>-0.439</v>
      </c>
      <c r="S114" s="15">
        <v>3.6999999999999998E-2</v>
      </c>
      <c r="T114" s="15">
        <v>-0.55600000000000005</v>
      </c>
      <c r="U114" s="15">
        <v>-0.41699999999999998</v>
      </c>
      <c r="V114" s="15">
        <v>-0.23899999999999999</v>
      </c>
      <c r="W114" s="15">
        <v>-0.22700000000000001</v>
      </c>
      <c r="X114" s="15">
        <v>-0.106</v>
      </c>
      <c r="Y114" s="15">
        <v>-0.44400000000000001</v>
      </c>
      <c r="Z114" s="15">
        <v>0.53800000000000003</v>
      </c>
      <c r="AA114" s="15">
        <v>0.53700000000000003</v>
      </c>
      <c r="AB114" s="15">
        <v>0.56399999999999995</v>
      </c>
      <c r="AC114" s="15">
        <v>0.58199999999999996</v>
      </c>
      <c r="AD114" s="15">
        <v>0.45</v>
      </c>
      <c r="AE114" s="14">
        <v>-0.61499999999999999</v>
      </c>
      <c r="AF114" s="15">
        <v>-0.36199999999999999</v>
      </c>
      <c r="AG114" s="15">
        <v>-0.16700000000000001</v>
      </c>
      <c r="AH114" s="15">
        <v>-0.85599999999999998</v>
      </c>
      <c r="AI114" s="15">
        <v>0.13400000000000001</v>
      </c>
      <c r="AJ114" s="16">
        <v>-0.55300000000000005</v>
      </c>
      <c r="AK114" s="4">
        <v>-0.51500000000000001</v>
      </c>
      <c r="AL114" s="4">
        <v>-1</v>
      </c>
      <c r="AM114" s="4">
        <v>-0.86199999999999999</v>
      </c>
      <c r="AN114" s="4">
        <v>0.17699999999999999</v>
      </c>
      <c r="AO114" s="4">
        <v>0.627</v>
      </c>
      <c r="AP114" s="4">
        <v>0.25900000000000001</v>
      </c>
      <c r="AQ114" s="4">
        <v>0.77100000000000002</v>
      </c>
      <c r="AR114" s="4">
        <v>0.86399999999999999</v>
      </c>
      <c r="AS114" s="4">
        <v>0.52700000000000002</v>
      </c>
      <c r="AT114" s="4">
        <v>-0.107</v>
      </c>
      <c r="AU114" s="4">
        <v>0.107</v>
      </c>
      <c r="AV114" s="4">
        <v>0.18</v>
      </c>
      <c r="AW114" s="4">
        <v>0.51500000000000001</v>
      </c>
      <c r="AX114" s="4">
        <v>-8.1000000000000003E-2</v>
      </c>
      <c r="AY114" s="4">
        <v>0.625</v>
      </c>
      <c r="AZ114" s="4">
        <v>0.73399999999999999</v>
      </c>
      <c r="BA114" s="4">
        <v>-0.34499999999999997</v>
      </c>
      <c r="BB114" s="4">
        <v>-0.68600000000000005</v>
      </c>
      <c r="BC114" s="4">
        <v>-0.92200000000000004</v>
      </c>
      <c r="BD114" s="4">
        <v>0.21099999999999999</v>
      </c>
      <c r="BE114" s="4">
        <v>-0.96299999999999997</v>
      </c>
      <c r="BF114" s="4">
        <v>0.36199999999999999</v>
      </c>
      <c r="BG114" s="4">
        <v>0.57899999999999996</v>
      </c>
      <c r="BH114" s="4">
        <v>-0.65700000000000003</v>
      </c>
      <c r="BI114" s="4">
        <v>0.22500000000000001</v>
      </c>
      <c r="BJ114" s="4">
        <v>-8.7999999999999995E-2</v>
      </c>
      <c r="BK114" s="4">
        <v>0.311</v>
      </c>
      <c r="BL114" s="4"/>
      <c r="BM114" s="4">
        <f t="shared" si="20"/>
        <v>-6.2081699999999962E-2</v>
      </c>
    </row>
    <row r="115" spans="1:65" hidden="1" x14ac:dyDescent="0.3">
      <c r="A115" t="s">
        <v>174</v>
      </c>
      <c r="B115" s="53">
        <f t="shared" si="22"/>
        <v>0</v>
      </c>
      <c r="C115" s="53">
        <f t="shared" si="14"/>
        <v>0</v>
      </c>
      <c r="D115" s="53">
        <f t="shared" si="15"/>
        <v>0</v>
      </c>
      <c r="E115" s="53">
        <f t="shared" si="16"/>
        <v>0</v>
      </c>
      <c r="F115" s="15">
        <v>0.74099999999999999</v>
      </c>
      <c r="G115">
        <v>0.56399999999999995</v>
      </c>
      <c r="H115" t="s">
        <v>68</v>
      </c>
      <c r="I115" t="str">
        <f>VLOOKUP(A115,Planilha6!$BL$9:$BN$222,2,0)</f>
        <v>capital_goods</v>
      </c>
      <c r="J115" t="str">
        <f>VLOOKUP(A115,Planilha6!$BL$9:$BN$222,3,0)</f>
        <v>very_low_beta</v>
      </c>
      <c r="K115" s="41">
        <v>0</v>
      </c>
      <c r="L115" s="42">
        <v>0</v>
      </c>
      <c r="M115" s="41">
        <f>VLOOKUP(A115,'Mandato Ibov'!$B$1:$C$215,2,0)</f>
        <v>0</v>
      </c>
      <c r="N115" s="59">
        <f t="shared" si="17"/>
        <v>0</v>
      </c>
      <c r="O115" s="42">
        <f t="shared" si="18"/>
        <v>0</v>
      </c>
      <c r="P115" s="59">
        <f>VLOOKUP(A115,'Mandato Ibov'!$B$2:$D$215,3,0)</f>
        <v>0</v>
      </c>
      <c r="Q115" s="42">
        <f t="shared" si="19"/>
        <v>0</v>
      </c>
      <c r="R115" s="15">
        <v>-0.20499999999999999</v>
      </c>
      <c r="S115" s="15">
        <v>-0.53400000000000003</v>
      </c>
      <c r="T115" s="15">
        <v>0.108</v>
      </c>
      <c r="U115" s="15">
        <v>-0.44900000000000001</v>
      </c>
      <c r="V115" s="15">
        <v>-0.372</v>
      </c>
      <c r="W115" s="15">
        <v>-0.65400000000000003</v>
      </c>
      <c r="X115" s="15">
        <v>-0.71599999999999997</v>
      </c>
      <c r="Y115" s="15">
        <v>-0.67</v>
      </c>
      <c r="Z115" s="15">
        <v>0.79200000000000004</v>
      </c>
      <c r="AA115" s="15">
        <v>0.79300000000000004</v>
      </c>
      <c r="AB115" s="15">
        <v>0.64100000000000001</v>
      </c>
      <c r="AC115" s="15">
        <v>0.69</v>
      </c>
      <c r="AD115" s="15">
        <v>0.65100000000000002</v>
      </c>
      <c r="AE115" s="14">
        <v>-0.22900000000000001</v>
      </c>
      <c r="AF115" s="15">
        <v>0</v>
      </c>
      <c r="AG115" s="15">
        <v>0.26900000000000002</v>
      </c>
      <c r="AH115" s="15">
        <v>1</v>
      </c>
      <c r="AI115" s="15">
        <v>0.19700000000000001</v>
      </c>
      <c r="AJ115" s="16">
        <v>-0.374</v>
      </c>
      <c r="AK115" s="4">
        <v>0.621</v>
      </c>
      <c r="AL115" s="4">
        <v>-0.58199999999999996</v>
      </c>
      <c r="AM115" s="4">
        <v>0.90600000000000003</v>
      </c>
      <c r="AN115" s="4">
        <v>-0.26600000000000001</v>
      </c>
      <c r="AO115" s="4">
        <v>-0.14499999999999999</v>
      </c>
      <c r="AP115" s="4">
        <v>-0.109</v>
      </c>
      <c r="AQ115" s="4">
        <v>-0.38100000000000001</v>
      </c>
      <c r="AR115" s="4">
        <v>-0.1</v>
      </c>
      <c r="AS115" s="4">
        <v>-0.61699999999999999</v>
      </c>
      <c r="AT115" s="4">
        <v>0.26600000000000001</v>
      </c>
      <c r="AU115" s="4">
        <v>-0.48399999999999999</v>
      </c>
      <c r="AV115" s="4">
        <v>-0.35499999999999998</v>
      </c>
      <c r="AW115" s="4">
        <v>0.14799999999999999</v>
      </c>
      <c r="AX115" s="4">
        <v>-0.755</v>
      </c>
      <c r="AY115" s="4">
        <v>0.82399999999999995</v>
      </c>
      <c r="AZ115" s="4">
        <v>6.5000000000000002E-2</v>
      </c>
      <c r="BA115" s="4">
        <v>0.122</v>
      </c>
      <c r="BB115" s="4">
        <v>0.27800000000000002</v>
      </c>
      <c r="BC115" s="4">
        <v>-7.8E-2</v>
      </c>
      <c r="BD115" s="4">
        <v>0.30499999999999999</v>
      </c>
      <c r="BE115" s="4">
        <v>-0.46899999999999997</v>
      </c>
      <c r="BF115" s="4">
        <v>-7.5999999999999998E-2</v>
      </c>
      <c r="BG115" s="4">
        <v>-2.1000000000000001E-2</v>
      </c>
      <c r="BH115" s="4">
        <v>1.2E-2</v>
      </c>
      <c r="BI115" s="4">
        <v>-0.11</v>
      </c>
      <c r="BJ115" s="4">
        <v>0.93100000000000005</v>
      </c>
      <c r="BK115" s="4">
        <v>0.71699999999999997</v>
      </c>
      <c r="BL115" s="4"/>
      <c r="BM115" s="4">
        <f t="shared" si="20"/>
        <v>-6.7245299999999966E-2</v>
      </c>
    </row>
    <row r="116" spans="1:65" hidden="1" x14ac:dyDescent="0.3">
      <c r="A116" t="s">
        <v>214</v>
      </c>
      <c r="B116" s="53">
        <f t="shared" si="22"/>
        <v>0</v>
      </c>
      <c r="C116" s="53">
        <f t="shared" si="14"/>
        <v>-2E-3</v>
      </c>
      <c r="D116" s="53">
        <f t="shared" si="15"/>
        <v>0</v>
      </c>
      <c r="E116" s="53">
        <f t="shared" si="16"/>
        <v>2E-3</v>
      </c>
      <c r="F116" s="15">
        <v>0.73799999999999999</v>
      </c>
      <c r="G116">
        <v>0.77600000000000002</v>
      </c>
      <c r="H116" t="s">
        <v>53</v>
      </c>
      <c r="I116" t="str">
        <f>VLOOKUP(A116,Planilha6!$BL$9:$BN$222,2,0)</f>
        <v>float_financials</v>
      </c>
      <c r="J116" t="str">
        <f>VLOOKUP(A116,Planilha6!$BL$9:$BN$222,3,0)</f>
        <v>low_beta</v>
      </c>
      <c r="K116" s="41">
        <v>0</v>
      </c>
      <c r="L116" s="42">
        <v>-2E-3</v>
      </c>
      <c r="M116" s="41">
        <f>VLOOKUP(A116,'Mandato Ibov'!$B$1:$C$215,2,0)</f>
        <v>0</v>
      </c>
      <c r="N116" s="59">
        <f t="shared" si="17"/>
        <v>0</v>
      </c>
      <c r="O116" s="42">
        <f t="shared" si="18"/>
        <v>0</v>
      </c>
      <c r="P116" s="59">
        <f>VLOOKUP(A116,'Mandato Ibov'!$B$2:$D$215,3,0)</f>
        <v>0</v>
      </c>
      <c r="Q116" s="42">
        <f t="shared" si="19"/>
        <v>0</v>
      </c>
      <c r="R116" s="15">
        <v>-0.312</v>
      </c>
      <c r="S116" s="15">
        <v>-7.9000000000000001E-2</v>
      </c>
      <c r="T116" s="15">
        <v>-0.58399999999999996</v>
      </c>
      <c r="U116" s="15">
        <v>-0.41799999999999998</v>
      </c>
      <c r="V116" s="15">
        <v>-0.39400000000000002</v>
      </c>
      <c r="W116" s="15">
        <v>-0.28000000000000003</v>
      </c>
      <c r="X116" s="15">
        <v>-5.2999999999999999E-2</v>
      </c>
      <c r="Y116" s="15">
        <v>-0.60899999999999999</v>
      </c>
      <c r="Z116" s="15">
        <v>0.36299999999999999</v>
      </c>
      <c r="AA116" s="15">
        <v>0.36899999999999999</v>
      </c>
      <c r="AB116" s="15">
        <v>0.63</v>
      </c>
      <c r="AC116" s="15">
        <v>0.88900000000000001</v>
      </c>
      <c r="AD116" s="15">
        <v>0.54200000000000004</v>
      </c>
      <c r="AE116" s="14">
        <v>-0.42299999999999999</v>
      </c>
      <c r="AF116" s="15">
        <v>-0.215</v>
      </c>
      <c r="AG116" s="15">
        <v>0.10100000000000001</v>
      </c>
      <c r="AH116" s="15">
        <v>-0.47599999999999998</v>
      </c>
      <c r="AI116" s="15">
        <v>-7.0000000000000001E-3</v>
      </c>
      <c r="AJ116" s="16">
        <v>5.8000000000000003E-2</v>
      </c>
      <c r="AK116" s="4">
        <v>-0.156</v>
      </c>
      <c r="AL116" s="4">
        <v>-0.93400000000000005</v>
      </c>
      <c r="AM116" s="4">
        <v>-0.26</v>
      </c>
      <c r="AN116" s="4">
        <v>0.35399999999999998</v>
      </c>
      <c r="AO116" s="4">
        <v>0.184</v>
      </c>
      <c r="AP116" s="4">
        <v>0.39600000000000002</v>
      </c>
      <c r="AQ116" s="4">
        <v>0.51100000000000001</v>
      </c>
      <c r="AR116" s="4">
        <v>-0.71199999999999997</v>
      </c>
      <c r="AS116" s="4">
        <v>-0.28999999999999998</v>
      </c>
      <c r="AT116" s="4">
        <v>0.25700000000000001</v>
      </c>
      <c r="AU116" s="4">
        <v>0.23699999999999999</v>
      </c>
      <c r="AV116" s="4">
        <v>-0.111</v>
      </c>
      <c r="AW116" s="4">
        <v>0.28599999999999998</v>
      </c>
      <c r="AX116" s="4">
        <v>0.30199999999999999</v>
      </c>
      <c r="AY116" s="4">
        <v>0.86799999999999999</v>
      </c>
      <c r="AZ116" s="4">
        <v>-0.27700000000000002</v>
      </c>
      <c r="BA116" s="4">
        <v>0.01</v>
      </c>
      <c r="BB116" s="4">
        <v>0.129</v>
      </c>
      <c r="BC116" s="4">
        <v>-6.7000000000000004E-2</v>
      </c>
      <c r="BD116" s="4">
        <v>0.66600000000000004</v>
      </c>
      <c r="BE116" s="4">
        <v>6.7000000000000004E-2</v>
      </c>
      <c r="BF116" s="4">
        <v>-0.16600000000000001</v>
      </c>
      <c r="BG116" s="4">
        <v>0.70199999999999996</v>
      </c>
      <c r="BH116" s="4">
        <v>-0.16</v>
      </c>
      <c r="BI116" s="4">
        <v>-0.14599999999999999</v>
      </c>
      <c r="BJ116" s="4">
        <v>-0.255</v>
      </c>
      <c r="BK116" s="4">
        <v>0.60299999999999998</v>
      </c>
      <c r="BL116" s="4"/>
      <c r="BM116" s="4">
        <f t="shared" si="20"/>
        <v>-6.942340000000001E-2</v>
      </c>
    </row>
    <row r="117" spans="1:65" hidden="1" x14ac:dyDescent="0.3">
      <c r="A117" t="s">
        <v>209</v>
      </c>
      <c r="B117" s="53">
        <f t="shared" si="22"/>
        <v>0</v>
      </c>
      <c r="C117" s="53">
        <f t="shared" si="14"/>
        <v>-1.2999999999999999E-2</v>
      </c>
      <c r="D117" s="53">
        <f t="shared" si="15"/>
        <v>0</v>
      </c>
      <c r="E117" s="53">
        <f t="shared" si="16"/>
        <v>1.2999999999999999E-2</v>
      </c>
      <c r="F117" s="15">
        <v>0.73499999999999999</v>
      </c>
      <c r="G117">
        <v>1.387</v>
      </c>
      <c r="H117" t="s">
        <v>55</v>
      </c>
      <c r="I117" t="str">
        <f>VLOOKUP(A117,Planilha6!$BL$9:$BN$222,2,0)</f>
        <v>utilities</v>
      </c>
      <c r="J117" t="str">
        <f>VLOOKUP(A117,Planilha6!$BL$9:$BN$222,3,0)</f>
        <v>high_beta</v>
      </c>
      <c r="K117" s="41">
        <v>0</v>
      </c>
      <c r="L117" s="42">
        <v>-1.2999999999999999E-2</v>
      </c>
      <c r="M117" s="41">
        <f>VLOOKUP(A117,'Mandato Ibov'!$B$1:$C$215,2,0)</f>
        <v>0</v>
      </c>
      <c r="N117" s="59">
        <f t="shared" si="17"/>
        <v>0</v>
      </c>
      <c r="O117" s="42">
        <f t="shared" si="18"/>
        <v>0</v>
      </c>
      <c r="P117" s="59">
        <f>VLOOKUP(A117,'Mandato Ibov'!$B$2:$D$215,3,0)</f>
        <v>2.40869617446175E-2</v>
      </c>
      <c r="Q117" s="42">
        <f t="shared" si="19"/>
        <v>-2.40869617446175E-2</v>
      </c>
      <c r="R117" s="15">
        <v>-0.57899999999999996</v>
      </c>
      <c r="S117" s="15">
        <v>3.6999999999999998E-2</v>
      </c>
      <c r="T117" s="15">
        <v>-0.80700000000000005</v>
      </c>
      <c r="U117" s="15">
        <v>-0.59399999999999997</v>
      </c>
      <c r="V117" s="15">
        <v>-0.438</v>
      </c>
      <c r="W117" s="15">
        <v>-0.32</v>
      </c>
      <c r="X117" s="15">
        <v>-0.19400000000000001</v>
      </c>
      <c r="Y117" s="15">
        <v>-0.38800000000000001</v>
      </c>
      <c r="Z117" s="15">
        <v>0.47</v>
      </c>
      <c r="AA117" s="15">
        <v>0.48099999999999998</v>
      </c>
      <c r="AB117" s="15">
        <v>0.67</v>
      </c>
      <c r="AC117" s="15">
        <v>0.92300000000000004</v>
      </c>
      <c r="AD117" s="15">
        <v>0.62</v>
      </c>
      <c r="AE117" s="14">
        <v>-1</v>
      </c>
      <c r="AF117" s="15">
        <v>-0.45700000000000002</v>
      </c>
      <c r="AG117" s="15">
        <v>0.31</v>
      </c>
      <c r="AH117" s="15">
        <v>-1</v>
      </c>
      <c r="AI117" s="15">
        <v>-0.66100000000000003</v>
      </c>
      <c r="AJ117" s="16">
        <v>-0.96299999999999997</v>
      </c>
      <c r="AK117" s="4">
        <v>-0.371</v>
      </c>
      <c r="AL117" s="4">
        <v>-0.67900000000000005</v>
      </c>
      <c r="AM117" s="4">
        <v>-0.56399999999999995</v>
      </c>
      <c r="AN117" s="4">
        <v>-0.52300000000000002</v>
      </c>
      <c r="AO117" s="4">
        <v>0.69899999999999995</v>
      </c>
      <c r="AP117" s="4">
        <v>0.74199999999999999</v>
      </c>
      <c r="AQ117" s="4">
        <v>0.21199999999999999</v>
      </c>
      <c r="AR117" s="4">
        <v>0.80500000000000005</v>
      </c>
      <c r="AS117" s="4">
        <v>0.30599999999999999</v>
      </c>
      <c r="AT117" s="4">
        <v>0.20100000000000001</v>
      </c>
      <c r="AU117" s="4">
        <v>-3.0000000000000001E-3</v>
      </c>
      <c r="AV117" s="4">
        <v>-0.69</v>
      </c>
      <c r="AW117" s="4">
        <v>0.51100000000000001</v>
      </c>
      <c r="AX117" s="4">
        <v>-0.68799999999999994</v>
      </c>
      <c r="AY117" s="4">
        <v>0.83899999999999997</v>
      </c>
      <c r="AZ117" s="4">
        <v>0.40300000000000002</v>
      </c>
      <c r="BA117" s="4">
        <v>0.70599999999999996</v>
      </c>
      <c r="BB117" s="4">
        <v>-3.5999999999999997E-2</v>
      </c>
      <c r="BC117" s="4">
        <v>3.1E-2</v>
      </c>
      <c r="BD117" s="4">
        <v>0.36399999999999999</v>
      </c>
      <c r="BE117" s="4">
        <v>-0.26500000000000001</v>
      </c>
      <c r="BF117" s="4">
        <v>0.13100000000000001</v>
      </c>
      <c r="BG117" s="4">
        <v>0.55100000000000005</v>
      </c>
      <c r="BH117" s="4">
        <v>-0.76300000000000001</v>
      </c>
      <c r="BI117" s="4">
        <v>0.16500000000000001</v>
      </c>
      <c r="BJ117" s="4">
        <v>0.19700000000000001</v>
      </c>
      <c r="BK117" s="4">
        <v>-1</v>
      </c>
      <c r="BL117" s="4"/>
      <c r="BM117" s="4">
        <f t="shared" si="20"/>
        <v>-7.1842399999999987E-2</v>
      </c>
    </row>
    <row r="118" spans="1:65" hidden="1" x14ac:dyDescent="0.3">
      <c r="A118" t="s">
        <v>102</v>
      </c>
      <c r="B118" s="53">
        <f t="shared" si="22"/>
        <v>0</v>
      </c>
      <c r="C118" s="53">
        <f t="shared" si="14"/>
        <v>-2E-3</v>
      </c>
      <c r="D118" s="53">
        <f t="shared" si="15"/>
        <v>0</v>
      </c>
      <c r="E118" s="53">
        <f t="shared" si="16"/>
        <v>2E-3</v>
      </c>
      <c r="F118" s="15">
        <v>0.72899999999999998</v>
      </c>
      <c r="G118">
        <v>0.57899999999999996</v>
      </c>
      <c r="H118" t="s">
        <v>57</v>
      </c>
      <c r="I118" t="str">
        <f>VLOOKUP(A118,Planilha6!$BL$9:$BN$222,2,0)</f>
        <v>education</v>
      </c>
      <c r="J118" t="str">
        <f>VLOOKUP(A118,Planilha6!$BL$9:$BN$222,3,0)</f>
        <v>high_beta</v>
      </c>
      <c r="K118" s="41">
        <v>0</v>
      </c>
      <c r="L118" s="42">
        <v>-2E-3</v>
      </c>
      <c r="M118" s="41">
        <f>VLOOKUP(A118,'Mandato Ibov'!$B$1:$C$215,2,0)</f>
        <v>0</v>
      </c>
      <c r="N118" s="59">
        <f t="shared" si="17"/>
        <v>0</v>
      </c>
      <c r="O118" s="42">
        <f t="shared" si="18"/>
        <v>0</v>
      </c>
      <c r="P118" s="59">
        <f>VLOOKUP(A118,'Mandato Ibov'!$B$2:$D$215,3,0)</f>
        <v>0</v>
      </c>
      <c r="Q118" s="42">
        <f t="shared" si="19"/>
        <v>0</v>
      </c>
      <c r="R118" s="15">
        <v>-0.29799999999999999</v>
      </c>
      <c r="S118" s="15">
        <v>-0.31900000000000001</v>
      </c>
      <c r="T118" s="15">
        <v>-0.57399999999999995</v>
      </c>
      <c r="U118" s="15">
        <v>-4.7E-2</v>
      </c>
      <c r="V118" s="15">
        <v>-0.221</v>
      </c>
      <c r="W118" s="15">
        <v>-0.33300000000000002</v>
      </c>
      <c r="X118" s="15">
        <v>-0.29199999999999998</v>
      </c>
      <c r="Y118" s="15">
        <v>-0.51700000000000002</v>
      </c>
      <c r="Z118" s="15">
        <v>0.309</v>
      </c>
      <c r="AA118" s="15">
        <v>0.309</v>
      </c>
      <c r="AB118" s="15">
        <v>0.72799999999999998</v>
      </c>
      <c r="AC118" s="15">
        <v>0.68100000000000005</v>
      </c>
      <c r="AD118" s="15">
        <v>0.48499999999999999</v>
      </c>
      <c r="AE118" s="14">
        <v>0.63400000000000001</v>
      </c>
      <c r="AF118" s="15">
        <v>0.81100000000000005</v>
      </c>
      <c r="AG118" s="15">
        <v>5.3999999999999999E-2</v>
      </c>
      <c r="AH118" s="15">
        <v>-0.39800000000000002</v>
      </c>
      <c r="AI118" s="15">
        <v>-0.49099999999999999</v>
      </c>
      <c r="AJ118" s="16">
        <v>7.2999999999999995E-2</v>
      </c>
      <c r="AK118" s="4">
        <v>-0.13100000000000001</v>
      </c>
      <c r="AL118" s="4">
        <v>-0.68400000000000005</v>
      </c>
      <c r="AM118" s="4">
        <v>0.39800000000000002</v>
      </c>
      <c r="AN118" s="4">
        <v>0.61499999999999999</v>
      </c>
      <c r="AO118" s="4">
        <v>2.8000000000000001E-2</v>
      </c>
      <c r="AP118" s="4">
        <v>-0.60799999999999998</v>
      </c>
      <c r="AQ118" s="4">
        <v>0.61599999999999999</v>
      </c>
      <c r="AR118" s="4">
        <v>-0.73599999999999999</v>
      </c>
      <c r="AS118" s="4">
        <v>-0.61</v>
      </c>
      <c r="AT118" s="4">
        <v>3.5000000000000003E-2</v>
      </c>
      <c r="AU118" s="4">
        <v>9.5000000000000001E-2</v>
      </c>
      <c r="AV118" s="4">
        <v>0.44600000000000001</v>
      </c>
      <c r="AW118" s="4">
        <v>-0.39500000000000002</v>
      </c>
      <c r="AX118" s="4">
        <v>-0.503</v>
      </c>
      <c r="AY118" s="4">
        <v>0.84</v>
      </c>
      <c r="AZ118" s="4">
        <v>0.22</v>
      </c>
      <c r="BA118" s="4">
        <v>0.39300000000000002</v>
      </c>
      <c r="BB118" s="4">
        <v>0.107</v>
      </c>
      <c r="BC118" s="4">
        <v>-0.17499999999999999</v>
      </c>
      <c r="BD118" s="4">
        <v>0.54100000000000004</v>
      </c>
      <c r="BE118" s="4">
        <v>-0.125</v>
      </c>
      <c r="BF118" s="4">
        <v>-0.38600000000000001</v>
      </c>
      <c r="BG118" s="4">
        <v>0.41</v>
      </c>
      <c r="BH118" s="4">
        <v>-0.33800000000000002</v>
      </c>
      <c r="BI118" s="4">
        <v>0.16</v>
      </c>
      <c r="BJ118" s="4">
        <v>-0.80300000000000005</v>
      </c>
      <c r="BK118" s="4">
        <v>-0.442</v>
      </c>
      <c r="BL118" s="4"/>
      <c r="BM118" s="4">
        <f t="shared" si="20"/>
        <v>-7.6053300000000004E-2</v>
      </c>
    </row>
    <row r="119" spans="1:65" hidden="1" x14ac:dyDescent="0.3">
      <c r="A119" t="s">
        <v>171</v>
      </c>
      <c r="B119" s="53">
        <f t="shared" si="22"/>
        <v>0</v>
      </c>
      <c r="C119" s="53">
        <f t="shared" si="14"/>
        <v>-4.0000000000000001E-3</v>
      </c>
      <c r="D119" s="53">
        <f t="shared" si="15"/>
        <v>0</v>
      </c>
      <c r="E119" s="53">
        <f t="shared" si="16"/>
        <v>4.0000000000000001E-3</v>
      </c>
      <c r="F119" s="15">
        <v>0.71</v>
      </c>
      <c r="G119">
        <v>1.04</v>
      </c>
      <c r="H119" t="s">
        <v>57</v>
      </c>
      <c r="I119" t="str">
        <f>VLOOKUP(A119,Planilha6!$BL$9:$BN$222,2,0)</f>
        <v>banks</v>
      </c>
      <c r="J119" t="str">
        <f>VLOOKUP(A119,Planilha6!$BL$9:$BN$222,3,0)</f>
        <v>neutral_beta</v>
      </c>
      <c r="K119" s="41">
        <v>0</v>
      </c>
      <c r="L119" s="42">
        <v>-4.0000000000000001E-3</v>
      </c>
      <c r="M119" s="41">
        <f>VLOOKUP(A119,'Mandato Ibov'!$B$1:$C$215,2,0)</f>
        <v>0</v>
      </c>
      <c r="N119" s="59">
        <f t="shared" si="17"/>
        <v>0</v>
      </c>
      <c r="O119" s="42">
        <f t="shared" si="18"/>
        <v>0</v>
      </c>
      <c r="P119" s="59">
        <f>VLOOKUP(A119,'Mandato Ibov'!$B$2:$D$215,3,0)</f>
        <v>0</v>
      </c>
      <c r="Q119" s="42">
        <f t="shared" si="19"/>
        <v>0</v>
      </c>
      <c r="R119" s="15">
        <v>-0.68500000000000005</v>
      </c>
      <c r="S119" s="15">
        <v>-0.42899999999999999</v>
      </c>
      <c r="T119" s="15">
        <v>-0.83499999999999996</v>
      </c>
      <c r="U119" s="15">
        <v>-0.60699999999999998</v>
      </c>
      <c r="V119" s="15">
        <v>-0.58599999999999997</v>
      </c>
      <c r="W119" s="15">
        <v>-0.39400000000000002</v>
      </c>
      <c r="X119" s="15">
        <v>-0.106</v>
      </c>
      <c r="Y119" s="15">
        <v>-0.33500000000000002</v>
      </c>
      <c r="Z119" s="15">
        <v>0.71499999999999997</v>
      </c>
      <c r="AA119" s="15">
        <v>0.71599999999999997</v>
      </c>
      <c r="AB119" s="15">
        <v>0.69499999999999995</v>
      </c>
      <c r="AC119" s="15">
        <v>0.81399999999999995</v>
      </c>
      <c r="AD119" s="15">
        <v>0.57499999999999996</v>
      </c>
      <c r="AE119" s="14">
        <v>-0.67800000000000005</v>
      </c>
      <c r="AF119" s="15">
        <v>6.0000000000000001E-3</v>
      </c>
      <c r="AG119" s="15">
        <v>-0.109</v>
      </c>
      <c r="AH119" s="15">
        <v>-0.89500000000000002</v>
      </c>
      <c r="AI119" s="15">
        <v>-1</v>
      </c>
      <c r="AJ119" s="16">
        <v>-1</v>
      </c>
      <c r="AK119" s="4">
        <v>-0.159</v>
      </c>
      <c r="AL119" s="4">
        <v>-7.1999999999999995E-2</v>
      </c>
      <c r="AM119" s="4">
        <v>4.5999999999999999E-2</v>
      </c>
      <c r="AN119" s="4">
        <v>1.7000000000000001E-2</v>
      </c>
      <c r="AO119" s="4">
        <v>5.5E-2</v>
      </c>
      <c r="AP119" s="4">
        <v>-0.27</v>
      </c>
      <c r="AQ119" s="4">
        <v>0.107</v>
      </c>
      <c r="AR119" s="4">
        <v>0.19900000000000001</v>
      </c>
      <c r="AS119" s="4">
        <v>0.51600000000000001</v>
      </c>
      <c r="AT119" s="4">
        <v>-5.3999999999999999E-2</v>
      </c>
      <c r="AU119" s="4">
        <v>-0.11600000000000001</v>
      </c>
      <c r="AV119" s="4">
        <v>-0.47599999999999998</v>
      </c>
      <c r="AW119" s="4">
        <v>0.33200000000000002</v>
      </c>
      <c r="AX119" s="4">
        <v>-0.46899999999999997</v>
      </c>
      <c r="AY119" s="4">
        <v>0.32900000000000001</v>
      </c>
      <c r="AZ119" s="4">
        <v>-0.217</v>
      </c>
      <c r="BA119" s="4">
        <v>0.47299999999999998</v>
      </c>
      <c r="BB119" s="4">
        <v>-0.14000000000000001</v>
      </c>
      <c r="BC119" s="4">
        <v>-0.23</v>
      </c>
      <c r="BD119" s="4">
        <v>0.123</v>
      </c>
      <c r="BE119" s="4">
        <v>0.19800000000000001</v>
      </c>
      <c r="BF119" s="4">
        <v>-0.32200000000000001</v>
      </c>
      <c r="BG119" s="4">
        <v>0.89100000000000001</v>
      </c>
      <c r="BH119" s="4">
        <v>-0.30499999999999999</v>
      </c>
      <c r="BI119" s="4">
        <v>-1.2999999999999999E-2</v>
      </c>
      <c r="BJ119" s="4">
        <v>0.14099999999999999</v>
      </c>
      <c r="BK119" s="4">
        <v>-0.56899999999999995</v>
      </c>
      <c r="BL119" s="4"/>
      <c r="BM119" s="4">
        <f t="shared" si="20"/>
        <v>-9.2236600000000002E-2</v>
      </c>
    </row>
    <row r="120" spans="1:65" x14ac:dyDescent="0.3">
      <c r="A120" t="s">
        <v>120</v>
      </c>
      <c r="B120" s="53">
        <f t="shared" si="22"/>
        <v>0</v>
      </c>
      <c r="C120" s="53">
        <f t="shared" si="14"/>
        <v>-3.0000000000000001E-3</v>
      </c>
      <c r="D120" s="53">
        <f t="shared" si="15"/>
        <v>0</v>
      </c>
      <c r="E120" s="53">
        <f t="shared" si="16"/>
        <v>3.0000000000000001E-3</v>
      </c>
      <c r="F120" s="15">
        <v>0.7</v>
      </c>
      <c r="G120">
        <v>0.90500000000000003</v>
      </c>
      <c r="H120" t="s">
        <v>71</v>
      </c>
      <c r="I120" t="str">
        <f>VLOOKUP(A120,Planilha6!$BL$9:$BN$222,2,0)</f>
        <v>basic_materials</v>
      </c>
      <c r="J120" t="str">
        <f>VLOOKUP(A120,Planilha6!$BL$9:$BN$222,3,0)</f>
        <v>neutral_beta</v>
      </c>
      <c r="K120" s="41">
        <v>0</v>
      </c>
      <c r="L120" s="42">
        <v>-3.0000000000000001E-3</v>
      </c>
      <c r="M120" s="41">
        <f>VLOOKUP(A120,'Mandato Ibov'!$B$1:$C$215,2,0)</f>
        <v>0</v>
      </c>
      <c r="N120" s="59">
        <f t="shared" si="17"/>
        <v>0</v>
      </c>
      <c r="O120" s="42">
        <f t="shared" si="18"/>
        <v>0</v>
      </c>
      <c r="P120" s="59">
        <f>VLOOKUP(A120,'Mandato Ibov'!$B$2:$D$215,3,0)</f>
        <v>0</v>
      </c>
      <c r="Q120" s="42">
        <f t="shared" si="19"/>
        <v>0</v>
      </c>
      <c r="R120" s="15">
        <v>-0.79</v>
      </c>
      <c r="S120" s="15">
        <v>-0.41899999999999998</v>
      </c>
      <c r="T120" s="15">
        <v>-0.88600000000000001</v>
      </c>
      <c r="U120" s="15">
        <v>-0.66100000000000003</v>
      </c>
      <c r="V120" s="15">
        <v>-0.59299999999999997</v>
      </c>
      <c r="W120" s="15">
        <v>-0.50600000000000001</v>
      </c>
      <c r="X120" s="15">
        <v>-0.50800000000000001</v>
      </c>
      <c r="Y120" s="15">
        <v>-0.223</v>
      </c>
      <c r="Z120" s="15">
        <v>0.94799999999999995</v>
      </c>
      <c r="AA120" s="15">
        <v>0.95199999999999996</v>
      </c>
      <c r="AB120" s="15">
        <v>0.59799999999999998</v>
      </c>
      <c r="AC120" s="15">
        <v>0.73899999999999999</v>
      </c>
      <c r="AD120" s="15">
        <v>0.64</v>
      </c>
      <c r="AE120" s="14">
        <v>-0.53</v>
      </c>
      <c r="AF120" s="15">
        <v>-0.71199999999999997</v>
      </c>
      <c r="AG120" s="15">
        <v>1</v>
      </c>
      <c r="AH120" s="15">
        <v>-0.35299999999999998</v>
      </c>
      <c r="AI120" s="15">
        <v>-0.67700000000000005</v>
      </c>
      <c r="AJ120" s="16">
        <v>-0.84599999999999997</v>
      </c>
      <c r="AK120" s="4">
        <v>0.41799999999999998</v>
      </c>
      <c r="AL120" s="4">
        <v>1.2E-2</v>
      </c>
      <c r="AM120" s="4">
        <v>0.68799999999999994</v>
      </c>
      <c r="AN120" s="4">
        <v>-0.63200000000000001</v>
      </c>
      <c r="AO120" s="4">
        <v>0.159</v>
      </c>
      <c r="AP120" s="4">
        <v>-0.44500000000000001</v>
      </c>
      <c r="AQ120" s="4">
        <v>-0.95199999999999996</v>
      </c>
      <c r="AR120" s="4">
        <v>-0.98599999999999999</v>
      </c>
      <c r="AS120" s="4">
        <v>-0.66500000000000004</v>
      </c>
      <c r="AT120" s="4">
        <v>0.121</v>
      </c>
      <c r="AU120" s="4">
        <v>-0.38400000000000001</v>
      </c>
      <c r="AV120" s="4">
        <v>-0.441</v>
      </c>
      <c r="AW120" s="4">
        <v>0.42299999999999999</v>
      </c>
      <c r="AX120" s="4">
        <v>-5.3999999999999999E-2</v>
      </c>
      <c r="AY120" s="4">
        <v>0.86399999999999999</v>
      </c>
      <c r="AZ120" s="4">
        <v>-2.5000000000000001E-2</v>
      </c>
      <c r="BA120" s="4">
        <v>0.23899999999999999</v>
      </c>
      <c r="BB120" s="4">
        <v>0.14299999999999999</v>
      </c>
      <c r="BC120" s="4">
        <v>-9.9000000000000005E-2</v>
      </c>
      <c r="BD120" s="4">
        <v>0.35399999999999998</v>
      </c>
      <c r="BE120" s="4">
        <v>-0.45300000000000001</v>
      </c>
      <c r="BF120" s="4">
        <v>-0.36699999999999999</v>
      </c>
      <c r="BG120" s="4">
        <v>0.57999999999999996</v>
      </c>
      <c r="BH120" s="4">
        <v>-0.27500000000000002</v>
      </c>
      <c r="BI120" s="4">
        <v>-0.314</v>
      </c>
      <c r="BJ120" s="4">
        <v>-0.19900000000000001</v>
      </c>
      <c r="BK120" s="4">
        <v>-2.9000000000000001E-2</v>
      </c>
      <c r="BL120" s="4"/>
      <c r="BM120" s="4">
        <f t="shared" si="20"/>
        <v>-0.10069159999999994</v>
      </c>
    </row>
    <row r="121" spans="1:65" hidden="1" x14ac:dyDescent="0.3">
      <c r="A121" t="s">
        <v>173</v>
      </c>
      <c r="B121" s="53">
        <f t="shared" si="22"/>
        <v>0</v>
      </c>
      <c r="C121" s="53">
        <f t="shared" si="14"/>
        <v>-5.0000000000000001E-3</v>
      </c>
      <c r="D121" s="53">
        <f t="shared" si="15"/>
        <v>0</v>
      </c>
      <c r="E121" s="53">
        <f t="shared" si="16"/>
        <v>5.0000000000000001E-3</v>
      </c>
      <c r="F121" s="15">
        <v>0.68400000000000005</v>
      </c>
      <c r="G121">
        <v>0.98699999999999999</v>
      </c>
      <c r="H121" t="s">
        <v>55</v>
      </c>
      <c r="I121" t="str">
        <f>VLOOKUP(A121,Planilha6!$BL$9:$BN$222,2,0)</f>
        <v>utilities</v>
      </c>
      <c r="J121" t="str">
        <f>VLOOKUP(A121,Planilha6!$BL$9:$BN$222,3,0)</f>
        <v>low_beta</v>
      </c>
      <c r="K121" s="41">
        <v>0</v>
      </c>
      <c r="L121" s="42">
        <v>-5.0000000000000001E-3</v>
      </c>
      <c r="M121" s="41">
        <f>VLOOKUP(A121,'Mandato Ibov'!$B$1:$C$215,2,0)</f>
        <v>0</v>
      </c>
      <c r="N121" s="59">
        <f t="shared" si="17"/>
        <v>0</v>
      </c>
      <c r="O121" s="42">
        <f t="shared" si="18"/>
        <v>0</v>
      </c>
      <c r="P121" s="59">
        <f>VLOOKUP(A121,'Mandato Ibov'!$B$2:$D$215,3,0)</f>
        <v>0</v>
      </c>
      <c r="Q121" s="42">
        <f t="shared" si="19"/>
        <v>0</v>
      </c>
      <c r="R121" s="15">
        <v>-0.83899999999999997</v>
      </c>
      <c r="S121" s="15">
        <v>-0.122</v>
      </c>
      <c r="T121" s="15">
        <v>-0.88400000000000001</v>
      </c>
      <c r="U121" s="15">
        <v>-0.76400000000000001</v>
      </c>
      <c r="V121" s="15">
        <v>-0.54200000000000004</v>
      </c>
      <c r="W121" s="15">
        <v>-0.47299999999999998</v>
      </c>
      <c r="X121" s="15">
        <v>-0.08</v>
      </c>
      <c r="Y121" s="15">
        <v>-3.9E-2</v>
      </c>
      <c r="Z121" s="15">
        <v>0.51</v>
      </c>
      <c r="AA121" s="15">
        <v>0.51500000000000001</v>
      </c>
      <c r="AB121" s="15">
        <v>0.59499999999999997</v>
      </c>
      <c r="AC121" s="15">
        <v>0.57099999999999995</v>
      </c>
      <c r="AD121" s="15">
        <v>0.41499999999999998</v>
      </c>
      <c r="AE121" s="14">
        <v>-0.87</v>
      </c>
      <c r="AF121" s="15">
        <v>-0.81399999999999995</v>
      </c>
      <c r="AG121" s="15">
        <v>-0.17699999999999999</v>
      </c>
      <c r="AH121" s="15">
        <v>-0.96899999999999997</v>
      </c>
      <c r="AI121" s="15">
        <v>-0.70099999999999996</v>
      </c>
      <c r="AJ121" s="16">
        <v>-0.999</v>
      </c>
      <c r="AK121" s="4">
        <v>-0.377</v>
      </c>
      <c r="AL121" s="4">
        <v>-0.26800000000000002</v>
      </c>
      <c r="AM121" s="4">
        <v>-0.70399999999999996</v>
      </c>
      <c r="AN121" s="4">
        <v>-0.48799999999999999</v>
      </c>
      <c r="AO121" s="4">
        <v>0.34499999999999997</v>
      </c>
      <c r="AP121" s="4">
        <v>0.55300000000000005</v>
      </c>
      <c r="AQ121" s="4">
        <v>-8.5999999999999993E-2</v>
      </c>
      <c r="AR121" s="4">
        <v>-0.189</v>
      </c>
      <c r="AS121" s="4">
        <v>-0.41499999999999998</v>
      </c>
      <c r="AT121" s="4">
        <v>0.14299999999999999</v>
      </c>
      <c r="AU121" s="4">
        <v>0.36899999999999999</v>
      </c>
      <c r="AV121" s="4">
        <v>-0.42399999999999999</v>
      </c>
      <c r="AW121" s="4">
        <v>0.75</v>
      </c>
      <c r="AX121" s="4">
        <v>-0.66400000000000003</v>
      </c>
      <c r="AY121" s="4">
        <v>0.83499999999999996</v>
      </c>
      <c r="AZ121" s="4">
        <v>1</v>
      </c>
      <c r="BA121" s="4">
        <v>-0.28000000000000003</v>
      </c>
      <c r="BB121" s="4">
        <v>-0.47299999999999998</v>
      </c>
      <c r="BC121" s="4">
        <v>-0.71799999999999997</v>
      </c>
      <c r="BD121" s="4">
        <v>5.6000000000000001E-2</v>
      </c>
      <c r="BE121" s="4">
        <v>-0.58499999999999996</v>
      </c>
      <c r="BF121" s="4">
        <v>0.17100000000000001</v>
      </c>
      <c r="BG121" s="4">
        <v>0.68799999999999994</v>
      </c>
      <c r="BH121" s="4">
        <v>-0.36199999999999999</v>
      </c>
      <c r="BI121" s="4">
        <v>-0.13</v>
      </c>
      <c r="BJ121" s="4">
        <v>0.20300000000000001</v>
      </c>
      <c r="BK121" s="4">
        <v>-0.38100000000000001</v>
      </c>
      <c r="BL121" s="4"/>
      <c r="BM121" s="4">
        <f t="shared" si="20"/>
        <v>-0.1167914</v>
      </c>
    </row>
    <row r="122" spans="1:65" hidden="1" x14ac:dyDescent="0.3">
      <c r="A122" t="s">
        <v>211</v>
      </c>
      <c r="B122" s="53">
        <f t="shared" si="22"/>
        <v>0</v>
      </c>
      <c r="C122" s="53">
        <f t="shared" si="14"/>
        <v>-3.1E-2</v>
      </c>
      <c r="D122" s="53">
        <f t="shared" si="15"/>
        <v>0</v>
      </c>
      <c r="E122" s="53">
        <f t="shared" si="16"/>
        <v>3.1E-2</v>
      </c>
      <c r="F122" s="15">
        <v>0.68300000000000005</v>
      </c>
      <c r="G122">
        <v>1.4430000000000001</v>
      </c>
      <c r="H122" t="s">
        <v>57</v>
      </c>
      <c r="I122" t="str">
        <f>VLOOKUP(A122,Planilha6!$BL$9:$BN$222,2,0)</f>
        <v>banks</v>
      </c>
      <c r="J122" t="str">
        <f>VLOOKUP(A122,Planilha6!$BL$9:$BN$222,3,0)</f>
        <v>very_high_beta</v>
      </c>
      <c r="K122" s="41">
        <v>0</v>
      </c>
      <c r="L122" s="42">
        <v>-3.1E-2</v>
      </c>
      <c r="M122" s="41">
        <f>VLOOKUP(A122,'Mandato Ibov'!$B$1:$C$215,2,0)</f>
        <v>0</v>
      </c>
      <c r="N122" s="59">
        <f t="shared" si="17"/>
        <v>0</v>
      </c>
      <c r="O122" s="42">
        <f t="shared" si="18"/>
        <v>0</v>
      </c>
      <c r="P122" s="59">
        <f>VLOOKUP(A122,'Mandato Ibov'!$B$2:$D$215,3,0)</f>
        <v>0</v>
      </c>
      <c r="Q122" s="42">
        <f t="shared" si="19"/>
        <v>0</v>
      </c>
      <c r="R122" s="15">
        <v>-0.54600000000000004</v>
      </c>
      <c r="S122" s="15">
        <v>-6.2E-2</v>
      </c>
      <c r="T122" s="15">
        <v>-0.77700000000000002</v>
      </c>
      <c r="U122" s="15">
        <v>-0.438</v>
      </c>
      <c r="V122" s="15">
        <v>-0.36399999999999999</v>
      </c>
      <c r="W122" s="15">
        <v>-0.375</v>
      </c>
      <c r="X122" s="15">
        <v>-0.28100000000000003</v>
      </c>
      <c r="Y122" s="15">
        <v>-0.40400000000000003</v>
      </c>
      <c r="Z122" s="15">
        <v>0.33900000000000002</v>
      </c>
      <c r="AA122" s="15">
        <v>0.34200000000000003</v>
      </c>
      <c r="AB122" s="15">
        <v>0.70699999999999996</v>
      </c>
      <c r="AC122" s="15">
        <v>0.748</v>
      </c>
      <c r="AD122" s="15">
        <v>0.45400000000000001</v>
      </c>
      <c r="AE122" s="14">
        <v>-0.46100000000000002</v>
      </c>
      <c r="AF122" s="15">
        <v>-0.127</v>
      </c>
      <c r="AG122" s="15">
        <v>-0.11899999999999999</v>
      </c>
      <c r="AH122" s="15">
        <v>-1</v>
      </c>
      <c r="AI122" s="15">
        <v>-0.86299999999999999</v>
      </c>
      <c r="AJ122" s="16">
        <v>-0.72599999999999998</v>
      </c>
      <c r="AK122" s="4">
        <v>-0.16</v>
      </c>
      <c r="AL122" s="4">
        <v>-0.69</v>
      </c>
      <c r="AM122" s="4">
        <v>-0.70599999999999996</v>
      </c>
      <c r="AN122" s="4">
        <v>-0.08</v>
      </c>
      <c r="AO122" s="4">
        <v>0.26700000000000002</v>
      </c>
      <c r="AP122" s="4">
        <v>0.308</v>
      </c>
      <c r="AQ122" s="4">
        <v>0.621</v>
      </c>
      <c r="AR122" s="4">
        <v>0.26800000000000002</v>
      </c>
      <c r="AS122" s="4">
        <v>0.20499999999999999</v>
      </c>
      <c r="AT122" s="4">
        <v>1.4E-2</v>
      </c>
      <c r="AU122" s="4">
        <v>0.122</v>
      </c>
      <c r="AV122" s="4">
        <v>0.17699999999999999</v>
      </c>
      <c r="AW122" s="4">
        <v>3.5000000000000003E-2</v>
      </c>
      <c r="AX122" s="4">
        <v>-0.434</v>
      </c>
      <c r="AY122" s="4">
        <v>0.33300000000000002</v>
      </c>
      <c r="AZ122" s="4">
        <v>1</v>
      </c>
      <c r="BA122" s="4">
        <v>0.16500000000000001</v>
      </c>
      <c r="BB122" s="4">
        <v>-0.55200000000000005</v>
      </c>
      <c r="BC122" s="4">
        <v>-0.05</v>
      </c>
      <c r="BD122" s="4">
        <v>0.435</v>
      </c>
      <c r="BE122" s="4">
        <v>-0.36399999999999999</v>
      </c>
      <c r="BF122" s="4">
        <v>-0.22700000000000001</v>
      </c>
      <c r="BG122" s="4">
        <v>0.45500000000000002</v>
      </c>
      <c r="BH122" s="4">
        <v>-0.73899999999999999</v>
      </c>
      <c r="BI122" s="4">
        <v>0.31900000000000001</v>
      </c>
      <c r="BJ122" s="4">
        <v>-0.14599999999999999</v>
      </c>
      <c r="BK122" s="4">
        <v>-0.82</v>
      </c>
      <c r="BL122" s="4"/>
      <c r="BM122" s="4">
        <f t="shared" si="20"/>
        <v>-0.11789610000000007</v>
      </c>
    </row>
    <row r="123" spans="1:65" hidden="1" x14ac:dyDescent="0.3">
      <c r="A123" t="s">
        <v>133</v>
      </c>
      <c r="B123" s="53">
        <f t="shared" si="22"/>
        <v>0</v>
      </c>
      <c r="C123" s="53">
        <f t="shared" si="14"/>
        <v>0</v>
      </c>
      <c r="D123" s="53">
        <f t="shared" si="15"/>
        <v>0</v>
      </c>
      <c r="E123" s="53">
        <f t="shared" si="16"/>
        <v>0</v>
      </c>
      <c r="F123" s="15">
        <v>0.67600000000000005</v>
      </c>
      <c r="G123">
        <v>0.82199999999999995</v>
      </c>
      <c r="H123" t="s">
        <v>68</v>
      </c>
      <c r="I123" t="str">
        <f>VLOOKUP(A123,Planilha6!$BL$9:$BN$222,2,0)</f>
        <v>capital_goods</v>
      </c>
      <c r="J123" t="str">
        <f>VLOOKUP(A123,Planilha6!$BL$9:$BN$222,3,0)</f>
        <v>very_low_beta</v>
      </c>
      <c r="K123" s="41">
        <v>0</v>
      </c>
      <c r="L123" s="42">
        <v>0</v>
      </c>
      <c r="M123" s="41">
        <f>VLOOKUP(A123,'Mandato Ibov'!$B$1:$C$215,2,0)</f>
        <v>0</v>
      </c>
      <c r="N123" s="59">
        <f t="shared" si="17"/>
        <v>0</v>
      </c>
      <c r="O123" s="42">
        <f t="shared" si="18"/>
        <v>0</v>
      </c>
      <c r="P123" s="59">
        <f>VLOOKUP(A123,'Mandato Ibov'!$B$2:$D$215,3,0)</f>
        <v>0</v>
      </c>
      <c r="Q123" s="42">
        <f t="shared" si="19"/>
        <v>0</v>
      </c>
      <c r="R123" s="15">
        <v>-0.52500000000000002</v>
      </c>
      <c r="S123" s="15">
        <v>-0.59699999999999998</v>
      </c>
      <c r="T123" s="15">
        <v>-0.25</v>
      </c>
      <c r="U123" s="15">
        <v>-0.72399999999999998</v>
      </c>
      <c r="V123" s="15">
        <v>-0.61399999999999999</v>
      </c>
      <c r="W123" s="15">
        <v>-0.52300000000000002</v>
      </c>
      <c r="X123" s="15">
        <v>-0.24299999999999999</v>
      </c>
      <c r="Y123" s="15">
        <v>-0.38600000000000001</v>
      </c>
      <c r="Z123" s="15">
        <v>0.46100000000000002</v>
      </c>
      <c r="AA123" s="15">
        <v>0.46200000000000002</v>
      </c>
      <c r="AB123" s="15">
        <v>0.501</v>
      </c>
      <c r="AC123" s="15">
        <v>0.47899999999999998</v>
      </c>
      <c r="AD123" s="15">
        <v>0.56000000000000005</v>
      </c>
      <c r="AE123" s="14">
        <v>-0.504</v>
      </c>
      <c r="AF123" s="15">
        <v>-0.72699999999999998</v>
      </c>
      <c r="AG123" s="15">
        <v>-0.16900000000000001</v>
      </c>
      <c r="AH123" s="15">
        <v>0.71399999999999997</v>
      </c>
      <c r="AI123" s="15">
        <v>0.436</v>
      </c>
      <c r="AJ123" s="16">
        <v>-0.29499999999999998</v>
      </c>
      <c r="AK123" s="4">
        <v>-0.17399999999999999</v>
      </c>
      <c r="AL123" s="4">
        <v>0.13100000000000001</v>
      </c>
      <c r="AM123" s="4">
        <v>0.246</v>
      </c>
      <c r="AN123" s="4">
        <v>6.3E-2</v>
      </c>
      <c r="AO123" s="4">
        <v>-0.29399999999999998</v>
      </c>
      <c r="AP123" s="4">
        <v>-0.44800000000000001</v>
      </c>
      <c r="AQ123" s="4">
        <v>-0.40500000000000003</v>
      </c>
      <c r="AR123" s="4">
        <v>-0.67200000000000004</v>
      </c>
      <c r="AS123" s="4">
        <v>-0.88100000000000001</v>
      </c>
      <c r="AT123" s="4">
        <v>-2E-3</v>
      </c>
      <c r="AU123" s="4">
        <v>-0.30399999999999999</v>
      </c>
      <c r="AV123" s="4">
        <v>-0.32300000000000001</v>
      </c>
      <c r="AW123" s="4">
        <v>0.66400000000000003</v>
      </c>
      <c r="AX123" s="4">
        <v>-0.152</v>
      </c>
      <c r="AY123" s="4">
        <v>0.85099999999999998</v>
      </c>
      <c r="AZ123" s="4">
        <v>-0.79600000000000004</v>
      </c>
      <c r="BA123" s="4">
        <v>0.83299999999999996</v>
      </c>
      <c r="BB123" s="4">
        <v>-8.6999999999999994E-2</v>
      </c>
      <c r="BC123" s="4">
        <v>-0.378</v>
      </c>
      <c r="BD123" s="4">
        <v>-9.5000000000000001E-2</v>
      </c>
      <c r="BE123" s="4">
        <v>1</v>
      </c>
      <c r="BF123" s="4">
        <v>0.97</v>
      </c>
      <c r="BG123" s="4">
        <v>0.79100000000000004</v>
      </c>
      <c r="BH123" s="4">
        <v>0.21099999999999999</v>
      </c>
      <c r="BI123" s="4">
        <v>-0.06</v>
      </c>
      <c r="BJ123" s="4">
        <v>0.82199999999999995</v>
      </c>
      <c r="BK123" s="4">
        <v>0.64800000000000002</v>
      </c>
      <c r="BL123" s="4"/>
      <c r="BM123" s="4">
        <f t="shared" si="20"/>
        <v>-0.12579729999999995</v>
      </c>
    </row>
    <row r="124" spans="1:65" hidden="1" x14ac:dyDescent="0.3">
      <c r="A124" t="s">
        <v>204</v>
      </c>
      <c r="B124" s="53">
        <f t="shared" si="22"/>
        <v>0</v>
      </c>
      <c r="C124" s="53">
        <f t="shared" si="14"/>
        <v>-3.6999999999999998E-2</v>
      </c>
      <c r="D124" s="53">
        <f t="shared" si="15"/>
        <v>0</v>
      </c>
      <c r="E124" s="53">
        <f t="shared" si="16"/>
        <v>3.6999999999999998E-2</v>
      </c>
      <c r="F124" s="15">
        <v>0.65500000000000003</v>
      </c>
      <c r="G124">
        <v>1.4330000000000001</v>
      </c>
      <c r="H124" t="s">
        <v>55</v>
      </c>
      <c r="I124" t="str">
        <f>VLOOKUP(A124,Planilha6!$BL$9:$BN$222,2,0)</f>
        <v>utilities</v>
      </c>
      <c r="J124" t="str">
        <f>VLOOKUP(A124,Planilha6!$BL$9:$BN$222,3,0)</f>
        <v>low_beta</v>
      </c>
      <c r="K124" s="41">
        <v>0</v>
      </c>
      <c r="L124" s="42">
        <v>-3.6999999999999998E-2</v>
      </c>
      <c r="M124" s="41">
        <f>VLOOKUP(A124,'Mandato Ibov'!$B$1:$C$215,2,0)</f>
        <v>0</v>
      </c>
      <c r="N124" s="59">
        <f t="shared" si="17"/>
        <v>0</v>
      </c>
      <c r="O124" s="42">
        <f t="shared" si="18"/>
        <v>0</v>
      </c>
      <c r="P124" s="59">
        <f>VLOOKUP(A124,'Mandato Ibov'!$B$2:$D$215,3,0)</f>
        <v>3.6470787498910501E-2</v>
      </c>
      <c r="Q124" s="42">
        <f t="shared" si="19"/>
        <v>-3.6470787498910501E-2</v>
      </c>
      <c r="R124" s="15">
        <v>-0.77300000000000002</v>
      </c>
      <c r="S124" s="15">
        <v>-0.22</v>
      </c>
      <c r="T124" s="15">
        <v>-0.94499999999999995</v>
      </c>
      <c r="U124" s="15">
        <v>-0.57099999999999995</v>
      </c>
      <c r="V124" s="15">
        <v>-0.58199999999999996</v>
      </c>
      <c r="W124" s="15">
        <v>-0.39900000000000002</v>
      </c>
      <c r="X124" s="15">
        <v>-5.6000000000000001E-2</v>
      </c>
      <c r="Y124" s="15">
        <v>-0.437</v>
      </c>
      <c r="Z124" s="15">
        <v>0.56499999999999995</v>
      </c>
      <c r="AA124" s="15">
        <v>0.57299999999999995</v>
      </c>
      <c r="AB124" s="15">
        <v>0.60199999999999998</v>
      </c>
      <c r="AC124" s="15">
        <v>0.72199999999999998</v>
      </c>
      <c r="AD124" s="15">
        <v>0.51900000000000002</v>
      </c>
      <c r="AE124" s="14">
        <v>-0.77200000000000002</v>
      </c>
      <c r="AF124" s="15">
        <v>-0.442</v>
      </c>
      <c r="AG124" s="15">
        <v>0.21</v>
      </c>
      <c r="AH124" s="15">
        <v>-1</v>
      </c>
      <c r="AI124" s="15">
        <v>-0.68500000000000005</v>
      </c>
      <c r="AJ124" s="16">
        <v>-0.95599999999999996</v>
      </c>
      <c r="AK124" s="4">
        <v>-0.45900000000000002</v>
      </c>
      <c r="AL124" s="4">
        <v>-0.57399999999999995</v>
      </c>
      <c r="AM124" s="4">
        <v>-0.73599999999999999</v>
      </c>
      <c r="AN124" s="4">
        <v>-9.6000000000000002E-2</v>
      </c>
      <c r="AO124" s="4">
        <v>0.58499999999999996</v>
      </c>
      <c r="AP124" s="4">
        <v>0.88500000000000001</v>
      </c>
      <c r="AQ124" s="4">
        <v>0.432</v>
      </c>
      <c r="AR124" s="4">
        <v>0.32</v>
      </c>
      <c r="AS124" s="4">
        <v>0.35299999999999998</v>
      </c>
      <c r="AT124" s="4">
        <v>0.30499999999999999</v>
      </c>
      <c r="AU124" s="4">
        <v>9.0999999999999998E-2</v>
      </c>
      <c r="AV124" s="4">
        <v>-0.19600000000000001</v>
      </c>
      <c r="AW124" s="4">
        <v>0.51100000000000001</v>
      </c>
      <c r="AX124" s="4">
        <v>-0.47799999999999998</v>
      </c>
      <c r="AY124" s="4">
        <v>0.77600000000000002</v>
      </c>
      <c r="AZ124" s="4">
        <v>-0.379</v>
      </c>
      <c r="BA124" s="4">
        <v>0.375</v>
      </c>
      <c r="BB124" s="4">
        <v>-0.54800000000000004</v>
      </c>
      <c r="BC124" s="4">
        <v>-0.73099999999999998</v>
      </c>
      <c r="BD124" s="4">
        <v>-9.6000000000000002E-2</v>
      </c>
      <c r="BE124" s="4">
        <v>-0.434</v>
      </c>
      <c r="BF124" s="4">
        <v>0.245</v>
      </c>
      <c r="BG124" s="4">
        <v>0.749</v>
      </c>
      <c r="BH124" s="4">
        <v>-0.96899999999999997</v>
      </c>
      <c r="BI124" s="4">
        <v>-0.24399999999999999</v>
      </c>
      <c r="BJ124" s="4">
        <v>-0.33</v>
      </c>
      <c r="BK124" s="4">
        <v>-0.79300000000000004</v>
      </c>
      <c r="BL124" s="4"/>
      <c r="BM124" s="4">
        <f t="shared" si="20"/>
        <v>-0.15057359999999995</v>
      </c>
    </row>
    <row r="125" spans="1:65" hidden="1" x14ac:dyDescent="0.3">
      <c r="A125" t="s">
        <v>98</v>
      </c>
      <c r="B125" s="53">
        <f t="shared" si="22"/>
        <v>0</v>
      </c>
      <c r="C125" s="53">
        <f t="shared" si="14"/>
        <v>0</v>
      </c>
      <c r="D125" s="53">
        <f t="shared" si="15"/>
        <v>0</v>
      </c>
      <c r="E125" s="53">
        <f t="shared" si="16"/>
        <v>0</v>
      </c>
      <c r="F125" s="15">
        <v>0.65400000000000003</v>
      </c>
      <c r="G125">
        <v>0.60599999999999998</v>
      </c>
      <c r="H125" t="s">
        <v>68</v>
      </c>
      <c r="I125" t="str">
        <f>VLOOKUP(A125,Planilha6!$BL$9:$BN$222,2,0)</f>
        <v>chemicals</v>
      </c>
      <c r="J125" t="str">
        <f>VLOOKUP(A125,Planilha6!$BL$9:$BN$222,3,0)</f>
        <v>neutral_beta</v>
      </c>
      <c r="K125" s="41">
        <v>0</v>
      </c>
      <c r="L125" s="42">
        <v>0</v>
      </c>
      <c r="M125" s="41">
        <f>VLOOKUP(A125,'Mandato Ibov'!$B$1:$C$215,2,0)</f>
        <v>0</v>
      </c>
      <c r="N125" s="59">
        <f t="shared" si="17"/>
        <v>0</v>
      </c>
      <c r="O125" s="42">
        <f t="shared" si="18"/>
        <v>0</v>
      </c>
      <c r="P125" s="59">
        <f>VLOOKUP(A125,'Mandato Ibov'!$B$2:$D$215,3,0)</f>
        <v>0</v>
      </c>
      <c r="Q125" s="42">
        <f t="shared" si="19"/>
        <v>0</v>
      </c>
      <c r="R125" s="15">
        <v>-0.85299999999999998</v>
      </c>
      <c r="S125" s="15">
        <v>-0.57499999999999996</v>
      </c>
      <c r="T125" s="15">
        <v>-0.80600000000000005</v>
      </c>
      <c r="U125" s="15">
        <v>-0.79</v>
      </c>
      <c r="V125" s="15">
        <v>-0.64400000000000002</v>
      </c>
      <c r="W125" s="15">
        <v>-0.61</v>
      </c>
      <c r="X125" s="15">
        <v>-0.32200000000000001</v>
      </c>
      <c r="Y125" s="15">
        <v>8.7999999999999995E-2</v>
      </c>
      <c r="Z125" s="15">
        <v>0.56200000000000006</v>
      </c>
      <c r="AA125" s="15">
        <v>0.56200000000000006</v>
      </c>
      <c r="AB125" s="15">
        <v>0.46700000000000003</v>
      </c>
      <c r="AC125" s="15">
        <v>0.42199999999999999</v>
      </c>
      <c r="AD125" s="15">
        <v>0.36599999999999999</v>
      </c>
      <c r="AE125" s="14">
        <v>-0.58799999999999997</v>
      </c>
      <c r="AF125" s="15">
        <v>-0.81299999999999994</v>
      </c>
      <c r="AG125" s="15">
        <v>-0.72199999999999998</v>
      </c>
      <c r="AH125" s="15">
        <v>-0.43099999999999999</v>
      </c>
      <c r="AI125" s="15">
        <v>-0.51500000000000001</v>
      </c>
      <c r="AJ125" s="16">
        <v>-0.82699999999999996</v>
      </c>
      <c r="AK125" s="4">
        <v>-0.108</v>
      </c>
      <c r="AL125" s="4">
        <v>0.72</v>
      </c>
      <c r="AM125" s="4">
        <v>-0.60699999999999998</v>
      </c>
      <c r="AN125" s="4">
        <v>-0.217</v>
      </c>
      <c r="AO125" s="4">
        <v>-0.214</v>
      </c>
      <c r="AP125" s="4">
        <v>0.185</v>
      </c>
      <c r="AQ125" s="4">
        <v>-0.51600000000000001</v>
      </c>
      <c r="AR125" s="4">
        <v>-0.309</v>
      </c>
      <c r="AS125" s="4">
        <v>-0.23400000000000001</v>
      </c>
      <c r="AT125" s="4">
        <v>0.27400000000000002</v>
      </c>
      <c r="AU125" s="4">
        <v>-0.14799999999999999</v>
      </c>
      <c r="AV125" s="4">
        <v>-0.39700000000000002</v>
      </c>
      <c r="AW125" s="4">
        <v>0.48099999999999998</v>
      </c>
      <c r="AX125" s="4">
        <v>-0.20499999999999999</v>
      </c>
      <c r="AY125" s="4">
        <v>0.755</v>
      </c>
      <c r="AZ125" s="4">
        <v>0.57399999999999995</v>
      </c>
      <c r="BA125" s="4">
        <v>-1</v>
      </c>
      <c r="BB125" s="4">
        <v>-1.9E-2</v>
      </c>
      <c r="BC125" s="4">
        <v>-0.46700000000000003</v>
      </c>
      <c r="BD125" s="4">
        <v>-0.26400000000000001</v>
      </c>
      <c r="BE125" s="4">
        <v>0.69</v>
      </c>
      <c r="BF125" s="4">
        <v>0.92100000000000004</v>
      </c>
      <c r="BG125" s="4">
        <v>0.57499999999999996</v>
      </c>
      <c r="BH125" s="4">
        <v>-0.41099999999999998</v>
      </c>
      <c r="BI125" s="4">
        <v>0.02</v>
      </c>
      <c r="BJ125" s="4">
        <v>0.34100000000000003</v>
      </c>
      <c r="BK125" s="4">
        <v>-0.13900000000000001</v>
      </c>
      <c r="BL125" s="4"/>
      <c r="BM125" s="4">
        <f t="shared" si="20"/>
        <v>-0.15252019999999999</v>
      </c>
    </row>
    <row r="126" spans="1:65" hidden="1" x14ac:dyDescent="0.3">
      <c r="A126" t="s">
        <v>192</v>
      </c>
      <c r="B126" s="53">
        <f t="shared" si="22"/>
        <v>0</v>
      </c>
      <c r="C126" s="53">
        <f t="shared" si="14"/>
        <v>-2.5000000000000001E-2</v>
      </c>
      <c r="D126" s="53">
        <f t="shared" si="15"/>
        <v>0</v>
      </c>
      <c r="E126" s="53">
        <f t="shared" si="16"/>
        <v>2.5000000000000001E-2</v>
      </c>
      <c r="F126" s="15">
        <v>0.64900000000000002</v>
      </c>
      <c r="G126">
        <v>1.248</v>
      </c>
      <c r="H126" t="s">
        <v>57</v>
      </c>
      <c r="I126" t="str">
        <f>VLOOKUP(A126,Planilha6!$BL$9:$BN$222,2,0)</f>
        <v>banks</v>
      </c>
      <c r="J126" t="str">
        <f>VLOOKUP(A126,Planilha6!$BL$9:$BN$222,3,0)</f>
        <v>high_beta</v>
      </c>
      <c r="K126" s="41">
        <v>0</v>
      </c>
      <c r="L126" s="42">
        <v>-2.5000000000000001E-2</v>
      </c>
      <c r="M126" s="41">
        <f>VLOOKUP(A126,'Mandato Ibov'!$B$1:$C$215,2,0)</f>
        <v>0</v>
      </c>
      <c r="N126" s="59">
        <f t="shared" si="17"/>
        <v>0</v>
      </c>
      <c r="O126" s="42">
        <f t="shared" si="18"/>
        <v>0</v>
      </c>
      <c r="P126" s="59">
        <f>VLOOKUP(A126,'Mandato Ibov'!$B$2:$D$215,3,0)</f>
        <v>0</v>
      </c>
      <c r="Q126" s="42">
        <f t="shared" si="19"/>
        <v>0</v>
      </c>
      <c r="R126" s="15">
        <v>-0.77</v>
      </c>
      <c r="S126" s="15">
        <v>-0.45300000000000001</v>
      </c>
      <c r="T126" s="15">
        <v>-0.91900000000000004</v>
      </c>
      <c r="U126" s="15">
        <v>-0.65100000000000002</v>
      </c>
      <c r="V126" s="15">
        <v>-0.66200000000000003</v>
      </c>
      <c r="W126" s="15">
        <v>-0.56499999999999995</v>
      </c>
      <c r="X126" s="15">
        <v>-0.33700000000000002</v>
      </c>
      <c r="Y126" s="15">
        <v>-0.42599999999999999</v>
      </c>
      <c r="Z126" s="15">
        <v>0.74399999999999999</v>
      </c>
      <c r="AA126" s="15">
        <v>0.75</v>
      </c>
      <c r="AB126" s="15">
        <v>0.73199999999999998</v>
      </c>
      <c r="AC126" s="15">
        <v>0.76900000000000002</v>
      </c>
      <c r="AD126" s="15">
        <v>0.56499999999999995</v>
      </c>
      <c r="AE126" s="14">
        <v>-0.73799999999999999</v>
      </c>
      <c r="AF126" s="15">
        <v>-0.20300000000000001</v>
      </c>
      <c r="AG126" s="15">
        <v>0.34200000000000003</v>
      </c>
      <c r="AH126" s="15">
        <v>-0.91200000000000003</v>
      </c>
      <c r="AI126" s="15">
        <v>-0.95399999999999996</v>
      </c>
      <c r="AJ126" s="16">
        <v>-1</v>
      </c>
      <c r="AK126" s="4">
        <v>2.1000000000000001E-2</v>
      </c>
      <c r="AL126" s="4">
        <v>-3.5000000000000003E-2</v>
      </c>
      <c r="AM126" s="4">
        <v>0.375</v>
      </c>
      <c r="AN126" s="4">
        <v>-0.46800000000000003</v>
      </c>
      <c r="AO126" s="4">
        <v>2.1000000000000001E-2</v>
      </c>
      <c r="AP126" s="4">
        <v>0.47499999999999998</v>
      </c>
      <c r="AQ126" s="4">
        <v>2.9000000000000001E-2</v>
      </c>
      <c r="AR126" s="4">
        <v>0.15</v>
      </c>
      <c r="AS126" s="4">
        <v>0.23899999999999999</v>
      </c>
      <c r="AT126" s="4">
        <v>-5.5E-2</v>
      </c>
      <c r="AU126" s="4">
        <v>-7.1999999999999995E-2</v>
      </c>
      <c r="AV126" s="4">
        <v>-0.626</v>
      </c>
      <c r="AW126" s="4">
        <v>0.30299999999999999</v>
      </c>
      <c r="AX126" s="4">
        <v>-0.50600000000000001</v>
      </c>
      <c r="AY126" s="4">
        <v>0.81</v>
      </c>
      <c r="AZ126" s="4">
        <v>-0.39100000000000001</v>
      </c>
      <c r="BA126" s="4">
        <v>-0.31900000000000001</v>
      </c>
      <c r="BB126" s="4">
        <v>8.0000000000000002E-3</v>
      </c>
      <c r="BC126" s="4">
        <v>-6.0999999999999999E-2</v>
      </c>
      <c r="BD126" s="4">
        <v>5.6000000000000001E-2</v>
      </c>
      <c r="BE126" s="4">
        <v>0.317</v>
      </c>
      <c r="BF126" s="4">
        <v>-4.0000000000000001E-3</v>
      </c>
      <c r="BG126" s="4">
        <v>0.68799999999999994</v>
      </c>
      <c r="BH126" s="4">
        <v>-0.48199999999999998</v>
      </c>
      <c r="BI126" s="4">
        <v>0.19900000000000001</v>
      </c>
      <c r="BJ126" s="4">
        <v>-0.35199999999999998</v>
      </c>
      <c r="BK126" s="4">
        <v>-0.626</v>
      </c>
      <c r="BL126" s="4"/>
      <c r="BM126" s="4">
        <f t="shared" si="20"/>
        <v>-0.15899360000000001</v>
      </c>
    </row>
    <row r="127" spans="1:65" hidden="1" x14ac:dyDescent="0.3">
      <c r="A127" t="s">
        <v>168</v>
      </c>
      <c r="B127" s="53">
        <f t="shared" si="22"/>
        <v>0</v>
      </c>
      <c r="C127" s="53">
        <f t="shared" si="14"/>
        <v>-2.7E-2</v>
      </c>
      <c r="D127" s="53">
        <f t="shared" si="15"/>
        <v>0</v>
      </c>
      <c r="E127" s="53">
        <f t="shared" si="16"/>
        <v>2.7E-2</v>
      </c>
      <c r="F127" s="15">
        <v>0.64900000000000002</v>
      </c>
      <c r="G127">
        <v>1.121</v>
      </c>
      <c r="H127" t="s">
        <v>68</v>
      </c>
      <c r="I127" t="str">
        <f>VLOOKUP(A127,Planilha6!$BL$9:$BN$222,2,0)</f>
        <v>capital_goods</v>
      </c>
      <c r="J127" t="str">
        <f>VLOOKUP(A127,Planilha6!$BL$9:$BN$222,3,0)</f>
        <v>low_beta</v>
      </c>
      <c r="K127" s="41">
        <v>0</v>
      </c>
      <c r="L127" s="42">
        <v>-2.7E-2</v>
      </c>
      <c r="M127" s="41">
        <f>VLOOKUP(A127,'Mandato Ibov'!$B$1:$C$215,2,0)</f>
        <v>0</v>
      </c>
      <c r="N127" s="59">
        <f t="shared" si="17"/>
        <v>0</v>
      </c>
      <c r="O127" s="42">
        <f t="shared" si="18"/>
        <v>0</v>
      </c>
      <c r="P127" s="59">
        <f>VLOOKUP(A127,'Mandato Ibov'!$B$2:$D$215,3,0)</f>
        <v>0</v>
      </c>
      <c r="Q127" s="42">
        <f t="shared" si="19"/>
        <v>0</v>
      </c>
      <c r="R127" s="15">
        <v>-0.68799999999999994</v>
      </c>
      <c r="S127" s="15">
        <v>-0.38700000000000001</v>
      </c>
      <c r="T127" s="15">
        <v>-0.91800000000000004</v>
      </c>
      <c r="U127" s="15">
        <v>-0.55400000000000005</v>
      </c>
      <c r="V127" s="15">
        <v>-0.629</v>
      </c>
      <c r="W127" s="15">
        <v>-0.438</v>
      </c>
      <c r="X127" s="15">
        <v>-8.5000000000000006E-2</v>
      </c>
      <c r="Y127" s="15">
        <v>-0.47599999999999998</v>
      </c>
      <c r="Z127" s="15">
        <v>0.58799999999999997</v>
      </c>
      <c r="AA127" s="15">
        <v>0.59299999999999997</v>
      </c>
      <c r="AB127" s="15">
        <v>0.64</v>
      </c>
      <c r="AC127" s="15">
        <v>0.85399999999999998</v>
      </c>
      <c r="AD127" s="15">
        <v>0.441</v>
      </c>
      <c r="AE127" s="14">
        <v>-0.30299999999999999</v>
      </c>
      <c r="AF127" s="15">
        <v>-0.51400000000000001</v>
      </c>
      <c r="AG127" s="15">
        <v>-0.51900000000000002</v>
      </c>
      <c r="AH127" s="15">
        <v>-1</v>
      </c>
      <c r="AI127" s="15">
        <v>-0.99399999999999999</v>
      </c>
      <c r="AJ127" s="16">
        <v>-0.58399999999999996</v>
      </c>
      <c r="AK127" s="4">
        <v>-0.35799999999999998</v>
      </c>
      <c r="AL127" s="4">
        <v>-0.57999999999999996</v>
      </c>
      <c r="AM127" s="4">
        <v>-0.873</v>
      </c>
      <c r="AN127" s="4">
        <v>0.46500000000000002</v>
      </c>
      <c r="AO127" s="4">
        <v>0.42199999999999999</v>
      </c>
      <c r="AP127" s="4">
        <v>4.3999999999999997E-2</v>
      </c>
      <c r="AQ127" s="4">
        <v>0.379</v>
      </c>
      <c r="AR127" s="4">
        <v>0.114</v>
      </c>
      <c r="AS127" s="4">
        <v>-0.57999999999999996</v>
      </c>
      <c r="AT127" s="4">
        <v>0.76900000000000002</v>
      </c>
      <c r="AU127" s="4">
        <v>4.0000000000000001E-3</v>
      </c>
      <c r="AV127" s="4">
        <v>0.23200000000000001</v>
      </c>
      <c r="AW127" s="4">
        <v>0.59199999999999997</v>
      </c>
      <c r="AX127" s="4">
        <v>0.50600000000000001</v>
      </c>
      <c r="AY127" s="4">
        <v>0.96199999999999997</v>
      </c>
      <c r="AZ127" s="4">
        <v>-0.63</v>
      </c>
      <c r="BA127" s="4">
        <v>1.7999999999999999E-2</v>
      </c>
      <c r="BB127" s="4">
        <v>0.245</v>
      </c>
      <c r="BC127" s="4">
        <v>4.9000000000000002E-2</v>
      </c>
      <c r="BD127" s="4">
        <v>-2.5000000000000001E-2</v>
      </c>
      <c r="BE127" s="4">
        <v>2.5999999999999999E-2</v>
      </c>
      <c r="BF127" s="4">
        <v>-0.193</v>
      </c>
      <c r="BG127" s="4">
        <v>0.69299999999999995</v>
      </c>
      <c r="BH127" s="4">
        <v>-0.36699999999999999</v>
      </c>
      <c r="BI127" s="4">
        <v>6.0000000000000001E-3</v>
      </c>
      <c r="BJ127" s="4">
        <v>-0.152</v>
      </c>
      <c r="BK127" s="4">
        <v>-1</v>
      </c>
      <c r="BL127" s="4"/>
      <c r="BM127" s="4">
        <f t="shared" si="20"/>
        <v>-0.15781669999999998</v>
      </c>
    </row>
    <row r="128" spans="1:65" hidden="1" x14ac:dyDescent="0.3">
      <c r="A128" t="s">
        <v>160</v>
      </c>
      <c r="B128" s="53">
        <f t="shared" si="22"/>
        <v>0</v>
      </c>
      <c r="C128" s="53">
        <f t="shared" si="14"/>
        <v>0</v>
      </c>
      <c r="D128" s="53">
        <f t="shared" si="15"/>
        <v>0</v>
      </c>
      <c r="E128" s="53">
        <f t="shared" si="16"/>
        <v>0</v>
      </c>
      <c r="F128" s="15">
        <v>0.64500000000000002</v>
      </c>
      <c r="G128">
        <v>0.49099999999999999</v>
      </c>
      <c r="H128" t="s">
        <v>57</v>
      </c>
      <c r="I128" t="str">
        <f>VLOOKUP(A128,Planilha6!$BL$9:$BN$222,2,0)</f>
        <v>financial_services</v>
      </c>
      <c r="J128" t="str">
        <f>VLOOKUP(A128,Planilha6!$BL$9:$BN$222,3,0)</f>
        <v>low_beta</v>
      </c>
      <c r="K128" s="41">
        <v>0</v>
      </c>
      <c r="L128" s="42">
        <v>0</v>
      </c>
      <c r="M128" s="41">
        <f>VLOOKUP(A128,'Mandato Ibov'!$B$1:$C$215,2,0)</f>
        <v>0</v>
      </c>
      <c r="N128" s="59">
        <f t="shared" si="17"/>
        <v>0</v>
      </c>
      <c r="O128" s="42">
        <f t="shared" si="18"/>
        <v>0</v>
      </c>
      <c r="P128" s="59">
        <f>VLOOKUP(A128,'Mandato Ibov'!$B$2:$D$215,3,0)</f>
        <v>0</v>
      </c>
      <c r="Q128" s="42">
        <f t="shared" si="19"/>
        <v>0</v>
      </c>
      <c r="R128" s="15">
        <v>-0.57699999999999996</v>
      </c>
      <c r="S128" s="15">
        <v>-0.51700000000000002</v>
      </c>
      <c r="T128" s="15">
        <v>-0.72099999999999997</v>
      </c>
      <c r="U128" s="15">
        <v>-0.57599999999999996</v>
      </c>
      <c r="V128" s="15">
        <v>-0.61899999999999999</v>
      </c>
      <c r="W128" s="15">
        <v>-0.51800000000000002</v>
      </c>
      <c r="X128" s="15">
        <v>-0.17299999999999999</v>
      </c>
      <c r="Y128" s="15">
        <v>-0.65200000000000002</v>
      </c>
      <c r="Z128" s="15">
        <v>0.67300000000000004</v>
      </c>
      <c r="AA128" s="15">
        <v>0.67400000000000004</v>
      </c>
      <c r="AB128" s="15">
        <v>0.76600000000000001</v>
      </c>
      <c r="AC128" s="15">
        <v>0.79400000000000004</v>
      </c>
      <c r="AD128" s="15">
        <v>0.47599999999999998</v>
      </c>
      <c r="AE128" s="14">
        <v>-0.33100000000000002</v>
      </c>
      <c r="AF128" s="15">
        <v>0.20499999999999999</v>
      </c>
      <c r="AG128" s="15">
        <v>-0.434</v>
      </c>
      <c r="AH128" s="15">
        <v>-0.68600000000000005</v>
      </c>
      <c r="AI128" s="15">
        <v>-0.91400000000000003</v>
      </c>
      <c r="AJ128" s="16">
        <v>-0.55500000000000005</v>
      </c>
      <c r="AK128" s="4">
        <v>6.8000000000000005E-2</v>
      </c>
      <c r="AL128" s="4">
        <v>-0.70399999999999996</v>
      </c>
      <c r="AM128" s="4">
        <v>-0.09</v>
      </c>
      <c r="AN128" s="4">
        <v>0.73599999999999999</v>
      </c>
      <c r="AO128" s="4">
        <v>-9.6000000000000002E-2</v>
      </c>
      <c r="AP128" s="4">
        <v>-0.16400000000000001</v>
      </c>
      <c r="AQ128" s="4">
        <v>0.28399999999999997</v>
      </c>
      <c r="AR128" s="4">
        <v>-1.4999999999999999E-2</v>
      </c>
      <c r="AS128" s="4">
        <v>-0.89600000000000002</v>
      </c>
      <c r="AT128" s="4">
        <v>0.314</v>
      </c>
      <c r="AU128" s="4">
        <v>0.65</v>
      </c>
      <c r="AV128" s="4">
        <v>-0.158</v>
      </c>
      <c r="AW128" s="4">
        <v>0.11700000000000001</v>
      </c>
      <c r="AX128" s="4">
        <v>-0.28699999999999998</v>
      </c>
      <c r="AY128" s="4">
        <v>0.34</v>
      </c>
      <c r="AZ128" s="4">
        <v>-0.61099999999999999</v>
      </c>
      <c r="BA128" s="4">
        <v>-0.17100000000000001</v>
      </c>
      <c r="BB128" s="4">
        <v>-6.7000000000000004E-2</v>
      </c>
      <c r="BC128" s="4">
        <v>3.9E-2</v>
      </c>
      <c r="BD128" s="4">
        <v>7.0000000000000007E-2</v>
      </c>
      <c r="BE128" s="4">
        <v>-0.23300000000000001</v>
      </c>
      <c r="BF128" s="4">
        <v>3.2000000000000001E-2</v>
      </c>
      <c r="BG128" s="4">
        <v>0.434</v>
      </c>
      <c r="BH128" s="4">
        <v>0.14599999999999999</v>
      </c>
      <c r="BI128" s="4">
        <v>-9.7000000000000003E-2</v>
      </c>
      <c r="BJ128" s="4">
        <v>1</v>
      </c>
      <c r="BK128" s="4">
        <v>-5.7000000000000002E-2</v>
      </c>
      <c r="BL128" s="4"/>
      <c r="BM128" s="4">
        <f t="shared" si="20"/>
        <v>-0.16450239999999999</v>
      </c>
    </row>
    <row r="129" spans="1:65" hidden="1" x14ac:dyDescent="0.3">
      <c r="A129" t="s">
        <v>155</v>
      </c>
      <c r="B129" s="53">
        <f t="shared" si="22"/>
        <v>0</v>
      </c>
      <c r="C129" s="53">
        <f t="shared" si="14"/>
        <v>0</v>
      </c>
      <c r="D129" s="53">
        <f t="shared" si="15"/>
        <v>0</v>
      </c>
      <c r="E129" s="53">
        <f t="shared" si="16"/>
        <v>0</v>
      </c>
      <c r="F129" s="15">
        <v>0.64400000000000002</v>
      </c>
      <c r="G129">
        <v>0.46899999999999997</v>
      </c>
      <c r="H129" t="s">
        <v>55</v>
      </c>
      <c r="I129" t="str">
        <f>VLOOKUP(A129,Planilha6!$BL$9:$BN$222,2,0)</f>
        <v>utilities</v>
      </c>
      <c r="J129" t="str">
        <f>VLOOKUP(A129,Planilha6!$BL$9:$BN$222,3,0)</f>
        <v>low_beta</v>
      </c>
      <c r="K129" s="41">
        <v>0</v>
      </c>
      <c r="L129" s="42">
        <v>0</v>
      </c>
      <c r="M129" s="41">
        <f>VLOOKUP(A129,'Mandato Ibov'!$B$1:$C$215,2,0)</f>
        <v>0</v>
      </c>
      <c r="N129" s="59">
        <f t="shared" si="17"/>
        <v>0</v>
      </c>
      <c r="O129" s="42">
        <f t="shared" si="18"/>
        <v>0</v>
      </c>
      <c r="P129" s="59">
        <f>VLOOKUP(A129,'Mandato Ibov'!$B$2:$D$215,3,0)</f>
        <v>0</v>
      </c>
      <c r="Q129" s="42">
        <f t="shared" si="19"/>
        <v>0</v>
      </c>
      <c r="R129" s="15">
        <v>-0.40200000000000002</v>
      </c>
      <c r="S129" s="15">
        <v>-0.58899999999999997</v>
      </c>
      <c r="T129" s="15">
        <v>-0.13800000000000001</v>
      </c>
      <c r="U129" s="15">
        <v>-0.35499999999999998</v>
      </c>
      <c r="V129" s="15">
        <v>-0.39700000000000002</v>
      </c>
      <c r="W129" s="15">
        <v>-0.61199999999999999</v>
      </c>
      <c r="X129" s="15">
        <v>-0.71199999999999997</v>
      </c>
      <c r="Y129" s="15">
        <v>-0.76900000000000002</v>
      </c>
      <c r="Z129" s="15">
        <v>0.56699999999999995</v>
      </c>
      <c r="AA129" s="15">
        <v>0.56699999999999995</v>
      </c>
      <c r="AB129" s="15">
        <v>0.57999999999999996</v>
      </c>
      <c r="AC129" s="15">
        <v>0.79600000000000004</v>
      </c>
      <c r="AD129" s="15">
        <v>0.55000000000000004</v>
      </c>
      <c r="AE129" s="14">
        <v>0.23</v>
      </c>
      <c r="AF129" s="15">
        <v>0.35299999999999998</v>
      </c>
      <c r="AG129" s="15">
        <v>0.13300000000000001</v>
      </c>
      <c r="AH129" s="15">
        <v>0.375</v>
      </c>
      <c r="AI129" s="15">
        <v>-2.5999999999999999E-2</v>
      </c>
      <c r="AJ129" s="16">
        <v>-0.51600000000000001</v>
      </c>
      <c r="AK129" s="4">
        <v>0.24</v>
      </c>
      <c r="AL129" s="4">
        <v>-1</v>
      </c>
      <c r="AM129" s="4">
        <v>0.80200000000000005</v>
      </c>
      <c r="AN129" s="4">
        <v>-0.27300000000000002</v>
      </c>
      <c r="AO129" s="4">
        <v>-0.17899999999999999</v>
      </c>
      <c r="AP129" s="4">
        <v>0.22800000000000001</v>
      </c>
      <c r="AQ129" s="4">
        <v>0.502</v>
      </c>
      <c r="AR129" s="4">
        <v>-0.32700000000000001</v>
      </c>
      <c r="AS129" s="4">
        <v>4.7E-2</v>
      </c>
      <c r="AT129" s="4">
        <v>-1.2999999999999999E-2</v>
      </c>
      <c r="AU129" s="4">
        <v>-0.51400000000000001</v>
      </c>
      <c r="AV129" s="4">
        <v>-8.9999999999999993E-3</v>
      </c>
      <c r="AW129" s="4">
        <v>-0.27</v>
      </c>
      <c r="AX129" s="4">
        <v>-0.78700000000000003</v>
      </c>
      <c r="AY129" s="4">
        <v>-0.124</v>
      </c>
      <c r="AZ129" s="4">
        <v>0.33700000000000002</v>
      </c>
      <c r="BA129" s="4">
        <v>-0.39500000000000002</v>
      </c>
      <c r="BB129" s="4">
        <v>2.8000000000000001E-2</v>
      </c>
      <c r="BC129" s="4">
        <v>-0.57099999999999995</v>
      </c>
      <c r="BD129" s="4">
        <v>0.27800000000000002</v>
      </c>
      <c r="BE129" s="4">
        <v>-0.55700000000000005</v>
      </c>
      <c r="BF129" s="4">
        <v>4.3999999999999997E-2</v>
      </c>
      <c r="BG129" s="4">
        <v>0.21199999999999999</v>
      </c>
      <c r="BH129" s="4">
        <v>-0.154</v>
      </c>
      <c r="BI129" s="4">
        <v>-0.16900000000000001</v>
      </c>
      <c r="BJ129" s="4">
        <v>0.47799999999999998</v>
      </c>
      <c r="BK129" s="4">
        <v>0.75</v>
      </c>
      <c r="BL129" s="4"/>
      <c r="BM129" s="4">
        <f t="shared" si="20"/>
        <v>-0.16574979999999997</v>
      </c>
    </row>
    <row r="130" spans="1:65" hidden="1" x14ac:dyDescent="0.3">
      <c r="A130" t="s">
        <v>184</v>
      </c>
      <c r="B130" s="53">
        <f t="shared" si="22"/>
        <v>0</v>
      </c>
      <c r="C130" s="53">
        <f t="shared" si="14"/>
        <v>-3.5999999999999997E-2</v>
      </c>
      <c r="D130" s="53">
        <f t="shared" si="15"/>
        <v>0</v>
      </c>
      <c r="E130" s="53">
        <f t="shared" si="16"/>
        <v>3.5999999999999997E-2</v>
      </c>
      <c r="F130" s="15">
        <v>0.64200000000000002</v>
      </c>
      <c r="G130">
        <v>1.3340000000000001</v>
      </c>
      <c r="H130" t="s">
        <v>57</v>
      </c>
      <c r="I130" t="str">
        <f>VLOOKUP(A130,Planilha6!$BL$9:$BN$222,2,0)</f>
        <v>financial_services</v>
      </c>
      <c r="J130" t="str">
        <f>VLOOKUP(A130,Planilha6!$BL$9:$BN$222,3,0)</f>
        <v>very_high_beta</v>
      </c>
      <c r="K130" s="41">
        <v>0</v>
      </c>
      <c r="L130" s="42">
        <v>-3.5999999999999997E-2</v>
      </c>
      <c r="M130" s="41">
        <f>VLOOKUP(A130,'Mandato Ibov'!$B$1:$C$215,2,0)</f>
        <v>0</v>
      </c>
      <c r="N130" s="59">
        <f t="shared" si="17"/>
        <v>0</v>
      </c>
      <c r="O130" s="42">
        <f t="shared" si="18"/>
        <v>0</v>
      </c>
      <c r="P130" s="59">
        <f>VLOOKUP(A130,'Mandato Ibov'!$B$2:$D$215,3,0)</f>
        <v>0</v>
      </c>
      <c r="Q130" s="42">
        <f t="shared" si="19"/>
        <v>0</v>
      </c>
      <c r="R130" s="15">
        <v>-0.66400000000000003</v>
      </c>
      <c r="S130" s="15">
        <v>-0.06</v>
      </c>
      <c r="T130" s="15">
        <v>-0.93500000000000005</v>
      </c>
      <c r="U130" s="15">
        <v>-0.48899999999999999</v>
      </c>
      <c r="V130" s="15">
        <v>-0.54900000000000004</v>
      </c>
      <c r="W130" s="15">
        <v>-0.46100000000000002</v>
      </c>
      <c r="X130" s="15">
        <v>-4.2000000000000003E-2</v>
      </c>
      <c r="Y130" s="15">
        <v>-0.35699999999999998</v>
      </c>
      <c r="Z130" s="15">
        <v>0.224</v>
      </c>
      <c r="AA130" s="15">
        <v>0.23</v>
      </c>
      <c r="AB130" s="15">
        <v>0.58799999999999997</v>
      </c>
      <c r="AC130" s="15">
        <v>0.63500000000000001</v>
      </c>
      <c r="AD130" s="15">
        <v>0.36599999999999999</v>
      </c>
      <c r="AE130" s="14">
        <v>-0.20100000000000001</v>
      </c>
      <c r="AF130" s="15">
        <v>-0.72299999999999998</v>
      </c>
      <c r="AG130" s="15">
        <v>-3.2000000000000001E-2</v>
      </c>
      <c r="AH130" s="15">
        <v>-1</v>
      </c>
      <c r="AI130" s="15">
        <v>-0.68500000000000005</v>
      </c>
      <c r="AJ130" s="16">
        <v>-0.79100000000000004</v>
      </c>
      <c r="AK130" s="4">
        <v>-0.45600000000000002</v>
      </c>
      <c r="AL130" s="4">
        <v>-0.54600000000000004</v>
      </c>
      <c r="AM130" s="4">
        <v>-1</v>
      </c>
      <c r="AN130" s="4">
        <v>-0.6</v>
      </c>
      <c r="AO130" s="4">
        <v>0.47699999999999998</v>
      </c>
      <c r="AP130" s="4">
        <v>0.77900000000000003</v>
      </c>
      <c r="AQ130" s="4">
        <v>0.14899999999999999</v>
      </c>
      <c r="AR130" s="4">
        <v>-0.06</v>
      </c>
      <c r="AS130" s="4">
        <v>-0.47099999999999997</v>
      </c>
      <c r="AT130" s="4">
        <v>0.38200000000000001</v>
      </c>
      <c r="AU130" s="4">
        <v>1</v>
      </c>
      <c r="AV130" s="4">
        <v>0.47599999999999998</v>
      </c>
      <c r="AW130" s="4">
        <v>-3.2000000000000001E-2</v>
      </c>
      <c r="AX130" s="4">
        <v>0.15</v>
      </c>
      <c r="AY130" s="4">
        <v>0.44</v>
      </c>
      <c r="AZ130" s="4">
        <v>-0.29399999999999998</v>
      </c>
      <c r="BA130" s="4">
        <v>0.29299999999999998</v>
      </c>
      <c r="BB130" s="4">
        <v>0.221</v>
      </c>
      <c r="BC130" s="4">
        <v>0.10199999999999999</v>
      </c>
      <c r="BD130" s="4">
        <v>0.32</v>
      </c>
      <c r="BE130" s="4">
        <v>-0.42099999999999999</v>
      </c>
      <c r="BF130" s="4">
        <v>-0.38600000000000001</v>
      </c>
      <c r="BG130" s="4">
        <v>0.315</v>
      </c>
      <c r="BH130" s="4">
        <v>-0.38200000000000001</v>
      </c>
      <c r="BI130" s="4">
        <v>0.42099999999999999</v>
      </c>
      <c r="BJ130" s="4">
        <v>-0.51600000000000001</v>
      </c>
      <c r="BK130" s="4">
        <v>-0.747</v>
      </c>
      <c r="BL130" s="4"/>
      <c r="BM130" s="4">
        <f t="shared" si="20"/>
        <v>-0.16826179999999991</v>
      </c>
    </row>
    <row r="131" spans="1:65" x14ac:dyDescent="0.3">
      <c r="A131" t="s">
        <v>165</v>
      </c>
      <c r="B131" s="53">
        <f t="shared" si="22"/>
        <v>0</v>
      </c>
      <c r="C131" s="53">
        <f t="shared" si="14"/>
        <v>0</v>
      </c>
      <c r="D131" s="53">
        <f t="shared" si="15"/>
        <v>0</v>
      </c>
      <c r="E131" s="53">
        <f t="shared" si="16"/>
        <v>0</v>
      </c>
      <c r="F131" s="15">
        <v>0.63900000000000001</v>
      </c>
      <c r="G131">
        <v>0.49399999999999999</v>
      </c>
      <c r="H131" t="s">
        <v>71</v>
      </c>
      <c r="I131" t="str">
        <f>VLOOKUP(A131,Planilha6!$BL$9:$BN$222,2,0)</f>
        <v>basic_materials</v>
      </c>
      <c r="J131" t="str">
        <f>VLOOKUP(A131,Planilha6!$BL$9:$BN$222,3,0)</f>
        <v>neutral_beta</v>
      </c>
      <c r="K131" s="41">
        <v>0</v>
      </c>
      <c r="L131" s="42">
        <v>0</v>
      </c>
      <c r="M131" s="41">
        <f>VLOOKUP(A131,'Mandato Ibov'!$B$1:$C$215,2,0)</f>
        <v>0</v>
      </c>
      <c r="N131" s="59">
        <f t="shared" si="17"/>
        <v>0</v>
      </c>
      <c r="O131" s="42">
        <f t="shared" si="18"/>
        <v>0</v>
      </c>
      <c r="P131" s="59">
        <f>VLOOKUP(A131,'Mandato Ibov'!$B$2:$D$215,3,0)</f>
        <v>0</v>
      </c>
      <c r="Q131" s="42">
        <f t="shared" si="19"/>
        <v>0</v>
      </c>
      <c r="R131" s="15">
        <v>-0.53400000000000003</v>
      </c>
      <c r="S131" s="15">
        <v>-0.66200000000000003</v>
      </c>
      <c r="T131" s="15">
        <v>-0.64</v>
      </c>
      <c r="U131" s="15">
        <v>-0.51800000000000002</v>
      </c>
      <c r="V131" s="15">
        <v>-0.63700000000000001</v>
      </c>
      <c r="W131" s="15">
        <v>-0.60899999999999999</v>
      </c>
      <c r="X131" s="15">
        <v>-0.72299999999999998</v>
      </c>
      <c r="Y131" s="15">
        <v>-0.75700000000000001</v>
      </c>
      <c r="Z131" s="15">
        <v>0.69199999999999995</v>
      </c>
      <c r="AA131" s="15">
        <v>0.69599999999999995</v>
      </c>
      <c r="AB131" s="15">
        <v>0.68300000000000005</v>
      </c>
      <c r="AC131" s="15">
        <v>0.94</v>
      </c>
      <c r="AD131" s="15">
        <v>0.748</v>
      </c>
      <c r="AE131" s="14">
        <v>-0.20799999999999999</v>
      </c>
      <c r="AF131" s="15">
        <v>-0.22600000000000001</v>
      </c>
      <c r="AG131" s="15">
        <v>0.59099999999999997</v>
      </c>
      <c r="AH131" s="15">
        <v>-0.52100000000000002</v>
      </c>
      <c r="AI131" s="15">
        <v>-0.48099999999999998</v>
      </c>
      <c r="AJ131" s="16">
        <v>-0.85299999999999998</v>
      </c>
      <c r="AK131" s="4">
        <v>-0.34399999999999997</v>
      </c>
      <c r="AL131" s="4">
        <v>-0.66700000000000004</v>
      </c>
      <c r="AM131" s="4">
        <v>0.5</v>
      </c>
      <c r="AN131" s="4">
        <v>-0.52700000000000002</v>
      </c>
      <c r="AO131" s="4">
        <v>0.437</v>
      </c>
      <c r="AP131" s="4">
        <v>-0.158</v>
      </c>
      <c r="AQ131" s="4">
        <v>-0.434</v>
      </c>
      <c r="AR131" s="4">
        <v>0.748</v>
      </c>
      <c r="AS131" s="4">
        <v>0.43099999999999999</v>
      </c>
      <c r="AT131" s="4">
        <v>-0.109</v>
      </c>
      <c r="AU131" s="4">
        <v>-0.60299999999999998</v>
      </c>
      <c r="AV131" s="4">
        <v>-7.5999999999999998E-2</v>
      </c>
      <c r="AW131" s="4">
        <v>-7.0999999999999994E-2</v>
      </c>
      <c r="AX131" s="4">
        <v>-0.17399999999999999</v>
      </c>
      <c r="AY131" s="4">
        <v>0.753</v>
      </c>
      <c r="AZ131" s="4">
        <v>-1</v>
      </c>
      <c r="BA131" s="4">
        <v>0.64500000000000002</v>
      </c>
      <c r="BB131" s="4">
        <v>0.45700000000000002</v>
      </c>
      <c r="BC131" s="4">
        <v>0.18099999999999999</v>
      </c>
      <c r="BD131" s="4">
        <v>0.30199999999999999</v>
      </c>
      <c r="BE131" s="4">
        <v>0.104</v>
      </c>
      <c r="BF131" s="4">
        <v>-0.14799999999999999</v>
      </c>
      <c r="BG131" s="4">
        <v>0.191</v>
      </c>
      <c r="BH131" s="4">
        <v>6.6000000000000003E-2</v>
      </c>
      <c r="BI131" s="4">
        <v>-0.27400000000000002</v>
      </c>
      <c r="BJ131" s="4">
        <v>0.81</v>
      </c>
      <c r="BK131" s="4">
        <v>0.11799999999999999</v>
      </c>
      <c r="BL131" s="4"/>
      <c r="BM131" s="4">
        <f t="shared" si="20"/>
        <v>-0.17249569999999997</v>
      </c>
    </row>
    <row r="132" spans="1:65" hidden="1" x14ac:dyDescent="0.3">
      <c r="A132" t="s">
        <v>164</v>
      </c>
      <c r="B132" s="53">
        <f t="shared" si="22"/>
        <v>0</v>
      </c>
      <c r="C132" s="53">
        <f t="shared" si="14"/>
        <v>0</v>
      </c>
      <c r="D132" s="53">
        <f t="shared" si="15"/>
        <v>0</v>
      </c>
      <c r="E132" s="53">
        <f t="shared" si="16"/>
        <v>0</v>
      </c>
      <c r="F132" s="15">
        <v>0.63600000000000001</v>
      </c>
      <c r="G132">
        <v>0.68600000000000005</v>
      </c>
      <c r="H132" t="s">
        <v>68</v>
      </c>
      <c r="I132" t="str">
        <f>VLOOKUP(A132,Planilha6!$BL$9:$BN$222,2,0)</f>
        <v>capital_goods</v>
      </c>
      <c r="J132" t="str">
        <f>VLOOKUP(A132,Planilha6!$BL$9:$BN$222,3,0)</f>
        <v>low_beta</v>
      </c>
      <c r="K132" s="41">
        <v>0</v>
      </c>
      <c r="L132" s="42">
        <v>0</v>
      </c>
      <c r="M132" s="41">
        <f>VLOOKUP(A132,'Mandato Ibov'!$B$1:$C$215,2,0)</f>
        <v>0</v>
      </c>
      <c r="N132" s="59">
        <f t="shared" si="17"/>
        <v>0</v>
      </c>
      <c r="O132" s="42">
        <f t="shared" si="18"/>
        <v>0</v>
      </c>
      <c r="P132" s="59">
        <f>VLOOKUP(A132,'Mandato Ibov'!$B$2:$D$215,3,0)</f>
        <v>0</v>
      </c>
      <c r="Q132" s="42">
        <f t="shared" si="19"/>
        <v>0</v>
      </c>
      <c r="R132" s="15">
        <v>-0.55800000000000005</v>
      </c>
      <c r="S132" s="15">
        <v>-0.51400000000000001</v>
      </c>
      <c r="T132" s="15">
        <v>-0.38800000000000001</v>
      </c>
      <c r="U132" s="15">
        <v>-0.70599999999999996</v>
      </c>
      <c r="V132" s="15">
        <v>-0.57299999999999995</v>
      </c>
      <c r="W132" s="15">
        <v>-0.57999999999999996</v>
      </c>
      <c r="X132" s="15">
        <v>-0.55000000000000004</v>
      </c>
      <c r="Y132" s="15">
        <v>-0.52800000000000002</v>
      </c>
      <c r="Z132" s="15">
        <v>0.61399999999999999</v>
      </c>
      <c r="AA132" s="15">
        <v>0.61599999999999999</v>
      </c>
      <c r="AB132" s="15">
        <v>0.48599999999999999</v>
      </c>
      <c r="AC132" s="15">
        <v>0.58499999999999996</v>
      </c>
      <c r="AD132" s="15">
        <v>0.496</v>
      </c>
      <c r="AE132" s="14">
        <v>-0.28199999999999997</v>
      </c>
      <c r="AF132" s="15">
        <v>-0.52600000000000002</v>
      </c>
      <c r="AG132" s="15">
        <v>-0.33800000000000002</v>
      </c>
      <c r="AH132" s="15">
        <v>0.36099999999999999</v>
      </c>
      <c r="AI132" s="15">
        <v>-0.45200000000000001</v>
      </c>
      <c r="AJ132" s="16">
        <v>-0.55800000000000005</v>
      </c>
      <c r="AK132" s="4">
        <v>7.2999999999999995E-2</v>
      </c>
      <c r="AL132" s="4">
        <v>-0.45900000000000002</v>
      </c>
      <c r="AM132" s="4">
        <v>0.74</v>
      </c>
      <c r="AN132" s="4">
        <v>-0.30499999999999999</v>
      </c>
      <c r="AO132" s="4">
        <v>-0.54300000000000004</v>
      </c>
      <c r="AP132" s="4">
        <v>-0.16900000000000001</v>
      </c>
      <c r="AQ132" s="4">
        <v>-0.15</v>
      </c>
      <c r="AR132" s="4">
        <v>-0.307</v>
      </c>
      <c r="AS132" s="4">
        <v>-0.252</v>
      </c>
      <c r="AT132" s="4">
        <v>9.8000000000000004E-2</v>
      </c>
      <c r="AU132" s="4">
        <v>-0.45</v>
      </c>
      <c r="AV132" s="4">
        <v>-0.23400000000000001</v>
      </c>
      <c r="AW132" s="4">
        <v>0.54900000000000004</v>
      </c>
      <c r="AX132" s="4">
        <v>-0.26100000000000001</v>
      </c>
      <c r="AY132" s="4">
        <v>0.9</v>
      </c>
      <c r="AZ132" s="4">
        <v>0.77</v>
      </c>
      <c r="BA132" s="4">
        <v>-0.16800000000000001</v>
      </c>
      <c r="BB132" s="4">
        <v>0.24199999999999999</v>
      </c>
      <c r="BC132" s="4">
        <v>-8.2000000000000003E-2</v>
      </c>
      <c r="BD132" s="4">
        <v>0.28499999999999998</v>
      </c>
      <c r="BE132" s="4">
        <v>-0.14499999999999999</v>
      </c>
      <c r="BF132" s="4">
        <v>-0.16900000000000001</v>
      </c>
      <c r="BG132" s="4">
        <v>0.55400000000000005</v>
      </c>
      <c r="BH132" s="4">
        <v>-7.6999999999999999E-2</v>
      </c>
      <c r="BI132" s="4">
        <v>0.183</v>
      </c>
      <c r="BJ132" s="4">
        <v>4.0000000000000001E-3</v>
      </c>
      <c r="BK132" s="4">
        <v>0.35</v>
      </c>
      <c r="BL132" s="4"/>
      <c r="BM132" s="4">
        <f t="shared" si="20"/>
        <v>-0.17673910000000009</v>
      </c>
    </row>
    <row r="133" spans="1:65" x14ac:dyDescent="0.3">
      <c r="A133" t="s">
        <v>182</v>
      </c>
      <c r="B133" s="53">
        <v>5.7000000000000002E-2</v>
      </c>
      <c r="C133" s="53">
        <f t="shared" si="14"/>
        <v>-5.6000000000000001E-2</v>
      </c>
      <c r="D133" s="53">
        <f t="shared" si="15"/>
        <v>-5.9999999999999984E-3</v>
      </c>
      <c r="E133" s="53">
        <f t="shared" si="16"/>
        <v>0.113</v>
      </c>
      <c r="F133" s="15">
        <v>0.627</v>
      </c>
      <c r="G133">
        <v>1.355</v>
      </c>
      <c r="H133" t="s">
        <v>71</v>
      </c>
      <c r="I133" t="str">
        <f>VLOOKUP(A133,Planilha6!$BL$9:$BN$222,2,0)</f>
        <v>basic_materials</v>
      </c>
      <c r="J133" t="str">
        <f>VLOOKUP(A133,Planilha6!$BL$9:$BN$222,3,0)</f>
        <v>neutral_beta</v>
      </c>
      <c r="K133" s="41">
        <v>6.3E-2</v>
      </c>
      <c r="L133" s="42">
        <v>-0.05</v>
      </c>
      <c r="M133" s="41">
        <f>VLOOKUP(A133,'Mandato Ibov'!$B$1:$C$215,2,0)</f>
        <v>0</v>
      </c>
      <c r="N133" s="59">
        <f t="shared" si="17"/>
        <v>6.3E-2</v>
      </c>
      <c r="O133" s="42">
        <f t="shared" si="18"/>
        <v>5.7000000000000002E-2</v>
      </c>
      <c r="P133" s="59">
        <f>VLOOKUP(A133,'Mandato Ibov'!$B$2:$D$215,3,0)</f>
        <v>0</v>
      </c>
      <c r="Q133" s="42">
        <f t="shared" si="19"/>
        <v>6.3E-2</v>
      </c>
      <c r="R133" s="15">
        <v>-0.91400000000000003</v>
      </c>
      <c r="S133" s="15">
        <v>-0.53100000000000003</v>
      </c>
      <c r="T133" s="15">
        <v>-1</v>
      </c>
      <c r="U133" s="15">
        <v>-0.77900000000000003</v>
      </c>
      <c r="V133" s="15">
        <v>-0.752</v>
      </c>
      <c r="W133" s="15">
        <v>-0.59699999999999998</v>
      </c>
      <c r="X133" s="15">
        <v>-0.35799999999999998</v>
      </c>
      <c r="Y133" s="15">
        <v>-0.224</v>
      </c>
      <c r="Z133" s="15">
        <v>0.59299999999999997</v>
      </c>
      <c r="AA133" s="15">
        <v>0.59499999999999997</v>
      </c>
      <c r="AB133" s="15">
        <v>0.63400000000000001</v>
      </c>
      <c r="AC133" s="15">
        <v>0.64300000000000002</v>
      </c>
      <c r="AD133" s="15">
        <v>0.53400000000000003</v>
      </c>
      <c r="AE133" s="14">
        <v>-0.66200000000000003</v>
      </c>
      <c r="AF133" s="15">
        <v>-1</v>
      </c>
      <c r="AG133" s="15">
        <v>0.308</v>
      </c>
      <c r="AH133" s="15">
        <v>-1</v>
      </c>
      <c r="AI133" s="15">
        <v>-0.71799999999999997</v>
      </c>
      <c r="AJ133" s="16">
        <v>-1</v>
      </c>
      <c r="AK133" s="4">
        <v>-0.27800000000000002</v>
      </c>
      <c r="AL133" s="4">
        <v>0.11600000000000001</v>
      </c>
      <c r="AM133" s="4">
        <v>-0.59699999999999998</v>
      </c>
      <c r="AN133" s="4">
        <v>-0.77700000000000002</v>
      </c>
      <c r="AO133" s="4">
        <v>0.81499999999999995</v>
      </c>
      <c r="AP133" s="4">
        <v>0.20499999999999999</v>
      </c>
      <c r="AQ133" s="4">
        <v>-0.93899999999999995</v>
      </c>
      <c r="AR133" s="4">
        <v>-0.76200000000000001</v>
      </c>
      <c r="AS133" s="4">
        <v>-0.56499999999999995</v>
      </c>
      <c r="AT133" s="4">
        <v>-4.2999999999999997E-2</v>
      </c>
      <c r="AU133" s="4">
        <v>-9.1999999999999998E-2</v>
      </c>
      <c r="AV133" s="4">
        <v>-0.16700000000000001</v>
      </c>
      <c r="AW133" s="4">
        <v>0.60399999999999998</v>
      </c>
      <c r="AX133" s="4">
        <v>-0.13400000000000001</v>
      </c>
      <c r="AY133" s="4">
        <v>0.67800000000000005</v>
      </c>
      <c r="AZ133" s="4">
        <v>-0.88700000000000001</v>
      </c>
      <c r="BA133" s="4">
        <v>-0.249</v>
      </c>
      <c r="BB133" s="4">
        <v>0.311</v>
      </c>
      <c r="BC133" s="4">
        <v>0.20100000000000001</v>
      </c>
      <c r="BD133" s="4">
        <v>0.32200000000000001</v>
      </c>
      <c r="BE133" s="4">
        <v>-0.192</v>
      </c>
      <c r="BF133" s="4">
        <v>6.0000000000000001E-3</v>
      </c>
      <c r="BG133" s="4">
        <v>0.86399999999999999</v>
      </c>
      <c r="BH133" s="4">
        <v>-0.33300000000000002</v>
      </c>
      <c r="BI133" s="4">
        <v>-0.30099999999999999</v>
      </c>
      <c r="BJ133" s="4">
        <v>-0.40300000000000002</v>
      </c>
      <c r="BK133" s="4">
        <v>-1</v>
      </c>
      <c r="BL133" s="4"/>
      <c r="BM133" s="4">
        <f t="shared" si="20"/>
        <v>-0.19118760000000001</v>
      </c>
    </row>
    <row r="134" spans="1:65" hidden="1" x14ac:dyDescent="0.3">
      <c r="A134" t="s">
        <v>233</v>
      </c>
      <c r="B134" s="53">
        <f>K134</f>
        <v>0</v>
      </c>
      <c r="C134" s="53">
        <f t="shared" si="14"/>
        <v>-3.0000000000000001E-3</v>
      </c>
      <c r="D134" s="53">
        <f t="shared" si="15"/>
        <v>0</v>
      </c>
      <c r="E134" s="53">
        <f t="shared" si="16"/>
        <v>3.0000000000000001E-3</v>
      </c>
      <c r="F134" s="15">
        <v>0.62</v>
      </c>
      <c r="G134">
        <v>0.52300000000000002</v>
      </c>
      <c r="H134" t="s">
        <v>71</v>
      </c>
      <c r="I134" t="str">
        <f>VLOOKUP(A134,Planilha6!$BL$9:$BN$222,2,0)</f>
        <v>crude_oil</v>
      </c>
      <c r="J134" t="str">
        <f>VLOOKUP(A134,Planilha6!$BL$9:$BN$222,3,0)</f>
        <v>very_low_beta</v>
      </c>
      <c r="K134" s="41">
        <v>0</v>
      </c>
      <c r="L134" s="42">
        <v>-3.0000000000000001E-3</v>
      </c>
      <c r="M134" s="41">
        <f>VLOOKUP(A134,'Mandato Ibov'!$B$1:$C$215,2,0)</f>
        <v>0</v>
      </c>
      <c r="N134" s="59">
        <f t="shared" si="17"/>
        <v>0</v>
      </c>
      <c r="O134" s="42">
        <f t="shared" si="18"/>
        <v>0</v>
      </c>
      <c r="P134" s="59">
        <f>VLOOKUP(A134,'Mandato Ibov'!$B$2:$D$215,3,0)</f>
        <v>0</v>
      </c>
      <c r="Q134" s="42">
        <f t="shared" si="19"/>
        <v>0</v>
      </c>
      <c r="R134" s="15">
        <v>-0.55000000000000004</v>
      </c>
      <c r="S134" s="15">
        <v>-0.51300000000000001</v>
      </c>
      <c r="T134" s="15">
        <v>-0.89200000000000002</v>
      </c>
      <c r="U134" s="15">
        <v>-0.23200000000000001</v>
      </c>
      <c r="V134" s="15">
        <v>-0.57699999999999996</v>
      </c>
      <c r="W134" s="15">
        <v>-0.44900000000000001</v>
      </c>
      <c r="X134" s="15">
        <v>-0.50900000000000001</v>
      </c>
      <c r="Y134" s="15">
        <v>-0.72899999999999998</v>
      </c>
      <c r="Z134" s="15">
        <v>0.438</v>
      </c>
      <c r="AA134" s="15">
        <v>0.438</v>
      </c>
      <c r="AB134" s="15">
        <v>0.54900000000000004</v>
      </c>
      <c r="AC134" s="15">
        <v>0.81</v>
      </c>
      <c r="AD134" s="15">
        <v>0.56999999999999995</v>
      </c>
      <c r="AE134" s="14">
        <v>-0.224</v>
      </c>
      <c r="AF134" s="15">
        <v>0.505</v>
      </c>
      <c r="AG134" s="15">
        <v>0.627</v>
      </c>
      <c r="AH134" s="15">
        <v>-0.55400000000000005</v>
      </c>
      <c r="AI134" s="15">
        <v>-0.54</v>
      </c>
      <c r="AJ134" s="16">
        <v>-0.61199999999999999</v>
      </c>
      <c r="AK134" s="4">
        <v>7.6999999999999999E-2</v>
      </c>
      <c r="AL134" s="4">
        <v>-1</v>
      </c>
      <c r="AM134" s="4">
        <v>0.10299999999999999</v>
      </c>
      <c r="AN134" s="4">
        <v>0.495</v>
      </c>
      <c r="AO134" s="4">
        <v>0.44400000000000001</v>
      </c>
      <c r="AP134" s="4">
        <v>0.317</v>
      </c>
      <c r="AQ134" s="4">
        <v>0.30299999999999999</v>
      </c>
      <c r="AR134" s="4">
        <v>0.39600000000000002</v>
      </c>
      <c r="AS134" s="4">
        <v>3.5000000000000003E-2</v>
      </c>
      <c r="AT134" s="4">
        <v>-0.105</v>
      </c>
      <c r="AU134" s="4">
        <v>0.129</v>
      </c>
      <c r="AV134" s="4">
        <v>0.18099999999999999</v>
      </c>
      <c r="AW134" s="4">
        <v>9.4E-2</v>
      </c>
      <c r="AX134" s="4">
        <v>-0.32700000000000001</v>
      </c>
      <c r="AY134" s="4">
        <v>0.51800000000000002</v>
      </c>
      <c r="AZ134" s="4">
        <v>-0.95099999999999996</v>
      </c>
      <c r="BA134" s="4">
        <v>0.35899999999999999</v>
      </c>
      <c r="BB134" s="4">
        <v>-0.376</v>
      </c>
      <c r="BC134" s="4">
        <v>-3.3000000000000002E-2</v>
      </c>
      <c r="BD134" s="4">
        <v>-0.251</v>
      </c>
      <c r="BE134" s="4">
        <v>-0.44500000000000001</v>
      </c>
      <c r="BF134" s="4">
        <v>0.39</v>
      </c>
      <c r="BG134" s="4">
        <v>0.19800000000000001</v>
      </c>
      <c r="BH134" s="4">
        <v>0.16500000000000001</v>
      </c>
      <c r="BI134" s="4">
        <v>-0.77900000000000003</v>
      </c>
      <c r="BJ134" s="4">
        <v>-0.99</v>
      </c>
      <c r="BK134" s="4">
        <v>0.16500000000000001</v>
      </c>
      <c r="BL134" s="4"/>
      <c r="BM134" s="4">
        <f t="shared" si="20"/>
        <v>-0.20229270000000002</v>
      </c>
    </row>
    <row r="135" spans="1:65" hidden="1" x14ac:dyDescent="0.3">
      <c r="A135" t="s">
        <v>206</v>
      </c>
      <c r="B135" s="53">
        <f>K135</f>
        <v>0</v>
      </c>
      <c r="C135" s="53">
        <f t="shared" si="14"/>
        <v>0</v>
      </c>
      <c r="D135" s="53">
        <f t="shared" si="15"/>
        <v>0</v>
      </c>
      <c r="E135" s="53">
        <f t="shared" si="16"/>
        <v>0</v>
      </c>
      <c r="F135" s="15">
        <v>0.62</v>
      </c>
      <c r="G135">
        <v>0.60099999999999998</v>
      </c>
      <c r="H135" t="s">
        <v>57</v>
      </c>
      <c r="I135" t="str">
        <f>VLOOKUP(A135,Planilha6!$BL$9:$BN$222,2,0)</f>
        <v>financial_services</v>
      </c>
      <c r="J135" t="str">
        <f>VLOOKUP(A135,Planilha6!$BL$9:$BN$222,3,0)</f>
        <v>very_high_beta</v>
      </c>
      <c r="K135" s="41">
        <v>0</v>
      </c>
      <c r="L135" s="42">
        <v>0</v>
      </c>
      <c r="M135" s="41">
        <f>VLOOKUP(A135,'Mandato Ibov'!$B$1:$C$215,2,0)</f>
        <v>0</v>
      </c>
      <c r="N135" s="59">
        <f t="shared" si="17"/>
        <v>0</v>
      </c>
      <c r="O135" s="42">
        <f t="shared" si="18"/>
        <v>0</v>
      </c>
      <c r="P135" s="59">
        <f>VLOOKUP(A135,'Mandato Ibov'!$B$2:$D$215,3,0)</f>
        <v>0</v>
      </c>
      <c r="Q135" s="42">
        <f t="shared" si="19"/>
        <v>0</v>
      </c>
      <c r="R135" s="15">
        <v>-0.51200000000000001</v>
      </c>
      <c r="S135" s="15">
        <v>-0.49099999999999999</v>
      </c>
      <c r="T135" s="15">
        <v>-0.747</v>
      </c>
      <c r="U135" s="15">
        <v>-0.52300000000000002</v>
      </c>
      <c r="V135" s="15">
        <v>-0.58299999999999996</v>
      </c>
      <c r="W135" s="15">
        <v>-0.48099999999999998</v>
      </c>
      <c r="X135" s="15">
        <v>-0.42</v>
      </c>
      <c r="Y135" s="15">
        <v>-0.628</v>
      </c>
      <c r="Z135" s="15">
        <v>0.26400000000000001</v>
      </c>
      <c r="AA135" s="15">
        <v>0.26300000000000001</v>
      </c>
      <c r="AB135" s="15">
        <v>0.66500000000000004</v>
      </c>
      <c r="AC135" s="15">
        <v>0.70699999999999996</v>
      </c>
      <c r="AD135" s="15">
        <v>0.505</v>
      </c>
      <c r="AE135" s="14">
        <v>-0.439</v>
      </c>
      <c r="AF135" s="15">
        <v>0.26600000000000001</v>
      </c>
      <c r="AG135" s="15">
        <v>-0.22800000000000001</v>
      </c>
      <c r="AH135" s="15">
        <v>-0.85099999999999998</v>
      </c>
      <c r="AI135" s="15">
        <v>-0.91500000000000004</v>
      </c>
      <c r="AJ135" s="16">
        <v>-0.93600000000000005</v>
      </c>
      <c r="AK135" s="4">
        <v>0.109</v>
      </c>
      <c r="AL135" s="4">
        <v>-0.60699999999999998</v>
      </c>
      <c r="AM135" s="4">
        <v>-0.41799999999999998</v>
      </c>
      <c r="AN135" s="4">
        <v>0.35299999999999998</v>
      </c>
      <c r="AO135" s="4">
        <v>-0.13300000000000001</v>
      </c>
      <c r="AP135" s="4">
        <v>0.28699999999999998</v>
      </c>
      <c r="AQ135" s="4">
        <v>9.7000000000000003E-2</v>
      </c>
      <c r="AR135" s="4">
        <v>5.6000000000000001E-2</v>
      </c>
      <c r="AS135" s="4">
        <v>0.5</v>
      </c>
      <c r="AT135" s="4">
        <v>1.4999999999999999E-2</v>
      </c>
      <c r="AU135" s="4">
        <v>-2.1999999999999999E-2</v>
      </c>
      <c r="AV135" s="4">
        <v>-7.3999999999999996E-2</v>
      </c>
      <c r="AW135" s="4">
        <v>6.4000000000000001E-2</v>
      </c>
      <c r="AX135" s="4">
        <v>-0.10199999999999999</v>
      </c>
      <c r="AY135" s="4">
        <v>3.9E-2</v>
      </c>
      <c r="AZ135" s="4">
        <v>0.06</v>
      </c>
      <c r="BA135" s="4">
        <v>0.54200000000000004</v>
      </c>
      <c r="BB135" s="4">
        <v>-0.308</v>
      </c>
      <c r="BC135" s="4">
        <v>2.3E-2</v>
      </c>
      <c r="BD135" s="4">
        <v>-6.9000000000000006E-2</v>
      </c>
      <c r="BE135" s="4">
        <v>1E-3</v>
      </c>
      <c r="BF135" s="4">
        <v>0.155</v>
      </c>
      <c r="BG135" s="4">
        <v>0.34799999999999998</v>
      </c>
      <c r="BH135" s="4">
        <v>-0.13</v>
      </c>
      <c r="BI135" s="4">
        <v>0.34599999999999997</v>
      </c>
      <c r="BJ135" s="4">
        <v>0.18</v>
      </c>
      <c r="BK135" s="4">
        <v>-0.5</v>
      </c>
      <c r="BL135" s="4"/>
      <c r="BM135" s="4">
        <f t="shared" si="20"/>
        <v>-0.20164759999999993</v>
      </c>
    </row>
    <row r="136" spans="1:65" x14ac:dyDescent="0.3">
      <c r="A136" t="s">
        <v>130</v>
      </c>
      <c r="B136" s="53">
        <f>K136</f>
        <v>0</v>
      </c>
      <c r="C136" s="53">
        <f t="shared" si="14"/>
        <v>0</v>
      </c>
      <c r="D136" s="53">
        <f t="shared" si="15"/>
        <v>0</v>
      </c>
      <c r="E136" s="53">
        <f t="shared" si="16"/>
        <v>0</v>
      </c>
      <c r="F136" s="15">
        <v>0.61799999999999999</v>
      </c>
      <c r="G136">
        <v>0.443</v>
      </c>
      <c r="H136" t="s">
        <v>71</v>
      </c>
      <c r="I136" t="str">
        <f>VLOOKUP(A136,Planilha6!$BL$9:$BN$222,2,0)</f>
        <v>basic_materials</v>
      </c>
      <c r="J136" t="str">
        <f>VLOOKUP(A136,Planilha6!$BL$9:$BN$222,3,0)</f>
        <v>very_high_beta</v>
      </c>
      <c r="K136" s="41">
        <v>0</v>
      </c>
      <c r="L136" s="42">
        <v>0</v>
      </c>
      <c r="M136" s="41">
        <f>VLOOKUP(A136,'Mandato Ibov'!$B$1:$C$215,2,0)</f>
        <v>0</v>
      </c>
      <c r="N136" s="59">
        <f t="shared" si="17"/>
        <v>0</v>
      </c>
      <c r="O136" s="42">
        <f t="shared" si="18"/>
        <v>0</v>
      </c>
      <c r="P136" s="59">
        <f>VLOOKUP(A136,'Mandato Ibov'!$B$2:$D$215,3,0)</f>
        <v>0</v>
      </c>
      <c r="Q136" s="42">
        <f t="shared" si="19"/>
        <v>0</v>
      </c>
      <c r="R136" s="15">
        <v>-0.67500000000000004</v>
      </c>
      <c r="S136" s="15">
        <v>-0.375</v>
      </c>
      <c r="T136" s="15">
        <v>-0.90300000000000002</v>
      </c>
      <c r="U136" s="15">
        <v>-0.54900000000000004</v>
      </c>
      <c r="V136" s="15">
        <v>-0.622</v>
      </c>
      <c r="W136" s="15">
        <v>-0.627</v>
      </c>
      <c r="X136" s="15">
        <v>-0.69099999999999995</v>
      </c>
      <c r="Y136" s="15">
        <v>-0.58199999999999996</v>
      </c>
      <c r="Z136" s="15">
        <v>0.60199999999999998</v>
      </c>
      <c r="AA136" s="15">
        <v>0.60099999999999998</v>
      </c>
      <c r="AB136" s="15">
        <v>0.52800000000000002</v>
      </c>
      <c r="AC136" s="15">
        <v>0.75700000000000001</v>
      </c>
      <c r="AD136" s="15">
        <v>0.61399999999999999</v>
      </c>
      <c r="AE136" s="14">
        <v>-0.66500000000000004</v>
      </c>
      <c r="AF136" s="15">
        <v>-0.80700000000000005</v>
      </c>
      <c r="AG136" s="15">
        <v>0.14499999999999999</v>
      </c>
      <c r="AH136" s="15">
        <v>-0.84499999999999997</v>
      </c>
      <c r="AI136" s="15">
        <v>-0.40600000000000003</v>
      </c>
      <c r="AJ136" s="16">
        <v>-0.96799999999999997</v>
      </c>
      <c r="AK136" s="4">
        <v>-7.0000000000000007E-2</v>
      </c>
      <c r="AL136" s="4">
        <v>-0.54</v>
      </c>
      <c r="AM136" s="4">
        <v>-0.496</v>
      </c>
      <c r="AN136" s="4">
        <v>-0.48199999999999998</v>
      </c>
      <c r="AO136" s="4">
        <v>0.79900000000000004</v>
      </c>
      <c r="AP136" s="4">
        <v>0.86499999999999999</v>
      </c>
      <c r="AQ136" s="4">
        <v>0.16400000000000001</v>
      </c>
      <c r="AR136" s="4">
        <v>-0.52200000000000002</v>
      </c>
      <c r="AS136" s="4">
        <v>-1.6E-2</v>
      </c>
      <c r="AT136" s="4">
        <v>0.25700000000000001</v>
      </c>
      <c r="AU136" s="4">
        <v>0.20699999999999999</v>
      </c>
      <c r="AV136" s="4">
        <v>0.14000000000000001</v>
      </c>
      <c r="AW136" s="4">
        <v>0.16400000000000001</v>
      </c>
      <c r="AX136" s="4">
        <v>0.158</v>
      </c>
      <c r="AY136" s="4">
        <v>0.17299999999999999</v>
      </c>
      <c r="AZ136" s="4">
        <v>8.0000000000000002E-3</v>
      </c>
      <c r="BA136" s="4">
        <v>0.46200000000000002</v>
      </c>
      <c r="BB136" s="4">
        <v>-9.8000000000000004E-2</v>
      </c>
      <c r="BC136" s="4">
        <v>0.42599999999999999</v>
      </c>
      <c r="BD136" s="4">
        <v>0.32600000000000001</v>
      </c>
      <c r="BE136" s="4">
        <v>-0.94599999999999995</v>
      </c>
      <c r="BF136" s="4">
        <v>0.35199999999999998</v>
      </c>
      <c r="BG136" s="4">
        <v>-0.70199999999999996</v>
      </c>
      <c r="BH136" s="4">
        <v>-1</v>
      </c>
      <c r="BI136" s="4">
        <v>0.39300000000000002</v>
      </c>
      <c r="BJ136" s="4">
        <v>-4.5999999999999999E-2</v>
      </c>
      <c r="BK136" s="4">
        <v>-0.56499999999999995</v>
      </c>
      <c r="BL136" s="4"/>
      <c r="BM136" s="4">
        <f t="shared" si="20"/>
        <v>-0.20646709999999996</v>
      </c>
    </row>
    <row r="137" spans="1:65" x14ac:dyDescent="0.3">
      <c r="A137" t="s">
        <v>216</v>
      </c>
      <c r="B137" s="53">
        <f>K137</f>
        <v>0</v>
      </c>
      <c r="C137" s="53">
        <f t="shared" si="14"/>
        <v>0</v>
      </c>
      <c r="D137" s="53">
        <f t="shared" si="15"/>
        <v>0</v>
      </c>
      <c r="E137" s="53">
        <f t="shared" si="16"/>
        <v>0</v>
      </c>
      <c r="F137" s="15">
        <v>0.61699999999999999</v>
      </c>
      <c r="G137">
        <v>0.45300000000000001</v>
      </c>
      <c r="H137" t="s">
        <v>71</v>
      </c>
      <c r="I137" t="str">
        <f>VLOOKUP(A137,Planilha6!$BL$9:$BN$222,2,0)</f>
        <v>basic_materials</v>
      </c>
      <c r="J137" t="str">
        <f>VLOOKUP(A137,Planilha6!$BL$9:$BN$222,3,0)</f>
        <v>very_low_beta</v>
      </c>
      <c r="K137" s="41">
        <v>0</v>
      </c>
      <c r="L137" s="42">
        <v>0</v>
      </c>
      <c r="M137" s="41">
        <f>VLOOKUP(A137,'Mandato Ibov'!$B$1:$C$215,2,0)</f>
        <v>0</v>
      </c>
      <c r="N137" s="59">
        <f t="shared" si="17"/>
        <v>0</v>
      </c>
      <c r="O137" s="42">
        <f t="shared" si="18"/>
        <v>0</v>
      </c>
      <c r="P137" s="59">
        <f>VLOOKUP(A137,'Mandato Ibov'!$B$2:$D$215,3,0)</f>
        <v>0</v>
      </c>
      <c r="Q137" s="42">
        <f t="shared" si="19"/>
        <v>0</v>
      </c>
      <c r="R137" s="15">
        <v>-0.71699999999999997</v>
      </c>
      <c r="S137" s="15">
        <v>-0.31</v>
      </c>
      <c r="T137" s="15">
        <v>-0.84899999999999998</v>
      </c>
      <c r="U137" s="15">
        <v>-0.67700000000000005</v>
      </c>
      <c r="V137" s="15">
        <v>-0.61699999999999999</v>
      </c>
      <c r="W137" s="15">
        <v>-0.52800000000000002</v>
      </c>
      <c r="X137" s="15">
        <v>-0.59</v>
      </c>
      <c r="Y137" s="15">
        <v>-0.71</v>
      </c>
      <c r="Z137" s="15">
        <v>0.57699999999999996</v>
      </c>
      <c r="AA137" s="15">
        <v>0.57599999999999996</v>
      </c>
      <c r="AB137" s="15">
        <v>0.46100000000000002</v>
      </c>
      <c r="AC137" s="15">
        <v>0.627</v>
      </c>
      <c r="AD137" s="15">
        <v>0.79900000000000004</v>
      </c>
      <c r="AE137" s="14">
        <v>-0.47199999999999998</v>
      </c>
      <c r="AF137" s="15">
        <v>-0.99199999999999999</v>
      </c>
      <c r="AG137" s="15">
        <v>0.71899999999999997</v>
      </c>
      <c r="AH137" s="15">
        <v>-0.72699999999999998</v>
      </c>
      <c r="AI137" s="15">
        <v>1</v>
      </c>
      <c r="AJ137" s="16">
        <v>-0.877</v>
      </c>
      <c r="AK137" s="4">
        <v>-0.186</v>
      </c>
      <c r="AL137" s="4">
        <v>-1</v>
      </c>
      <c r="AM137" s="4">
        <v>-0.44600000000000001</v>
      </c>
      <c r="AN137" s="4">
        <v>-0.13700000000000001</v>
      </c>
      <c r="AO137" s="4">
        <v>1</v>
      </c>
      <c r="AP137" s="4">
        <v>0.89400000000000002</v>
      </c>
      <c r="AQ137" s="4">
        <v>-0.53500000000000003</v>
      </c>
      <c r="AR137" s="4">
        <v>-0.48699999999999999</v>
      </c>
      <c r="AS137" s="4">
        <v>-0.27600000000000002</v>
      </c>
      <c r="AT137" s="4">
        <v>5.5E-2</v>
      </c>
      <c r="AU137" s="4">
        <v>-0.376</v>
      </c>
      <c r="AV137" s="4">
        <v>-4.5999999999999999E-2</v>
      </c>
      <c r="AW137" s="4">
        <v>-0.22900000000000001</v>
      </c>
      <c r="AX137" s="4">
        <v>-0.247</v>
      </c>
      <c r="AY137" s="4">
        <v>0.67900000000000005</v>
      </c>
      <c r="AZ137" s="4">
        <v>-0.38600000000000001</v>
      </c>
      <c r="BA137" s="4">
        <v>0.48299999999999998</v>
      </c>
      <c r="BB137" s="4">
        <v>4.5999999999999999E-2</v>
      </c>
      <c r="BC137" s="4">
        <v>-0.25600000000000001</v>
      </c>
      <c r="BD137" s="4">
        <v>0.622</v>
      </c>
      <c r="BE137" s="4">
        <v>0.34499999999999997</v>
      </c>
      <c r="BF137" s="4">
        <v>-1.0999999999999999E-2</v>
      </c>
      <c r="BG137" s="4">
        <v>1</v>
      </c>
      <c r="BH137" s="4">
        <v>-0.39100000000000001</v>
      </c>
      <c r="BI137" s="4">
        <v>-1</v>
      </c>
      <c r="BJ137" s="4">
        <v>-0.245</v>
      </c>
      <c r="BK137" s="4">
        <v>0.20899999999999999</v>
      </c>
      <c r="BL137" s="4"/>
      <c r="BM137" s="4">
        <f t="shared" si="20"/>
        <v>-0.2067575999999999</v>
      </c>
    </row>
    <row r="138" spans="1:65" hidden="1" x14ac:dyDescent="0.3">
      <c r="A138" t="s">
        <v>194</v>
      </c>
      <c r="B138" s="53">
        <f t="shared" ref="B138:B201" si="23">K138</f>
        <v>0</v>
      </c>
      <c r="C138" s="53">
        <f t="shared" ref="C138:C201" si="24">B138-E138</f>
        <v>-2E-3</v>
      </c>
      <c r="D138" s="53">
        <f t="shared" ref="D138:D201" si="25">B138-K138</f>
        <v>0</v>
      </c>
      <c r="E138" s="53">
        <f t="shared" ref="E138:E201" si="26">K138-L138</f>
        <v>2E-3</v>
      </c>
      <c r="F138" s="15">
        <v>0.61599999999999999</v>
      </c>
      <c r="G138">
        <v>0.70199999999999996</v>
      </c>
      <c r="H138" t="s">
        <v>57</v>
      </c>
      <c r="I138" t="str">
        <f>VLOOKUP(A138,Planilha6!$BL$9:$BN$222,2,0)</f>
        <v>homebuilders</v>
      </c>
      <c r="J138" t="str">
        <f>VLOOKUP(A138,Planilha6!$BL$9:$BN$222,3,0)</f>
        <v>very_high_beta</v>
      </c>
      <c r="K138" s="41">
        <v>0</v>
      </c>
      <c r="L138" s="42">
        <v>-2E-3</v>
      </c>
      <c r="M138" s="41">
        <f>VLOOKUP(A138,'Mandato Ibov'!$B$1:$C$215,2,0)</f>
        <v>0</v>
      </c>
      <c r="N138" s="59">
        <f t="shared" ref="N138:N201" si="27">K138-M138</f>
        <v>0</v>
      </c>
      <c r="O138" s="42">
        <f t="shared" ref="O138:O201" si="28">B138-M138</f>
        <v>0</v>
      </c>
      <c r="P138" s="59">
        <f>VLOOKUP(A138,'Mandato Ibov'!$B$2:$D$215,3,0)</f>
        <v>0</v>
      </c>
      <c r="Q138" s="42">
        <f t="shared" ref="Q138:Q201" si="29">K138-P138</f>
        <v>0</v>
      </c>
      <c r="R138" s="15">
        <v>-0.64500000000000002</v>
      </c>
      <c r="S138" s="15">
        <v>-0.51200000000000001</v>
      </c>
      <c r="T138" s="15">
        <v>-0.82699999999999996</v>
      </c>
      <c r="U138" s="15">
        <v>-0.48899999999999999</v>
      </c>
      <c r="V138" s="15">
        <v>-0.57699999999999996</v>
      </c>
      <c r="W138" s="15">
        <v>-0.53600000000000003</v>
      </c>
      <c r="X138" s="15">
        <v>-0.45100000000000001</v>
      </c>
      <c r="Y138" s="15">
        <v>-0.443</v>
      </c>
      <c r="Z138" s="15">
        <v>0.246</v>
      </c>
      <c r="AA138" s="15">
        <v>0.247</v>
      </c>
      <c r="AB138" s="15">
        <v>0.72299999999999998</v>
      </c>
      <c r="AC138" s="15">
        <v>0.66400000000000003</v>
      </c>
      <c r="AD138" s="15">
        <v>0.43099999999999999</v>
      </c>
      <c r="AE138" s="14">
        <v>-0.48299999999999998</v>
      </c>
      <c r="AF138" s="15">
        <v>0.32800000000000001</v>
      </c>
      <c r="AG138" s="15">
        <v>-0.157</v>
      </c>
      <c r="AH138" s="15">
        <v>-0.64200000000000002</v>
      </c>
      <c r="AI138" s="15">
        <v>-0.53400000000000003</v>
      </c>
      <c r="AJ138" s="16">
        <v>-0.82799999999999996</v>
      </c>
      <c r="AK138" s="4">
        <v>-0.27300000000000002</v>
      </c>
      <c r="AL138" s="4">
        <v>3.5000000000000003E-2</v>
      </c>
      <c r="AM138" s="4">
        <v>-0.38300000000000001</v>
      </c>
      <c r="AN138" s="4">
        <v>0.217</v>
      </c>
      <c r="AO138" s="4">
        <v>-6.7000000000000004E-2</v>
      </c>
      <c r="AP138" s="4">
        <v>0.27300000000000002</v>
      </c>
      <c r="AQ138" s="4">
        <v>0.45500000000000002</v>
      </c>
      <c r="AR138" s="4">
        <v>0.183</v>
      </c>
      <c r="AS138" s="4">
        <v>0.57399999999999995</v>
      </c>
      <c r="AT138" s="4">
        <v>0.14799999999999999</v>
      </c>
      <c r="AU138" s="4">
        <v>-6.9000000000000006E-2</v>
      </c>
      <c r="AV138" s="4">
        <v>-0.26200000000000001</v>
      </c>
      <c r="AW138" s="4">
        <v>-0.16200000000000001</v>
      </c>
      <c r="AX138" s="4">
        <v>-0.17199999999999999</v>
      </c>
      <c r="AY138" s="4">
        <v>0.84399999999999997</v>
      </c>
      <c r="AZ138" s="4">
        <v>9.8000000000000004E-2</v>
      </c>
      <c r="BA138" s="4">
        <v>0.107</v>
      </c>
      <c r="BB138" s="4">
        <v>-0.70899999999999996</v>
      </c>
      <c r="BC138" s="4">
        <v>-0.61299999999999999</v>
      </c>
      <c r="BD138" s="4">
        <v>-8.6999999999999994E-2</v>
      </c>
      <c r="BE138" s="4">
        <v>0.248</v>
      </c>
      <c r="BF138" s="4">
        <v>6.4000000000000001E-2</v>
      </c>
      <c r="BG138" s="4">
        <v>0.106</v>
      </c>
      <c r="BH138" s="4">
        <v>-0.61299999999999999</v>
      </c>
      <c r="BI138" s="4">
        <v>0.80800000000000005</v>
      </c>
      <c r="BJ138" s="4">
        <v>-0.73</v>
      </c>
      <c r="BK138" s="4">
        <v>-0.38700000000000001</v>
      </c>
      <c r="BL138" s="4"/>
      <c r="BM138" s="4">
        <f t="shared" ref="BM138:BM201" si="30">SUMPRODUCT(R138:AD138,$R$225:$AD$225)</f>
        <v>-0.20960720000000005</v>
      </c>
    </row>
    <row r="139" spans="1:65" hidden="1" x14ac:dyDescent="0.3">
      <c r="A139" t="s">
        <v>153</v>
      </c>
      <c r="B139" s="53">
        <f t="shared" si="23"/>
        <v>0</v>
      </c>
      <c r="C139" s="53">
        <f t="shared" si="24"/>
        <v>-1.0999999999999999E-2</v>
      </c>
      <c r="D139" s="53">
        <f t="shared" si="25"/>
        <v>0</v>
      </c>
      <c r="E139" s="53">
        <f t="shared" si="26"/>
        <v>1.0999999999999999E-2</v>
      </c>
      <c r="F139" s="15">
        <v>0.61499999999999999</v>
      </c>
      <c r="G139">
        <v>0.94</v>
      </c>
      <c r="H139" t="s">
        <v>57</v>
      </c>
      <c r="I139" t="str">
        <f>VLOOKUP(A139,Planilha6!$BL$9:$BN$222,2,0)</f>
        <v>consumer_services</v>
      </c>
      <c r="J139" t="str">
        <f>VLOOKUP(A139,Planilha6!$BL$9:$BN$222,3,0)</f>
        <v>very_low_beta</v>
      </c>
      <c r="K139" s="41">
        <v>0</v>
      </c>
      <c r="L139" s="42">
        <v>-1.0999999999999999E-2</v>
      </c>
      <c r="M139" s="41">
        <f>VLOOKUP(A139,'Mandato Ibov'!$B$1:$C$215,2,0)</f>
        <v>0</v>
      </c>
      <c r="N139" s="59">
        <f t="shared" si="27"/>
        <v>0</v>
      </c>
      <c r="O139" s="42">
        <f t="shared" si="28"/>
        <v>0</v>
      </c>
      <c r="P139" s="59">
        <f>VLOOKUP(A139,'Mandato Ibov'!$B$2:$D$215,3,0)</f>
        <v>0</v>
      </c>
      <c r="Q139" s="42">
        <f t="shared" si="29"/>
        <v>0</v>
      </c>
      <c r="R139" s="15">
        <v>-0.78</v>
      </c>
      <c r="S139" s="15">
        <v>-0.36</v>
      </c>
      <c r="T139" s="15">
        <v>-0.94399999999999995</v>
      </c>
      <c r="U139" s="15">
        <v>-0.59199999999999997</v>
      </c>
      <c r="V139" s="15">
        <v>-0.63100000000000001</v>
      </c>
      <c r="W139" s="15">
        <v>-0.61499999999999999</v>
      </c>
      <c r="X139" s="15">
        <v>-0.53100000000000003</v>
      </c>
      <c r="Y139" s="15">
        <v>-0.54600000000000004</v>
      </c>
      <c r="Z139" s="15">
        <v>0.61499999999999999</v>
      </c>
      <c r="AA139" s="15">
        <v>0.62</v>
      </c>
      <c r="AB139" s="15">
        <v>0.57499999999999996</v>
      </c>
      <c r="AC139" s="15">
        <v>0.72599999999999998</v>
      </c>
      <c r="AD139" s="15">
        <v>0.59499999999999997</v>
      </c>
      <c r="AE139" s="14">
        <v>-0.64700000000000002</v>
      </c>
      <c r="AF139" s="15">
        <v>-0.52300000000000002</v>
      </c>
      <c r="AG139" s="15">
        <v>0.53200000000000003</v>
      </c>
      <c r="AH139" s="15">
        <v>-0.91100000000000003</v>
      </c>
      <c r="AI139" s="15">
        <v>-0.38900000000000001</v>
      </c>
      <c r="AJ139" s="16">
        <v>-0.95199999999999996</v>
      </c>
      <c r="AK139" s="4">
        <v>-0.01</v>
      </c>
      <c r="AL139" s="4">
        <v>-0.45500000000000002</v>
      </c>
      <c r="AM139" s="4">
        <v>-0.47499999999999998</v>
      </c>
      <c r="AN139" s="4">
        <v>-5.5E-2</v>
      </c>
      <c r="AO139" s="4">
        <v>0.56599999999999995</v>
      </c>
      <c r="AP139" s="4">
        <v>0.91400000000000003</v>
      </c>
      <c r="AQ139" s="4">
        <v>0.32400000000000001</v>
      </c>
      <c r="AR139" s="4">
        <v>-0.63</v>
      </c>
      <c r="AS139" s="4">
        <v>-0.63700000000000001</v>
      </c>
      <c r="AT139" s="4">
        <v>0.52600000000000002</v>
      </c>
      <c r="AU139" s="4">
        <v>-0.49299999999999999</v>
      </c>
      <c r="AV139" s="4">
        <v>-0.16200000000000001</v>
      </c>
      <c r="AW139" s="4">
        <v>8.5999999999999993E-2</v>
      </c>
      <c r="AX139" s="4">
        <v>-0.224</v>
      </c>
      <c r="AY139" s="4">
        <v>0.92700000000000005</v>
      </c>
      <c r="AZ139" s="4">
        <v>-0.26700000000000002</v>
      </c>
      <c r="BA139" s="4">
        <v>0.63700000000000001</v>
      </c>
      <c r="BB139" s="4">
        <v>-0.438</v>
      </c>
      <c r="BC139" s="4">
        <v>-0.64200000000000002</v>
      </c>
      <c r="BD139" s="4">
        <v>0.17499999999999999</v>
      </c>
      <c r="BE139" s="4">
        <v>-0.39800000000000002</v>
      </c>
      <c r="BF139" s="4">
        <v>0.29699999999999999</v>
      </c>
      <c r="BG139" s="4">
        <v>0.65800000000000003</v>
      </c>
      <c r="BH139" s="4">
        <v>-0.57999999999999996</v>
      </c>
      <c r="BI139" s="4">
        <v>-0.57599999999999996</v>
      </c>
      <c r="BJ139" s="4">
        <v>-0.218</v>
      </c>
      <c r="BK139" s="4">
        <v>-0.38900000000000001</v>
      </c>
      <c r="BL139" s="4"/>
      <c r="BM139" s="4">
        <f t="shared" si="30"/>
        <v>-0.21035750000000003</v>
      </c>
    </row>
    <row r="140" spans="1:65" x14ac:dyDescent="0.3">
      <c r="A140" t="s">
        <v>222</v>
      </c>
      <c r="B140" s="53">
        <f t="shared" si="23"/>
        <v>0</v>
      </c>
      <c r="C140" s="53">
        <f t="shared" si="24"/>
        <v>-0.01</v>
      </c>
      <c r="D140" s="53">
        <f t="shared" si="25"/>
        <v>0</v>
      </c>
      <c r="E140" s="53">
        <f t="shared" si="26"/>
        <v>0.01</v>
      </c>
      <c r="F140" s="15">
        <v>0.61199999999999999</v>
      </c>
      <c r="G140">
        <v>0.91300000000000003</v>
      </c>
      <c r="H140" t="s">
        <v>71</v>
      </c>
      <c r="I140" t="str">
        <f>VLOOKUP(A140,Planilha6!$BL$9:$BN$222,2,0)</f>
        <v>basic_materials</v>
      </c>
      <c r="J140" t="str">
        <f>VLOOKUP(A140,Planilha6!$BL$9:$BN$222,3,0)</f>
        <v>very_low_beta</v>
      </c>
      <c r="K140" s="41">
        <v>0</v>
      </c>
      <c r="L140" s="42">
        <v>-0.01</v>
      </c>
      <c r="M140" s="41">
        <f>VLOOKUP(A140,'Mandato Ibov'!$B$1:$C$215,2,0)</f>
        <v>0</v>
      </c>
      <c r="N140" s="59">
        <f t="shared" si="27"/>
        <v>0</v>
      </c>
      <c r="O140" s="42">
        <f t="shared" si="28"/>
        <v>0</v>
      </c>
      <c r="P140" s="59">
        <f>VLOOKUP(A140,'Mandato Ibov'!$B$2:$D$215,3,0)</f>
        <v>0</v>
      </c>
      <c r="Q140" s="42">
        <f t="shared" si="29"/>
        <v>0</v>
      </c>
      <c r="R140" s="15">
        <v>-0.85699999999999998</v>
      </c>
      <c r="S140" s="15">
        <v>-0.59099999999999997</v>
      </c>
      <c r="T140" s="15">
        <v>-0.98099999999999998</v>
      </c>
      <c r="U140" s="15">
        <v>-0.71399999999999997</v>
      </c>
      <c r="V140" s="15">
        <v>-0.748</v>
      </c>
      <c r="W140" s="15">
        <v>-0.505</v>
      </c>
      <c r="X140" s="15">
        <v>-0.13600000000000001</v>
      </c>
      <c r="Y140" s="15">
        <v>-0.55800000000000005</v>
      </c>
      <c r="Z140" s="15">
        <v>0.80300000000000005</v>
      </c>
      <c r="AA140" s="15">
        <v>0.80700000000000005</v>
      </c>
      <c r="AB140" s="15">
        <v>0.67100000000000004</v>
      </c>
      <c r="AC140" s="15">
        <v>0.68799999999999994</v>
      </c>
      <c r="AD140" s="15">
        <v>0.44600000000000001</v>
      </c>
      <c r="AE140" s="14">
        <v>-0.53300000000000003</v>
      </c>
      <c r="AF140" s="15">
        <v>-0.54800000000000004</v>
      </c>
      <c r="AG140" s="15">
        <v>-0.14899999999999999</v>
      </c>
      <c r="AH140" s="15">
        <v>-0.86799999999999999</v>
      </c>
      <c r="AI140" s="15">
        <v>-0.94</v>
      </c>
      <c r="AJ140" s="16">
        <v>-1</v>
      </c>
      <c r="AK140" s="4">
        <v>0.13200000000000001</v>
      </c>
      <c r="AL140" s="4">
        <v>-0.56999999999999995</v>
      </c>
      <c r="AM140" s="4">
        <v>-0.36399999999999999</v>
      </c>
      <c r="AN140" s="4">
        <v>9.9000000000000005E-2</v>
      </c>
      <c r="AO140" s="4">
        <v>4.8000000000000001E-2</v>
      </c>
      <c r="AP140" s="4">
        <v>-0.16700000000000001</v>
      </c>
      <c r="AQ140" s="4">
        <v>-0.312</v>
      </c>
      <c r="AR140" s="4">
        <v>0.47299999999999998</v>
      </c>
      <c r="AS140" s="4">
        <v>2.3E-2</v>
      </c>
      <c r="AT140" s="4">
        <v>0.24099999999999999</v>
      </c>
      <c r="AU140" s="4">
        <v>0.219</v>
      </c>
      <c r="AV140" s="4">
        <v>-0.23899999999999999</v>
      </c>
      <c r="AW140" s="4">
        <v>0.95799999999999996</v>
      </c>
      <c r="AX140" s="4">
        <v>-0.41099999999999998</v>
      </c>
      <c r="AY140" s="4">
        <v>0.38700000000000001</v>
      </c>
      <c r="AZ140" s="4">
        <v>-1</v>
      </c>
      <c r="BA140" s="4">
        <v>-0.48499999999999999</v>
      </c>
      <c r="BB140" s="4">
        <v>-0.123</v>
      </c>
      <c r="BC140" s="4">
        <v>-0.26300000000000001</v>
      </c>
      <c r="BD140" s="4">
        <v>0.126</v>
      </c>
      <c r="BE140" s="4">
        <v>1</v>
      </c>
      <c r="BF140" s="4">
        <v>0.88500000000000001</v>
      </c>
      <c r="BG140" s="4">
        <v>0.84399999999999997</v>
      </c>
      <c r="BH140" s="4">
        <v>-0.24399999999999999</v>
      </c>
      <c r="BI140" s="4">
        <v>-0.64700000000000002</v>
      </c>
      <c r="BJ140" s="4">
        <v>-0.34200000000000003</v>
      </c>
      <c r="BK140" s="4">
        <v>-0.67</v>
      </c>
      <c r="BL140" s="4"/>
      <c r="BM140" s="4">
        <f t="shared" si="30"/>
        <v>-0.21713739999999998</v>
      </c>
    </row>
    <row r="141" spans="1:65" x14ac:dyDescent="0.3">
      <c r="A141" t="s">
        <v>179</v>
      </c>
      <c r="B141" s="53">
        <f t="shared" si="23"/>
        <v>0</v>
      </c>
      <c r="C141" s="53">
        <f t="shared" si="24"/>
        <v>-1E-3</v>
      </c>
      <c r="D141" s="53">
        <f t="shared" si="25"/>
        <v>0</v>
      </c>
      <c r="E141" s="53">
        <f t="shared" si="26"/>
        <v>1E-3</v>
      </c>
      <c r="F141" s="15">
        <v>0.61</v>
      </c>
      <c r="G141">
        <v>0.49399999999999999</v>
      </c>
      <c r="H141" t="s">
        <v>71</v>
      </c>
      <c r="I141" t="str">
        <f>VLOOKUP(A141,Planilha6!$BL$9:$BN$222,2,0)</f>
        <v>basic_materials</v>
      </c>
      <c r="J141" t="str">
        <f>VLOOKUP(A141,Planilha6!$BL$9:$BN$222,3,0)</f>
        <v>neutral_beta</v>
      </c>
      <c r="K141" s="41">
        <v>0</v>
      </c>
      <c r="L141" s="42">
        <v>-1E-3</v>
      </c>
      <c r="M141" s="41">
        <f>VLOOKUP(A141,'Mandato Ibov'!$B$1:$C$215,2,0)</f>
        <v>0</v>
      </c>
      <c r="N141" s="59">
        <f t="shared" si="27"/>
        <v>0</v>
      </c>
      <c r="O141" s="42">
        <f t="shared" si="28"/>
        <v>0</v>
      </c>
      <c r="P141" s="59">
        <f>VLOOKUP(A141,'Mandato Ibov'!$B$2:$D$215,3,0)</f>
        <v>0</v>
      </c>
      <c r="Q141" s="42">
        <f t="shared" si="29"/>
        <v>0</v>
      </c>
      <c r="R141" s="15">
        <v>-0.65600000000000003</v>
      </c>
      <c r="S141" s="15">
        <v>-0.63600000000000001</v>
      </c>
      <c r="T141" s="15">
        <v>-0.84699999999999998</v>
      </c>
      <c r="U141" s="15">
        <v>-0.53200000000000003</v>
      </c>
      <c r="V141" s="15">
        <v>-0.67200000000000004</v>
      </c>
      <c r="W141" s="15">
        <v>-0.61099999999999999</v>
      </c>
      <c r="X141" s="15">
        <v>-0.69899999999999995</v>
      </c>
      <c r="Y141" s="15">
        <v>-0.73699999999999999</v>
      </c>
      <c r="Z141" s="15">
        <v>0.60299999999999998</v>
      </c>
      <c r="AA141" s="15">
        <v>0.60799999999999998</v>
      </c>
      <c r="AB141" s="15">
        <v>0.61399999999999999</v>
      </c>
      <c r="AC141" s="15">
        <v>0.90600000000000003</v>
      </c>
      <c r="AD141" s="15">
        <v>0.69299999999999995</v>
      </c>
      <c r="AE141" s="14">
        <v>-0.215</v>
      </c>
      <c r="AF141" s="15">
        <v>-0.22600000000000001</v>
      </c>
      <c r="AG141" s="15">
        <v>0.77800000000000002</v>
      </c>
      <c r="AH141" s="15">
        <v>-0.52100000000000002</v>
      </c>
      <c r="AI141" s="15">
        <v>-0.42399999999999999</v>
      </c>
      <c r="AJ141" s="16">
        <v>-0.86199999999999999</v>
      </c>
      <c r="AK141" s="4">
        <v>-0.34399999999999997</v>
      </c>
      <c r="AL141" s="4">
        <v>-0.63600000000000001</v>
      </c>
      <c r="AM141" s="4">
        <v>0.5</v>
      </c>
      <c r="AN141" s="4">
        <v>-0.52800000000000002</v>
      </c>
      <c r="AO141" s="4">
        <v>0.505</v>
      </c>
      <c r="AP141" s="4">
        <v>-9.8000000000000004E-2</v>
      </c>
      <c r="AQ141" s="4">
        <v>-0.434</v>
      </c>
      <c r="AR141" s="4">
        <v>0.748</v>
      </c>
      <c r="AS141" s="4">
        <v>0.43099999999999999</v>
      </c>
      <c r="AT141" s="4">
        <v>-0.109</v>
      </c>
      <c r="AU141" s="4">
        <v>-0.60299999999999998</v>
      </c>
      <c r="AV141" s="4">
        <v>-9.2999999999999999E-2</v>
      </c>
      <c r="AW141" s="4">
        <v>-5.3999999999999999E-2</v>
      </c>
      <c r="AX141" s="4">
        <v>-0.159</v>
      </c>
      <c r="AY141" s="4">
        <v>0.753</v>
      </c>
      <c r="AZ141" s="4">
        <v>-1</v>
      </c>
      <c r="BA141" s="4">
        <v>0.26400000000000001</v>
      </c>
      <c r="BB141" s="4">
        <v>0.45700000000000002</v>
      </c>
      <c r="BC141" s="4">
        <v>0.16300000000000001</v>
      </c>
      <c r="BD141" s="4">
        <v>0.314</v>
      </c>
      <c r="BE141" s="4">
        <v>-2.5000000000000001E-2</v>
      </c>
      <c r="BF141" s="4">
        <v>0.23799999999999999</v>
      </c>
      <c r="BG141" s="4">
        <v>0.39200000000000002</v>
      </c>
      <c r="BH141" s="4">
        <v>0.03</v>
      </c>
      <c r="BI141" s="4">
        <v>-0.26700000000000002</v>
      </c>
      <c r="BJ141" s="4">
        <v>-0.40200000000000002</v>
      </c>
      <c r="BK141" s="4">
        <v>0.11799999999999999</v>
      </c>
      <c r="BL141" s="4"/>
      <c r="BM141" s="4">
        <f t="shared" si="30"/>
        <v>-0.21998650000000003</v>
      </c>
    </row>
    <row r="142" spans="1:65" hidden="1" x14ac:dyDescent="0.3">
      <c r="A142" t="s">
        <v>190</v>
      </c>
      <c r="B142" s="53">
        <f t="shared" si="23"/>
        <v>0</v>
      </c>
      <c r="C142" s="53">
        <f t="shared" si="24"/>
        <v>0</v>
      </c>
      <c r="D142" s="53">
        <f t="shared" si="25"/>
        <v>0</v>
      </c>
      <c r="E142" s="53">
        <f t="shared" si="26"/>
        <v>0</v>
      </c>
      <c r="F142" s="15">
        <v>0.60699999999999998</v>
      </c>
      <c r="G142">
        <v>0.438</v>
      </c>
      <c r="H142" t="s">
        <v>68</v>
      </c>
      <c r="I142" t="str">
        <f>VLOOKUP(A142,Planilha6!$BL$9:$BN$222,2,0)</f>
        <v>capital_goods</v>
      </c>
      <c r="J142" t="str">
        <f>VLOOKUP(A142,Planilha6!$BL$9:$BN$222,3,0)</f>
        <v>very_high_beta</v>
      </c>
      <c r="K142" s="41">
        <v>0</v>
      </c>
      <c r="L142" s="42">
        <v>0</v>
      </c>
      <c r="M142" s="41">
        <f>VLOOKUP(A142,'Mandato Ibov'!$B$1:$C$215,2,0)</f>
        <v>0</v>
      </c>
      <c r="N142" s="59">
        <f t="shared" si="27"/>
        <v>0</v>
      </c>
      <c r="O142" s="42">
        <f t="shared" si="28"/>
        <v>0</v>
      </c>
      <c r="P142" s="59">
        <f>VLOOKUP(A142,'Mandato Ibov'!$B$2:$D$215,3,0)</f>
        <v>0</v>
      </c>
      <c r="Q142" s="42">
        <f t="shared" si="29"/>
        <v>0</v>
      </c>
      <c r="R142" s="15">
        <v>-0.22900000000000001</v>
      </c>
      <c r="S142" s="15">
        <v>-0.626</v>
      </c>
      <c r="T142" s="15">
        <v>-0.24099999999999999</v>
      </c>
      <c r="U142" s="15">
        <v>-0.46300000000000002</v>
      </c>
      <c r="V142" s="15">
        <v>-0.58199999999999996</v>
      </c>
      <c r="W142" s="15">
        <v>-0.74199999999999999</v>
      </c>
      <c r="X142" s="15">
        <v>-0.78400000000000003</v>
      </c>
      <c r="Y142" s="15">
        <v>-0.72899999999999998</v>
      </c>
      <c r="Z142" s="15">
        <v>0.193</v>
      </c>
      <c r="AA142" s="15">
        <v>0.188</v>
      </c>
      <c r="AB142" s="15">
        <v>0.64900000000000002</v>
      </c>
      <c r="AC142" s="15">
        <v>0.17899999999999999</v>
      </c>
      <c r="AD142" s="15">
        <v>0.47799999999999998</v>
      </c>
      <c r="AE142" s="14">
        <v>-0.60099999999999998</v>
      </c>
      <c r="AF142" s="15">
        <v>-0.215</v>
      </c>
      <c r="AG142" s="15">
        <v>0.26500000000000001</v>
      </c>
      <c r="AH142" s="15">
        <v>-8.6999999999999994E-2</v>
      </c>
      <c r="AI142" s="15">
        <v>1</v>
      </c>
      <c r="AJ142" s="16">
        <v>-0.68</v>
      </c>
      <c r="AK142" s="4">
        <v>-0.19800000000000001</v>
      </c>
      <c r="AL142" s="4">
        <v>-5.1999999999999998E-2</v>
      </c>
      <c r="AM142" s="4">
        <v>-0.38900000000000001</v>
      </c>
      <c r="AN142" s="4">
        <v>0.56200000000000006</v>
      </c>
      <c r="AO142" s="4">
        <v>0.54800000000000004</v>
      </c>
      <c r="AP142" s="4">
        <v>0.58299999999999996</v>
      </c>
      <c r="AQ142" s="4">
        <v>-6.5000000000000002E-2</v>
      </c>
      <c r="AR142" s="4">
        <v>0.50600000000000001</v>
      </c>
      <c r="AS142" s="4">
        <v>0.24299999999999999</v>
      </c>
      <c r="AT142" s="4">
        <v>2.1999999999999999E-2</v>
      </c>
      <c r="AU142" s="4">
        <v>-0.10100000000000001</v>
      </c>
      <c r="AV142" s="4">
        <v>-0.33300000000000002</v>
      </c>
      <c r="AW142" s="4">
        <v>-0.66700000000000004</v>
      </c>
      <c r="AX142" s="4">
        <v>-9.2999999999999999E-2</v>
      </c>
      <c r="AY142" s="4">
        <v>0.44700000000000001</v>
      </c>
      <c r="AZ142" s="4">
        <v>-0.79100000000000004</v>
      </c>
      <c r="BA142" s="4">
        <v>-0.38900000000000001</v>
      </c>
      <c r="BB142" s="4">
        <v>-0.29399999999999998</v>
      </c>
      <c r="BC142" s="4">
        <v>-0.251</v>
      </c>
      <c r="BD142" s="4">
        <v>0.121</v>
      </c>
      <c r="BE142" s="4">
        <v>-0.41499999999999998</v>
      </c>
      <c r="BF142" s="4">
        <v>-1</v>
      </c>
      <c r="BG142" s="4">
        <v>-0.85299999999999998</v>
      </c>
      <c r="BH142" s="4">
        <v>0.39500000000000002</v>
      </c>
      <c r="BI142" s="4">
        <v>1</v>
      </c>
      <c r="BJ142" s="4">
        <v>0.60599999999999998</v>
      </c>
      <c r="BK142" s="4">
        <v>0.28499999999999998</v>
      </c>
      <c r="BL142" s="4"/>
      <c r="BM142" s="4">
        <f t="shared" si="30"/>
        <v>-0.22602269999999999</v>
      </c>
    </row>
    <row r="143" spans="1:65" hidden="1" x14ac:dyDescent="0.3">
      <c r="A143" t="s">
        <v>141</v>
      </c>
      <c r="B143" s="53">
        <f t="shared" si="23"/>
        <v>0</v>
      </c>
      <c r="C143" s="53">
        <f t="shared" si="24"/>
        <v>-1E-3</v>
      </c>
      <c r="D143" s="53">
        <f t="shared" si="25"/>
        <v>0</v>
      </c>
      <c r="E143" s="53">
        <f t="shared" si="26"/>
        <v>1E-3</v>
      </c>
      <c r="F143" s="15">
        <v>0.60399999999999998</v>
      </c>
      <c r="G143">
        <v>0.46700000000000003</v>
      </c>
      <c r="H143" t="s">
        <v>57</v>
      </c>
      <c r="I143" t="str">
        <f>VLOOKUP(A143,Planilha6!$BL$9:$BN$222,2,0)</f>
        <v>education</v>
      </c>
      <c r="J143" t="str">
        <f>VLOOKUP(A143,Planilha6!$BL$9:$BN$222,3,0)</f>
        <v>high_beta</v>
      </c>
      <c r="K143" s="41">
        <v>0</v>
      </c>
      <c r="L143" s="42">
        <v>-1E-3</v>
      </c>
      <c r="M143" s="41">
        <f>VLOOKUP(A143,'Mandato Ibov'!$B$1:$C$215,2,0)</f>
        <v>0</v>
      </c>
      <c r="N143" s="59">
        <f t="shared" si="27"/>
        <v>0</v>
      </c>
      <c r="O143" s="42">
        <f t="shared" si="28"/>
        <v>0</v>
      </c>
      <c r="P143" s="59">
        <f>VLOOKUP(A143,'Mandato Ibov'!$B$2:$D$215,3,0)</f>
        <v>0</v>
      </c>
      <c r="Q143" s="42">
        <f t="shared" si="29"/>
        <v>0</v>
      </c>
      <c r="R143" s="15">
        <v>-0.434</v>
      </c>
      <c r="S143" s="15">
        <v>-0.56799999999999995</v>
      </c>
      <c r="T143" s="15">
        <v>-0.41699999999999998</v>
      </c>
      <c r="U143" s="15">
        <v>-0.33200000000000002</v>
      </c>
      <c r="V143" s="15">
        <v>-0.41699999999999998</v>
      </c>
      <c r="W143" s="15">
        <v>-0.44600000000000001</v>
      </c>
      <c r="X143" s="15">
        <v>-0.375</v>
      </c>
      <c r="Y143" s="15">
        <v>-0.49299999999999999</v>
      </c>
      <c r="Z143" s="15">
        <v>-9.6000000000000002E-2</v>
      </c>
      <c r="AA143" s="15">
        <v>-9.4E-2</v>
      </c>
      <c r="AB143" s="15">
        <v>0.54400000000000004</v>
      </c>
      <c r="AC143" s="15">
        <v>0.56000000000000005</v>
      </c>
      <c r="AD143" s="15">
        <v>0.16</v>
      </c>
      <c r="AE143" s="14">
        <v>0.376</v>
      </c>
      <c r="AF143" s="15">
        <v>0.42899999999999999</v>
      </c>
      <c r="AG143" s="15">
        <v>-0.59599999999999997</v>
      </c>
      <c r="AH143" s="15">
        <v>9.7000000000000003E-2</v>
      </c>
      <c r="AI143" s="15">
        <v>-0.61599999999999999</v>
      </c>
      <c r="AJ143" s="16">
        <v>0.58899999999999997</v>
      </c>
      <c r="AK143" s="4">
        <v>0.27800000000000002</v>
      </c>
      <c r="AL143" s="4">
        <v>-0.17100000000000001</v>
      </c>
      <c r="AM143" s="4">
        <v>-0.39200000000000002</v>
      </c>
      <c r="AN143" s="4">
        <v>0.79400000000000004</v>
      </c>
      <c r="AO143" s="4">
        <v>-0.41199999999999998</v>
      </c>
      <c r="AP143" s="4">
        <v>-0.44400000000000001</v>
      </c>
      <c r="AQ143" s="4">
        <v>0.437</v>
      </c>
      <c r="AR143" s="4">
        <v>-0.92500000000000004</v>
      </c>
      <c r="AS143" s="4">
        <v>-0.56299999999999994</v>
      </c>
      <c r="AT143" s="4">
        <v>0.30399999999999999</v>
      </c>
      <c r="AU143" s="4">
        <v>-2.4E-2</v>
      </c>
      <c r="AV143" s="4">
        <v>0.30199999999999999</v>
      </c>
      <c r="AW143" s="4">
        <v>-0.44600000000000001</v>
      </c>
      <c r="AX143" s="4">
        <v>-0.432</v>
      </c>
      <c r="AY143" s="4">
        <v>0.79900000000000004</v>
      </c>
      <c r="AZ143" s="4">
        <v>0.27800000000000002</v>
      </c>
      <c r="BA143" s="4">
        <v>-0.15</v>
      </c>
      <c r="BB143" s="4">
        <v>0.24299999999999999</v>
      </c>
      <c r="BC143" s="4">
        <v>6.5000000000000002E-2</v>
      </c>
      <c r="BD143" s="4">
        <v>0.111</v>
      </c>
      <c r="BE143" s="4">
        <v>-0.34599999999999997</v>
      </c>
      <c r="BF143" s="4">
        <v>-7.6999999999999999E-2</v>
      </c>
      <c r="BG143" s="4">
        <v>0.316</v>
      </c>
      <c r="BH143" s="4">
        <v>-0.124</v>
      </c>
      <c r="BI143" s="4">
        <v>0.27100000000000002</v>
      </c>
      <c r="BJ143" s="4">
        <v>-0.54300000000000004</v>
      </c>
      <c r="BK143" s="4">
        <v>7.0000000000000001E-3</v>
      </c>
      <c r="BL143" s="4"/>
      <c r="BM143" s="4">
        <f t="shared" si="30"/>
        <v>-0.23277749999999997</v>
      </c>
    </row>
    <row r="144" spans="1:65" hidden="1" x14ac:dyDescent="0.3">
      <c r="A144" t="s">
        <v>193</v>
      </c>
      <c r="B144" s="53">
        <f t="shared" si="23"/>
        <v>0</v>
      </c>
      <c r="C144" s="53">
        <f t="shared" si="24"/>
        <v>-7.0000000000000001E-3</v>
      </c>
      <c r="D144" s="53">
        <f t="shared" si="25"/>
        <v>0</v>
      </c>
      <c r="E144" s="53">
        <f t="shared" si="26"/>
        <v>7.0000000000000001E-3</v>
      </c>
      <c r="F144" s="15">
        <v>0.60299999999999998</v>
      </c>
      <c r="G144">
        <v>1.052</v>
      </c>
      <c r="H144" t="s">
        <v>55</v>
      </c>
      <c r="I144" t="str">
        <f>VLOOKUP(A144,Planilha6!$BL$9:$BN$222,2,0)</f>
        <v>utilities</v>
      </c>
      <c r="J144" t="str">
        <f>VLOOKUP(A144,Planilha6!$BL$9:$BN$222,3,0)</f>
        <v>neutral_beta</v>
      </c>
      <c r="K144" s="41">
        <v>0</v>
      </c>
      <c r="L144" s="42">
        <v>-7.0000000000000001E-3</v>
      </c>
      <c r="M144" s="41">
        <f>VLOOKUP(A144,'Mandato Ibov'!$B$1:$C$215,2,0)</f>
        <v>0</v>
      </c>
      <c r="N144" s="59">
        <f t="shared" si="27"/>
        <v>0</v>
      </c>
      <c r="O144" s="42">
        <f t="shared" si="28"/>
        <v>0</v>
      </c>
      <c r="P144" s="59">
        <f>VLOOKUP(A144,'Mandato Ibov'!$B$2:$D$215,3,0)</f>
        <v>0</v>
      </c>
      <c r="Q144" s="42">
        <f t="shared" si="29"/>
        <v>0</v>
      </c>
      <c r="R144" s="15">
        <v>-0.86499999999999999</v>
      </c>
      <c r="S144" s="15">
        <v>-0.29099999999999998</v>
      </c>
      <c r="T144" s="15">
        <v>-0.94699999999999995</v>
      </c>
      <c r="U144" s="15">
        <v>-0.749</v>
      </c>
      <c r="V144" s="15">
        <v>-0.64300000000000002</v>
      </c>
      <c r="W144" s="15">
        <v>-0.625</v>
      </c>
      <c r="X144" s="15">
        <v>-0.41099999999999998</v>
      </c>
      <c r="Y144" s="15">
        <v>-0.39500000000000002</v>
      </c>
      <c r="Z144" s="15">
        <v>0.435</v>
      </c>
      <c r="AA144" s="15">
        <v>0.44400000000000001</v>
      </c>
      <c r="AB144" s="15">
        <v>0.64500000000000002</v>
      </c>
      <c r="AC144" s="15">
        <v>0.55200000000000005</v>
      </c>
      <c r="AD144" s="15">
        <v>0.46100000000000002</v>
      </c>
      <c r="AE144" s="14">
        <v>-0.83399999999999996</v>
      </c>
      <c r="AF144" s="15">
        <v>-0.77700000000000002</v>
      </c>
      <c r="AG144" s="15">
        <v>0.69</v>
      </c>
      <c r="AH144" s="15">
        <v>-0.89600000000000002</v>
      </c>
      <c r="AI144" s="15">
        <v>-0.39400000000000002</v>
      </c>
      <c r="AJ144" s="16">
        <v>-0.98599999999999999</v>
      </c>
      <c r="AK144" s="4">
        <v>-0.245</v>
      </c>
      <c r="AL144" s="4">
        <v>-0.45500000000000002</v>
      </c>
      <c r="AM144" s="4">
        <v>-0.41399999999999998</v>
      </c>
      <c r="AN144" s="4">
        <v>-0.49</v>
      </c>
      <c r="AO144" s="4">
        <v>0.45300000000000001</v>
      </c>
      <c r="AP144" s="4">
        <v>0.68799999999999994</v>
      </c>
      <c r="AQ144" s="4">
        <v>-0.128</v>
      </c>
      <c r="AR144" s="4">
        <v>-0.33</v>
      </c>
      <c r="AS144" s="4">
        <v>-0.80900000000000005</v>
      </c>
      <c r="AT144" s="4">
        <v>0.16300000000000001</v>
      </c>
      <c r="AU144" s="4">
        <v>-0.124</v>
      </c>
      <c r="AV144" s="4">
        <v>-0.438</v>
      </c>
      <c r="AW144" s="4">
        <v>0.48899999999999999</v>
      </c>
      <c r="AX144" s="4">
        <v>-0.72499999999999998</v>
      </c>
      <c r="AY144" s="4">
        <v>0.94199999999999995</v>
      </c>
      <c r="AZ144" s="4">
        <v>0.26800000000000002</v>
      </c>
      <c r="BA144" s="4">
        <v>-0.56599999999999995</v>
      </c>
      <c r="BB144" s="4">
        <v>-0.33500000000000002</v>
      </c>
      <c r="BC144" s="4">
        <v>-0.53500000000000003</v>
      </c>
      <c r="BD144" s="4">
        <v>0.11899999999999999</v>
      </c>
      <c r="BE144" s="4">
        <v>-0.113</v>
      </c>
      <c r="BF144" s="4">
        <v>0.55400000000000005</v>
      </c>
      <c r="BG144" s="4">
        <v>0.77600000000000002</v>
      </c>
      <c r="BH144" s="4">
        <v>-0.433</v>
      </c>
      <c r="BI144" s="4">
        <v>2.4E-2</v>
      </c>
      <c r="BJ144" s="4">
        <v>-0.214</v>
      </c>
      <c r="BK144" s="4">
        <v>-0.22700000000000001</v>
      </c>
      <c r="BL144" s="4"/>
      <c r="BM144" s="4">
        <f t="shared" si="30"/>
        <v>-0.23444200000000001</v>
      </c>
    </row>
    <row r="145" spans="1:65" hidden="1" x14ac:dyDescent="0.3">
      <c r="A145" t="s">
        <v>234</v>
      </c>
      <c r="B145" s="53">
        <f t="shared" si="23"/>
        <v>0</v>
      </c>
      <c r="C145" s="53">
        <f t="shared" si="24"/>
        <v>-2E-3</v>
      </c>
      <c r="D145" s="53">
        <f t="shared" si="25"/>
        <v>0</v>
      </c>
      <c r="E145" s="53">
        <f t="shared" si="26"/>
        <v>2E-3</v>
      </c>
      <c r="F145" s="15">
        <v>0.6</v>
      </c>
      <c r="G145">
        <v>0.626</v>
      </c>
      <c r="H145" t="s">
        <v>55</v>
      </c>
      <c r="I145" t="str">
        <f>VLOOKUP(A145,Planilha6!$BL$9:$BN$222,2,0)</f>
        <v>utilities</v>
      </c>
      <c r="J145" t="str">
        <f>VLOOKUP(A145,Planilha6!$BL$9:$BN$222,3,0)</f>
        <v>neutral_beta</v>
      </c>
      <c r="K145" s="41">
        <v>0</v>
      </c>
      <c r="L145" s="42">
        <v>-2E-3</v>
      </c>
      <c r="M145" s="41">
        <f>VLOOKUP(A145,'Mandato Ibov'!$B$1:$C$215,2,0)</f>
        <v>0</v>
      </c>
      <c r="N145" s="59">
        <f t="shared" si="27"/>
        <v>0</v>
      </c>
      <c r="O145" s="42">
        <f t="shared" si="28"/>
        <v>0</v>
      </c>
      <c r="P145" s="59">
        <f>VLOOKUP(A145,'Mandato Ibov'!$B$2:$D$215,3,0)</f>
        <v>0</v>
      </c>
      <c r="Q145" s="42">
        <f t="shared" si="29"/>
        <v>0</v>
      </c>
      <c r="R145" s="15">
        <v>-0.80200000000000005</v>
      </c>
      <c r="S145" s="15">
        <v>-0.55300000000000005</v>
      </c>
      <c r="T145" s="15">
        <v>-0.84899999999999998</v>
      </c>
      <c r="U145" s="15">
        <v>-0.77</v>
      </c>
      <c r="V145" s="15">
        <v>-0.68899999999999995</v>
      </c>
      <c r="W145" s="15">
        <v>-0.629</v>
      </c>
      <c r="X145" s="15">
        <v>-0.53900000000000003</v>
      </c>
      <c r="Y145" s="15">
        <v>-0.42599999999999999</v>
      </c>
      <c r="Z145" s="15">
        <v>0.48399999999999999</v>
      </c>
      <c r="AA145" s="15">
        <v>0.48399999999999999</v>
      </c>
      <c r="AB145" s="15">
        <v>0.55500000000000005</v>
      </c>
      <c r="AC145" s="15">
        <v>0.58799999999999997</v>
      </c>
      <c r="AD145" s="15">
        <v>0.49299999999999999</v>
      </c>
      <c r="AE145" s="14">
        <v>-0.89800000000000002</v>
      </c>
      <c r="AF145" s="15">
        <v>-0.59499999999999997</v>
      </c>
      <c r="AG145" s="15">
        <v>-0.20100000000000001</v>
      </c>
      <c r="AH145" s="15">
        <v>-0.89200000000000002</v>
      </c>
      <c r="AI145" s="15">
        <v>-0.39200000000000002</v>
      </c>
      <c r="AJ145" s="16">
        <v>-0.94699999999999995</v>
      </c>
      <c r="AK145" s="4">
        <v>-0.376</v>
      </c>
      <c r="AL145" s="4">
        <v>-0.111</v>
      </c>
      <c r="AM145" s="4">
        <v>-0.28499999999999998</v>
      </c>
      <c r="AN145" s="4">
        <v>-0.36099999999999999</v>
      </c>
      <c r="AO145" s="4">
        <v>0.38400000000000001</v>
      </c>
      <c r="AP145" s="4">
        <v>0.41499999999999998</v>
      </c>
      <c r="AQ145" s="4">
        <v>-0.19400000000000001</v>
      </c>
      <c r="AR145" s="4">
        <v>0.72299999999999998</v>
      </c>
      <c r="AS145" s="4">
        <v>0.11899999999999999</v>
      </c>
      <c r="AT145" s="4">
        <v>-0.23300000000000001</v>
      </c>
      <c r="AU145" s="4">
        <v>-0.42499999999999999</v>
      </c>
      <c r="AV145" s="4">
        <v>-0.45500000000000002</v>
      </c>
      <c r="AW145" s="4">
        <v>0.58699999999999997</v>
      </c>
      <c r="AX145" s="4">
        <v>-0.65900000000000003</v>
      </c>
      <c r="AY145" s="4">
        <v>-0.192</v>
      </c>
      <c r="AZ145" s="4">
        <v>0.222</v>
      </c>
      <c r="BA145" s="4">
        <v>-0.34100000000000003</v>
      </c>
      <c r="BB145" s="4">
        <v>8.4000000000000005E-2</v>
      </c>
      <c r="BC145" s="4">
        <v>-0.24099999999999999</v>
      </c>
      <c r="BD145" s="4">
        <v>0.106</v>
      </c>
      <c r="BE145" s="4">
        <v>-0.60499999999999998</v>
      </c>
      <c r="BF145" s="4">
        <v>0.219</v>
      </c>
      <c r="BG145" s="4">
        <v>0.44900000000000001</v>
      </c>
      <c r="BH145" s="4">
        <v>-0.29499999999999998</v>
      </c>
      <c r="BI145" s="4">
        <v>3.1E-2</v>
      </c>
      <c r="BJ145" s="4">
        <v>6.4000000000000001E-2</v>
      </c>
      <c r="BK145" s="4">
        <v>5.8000000000000003E-2</v>
      </c>
      <c r="BL145" s="4"/>
      <c r="BM145" s="4">
        <f t="shared" si="30"/>
        <v>-0.23996609999999996</v>
      </c>
    </row>
    <row r="146" spans="1:65" hidden="1" x14ac:dyDescent="0.3">
      <c r="A146" t="s">
        <v>200</v>
      </c>
      <c r="B146" s="53">
        <f t="shared" si="23"/>
        <v>0</v>
      </c>
      <c r="C146" s="53">
        <f t="shared" si="24"/>
        <v>-6.0000000000000001E-3</v>
      </c>
      <c r="D146" s="53">
        <f t="shared" si="25"/>
        <v>0</v>
      </c>
      <c r="E146" s="53">
        <f t="shared" si="26"/>
        <v>6.0000000000000001E-3</v>
      </c>
      <c r="F146" s="15">
        <v>0.59799999999999998</v>
      </c>
      <c r="G146">
        <v>0.95699999999999996</v>
      </c>
      <c r="H146" t="s">
        <v>55</v>
      </c>
      <c r="I146" t="str">
        <f>VLOOKUP(A146,Planilha6!$BL$9:$BN$222,2,0)</f>
        <v>transportation</v>
      </c>
      <c r="J146" t="str">
        <f>VLOOKUP(A146,Planilha6!$BL$9:$BN$222,3,0)</f>
        <v>high_beta</v>
      </c>
      <c r="K146" s="41">
        <v>0</v>
      </c>
      <c r="L146" s="42">
        <v>-6.0000000000000001E-3</v>
      </c>
      <c r="M146" s="41">
        <f>VLOOKUP(A146,'Mandato Ibov'!$B$1:$C$215,2,0)</f>
        <v>0</v>
      </c>
      <c r="N146" s="59">
        <f t="shared" si="27"/>
        <v>0</v>
      </c>
      <c r="O146" s="42">
        <f t="shared" si="28"/>
        <v>0</v>
      </c>
      <c r="P146" s="59">
        <f>VLOOKUP(A146,'Mandato Ibov'!$B$2:$D$215,3,0)</f>
        <v>0</v>
      </c>
      <c r="Q146" s="42">
        <f t="shared" si="29"/>
        <v>0</v>
      </c>
      <c r="R146" s="15">
        <v>-0.73199999999999998</v>
      </c>
      <c r="S146" s="15">
        <v>-0.374</v>
      </c>
      <c r="T146" s="15">
        <v>-0.88700000000000001</v>
      </c>
      <c r="U146" s="15">
        <v>-0.71199999999999997</v>
      </c>
      <c r="V146" s="15">
        <v>-0.66700000000000004</v>
      </c>
      <c r="W146" s="15">
        <v>-0.46200000000000002</v>
      </c>
      <c r="X146" s="15">
        <v>-0.17499999999999999</v>
      </c>
      <c r="Y146" s="15">
        <v>-0.51700000000000002</v>
      </c>
      <c r="Z146" s="15">
        <v>0.21099999999999999</v>
      </c>
      <c r="AA146" s="15">
        <v>0.217</v>
      </c>
      <c r="AB146" s="15">
        <v>0.55600000000000005</v>
      </c>
      <c r="AC146" s="15">
        <v>0.59899999999999998</v>
      </c>
      <c r="AD146" s="15">
        <v>0.39</v>
      </c>
      <c r="AE146" s="14">
        <v>-0.55000000000000004</v>
      </c>
      <c r="AF146" s="15">
        <v>-0.65</v>
      </c>
      <c r="AG146" s="15">
        <v>-0.16300000000000001</v>
      </c>
      <c r="AH146" s="15">
        <v>-0.92500000000000004</v>
      </c>
      <c r="AI146" s="15">
        <v>-0.73499999999999999</v>
      </c>
      <c r="AJ146" s="16">
        <v>-0.99199999999999999</v>
      </c>
      <c r="AK146" s="4">
        <v>-0.20200000000000001</v>
      </c>
      <c r="AL146" s="4">
        <v>-0.58099999999999996</v>
      </c>
      <c r="AM146" s="4">
        <v>-0.55100000000000005</v>
      </c>
      <c r="AN146" s="4">
        <v>-0.188</v>
      </c>
      <c r="AO146" s="4">
        <v>9.6000000000000002E-2</v>
      </c>
      <c r="AP146" s="4">
        <v>0.29199999999999998</v>
      </c>
      <c r="AQ146" s="4">
        <v>-0.16700000000000001</v>
      </c>
      <c r="AR146" s="4">
        <v>0.57099999999999995</v>
      </c>
      <c r="AS146" s="4">
        <v>-9.9000000000000005E-2</v>
      </c>
      <c r="AT146" s="4">
        <v>0.20499999999999999</v>
      </c>
      <c r="AU146" s="4">
        <v>8.8999999999999996E-2</v>
      </c>
      <c r="AV146" s="4">
        <v>-0.122</v>
      </c>
      <c r="AW146" s="4">
        <v>0.33400000000000002</v>
      </c>
      <c r="AX146" s="4">
        <v>-0.70299999999999996</v>
      </c>
      <c r="AY146" s="4">
        <v>0.78600000000000003</v>
      </c>
      <c r="AZ146" s="4">
        <v>0.14499999999999999</v>
      </c>
      <c r="BA146" s="4">
        <v>0.76300000000000001</v>
      </c>
      <c r="BB146" s="4">
        <v>-0.40600000000000003</v>
      </c>
      <c r="BC146" s="4">
        <v>-0.45400000000000001</v>
      </c>
      <c r="BD146" s="4">
        <v>0.22800000000000001</v>
      </c>
      <c r="BE146" s="4">
        <v>-0.43099999999999999</v>
      </c>
      <c r="BF146" s="4">
        <v>-0.14699999999999999</v>
      </c>
      <c r="BG146" s="4">
        <v>0.66200000000000003</v>
      </c>
      <c r="BH146" s="4">
        <v>-0.35099999999999998</v>
      </c>
      <c r="BI146" s="4">
        <v>0.52200000000000002</v>
      </c>
      <c r="BJ146" s="4">
        <v>-0.20399999999999999</v>
      </c>
      <c r="BK146" s="4">
        <v>-0.68799999999999994</v>
      </c>
      <c r="BL146" s="4"/>
      <c r="BM146" s="4">
        <f t="shared" si="30"/>
        <v>-0.24472929999999987</v>
      </c>
    </row>
    <row r="147" spans="1:65" hidden="1" x14ac:dyDescent="0.3">
      <c r="A147" t="s">
        <v>208</v>
      </c>
      <c r="B147" s="53">
        <f t="shared" si="23"/>
        <v>0</v>
      </c>
      <c r="C147" s="53">
        <f t="shared" si="24"/>
        <v>0</v>
      </c>
      <c r="D147" s="53">
        <f t="shared" si="25"/>
        <v>0</v>
      </c>
      <c r="E147" s="53">
        <f t="shared" si="26"/>
        <v>0</v>
      </c>
      <c r="F147" s="15">
        <v>0.59499999999999997</v>
      </c>
      <c r="G147">
        <v>0.42899999999999999</v>
      </c>
      <c r="H147" t="s">
        <v>57</v>
      </c>
      <c r="I147" t="str">
        <f>VLOOKUP(A147,Planilha6!$BL$9:$BN$222,2,0)</f>
        <v>consumer_services</v>
      </c>
      <c r="J147" t="str">
        <f>VLOOKUP(A147,Planilha6!$BL$9:$BN$222,3,0)</f>
        <v>very_high_beta</v>
      </c>
      <c r="K147" s="41">
        <v>0</v>
      </c>
      <c r="L147" s="42">
        <v>0</v>
      </c>
      <c r="M147" s="41">
        <f>VLOOKUP(A147,'Mandato Ibov'!$B$1:$C$215,2,0)</f>
        <v>0</v>
      </c>
      <c r="N147" s="59">
        <f t="shared" si="27"/>
        <v>0</v>
      </c>
      <c r="O147" s="42">
        <f t="shared" si="28"/>
        <v>0</v>
      </c>
      <c r="P147" s="59">
        <f>VLOOKUP(A147,'Mandato Ibov'!$B$2:$D$215,3,0)</f>
        <v>0</v>
      </c>
      <c r="Q147" s="42">
        <f t="shared" si="29"/>
        <v>0</v>
      </c>
      <c r="R147" s="15">
        <v>-0.55300000000000005</v>
      </c>
      <c r="S147" s="15">
        <v>-0.52</v>
      </c>
      <c r="T147" s="15">
        <v>-0.73099999999999998</v>
      </c>
      <c r="U147" s="15">
        <v>-0.442</v>
      </c>
      <c r="V147" s="15">
        <v>-0.58099999999999996</v>
      </c>
      <c r="W147" s="15">
        <v>-0.71199999999999997</v>
      </c>
      <c r="X147" s="15">
        <v>-0.754</v>
      </c>
      <c r="Y147" s="15">
        <v>-0.72599999999999998</v>
      </c>
      <c r="Z147" s="15">
        <v>0.33</v>
      </c>
      <c r="AA147" s="15">
        <v>0.32900000000000001</v>
      </c>
      <c r="AB147" s="15">
        <v>0.54600000000000004</v>
      </c>
      <c r="AC147" s="15">
        <v>0.58799999999999997</v>
      </c>
      <c r="AD147" s="15">
        <v>0.6</v>
      </c>
      <c r="AE147" s="14">
        <v>-0.16500000000000001</v>
      </c>
      <c r="AF147" s="15">
        <v>-0.253</v>
      </c>
      <c r="AG147" s="15">
        <v>0.36299999999999999</v>
      </c>
      <c r="AH147" s="15">
        <v>-0.434</v>
      </c>
      <c r="AI147" s="15">
        <v>0.45500000000000002</v>
      </c>
      <c r="AJ147" s="16">
        <v>-0.84599999999999997</v>
      </c>
      <c r="AK147" s="4">
        <v>0.1</v>
      </c>
      <c r="AL147" s="4">
        <v>-0.433</v>
      </c>
      <c r="AM147" s="4">
        <v>-0.22600000000000001</v>
      </c>
      <c r="AN147" s="4">
        <v>0.13</v>
      </c>
      <c r="AO147" s="4">
        <v>0.44400000000000001</v>
      </c>
      <c r="AP147" s="4">
        <v>0.751</v>
      </c>
      <c r="AQ147" s="4">
        <v>4.7E-2</v>
      </c>
      <c r="AR147" s="4">
        <v>0.27300000000000002</v>
      </c>
      <c r="AS147" s="4">
        <v>0.27500000000000002</v>
      </c>
      <c r="AT147" s="4">
        <v>0.221</v>
      </c>
      <c r="AU147" s="4">
        <v>-0.27900000000000003</v>
      </c>
      <c r="AV147" s="4">
        <v>-4.7E-2</v>
      </c>
      <c r="AW147" s="4">
        <v>-0.92600000000000005</v>
      </c>
      <c r="AX147" s="4">
        <v>-0.54300000000000004</v>
      </c>
      <c r="AY147" s="4">
        <v>9.8000000000000004E-2</v>
      </c>
      <c r="AZ147" s="4">
        <v>-2.1999999999999999E-2</v>
      </c>
      <c r="BA147" s="4">
        <v>-0.435</v>
      </c>
      <c r="BB147" s="4">
        <v>-0.23699999999999999</v>
      </c>
      <c r="BC147" s="4">
        <v>-0.60899999999999999</v>
      </c>
      <c r="BD147" s="4">
        <v>0.59199999999999997</v>
      </c>
      <c r="BE147" s="4">
        <v>-0.45900000000000002</v>
      </c>
      <c r="BF147" s="4">
        <v>-0.17</v>
      </c>
      <c r="BG147" s="4">
        <v>-0.187</v>
      </c>
      <c r="BH147" s="4">
        <v>-0.35099999999999998</v>
      </c>
      <c r="BI147" s="4">
        <v>0.69699999999999995</v>
      </c>
      <c r="BJ147" s="4">
        <v>-0.55500000000000005</v>
      </c>
      <c r="BK147" s="4">
        <v>8.3000000000000004E-2</v>
      </c>
      <c r="BL147" s="4"/>
      <c r="BM147" s="4">
        <f t="shared" si="30"/>
        <v>-0.24967829999999996</v>
      </c>
    </row>
    <row r="148" spans="1:65" hidden="1" x14ac:dyDescent="0.3">
      <c r="A148" t="s">
        <v>277</v>
      </c>
      <c r="B148" s="53">
        <f t="shared" si="23"/>
        <v>0</v>
      </c>
      <c r="C148" s="53">
        <f t="shared" si="24"/>
        <v>0</v>
      </c>
      <c r="D148" s="53">
        <f t="shared" si="25"/>
        <v>0</v>
      </c>
      <c r="E148" s="53">
        <f t="shared" si="26"/>
        <v>0</v>
      </c>
      <c r="F148" s="15">
        <v>0.58899999999999997</v>
      </c>
      <c r="G148">
        <v>0.54400000000000004</v>
      </c>
      <c r="H148" t="s">
        <v>55</v>
      </c>
      <c r="I148" t="str">
        <f>VLOOKUP(A148,Planilha6!$BL$9:$BN$222,2,0)</f>
        <v>telecom</v>
      </c>
      <c r="J148" t="str">
        <f>VLOOKUP(A148,Planilha6!$BL$9:$BN$222,3,0)</f>
        <v>low_beta</v>
      </c>
      <c r="K148" s="41">
        <v>0</v>
      </c>
      <c r="L148" s="42">
        <v>0</v>
      </c>
      <c r="M148" s="41">
        <f>VLOOKUP(A148,'Mandato Ibov'!$B$1:$C$215,2,0)</f>
        <v>0</v>
      </c>
      <c r="N148" s="59">
        <f t="shared" si="27"/>
        <v>0</v>
      </c>
      <c r="O148" s="42">
        <f t="shared" si="28"/>
        <v>0</v>
      </c>
      <c r="P148" s="59">
        <f>VLOOKUP(A148,'Mandato Ibov'!$B$2:$D$215,3,0)</f>
        <v>0</v>
      </c>
      <c r="Q148" s="42">
        <f t="shared" si="29"/>
        <v>0</v>
      </c>
      <c r="R148" s="15">
        <v>-0.67500000000000004</v>
      </c>
      <c r="S148" s="15">
        <v>-0.44500000000000001</v>
      </c>
      <c r="T148" s="15">
        <v>-0.70699999999999996</v>
      </c>
      <c r="U148" s="15">
        <v>-0.77700000000000002</v>
      </c>
      <c r="V148" s="15">
        <v>-0.69</v>
      </c>
      <c r="W148" s="15">
        <v>-0.64400000000000002</v>
      </c>
      <c r="X148" s="15">
        <v>-0.54100000000000004</v>
      </c>
      <c r="Y148" s="15">
        <v>-0.71499999999999997</v>
      </c>
      <c r="Z148" s="15">
        <v>0.36299999999999999</v>
      </c>
      <c r="AA148" s="15">
        <v>0.36899999999999999</v>
      </c>
      <c r="AB148" s="15">
        <v>0.52500000000000002</v>
      </c>
      <c r="AC148" s="15">
        <v>0.59699999999999998</v>
      </c>
      <c r="AD148" s="15">
        <v>0.58199999999999996</v>
      </c>
      <c r="AE148" s="14">
        <v>-1</v>
      </c>
      <c r="AF148" s="15">
        <v>-0.99199999999999999</v>
      </c>
      <c r="AG148" s="15">
        <v>0.10100000000000001</v>
      </c>
      <c r="AH148" s="15">
        <v>-0.70699999999999996</v>
      </c>
      <c r="AI148" s="15">
        <v>0.03</v>
      </c>
      <c r="AJ148" s="16">
        <v>-0.42799999999999999</v>
      </c>
      <c r="AK148" s="4">
        <v>-0.28499999999999998</v>
      </c>
      <c r="AL148" s="4">
        <v>-0.79900000000000004</v>
      </c>
      <c r="AM148" s="4">
        <v>-0.504</v>
      </c>
      <c r="AN148" s="4">
        <v>-0.35</v>
      </c>
      <c r="AO148" s="4">
        <v>0.47899999999999998</v>
      </c>
      <c r="AP148" s="4">
        <v>0.31900000000000001</v>
      </c>
      <c r="AQ148" s="4">
        <v>-3.4000000000000002E-2</v>
      </c>
      <c r="AR148" s="4">
        <v>8.4000000000000005E-2</v>
      </c>
      <c r="AS148" s="4">
        <v>-0.26200000000000001</v>
      </c>
      <c r="AT148" s="4">
        <v>0.152</v>
      </c>
      <c r="AU148" s="4">
        <v>0.13700000000000001</v>
      </c>
      <c r="AV148" s="4">
        <v>-0.65</v>
      </c>
      <c r="AW148" s="4">
        <v>0.191</v>
      </c>
      <c r="AX148" s="4">
        <v>0.10299999999999999</v>
      </c>
      <c r="AY148" s="4">
        <v>0.59699999999999998</v>
      </c>
      <c r="AZ148" s="4">
        <v>-0.32400000000000001</v>
      </c>
      <c r="BA148" s="4">
        <v>0.57199999999999995</v>
      </c>
      <c r="BB148" s="4">
        <v>1.9E-2</v>
      </c>
      <c r="BC148" s="4">
        <v>-0.20100000000000001</v>
      </c>
      <c r="BD148" s="4">
        <v>0.42099999999999999</v>
      </c>
      <c r="BE148" s="4">
        <v>4.7E-2</v>
      </c>
      <c r="BF148" s="4">
        <v>0.373</v>
      </c>
      <c r="BG148" s="4">
        <v>0.40799999999999997</v>
      </c>
      <c r="BH148" s="4">
        <v>-5.0999999999999997E-2</v>
      </c>
      <c r="BI148" s="4">
        <v>-0.22</v>
      </c>
      <c r="BJ148" s="4">
        <v>0.76200000000000001</v>
      </c>
      <c r="BK148" s="4">
        <v>-9.1999999999999998E-2</v>
      </c>
      <c r="BL148" s="4"/>
      <c r="BM148" s="4">
        <f t="shared" si="30"/>
        <v>-0.26326820000000001</v>
      </c>
    </row>
    <row r="149" spans="1:65" hidden="1" x14ac:dyDescent="0.3">
      <c r="A149" t="s">
        <v>148</v>
      </c>
      <c r="B149" s="53">
        <f t="shared" si="23"/>
        <v>0</v>
      </c>
      <c r="C149" s="53">
        <f t="shared" si="24"/>
        <v>0</v>
      </c>
      <c r="D149" s="53">
        <f t="shared" si="25"/>
        <v>0</v>
      </c>
      <c r="E149" s="53">
        <f t="shared" si="26"/>
        <v>0</v>
      </c>
      <c r="F149" s="15">
        <v>0.58899999999999997</v>
      </c>
      <c r="G149">
        <v>0.53100000000000003</v>
      </c>
      <c r="H149" t="s">
        <v>68</v>
      </c>
      <c r="I149" t="str">
        <f>VLOOKUP(A149,Planilha6!$BL$9:$BN$222,2,0)</f>
        <v>capital_goods</v>
      </c>
      <c r="J149" t="str">
        <f>VLOOKUP(A149,Planilha6!$BL$9:$BN$222,3,0)</f>
        <v>high_beta</v>
      </c>
      <c r="K149" s="41">
        <v>0</v>
      </c>
      <c r="L149" s="42">
        <v>0</v>
      </c>
      <c r="M149" s="41">
        <f>VLOOKUP(A149,'Mandato Ibov'!$B$1:$C$215,2,0)</f>
        <v>0</v>
      </c>
      <c r="N149" s="59">
        <f t="shared" si="27"/>
        <v>0</v>
      </c>
      <c r="O149" s="42">
        <f t="shared" si="28"/>
        <v>0</v>
      </c>
      <c r="P149" s="59">
        <f>VLOOKUP(A149,'Mandato Ibov'!$B$2:$D$215,3,0)</f>
        <v>0</v>
      </c>
      <c r="Q149" s="42">
        <f t="shared" si="29"/>
        <v>0</v>
      </c>
      <c r="R149" s="15">
        <v>-0.81200000000000006</v>
      </c>
      <c r="S149" s="15">
        <v>-0.64100000000000001</v>
      </c>
      <c r="T149" s="15">
        <v>-0.79100000000000004</v>
      </c>
      <c r="U149" s="15">
        <v>-0.79300000000000004</v>
      </c>
      <c r="V149" s="15">
        <v>-0.70399999999999996</v>
      </c>
      <c r="W149" s="15">
        <v>-0.69299999999999995</v>
      </c>
      <c r="X149" s="15">
        <v>-0.52400000000000002</v>
      </c>
      <c r="Y149" s="15">
        <v>-0.40600000000000003</v>
      </c>
      <c r="Z149" s="15">
        <v>0.497</v>
      </c>
      <c r="AA149" s="15">
        <v>0.496</v>
      </c>
      <c r="AB149" s="15">
        <v>0.45400000000000001</v>
      </c>
      <c r="AC149" s="15">
        <v>0.45900000000000002</v>
      </c>
      <c r="AD149" s="15">
        <v>0.42399999999999999</v>
      </c>
      <c r="AE149" s="14">
        <v>-0.68500000000000005</v>
      </c>
      <c r="AF149" s="15">
        <v>-0.89700000000000002</v>
      </c>
      <c r="AG149" s="15">
        <v>-0.755</v>
      </c>
      <c r="AH149" s="15">
        <v>-0.23300000000000001</v>
      </c>
      <c r="AI149" s="15">
        <v>-0.19600000000000001</v>
      </c>
      <c r="AJ149" s="16">
        <v>-0.23300000000000001</v>
      </c>
      <c r="AK149" s="4">
        <v>-0.16500000000000001</v>
      </c>
      <c r="AL149" s="4">
        <v>8.6999999999999994E-2</v>
      </c>
      <c r="AM149" s="4">
        <v>-0.61399999999999999</v>
      </c>
      <c r="AN149" s="4">
        <v>-0.46200000000000002</v>
      </c>
      <c r="AO149" s="4">
        <v>6.0000000000000001E-3</v>
      </c>
      <c r="AP149" s="4">
        <v>-0.72799999999999998</v>
      </c>
      <c r="AQ149" s="4">
        <v>-0.62</v>
      </c>
      <c r="AR149" s="4">
        <v>0.224</v>
      </c>
      <c r="AS149" s="4">
        <v>0.224</v>
      </c>
      <c r="AT149" s="4">
        <v>0.56299999999999994</v>
      </c>
      <c r="AU149" s="4">
        <v>-0.23499999999999999</v>
      </c>
      <c r="AV149" s="4">
        <v>-0.20699999999999999</v>
      </c>
      <c r="AW149" s="4">
        <v>0.373</v>
      </c>
      <c r="AX149" s="4">
        <v>0.33</v>
      </c>
      <c r="AY149" s="4">
        <v>0.70099999999999996</v>
      </c>
      <c r="AZ149" s="4">
        <v>0.10100000000000001</v>
      </c>
      <c r="BA149" s="4">
        <v>-0.497</v>
      </c>
      <c r="BB149" s="4">
        <v>-0.19900000000000001</v>
      </c>
      <c r="BC149" s="4">
        <v>-0.41</v>
      </c>
      <c r="BD149" s="4">
        <v>2.1000000000000001E-2</v>
      </c>
      <c r="BE149" s="4">
        <v>-1.7000000000000001E-2</v>
      </c>
      <c r="BF149" s="4">
        <v>-0.70099999999999996</v>
      </c>
      <c r="BG149" s="4">
        <v>0.52100000000000002</v>
      </c>
      <c r="BH149" s="4">
        <v>-0.40500000000000003</v>
      </c>
      <c r="BI149" s="4">
        <v>0.46700000000000003</v>
      </c>
      <c r="BJ149" s="4">
        <v>-0.57099999999999995</v>
      </c>
      <c r="BK149" s="4">
        <v>0.36599999999999999</v>
      </c>
      <c r="BL149" s="4"/>
      <c r="BM149" s="4">
        <f t="shared" si="30"/>
        <v>-0.26225880000000001</v>
      </c>
    </row>
    <row r="150" spans="1:65" hidden="1" x14ac:dyDescent="0.3">
      <c r="A150" t="s">
        <v>157</v>
      </c>
      <c r="B150" s="53">
        <f t="shared" si="23"/>
        <v>0</v>
      </c>
      <c r="C150" s="53">
        <f t="shared" si="24"/>
        <v>-1E-3</v>
      </c>
      <c r="D150" s="53">
        <f t="shared" si="25"/>
        <v>0</v>
      </c>
      <c r="E150" s="53">
        <f t="shared" si="26"/>
        <v>1E-3</v>
      </c>
      <c r="F150" s="15">
        <v>0.58799999999999997</v>
      </c>
      <c r="G150">
        <v>0.44</v>
      </c>
      <c r="H150" t="s">
        <v>57</v>
      </c>
      <c r="I150" t="str">
        <f>VLOOKUP(A150,Planilha6!$BL$9:$BN$222,2,0)</f>
        <v>consumer_durables</v>
      </c>
      <c r="J150" t="str">
        <f>VLOOKUP(A150,Planilha6!$BL$9:$BN$222,3,0)</f>
        <v>very_high_beta</v>
      </c>
      <c r="K150" s="41">
        <v>0</v>
      </c>
      <c r="L150" s="42">
        <v>-1E-3</v>
      </c>
      <c r="M150" s="41">
        <f>VLOOKUP(A150,'Mandato Ibov'!$B$1:$C$215,2,0)</f>
        <v>0</v>
      </c>
      <c r="N150" s="59">
        <f t="shared" si="27"/>
        <v>0</v>
      </c>
      <c r="O150" s="42">
        <f t="shared" si="28"/>
        <v>0</v>
      </c>
      <c r="P150" s="59">
        <f>VLOOKUP(A150,'Mandato Ibov'!$B$2:$D$215,3,0)</f>
        <v>0</v>
      </c>
      <c r="Q150" s="42">
        <f t="shared" si="29"/>
        <v>0</v>
      </c>
      <c r="R150" s="15">
        <v>-2.7E-2</v>
      </c>
      <c r="S150" s="15">
        <v>-0.52500000000000002</v>
      </c>
      <c r="T150" s="15">
        <v>-0.51900000000000002</v>
      </c>
      <c r="U150" s="15">
        <v>7.4999999999999997E-2</v>
      </c>
      <c r="V150" s="15">
        <v>-0.41799999999999998</v>
      </c>
      <c r="W150" s="15">
        <v>-0.48799999999999999</v>
      </c>
      <c r="X150" s="15">
        <v>-0.59399999999999997</v>
      </c>
      <c r="Y150" s="15">
        <v>-0.78900000000000003</v>
      </c>
      <c r="Z150" s="15">
        <v>-0.106</v>
      </c>
      <c r="AA150" s="15">
        <v>-0.10100000000000001</v>
      </c>
      <c r="AB150" s="15">
        <v>0.23100000000000001</v>
      </c>
      <c r="AC150" s="15">
        <v>-0.72099999999999997</v>
      </c>
      <c r="AD150" s="15">
        <v>0.315</v>
      </c>
      <c r="AE150" s="14">
        <v>0.38300000000000001</v>
      </c>
      <c r="AF150" s="15">
        <v>1</v>
      </c>
      <c r="AG150" s="15">
        <v>0.46400000000000002</v>
      </c>
      <c r="AH150" s="15">
        <v>1.0999999999999999E-2</v>
      </c>
      <c r="AI150" s="15">
        <v>-0.44700000000000001</v>
      </c>
      <c r="AJ150" s="16">
        <v>-0.104</v>
      </c>
      <c r="AK150" s="4">
        <v>0.59899999999999998</v>
      </c>
      <c r="AL150" s="4">
        <v>-0.80500000000000005</v>
      </c>
      <c r="AM150" s="4">
        <v>4.5999999999999999E-2</v>
      </c>
      <c r="AN150" s="4">
        <v>0.47599999999999998</v>
      </c>
      <c r="AO150" s="4">
        <v>-0.23499999999999999</v>
      </c>
      <c r="AP150" s="4">
        <v>0.42599999999999999</v>
      </c>
      <c r="AQ150" s="4">
        <v>0.49399999999999999</v>
      </c>
      <c r="AR150" s="4">
        <v>-0.33900000000000002</v>
      </c>
      <c r="AS150" s="4">
        <v>0.16600000000000001</v>
      </c>
      <c r="AT150" s="4">
        <v>0.45700000000000002</v>
      </c>
      <c r="AU150" s="4">
        <v>-8.8999999999999996E-2</v>
      </c>
      <c r="AV150" s="4">
        <v>7.4999999999999997E-2</v>
      </c>
      <c r="AW150" s="4">
        <v>-0.76900000000000002</v>
      </c>
      <c r="AX150" s="4">
        <v>-0.17799999999999999</v>
      </c>
      <c r="AY150" s="4">
        <v>0.53500000000000003</v>
      </c>
      <c r="AZ150" s="4">
        <v>-1</v>
      </c>
      <c r="BA150" s="4">
        <v>-9.2999999999999999E-2</v>
      </c>
      <c r="BB150" s="4">
        <v>0.158</v>
      </c>
      <c r="BC150" s="4">
        <v>0.20399999999999999</v>
      </c>
      <c r="BD150" s="4">
        <v>0.24099999999999999</v>
      </c>
      <c r="BE150" s="4">
        <v>0.41599999999999998</v>
      </c>
      <c r="BF150" s="4">
        <v>-5.7000000000000002E-2</v>
      </c>
      <c r="BG150" s="4">
        <v>2.7E-2</v>
      </c>
      <c r="BH150" s="4">
        <v>0.97199999999999998</v>
      </c>
      <c r="BI150" s="4">
        <v>0.35799999999999998</v>
      </c>
      <c r="BJ150" s="4">
        <v>-0.98499999999999999</v>
      </c>
      <c r="BK150" s="4">
        <v>-0.45400000000000001</v>
      </c>
      <c r="BL150" s="4"/>
      <c r="BM150" s="4">
        <f t="shared" si="30"/>
        <v>-0.26468340000000001</v>
      </c>
    </row>
    <row r="151" spans="1:65" hidden="1" x14ac:dyDescent="0.3">
      <c r="A151" t="s">
        <v>191</v>
      </c>
      <c r="B151" s="53">
        <f t="shared" si="23"/>
        <v>0</v>
      </c>
      <c r="C151" s="53">
        <f t="shared" si="24"/>
        <v>0</v>
      </c>
      <c r="D151" s="53">
        <f t="shared" si="25"/>
        <v>0</v>
      </c>
      <c r="E151" s="53">
        <f t="shared" si="26"/>
        <v>0</v>
      </c>
      <c r="F151" s="15">
        <v>0.58699999999999997</v>
      </c>
      <c r="G151">
        <v>0.69599999999999995</v>
      </c>
      <c r="H151" t="s">
        <v>71</v>
      </c>
      <c r="I151" t="str">
        <f>VLOOKUP(A151,Planilha6!$BL$9:$BN$222,2,0)</f>
        <v>food</v>
      </c>
      <c r="J151" t="str">
        <f>VLOOKUP(A151,Planilha6!$BL$9:$BN$222,3,0)</f>
        <v>very_low_beta</v>
      </c>
      <c r="K151" s="41">
        <v>0</v>
      </c>
      <c r="L151" s="42">
        <v>0</v>
      </c>
      <c r="M151" s="41">
        <f>VLOOKUP(A151,'Mandato Ibov'!$B$1:$C$215,2,0)</f>
        <v>0</v>
      </c>
      <c r="N151" s="59">
        <f t="shared" si="27"/>
        <v>0</v>
      </c>
      <c r="O151" s="42">
        <f t="shared" si="28"/>
        <v>0</v>
      </c>
      <c r="P151" s="59">
        <f>VLOOKUP(A151,'Mandato Ibov'!$B$2:$D$215,3,0)</f>
        <v>0</v>
      </c>
      <c r="Q151" s="42">
        <f t="shared" si="29"/>
        <v>0</v>
      </c>
      <c r="R151" s="15">
        <v>-0.82</v>
      </c>
      <c r="S151" s="15">
        <v>-0.73199999999999998</v>
      </c>
      <c r="T151" s="15">
        <v>-0.67600000000000005</v>
      </c>
      <c r="U151" s="15">
        <v>-0.80900000000000005</v>
      </c>
      <c r="V151" s="15">
        <v>-0.72899999999999998</v>
      </c>
      <c r="W151" s="15">
        <v>-0.64800000000000002</v>
      </c>
      <c r="X151" s="15">
        <v>-0.61399999999999999</v>
      </c>
      <c r="Y151" s="15">
        <v>-0.48799999999999999</v>
      </c>
      <c r="Z151" s="15">
        <v>0.58599999999999997</v>
      </c>
      <c r="AA151" s="15">
        <v>0.58199999999999996</v>
      </c>
      <c r="AB151" s="15">
        <v>0.30399999999999999</v>
      </c>
      <c r="AC151" s="15">
        <v>0.23200000000000001</v>
      </c>
      <c r="AD151" s="15">
        <v>0.56999999999999995</v>
      </c>
      <c r="AE151" s="14">
        <v>-0.86</v>
      </c>
      <c r="AF151" s="15">
        <v>-0.755</v>
      </c>
      <c r="AG151" s="15">
        <v>-0.53400000000000003</v>
      </c>
      <c r="AH151" s="15">
        <v>-0.38900000000000001</v>
      </c>
      <c r="AI151" s="15">
        <v>0.373</v>
      </c>
      <c r="AJ151" s="16">
        <v>-0.55300000000000005</v>
      </c>
      <c r="AK151" s="4">
        <v>-0.40100000000000002</v>
      </c>
      <c r="AL151" s="4">
        <v>0.16700000000000001</v>
      </c>
      <c r="AM151" s="4">
        <v>-0.32</v>
      </c>
      <c r="AN151" s="4">
        <v>-0.46500000000000002</v>
      </c>
      <c r="AO151" s="4">
        <v>6.9000000000000006E-2</v>
      </c>
      <c r="AP151" s="4">
        <v>0.17100000000000001</v>
      </c>
      <c r="AQ151" s="4">
        <v>-0.36299999999999999</v>
      </c>
      <c r="AR151" s="4">
        <v>0.50600000000000001</v>
      </c>
      <c r="AS151" s="4">
        <v>0.26200000000000001</v>
      </c>
      <c r="AT151" s="4">
        <v>-0.188</v>
      </c>
      <c r="AU151" s="4">
        <v>-0.63400000000000001</v>
      </c>
      <c r="AV151" s="4">
        <v>-0.49199999999999999</v>
      </c>
      <c r="AW151" s="4">
        <v>0.82599999999999996</v>
      </c>
      <c r="AX151" s="4">
        <v>-0.80400000000000005</v>
      </c>
      <c r="AY151" s="4">
        <v>0.121</v>
      </c>
      <c r="AZ151" s="4">
        <v>-0.499</v>
      </c>
      <c r="BA151" s="4">
        <v>-0.159</v>
      </c>
      <c r="BB151" s="4">
        <v>7.6999999999999999E-2</v>
      </c>
      <c r="BC151" s="4">
        <v>-0.25800000000000001</v>
      </c>
      <c r="BD151" s="4">
        <v>-1E-3</v>
      </c>
      <c r="BE151" s="4">
        <v>0.871</v>
      </c>
      <c r="BF151" s="4">
        <v>0.58099999999999996</v>
      </c>
      <c r="BG151" s="4">
        <v>0.48899999999999999</v>
      </c>
      <c r="BH151" s="4">
        <v>-0.25700000000000001</v>
      </c>
      <c r="BI151" s="4">
        <v>-0.78800000000000003</v>
      </c>
      <c r="BJ151" s="4">
        <v>0.71</v>
      </c>
      <c r="BK151" s="4">
        <v>0.48599999999999999</v>
      </c>
      <c r="BL151" s="4"/>
      <c r="BM151" s="4">
        <f t="shared" si="30"/>
        <v>-0.26715849999999997</v>
      </c>
    </row>
    <row r="152" spans="1:65" hidden="1" x14ac:dyDescent="0.3">
      <c r="A152" t="s">
        <v>241</v>
      </c>
      <c r="B152" s="53">
        <f t="shared" si="23"/>
        <v>0</v>
      </c>
      <c r="C152" s="53">
        <f t="shared" si="24"/>
        <v>-7.0000000000000001E-3</v>
      </c>
      <c r="D152" s="53">
        <f t="shared" si="25"/>
        <v>0</v>
      </c>
      <c r="E152" s="53">
        <f t="shared" si="26"/>
        <v>7.0000000000000001E-3</v>
      </c>
      <c r="F152" s="15">
        <v>0.58599999999999997</v>
      </c>
      <c r="G152">
        <v>0.73499999999999999</v>
      </c>
      <c r="H152" t="s">
        <v>57</v>
      </c>
      <c r="I152" t="str">
        <f>VLOOKUP(A152,Planilha6!$BL$9:$BN$222,2,0)</f>
        <v>transportation</v>
      </c>
      <c r="J152" t="str">
        <f>VLOOKUP(A152,Planilha6!$BL$9:$BN$222,3,0)</f>
        <v>low_beta</v>
      </c>
      <c r="K152" s="41">
        <v>0</v>
      </c>
      <c r="L152" s="42">
        <v>-7.0000000000000001E-3</v>
      </c>
      <c r="M152" s="41">
        <f>VLOOKUP(A152,'Mandato Ibov'!$B$1:$C$215,2,0)</f>
        <v>0</v>
      </c>
      <c r="N152" s="59">
        <f t="shared" si="27"/>
        <v>0</v>
      </c>
      <c r="O152" s="42">
        <f t="shared" si="28"/>
        <v>0</v>
      </c>
      <c r="P152" s="59">
        <f>VLOOKUP(A152,'Mandato Ibov'!$B$2:$D$215,3,0)</f>
        <v>0</v>
      </c>
      <c r="Q152" s="42">
        <f t="shared" si="29"/>
        <v>0</v>
      </c>
      <c r="R152" s="15">
        <v>-0.64700000000000002</v>
      </c>
      <c r="S152" s="15">
        <v>-0.46500000000000002</v>
      </c>
      <c r="T152" s="15">
        <v>-0.88100000000000001</v>
      </c>
      <c r="U152" s="15">
        <v>-0.65800000000000003</v>
      </c>
      <c r="V152" s="15">
        <v>-0.7</v>
      </c>
      <c r="W152" s="15">
        <v>-0.48399999999999999</v>
      </c>
      <c r="X152" s="15">
        <v>-0.186</v>
      </c>
      <c r="Y152" s="15">
        <v>-0.66100000000000003</v>
      </c>
      <c r="Z152" s="15">
        <v>0.23899999999999999</v>
      </c>
      <c r="AA152" s="15">
        <v>0.24</v>
      </c>
      <c r="AB152" s="15">
        <v>0.6</v>
      </c>
      <c r="AC152" s="15">
        <v>0.64900000000000002</v>
      </c>
      <c r="AD152" s="15">
        <v>0.30199999999999999</v>
      </c>
      <c r="AE152" s="14">
        <v>-0.73699999999999999</v>
      </c>
      <c r="AF152" s="15">
        <v>-6.6000000000000003E-2</v>
      </c>
      <c r="AG152" s="15">
        <v>-0.47399999999999998</v>
      </c>
      <c r="AH152" s="15">
        <v>-0.90400000000000003</v>
      </c>
      <c r="AI152" s="15">
        <v>-0.79200000000000004</v>
      </c>
      <c r="AJ152" s="16">
        <v>-0.86399999999999999</v>
      </c>
      <c r="AK152" s="4">
        <v>-0.16600000000000001</v>
      </c>
      <c r="AL152" s="4">
        <v>-0.66200000000000003</v>
      </c>
      <c r="AM152" s="4">
        <v>-0.61499999999999999</v>
      </c>
      <c r="AN152" s="4">
        <v>0.65600000000000003</v>
      </c>
      <c r="AO152" s="4">
        <v>-9.8000000000000004E-2</v>
      </c>
      <c r="AP152" s="4">
        <v>0.748</v>
      </c>
      <c r="AQ152" s="4">
        <v>0.56599999999999995</v>
      </c>
      <c r="AR152" s="4">
        <v>0.66700000000000004</v>
      </c>
      <c r="AS152" s="4">
        <v>0.19900000000000001</v>
      </c>
      <c r="AT152" s="4">
        <v>5.1999999999999998E-2</v>
      </c>
      <c r="AU152" s="4">
        <v>0.28799999999999998</v>
      </c>
      <c r="AV152" s="4">
        <v>-0.18</v>
      </c>
      <c r="AW152" s="4">
        <v>0.23699999999999999</v>
      </c>
      <c r="AX152" s="4">
        <v>-0.35</v>
      </c>
      <c r="AY152" s="4">
        <v>0.77400000000000002</v>
      </c>
      <c r="AZ152" s="4">
        <v>-0.28199999999999997</v>
      </c>
      <c r="BA152" s="4">
        <v>0.28299999999999997</v>
      </c>
      <c r="BB152" s="4">
        <v>8.9999999999999993E-3</v>
      </c>
      <c r="BC152" s="4">
        <v>-0.52800000000000002</v>
      </c>
      <c r="BD152" s="4">
        <v>-7.4999999999999997E-2</v>
      </c>
      <c r="BE152" s="4">
        <v>0.224</v>
      </c>
      <c r="BF152" s="4">
        <v>-0.47699999999999998</v>
      </c>
      <c r="BG152" s="4">
        <v>0.57899999999999996</v>
      </c>
      <c r="BH152" s="4">
        <v>-8.6999999999999994E-2</v>
      </c>
      <c r="BI152" s="4">
        <v>0.22500000000000001</v>
      </c>
      <c r="BJ152" s="4">
        <v>-0.379</v>
      </c>
      <c r="BK152" s="4">
        <v>-0.63300000000000001</v>
      </c>
      <c r="BL152" s="4"/>
      <c r="BM152" s="4">
        <f t="shared" si="30"/>
        <v>-0.27102170000000003</v>
      </c>
    </row>
    <row r="153" spans="1:65" hidden="1" x14ac:dyDescent="0.3">
      <c r="A153" t="s">
        <v>198</v>
      </c>
      <c r="B153" s="53">
        <f t="shared" si="23"/>
        <v>0</v>
      </c>
      <c r="C153" s="53">
        <f t="shared" si="24"/>
        <v>0</v>
      </c>
      <c r="D153" s="53">
        <f t="shared" si="25"/>
        <v>0</v>
      </c>
      <c r="E153" s="53">
        <f t="shared" si="26"/>
        <v>0</v>
      </c>
      <c r="F153" s="15">
        <v>0.58299999999999996</v>
      </c>
      <c r="G153">
        <v>0.42399999999999999</v>
      </c>
      <c r="H153" t="s">
        <v>57</v>
      </c>
      <c r="I153" t="str">
        <f>VLOOKUP(A153,Planilha6!$BL$9:$BN$222,2,0)</f>
        <v>consumer_services</v>
      </c>
      <c r="J153" t="str">
        <f>VLOOKUP(A153,Planilha6!$BL$9:$BN$222,3,0)</f>
        <v>neutral_beta</v>
      </c>
      <c r="K153" s="41">
        <v>0</v>
      </c>
      <c r="L153" s="42">
        <v>0</v>
      </c>
      <c r="M153" s="41">
        <f>VLOOKUP(A153,'Mandato Ibov'!$B$1:$C$215,2,0)</f>
        <v>0</v>
      </c>
      <c r="N153" s="59">
        <f t="shared" si="27"/>
        <v>0</v>
      </c>
      <c r="O153" s="42">
        <f t="shared" si="28"/>
        <v>0</v>
      </c>
      <c r="P153" s="59">
        <f>VLOOKUP(A153,'Mandato Ibov'!$B$2:$D$215,3,0)</f>
        <v>0</v>
      </c>
      <c r="Q153" s="42">
        <f t="shared" si="29"/>
        <v>0</v>
      </c>
      <c r="R153" s="15">
        <v>-8.2000000000000003E-2</v>
      </c>
      <c r="S153" s="15">
        <v>-0.61699999999999999</v>
      </c>
      <c r="T153" s="15">
        <v>-0.24</v>
      </c>
      <c r="U153" s="15">
        <v>-0.251</v>
      </c>
      <c r="V153" s="15">
        <v>-0.54100000000000004</v>
      </c>
      <c r="W153" s="15">
        <v>-0.53900000000000003</v>
      </c>
      <c r="X153" s="15">
        <v>-0.49099999999999999</v>
      </c>
      <c r="Y153" s="15">
        <v>-0.83399999999999996</v>
      </c>
      <c r="Z153" s="15">
        <v>-1.6E-2</v>
      </c>
      <c r="AA153" s="15">
        <v>-1.9E-2</v>
      </c>
      <c r="AB153" s="15">
        <v>0.41499999999999998</v>
      </c>
      <c r="AC153" s="15">
        <v>-0.27600000000000002</v>
      </c>
      <c r="AD153" s="15">
        <v>0.16500000000000001</v>
      </c>
      <c r="AE153" s="14">
        <v>-4.0000000000000001E-3</v>
      </c>
      <c r="AF153" s="15">
        <v>0.45200000000000001</v>
      </c>
      <c r="AG153" s="15">
        <v>-0.71399999999999997</v>
      </c>
      <c r="AH153" s="15">
        <v>8.9999999999999993E-3</v>
      </c>
      <c r="AI153" s="15">
        <v>-7.9000000000000001E-2</v>
      </c>
      <c r="AJ153" s="16">
        <v>1</v>
      </c>
      <c r="AK153" s="4">
        <v>0.22600000000000001</v>
      </c>
      <c r="AL153" s="4">
        <v>-1</v>
      </c>
      <c r="AM153" s="4">
        <v>-0.47</v>
      </c>
      <c r="AN153" s="4">
        <v>0.59</v>
      </c>
      <c r="AO153" s="4">
        <v>-6.0999999999999999E-2</v>
      </c>
      <c r="AP153" s="4">
        <v>-0.876</v>
      </c>
      <c r="AQ153" s="4">
        <v>0.83399999999999996</v>
      </c>
      <c r="AR153" s="4">
        <v>0.46500000000000002</v>
      </c>
      <c r="AS153" s="4">
        <v>0.23400000000000001</v>
      </c>
      <c r="AT153" s="4">
        <v>0.253</v>
      </c>
      <c r="AU153" s="4">
        <v>0.32</v>
      </c>
      <c r="AV153" s="4">
        <v>0.54600000000000004</v>
      </c>
      <c r="AW153" s="4">
        <v>-0.76400000000000001</v>
      </c>
      <c r="AX153" s="4">
        <v>-0.129</v>
      </c>
      <c r="AY153" s="4">
        <v>-0.63500000000000001</v>
      </c>
      <c r="AZ153" s="4">
        <v>-0.876</v>
      </c>
      <c r="BA153" s="4">
        <v>-0.15</v>
      </c>
      <c r="BB153" s="4">
        <v>3.5999999999999997E-2</v>
      </c>
      <c r="BC153" s="4">
        <v>0.497</v>
      </c>
      <c r="BD153" s="4">
        <v>0.51300000000000001</v>
      </c>
      <c r="BE153" s="4">
        <v>0.123</v>
      </c>
      <c r="BF153" s="4">
        <v>-0.20899999999999999</v>
      </c>
      <c r="BG153" s="4">
        <v>0.28399999999999997</v>
      </c>
      <c r="BH153" s="4">
        <v>0.54900000000000004</v>
      </c>
      <c r="BI153" s="4">
        <v>6.8000000000000005E-2</v>
      </c>
      <c r="BJ153" s="4">
        <v>-0.70699999999999996</v>
      </c>
      <c r="BK153" s="4">
        <v>0.51100000000000001</v>
      </c>
      <c r="BL153" s="4"/>
      <c r="BM153" s="4">
        <f t="shared" si="30"/>
        <v>-0.27846470000000001</v>
      </c>
    </row>
    <row r="154" spans="1:65" hidden="1" x14ac:dyDescent="0.3">
      <c r="A154" t="s">
        <v>235</v>
      </c>
      <c r="B154" s="53">
        <f t="shared" si="23"/>
        <v>0</v>
      </c>
      <c r="C154" s="53">
        <f t="shared" si="24"/>
        <v>-1E-3</v>
      </c>
      <c r="D154" s="53">
        <f t="shared" si="25"/>
        <v>0</v>
      </c>
      <c r="E154" s="53">
        <f t="shared" si="26"/>
        <v>1E-3</v>
      </c>
      <c r="F154" s="15">
        <v>0.57899999999999996</v>
      </c>
      <c r="G154">
        <v>0.52200000000000002</v>
      </c>
      <c r="H154" t="s">
        <v>57</v>
      </c>
      <c r="I154" t="str">
        <f>VLOOKUP(A154,Planilha6!$BL$9:$BN$222,2,0)</f>
        <v>apparel</v>
      </c>
      <c r="J154" t="str">
        <f>VLOOKUP(A154,Planilha6!$BL$9:$BN$222,3,0)</f>
        <v>low_beta</v>
      </c>
      <c r="K154" s="41">
        <v>0</v>
      </c>
      <c r="L154" s="42">
        <v>-1E-3</v>
      </c>
      <c r="M154" s="41">
        <f>VLOOKUP(A154,'Mandato Ibov'!$B$1:$C$215,2,0)</f>
        <v>0</v>
      </c>
      <c r="N154" s="59">
        <f t="shared" si="27"/>
        <v>0</v>
      </c>
      <c r="O154" s="42">
        <f t="shared" si="28"/>
        <v>0</v>
      </c>
      <c r="P154" s="59">
        <f>VLOOKUP(A154,'Mandato Ibov'!$B$2:$D$215,3,0)</f>
        <v>0</v>
      </c>
      <c r="Q154" s="42">
        <f t="shared" si="29"/>
        <v>0</v>
      </c>
      <c r="R154" s="15">
        <v>-0.65500000000000003</v>
      </c>
      <c r="S154" s="15">
        <v>-0.48299999999999998</v>
      </c>
      <c r="T154" s="15">
        <v>-0.67400000000000004</v>
      </c>
      <c r="U154" s="15">
        <v>-0.61499999999999999</v>
      </c>
      <c r="V154" s="15">
        <v>-0.52700000000000002</v>
      </c>
      <c r="W154" s="15">
        <v>-0.51200000000000001</v>
      </c>
      <c r="X154" s="15">
        <v>-0.27</v>
      </c>
      <c r="Y154" s="15">
        <v>-0.441</v>
      </c>
      <c r="Z154" s="15">
        <v>3.7999999999999999E-2</v>
      </c>
      <c r="AA154" s="15">
        <v>4.1000000000000002E-2</v>
      </c>
      <c r="AB154" s="15">
        <v>0.56599999999999995</v>
      </c>
      <c r="AC154" s="15">
        <v>0.39</v>
      </c>
      <c r="AD154" s="15">
        <v>8.2000000000000003E-2</v>
      </c>
      <c r="AE154" s="14">
        <v>0.111</v>
      </c>
      <c r="AF154" s="15">
        <v>-0.433</v>
      </c>
      <c r="AG154" s="15">
        <v>-0.80700000000000005</v>
      </c>
      <c r="AH154" s="15">
        <v>-0.65300000000000002</v>
      </c>
      <c r="AI154" s="15">
        <v>-0.64200000000000002</v>
      </c>
      <c r="AJ154" s="16">
        <v>0.63800000000000001</v>
      </c>
      <c r="AK154" s="4">
        <v>-0.35</v>
      </c>
      <c r="AL154" s="4">
        <v>-0.55400000000000005</v>
      </c>
      <c r="AM154" s="4">
        <v>-0.749</v>
      </c>
      <c r="AN154" s="4">
        <v>0.75700000000000001</v>
      </c>
      <c r="AO154" s="4">
        <v>-0.317</v>
      </c>
      <c r="AP154" s="4">
        <v>-0.432</v>
      </c>
      <c r="AQ154" s="4">
        <v>0.21199999999999999</v>
      </c>
      <c r="AR154" s="4">
        <v>-0.26200000000000001</v>
      </c>
      <c r="AS154" s="4">
        <v>-0.54300000000000004</v>
      </c>
      <c r="AT154" s="4">
        <v>0.497</v>
      </c>
      <c r="AU154" s="4">
        <v>0.39400000000000002</v>
      </c>
      <c r="AV154" s="4">
        <v>0.53900000000000003</v>
      </c>
      <c r="AW154" s="4">
        <v>-5.0000000000000001E-3</v>
      </c>
      <c r="AX154" s="4">
        <v>0.19400000000000001</v>
      </c>
      <c r="AY154" s="4">
        <v>0.69699999999999995</v>
      </c>
      <c r="AZ154" s="4">
        <v>0.84299999999999997</v>
      </c>
      <c r="BA154" s="4">
        <v>0.13600000000000001</v>
      </c>
      <c r="BB154" s="4">
        <v>-0.48599999999999999</v>
      </c>
      <c r="BC154" s="4">
        <v>-0.47399999999999998</v>
      </c>
      <c r="BD154" s="4">
        <v>-0.10199999999999999</v>
      </c>
      <c r="BE154" s="4">
        <v>-6.7000000000000004E-2</v>
      </c>
      <c r="BF154" s="4">
        <v>-0.21299999999999999</v>
      </c>
      <c r="BG154" s="4">
        <v>0.36399999999999999</v>
      </c>
      <c r="BH154" s="4">
        <v>-0.30099999999999999</v>
      </c>
      <c r="BI154" s="4">
        <v>-0.153</v>
      </c>
      <c r="BJ154" s="4">
        <v>-0.754</v>
      </c>
      <c r="BK154" s="4">
        <v>-4.3999999999999997E-2</v>
      </c>
      <c r="BL154" s="4"/>
      <c r="BM154" s="4">
        <f t="shared" si="30"/>
        <v>-0.28655800000000003</v>
      </c>
    </row>
    <row r="155" spans="1:65" hidden="1" x14ac:dyDescent="0.3">
      <c r="A155" t="s">
        <v>244</v>
      </c>
      <c r="B155" s="53">
        <f t="shared" si="23"/>
        <v>0</v>
      </c>
      <c r="C155" s="53">
        <f t="shared" si="24"/>
        <v>0</v>
      </c>
      <c r="D155" s="53">
        <f t="shared" si="25"/>
        <v>0</v>
      </c>
      <c r="E155" s="53">
        <f t="shared" si="26"/>
        <v>0</v>
      </c>
      <c r="F155" s="15">
        <v>0.57799999999999996</v>
      </c>
      <c r="G155">
        <v>0.41399999999999998</v>
      </c>
      <c r="H155" t="s">
        <v>57</v>
      </c>
      <c r="I155" t="str">
        <f>VLOOKUP(A155,Planilha6!$BL$9:$BN$222,2,0)</f>
        <v>consumer_durables</v>
      </c>
      <c r="J155" t="str">
        <f>VLOOKUP(A155,Planilha6!$BL$9:$BN$222,3,0)</f>
        <v>high_beta</v>
      </c>
      <c r="K155" s="41">
        <v>0</v>
      </c>
      <c r="L155" s="42">
        <v>0</v>
      </c>
      <c r="M155" s="41">
        <f>VLOOKUP(A155,'Mandato Ibov'!$B$1:$C$215,2,0)</f>
        <v>0</v>
      </c>
      <c r="N155" s="59">
        <f t="shared" si="27"/>
        <v>0</v>
      </c>
      <c r="O155" s="42">
        <f t="shared" si="28"/>
        <v>0</v>
      </c>
      <c r="P155" s="59">
        <f>VLOOKUP(A155,'Mandato Ibov'!$B$2:$D$215,3,0)</f>
        <v>0</v>
      </c>
      <c r="Q155" s="42">
        <f t="shared" si="29"/>
        <v>0</v>
      </c>
      <c r="R155" s="15">
        <v>-8.7999999999999995E-2</v>
      </c>
      <c r="S155" s="15">
        <v>-0.71799999999999997</v>
      </c>
      <c r="T155" s="15">
        <v>-0.19600000000000001</v>
      </c>
      <c r="U155" s="15">
        <v>-0.46300000000000002</v>
      </c>
      <c r="V155" s="15">
        <v>-0.66800000000000004</v>
      </c>
      <c r="W155" s="15">
        <v>-0.81799999999999995</v>
      </c>
      <c r="X155" s="15">
        <v>-0.89300000000000002</v>
      </c>
      <c r="Y155" s="15">
        <v>-0.89700000000000002</v>
      </c>
      <c r="Z155" s="15">
        <v>0.254</v>
      </c>
      <c r="AA155" s="15">
        <v>0.254</v>
      </c>
      <c r="AB155" s="15">
        <v>0.26900000000000002</v>
      </c>
      <c r="AC155" s="15">
        <v>0.21299999999999999</v>
      </c>
      <c r="AD155" s="15">
        <v>0.29199999999999998</v>
      </c>
      <c r="AE155" s="14">
        <v>-0.42099999999999999</v>
      </c>
      <c r="AF155" s="15">
        <v>0.29699999999999999</v>
      </c>
      <c r="AG155" s="15">
        <v>0.80300000000000005</v>
      </c>
      <c r="AH155" s="15">
        <v>0.45700000000000002</v>
      </c>
      <c r="AI155" s="15">
        <v>0.58899999999999997</v>
      </c>
      <c r="AJ155" s="16">
        <v>-0.68</v>
      </c>
      <c r="AK155" s="4">
        <v>7.0000000000000007E-2</v>
      </c>
      <c r="AL155" s="4">
        <v>-1</v>
      </c>
      <c r="AM155" s="4">
        <v>0.89600000000000002</v>
      </c>
      <c r="AN155" s="4">
        <v>3.5999999999999997E-2</v>
      </c>
      <c r="AO155" s="4">
        <v>-7.1999999999999995E-2</v>
      </c>
      <c r="AP155" s="4">
        <v>0.53900000000000003</v>
      </c>
      <c r="AQ155" s="4">
        <v>-0.34599999999999997</v>
      </c>
      <c r="AR155" s="4">
        <v>1</v>
      </c>
      <c r="AS155" s="4">
        <v>0.23300000000000001</v>
      </c>
      <c r="AT155" s="4">
        <v>-3.4000000000000002E-2</v>
      </c>
      <c r="AU155" s="4">
        <v>-0.27700000000000002</v>
      </c>
      <c r="AV155" s="4">
        <v>-0.38600000000000001</v>
      </c>
      <c r="AW155" s="4">
        <v>-0.52200000000000002</v>
      </c>
      <c r="AX155" s="4">
        <v>-9.6000000000000002E-2</v>
      </c>
      <c r="AY155" s="4">
        <v>-0.52900000000000003</v>
      </c>
      <c r="AZ155" s="4">
        <v>-0.73699999999999999</v>
      </c>
      <c r="BA155" s="4">
        <v>-0.153</v>
      </c>
      <c r="BB155" s="4">
        <v>0.49</v>
      </c>
      <c r="BC155" s="4">
        <v>0.23899999999999999</v>
      </c>
      <c r="BD155" s="4">
        <v>0.36899999999999999</v>
      </c>
      <c r="BE155" s="4">
        <v>-1</v>
      </c>
      <c r="BF155" s="4">
        <v>-0.91500000000000004</v>
      </c>
      <c r="BG155" s="4">
        <v>-1</v>
      </c>
      <c r="BH155" s="4">
        <v>1</v>
      </c>
      <c r="BI155" s="4">
        <v>0.26500000000000001</v>
      </c>
      <c r="BJ155" s="4">
        <v>-0.10100000000000001</v>
      </c>
      <c r="BK155" s="4">
        <v>0.35699999999999998</v>
      </c>
      <c r="BL155" s="4"/>
      <c r="BM155" s="4">
        <f t="shared" si="30"/>
        <v>-0.28959380000000001</v>
      </c>
    </row>
    <row r="156" spans="1:65" hidden="1" x14ac:dyDescent="0.3">
      <c r="A156" t="s">
        <v>218</v>
      </c>
      <c r="B156" s="53">
        <f t="shared" si="23"/>
        <v>0</v>
      </c>
      <c r="C156" s="53">
        <f t="shared" si="24"/>
        <v>-0.02</v>
      </c>
      <c r="D156" s="53">
        <f t="shared" si="25"/>
        <v>0</v>
      </c>
      <c r="E156" s="53">
        <f t="shared" si="26"/>
        <v>0.02</v>
      </c>
      <c r="F156" s="15">
        <v>0.57299999999999995</v>
      </c>
      <c r="G156">
        <v>1.252</v>
      </c>
      <c r="H156" t="s">
        <v>55</v>
      </c>
      <c r="I156" t="str">
        <f>VLOOKUP(A156,Planilha6!$BL$9:$BN$222,2,0)</f>
        <v>utilities</v>
      </c>
      <c r="J156" t="str">
        <f>VLOOKUP(A156,Planilha6!$BL$9:$BN$222,3,0)</f>
        <v>neutral_beta</v>
      </c>
      <c r="K156" s="41">
        <v>0</v>
      </c>
      <c r="L156" s="42">
        <v>-0.02</v>
      </c>
      <c r="M156" s="41">
        <f>VLOOKUP(A156,'Mandato Ibov'!$B$1:$C$215,2,0)</f>
        <v>0</v>
      </c>
      <c r="N156" s="59">
        <f t="shared" si="27"/>
        <v>0</v>
      </c>
      <c r="O156" s="42">
        <f t="shared" si="28"/>
        <v>0</v>
      </c>
      <c r="P156" s="59">
        <f>VLOOKUP(A156,'Mandato Ibov'!$B$2:$D$215,3,0)</f>
        <v>0</v>
      </c>
      <c r="Q156" s="42">
        <f t="shared" si="29"/>
        <v>0</v>
      </c>
      <c r="R156" s="15">
        <v>-0.84799999999999998</v>
      </c>
      <c r="S156" s="15">
        <v>-0.49399999999999999</v>
      </c>
      <c r="T156" s="15">
        <v>-0.94399999999999995</v>
      </c>
      <c r="U156" s="15">
        <v>-0.78600000000000003</v>
      </c>
      <c r="V156" s="15">
        <v>-0.71899999999999997</v>
      </c>
      <c r="W156" s="15">
        <v>-0.629</v>
      </c>
      <c r="X156" s="15">
        <v>-0.47399999999999998</v>
      </c>
      <c r="Y156" s="15">
        <v>-0.53400000000000003</v>
      </c>
      <c r="Z156" s="15">
        <v>0.20899999999999999</v>
      </c>
      <c r="AA156" s="15">
        <v>0.214</v>
      </c>
      <c r="AB156" s="15">
        <v>0.624</v>
      </c>
      <c r="AC156" s="15">
        <v>0.64300000000000002</v>
      </c>
      <c r="AD156" s="15">
        <v>0.40400000000000003</v>
      </c>
      <c r="AE156" s="14">
        <v>-0.71799999999999997</v>
      </c>
      <c r="AF156" s="15">
        <v>-0.72699999999999998</v>
      </c>
      <c r="AG156" s="15">
        <v>-0.17899999999999999</v>
      </c>
      <c r="AH156" s="15">
        <v>-0.97</v>
      </c>
      <c r="AI156" s="15">
        <v>-0.71499999999999997</v>
      </c>
      <c r="AJ156" s="16">
        <v>-1</v>
      </c>
      <c r="AK156" s="4">
        <v>-0.34100000000000003</v>
      </c>
      <c r="AL156" s="4">
        <v>-0.55700000000000005</v>
      </c>
      <c r="AM156" s="4">
        <v>-0.56699999999999995</v>
      </c>
      <c r="AN156" s="4">
        <v>-0.189</v>
      </c>
      <c r="AO156" s="4">
        <v>0.32700000000000001</v>
      </c>
      <c r="AP156" s="4">
        <v>0.54300000000000004</v>
      </c>
      <c r="AQ156" s="4">
        <v>-6.4000000000000001E-2</v>
      </c>
      <c r="AR156" s="4">
        <v>-0.32</v>
      </c>
      <c r="AS156" s="4">
        <v>-4.5999999999999999E-2</v>
      </c>
      <c r="AT156" s="4">
        <v>1.2E-2</v>
      </c>
      <c r="AU156" s="4">
        <v>-0.26600000000000001</v>
      </c>
      <c r="AV156" s="4">
        <v>-0.26400000000000001</v>
      </c>
      <c r="AW156" s="4">
        <v>0.52500000000000002</v>
      </c>
      <c r="AX156" s="4">
        <v>-0.80600000000000005</v>
      </c>
      <c r="AY156" s="4">
        <v>0.96299999999999997</v>
      </c>
      <c r="AZ156" s="4">
        <v>0.44500000000000001</v>
      </c>
      <c r="BA156" s="4">
        <v>0.17699999999999999</v>
      </c>
      <c r="BB156" s="4">
        <v>0.14099999999999999</v>
      </c>
      <c r="BC156" s="4">
        <v>-9.4E-2</v>
      </c>
      <c r="BD156" s="4">
        <v>0.28399999999999997</v>
      </c>
      <c r="BE156" s="4">
        <v>-0.21099999999999999</v>
      </c>
      <c r="BF156" s="4">
        <v>0.67400000000000004</v>
      </c>
      <c r="BG156" s="4">
        <v>0.66100000000000003</v>
      </c>
      <c r="BH156" s="4">
        <v>-0.47599999999999998</v>
      </c>
      <c r="BI156" s="4">
        <v>1.0999999999999999E-2</v>
      </c>
      <c r="BJ156" s="4">
        <v>-0.39400000000000002</v>
      </c>
      <c r="BK156" s="4">
        <v>-0.48899999999999999</v>
      </c>
      <c r="BL156" s="4"/>
      <c r="BM156" s="4">
        <f t="shared" si="30"/>
        <v>-0.30401369999999994</v>
      </c>
    </row>
    <row r="157" spans="1:65" x14ac:dyDescent="0.3">
      <c r="A157" t="s">
        <v>139</v>
      </c>
      <c r="B157" s="53">
        <f t="shared" si="23"/>
        <v>0</v>
      </c>
      <c r="C157" s="53">
        <f t="shared" si="24"/>
        <v>-3.0000000000000001E-3</v>
      </c>
      <c r="D157" s="53">
        <f t="shared" si="25"/>
        <v>0</v>
      </c>
      <c r="E157" s="53">
        <f t="shared" si="26"/>
        <v>3.0000000000000001E-3</v>
      </c>
      <c r="F157" s="15">
        <v>0.57199999999999995</v>
      </c>
      <c r="G157">
        <v>0.68300000000000005</v>
      </c>
      <c r="H157" t="s">
        <v>71</v>
      </c>
      <c r="I157" t="str">
        <f>VLOOKUP(A157,Planilha6!$BL$9:$BN$222,2,0)</f>
        <v>basic_materials</v>
      </c>
      <c r="J157" t="str">
        <f>VLOOKUP(A157,Planilha6!$BL$9:$BN$222,3,0)</f>
        <v>high_beta</v>
      </c>
      <c r="K157" s="41">
        <v>0</v>
      </c>
      <c r="L157" s="42">
        <v>-3.0000000000000001E-3</v>
      </c>
      <c r="M157" s="41">
        <f>VLOOKUP(A157,'Mandato Ibov'!$B$1:$C$215,2,0)</f>
        <v>0</v>
      </c>
      <c r="N157" s="59">
        <f t="shared" si="27"/>
        <v>0</v>
      </c>
      <c r="O157" s="42">
        <f t="shared" si="28"/>
        <v>0</v>
      </c>
      <c r="P157" s="59">
        <f>VLOOKUP(A157,'Mandato Ibov'!$B$2:$D$215,3,0)</f>
        <v>0</v>
      </c>
      <c r="Q157" s="42">
        <f t="shared" si="29"/>
        <v>0</v>
      </c>
      <c r="R157" s="15">
        <v>-0.88800000000000001</v>
      </c>
      <c r="S157" s="15">
        <v>-0.76500000000000001</v>
      </c>
      <c r="T157" s="15">
        <v>-0.95699999999999996</v>
      </c>
      <c r="U157" s="15">
        <v>-0.82099999999999995</v>
      </c>
      <c r="V157" s="15">
        <v>-0.82799999999999996</v>
      </c>
      <c r="W157" s="15">
        <v>-0.53500000000000003</v>
      </c>
      <c r="X157" s="15">
        <v>-0.18</v>
      </c>
      <c r="Y157" s="15">
        <v>-0.39900000000000002</v>
      </c>
      <c r="Z157" s="15">
        <v>0.35699999999999998</v>
      </c>
      <c r="AA157" s="15">
        <v>0.35699999999999998</v>
      </c>
      <c r="AB157" s="15">
        <v>0.41799999999999998</v>
      </c>
      <c r="AC157" s="15">
        <v>0.43</v>
      </c>
      <c r="AD157" s="15">
        <v>0.23499999999999999</v>
      </c>
      <c r="AE157" s="14">
        <v>-0.754</v>
      </c>
      <c r="AF157" s="15">
        <v>-0.41</v>
      </c>
      <c r="AG157" s="15">
        <v>-1</v>
      </c>
      <c r="AH157" s="15">
        <v>-0.88200000000000001</v>
      </c>
      <c r="AI157" s="15">
        <v>-1</v>
      </c>
      <c r="AJ157" s="16">
        <v>-0.89900000000000002</v>
      </c>
      <c r="AK157" s="4">
        <v>-0.47699999999999998</v>
      </c>
      <c r="AL157" s="4">
        <v>0.61899999999999999</v>
      </c>
      <c r="AM157" s="4">
        <v>-0.751</v>
      </c>
      <c r="AN157" s="4">
        <v>-0.60399999999999998</v>
      </c>
      <c r="AO157" s="4">
        <v>-0.49399999999999999</v>
      </c>
      <c r="AP157" s="4">
        <v>-0.69199999999999995</v>
      </c>
      <c r="AQ157" s="4">
        <v>0.28100000000000003</v>
      </c>
      <c r="AR157" s="4">
        <v>-0.06</v>
      </c>
      <c r="AS157" s="4">
        <v>-0.13600000000000001</v>
      </c>
      <c r="AT157" s="4">
        <v>0.33800000000000002</v>
      </c>
      <c r="AU157" s="4">
        <v>1.6E-2</v>
      </c>
      <c r="AV157" s="4">
        <v>-0.39600000000000002</v>
      </c>
      <c r="AW157" s="4">
        <v>0.16900000000000001</v>
      </c>
      <c r="AX157" s="4">
        <v>0.27300000000000002</v>
      </c>
      <c r="AY157" s="4">
        <v>0.32900000000000001</v>
      </c>
      <c r="AZ157" s="4">
        <v>-0.999</v>
      </c>
      <c r="BA157" s="4">
        <v>0.40699999999999997</v>
      </c>
      <c r="BB157" s="4">
        <v>0.312</v>
      </c>
      <c r="BC157" s="4">
        <v>-8.3000000000000004E-2</v>
      </c>
      <c r="BD157" s="4">
        <v>0.20200000000000001</v>
      </c>
      <c r="BE157" s="4">
        <v>0.26400000000000001</v>
      </c>
      <c r="BF157" s="4">
        <v>-0.55700000000000005</v>
      </c>
      <c r="BG157" s="4">
        <v>0.79200000000000004</v>
      </c>
      <c r="BH157" s="4">
        <v>-0.311</v>
      </c>
      <c r="BI157" s="4">
        <v>-0.183</v>
      </c>
      <c r="BJ157" s="4">
        <v>0.34200000000000003</v>
      </c>
      <c r="BK157" s="4">
        <v>-0.35099999999999998</v>
      </c>
      <c r="BL157" s="4"/>
      <c r="BM157" s="4">
        <f t="shared" si="30"/>
        <v>-0.30655619999999995</v>
      </c>
    </row>
    <row r="158" spans="1:65" hidden="1" x14ac:dyDescent="0.3">
      <c r="A158" t="s">
        <v>197</v>
      </c>
      <c r="B158" s="53">
        <f t="shared" si="23"/>
        <v>0</v>
      </c>
      <c r="C158" s="53">
        <f t="shared" si="24"/>
        <v>-1.6E-2</v>
      </c>
      <c r="D158" s="53">
        <f t="shared" si="25"/>
        <v>0</v>
      </c>
      <c r="E158" s="53">
        <f t="shared" si="26"/>
        <v>1.6E-2</v>
      </c>
      <c r="F158" s="15">
        <v>0.57099999999999995</v>
      </c>
      <c r="G158">
        <v>1.0369999999999999</v>
      </c>
      <c r="H158" t="s">
        <v>53</v>
      </c>
      <c r="I158" t="str">
        <f>VLOOKUP(A158,Planilha6!$BL$9:$BN$222,2,0)</f>
        <v>healthcare</v>
      </c>
      <c r="J158" t="str">
        <f>VLOOKUP(A158,Planilha6!$BL$9:$BN$222,3,0)</f>
        <v>low_beta</v>
      </c>
      <c r="K158" s="41">
        <v>0</v>
      </c>
      <c r="L158" s="42">
        <v>-1.6E-2</v>
      </c>
      <c r="M158" s="41">
        <f>VLOOKUP(A158,'Mandato Ibov'!$B$1:$C$215,2,0)</f>
        <v>0</v>
      </c>
      <c r="N158" s="59">
        <f t="shared" si="27"/>
        <v>0</v>
      </c>
      <c r="O158" s="42">
        <f t="shared" si="28"/>
        <v>0</v>
      </c>
      <c r="P158" s="59">
        <f>VLOOKUP(A158,'Mandato Ibov'!$B$2:$D$215,3,0)</f>
        <v>0</v>
      </c>
      <c r="Q158" s="42">
        <f t="shared" si="29"/>
        <v>0</v>
      </c>
      <c r="R158" s="15">
        <v>-0.77100000000000002</v>
      </c>
      <c r="S158" s="15">
        <v>-0.64100000000000001</v>
      </c>
      <c r="T158" s="15">
        <v>-0.91300000000000003</v>
      </c>
      <c r="U158" s="15">
        <v>-0.72</v>
      </c>
      <c r="V158" s="15">
        <v>-0.73599999999999999</v>
      </c>
      <c r="W158" s="15">
        <v>-0.50700000000000001</v>
      </c>
      <c r="X158" s="15">
        <v>-0.218</v>
      </c>
      <c r="Y158" s="15">
        <v>-0.52500000000000002</v>
      </c>
      <c r="Z158" s="15">
        <v>5.6000000000000001E-2</v>
      </c>
      <c r="AA158" s="15">
        <v>5.8000000000000003E-2</v>
      </c>
      <c r="AB158" s="15">
        <v>0.56699999999999995</v>
      </c>
      <c r="AC158" s="15">
        <v>0.56799999999999995</v>
      </c>
      <c r="AD158" s="15">
        <v>0.27700000000000002</v>
      </c>
      <c r="AE158" s="14">
        <v>-0.498</v>
      </c>
      <c r="AF158" s="15">
        <v>1.0999999999999999E-2</v>
      </c>
      <c r="AG158" s="15">
        <v>-0.80600000000000005</v>
      </c>
      <c r="AH158" s="15">
        <v>-0.95299999999999996</v>
      </c>
      <c r="AI158" s="15">
        <v>-1</v>
      </c>
      <c r="AJ158" s="16">
        <v>-0.97599999999999998</v>
      </c>
      <c r="AK158" s="4">
        <v>-0.49299999999999999</v>
      </c>
      <c r="AL158" s="4">
        <v>-0.16400000000000001</v>
      </c>
      <c r="AM158" s="4">
        <v>-0.84099999999999997</v>
      </c>
      <c r="AN158" s="4">
        <v>0.498</v>
      </c>
      <c r="AO158" s="4">
        <v>-0.19700000000000001</v>
      </c>
      <c r="AP158" s="4">
        <v>-0.23100000000000001</v>
      </c>
      <c r="AQ158" s="4">
        <v>0.442</v>
      </c>
      <c r="AR158" s="4">
        <v>0.26200000000000001</v>
      </c>
      <c r="AS158" s="4">
        <v>-4.5999999999999999E-2</v>
      </c>
      <c r="AT158" s="4">
        <v>0.111</v>
      </c>
      <c r="AU158" s="4">
        <v>-0.29299999999999998</v>
      </c>
      <c r="AV158" s="4">
        <v>-0.107</v>
      </c>
      <c r="AW158" s="4">
        <v>0.254</v>
      </c>
      <c r="AX158" s="4">
        <v>0.223</v>
      </c>
      <c r="AY158" s="4">
        <v>0.88400000000000001</v>
      </c>
      <c r="AZ158" s="4">
        <v>-5.8000000000000003E-2</v>
      </c>
      <c r="BA158" s="4">
        <v>0.46899999999999997</v>
      </c>
      <c r="BB158" s="4">
        <v>0.28799999999999998</v>
      </c>
      <c r="BC158" s="4">
        <v>-0.108</v>
      </c>
      <c r="BD158" s="4">
        <v>0.14699999999999999</v>
      </c>
      <c r="BE158" s="4">
        <v>-4.1000000000000002E-2</v>
      </c>
      <c r="BF158" s="4">
        <v>1</v>
      </c>
      <c r="BG158" s="4">
        <v>0.753</v>
      </c>
      <c r="BH158" s="4">
        <v>-0.32400000000000001</v>
      </c>
      <c r="BI158" s="4">
        <v>-0.20200000000000001</v>
      </c>
      <c r="BJ158" s="4">
        <v>-0.159</v>
      </c>
      <c r="BK158" s="4">
        <v>-0.872</v>
      </c>
      <c r="BL158" s="4"/>
      <c r="BM158" s="4">
        <f t="shared" si="30"/>
        <v>-0.30766020000000005</v>
      </c>
    </row>
    <row r="159" spans="1:65" hidden="1" x14ac:dyDescent="0.3">
      <c r="A159" t="s">
        <v>226</v>
      </c>
      <c r="B159" s="53">
        <f t="shared" si="23"/>
        <v>0</v>
      </c>
      <c r="C159" s="53">
        <f t="shared" si="24"/>
        <v>-1.7999999999999999E-2</v>
      </c>
      <c r="D159" s="53">
        <f t="shared" si="25"/>
        <v>0</v>
      </c>
      <c r="E159" s="53">
        <f t="shared" si="26"/>
        <v>1.7999999999999999E-2</v>
      </c>
      <c r="F159" s="15">
        <v>0.56999999999999995</v>
      </c>
      <c r="G159">
        <v>0.89700000000000002</v>
      </c>
      <c r="H159" t="s">
        <v>55</v>
      </c>
      <c r="I159" t="str">
        <f>VLOOKUP(A159,Planilha6!$BL$9:$BN$222,2,0)</f>
        <v>utilities</v>
      </c>
      <c r="J159" t="str">
        <f>VLOOKUP(A159,Planilha6!$BL$9:$BN$222,3,0)</f>
        <v>neutral_beta</v>
      </c>
      <c r="K159" s="41">
        <v>0</v>
      </c>
      <c r="L159" s="42">
        <v>-1.7999999999999999E-2</v>
      </c>
      <c r="M159" s="41">
        <f>VLOOKUP(A159,'Mandato Ibov'!$B$1:$C$215,2,0)</f>
        <v>0</v>
      </c>
      <c r="N159" s="59">
        <f t="shared" si="27"/>
        <v>0</v>
      </c>
      <c r="O159" s="42">
        <f t="shared" si="28"/>
        <v>0</v>
      </c>
      <c r="P159" s="59">
        <f>VLOOKUP(A159,'Mandato Ibov'!$B$2:$D$215,3,0)</f>
        <v>0</v>
      </c>
      <c r="Q159" s="42">
        <f t="shared" si="29"/>
        <v>0</v>
      </c>
      <c r="R159" s="15">
        <v>-0.71299999999999997</v>
      </c>
      <c r="S159" s="15">
        <v>-0.47499999999999998</v>
      </c>
      <c r="T159" s="15">
        <v>-0.88300000000000001</v>
      </c>
      <c r="U159" s="15">
        <v>-0.59499999999999997</v>
      </c>
      <c r="V159" s="15">
        <v>-0.63100000000000001</v>
      </c>
      <c r="W159" s="15">
        <v>-0.70899999999999996</v>
      </c>
      <c r="X159" s="15">
        <v>-0.72099999999999997</v>
      </c>
      <c r="Y159" s="15">
        <v>-0.69299999999999995</v>
      </c>
      <c r="Z159" s="15">
        <v>0.22700000000000001</v>
      </c>
      <c r="AA159" s="15">
        <v>0.22900000000000001</v>
      </c>
      <c r="AB159" s="15">
        <v>0.54</v>
      </c>
      <c r="AC159" s="15">
        <v>0.60199999999999998</v>
      </c>
      <c r="AD159" s="15">
        <v>0.47299999999999998</v>
      </c>
      <c r="AE159" s="14">
        <v>-0.64</v>
      </c>
      <c r="AF159" s="15">
        <v>-0.39400000000000002</v>
      </c>
      <c r="AG159" s="15">
        <v>-8.5000000000000006E-2</v>
      </c>
      <c r="AH159" s="15">
        <v>-0.996</v>
      </c>
      <c r="AI159" s="15">
        <v>-0.66200000000000003</v>
      </c>
      <c r="AJ159" s="16">
        <v>-0.81599999999999995</v>
      </c>
      <c r="AK159" s="4">
        <v>-0.372</v>
      </c>
      <c r="AL159" s="4">
        <v>-1</v>
      </c>
      <c r="AM159" s="4">
        <v>-0.68400000000000005</v>
      </c>
      <c r="AN159" s="4">
        <v>-3.5999999999999997E-2</v>
      </c>
      <c r="AO159" s="4">
        <v>0.64</v>
      </c>
      <c r="AP159" s="4">
        <v>0.22700000000000001</v>
      </c>
      <c r="AQ159" s="4">
        <v>0.53700000000000003</v>
      </c>
      <c r="AR159" s="4">
        <v>0.52</v>
      </c>
      <c r="AS159" s="4">
        <v>0.53400000000000003</v>
      </c>
      <c r="AT159" s="4">
        <v>1.2E-2</v>
      </c>
      <c r="AU159" s="4">
        <v>-9.0999999999999998E-2</v>
      </c>
      <c r="AV159" s="4">
        <v>7.0000000000000007E-2</v>
      </c>
      <c r="AW159" s="4">
        <v>0.26200000000000001</v>
      </c>
      <c r="AX159" s="4">
        <v>-0.33700000000000002</v>
      </c>
      <c r="AY159" s="4">
        <v>0.79100000000000004</v>
      </c>
      <c r="AZ159" s="4">
        <v>0.68</v>
      </c>
      <c r="BA159" s="4">
        <v>0.76500000000000001</v>
      </c>
      <c r="BB159" s="4">
        <v>-0.129</v>
      </c>
      <c r="BC159" s="4">
        <v>-0.59599999999999997</v>
      </c>
      <c r="BD159" s="4">
        <v>0.57799999999999996</v>
      </c>
      <c r="BE159" s="4">
        <v>-1</v>
      </c>
      <c r="BF159" s="4">
        <v>-1</v>
      </c>
      <c r="BG159" s="4">
        <v>-0.47199999999999998</v>
      </c>
      <c r="BH159" s="4">
        <v>-0.53900000000000003</v>
      </c>
      <c r="BI159" s="4">
        <v>-0.105</v>
      </c>
      <c r="BJ159" s="4">
        <v>-0.48099999999999998</v>
      </c>
      <c r="BK159" s="4">
        <v>-0.45700000000000002</v>
      </c>
      <c r="BL159" s="4"/>
      <c r="BM159" s="4">
        <f t="shared" si="30"/>
        <v>-0.31152599999999997</v>
      </c>
    </row>
    <row r="160" spans="1:65" hidden="1" x14ac:dyDescent="0.3">
      <c r="A160" t="s">
        <v>156</v>
      </c>
      <c r="B160" s="53">
        <f t="shared" si="23"/>
        <v>0</v>
      </c>
      <c r="C160" s="53">
        <f t="shared" si="24"/>
        <v>0</v>
      </c>
      <c r="D160" s="53">
        <f t="shared" si="25"/>
        <v>0</v>
      </c>
      <c r="E160" s="53">
        <f t="shared" si="26"/>
        <v>0</v>
      </c>
      <c r="F160" s="15">
        <v>0.56799999999999995</v>
      </c>
      <c r="G160">
        <v>0.53100000000000003</v>
      </c>
      <c r="H160" t="s">
        <v>55</v>
      </c>
      <c r="I160" t="str">
        <f>VLOOKUP(A160,Planilha6!$BL$9:$BN$222,2,0)</f>
        <v>transportation</v>
      </c>
      <c r="J160" t="str">
        <f>VLOOKUP(A160,Planilha6!$BL$9:$BN$222,3,0)</f>
        <v>very_high_beta</v>
      </c>
      <c r="K160" s="41">
        <v>0</v>
      </c>
      <c r="L160" s="42">
        <v>0</v>
      </c>
      <c r="M160" s="41">
        <f>VLOOKUP(A160,'Mandato Ibov'!$B$1:$C$215,2,0)</f>
        <v>0</v>
      </c>
      <c r="N160" s="59">
        <f t="shared" si="27"/>
        <v>0</v>
      </c>
      <c r="O160" s="42">
        <f t="shared" si="28"/>
        <v>0</v>
      </c>
      <c r="P160" s="59">
        <f>VLOOKUP(A160,'Mandato Ibov'!$B$2:$D$215,3,0)</f>
        <v>6.7889261017899799E-3</v>
      </c>
      <c r="Q160" s="42">
        <f t="shared" si="29"/>
        <v>-6.7889261017899799E-3</v>
      </c>
      <c r="R160" s="15">
        <v>-0.74299999999999999</v>
      </c>
      <c r="S160" s="15">
        <v>-0.56999999999999995</v>
      </c>
      <c r="T160" s="15">
        <v>-0.86699999999999999</v>
      </c>
      <c r="U160" s="15">
        <v>-0.59299999999999997</v>
      </c>
      <c r="V160" s="15">
        <v>-0.66</v>
      </c>
      <c r="W160" s="15">
        <v>-0.66300000000000003</v>
      </c>
      <c r="X160" s="15">
        <v>-0.51200000000000001</v>
      </c>
      <c r="Y160" s="15">
        <v>-0.71299999999999997</v>
      </c>
      <c r="Z160" s="15">
        <v>0.24399999999999999</v>
      </c>
      <c r="AA160" s="15">
        <v>0.247</v>
      </c>
      <c r="AB160" s="15">
        <v>0.57899999999999996</v>
      </c>
      <c r="AC160" s="15">
        <v>0.71099999999999997</v>
      </c>
      <c r="AD160" s="15">
        <v>0.376</v>
      </c>
      <c r="AE160" s="14">
        <v>-0.82499999999999996</v>
      </c>
      <c r="AF160" s="15">
        <v>0.27400000000000002</v>
      </c>
      <c r="AG160" s="15">
        <v>0.58899999999999997</v>
      </c>
      <c r="AH160" s="15">
        <v>-0.42599999999999999</v>
      </c>
      <c r="AI160" s="15">
        <v>-0.40799999999999997</v>
      </c>
      <c r="AJ160" s="16">
        <v>-0.77700000000000002</v>
      </c>
      <c r="AK160" s="4">
        <v>-0.122</v>
      </c>
      <c r="AL160" s="4">
        <v>-0.56599999999999995</v>
      </c>
      <c r="AM160" s="4">
        <v>-1E-3</v>
      </c>
      <c r="AN160" s="4">
        <v>0.22800000000000001</v>
      </c>
      <c r="AO160" s="4">
        <v>0.121</v>
      </c>
      <c r="AP160" s="4">
        <v>-0.438</v>
      </c>
      <c r="AQ160" s="4">
        <v>0.57999999999999996</v>
      </c>
      <c r="AR160" s="4">
        <v>-0.19800000000000001</v>
      </c>
      <c r="AS160" s="4">
        <v>-0.29299999999999998</v>
      </c>
      <c r="AT160" s="4">
        <v>0.11899999999999999</v>
      </c>
      <c r="AU160" s="4">
        <v>0.23300000000000001</v>
      </c>
      <c r="AV160" s="4">
        <v>-0.32300000000000001</v>
      </c>
      <c r="AW160" s="4">
        <v>-0.318</v>
      </c>
      <c r="AX160" s="4">
        <v>-0.95699999999999996</v>
      </c>
      <c r="AY160" s="4">
        <v>0.92800000000000005</v>
      </c>
      <c r="AZ160" s="4">
        <v>-0.34499999999999997</v>
      </c>
      <c r="BA160" s="4">
        <v>0.39300000000000002</v>
      </c>
      <c r="BB160" s="4">
        <v>-0.70699999999999996</v>
      </c>
      <c r="BC160" s="4">
        <v>-1</v>
      </c>
      <c r="BD160" s="4">
        <v>5.0000000000000001E-3</v>
      </c>
      <c r="BE160" s="4">
        <v>-0.20899999999999999</v>
      </c>
      <c r="BF160" s="4">
        <v>0.51600000000000001</v>
      </c>
      <c r="BG160" s="4">
        <v>0.13200000000000001</v>
      </c>
      <c r="BH160" s="4">
        <v>-0.24199999999999999</v>
      </c>
      <c r="BI160" s="4">
        <v>0.93600000000000005</v>
      </c>
      <c r="BJ160" s="4">
        <v>-0.25600000000000001</v>
      </c>
      <c r="BK160" s="4">
        <v>6.3E-2</v>
      </c>
      <c r="BL160" s="4"/>
      <c r="BM160" s="4">
        <f t="shared" si="30"/>
        <v>-0.31622289999999997</v>
      </c>
    </row>
    <row r="161" spans="1:65" hidden="1" x14ac:dyDescent="0.3">
      <c r="A161" t="s">
        <v>229</v>
      </c>
      <c r="B161" s="53">
        <f t="shared" si="23"/>
        <v>0</v>
      </c>
      <c r="C161" s="53">
        <f t="shared" si="24"/>
        <v>0</v>
      </c>
      <c r="D161" s="53">
        <f t="shared" si="25"/>
        <v>0</v>
      </c>
      <c r="E161" s="53">
        <f t="shared" si="26"/>
        <v>0</v>
      </c>
      <c r="F161" s="15">
        <v>0.56699999999999995</v>
      </c>
      <c r="G161">
        <v>0.439</v>
      </c>
      <c r="H161" t="s">
        <v>71</v>
      </c>
      <c r="I161" t="str">
        <f>VLOOKUP(A161,Planilha6!$BL$9:$BN$222,2,0)</f>
        <v>food</v>
      </c>
      <c r="J161" t="str">
        <f>VLOOKUP(A161,Planilha6!$BL$9:$BN$222,3,0)</f>
        <v>very_low_beta</v>
      </c>
      <c r="K161" s="41">
        <v>0</v>
      </c>
      <c r="L161" s="42">
        <v>0</v>
      </c>
      <c r="M161" s="41">
        <f>VLOOKUP(A161,'Mandato Ibov'!$B$1:$C$215,2,0)</f>
        <v>0</v>
      </c>
      <c r="N161" s="59">
        <f t="shared" si="27"/>
        <v>0</v>
      </c>
      <c r="O161" s="42">
        <f t="shared" si="28"/>
        <v>0</v>
      </c>
      <c r="P161" s="59">
        <f>VLOOKUP(A161,'Mandato Ibov'!$B$2:$D$215,3,0)</f>
        <v>0</v>
      </c>
      <c r="Q161" s="42">
        <f t="shared" si="29"/>
        <v>0</v>
      </c>
      <c r="R161" s="15">
        <v>-0.80700000000000005</v>
      </c>
      <c r="S161" s="15">
        <v>-0.69699999999999995</v>
      </c>
      <c r="T161" s="15">
        <v>-0.873</v>
      </c>
      <c r="U161" s="15">
        <v>-0.79300000000000004</v>
      </c>
      <c r="V161" s="15">
        <v>-0.77500000000000002</v>
      </c>
      <c r="W161" s="15">
        <v>-0.67900000000000005</v>
      </c>
      <c r="X161" s="15">
        <v>-0.66800000000000004</v>
      </c>
      <c r="Y161" s="15">
        <v>-0.70599999999999996</v>
      </c>
      <c r="Z161" s="15">
        <v>0.44400000000000001</v>
      </c>
      <c r="AA161" s="15">
        <v>0.44600000000000001</v>
      </c>
      <c r="AB161" s="15">
        <v>0.59899999999999998</v>
      </c>
      <c r="AC161" s="15">
        <v>0.71299999999999997</v>
      </c>
      <c r="AD161" s="15">
        <v>0.47899999999999998</v>
      </c>
      <c r="AE161" s="14">
        <v>-0.77800000000000002</v>
      </c>
      <c r="AF161" s="15">
        <v>-0.55400000000000005</v>
      </c>
      <c r="AG161" s="15">
        <v>-0.122</v>
      </c>
      <c r="AH161" s="15">
        <v>-0.44400000000000001</v>
      </c>
      <c r="AI161" s="15">
        <v>-0.46800000000000003</v>
      </c>
      <c r="AJ161" s="16">
        <v>-0.82299999999999995</v>
      </c>
      <c r="AK161" s="4">
        <v>-0.33400000000000002</v>
      </c>
      <c r="AL161" s="4">
        <v>-0.46899999999999997</v>
      </c>
      <c r="AM161" s="4">
        <v>-6.6000000000000003E-2</v>
      </c>
      <c r="AN161" s="4">
        <v>-0.12</v>
      </c>
      <c r="AO161" s="4">
        <v>2.3E-2</v>
      </c>
      <c r="AP161" s="4">
        <v>0.19400000000000001</v>
      </c>
      <c r="AQ161" s="4">
        <v>-0.317</v>
      </c>
      <c r="AR161" s="4">
        <v>0.59499999999999997</v>
      </c>
      <c r="AS161" s="4">
        <v>0.36599999999999999</v>
      </c>
      <c r="AT161" s="4">
        <v>-2.5000000000000001E-2</v>
      </c>
      <c r="AU161" s="4">
        <v>-0.113</v>
      </c>
      <c r="AV161" s="4">
        <v>-0.44800000000000001</v>
      </c>
      <c r="AW161" s="4">
        <v>0.19700000000000001</v>
      </c>
      <c r="AX161" s="4">
        <v>-0.26500000000000001</v>
      </c>
      <c r="AY161" s="4">
        <v>0.57099999999999995</v>
      </c>
      <c r="AZ161" s="4">
        <v>-0.223</v>
      </c>
      <c r="BA161" s="4">
        <v>0.48699999999999999</v>
      </c>
      <c r="BB161" s="4">
        <v>-9.1999999999999998E-2</v>
      </c>
      <c r="BC161" s="4">
        <v>-0.443</v>
      </c>
      <c r="BD161" s="4">
        <v>0.105</v>
      </c>
      <c r="BE161" s="4">
        <v>0.36899999999999999</v>
      </c>
      <c r="BF161" s="4">
        <v>0.56100000000000005</v>
      </c>
      <c r="BG161" s="4">
        <v>0.26900000000000002</v>
      </c>
      <c r="BH161" s="4">
        <v>-0.06</v>
      </c>
      <c r="BI161" s="4">
        <v>-0.85599999999999998</v>
      </c>
      <c r="BJ161" s="4">
        <v>-0.20300000000000001</v>
      </c>
      <c r="BK161" s="4">
        <v>9.4E-2</v>
      </c>
      <c r="BL161" s="4"/>
      <c r="BM161" s="4">
        <f t="shared" si="30"/>
        <v>-0.31827079999999996</v>
      </c>
    </row>
    <row r="162" spans="1:65" hidden="1" x14ac:dyDescent="0.3">
      <c r="A162" t="s">
        <v>170</v>
      </c>
      <c r="B162" s="53">
        <f t="shared" si="23"/>
        <v>0</v>
      </c>
      <c r="C162" s="53">
        <f t="shared" si="24"/>
        <v>0</v>
      </c>
      <c r="D162" s="53">
        <f t="shared" si="25"/>
        <v>0</v>
      </c>
      <c r="E162" s="53">
        <f t="shared" si="26"/>
        <v>0</v>
      </c>
      <c r="F162" s="15">
        <v>0.56599999999999995</v>
      </c>
      <c r="G162">
        <v>0.48799999999999999</v>
      </c>
      <c r="H162" t="s">
        <v>57</v>
      </c>
      <c r="I162" t="str">
        <f>VLOOKUP(A162,Planilha6!$BL$9:$BN$222,2,0)</f>
        <v>consumer_durables</v>
      </c>
      <c r="J162" t="str">
        <f>VLOOKUP(A162,Planilha6!$BL$9:$BN$222,3,0)</f>
        <v>high_beta</v>
      </c>
      <c r="K162" s="41">
        <v>0</v>
      </c>
      <c r="L162" s="42">
        <v>0</v>
      </c>
      <c r="M162" s="41">
        <f>VLOOKUP(A162,'Mandato Ibov'!$B$1:$C$215,2,0)</f>
        <v>0</v>
      </c>
      <c r="N162" s="59">
        <f t="shared" si="27"/>
        <v>0</v>
      </c>
      <c r="O162" s="42">
        <f t="shared" si="28"/>
        <v>0</v>
      </c>
      <c r="P162" s="59">
        <f>VLOOKUP(A162,'Mandato Ibov'!$B$2:$D$215,3,0)</f>
        <v>0</v>
      </c>
      <c r="Q162" s="42">
        <f t="shared" si="29"/>
        <v>0</v>
      </c>
      <c r="R162" s="15">
        <v>-0.57899999999999996</v>
      </c>
      <c r="S162" s="15">
        <v>-0.621</v>
      </c>
      <c r="T162" s="15">
        <v>-0.54600000000000004</v>
      </c>
      <c r="U162" s="15">
        <v>-0.68200000000000005</v>
      </c>
      <c r="V162" s="15">
        <v>-0.65</v>
      </c>
      <c r="W162" s="15">
        <v>-0.60899999999999999</v>
      </c>
      <c r="X162" s="15">
        <v>-0.56599999999999995</v>
      </c>
      <c r="Y162" s="15">
        <v>-0.71099999999999997</v>
      </c>
      <c r="Z162" s="15">
        <v>4.5999999999999999E-2</v>
      </c>
      <c r="AA162" s="15">
        <v>4.7E-2</v>
      </c>
      <c r="AB162" s="15">
        <v>0.52500000000000002</v>
      </c>
      <c r="AC162" s="15">
        <v>0.439</v>
      </c>
      <c r="AD162" s="15">
        <v>0.30099999999999999</v>
      </c>
      <c r="AE162" s="14">
        <v>-0.312</v>
      </c>
      <c r="AF162" s="15">
        <v>-0.17</v>
      </c>
      <c r="AG162" s="15">
        <v>-0.63600000000000001</v>
      </c>
      <c r="AH162" s="15">
        <v>-0.255</v>
      </c>
      <c r="AI162" s="15">
        <v>-0.51500000000000001</v>
      </c>
      <c r="AJ162" s="16">
        <v>-8.6999999999999994E-2</v>
      </c>
      <c r="AK162" s="4">
        <v>-0.19</v>
      </c>
      <c r="AL162" s="4">
        <v>-0.60599999999999998</v>
      </c>
      <c r="AM162" s="4">
        <v>-0.35499999999999998</v>
      </c>
      <c r="AN162" s="4">
        <v>0.28399999999999997</v>
      </c>
      <c r="AO162" s="4">
        <v>-0.39700000000000002</v>
      </c>
      <c r="AP162" s="4">
        <v>-0.32300000000000001</v>
      </c>
      <c r="AQ162" s="4">
        <v>0.32700000000000001</v>
      </c>
      <c r="AR162" s="4">
        <v>3.4000000000000002E-2</v>
      </c>
      <c r="AS162" s="4">
        <v>9.7000000000000003E-2</v>
      </c>
      <c r="AT162" s="4">
        <v>0.32300000000000001</v>
      </c>
      <c r="AU162" s="4">
        <v>-0.17699999999999999</v>
      </c>
      <c r="AV162" s="4">
        <v>6.4000000000000001E-2</v>
      </c>
      <c r="AW162" s="4">
        <v>-0.38700000000000001</v>
      </c>
      <c r="AX162" s="4">
        <v>-0.28299999999999997</v>
      </c>
      <c r="AY162" s="4">
        <v>0.77400000000000002</v>
      </c>
      <c r="AZ162" s="4">
        <v>0.49299999999999999</v>
      </c>
      <c r="BA162" s="4">
        <v>0.63800000000000001</v>
      </c>
      <c r="BB162" s="4">
        <v>-0.10199999999999999</v>
      </c>
      <c r="BC162" s="4">
        <v>-0.29399999999999998</v>
      </c>
      <c r="BD162" s="4">
        <v>0.221</v>
      </c>
      <c r="BE162" s="4">
        <v>-0.27500000000000002</v>
      </c>
      <c r="BF162" s="4">
        <v>-0.28000000000000003</v>
      </c>
      <c r="BG162" s="4">
        <v>0.45200000000000001</v>
      </c>
      <c r="BH162" s="4">
        <v>-0.17</v>
      </c>
      <c r="BI162" s="4">
        <v>0.23899999999999999</v>
      </c>
      <c r="BJ162" s="4">
        <v>-0.17699999999999999</v>
      </c>
      <c r="BK162" s="4">
        <v>-8.9999999999999993E-3</v>
      </c>
      <c r="BL162" s="4"/>
      <c r="BM162" s="4">
        <f t="shared" si="30"/>
        <v>-0.32297399999999993</v>
      </c>
    </row>
    <row r="163" spans="1:65" hidden="1" x14ac:dyDescent="0.3">
      <c r="A163" t="s">
        <v>250</v>
      </c>
      <c r="B163" s="53">
        <f t="shared" si="23"/>
        <v>0</v>
      </c>
      <c r="C163" s="53">
        <f t="shared" si="24"/>
        <v>0</v>
      </c>
      <c r="D163" s="53">
        <f t="shared" si="25"/>
        <v>0</v>
      </c>
      <c r="E163" s="53">
        <f t="shared" si="26"/>
        <v>0</v>
      </c>
      <c r="F163" s="15">
        <v>0.56599999999999995</v>
      </c>
      <c r="G163">
        <v>0.436</v>
      </c>
      <c r="H163" t="s">
        <v>57</v>
      </c>
      <c r="I163" t="str">
        <f>VLOOKUP(A163,Planilha6!$BL$9:$BN$222,2,0)</f>
        <v>tech</v>
      </c>
      <c r="J163" t="str">
        <f>VLOOKUP(A163,Planilha6!$BL$9:$BN$222,3,0)</f>
        <v>very_high_beta</v>
      </c>
      <c r="K163" s="41">
        <v>0</v>
      </c>
      <c r="L163" s="42">
        <v>0</v>
      </c>
      <c r="M163" s="41">
        <f>VLOOKUP(A163,'Mandato Ibov'!$B$1:$C$215,2,0)</f>
        <v>0</v>
      </c>
      <c r="N163" s="59">
        <f t="shared" si="27"/>
        <v>0</v>
      </c>
      <c r="O163" s="42">
        <f t="shared" si="28"/>
        <v>0</v>
      </c>
      <c r="P163" s="59">
        <f>VLOOKUP(A163,'Mandato Ibov'!$B$2:$D$215,3,0)</f>
        <v>0</v>
      </c>
      <c r="Q163" s="42">
        <f t="shared" si="29"/>
        <v>0</v>
      </c>
      <c r="R163" s="15">
        <v>-0.32600000000000001</v>
      </c>
      <c r="S163" s="15">
        <v>-0.70099999999999996</v>
      </c>
      <c r="T163" s="15">
        <v>-0.16400000000000001</v>
      </c>
      <c r="U163" s="15">
        <v>-0.65700000000000003</v>
      </c>
      <c r="V163" s="15">
        <v>-0.65500000000000003</v>
      </c>
      <c r="W163" s="15">
        <v>-0.63500000000000001</v>
      </c>
      <c r="X163" s="15">
        <v>-0.67900000000000005</v>
      </c>
      <c r="Y163" s="15">
        <v>-0.746</v>
      </c>
      <c r="Z163" s="15">
        <v>-0.13600000000000001</v>
      </c>
      <c r="AA163" s="15">
        <v>-0.13800000000000001</v>
      </c>
      <c r="AB163" s="15">
        <v>0.40400000000000003</v>
      </c>
      <c r="AC163" s="15">
        <v>0.56499999999999995</v>
      </c>
      <c r="AD163" s="15">
        <v>0.14899999999999999</v>
      </c>
      <c r="AE163" s="14">
        <v>-6.9000000000000006E-2</v>
      </c>
      <c r="AF163" s="15">
        <v>-0.13600000000000001</v>
      </c>
      <c r="AG163" s="15">
        <v>-0.76100000000000001</v>
      </c>
      <c r="AH163" s="15">
        <v>-0.31</v>
      </c>
      <c r="AI163" s="15">
        <v>-0.222</v>
      </c>
      <c r="AJ163" s="16">
        <v>0.40600000000000003</v>
      </c>
      <c r="AK163" s="4">
        <v>-0.45600000000000002</v>
      </c>
      <c r="AL163" s="4">
        <v>-0.44900000000000001</v>
      </c>
      <c r="AM163" s="4">
        <v>-0.31900000000000001</v>
      </c>
      <c r="AN163" s="4">
        <v>0.35299999999999998</v>
      </c>
      <c r="AO163" s="4">
        <v>-0.217</v>
      </c>
      <c r="AP163" s="4">
        <v>-0.217</v>
      </c>
      <c r="AQ163" s="4">
        <v>-0.17799999999999999</v>
      </c>
      <c r="AR163" s="4">
        <v>0.877</v>
      </c>
      <c r="AS163" s="4">
        <v>0.20300000000000001</v>
      </c>
      <c r="AT163" s="4">
        <v>-0.24399999999999999</v>
      </c>
      <c r="AU163" s="4">
        <v>-0.436</v>
      </c>
      <c r="AV163" s="4">
        <v>0.33700000000000002</v>
      </c>
      <c r="AW163" s="4">
        <v>-0.39500000000000002</v>
      </c>
      <c r="AX163" s="4">
        <v>7.0999999999999994E-2</v>
      </c>
      <c r="AY163" s="4">
        <v>0.76700000000000002</v>
      </c>
      <c r="AZ163" s="4">
        <v>-1.7000000000000001E-2</v>
      </c>
      <c r="BA163" s="4">
        <v>0.155</v>
      </c>
      <c r="BB163" s="4">
        <v>0.39</v>
      </c>
      <c r="BC163" s="4">
        <v>5.7000000000000002E-2</v>
      </c>
      <c r="BD163" s="4">
        <v>0.372</v>
      </c>
      <c r="BE163" s="4">
        <v>-0.14099999999999999</v>
      </c>
      <c r="BF163" s="4">
        <v>3.6999999999999998E-2</v>
      </c>
      <c r="BG163" s="4">
        <v>0.19600000000000001</v>
      </c>
      <c r="BH163" s="4">
        <v>0.36099999999999999</v>
      </c>
      <c r="BI163" s="4">
        <v>0.48199999999999998</v>
      </c>
      <c r="BJ163" s="4">
        <v>4.1000000000000002E-2</v>
      </c>
      <c r="BK163" s="4">
        <v>0.19700000000000001</v>
      </c>
      <c r="BL163" s="4"/>
      <c r="BM163" s="4">
        <f t="shared" si="30"/>
        <v>-0.32230130000000001</v>
      </c>
    </row>
    <row r="164" spans="1:65" hidden="1" x14ac:dyDescent="0.3">
      <c r="A164" t="s">
        <v>202</v>
      </c>
      <c r="B164" s="53">
        <f t="shared" si="23"/>
        <v>0</v>
      </c>
      <c r="C164" s="53">
        <f t="shared" si="24"/>
        <v>0</v>
      </c>
      <c r="D164" s="53">
        <f t="shared" si="25"/>
        <v>0</v>
      </c>
      <c r="E164" s="53">
        <f t="shared" si="26"/>
        <v>0</v>
      </c>
      <c r="F164" s="15">
        <v>0.56299999999999994</v>
      </c>
      <c r="G164">
        <v>0.45200000000000001</v>
      </c>
      <c r="H164" t="s">
        <v>57</v>
      </c>
      <c r="I164" t="str">
        <f>VLOOKUP(A164,Planilha6!$BL$9:$BN$222,2,0)</f>
        <v>transportation</v>
      </c>
      <c r="J164" t="str">
        <f>VLOOKUP(A164,Planilha6!$BL$9:$BN$222,3,0)</f>
        <v>low_beta</v>
      </c>
      <c r="K164" s="41">
        <v>0</v>
      </c>
      <c r="L164" s="42">
        <v>0</v>
      </c>
      <c r="M164" s="41">
        <f>VLOOKUP(A164,'Mandato Ibov'!$B$1:$C$215,2,0)</f>
        <v>0</v>
      </c>
      <c r="N164" s="59">
        <f t="shared" si="27"/>
        <v>0</v>
      </c>
      <c r="O164" s="42">
        <f t="shared" si="28"/>
        <v>0</v>
      </c>
      <c r="P164" s="59">
        <f>VLOOKUP(A164,'Mandato Ibov'!$B$2:$D$215,3,0)</f>
        <v>0</v>
      </c>
      <c r="Q164" s="42">
        <f t="shared" si="29"/>
        <v>0</v>
      </c>
      <c r="R164" s="15">
        <v>-0.59899999999999998</v>
      </c>
      <c r="S164" s="15">
        <v>-0.56799999999999995</v>
      </c>
      <c r="T164" s="15">
        <v>-0.66900000000000004</v>
      </c>
      <c r="U164" s="15">
        <v>-0.75600000000000001</v>
      </c>
      <c r="V164" s="15">
        <v>-0.70799999999999996</v>
      </c>
      <c r="W164" s="15">
        <v>-0.60799999999999998</v>
      </c>
      <c r="X164" s="15">
        <v>-0.48799999999999999</v>
      </c>
      <c r="Y164" s="15">
        <v>-0.755</v>
      </c>
      <c r="Z164" s="15">
        <v>0.16700000000000001</v>
      </c>
      <c r="AA164" s="15">
        <v>0.16500000000000001</v>
      </c>
      <c r="AB164" s="15">
        <v>0.54200000000000004</v>
      </c>
      <c r="AC164" s="15">
        <v>0.45</v>
      </c>
      <c r="AD164" s="15">
        <v>0.25900000000000001</v>
      </c>
      <c r="AE164" s="14">
        <v>-0.53300000000000003</v>
      </c>
      <c r="AF164" s="15">
        <v>-0.51700000000000002</v>
      </c>
      <c r="AG164" s="15">
        <v>-0.70299999999999996</v>
      </c>
      <c r="AH164" s="15">
        <v>-0.67100000000000004</v>
      </c>
      <c r="AI164" s="15">
        <v>-0.30299999999999999</v>
      </c>
      <c r="AJ164" s="16">
        <v>-0.81399999999999995</v>
      </c>
      <c r="AK164" s="4">
        <v>-0.17499999999999999</v>
      </c>
      <c r="AL164" s="4">
        <v>-1</v>
      </c>
      <c r="AM164" s="4">
        <v>-0.755</v>
      </c>
      <c r="AN164" s="4">
        <v>0.33</v>
      </c>
      <c r="AO164" s="4">
        <v>-7.5999999999999998E-2</v>
      </c>
      <c r="AP164" s="4">
        <v>-6.3E-2</v>
      </c>
      <c r="AQ164" s="4">
        <v>-0.28100000000000003</v>
      </c>
      <c r="AR164" s="4">
        <v>0.375</v>
      </c>
      <c r="AS164" s="4">
        <v>0.52500000000000002</v>
      </c>
      <c r="AT164" s="4">
        <v>-0.18</v>
      </c>
      <c r="AU164" s="4">
        <v>3.5999999999999997E-2</v>
      </c>
      <c r="AV164" s="4">
        <v>8.9999999999999993E-3</v>
      </c>
      <c r="AW164" s="4">
        <v>0.14599999999999999</v>
      </c>
      <c r="AX164" s="4">
        <v>-0.185</v>
      </c>
      <c r="AY164" s="4">
        <v>-0.20300000000000001</v>
      </c>
      <c r="AZ164" s="4">
        <v>7.3999999999999996E-2</v>
      </c>
      <c r="BA164" s="4">
        <v>0.874</v>
      </c>
      <c r="BB164" s="4">
        <v>-0.106</v>
      </c>
      <c r="BC164" s="4">
        <v>-0.13500000000000001</v>
      </c>
      <c r="BD164" s="4">
        <v>0.65800000000000003</v>
      </c>
      <c r="BE164" s="4">
        <v>0.188</v>
      </c>
      <c r="BF164" s="4">
        <v>-0.23300000000000001</v>
      </c>
      <c r="BG164" s="4">
        <v>0.60699999999999998</v>
      </c>
      <c r="BH164" s="4">
        <v>-0.252</v>
      </c>
      <c r="BI164" s="4">
        <v>0.16200000000000001</v>
      </c>
      <c r="BJ164" s="4">
        <v>0.52400000000000002</v>
      </c>
      <c r="BK164" s="4">
        <v>0.191</v>
      </c>
      <c r="BL164" s="4"/>
      <c r="BM164" s="4">
        <f t="shared" si="30"/>
        <v>-0.33235760000000003</v>
      </c>
    </row>
    <row r="165" spans="1:65" hidden="1" x14ac:dyDescent="0.3">
      <c r="A165" t="s">
        <v>220</v>
      </c>
      <c r="B165" s="53">
        <f t="shared" si="23"/>
        <v>0</v>
      </c>
      <c r="C165" s="53">
        <f t="shared" si="24"/>
        <v>-1.7000000000000001E-2</v>
      </c>
      <c r="D165" s="53">
        <f t="shared" si="25"/>
        <v>0</v>
      </c>
      <c r="E165" s="53">
        <f t="shared" si="26"/>
        <v>1.7000000000000001E-2</v>
      </c>
      <c r="F165" s="15">
        <v>0.55900000000000005</v>
      </c>
      <c r="G165">
        <v>0.95499999999999996</v>
      </c>
      <c r="H165" t="s">
        <v>57</v>
      </c>
      <c r="I165" t="str">
        <f>VLOOKUP(A165,Planilha6!$BL$9:$BN$222,2,0)</f>
        <v>consumer_services</v>
      </c>
      <c r="J165" t="str">
        <f>VLOOKUP(A165,Planilha6!$BL$9:$BN$222,3,0)</f>
        <v>very_high_beta</v>
      </c>
      <c r="K165" s="41">
        <v>0</v>
      </c>
      <c r="L165" s="42">
        <v>-1.7000000000000001E-2</v>
      </c>
      <c r="M165" s="41">
        <f>VLOOKUP(A165,'Mandato Ibov'!$B$1:$C$215,2,0)</f>
        <v>0</v>
      </c>
      <c r="N165" s="59">
        <f t="shared" si="27"/>
        <v>0</v>
      </c>
      <c r="O165" s="42">
        <f t="shared" si="28"/>
        <v>0</v>
      </c>
      <c r="P165" s="59">
        <f>VLOOKUP(A165,'Mandato Ibov'!$B$2:$D$215,3,0)</f>
        <v>0</v>
      </c>
      <c r="Q165" s="42">
        <f t="shared" si="29"/>
        <v>0</v>
      </c>
      <c r="R165" s="15">
        <v>-0.77400000000000002</v>
      </c>
      <c r="S165" s="15">
        <v>-0.63200000000000001</v>
      </c>
      <c r="T165" s="15">
        <v>-0.93500000000000005</v>
      </c>
      <c r="U165" s="15">
        <v>-0.72799999999999998</v>
      </c>
      <c r="V165" s="15">
        <v>-0.76500000000000001</v>
      </c>
      <c r="W165" s="15">
        <v>-0.71499999999999997</v>
      </c>
      <c r="X165" s="15">
        <v>-0.66400000000000003</v>
      </c>
      <c r="Y165" s="15">
        <v>-0.69</v>
      </c>
      <c r="Z165" s="15">
        <v>0.19800000000000001</v>
      </c>
      <c r="AA165" s="15">
        <v>0.19900000000000001</v>
      </c>
      <c r="AB165" s="15">
        <v>0.59899999999999998</v>
      </c>
      <c r="AC165" s="15">
        <v>0.621</v>
      </c>
      <c r="AD165" s="15">
        <v>0.42699999999999999</v>
      </c>
      <c r="AE165" s="14">
        <v>-0.46800000000000003</v>
      </c>
      <c r="AF165" s="15">
        <v>-0.61199999999999999</v>
      </c>
      <c r="AG165" s="15">
        <v>-0.32300000000000001</v>
      </c>
      <c r="AH165" s="15">
        <v>-0.98699999999999999</v>
      </c>
      <c r="AI165" s="15">
        <v>-0.78</v>
      </c>
      <c r="AJ165" s="16">
        <v>-1</v>
      </c>
      <c r="AK165" s="4">
        <v>-0.188</v>
      </c>
      <c r="AL165" s="4">
        <v>-0.44800000000000001</v>
      </c>
      <c r="AM165" s="4">
        <v>-0.497</v>
      </c>
      <c r="AN165" s="4">
        <v>0.129</v>
      </c>
      <c r="AO165" s="4">
        <v>0.29699999999999999</v>
      </c>
      <c r="AP165" s="4">
        <v>0.46600000000000003</v>
      </c>
      <c r="AQ165" s="4">
        <v>2.3E-2</v>
      </c>
      <c r="AR165" s="4">
        <v>0.159</v>
      </c>
      <c r="AS165" s="4">
        <v>0.16800000000000001</v>
      </c>
      <c r="AT165" s="4">
        <v>8.3000000000000004E-2</v>
      </c>
      <c r="AU165" s="4">
        <v>-0.29699999999999999</v>
      </c>
      <c r="AV165" s="4">
        <v>-2.1000000000000001E-2</v>
      </c>
      <c r="AW165" s="4">
        <v>-6.9000000000000006E-2</v>
      </c>
      <c r="AX165" s="4">
        <v>-0.26</v>
      </c>
      <c r="AY165" s="4">
        <v>0.51900000000000002</v>
      </c>
      <c r="AZ165" s="4">
        <v>-9.5000000000000001E-2</v>
      </c>
      <c r="BA165" s="4">
        <v>0.27300000000000002</v>
      </c>
      <c r="BB165" s="4">
        <v>4.1000000000000002E-2</v>
      </c>
      <c r="BC165" s="4">
        <v>-0.128</v>
      </c>
      <c r="BD165" s="4">
        <v>0.29899999999999999</v>
      </c>
      <c r="BE165" s="4">
        <v>-0.52900000000000003</v>
      </c>
      <c r="BF165" s="4">
        <v>-0.74099999999999999</v>
      </c>
      <c r="BG165" s="4">
        <v>0.19900000000000001</v>
      </c>
      <c r="BH165" s="4">
        <v>-0.11799999999999999</v>
      </c>
      <c r="BI165" s="4">
        <v>0.4</v>
      </c>
      <c r="BJ165" s="4">
        <v>-0.54200000000000004</v>
      </c>
      <c r="BK165" s="4">
        <v>-0.52700000000000002</v>
      </c>
      <c r="BL165" s="4"/>
      <c r="BM165" s="4">
        <f t="shared" si="30"/>
        <v>-0.34389320000000007</v>
      </c>
    </row>
    <row r="166" spans="1:65" hidden="1" x14ac:dyDescent="0.3">
      <c r="A166" t="s">
        <v>140</v>
      </c>
      <c r="B166" s="53">
        <f t="shared" si="23"/>
        <v>0</v>
      </c>
      <c r="C166" s="53">
        <f t="shared" si="24"/>
        <v>-6.0000000000000001E-3</v>
      </c>
      <c r="D166" s="53">
        <f t="shared" si="25"/>
        <v>0</v>
      </c>
      <c r="E166" s="53">
        <f t="shared" si="26"/>
        <v>6.0000000000000001E-3</v>
      </c>
      <c r="F166" s="15">
        <v>0.55600000000000005</v>
      </c>
      <c r="G166">
        <v>0.41599999999999998</v>
      </c>
      <c r="H166" t="s">
        <v>71</v>
      </c>
      <c r="I166" t="str">
        <f>VLOOKUP(A166,Planilha6!$BL$9:$BN$222,2,0)</f>
        <v>food</v>
      </c>
      <c r="J166" t="str">
        <f>VLOOKUP(A166,Planilha6!$BL$9:$BN$222,3,0)</f>
        <v>very_low_beta</v>
      </c>
      <c r="K166" s="41">
        <v>0</v>
      </c>
      <c r="L166" s="42">
        <v>-6.0000000000000001E-3</v>
      </c>
      <c r="M166" s="41">
        <f>VLOOKUP(A166,'Mandato Ibov'!$B$1:$C$215,2,0)</f>
        <v>0</v>
      </c>
      <c r="N166" s="59">
        <f t="shared" si="27"/>
        <v>0</v>
      </c>
      <c r="O166" s="42">
        <f t="shared" si="28"/>
        <v>0</v>
      </c>
      <c r="P166" s="59">
        <f>VLOOKUP(A166,'Mandato Ibov'!$B$2:$D$215,3,0)</f>
        <v>0</v>
      </c>
      <c r="Q166" s="42">
        <f t="shared" si="29"/>
        <v>0</v>
      </c>
      <c r="R166" s="15">
        <v>-0.95299999999999996</v>
      </c>
      <c r="S166" s="15">
        <v>-0.84699999999999998</v>
      </c>
      <c r="T166" s="15">
        <v>-1</v>
      </c>
      <c r="U166" s="15">
        <v>-0.77</v>
      </c>
      <c r="V166" s="15">
        <v>-0.82299999999999995</v>
      </c>
      <c r="W166" s="15">
        <v>-0.82899999999999996</v>
      </c>
      <c r="X166" s="15">
        <v>-0.82499999999999996</v>
      </c>
      <c r="Y166" s="15">
        <v>-0.34399999999999997</v>
      </c>
      <c r="Z166" s="15">
        <v>0.373</v>
      </c>
      <c r="AA166" s="15">
        <v>0.371</v>
      </c>
      <c r="AB166" s="15">
        <v>0.47499999999999998</v>
      </c>
      <c r="AC166" s="15">
        <v>0.70499999999999996</v>
      </c>
      <c r="AD166" s="15">
        <v>0.246</v>
      </c>
      <c r="AE166" s="14">
        <v>-0.41299999999999998</v>
      </c>
      <c r="AF166" s="15">
        <v>-0.35599999999999998</v>
      </c>
      <c r="AG166" s="15">
        <v>-0.48199999999999998</v>
      </c>
      <c r="AH166" s="15">
        <v>-0.67900000000000005</v>
      </c>
      <c r="AI166" s="15">
        <v>-1</v>
      </c>
      <c r="AJ166" s="16">
        <v>-0.99</v>
      </c>
      <c r="AK166" s="4">
        <v>0.155</v>
      </c>
      <c r="AL166" s="4">
        <v>0.91400000000000003</v>
      </c>
      <c r="AM166" s="4">
        <v>-0.497</v>
      </c>
      <c r="AN166" s="4">
        <v>-0.32900000000000001</v>
      </c>
      <c r="AO166" s="4">
        <v>3.2000000000000001E-2</v>
      </c>
      <c r="AP166" s="4">
        <v>-0.314</v>
      </c>
      <c r="AQ166" s="4">
        <v>-0.17</v>
      </c>
      <c r="AR166" s="4">
        <v>-0.30499999999999999</v>
      </c>
      <c r="AS166" s="4">
        <v>-0.11600000000000001</v>
      </c>
      <c r="AT166" s="4">
        <v>0.16900000000000001</v>
      </c>
      <c r="AU166" s="4">
        <v>-0.46800000000000003</v>
      </c>
      <c r="AV166" s="4">
        <v>-0.312</v>
      </c>
      <c r="AW166" s="4">
        <v>6.0000000000000001E-3</v>
      </c>
      <c r="AX166" s="4">
        <v>-0.58199999999999996</v>
      </c>
      <c r="AY166" s="4">
        <v>0.76600000000000001</v>
      </c>
      <c r="AZ166" s="4">
        <v>-2.5999999999999999E-2</v>
      </c>
      <c r="BA166" s="4">
        <v>-0.36299999999999999</v>
      </c>
      <c r="BB166" s="4">
        <v>0.51300000000000001</v>
      </c>
      <c r="BC166" s="4">
        <v>0.02</v>
      </c>
      <c r="BD166" s="4">
        <v>7.3999999999999996E-2</v>
      </c>
      <c r="BE166" s="4">
        <v>-0.33</v>
      </c>
      <c r="BF166" s="4">
        <v>-0.32600000000000001</v>
      </c>
      <c r="BG166" s="4">
        <v>-0.77600000000000002</v>
      </c>
      <c r="BH166" s="4">
        <v>-0.82799999999999996</v>
      </c>
      <c r="BI166" s="4">
        <v>-0.77100000000000002</v>
      </c>
      <c r="BJ166" s="4">
        <v>-0.47599999999999998</v>
      </c>
      <c r="BK166" s="4">
        <v>-0.52200000000000002</v>
      </c>
      <c r="BL166" s="4"/>
      <c r="BM166" s="4">
        <f t="shared" si="30"/>
        <v>-0.35424159999999999</v>
      </c>
    </row>
    <row r="167" spans="1:65" hidden="1" x14ac:dyDescent="0.3">
      <c r="A167" t="s">
        <v>169</v>
      </c>
      <c r="B167" s="53">
        <f t="shared" si="23"/>
        <v>0</v>
      </c>
      <c r="C167" s="53">
        <f t="shared" si="24"/>
        <v>0</v>
      </c>
      <c r="D167" s="53">
        <f t="shared" si="25"/>
        <v>0</v>
      </c>
      <c r="E167" s="53">
        <f t="shared" si="26"/>
        <v>0</v>
      </c>
      <c r="F167" s="15">
        <v>0.55300000000000005</v>
      </c>
      <c r="G167">
        <v>0.53500000000000003</v>
      </c>
      <c r="H167" t="s">
        <v>57</v>
      </c>
      <c r="I167" t="str">
        <f>VLOOKUP(A167,Planilha6!$BL$9:$BN$222,2,0)</f>
        <v>homebuilders</v>
      </c>
      <c r="J167" t="str">
        <f>VLOOKUP(A167,Planilha6!$BL$9:$BN$222,3,0)</f>
        <v>very_high_beta</v>
      </c>
      <c r="K167" s="41">
        <v>0</v>
      </c>
      <c r="L167" s="42">
        <v>0</v>
      </c>
      <c r="M167" s="41">
        <f>VLOOKUP(A167,'Mandato Ibov'!$B$1:$C$215,2,0)</f>
        <v>0</v>
      </c>
      <c r="N167" s="59">
        <f t="shared" si="27"/>
        <v>0</v>
      </c>
      <c r="O167" s="42">
        <f t="shared" si="28"/>
        <v>0</v>
      </c>
      <c r="P167" s="59">
        <f>VLOOKUP(A167,'Mandato Ibov'!$B$2:$D$215,3,0)</f>
        <v>0</v>
      </c>
      <c r="Q167" s="42">
        <f t="shared" si="29"/>
        <v>0</v>
      </c>
      <c r="R167" s="15">
        <v>-0.72399999999999998</v>
      </c>
      <c r="S167" s="15">
        <v>-0.65100000000000002</v>
      </c>
      <c r="T167" s="15">
        <v>-0.71699999999999997</v>
      </c>
      <c r="U167" s="15">
        <v>-0.76700000000000002</v>
      </c>
      <c r="V167" s="15">
        <v>-0.71499999999999997</v>
      </c>
      <c r="W167" s="15">
        <v>-0.71199999999999997</v>
      </c>
      <c r="X167" s="15">
        <v>-0.66600000000000004</v>
      </c>
      <c r="Y167" s="15">
        <v>-0.73099999999999998</v>
      </c>
      <c r="Z167" s="15">
        <v>0.24299999999999999</v>
      </c>
      <c r="AA167" s="15">
        <v>0.245</v>
      </c>
      <c r="AB167" s="15">
        <v>0.54300000000000004</v>
      </c>
      <c r="AC167" s="15">
        <v>0.65</v>
      </c>
      <c r="AD167" s="15">
        <v>0.23100000000000001</v>
      </c>
      <c r="AE167" s="14">
        <v>-0.97199999999999998</v>
      </c>
      <c r="AF167" s="15">
        <v>0.11</v>
      </c>
      <c r="AG167" s="15">
        <v>-0.499</v>
      </c>
      <c r="AH167" s="15">
        <v>-0.79700000000000004</v>
      </c>
      <c r="AI167" s="15">
        <v>-0.79200000000000004</v>
      </c>
      <c r="AJ167" s="16">
        <v>-0.54900000000000004</v>
      </c>
      <c r="AK167" s="4">
        <v>-0.27300000000000002</v>
      </c>
      <c r="AL167" s="4">
        <v>-0.59699999999999998</v>
      </c>
      <c r="AM167" s="4">
        <v>-0.38300000000000001</v>
      </c>
      <c r="AN167" s="4">
        <v>0.221</v>
      </c>
      <c r="AO167" s="4">
        <v>-0.115</v>
      </c>
      <c r="AP167" s="4">
        <v>0.153</v>
      </c>
      <c r="AQ167" s="4">
        <v>0.42</v>
      </c>
      <c r="AR167" s="4">
        <v>0.19500000000000001</v>
      </c>
      <c r="AS167" s="4">
        <v>-4.3999999999999997E-2</v>
      </c>
      <c r="AT167" s="4">
        <v>0.28499999999999998</v>
      </c>
      <c r="AU167" s="4">
        <v>-6.9000000000000006E-2</v>
      </c>
      <c r="AV167" s="4">
        <v>-0.63700000000000001</v>
      </c>
      <c r="AW167" s="4">
        <v>3.9E-2</v>
      </c>
      <c r="AX167" s="4">
        <v>-0.17799999999999999</v>
      </c>
      <c r="AY167" s="4">
        <v>0.75</v>
      </c>
      <c r="AZ167" s="4">
        <v>0.438</v>
      </c>
      <c r="BA167" s="4">
        <v>0.46700000000000003</v>
      </c>
      <c r="BB167" s="4">
        <v>-0.50700000000000001</v>
      </c>
      <c r="BC167" s="4">
        <v>-0.54600000000000004</v>
      </c>
      <c r="BD167" s="4">
        <v>-0.39200000000000002</v>
      </c>
      <c r="BE167" s="4">
        <v>0.436</v>
      </c>
      <c r="BF167" s="4">
        <v>0.157</v>
      </c>
      <c r="BG167" s="4">
        <v>-1.6E-2</v>
      </c>
      <c r="BH167" s="4">
        <v>-0.64900000000000002</v>
      </c>
      <c r="BI167" s="4">
        <v>0.99</v>
      </c>
      <c r="BJ167" s="4">
        <v>0.56799999999999995</v>
      </c>
      <c r="BK167" s="4">
        <v>-0.38700000000000001</v>
      </c>
      <c r="BL167" s="4"/>
      <c r="BM167" s="4">
        <f t="shared" si="30"/>
        <v>-0.36290670000000003</v>
      </c>
    </row>
    <row r="168" spans="1:65" hidden="1" x14ac:dyDescent="0.3">
      <c r="A168" t="s">
        <v>213</v>
      </c>
      <c r="B168" s="53">
        <f t="shared" si="23"/>
        <v>0</v>
      </c>
      <c r="C168" s="53">
        <f t="shared" si="24"/>
        <v>-6.0000000000000001E-3</v>
      </c>
      <c r="D168" s="53">
        <f t="shared" si="25"/>
        <v>0</v>
      </c>
      <c r="E168" s="53">
        <f t="shared" si="26"/>
        <v>6.0000000000000001E-3</v>
      </c>
      <c r="F168" s="15">
        <v>0.55000000000000004</v>
      </c>
      <c r="G168">
        <v>0.74399999999999999</v>
      </c>
      <c r="H168" t="s">
        <v>57</v>
      </c>
      <c r="I168" t="str">
        <f>VLOOKUP(A168,Planilha6!$BL$9:$BN$222,2,0)</f>
        <v>tech</v>
      </c>
      <c r="J168" t="str">
        <f>VLOOKUP(A168,Planilha6!$BL$9:$BN$222,3,0)</f>
        <v>neutral_beta</v>
      </c>
      <c r="K168" s="41">
        <v>0</v>
      </c>
      <c r="L168" s="42">
        <v>-6.0000000000000001E-3</v>
      </c>
      <c r="M168" s="41">
        <f>VLOOKUP(A168,'Mandato Ibov'!$B$1:$C$215,2,0)</f>
        <v>0</v>
      </c>
      <c r="N168" s="59">
        <f t="shared" si="27"/>
        <v>0</v>
      </c>
      <c r="O168" s="42">
        <f t="shared" si="28"/>
        <v>0</v>
      </c>
      <c r="P168" s="59">
        <f>VLOOKUP(A168,'Mandato Ibov'!$B$2:$D$215,3,0)</f>
        <v>0</v>
      </c>
      <c r="Q168" s="42">
        <f t="shared" si="29"/>
        <v>0</v>
      </c>
      <c r="R168" s="15">
        <v>-0.76200000000000001</v>
      </c>
      <c r="S168" s="15">
        <v>-0.64400000000000002</v>
      </c>
      <c r="T168" s="15">
        <v>-0.85099999999999998</v>
      </c>
      <c r="U168" s="15">
        <v>-0.69199999999999995</v>
      </c>
      <c r="V168" s="15">
        <v>-0.70499999999999996</v>
      </c>
      <c r="W168" s="15">
        <v>-0.54800000000000004</v>
      </c>
      <c r="X168" s="15">
        <v>-0.121</v>
      </c>
      <c r="Y168" s="15">
        <v>-0.63900000000000001</v>
      </c>
      <c r="Z168" s="15">
        <v>0.11600000000000001</v>
      </c>
      <c r="AA168" s="15">
        <v>0.11899999999999999</v>
      </c>
      <c r="AB168" s="15">
        <v>0.35799999999999998</v>
      </c>
      <c r="AC168" s="15">
        <v>0.372</v>
      </c>
      <c r="AD168" s="15">
        <v>2.3E-2</v>
      </c>
      <c r="AE168" s="14">
        <v>-6.4000000000000001E-2</v>
      </c>
      <c r="AF168" s="15">
        <v>-0.44800000000000001</v>
      </c>
      <c r="AG168" s="15">
        <v>-1</v>
      </c>
      <c r="AH168" s="15">
        <v>-0.93500000000000005</v>
      </c>
      <c r="AI168" s="15">
        <v>-1</v>
      </c>
      <c r="AJ168" s="16">
        <v>-0.128</v>
      </c>
      <c r="AK168" s="4">
        <v>-0.41399999999999998</v>
      </c>
      <c r="AL168" s="4">
        <v>-0.754</v>
      </c>
      <c r="AM168" s="4">
        <v>-0.94799999999999995</v>
      </c>
      <c r="AN168" s="4">
        <v>0.41899999999999998</v>
      </c>
      <c r="AO168" s="4">
        <v>-0.68700000000000006</v>
      </c>
      <c r="AP168" s="4">
        <v>-0.83599999999999997</v>
      </c>
      <c r="AQ168" s="4">
        <v>0.40699999999999997</v>
      </c>
      <c r="AR168" s="4">
        <v>0.23200000000000001</v>
      </c>
      <c r="AS168" s="4">
        <v>1.4E-2</v>
      </c>
      <c r="AT168" s="4">
        <v>0.495</v>
      </c>
      <c r="AU168" s="4">
        <v>0.25800000000000001</v>
      </c>
      <c r="AV168" s="4">
        <v>0.69199999999999995</v>
      </c>
      <c r="AW168" s="4">
        <v>0.26300000000000001</v>
      </c>
      <c r="AX168" s="4">
        <v>7.0999999999999994E-2</v>
      </c>
      <c r="AY168" s="4">
        <v>0.90700000000000003</v>
      </c>
      <c r="AZ168" s="4">
        <v>4.0000000000000001E-3</v>
      </c>
      <c r="BA168" s="4">
        <v>0.442</v>
      </c>
      <c r="BB168" s="4">
        <v>-0.219</v>
      </c>
      <c r="BC168" s="4">
        <v>-0.436</v>
      </c>
      <c r="BD168" s="4">
        <v>9.7000000000000003E-2</v>
      </c>
      <c r="BE168" s="4">
        <v>0.314</v>
      </c>
      <c r="BF168" s="4">
        <v>0.16400000000000001</v>
      </c>
      <c r="BG168" s="4">
        <v>0.82199999999999995</v>
      </c>
      <c r="BH168" s="4">
        <v>-0.33900000000000002</v>
      </c>
      <c r="BI168" s="4">
        <v>-0.121</v>
      </c>
      <c r="BJ168" s="4">
        <v>-0.26300000000000001</v>
      </c>
      <c r="BK168" s="4">
        <v>-0.63</v>
      </c>
      <c r="BL168" s="4"/>
      <c r="BM168" s="4">
        <f t="shared" si="30"/>
        <v>-0.3719402</v>
      </c>
    </row>
    <row r="169" spans="1:65" hidden="1" x14ac:dyDescent="0.3">
      <c r="A169" t="s">
        <v>183</v>
      </c>
      <c r="B169" s="53">
        <f t="shared" si="23"/>
        <v>0</v>
      </c>
      <c r="C169" s="53">
        <f t="shared" si="24"/>
        <v>0</v>
      </c>
      <c r="D169" s="53">
        <f t="shared" si="25"/>
        <v>0</v>
      </c>
      <c r="E169" s="53">
        <f t="shared" si="26"/>
        <v>0</v>
      </c>
      <c r="F169" s="15">
        <v>0.54900000000000004</v>
      </c>
      <c r="G169">
        <v>0.63300000000000001</v>
      </c>
      <c r="H169" t="s">
        <v>68</v>
      </c>
      <c r="I169" t="str">
        <f>VLOOKUP(A169,Planilha6!$BL$9:$BN$222,2,0)</f>
        <v>capital_goods</v>
      </c>
      <c r="J169" t="str">
        <f>VLOOKUP(A169,Planilha6!$BL$9:$BN$222,3,0)</f>
        <v>low_beta</v>
      </c>
      <c r="K169" s="41">
        <v>0</v>
      </c>
      <c r="L169" s="42">
        <v>0</v>
      </c>
      <c r="M169" s="41">
        <f>VLOOKUP(A169,'Mandato Ibov'!$B$1:$C$215,2,0)</f>
        <v>0</v>
      </c>
      <c r="N169" s="59">
        <f t="shared" si="27"/>
        <v>0</v>
      </c>
      <c r="O169" s="42">
        <f t="shared" si="28"/>
        <v>0</v>
      </c>
      <c r="P169" s="59">
        <f>VLOOKUP(A169,'Mandato Ibov'!$B$2:$D$215,3,0)</f>
        <v>0</v>
      </c>
      <c r="Q169" s="42">
        <f t="shared" si="29"/>
        <v>0</v>
      </c>
      <c r="R169" s="15">
        <v>-0.77</v>
      </c>
      <c r="S169" s="15">
        <v>-0.66600000000000004</v>
      </c>
      <c r="T169" s="15">
        <v>-0.86199999999999999</v>
      </c>
      <c r="U169" s="15">
        <v>-0.78900000000000003</v>
      </c>
      <c r="V169" s="15">
        <v>-0.76400000000000001</v>
      </c>
      <c r="W169" s="15">
        <v>-0.67500000000000004</v>
      </c>
      <c r="X169" s="15">
        <v>-0.58199999999999996</v>
      </c>
      <c r="Y169" s="15">
        <v>-0.71399999999999997</v>
      </c>
      <c r="Z169" s="15">
        <v>0.16300000000000001</v>
      </c>
      <c r="AA169" s="15">
        <v>0.16500000000000001</v>
      </c>
      <c r="AB169" s="15">
        <v>0.45400000000000001</v>
      </c>
      <c r="AC169" s="15">
        <v>0.47499999999999998</v>
      </c>
      <c r="AD169" s="15">
        <v>0.30199999999999999</v>
      </c>
      <c r="AE169" s="14">
        <v>-0.50900000000000001</v>
      </c>
      <c r="AF169" s="15">
        <v>-0.55600000000000005</v>
      </c>
      <c r="AG169" s="15">
        <v>-0.75600000000000001</v>
      </c>
      <c r="AH169" s="15">
        <v>-0.81699999999999995</v>
      </c>
      <c r="AI169" s="15">
        <v>-0.68700000000000006</v>
      </c>
      <c r="AJ169" s="16">
        <v>-0.90600000000000003</v>
      </c>
      <c r="AK169" s="4">
        <v>-7.9000000000000001E-2</v>
      </c>
      <c r="AL169" s="4">
        <v>-0.74099999999999999</v>
      </c>
      <c r="AM169" s="4">
        <v>-0.69399999999999995</v>
      </c>
      <c r="AN169" s="4">
        <v>0.23100000000000001</v>
      </c>
      <c r="AO169" s="4">
        <v>-0.314</v>
      </c>
      <c r="AP169" s="4">
        <v>-6.3E-2</v>
      </c>
      <c r="AQ169" s="4">
        <v>0.14299999999999999</v>
      </c>
      <c r="AR169" s="4">
        <v>8.2000000000000003E-2</v>
      </c>
      <c r="AS169" s="4">
        <v>-0.27</v>
      </c>
      <c r="AT169" s="4">
        <v>0.48899999999999999</v>
      </c>
      <c r="AU169" s="4">
        <v>-0.434</v>
      </c>
      <c r="AV169" s="4">
        <v>-8.7999999999999995E-2</v>
      </c>
      <c r="AW169" s="4">
        <v>0.32900000000000001</v>
      </c>
      <c r="AX169" s="4">
        <v>4.3999999999999997E-2</v>
      </c>
      <c r="AY169" s="4">
        <v>0.95199999999999996</v>
      </c>
      <c r="AZ169" s="4">
        <v>0.34</v>
      </c>
      <c r="BA169" s="4">
        <v>0.63</v>
      </c>
      <c r="BB169" s="4">
        <v>-0.315</v>
      </c>
      <c r="BC169" s="4">
        <v>8.9999999999999993E-3</v>
      </c>
      <c r="BD169" s="4">
        <v>-1.2E-2</v>
      </c>
      <c r="BE169" s="4">
        <v>0.54400000000000004</v>
      </c>
      <c r="BF169" s="4">
        <v>-0.51800000000000002</v>
      </c>
      <c r="BG169" s="4">
        <v>0.58099999999999996</v>
      </c>
      <c r="BH169" s="4">
        <v>-0.43099999999999999</v>
      </c>
      <c r="BI169" s="4">
        <v>0.129</v>
      </c>
      <c r="BJ169" s="4">
        <v>8.2000000000000003E-2</v>
      </c>
      <c r="BK169" s="4">
        <v>-0.34</v>
      </c>
      <c r="BL169" s="4"/>
      <c r="BM169" s="4">
        <f t="shared" si="30"/>
        <v>-0.37611839999999996</v>
      </c>
    </row>
    <row r="170" spans="1:65" hidden="1" x14ac:dyDescent="0.3">
      <c r="A170" t="s">
        <v>228</v>
      </c>
      <c r="B170" s="53">
        <f t="shared" si="23"/>
        <v>0</v>
      </c>
      <c r="C170" s="53">
        <f t="shared" si="24"/>
        <v>0</v>
      </c>
      <c r="D170" s="53">
        <f t="shared" si="25"/>
        <v>0</v>
      </c>
      <c r="E170" s="53">
        <f t="shared" si="26"/>
        <v>0</v>
      </c>
      <c r="F170" s="15">
        <v>0.54800000000000004</v>
      </c>
      <c r="G170">
        <v>0.43</v>
      </c>
      <c r="H170" t="s">
        <v>57</v>
      </c>
      <c r="I170" t="str">
        <f>VLOOKUP(A170,Planilha6!$BL$9:$BN$222,2,0)</f>
        <v>consumer_durables</v>
      </c>
      <c r="J170" t="str">
        <f>VLOOKUP(A170,Planilha6!$BL$9:$BN$222,3,0)</f>
        <v>high_beta</v>
      </c>
      <c r="K170" s="41">
        <v>0</v>
      </c>
      <c r="L170" s="42">
        <v>0</v>
      </c>
      <c r="M170" s="41">
        <f>VLOOKUP(A170,'Mandato Ibov'!$B$1:$C$215,2,0)</f>
        <v>0</v>
      </c>
      <c r="N170" s="59">
        <f t="shared" si="27"/>
        <v>0</v>
      </c>
      <c r="O170" s="42">
        <f t="shared" si="28"/>
        <v>0</v>
      </c>
      <c r="P170" s="59">
        <f>VLOOKUP(A170,'Mandato Ibov'!$B$2:$D$215,3,0)</f>
        <v>0</v>
      </c>
      <c r="Q170" s="42">
        <f t="shared" si="29"/>
        <v>0</v>
      </c>
      <c r="R170" s="15">
        <v>-0.55400000000000005</v>
      </c>
      <c r="S170" s="15">
        <v>-0.71</v>
      </c>
      <c r="T170" s="15">
        <v>-0.23</v>
      </c>
      <c r="U170" s="15">
        <v>-0.76200000000000001</v>
      </c>
      <c r="V170" s="15">
        <v>-0.68100000000000005</v>
      </c>
      <c r="W170" s="15">
        <v>-0.746</v>
      </c>
      <c r="X170" s="15">
        <v>-0.75800000000000001</v>
      </c>
      <c r="Y170" s="15">
        <v>-0.81100000000000005</v>
      </c>
      <c r="Z170" s="15">
        <v>-0.17299999999999999</v>
      </c>
      <c r="AA170" s="15">
        <v>-0.17100000000000001</v>
      </c>
      <c r="AB170" s="15">
        <v>0.59099999999999997</v>
      </c>
      <c r="AC170" s="15">
        <v>0.63900000000000001</v>
      </c>
      <c r="AD170" s="15">
        <v>0.19700000000000001</v>
      </c>
      <c r="AE170" s="14">
        <v>-0.94</v>
      </c>
      <c r="AF170" s="15">
        <v>-0.13</v>
      </c>
      <c r="AG170" s="15">
        <v>-0.13800000000000001</v>
      </c>
      <c r="AH170" s="15">
        <v>0.14599999999999999</v>
      </c>
      <c r="AI170" s="15">
        <v>0.35199999999999998</v>
      </c>
      <c r="AJ170" s="16">
        <v>0.21199999999999999</v>
      </c>
      <c r="AK170" s="4">
        <v>0.17599999999999999</v>
      </c>
      <c r="AL170" s="4">
        <v>-0.71699999999999997</v>
      </c>
      <c r="AM170" s="4">
        <v>-0.67600000000000005</v>
      </c>
      <c r="AN170" s="4">
        <v>-5.6000000000000001E-2</v>
      </c>
      <c r="AO170" s="4">
        <v>-0.17599999999999999</v>
      </c>
      <c r="AP170" s="4">
        <v>-0.186</v>
      </c>
      <c r="AQ170" s="4">
        <v>1.7000000000000001E-2</v>
      </c>
      <c r="AR170" s="4">
        <v>0.114</v>
      </c>
      <c r="AS170" s="4">
        <v>4.8000000000000001E-2</v>
      </c>
      <c r="AT170" s="4">
        <v>0.217</v>
      </c>
      <c r="AU170" s="4">
        <v>-0.158</v>
      </c>
      <c r="AV170" s="4">
        <v>-0.61099999999999999</v>
      </c>
      <c r="AW170" s="4">
        <v>-0.29599999999999999</v>
      </c>
      <c r="AX170" s="4">
        <v>0.44600000000000001</v>
      </c>
      <c r="AY170" s="4">
        <v>7.4999999999999997E-2</v>
      </c>
      <c r="AZ170" s="4">
        <v>6.3E-2</v>
      </c>
      <c r="BA170" s="4">
        <v>-0.154</v>
      </c>
      <c r="BB170" s="4">
        <v>0.307</v>
      </c>
      <c r="BC170" s="4">
        <v>0.63800000000000001</v>
      </c>
      <c r="BD170" s="4">
        <v>-0.89500000000000002</v>
      </c>
      <c r="BE170" s="4">
        <v>-0.83799999999999997</v>
      </c>
      <c r="BF170" s="4">
        <v>-0.71399999999999997</v>
      </c>
      <c r="BG170" s="4">
        <v>0.17699999999999999</v>
      </c>
      <c r="BH170" s="4">
        <v>0.30399999999999999</v>
      </c>
      <c r="BI170" s="4">
        <v>-3.5000000000000003E-2</v>
      </c>
      <c r="BJ170" s="4">
        <v>0.29099999999999998</v>
      </c>
      <c r="BK170" s="4">
        <v>0.34100000000000003</v>
      </c>
      <c r="BL170" s="4"/>
      <c r="BM170" s="4">
        <f t="shared" si="30"/>
        <v>-0.38040950000000001</v>
      </c>
    </row>
    <row r="171" spans="1:65" hidden="1" x14ac:dyDescent="0.3">
      <c r="A171" t="s">
        <v>219</v>
      </c>
      <c r="B171" s="53">
        <f t="shared" si="23"/>
        <v>0</v>
      </c>
      <c r="C171" s="53">
        <f t="shared" si="24"/>
        <v>0</v>
      </c>
      <c r="D171" s="53">
        <f t="shared" si="25"/>
        <v>0</v>
      </c>
      <c r="E171" s="53">
        <f t="shared" si="26"/>
        <v>0</v>
      </c>
      <c r="F171" s="15">
        <v>0.54800000000000004</v>
      </c>
      <c r="G171">
        <v>0.498</v>
      </c>
      <c r="H171" t="s">
        <v>57</v>
      </c>
      <c r="I171" t="str">
        <f>VLOOKUP(A171,Planilha6!$BL$9:$BN$222,2,0)</f>
        <v>banks</v>
      </c>
      <c r="J171" t="str">
        <f>VLOOKUP(A171,Planilha6!$BL$9:$BN$222,3,0)</f>
        <v>neutral_beta</v>
      </c>
      <c r="K171" s="41">
        <v>0</v>
      </c>
      <c r="L171" s="42">
        <v>0</v>
      </c>
      <c r="M171" s="41">
        <f>VLOOKUP(A171,'Mandato Ibov'!$B$1:$C$215,2,0)</f>
        <v>0</v>
      </c>
      <c r="N171" s="59">
        <f t="shared" si="27"/>
        <v>0</v>
      </c>
      <c r="O171" s="42">
        <f t="shared" si="28"/>
        <v>0</v>
      </c>
      <c r="P171" s="59">
        <f>VLOOKUP(A171,'Mandato Ibov'!$B$2:$D$215,3,0)</f>
        <v>0</v>
      </c>
      <c r="Q171" s="42">
        <f t="shared" si="29"/>
        <v>0</v>
      </c>
      <c r="R171" s="15">
        <v>-0.69099999999999995</v>
      </c>
      <c r="S171" s="15">
        <v>-0.65100000000000002</v>
      </c>
      <c r="T171" s="15">
        <v>-0.78500000000000003</v>
      </c>
      <c r="U171" s="15">
        <v>-0.67800000000000005</v>
      </c>
      <c r="V171" s="15">
        <v>-0.69799999999999995</v>
      </c>
      <c r="W171" s="15">
        <v>-0.58399999999999996</v>
      </c>
      <c r="X171" s="15">
        <v>-0.43</v>
      </c>
      <c r="Y171" s="15">
        <v>-0.752</v>
      </c>
      <c r="Z171" s="15">
        <v>0.127</v>
      </c>
      <c r="AA171" s="15">
        <v>0.126</v>
      </c>
      <c r="AB171" s="15">
        <v>0.46300000000000002</v>
      </c>
      <c r="AC171" s="15">
        <v>0.377</v>
      </c>
      <c r="AD171" s="15">
        <v>0.112</v>
      </c>
      <c r="AE171" s="14">
        <v>-0.36399999999999999</v>
      </c>
      <c r="AF171" s="15">
        <v>0.26100000000000001</v>
      </c>
      <c r="AG171" s="15">
        <v>-0.82899999999999996</v>
      </c>
      <c r="AH171" s="15">
        <v>-0.878</v>
      </c>
      <c r="AI171" s="15">
        <v>-0.95099999999999996</v>
      </c>
      <c r="AJ171" s="16">
        <v>-0.313</v>
      </c>
      <c r="AK171" s="4">
        <v>-0.26200000000000001</v>
      </c>
      <c r="AL171" s="4">
        <v>-0.87</v>
      </c>
      <c r="AM171" s="4">
        <v>-0.44800000000000001</v>
      </c>
      <c r="AN171" s="4">
        <v>0.504</v>
      </c>
      <c r="AO171" s="4">
        <v>-0.42399999999999999</v>
      </c>
      <c r="AP171" s="4">
        <v>-0.246</v>
      </c>
      <c r="AQ171" s="4">
        <v>0.77800000000000002</v>
      </c>
      <c r="AR171" s="4">
        <v>0.14599999999999999</v>
      </c>
      <c r="AS171" s="4">
        <v>0.161</v>
      </c>
      <c r="AT171" s="4">
        <v>5.3999999999999999E-2</v>
      </c>
      <c r="AU171" s="4">
        <v>7.8E-2</v>
      </c>
      <c r="AV171" s="4">
        <v>0.2</v>
      </c>
      <c r="AW171" s="4">
        <v>-0.21</v>
      </c>
      <c r="AX171" s="4">
        <v>-0.32400000000000001</v>
      </c>
      <c r="AY171" s="4">
        <v>0.85899999999999999</v>
      </c>
      <c r="AZ171" s="4">
        <v>0.28799999999999998</v>
      </c>
      <c r="BA171" s="4">
        <v>0.873</v>
      </c>
      <c r="BB171" s="4">
        <v>-0.625</v>
      </c>
      <c r="BC171" s="4">
        <v>-0.33800000000000002</v>
      </c>
      <c r="BD171" s="4">
        <v>-3.5000000000000003E-2</v>
      </c>
      <c r="BE171" s="4">
        <v>0.47299999999999998</v>
      </c>
      <c r="BF171" s="4">
        <v>4.2999999999999997E-2</v>
      </c>
      <c r="BG171" s="4">
        <v>0.61899999999999999</v>
      </c>
      <c r="BH171" s="4">
        <v>-0.69899999999999995</v>
      </c>
      <c r="BI171" s="4">
        <v>2.5999999999999999E-2</v>
      </c>
      <c r="BJ171" s="4">
        <v>-2.1999999999999999E-2</v>
      </c>
      <c r="BK171" s="4">
        <v>0.08</v>
      </c>
      <c r="BL171" s="4"/>
      <c r="BM171" s="4">
        <f t="shared" si="30"/>
        <v>-0.38181900000000002</v>
      </c>
    </row>
    <row r="172" spans="1:65" hidden="1" x14ac:dyDescent="0.3">
      <c r="A172" t="s">
        <v>225</v>
      </c>
      <c r="B172" s="53">
        <f t="shared" si="23"/>
        <v>0</v>
      </c>
      <c r="C172" s="53">
        <f t="shared" si="24"/>
        <v>-1E-3</v>
      </c>
      <c r="D172" s="53">
        <f t="shared" si="25"/>
        <v>0</v>
      </c>
      <c r="E172" s="53">
        <f t="shared" si="26"/>
        <v>1E-3</v>
      </c>
      <c r="F172" s="15">
        <v>0.54700000000000004</v>
      </c>
      <c r="G172">
        <v>0.41099999999999998</v>
      </c>
      <c r="H172" t="s">
        <v>71</v>
      </c>
      <c r="I172" t="str">
        <f>VLOOKUP(A172,Planilha6!$BL$9:$BN$222,2,0)</f>
        <v>food</v>
      </c>
      <c r="J172" t="str">
        <f>VLOOKUP(A172,Planilha6!$BL$9:$BN$222,3,0)</f>
        <v>high_beta</v>
      </c>
      <c r="K172" s="41">
        <v>0</v>
      </c>
      <c r="L172" s="42">
        <v>-1E-3</v>
      </c>
      <c r="M172" s="41">
        <f>VLOOKUP(A172,'Mandato Ibov'!$B$1:$C$215,2,0)</f>
        <v>0</v>
      </c>
      <c r="N172" s="59">
        <f t="shared" si="27"/>
        <v>0</v>
      </c>
      <c r="O172" s="42">
        <f t="shared" si="28"/>
        <v>0</v>
      </c>
      <c r="P172" s="59">
        <f>VLOOKUP(A172,'Mandato Ibov'!$B$2:$D$215,3,0)</f>
        <v>0</v>
      </c>
      <c r="Q172" s="42">
        <f t="shared" si="29"/>
        <v>0</v>
      </c>
      <c r="R172" s="15">
        <v>-0.68100000000000005</v>
      </c>
      <c r="S172" s="15">
        <v>-0.80700000000000005</v>
      </c>
      <c r="T172" s="15">
        <v>-0.80600000000000005</v>
      </c>
      <c r="U172" s="15">
        <v>-0.57299999999999995</v>
      </c>
      <c r="V172" s="15">
        <v>-0.753</v>
      </c>
      <c r="W172" s="15">
        <v>-0.61899999999999999</v>
      </c>
      <c r="X172" s="15">
        <v>-0.66</v>
      </c>
      <c r="Y172" s="15">
        <v>-0.77100000000000002</v>
      </c>
      <c r="Z172" s="15">
        <v>9.1999999999999998E-2</v>
      </c>
      <c r="AA172" s="15">
        <v>9.5000000000000001E-2</v>
      </c>
      <c r="AB172" s="15">
        <v>0.46600000000000003</v>
      </c>
      <c r="AC172" s="15">
        <v>0.628</v>
      </c>
      <c r="AD172" s="15">
        <v>0.21299999999999999</v>
      </c>
      <c r="AE172" s="14">
        <v>0.14699999999999999</v>
      </c>
      <c r="AF172" s="15">
        <v>0.23499999999999999</v>
      </c>
      <c r="AG172" s="15">
        <v>-0.68300000000000005</v>
      </c>
      <c r="AH172" s="15">
        <v>0.35199999999999998</v>
      </c>
      <c r="AI172" s="15">
        <v>-0.90300000000000002</v>
      </c>
      <c r="AJ172" s="16">
        <v>-0.75600000000000001</v>
      </c>
      <c r="AK172" s="4">
        <v>1</v>
      </c>
      <c r="AL172" s="4">
        <v>-0.51300000000000001</v>
      </c>
      <c r="AM172" s="4">
        <v>-0.30199999999999999</v>
      </c>
      <c r="AN172" s="4">
        <v>0.30099999999999999</v>
      </c>
      <c r="AO172" s="4">
        <v>-0.95599999999999996</v>
      </c>
      <c r="AP172" s="4">
        <v>-0.80700000000000005</v>
      </c>
      <c r="AQ172" s="4">
        <v>-8.9999999999999993E-3</v>
      </c>
      <c r="AR172" s="4">
        <v>0.47599999999999998</v>
      </c>
      <c r="AS172" s="4">
        <v>0.437</v>
      </c>
      <c r="AT172" s="4">
        <v>0.63200000000000001</v>
      </c>
      <c r="AU172" s="4">
        <v>-0.41</v>
      </c>
      <c r="AV172" s="4">
        <v>-0.11700000000000001</v>
      </c>
      <c r="AW172" s="4">
        <v>0.191</v>
      </c>
      <c r="AX172" s="4">
        <v>-0.29199999999999998</v>
      </c>
      <c r="AY172" s="4">
        <v>-9.2999999999999999E-2</v>
      </c>
      <c r="AZ172" s="4">
        <v>-0.55600000000000005</v>
      </c>
      <c r="BA172" s="4">
        <v>-0.25600000000000001</v>
      </c>
      <c r="BB172" s="4">
        <v>-0.24299999999999999</v>
      </c>
      <c r="BC172" s="4">
        <v>0.34100000000000003</v>
      </c>
      <c r="BD172" s="4">
        <v>-0.14399999999999999</v>
      </c>
      <c r="BE172" s="4">
        <v>0.61499999999999999</v>
      </c>
      <c r="BF172" s="4">
        <v>0.57999999999999996</v>
      </c>
      <c r="BG172" s="4">
        <v>3.3000000000000002E-2</v>
      </c>
      <c r="BH172" s="4">
        <v>0.27300000000000002</v>
      </c>
      <c r="BI172" s="4">
        <v>-0.127</v>
      </c>
      <c r="BJ172" s="4">
        <v>-0.70199999999999996</v>
      </c>
      <c r="BK172" s="4">
        <v>0.22</v>
      </c>
      <c r="BL172" s="4"/>
      <c r="BM172" s="4">
        <f t="shared" si="30"/>
        <v>-0.3831793</v>
      </c>
    </row>
    <row r="173" spans="1:65" hidden="1" x14ac:dyDescent="0.3">
      <c r="A173" t="s">
        <v>217</v>
      </c>
      <c r="B173" s="53">
        <f t="shared" si="23"/>
        <v>0</v>
      </c>
      <c r="C173" s="53">
        <f t="shared" si="24"/>
        <v>-1E-3</v>
      </c>
      <c r="D173" s="53">
        <f t="shared" si="25"/>
        <v>0</v>
      </c>
      <c r="E173" s="53">
        <f t="shared" si="26"/>
        <v>1E-3</v>
      </c>
      <c r="F173" s="15">
        <v>0.54500000000000004</v>
      </c>
      <c r="G173">
        <v>0.50800000000000001</v>
      </c>
      <c r="H173" t="s">
        <v>57</v>
      </c>
      <c r="I173" t="str">
        <f>VLOOKUP(A173,Planilha6!$BL$9:$BN$222,2,0)</f>
        <v>consumer_services</v>
      </c>
      <c r="J173" t="str">
        <f>VLOOKUP(A173,Planilha6!$BL$9:$BN$222,3,0)</f>
        <v>very_high_beta</v>
      </c>
      <c r="K173" s="41">
        <v>0</v>
      </c>
      <c r="L173" s="42">
        <v>-1E-3</v>
      </c>
      <c r="M173" s="41">
        <f>VLOOKUP(A173,'Mandato Ibov'!$B$1:$C$215,2,0)</f>
        <v>0</v>
      </c>
      <c r="N173" s="59">
        <f t="shared" si="27"/>
        <v>0</v>
      </c>
      <c r="O173" s="42">
        <f t="shared" si="28"/>
        <v>0</v>
      </c>
      <c r="P173" s="59">
        <f>VLOOKUP(A173,'Mandato Ibov'!$B$2:$D$215,3,0)</f>
        <v>0</v>
      </c>
      <c r="Q173" s="42">
        <f t="shared" si="29"/>
        <v>0</v>
      </c>
      <c r="R173" s="15">
        <v>-0.79</v>
      </c>
      <c r="S173" s="15">
        <v>-0.71399999999999997</v>
      </c>
      <c r="T173" s="15">
        <v>-0.84899999999999998</v>
      </c>
      <c r="U173" s="15">
        <v>-0.82399999999999995</v>
      </c>
      <c r="V173" s="15">
        <v>-0.80400000000000005</v>
      </c>
      <c r="W173" s="15">
        <v>-0.79900000000000004</v>
      </c>
      <c r="X173" s="15">
        <v>-0.78100000000000003</v>
      </c>
      <c r="Y173" s="15">
        <v>-0.81</v>
      </c>
      <c r="Z173" s="15">
        <v>8.4000000000000005E-2</v>
      </c>
      <c r="AA173" s="15">
        <v>8.8999999999999996E-2</v>
      </c>
      <c r="AB173" s="15">
        <v>0.65300000000000002</v>
      </c>
      <c r="AC173" s="15">
        <v>0.72</v>
      </c>
      <c r="AD173" s="15">
        <v>0.439</v>
      </c>
      <c r="AE173" s="14">
        <v>-1</v>
      </c>
      <c r="AF173" s="15">
        <v>-0.34699999999999998</v>
      </c>
      <c r="AG173" s="15">
        <v>-0.182</v>
      </c>
      <c r="AH173" s="15">
        <v>-0.999</v>
      </c>
      <c r="AI173" s="15">
        <v>-0.65200000000000002</v>
      </c>
      <c r="AJ173" s="16">
        <v>-0.96799999999999997</v>
      </c>
      <c r="AK173" s="4">
        <v>-0.188</v>
      </c>
      <c r="AL173" s="4">
        <v>-0.622</v>
      </c>
      <c r="AM173" s="4">
        <v>-0.497</v>
      </c>
      <c r="AN173" s="4">
        <v>-3.6999999999999998E-2</v>
      </c>
      <c r="AO173" s="4">
        <v>8.6999999999999994E-2</v>
      </c>
      <c r="AP173" s="4">
        <v>0.41699999999999998</v>
      </c>
      <c r="AQ173" s="4">
        <v>6.6000000000000003E-2</v>
      </c>
      <c r="AR173" s="4">
        <v>0.14399999999999999</v>
      </c>
      <c r="AS173" s="4">
        <v>0.124</v>
      </c>
      <c r="AT173" s="4">
        <v>0.17599999999999999</v>
      </c>
      <c r="AU173" s="4">
        <v>-0.29699999999999999</v>
      </c>
      <c r="AV173" s="4">
        <v>-0.88200000000000001</v>
      </c>
      <c r="AW173" s="4">
        <v>-0.188</v>
      </c>
      <c r="AX173" s="4">
        <v>-0.255</v>
      </c>
      <c r="AY173" s="4">
        <v>0.72599999999999998</v>
      </c>
      <c r="AZ173" s="4">
        <v>-1.4E-2</v>
      </c>
      <c r="BA173" s="4">
        <v>0.46700000000000003</v>
      </c>
      <c r="BB173" s="4">
        <v>-0.16900000000000001</v>
      </c>
      <c r="BC173" s="4">
        <v>-0.127</v>
      </c>
      <c r="BD173" s="4">
        <v>0.188</v>
      </c>
      <c r="BE173" s="4">
        <v>-0.58099999999999996</v>
      </c>
      <c r="BF173" s="4">
        <v>-0.84899999999999998</v>
      </c>
      <c r="BG173" s="4">
        <v>0</v>
      </c>
      <c r="BH173" s="4">
        <v>-0.109</v>
      </c>
      <c r="BI173" s="4">
        <v>0.497</v>
      </c>
      <c r="BJ173" s="4">
        <v>0.60499999999999998</v>
      </c>
      <c r="BK173" s="4">
        <v>-0.52700000000000002</v>
      </c>
      <c r="BL173" s="4"/>
      <c r="BM173" s="4">
        <f t="shared" si="30"/>
        <v>-0.39043659999999991</v>
      </c>
    </row>
    <row r="174" spans="1:65" hidden="1" x14ac:dyDescent="0.3">
      <c r="A174" t="s">
        <v>189</v>
      </c>
      <c r="B174" s="53">
        <f t="shared" si="23"/>
        <v>0</v>
      </c>
      <c r="C174" s="53">
        <f t="shared" si="24"/>
        <v>0</v>
      </c>
      <c r="D174" s="53">
        <f t="shared" si="25"/>
        <v>0</v>
      </c>
      <c r="E174" s="53">
        <f t="shared" si="26"/>
        <v>0</v>
      </c>
      <c r="F174" s="15">
        <v>0.54500000000000004</v>
      </c>
      <c r="G174">
        <v>0.64500000000000002</v>
      </c>
      <c r="H174" t="s">
        <v>68</v>
      </c>
      <c r="I174" t="str">
        <f>VLOOKUP(A174,Planilha6!$BL$9:$BN$222,2,0)</f>
        <v>capital_goods</v>
      </c>
      <c r="J174" t="str">
        <f>VLOOKUP(A174,Planilha6!$BL$9:$BN$222,3,0)</f>
        <v>neutral_beta</v>
      </c>
      <c r="K174" s="41">
        <v>0</v>
      </c>
      <c r="L174" s="42">
        <v>0</v>
      </c>
      <c r="M174" s="41">
        <f>VLOOKUP(A174,'Mandato Ibov'!$B$1:$C$215,2,0)</f>
        <v>0</v>
      </c>
      <c r="N174" s="59">
        <f t="shared" si="27"/>
        <v>0</v>
      </c>
      <c r="O174" s="42">
        <f t="shared" si="28"/>
        <v>0</v>
      </c>
      <c r="P174" s="59">
        <f>VLOOKUP(A174,'Mandato Ibov'!$B$2:$D$215,3,0)</f>
        <v>0</v>
      </c>
      <c r="Q174" s="42">
        <f t="shared" si="29"/>
        <v>0</v>
      </c>
      <c r="R174" s="15">
        <v>-0.88600000000000001</v>
      </c>
      <c r="S174" s="15">
        <v>-0.71799999999999997</v>
      </c>
      <c r="T174" s="15">
        <v>-0.80400000000000005</v>
      </c>
      <c r="U174" s="15">
        <v>-0.82899999999999996</v>
      </c>
      <c r="V174" s="15">
        <v>-0.73599999999999999</v>
      </c>
      <c r="W174" s="15">
        <v>-0.72599999999999998</v>
      </c>
      <c r="X174" s="15">
        <v>-0.48699999999999999</v>
      </c>
      <c r="Y174" s="15">
        <v>-0.626</v>
      </c>
      <c r="Z174" s="15">
        <v>0.35699999999999998</v>
      </c>
      <c r="AA174" s="15">
        <v>0.35899999999999999</v>
      </c>
      <c r="AB174" s="15">
        <v>0.41799999999999998</v>
      </c>
      <c r="AC174" s="15">
        <v>0.34</v>
      </c>
      <c r="AD174" s="15">
        <v>0.13900000000000001</v>
      </c>
      <c r="AE174" s="14">
        <v>-0.67400000000000004</v>
      </c>
      <c r="AF174" s="15">
        <v>-0.33100000000000002</v>
      </c>
      <c r="AG174" s="15">
        <v>-0.92700000000000005</v>
      </c>
      <c r="AH174" s="15">
        <v>-0.67300000000000004</v>
      </c>
      <c r="AI174" s="15">
        <v>-0.88500000000000001</v>
      </c>
      <c r="AJ174" s="16">
        <v>-0.113</v>
      </c>
      <c r="AK174" s="4">
        <v>-0.32200000000000001</v>
      </c>
      <c r="AL174" s="4">
        <v>-0.56599999999999995</v>
      </c>
      <c r="AM174" s="4">
        <v>-0.64500000000000002</v>
      </c>
      <c r="AN174" s="4">
        <v>0.13900000000000001</v>
      </c>
      <c r="AO174" s="4">
        <v>-0.38500000000000001</v>
      </c>
      <c r="AP174" s="4">
        <v>-0.48299999999999998</v>
      </c>
      <c r="AQ174" s="4">
        <v>0.439</v>
      </c>
      <c r="AR174" s="4">
        <v>-0.497</v>
      </c>
      <c r="AS174" s="4">
        <v>-0.57599999999999996</v>
      </c>
      <c r="AT174" s="4">
        <v>0.317</v>
      </c>
      <c r="AU174" s="4">
        <v>-5.8000000000000003E-2</v>
      </c>
      <c r="AV174" s="4">
        <v>-0.125</v>
      </c>
      <c r="AW174" s="4">
        <v>0.69</v>
      </c>
      <c r="AX174" s="4">
        <v>-4.3999999999999997E-2</v>
      </c>
      <c r="AY174" s="4">
        <v>0.79100000000000004</v>
      </c>
      <c r="AZ174" s="4">
        <v>0.42099999999999999</v>
      </c>
      <c r="BA174" s="4">
        <v>-0.46500000000000002</v>
      </c>
      <c r="BB174" s="4">
        <v>-0.88300000000000001</v>
      </c>
      <c r="BC174" s="4">
        <v>-0.92600000000000005</v>
      </c>
      <c r="BD174" s="4">
        <v>-0.82199999999999995</v>
      </c>
      <c r="BE174" s="4">
        <v>0.17100000000000001</v>
      </c>
      <c r="BF174" s="4">
        <v>-1</v>
      </c>
      <c r="BG174" s="4">
        <v>0.72599999999999998</v>
      </c>
      <c r="BH174" s="4">
        <v>-0.67600000000000005</v>
      </c>
      <c r="BI174" s="4">
        <v>0.19500000000000001</v>
      </c>
      <c r="BJ174" s="4">
        <v>0.60599999999999998</v>
      </c>
      <c r="BK174" s="4">
        <v>-0.108</v>
      </c>
      <c r="BL174" s="4"/>
      <c r="BM174" s="4">
        <f t="shared" si="30"/>
        <v>-0.39081160000000004</v>
      </c>
    </row>
    <row r="175" spans="1:65" hidden="1" x14ac:dyDescent="0.3">
      <c r="A175" t="s">
        <v>227</v>
      </c>
      <c r="B175" s="53">
        <f t="shared" si="23"/>
        <v>0</v>
      </c>
      <c r="C175" s="53">
        <f t="shared" si="24"/>
        <v>0</v>
      </c>
      <c r="D175" s="53">
        <f t="shared" si="25"/>
        <v>0</v>
      </c>
      <c r="E175" s="53">
        <f t="shared" si="26"/>
        <v>0</v>
      </c>
      <c r="F175" s="15">
        <v>0.54100000000000004</v>
      </c>
      <c r="G175">
        <v>0.46100000000000002</v>
      </c>
      <c r="H175" t="s">
        <v>71</v>
      </c>
      <c r="I175" t="str">
        <f>VLOOKUP(A175,Planilha6!$BL$9:$BN$222,2,0)</f>
        <v>food</v>
      </c>
      <c r="J175" t="str">
        <f>VLOOKUP(A175,Planilha6!$BL$9:$BN$222,3,0)</f>
        <v>very_low_beta</v>
      </c>
      <c r="K175" s="41">
        <v>0</v>
      </c>
      <c r="L175" s="42">
        <v>0</v>
      </c>
      <c r="M175" s="41">
        <f>VLOOKUP(A175,'Mandato Ibov'!$B$1:$C$215,2,0)</f>
        <v>0</v>
      </c>
      <c r="N175" s="59">
        <f t="shared" si="27"/>
        <v>0</v>
      </c>
      <c r="O175" s="42">
        <f t="shared" si="28"/>
        <v>0</v>
      </c>
      <c r="P175" s="59">
        <f>VLOOKUP(A175,'Mandato Ibov'!$B$2:$D$215,3,0)</f>
        <v>0</v>
      </c>
      <c r="Q175" s="42">
        <f t="shared" si="29"/>
        <v>0</v>
      </c>
      <c r="R175" s="15">
        <v>-0.94699999999999995</v>
      </c>
      <c r="S175" s="15">
        <v>-0.78900000000000003</v>
      </c>
      <c r="T175" s="15">
        <v>-1</v>
      </c>
      <c r="U175" s="15">
        <v>-0.876</v>
      </c>
      <c r="V175" s="15">
        <v>-0.85899999999999999</v>
      </c>
      <c r="W175" s="15">
        <v>-0.80300000000000005</v>
      </c>
      <c r="X175" s="15">
        <v>-0.76100000000000001</v>
      </c>
      <c r="Y175" s="15">
        <v>-0.74199999999999999</v>
      </c>
      <c r="Z175" s="15">
        <v>0.45600000000000002</v>
      </c>
      <c r="AA175" s="15">
        <v>0.46100000000000002</v>
      </c>
      <c r="AB175" s="15">
        <v>0.48499999999999999</v>
      </c>
      <c r="AC175" s="15">
        <v>0.54700000000000004</v>
      </c>
      <c r="AD175" s="15">
        <v>0.379</v>
      </c>
      <c r="AE175" s="14">
        <v>-0.96199999999999997</v>
      </c>
      <c r="AF175" s="15">
        <v>-0.73699999999999999</v>
      </c>
      <c r="AG175" s="15">
        <v>-0.27500000000000002</v>
      </c>
      <c r="AH175" s="15">
        <v>-0.98199999999999998</v>
      </c>
      <c r="AI175" s="15">
        <v>-0.96199999999999997</v>
      </c>
      <c r="AJ175" s="16">
        <v>-0.9</v>
      </c>
      <c r="AK175" s="4">
        <v>-0.13</v>
      </c>
      <c r="AL175" s="4">
        <v>-0.46200000000000002</v>
      </c>
      <c r="AM175" s="4">
        <v>-0.59099999999999997</v>
      </c>
      <c r="AN175" s="4">
        <v>-0.38800000000000001</v>
      </c>
      <c r="AO175" s="4">
        <v>0.3</v>
      </c>
      <c r="AP175" s="4">
        <v>0.188</v>
      </c>
      <c r="AQ175" s="4">
        <v>-0.51800000000000002</v>
      </c>
      <c r="AR175" s="4">
        <v>-0.35499999999999998</v>
      </c>
      <c r="AS175" s="4">
        <v>-0.40100000000000002</v>
      </c>
      <c r="AT175" s="4">
        <v>0.64300000000000002</v>
      </c>
      <c r="AU175" s="4">
        <v>-0.45800000000000002</v>
      </c>
      <c r="AV175" s="4">
        <v>-0.65800000000000003</v>
      </c>
      <c r="AW175" s="4">
        <v>0.38400000000000001</v>
      </c>
      <c r="AX175" s="4">
        <v>-0.52400000000000002</v>
      </c>
      <c r="AY175" s="4">
        <v>0.74199999999999999</v>
      </c>
      <c r="AZ175" s="4">
        <v>-0.44400000000000001</v>
      </c>
      <c r="BA175" s="4">
        <v>0.49099999999999999</v>
      </c>
      <c r="BB175" s="4">
        <v>-0.03</v>
      </c>
      <c r="BC175" s="4">
        <v>-0.14000000000000001</v>
      </c>
      <c r="BD175" s="4">
        <v>-1.0999999999999999E-2</v>
      </c>
      <c r="BE175" s="4">
        <v>-9.4E-2</v>
      </c>
      <c r="BF175" s="4">
        <v>0.32800000000000001</v>
      </c>
      <c r="BG175" s="4">
        <v>0.34499999999999997</v>
      </c>
      <c r="BH175" s="4">
        <v>-0.36899999999999999</v>
      </c>
      <c r="BI175" s="4">
        <v>-0.89</v>
      </c>
      <c r="BJ175" s="4">
        <v>0.16700000000000001</v>
      </c>
      <c r="BK175" s="4">
        <v>-0.88300000000000001</v>
      </c>
      <c r="BL175" s="4"/>
      <c r="BM175" s="4">
        <f t="shared" si="30"/>
        <v>-0.4055880999999999</v>
      </c>
    </row>
    <row r="176" spans="1:65" hidden="1" x14ac:dyDescent="0.3">
      <c r="A176" t="s">
        <v>212</v>
      </c>
      <c r="B176" s="53">
        <f t="shared" si="23"/>
        <v>0</v>
      </c>
      <c r="C176" s="53">
        <f t="shared" si="24"/>
        <v>0</v>
      </c>
      <c r="D176" s="53">
        <f t="shared" si="25"/>
        <v>0</v>
      </c>
      <c r="E176" s="53">
        <f t="shared" si="26"/>
        <v>0</v>
      </c>
      <c r="F176" s="15">
        <v>0.53900000000000003</v>
      </c>
      <c r="G176">
        <v>0.42399999999999999</v>
      </c>
      <c r="H176" t="s">
        <v>57</v>
      </c>
      <c r="I176" t="str">
        <f>VLOOKUP(A176,Planilha6!$BL$9:$BN$222,2,0)</f>
        <v>homebuilders</v>
      </c>
      <c r="J176" t="str">
        <f>VLOOKUP(A176,Planilha6!$BL$9:$BN$222,3,0)</f>
        <v>low_beta</v>
      </c>
      <c r="K176" s="41">
        <v>0</v>
      </c>
      <c r="L176" s="42">
        <v>0</v>
      </c>
      <c r="M176" s="41">
        <f>VLOOKUP(A176,'Mandato Ibov'!$B$1:$C$215,2,0)</f>
        <v>0</v>
      </c>
      <c r="N176" s="59">
        <f t="shared" si="27"/>
        <v>0</v>
      </c>
      <c r="O176" s="42">
        <f t="shared" si="28"/>
        <v>0</v>
      </c>
      <c r="P176" s="59">
        <f>VLOOKUP(A176,'Mandato Ibov'!$B$2:$D$215,3,0)</f>
        <v>0</v>
      </c>
      <c r="Q176" s="42">
        <f t="shared" si="29"/>
        <v>0</v>
      </c>
      <c r="R176" s="15">
        <v>-0.84299999999999997</v>
      </c>
      <c r="S176" s="15">
        <v>-0.76600000000000001</v>
      </c>
      <c r="T176" s="15">
        <v>-0.82199999999999995</v>
      </c>
      <c r="U176" s="15">
        <v>-0.82199999999999995</v>
      </c>
      <c r="V176" s="15">
        <v>-0.78900000000000003</v>
      </c>
      <c r="W176" s="15">
        <v>-0.78100000000000003</v>
      </c>
      <c r="X176" s="15">
        <v>-0.71199999999999997</v>
      </c>
      <c r="Y176" s="15">
        <v>-0.746</v>
      </c>
      <c r="Z176" s="15">
        <v>0.22600000000000001</v>
      </c>
      <c r="AA176" s="15">
        <v>0.22800000000000001</v>
      </c>
      <c r="AB176" s="15">
        <v>0.35599999999999998</v>
      </c>
      <c r="AC176" s="15">
        <v>0.40300000000000002</v>
      </c>
      <c r="AD176" s="15">
        <v>0.30399999999999999</v>
      </c>
      <c r="AE176" s="14">
        <v>-0.74299999999999999</v>
      </c>
      <c r="AF176" s="15">
        <v>-0.45400000000000001</v>
      </c>
      <c r="AG176" s="15">
        <v>-0.81699999999999995</v>
      </c>
      <c r="AH176" s="15">
        <v>-0.46</v>
      </c>
      <c r="AI176" s="15">
        <v>-0.39100000000000001</v>
      </c>
      <c r="AJ176" s="16">
        <v>-0.315</v>
      </c>
      <c r="AK176" s="4">
        <v>-0.18099999999999999</v>
      </c>
      <c r="AL176" s="4">
        <v>-0.373</v>
      </c>
      <c r="AM176" s="4">
        <v>-0.68200000000000005</v>
      </c>
      <c r="AN176" s="4">
        <v>-0.39300000000000002</v>
      </c>
      <c r="AO176" s="4">
        <v>-0.377</v>
      </c>
      <c r="AP176" s="4">
        <v>-0.222</v>
      </c>
      <c r="AQ176" s="4">
        <v>0.19400000000000001</v>
      </c>
      <c r="AR176" s="4">
        <v>6.7000000000000004E-2</v>
      </c>
      <c r="AS176" s="4">
        <v>0.27200000000000002</v>
      </c>
      <c r="AT176" s="4">
        <v>0.624</v>
      </c>
      <c r="AU176" s="4">
        <v>-0.182</v>
      </c>
      <c r="AV176" s="4">
        <v>-0.32800000000000001</v>
      </c>
      <c r="AW176" s="4">
        <v>-0.12</v>
      </c>
      <c r="AX176" s="4">
        <v>0.42799999999999999</v>
      </c>
      <c r="AY176" s="4">
        <v>0.83099999999999996</v>
      </c>
      <c r="AZ176" s="4">
        <v>0.14599999999999999</v>
      </c>
      <c r="BA176" s="4">
        <v>-5.7000000000000002E-2</v>
      </c>
      <c r="BB176" s="4">
        <v>-0.89600000000000002</v>
      </c>
      <c r="BC176" s="4">
        <v>-0.39500000000000002</v>
      </c>
      <c r="BD176" s="4">
        <v>-0.434</v>
      </c>
      <c r="BE176" s="4">
        <v>0.8</v>
      </c>
      <c r="BF176" s="4">
        <v>0.14899999999999999</v>
      </c>
      <c r="BG176" s="4">
        <v>0.25</v>
      </c>
      <c r="BH176" s="4">
        <v>-0.71299999999999997</v>
      </c>
      <c r="BI176" s="4">
        <v>0.223</v>
      </c>
      <c r="BJ176" s="4">
        <v>-0.16900000000000001</v>
      </c>
      <c r="BK176" s="4">
        <v>0.16500000000000001</v>
      </c>
      <c r="BL176" s="4"/>
      <c r="BM176" s="4">
        <f t="shared" si="30"/>
        <v>-0.41545670000000001</v>
      </c>
    </row>
    <row r="177" spans="1:65" x14ac:dyDescent="0.3">
      <c r="A177" t="s">
        <v>186</v>
      </c>
      <c r="B177" s="53">
        <f t="shared" si="23"/>
        <v>0</v>
      </c>
      <c r="C177" s="53">
        <f t="shared" si="24"/>
        <v>-8.9999999999999993E-3</v>
      </c>
      <c r="D177" s="53">
        <f t="shared" si="25"/>
        <v>0</v>
      </c>
      <c r="E177" s="53">
        <f t="shared" si="26"/>
        <v>8.9999999999999993E-3</v>
      </c>
      <c r="F177" s="15">
        <v>0.53900000000000003</v>
      </c>
      <c r="G177">
        <v>0.87</v>
      </c>
      <c r="H177" t="s">
        <v>71</v>
      </c>
      <c r="I177" t="str">
        <f>VLOOKUP(A177,Planilha6!$BL$9:$BN$222,2,0)</f>
        <v>basic_materials</v>
      </c>
      <c r="J177" t="str">
        <f>VLOOKUP(A177,Planilha6!$BL$9:$BN$222,3,0)</f>
        <v>neutral_beta</v>
      </c>
      <c r="K177" s="41">
        <v>0</v>
      </c>
      <c r="L177" s="42">
        <v>-8.9999999999999993E-3</v>
      </c>
      <c r="M177" s="41">
        <f>VLOOKUP(A177,'Mandato Ibov'!$B$1:$C$215,2,0)</f>
        <v>0</v>
      </c>
      <c r="N177" s="59">
        <f t="shared" si="27"/>
        <v>0</v>
      </c>
      <c r="O177" s="42">
        <f t="shared" si="28"/>
        <v>0</v>
      </c>
      <c r="P177" s="59">
        <f>VLOOKUP(A177,'Mandato Ibov'!$B$2:$D$215,3,0)</f>
        <v>0</v>
      </c>
      <c r="Q177" s="42">
        <f t="shared" si="29"/>
        <v>0</v>
      </c>
      <c r="R177" s="15">
        <v>-0.97099999999999997</v>
      </c>
      <c r="S177" s="15">
        <v>-0.80700000000000005</v>
      </c>
      <c r="T177" s="15">
        <v>-1</v>
      </c>
      <c r="U177" s="15">
        <v>-0.91500000000000004</v>
      </c>
      <c r="V177" s="15">
        <v>-0.88800000000000001</v>
      </c>
      <c r="W177" s="15">
        <v>-0.82</v>
      </c>
      <c r="X177" s="15">
        <v>-0.748</v>
      </c>
      <c r="Y177" s="15">
        <v>-0.73</v>
      </c>
      <c r="Z177" s="15">
        <v>0.45300000000000001</v>
      </c>
      <c r="AA177" s="15">
        <v>0.45400000000000001</v>
      </c>
      <c r="AB177" s="15">
        <v>0.41899999999999998</v>
      </c>
      <c r="AC177" s="15">
        <v>0.60299999999999998</v>
      </c>
      <c r="AD177" s="15">
        <v>0.36</v>
      </c>
      <c r="AE177" s="14">
        <v>-0.79200000000000004</v>
      </c>
      <c r="AF177" s="15">
        <v>-1</v>
      </c>
      <c r="AG177" s="15">
        <v>-0.20200000000000001</v>
      </c>
      <c r="AH177" s="15">
        <v>-0.9</v>
      </c>
      <c r="AI177" s="15">
        <v>-0.94499999999999995</v>
      </c>
      <c r="AJ177" s="16">
        <v>-0.94899999999999995</v>
      </c>
      <c r="AK177" s="4">
        <v>-0.17</v>
      </c>
      <c r="AL177" s="4">
        <v>-0.41399999999999998</v>
      </c>
      <c r="AM177" s="4">
        <v>-0.112</v>
      </c>
      <c r="AN177" s="4">
        <v>-0.65400000000000003</v>
      </c>
      <c r="AO177" s="4">
        <v>0.122</v>
      </c>
      <c r="AP177" s="4">
        <v>-0.51900000000000002</v>
      </c>
      <c r="AQ177" s="4">
        <v>-0.96</v>
      </c>
      <c r="AR177" s="4">
        <v>-0.98599999999999999</v>
      </c>
      <c r="AS177" s="4">
        <v>-0.66300000000000003</v>
      </c>
      <c r="AT177" s="4">
        <v>0.122</v>
      </c>
      <c r="AU177" s="4">
        <v>-0.38400000000000001</v>
      </c>
      <c r="AV177" s="4">
        <v>-0.439</v>
      </c>
      <c r="AW177" s="4">
        <v>0.46800000000000003</v>
      </c>
      <c r="AX177" s="4">
        <v>-5.5E-2</v>
      </c>
      <c r="AY177" s="4">
        <v>0.876</v>
      </c>
      <c r="AZ177" s="4">
        <v>-0.39500000000000002</v>
      </c>
      <c r="BA177" s="4">
        <v>0.109</v>
      </c>
      <c r="BB177" s="4">
        <v>0.13600000000000001</v>
      </c>
      <c r="BC177" s="4">
        <v>-9.6000000000000002E-2</v>
      </c>
      <c r="BD177" s="4">
        <v>0.31900000000000001</v>
      </c>
      <c r="BE177" s="4">
        <v>-0.63700000000000001</v>
      </c>
      <c r="BF177" s="4">
        <v>-0.28799999999999998</v>
      </c>
      <c r="BG177" s="4">
        <v>0.63400000000000001</v>
      </c>
      <c r="BH177" s="4">
        <v>-0.18</v>
      </c>
      <c r="BI177" s="4">
        <v>-0.33700000000000002</v>
      </c>
      <c r="BJ177" s="4">
        <v>-0.29499999999999998</v>
      </c>
      <c r="BK177" s="4">
        <v>-0.51400000000000001</v>
      </c>
      <c r="BL177" s="4"/>
      <c r="BM177" s="4">
        <f t="shared" si="30"/>
        <v>-0.41481180000000006</v>
      </c>
    </row>
    <row r="178" spans="1:65" hidden="1" x14ac:dyDescent="0.3">
      <c r="A178" t="s">
        <v>221</v>
      </c>
      <c r="B178" s="53">
        <f t="shared" si="23"/>
        <v>0</v>
      </c>
      <c r="C178" s="53">
        <f t="shared" si="24"/>
        <v>-3.0000000000000001E-3</v>
      </c>
      <c r="D178" s="53">
        <f t="shared" si="25"/>
        <v>0</v>
      </c>
      <c r="E178" s="53">
        <f t="shared" si="26"/>
        <v>3.0000000000000001E-3</v>
      </c>
      <c r="F178" s="15">
        <v>0.53500000000000003</v>
      </c>
      <c r="G178">
        <v>0.66</v>
      </c>
      <c r="H178" t="s">
        <v>57</v>
      </c>
      <c r="I178" t="str">
        <f>VLOOKUP(A178,Planilha6!$BL$9:$BN$222,2,0)</f>
        <v>consumer_services</v>
      </c>
      <c r="J178" t="str">
        <f>VLOOKUP(A178,Planilha6!$BL$9:$BN$222,3,0)</f>
        <v>neutral_beta</v>
      </c>
      <c r="K178" s="41">
        <v>0</v>
      </c>
      <c r="L178" s="42">
        <v>-3.0000000000000001E-3</v>
      </c>
      <c r="M178" s="41">
        <f>VLOOKUP(A178,'Mandato Ibov'!$B$1:$C$215,2,0)</f>
        <v>0</v>
      </c>
      <c r="N178" s="59">
        <f t="shared" si="27"/>
        <v>0</v>
      </c>
      <c r="O178" s="42">
        <f t="shared" si="28"/>
        <v>0</v>
      </c>
      <c r="P178" s="59">
        <f>VLOOKUP(A178,'Mandato Ibov'!$B$2:$D$215,3,0)</f>
        <v>0</v>
      </c>
      <c r="Q178" s="42">
        <f t="shared" si="29"/>
        <v>0</v>
      </c>
      <c r="R178" s="15">
        <v>-0.79900000000000004</v>
      </c>
      <c r="S178" s="15">
        <v>-0.77800000000000002</v>
      </c>
      <c r="T178" s="15">
        <v>-0.90300000000000002</v>
      </c>
      <c r="U178" s="15">
        <v>-0.71799999999999997</v>
      </c>
      <c r="V178" s="15">
        <v>-0.79500000000000004</v>
      </c>
      <c r="W178" s="15">
        <v>-0.65</v>
      </c>
      <c r="X178" s="15">
        <v>-0.36699999999999999</v>
      </c>
      <c r="Y178" s="15">
        <v>-0.74099999999999999</v>
      </c>
      <c r="Z178" s="15">
        <v>7.3999999999999996E-2</v>
      </c>
      <c r="AA178" s="15">
        <v>7.0999999999999994E-2</v>
      </c>
      <c r="AB178" s="15">
        <v>0.32500000000000001</v>
      </c>
      <c r="AC178" s="15">
        <v>0.39500000000000002</v>
      </c>
      <c r="AD178" s="15">
        <v>6.5000000000000002E-2</v>
      </c>
      <c r="AE178" s="14">
        <v>-0.35399999999999998</v>
      </c>
      <c r="AF178" s="15">
        <v>0.24299999999999999</v>
      </c>
      <c r="AG178" s="15">
        <v>-1</v>
      </c>
      <c r="AH178" s="15">
        <v>-0.77900000000000003</v>
      </c>
      <c r="AI178" s="15">
        <v>-1</v>
      </c>
      <c r="AJ178" s="16">
        <v>-0.34599999999999997</v>
      </c>
      <c r="AK178" s="4">
        <v>-0.14699999999999999</v>
      </c>
      <c r="AL178" s="4">
        <v>-0.45400000000000001</v>
      </c>
      <c r="AM178" s="4">
        <v>-0.46700000000000003</v>
      </c>
      <c r="AN178" s="4">
        <v>0.66300000000000003</v>
      </c>
      <c r="AO178" s="4">
        <v>-0.80200000000000005</v>
      </c>
      <c r="AP178" s="4">
        <v>-0.81499999999999995</v>
      </c>
      <c r="AQ178" s="4">
        <v>1</v>
      </c>
      <c r="AR178" s="4">
        <v>0.17299999999999999</v>
      </c>
      <c r="AS178" s="4">
        <v>-3.6999999999999998E-2</v>
      </c>
      <c r="AT178" s="4">
        <v>0.109</v>
      </c>
      <c r="AU178" s="4">
        <v>4.4999999999999998E-2</v>
      </c>
      <c r="AV178" s="4">
        <v>0.20899999999999999</v>
      </c>
      <c r="AW178" s="4">
        <v>6.5000000000000002E-2</v>
      </c>
      <c r="AX178" s="4">
        <v>-3.5999999999999997E-2</v>
      </c>
      <c r="AY178" s="4">
        <v>0.76500000000000001</v>
      </c>
      <c r="AZ178" s="4">
        <v>-0.48799999999999999</v>
      </c>
      <c r="BA178" s="4">
        <v>0.315</v>
      </c>
      <c r="BB178" s="4">
        <v>-0.4</v>
      </c>
      <c r="BC178" s="4">
        <v>-0.42499999999999999</v>
      </c>
      <c r="BD178" s="4">
        <v>-0.29699999999999999</v>
      </c>
      <c r="BE178" s="4">
        <v>0.313</v>
      </c>
      <c r="BF178" s="4">
        <v>-0.24399999999999999</v>
      </c>
      <c r="BG178" s="4">
        <v>0.65</v>
      </c>
      <c r="BH178" s="4">
        <v>-0.18</v>
      </c>
      <c r="BI178" s="4">
        <v>-7.4999999999999997E-2</v>
      </c>
      <c r="BJ178" s="4">
        <v>-0.51800000000000002</v>
      </c>
      <c r="BK178" s="4">
        <v>-9.8000000000000004E-2</v>
      </c>
      <c r="BL178" s="4"/>
      <c r="BM178" s="4">
        <f t="shared" si="30"/>
        <v>-0.43126979999999998</v>
      </c>
    </row>
    <row r="179" spans="1:65" hidden="1" x14ac:dyDescent="0.3">
      <c r="A179" t="s">
        <v>178</v>
      </c>
      <c r="B179" s="53">
        <f t="shared" si="23"/>
        <v>0</v>
      </c>
      <c r="C179" s="53">
        <f t="shared" si="24"/>
        <v>-1.0999999999999999E-2</v>
      </c>
      <c r="D179" s="53">
        <f t="shared" si="25"/>
        <v>0</v>
      </c>
      <c r="E179" s="53">
        <f t="shared" si="26"/>
        <v>1.0999999999999999E-2</v>
      </c>
      <c r="F179" s="15">
        <v>0.53400000000000003</v>
      </c>
      <c r="G179">
        <v>0.48799999999999999</v>
      </c>
      <c r="H179" t="s">
        <v>53</v>
      </c>
      <c r="I179" t="str">
        <f>VLOOKUP(A179,Planilha6!$BL$9:$BN$222,2,0)</f>
        <v>healthcare</v>
      </c>
      <c r="J179" t="str">
        <f>VLOOKUP(A179,Planilha6!$BL$9:$BN$222,3,0)</f>
        <v>very_low_beta</v>
      </c>
      <c r="K179" s="41">
        <v>0</v>
      </c>
      <c r="L179" s="42">
        <v>-1.0999999999999999E-2</v>
      </c>
      <c r="M179" s="41">
        <f>VLOOKUP(A179,'Mandato Ibov'!$B$1:$C$215,2,0)</f>
        <v>0</v>
      </c>
      <c r="N179" s="59">
        <f t="shared" si="27"/>
        <v>0</v>
      </c>
      <c r="O179" s="42">
        <f t="shared" si="28"/>
        <v>0</v>
      </c>
      <c r="P179" s="59">
        <f>VLOOKUP(A179,'Mandato Ibov'!$B$2:$D$215,3,0)</f>
        <v>0</v>
      </c>
      <c r="Q179" s="42">
        <f t="shared" si="29"/>
        <v>0</v>
      </c>
      <c r="R179" s="15">
        <v>-0.89200000000000002</v>
      </c>
      <c r="S179" s="15">
        <v>-0.76700000000000002</v>
      </c>
      <c r="T179" s="15">
        <v>-0.99299999999999999</v>
      </c>
      <c r="U179" s="15">
        <v>-0.81399999999999995</v>
      </c>
      <c r="V179" s="15">
        <v>-0.84599999999999997</v>
      </c>
      <c r="W179" s="15">
        <v>-0.77700000000000002</v>
      </c>
      <c r="X179" s="15">
        <v>-0.60499999999999998</v>
      </c>
      <c r="Y179" s="15">
        <v>-0.78900000000000003</v>
      </c>
      <c r="Z179" s="15">
        <v>0.13400000000000001</v>
      </c>
      <c r="AA179" s="15">
        <v>0.13900000000000001</v>
      </c>
      <c r="AB179" s="15">
        <v>0.51500000000000001</v>
      </c>
      <c r="AC179" s="15">
        <v>0.53300000000000003</v>
      </c>
      <c r="AD179" s="15">
        <v>0.28599999999999998</v>
      </c>
      <c r="AE179" s="14">
        <v>-0.54</v>
      </c>
      <c r="AF179" s="15">
        <v>-0.81799999999999995</v>
      </c>
      <c r="AG179" s="15">
        <v>-0.60199999999999998</v>
      </c>
      <c r="AH179" s="15">
        <v>-0.98499999999999999</v>
      </c>
      <c r="AI179" s="15">
        <v>-0.86499999999999999</v>
      </c>
      <c r="AJ179" s="16">
        <v>-0.69699999999999995</v>
      </c>
      <c r="AK179" s="4">
        <v>-0.39400000000000002</v>
      </c>
      <c r="AL179" s="4">
        <v>-0.76100000000000001</v>
      </c>
      <c r="AM179" s="4">
        <v>-0.89400000000000002</v>
      </c>
      <c r="AN179" s="4">
        <v>0.25600000000000001</v>
      </c>
      <c r="AO179" s="4">
        <v>0.25</v>
      </c>
      <c r="AP179" s="4">
        <v>-0.14099999999999999</v>
      </c>
      <c r="AQ179" s="4">
        <v>0.1</v>
      </c>
      <c r="AR179" s="4">
        <v>-8.3000000000000004E-2</v>
      </c>
      <c r="AS179" s="4">
        <v>-0.39900000000000002</v>
      </c>
      <c r="AT179" s="4">
        <v>0.63400000000000001</v>
      </c>
      <c r="AU179" s="4">
        <v>-0.35099999999999998</v>
      </c>
      <c r="AV179" s="4">
        <v>0.17</v>
      </c>
      <c r="AW179" s="4">
        <v>0.253</v>
      </c>
      <c r="AX179" s="4">
        <v>-0.121</v>
      </c>
      <c r="AY179" s="4">
        <v>0.97499999999999998</v>
      </c>
      <c r="AZ179" s="4">
        <v>-0.84899999999999998</v>
      </c>
      <c r="BA179" s="4">
        <v>0.56499999999999995</v>
      </c>
      <c r="BB179" s="4">
        <v>-0.32100000000000001</v>
      </c>
      <c r="BC179" s="4">
        <v>-0.23599999999999999</v>
      </c>
      <c r="BD179" s="4">
        <v>-2.8000000000000001E-2</v>
      </c>
      <c r="BE179" s="4">
        <v>0.31900000000000001</v>
      </c>
      <c r="BF179" s="4">
        <v>-6.6000000000000003E-2</v>
      </c>
      <c r="BG179" s="4">
        <v>0.59299999999999997</v>
      </c>
      <c r="BH179" s="4">
        <v>-0.20100000000000001</v>
      </c>
      <c r="BI179" s="4">
        <v>-0.38200000000000001</v>
      </c>
      <c r="BJ179" s="4">
        <v>-0.27600000000000002</v>
      </c>
      <c r="BK179" s="4">
        <v>-0.73699999999999999</v>
      </c>
      <c r="BL179" s="4"/>
      <c r="BM179" s="4">
        <f t="shared" si="30"/>
        <v>-0.43414739999999996</v>
      </c>
    </row>
    <row r="180" spans="1:65" hidden="1" x14ac:dyDescent="0.3">
      <c r="A180" t="s">
        <v>187</v>
      </c>
      <c r="B180" s="53">
        <f t="shared" si="23"/>
        <v>0</v>
      </c>
      <c r="C180" s="53">
        <f t="shared" si="24"/>
        <v>0</v>
      </c>
      <c r="D180" s="53">
        <f t="shared" si="25"/>
        <v>0</v>
      </c>
      <c r="E180" s="53">
        <f t="shared" si="26"/>
        <v>0</v>
      </c>
      <c r="F180" s="15">
        <v>0.53300000000000003</v>
      </c>
      <c r="G180">
        <v>0.50700000000000001</v>
      </c>
      <c r="H180" t="s">
        <v>53</v>
      </c>
      <c r="I180" t="str">
        <f>VLOOKUP(A180,Planilha6!$BL$9:$BN$222,2,0)</f>
        <v>consumer_staples</v>
      </c>
      <c r="J180" t="str">
        <f>VLOOKUP(A180,Planilha6!$BL$9:$BN$222,3,0)</f>
        <v>low_beta</v>
      </c>
      <c r="K180" s="41">
        <v>0</v>
      </c>
      <c r="L180" s="42">
        <v>0</v>
      </c>
      <c r="M180" s="41">
        <f>VLOOKUP(A180,'Mandato Ibov'!$B$1:$C$215,2,0)</f>
        <v>0</v>
      </c>
      <c r="N180" s="59">
        <f t="shared" si="27"/>
        <v>0</v>
      </c>
      <c r="O180" s="42">
        <f t="shared" si="28"/>
        <v>0</v>
      </c>
      <c r="P180" s="59">
        <f>VLOOKUP(A180,'Mandato Ibov'!$B$2:$D$215,3,0)</f>
        <v>0</v>
      </c>
      <c r="Q180" s="42">
        <f t="shared" si="29"/>
        <v>0</v>
      </c>
      <c r="R180" s="15">
        <v>-0.77900000000000003</v>
      </c>
      <c r="S180" s="15">
        <v>-0.79</v>
      </c>
      <c r="T180" s="15">
        <v>-0.84499999999999997</v>
      </c>
      <c r="U180" s="15">
        <v>-0.76100000000000001</v>
      </c>
      <c r="V180" s="15">
        <v>-0.80400000000000005</v>
      </c>
      <c r="W180" s="15">
        <v>-0.748</v>
      </c>
      <c r="X180" s="15">
        <v>-0.68400000000000005</v>
      </c>
      <c r="Y180" s="15">
        <v>-0.78800000000000003</v>
      </c>
      <c r="Z180" s="15">
        <v>0.111</v>
      </c>
      <c r="AA180" s="15">
        <v>0.114</v>
      </c>
      <c r="AB180" s="15">
        <v>0.51</v>
      </c>
      <c r="AC180" s="15">
        <v>0.48299999999999998</v>
      </c>
      <c r="AD180" s="15">
        <v>0.11700000000000001</v>
      </c>
      <c r="AE180" s="14">
        <v>-0.33700000000000002</v>
      </c>
      <c r="AF180" s="15">
        <v>-0.13400000000000001</v>
      </c>
      <c r="AG180" s="15">
        <v>-0.751</v>
      </c>
      <c r="AH180" s="15">
        <v>-0.65500000000000003</v>
      </c>
      <c r="AI180" s="15">
        <v>-0.94199999999999995</v>
      </c>
      <c r="AJ180" s="16">
        <v>-0.50700000000000001</v>
      </c>
      <c r="AK180" s="4">
        <v>-2.9000000000000001E-2</v>
      </c>
      <c r="AL180" s="4">
        <v>-0.58399999999999996</v>
      </c>
      <c r="AM180" s="4">
        <v>-0.22800000000000001</v>
      </c>
      <c r="AN180" s="4">
        <v>0.79400000000000004</v>
      </c>
      <c r="AO180" s="4">
        <v>-0.78900000000000003</v>
      </c>
      <c r="AP180" s="4">
        <v>0.157</v>
      </c>
      <c r="AQ180" s="4">
        <v>0.311</v>
      </c>
      <c r="AR180" s="4">
        <v>-8.5999999999999993E-2</v>
      </c>
      <c r="AS180" s="4">
        <v>-0.439</v>
      </c>
      <c r="AT180" s="4">
        <v>0.60899999999999999</v>
      </c>
      <c r="AU180" s="4">
        <v>-0.33500000000000002</v>
      </c>
      <c r="AV180" s="4">
        <v>-4.8000000000000001E-2</v>
      </c>
      <c r="AW180" s="4">
        <v>0.128</v>
      </c>
      <c r="AX180" s="4">
        <v>0.126</v>
      </c>
      <c r="AY180" s="4">
        <v>0.95399999999999996</v>
      </c>
      <c r="AZ180" s="4">
        <v>-6.0999999999999999E-2</v>
      </c>
      <c r="BA180" s="4">
        <v>2.7E-2</v>
      </c>
      <c r="BB180" s="4">
        <v>-0.54</v>
      </c>
      <c r="BC180" s="4">
        <v>-0.36499999999999999</v>
      </c>
      <c r="BD180" s="4">
        <v>-7.6999999999999999E-2</v>
      </c>
      <c r="BE180" s="4">
        <v>0.747</v>
      </c>
      <c r="BF180" s="4">
        <v>1</v>
      </c>
      <c r="BG180" s="4">
        <v>-4.9000000000000002E-2</v>
      </c>
      <c r="BH180" s="4">
        <v>-1.2999999999999999E-2</v>
      </c>
      <c r="BI180" s="4">
        <v>-0.219</v>
      </c>
      <c r="BJ180" s="4">
        <v>8.1000000000000003E-2</v>
      </c>
      <c r="BK180" s="4">
        <v>-6.5000000000000002E-2</v>
      </c>
      <c r="BL180" s="4"/>
      <c r="BM180" s="4">
        <f t="shared" si="30"/>
        <v>-0.44079849999999993</v>
      </c>
    </row>
    <row r="181" spans="1:65" hidden="1" x14ac:dyDescent="0.3">
      <c r="A181" t="s">
        <v>128</v>
      </c>
      <c r="B181" s="53">
        <f t="shared" si="23"/>
        <v>0</v>
      </c>
      <c r="C181" s="53">
        <f t="shared" si="24"/>
        <v>0</v>
      </c>
      <c r="D181" s="53">
        <f t="shared" si="25"/>
        <v>0</v>
      </c>
      <c r="E181" s="53">
        <f t="shared" si="26"/>
        <v>0</v>
      </c>
      <c r="F181" s="15">
        <v>0.53300000000000003</v>
      </c>
      <c r="G181">
        <v>0.42</v>
      </c>
      <c r="H181" t="s">
        <v>68</v>
      </c>
      <c r="I181" t="str">
        <f>VLOOKUP(A181,Planilha6!$BL$9:$BN$222,2,0)</f>
        <v>capital_goods</v>
      </c>
      <c r="J181" t="str">
        <f>VLOOKUP(A181,Planilha6!$BL$9:$BN$222,3,0)</f>
        <v>very_low_beta</v>
      </c>
      <c r="K181" s="41">
        <v>0</v>
      </c>
      <c r="L181" s="42">
        <v>0</v>
      </c>
      <c r="M181" s="41">
        <f>VLOOKUP(A181,'Mandato Ibov'!$B$1:$C$215,2,0)</f>
        <v>0</v>
      </c>
      <c r="N181" s="59">
        <f t="shared" si="27"/>
        <v>0</v>
      </c>
      <c r="O181" s="42">
        <f t="shared" si="28"/>
        <v>0</v>
      </c>
      <c r="P181" s="59">
        <f>VLOOKUP(A181,'Mandato Ibov'!$B$2:$D$215,3,0)</f>
        <v>0</v>
      </c>
      <c r="Q181" s="42">
        <f t="shared" si="29"/>
        <v>0</v>
      </c>
      <c r="R181" s="15">
        <v>-0.86699999999999999</v>
      </c>
      <c r="S181" s="15">
        <v>-0.83499999999999996</v>
      </c>
      <c r="T181" s="15">
        <v>-0.65700000000000003</v>
      </c>
      <c r="U181" s="15">
        <v>-0.90800000000000003</v>
      </c>
      <c r="V181" s="15">
        <v>-0.84599999999999997</v>
      </c>
      <c r="W181" s="15">
        <v>-0.86699999999999999</v>
      </c>
      <c r="X181" s="15">
        <v>-0.79100000000000004</v>
      </c>
      <c r="Y181" s="15">
        <v>-0.81100000000000005</v>
      </c>
      <c r="Z181" s="15">
        <v>0.153</v>
      </c>
      <c r="AA181" s="15">
        <v>0.151</v>
      </c>
      <c r="AB181" s="15">
        <v>0.35499999999999998</v>
      </c>
      <c r="AC181" s="15">
        <v>0.47199999999999998</v>
      </c>
      <c r="AD181" s="15">
        <v>0.35399999999999998</v>
      </c>
      <c r="AE181" s="14">
        <v>-0.76</v>
      </c>
      <c r="AF181" s="15">
        <v>-1</v>
      </c>
      <c r="AG181" s="15">
        <v>-0.43099999999999999</v>
      </c>
      <c r="AH181" s="15">
        <v>0.02</v>
      </c>
      <c r="AI181" s="15">
        <v>0.377</v>
      </c>
      <c r="AJ181" s="16">
        <v>-0.21299999999999999</v>
      </c>
      <c r="AK181" s="4">
        <v>-0.53800000000000003</v>
      </c>
      <c r="AL181" s="4">
        <v>-0.46700000000000003</v>
      </c>
      <c r="AM181" s="4">
        <v>0.127</v>
      </c>
      <c r="AN181" s="4">
        <v>-0.67300000000000004</v>
      </c>
      <c r="AO181" s="4">
        <v>-4.5999999999999999E-2</v>
      </c>
      <c r="AP181" s="4">
        <v>-0.16800000000000001</v>
      </c>
      <c r="AQ181" s="4">
        <v>-0.96799999999999997</v>
      </c>
      <c r="AR181" s="4">
        <v>-0.65400000000000003</v>
      </c>
      <c r="AS181" s="4">
        <v>-0.45500000000000002</v>
      </c>
      <c r="AT181" s="4">
        <v>-0.13600000000000001</v>
      </c>
      <c r="AU181" s="4">
        <v>-0.28299999999999997</v>
      </c>
      <c r="AV181" s="4">
        <v>-0.42399999999999999</v>
      </c>
      <c r="AW181" s="4">
        <v>0.35599999999999998</v>
      </c>
      <c r="AX181" s="4">
        <v>-0.28100000000000003</v>
      </c>
      <c r="AY181" s="4">
        <v>0.68500000000000005</v>
      </c>
      <c r="AZ181" s="4">
        <v>-0.83099999999999996</v>
      </c>
      <c r="BA181" s="4">
        <v>0.626</v>
      </c>
      <c r="BB181" s="4">
        <v>2.4E-2</v>
      </c>
      <c r="BC181" s="4">
        <v>-0.61499999999999999</v>
      </c>
      <c r="BD181" s="4">
        <v>-0.307</v>
      </c>
      <c r="BE181" s="4">
        <v>0.54200000000000004</v>
      </c>
      <c r="BF181" s="4">
        <v>0.13</v>
      </c>
      <c r="BG181" s="4">
        <v>0.39400000000000002</v>
      </c>
      <c r="BH181" s="4">
        <v>0.44500000000000001</v>
      </c>
      <c r="BI181" s="4">
        <v>-1.9E-2</v>
      </c>
      <c r="BJ181" s="4">
        <v>0.76100000000000001</v>
      </c>
      <c r="BK181" s="4">
        <v>0.60699999999999998</v>
      </c>
      <c r="BL181" s="4"/>
      <c r="BM181" s="4">
        <f t="shared" si="30"/>
        <v>-0.44018999999999986</v>
      </c>
    </row>
    <row r="182" spans="1:65" hidden="1" x14ac:dyDescent="0.3">
      <c r="A182" t="s">
        <v>129</v>
      </c>
      <c r="B182" s="53">
        <f t="shared" si="23"/>
        <v>0</v>
      </c>
      <c r="C182" s="53">
        <f t="shared" si="24"/>
        <v>0</v>
      </c>
      <c r="D182" s="53">
        <f t="shared" si="25"/>
        <v>0</v>
      </c>
      <c r="E182" s="53">
        <f t="shared" si="26"/>
        <v>0</v>
      </c>
      <c r="F182" s="15">
        <v>0.53200000000000003</v>
      </c>
      <c r="G182">
        <v>0.374</v>
      </c>
      <c r="H182" t="s">
        <v>57</v>
      </c>
      <c r="I182" t="str">
        <f>VLOOKUP(A182,Planilha6!$BL$9:$BN$222,2,0)</f>
        <v>homebuilders</v>
      </c>
      <c r="J182" t="str">
        <f>VLOOKUP(A182,Planilha6!$BL$9:$BN$222,3,0)</f>
        <v>very_high_beta</v>
      </c>
      <c r="K182" s="41">
        <v>0</v>
      </c>
      <c r="L182" s="42">
        <v>0</v>
      </c>
      <c r="M182" s="41">
        <f>VLOOKUP(A182,'Mandato Ibov'!$B$1:$C$215,2,0)</f>
        <v>0</v>
      </c>
      <c r="N182" s="59">
        <f t="shared" si="27"/>
        <v>0</v>
      </c>
      <c r="O182" s="42">
        <f t="shared" si="28"/>
        <v>0</v>
      </c>
      <c r="P182" s="59">
        <f>VLOOKUP(A182,'Mandato Ibov'!$B$2:$D$215,3,0)</f>
        <v>0</v>
      </c>
      <c r="Q182" s="42">
        <f t="shared" si="29"/>
        <v>0</v>
      </c>
      <c r="R182" s="15">
        <v>-0.50800000000000001</v>
      </c>
      <c r="S182" s="15">
        <v>-0.72899999999999998</v>
      </c>
      <c r="T182" s="15">
        <v>-0.27800000000000002</v>
      </c>
      <c r="U182" s="15">
        <v>-0.69899999999999995</v>
      </c>
      <c r="V182" s="15">
        <v>-0.69899999999999995</v>
      </c>
      <c r="W182" s="15">
        <v>-0.76400000000000001</v>
      </c>
      <c r="X182" s="15">
        <v>-0.78800000000000003</v>
      </c>
      <c r="Y182" s="15">
        <v>-0.77700000000000002</v>
      </c>
      <c r="Z182" s="15">
        <v>0.06</v>
      </c>
      <c r="AA182" s="15">
        <v>5.8000000000000003E-2</v>
      </c>
      <c r="AB182" s="15">
        <v>-0.55200000000000005</v>
      </c>
      <c r="AC182" s="15">
        <v>-3.2000000000000001E-2</v>
      </c>
      <c r="AD182" s="15">
        <v>5.6000000000000001E-2</v>
      </c>
      <c r="AE182" s="14">
        <v>-0.30499999999999999</v>
      </c>
      <c r="AF182" s="15">
        <v>0.191</v>
      </c>
      <c r="AG182" s="15">
        <v>0.105</v>
      </c>
      <c r="AH182" s="15">
        <v>1</v>
      </c>
      <c r="AI182" s="15">
        <v>0.54300000000000004</v>
      </c>
      <c r="AJ182" s="16">
        <v>-0.41499999999999998</v>
      </c>
      <c r="AK182" s="4">
        <v>-6.5000000000000002E-2</v>
      </c>
      <c r="AL182" s="4">
        <v>-8.5000000000000006E-2</v>
      </c>
      <c r="AM182" s="4">
        <v>0.71599999999999997</v>
      </c>
      <c r="AN182" s="4">
        <v>0.109</v>
      </c>
      <c r="AO182" s="4">
        <v>-0.35499999999999998</v>
      </c>
      <c r="AP182" s="4">
        <v>0.113</v>
      </c>
      <c r="AQ182" s="4">
        <v>6.7000000000000004E-2</v>
      </c>
      <c r="AR182" s="4">
        <v>-0.434</v>
      </c>
      <c r="AS182" s="4">
        <v>-0.85099999999999998</v>
      </c>
      <c r="AT182" s="4">
        <v>-0.20399999999999999</v>
      </c>
      <c r="AU182" s="4">
        <v>-0.28399999999999997</v>
      </c>
      <c r="AV182" s="4">
        <v>-0.44700000000000001</v>
      </c>
      <c r="AW182" s="4">
        <v>-0.99299999999999999</v>
      </c>
      <c r="AX182" s="4">
        <v>-0.72599999999999998</v>
      </c>
      <c r="AY182" s="4">
        <v>4.2000000000000003E-2</v>
      </c>
      <c r="AZ182" s="4">
        <v>-8.6999999999999994E-2</v>
      </c>
      <c r="BA182" s="4">
        <v>-0.31</v>
      </c>
      <c r="BB182" s="4">
        <v>0.188</v>
      </c>
      <c r="BC182" s="4">
        <v>-0.14799999999999999</v>
      </c>
      <c r="BD182" s="4">
        <v>0.42199999999999999</v>
      </c>
      <c r="BE182" s="4">
        <v>0.84699999999999998</v>
      </c>
      <c r="BF182" s="4">
        <v>0.18099999999999999</v>
      </c>
      <c r="BG182" s="4">
        <v>-0.122</v>
      </c>
      <c r="BH182" s="4">
        <v>1.6E-2</v>
      </c>
      <c r="BI182" s="4">
        <v>0.90300000000000002</v>
      </c>
      <c r="BJ182" s="4">
        <v>-7.0000000000000001E-3</v>
      </c>
      <c r="BK182" s="4">
        <v>0.88500000000000001</v>
      </c>
      <c r="BL182" s="4"/>
      <c r="BM182" s="4">
        <f t="shared" si="30"/>
        <v>-0.44481279999999995</v>
      </c>
    </row>
    <row r="183" spans="1:65" hidden="1" x14ac:dyDescent="0.3">
      <c r="A183" t="s">
        <v>253</v>
      </c>
      <c r="B183" s="53">
        <f t="shared" si="23"/>
        <v>0</v>
      </c>
      <c r="C183" s="53">
        <f t="shared" si="24"/>
        <v>0</v>
      </c>
      <c r="D183" s="53">
        <f t="shared" si="25"/>
        <v>0</v>
      </c>
      <c r="E183" s="53">
        <f t="shared" si="26"/>
        <v>0</v>
      </c>
      <c r="F183" s="15">
        <v>0.53</v>
      </c>
      <c r="G183">
        <v>0.441</v>
      </c>
      <c r="H183" t="s">
        <v>68</v>
      </c>
      <c r="I183" t="str">
        <f>VLOOKUP(A183,Planilha6!$BL$9:$BN$222,2,0)</f>
        <v>capital_goods</v>
      </c>
      <c r="J183" t="str">
        <f>VLOOKUP(A183,Planilha6!$BL$9:$BN$222,3,0)</f>
        <v>very_high_beta</v>
      </c>
      <c r="K183" s="41">
        <v>0</v>
      </c>
      <c r="L183" s="42">
        <v>0</v>
      </c>
      <c r="M183" s="41">
        <f>VLOOKUP(A183,'Mandato Ibov'!$B$1:$C$215,2,0)</f>
        <v>0</v>
      </c>
      <c r="N183" s="59">
        <f t="shared" si="27"/>
        <v>0</v>
      </c>
      <c r="O183" s="42">
        <f t="shared" si="28"/>
        <v>0</v>
      </c>
      <c r="P183" s="59">
        <f>VLOOKUP(A183,'Mandato Ibov'!$B$2:$D$215,3,0)</f>
        <v>0</v>
      </c>
      <c r="Q183" s="42">
        <f t="shared" si="29"/>
        <v>0</v>
      </c>
      <c r="R183" s="15">
        <v>-0.86699999999999999</v>
      </c>
      <c r="S183" s="15">
        <v>-0.81399999999999995</v>
      </c>
      <c r="T183" s="15">
        <v>-0.747</v>
      </c>
      <c r="U183" s="15">
        <v>-0.88</v>
      </c>
      <c r="V183" s="15">
        <v>-0.82699999999999996</v>
      </c>
      <c r="W183" s="15">
        <v>-0.86199999999999999</v>
      </c>
      <c r="X183" s="15">
        <v>-0.81</v>
      </c>
      <c r="Y183" s="15">
        <v>-0.81899999999999995</v>
      </c>
      <c r="Z183" s="15">
        <v>0.35199999999999998</v>
      </c>
      <c r="AA183" s="15">
        <v>0.35499999999999998</v>
      </c>
      <c r="AB183" s="15">
        <v>0.46300000000000002</v>
      </c>
      <c r="AC183" s="15">
        <v>0.60099999999999998</v>
      </c>
      <c r="AD183" s="15">
        <v>0.13500000000000001</v>
      </c>
      <c r="AE183" s="14">
        <v>-0.82699999999999996</v>
      </c>
      <c r="AF183" s="15">
        <v>-0.36699999999999999</v>
      </c>
      <c r="AG183" s="15">
        <v>-0.308</v>
      </c>
      <c r="AH183" s="15">
        <v>0.41499999999999998</v>
      </c>
      <c r="AI183" s="15">
        <v>-0.68899999999999995</v>
      </c>
      <c r="AJ183" s="16">
        <v>-0.65700000000000003</v>
      </c>
      <c r="AK183" s="4">
        <v>0.16</v>
      </c>
      <c r="AL183" s="4">
        <v>-0.57099999999999995</v>
      </c>
      <c r="AM183" s="4">
        <v>0.56699999999999995</v>
      </c>
      <c r="AN183" s="4">
        <v>-0.31900000000000001</v>
      </c>
      <c r="AO183" s="4">
        <v>-0.53600000000000003</v>
      </c>
      <c r="AP183" s="4">
        <v>-0.83</v>
      </c>
      <c r="AQ183" s="4">
        <v>-5.8000000000000003E-2</v>
      </c>
      <c r="AR183" s="4">
        <v>-0.50700000000000001</v>
      </c>
      <c r="AS183" s="4">
        <v>-0.67300000000000004</v>
      </c>
      <c r="AT183" s="4">
        <v>6.3E-2</v>
      </c>
      <c r="AU183" s="4">
        <v>-0.126</v>
      </c>
      <c r="AV183" s="4">
        <v>-0.76200000000000001</v>
      </c>
      <c r="AW183" s="4">
        <v>-1E-3</v>
      </c>
      <c r="AX183" s="4">
        <v>-0.24099999999999999</v>
      </c>
      <c r="AY183" s="4">
        <v>0.69</v>
      </c>
      <c r="AZ183" s="4">
        <v>0.29899999999999999</v>
      </c>
      <c r="BA183" s="4">
        <v>-0.71799999999999997</v>
      </c>
      <c r="BB183" s="4">
        <v>-0.44400000000000001</v>
      </c>
      <c r="BC183" s="4">
        <v>-0.41099999999999998</v>
      </c>
      <c r="BD183" s="4">
        <v>-0.39300000000000002</v>
      </c>
      <c r="BE183" s="4">
        <v>-0.14899999999999999</v>
      </c>
      <c r="BF183" s="4">
        <v>-0.45400000000000001</v>
      </c>
      <c r="BG183" s="4">
        <v>0.13100000000000001</v>
      </c>
      <c r="BH183" s="4">
        <v>0.12</v>
      </c>
      <c r="BI183" s="4">
        <v>0.60899999999999999</v>
      </c>
      <c r="BJ183" s="4">
        <v>0.45700000000000002</v>
      </c>
      <c r="BK183" s="4">
        <v>0.28000000000000003</v>
      </c>
      <c r="BL183" s="4"/>
      <c r="BM183" s="4">
        <f t="shared" si="30"/>
        <v>-0.45102029999999999</v>
      </c>
    </row>
    <row r="184" spans="1:65" hidden="1" x14ac:dyDescent="0.3">
      <c r="A184" t="s">
        <v>240</v>
      </c>
      <c r="B184" s="53">
        <f t="shared" si="23"/>
        <v>0</v>
      </c>
      <c r="C184" s="53">
        <f t="shared" si="24"/>
        <v>-1.7000000000000001E-2</v>
      </c>
      <c r="D184" s="53">
        <f t="shared" si="25"/>
        <v>0</v>
      </c>
      <c r="E184" s="53">
        <f t="shared" si="26"/>
        <v>1.7000000000000001E-2</v>
      </c>
      <c r="F184" s="15">
        <v>0.53</v>
      </c>
      <c r="G184">
        <v>0.70199999999999996</v>
      </c>
      <c r="H184" t="s">
        <v>71</v>
      </c>
      <c r="I184" t="str">
        <f>VLOOKUP(A184,Planilha6!$BL$9:$BN$222,2,0)</f>
        <v>crude_oil</v>
      </c>
      <c r="J184" t="str">
        <f>VLOOKUP(A184,Planilha6!$BL$9:$BN$222,3,0)</f>
        <v>very_low_beta</v>
      </c>
      <c r="K184" s="41">
        <v>0</v>
      </c>
      <c r="L184" s="42">
        <v>-1.7000000000000001E-2</v>
      </c>
      <c r="M184" s="41">
        <f>VLOOKUP(A184,'Mandato Ibov'!$B$1:$C$215,2,0)</f>
        <v>0</v>
      </c>
      <c r="N184" s="59">
        <f t="shared" si="27"/>
        <v>0</v>
      </c>
      <c r="O184" s="42">
        <f t="shared" si="28"/>
        <v>0</v>
      </c>
      <c r="P184" s="59">
        <f>VLOOKUP(A184,'Mandato Ibov'!$B$2:$D$215,3,0)</f>
        <v>0</v>
      </c>
      <c r="Q184" s="42">
        <f t="shared" si="29"/>
        <v>0</v>
      </c>
      <c r="R184" s="15">
        <v>-0.97599999999999998</v>
      </c>
      <c r="S184" s="15">
        <v>-0.68799999999999994</v>
      </c>
      <c r="T184" s="15">
        <v>-1</v>
      </c>
      <c r="U184" s="15">
        <v>-0.89</v>
      </c>
      <c r="V184" s="15">
        <v>-0.85499999999999998</v>
      </c>
      <c r="W184" s="15">
        <v>-0.85299999999999998</v>
      </c>
      <c r="X184" s="15">
        <v>-0.80300000000000005</v>
      </c>
      <c r="Y184" s="15">
        <v>-0.76900000000000002</v>
      </c>
      <c r="Z184" s="15">
        <v>8.8999999999999996E-2</v>
      </c>
      <c r="AA184" s="15">
        <v>9.9000000000000005E-2</v>
      </c>
      <c r="AB184" s="15">
        <v>0.27600000000000002</v>
      </c>
      <c r="AC184" s="15">
        <v>0.48599999999999999</v>
      </c>
      <c r="AD184" s="15">
        <v>0.45800000000000002</v>
      </c>
      <c r="AE184" s="14">
        <v>-0.98499999999999999</v>
      </c>
      <c r="AF184" s="15">
        <v>-1</v>
      </c>
      <c r="AG184" s="15">
        <v>0.67500000000000004</v>
      </c>
      <c r="AH184" s="15">
        <v>-0.998</v>
      </c>
      <c r="AI184" s="15">
        <v>-0.33200000000000002</v>
      </c>
      <c r="AJ184" s="16">
        <v>-1</v>
      </c>
      <c r="AK184" s="4">
        <v>-0.625</v>
      </c>
      <c r="AL184" s="4">
        <v>-1</v>
      </c>
      <c r="AM184" s="4">
        <v>-0.73199999999999998</v>
      </c>
      <c r="AN184" s="4">
        <v>-0.36599999999999999</v>
      </c>
      <c r="AO184" s="4">
        <v>0.97</v>
      </c>
      <c r="AP184" s="4">
        <v>0.95299999999999996</v>
      </c>
      <c r="AQ184" s="4">
        <v>-0.75</v>
      </c>
      <c r="AR184" s="4">
        <v>-0.33200000000000002</v>
      </c>
      <c r="AS184" s="4">
        <v>-0.48399999999999999</v>
      </c>
      <c r="AT184" s="4">
        <v>-0.19600000000000001</v>
      </c>
      <c r="AU184" s="4">
        <v>9.4E-2</v>
      </c>
      <c r="AV184" s="4">
        <v>-0.66500000000000004</v>
      </c>
      <c r="AW184" s="4">
        <v>0.4</v>
      </c>
      <c r="AX184" s="4">
        <v>-0.502</v>
      </c>
      <c r="AY184" s="4">
        <v>0.17899999999999999</v>
      </c>
      <c r="AZ184" s="4">
        <v>-0.14000000000000001</v>
      </c>
      <c r="BA184" s="4">
        <v>0.45600000000000002</v>
      </c>
      <c r="BB184" s="4">
        <v>-0.63100000000000001</v>
      </c>
      <c r="BC184" s="4">
        <v>-0.82</v>
      </c>
      <c r="BD184" s="4">
        <v>1E-3</v>
      </c>
      <c r="BE184" s="4">
        <v>-2.1000000000000001E-2</v>
      </c>
      <c r="BF184" s="4">
        <v>0.71699999999999997</v>
      </c>
      <c r="BG184" s="4">
        <v>0.20200000000000001</v>
      </c>
      <c r="BH184" s="4">
        <v>-0.71499999999999997</v>
      </c>
      <c r="BI184" s="4">
        <v>-0.997</v>
      </c>
      <c r="BJ184" s="4">
        <v>-1</v>
      </c>
      <c r="BK184" s="4">
        <v>-0.34899999999999998</v>
      </c>
      <c r="BL184" s="4"/>
      <c r="BM184" s="4">
        <f t="shared" si="30"/>
        <v>-0.45087270000000002</v>
      </c>
    </row>
    <row r="185" spans="1:65" hidden="1" x14ac:dyDescent="0.3">
      <c r="A185" t="s">
        <v>195</v>
      </c>
      <c r="B185" s="53">
        <f t="shared" si="23"/>
        <v>0</v>
      </c>
      <c r="C185" s="53">
        <f t="shared" si="24"/>
        <v>0</v>
      </c>
      <c r="D185" s="53">
        <f t="shared" si="25"/>
        <v>0</v>
      </c>
      <c r="E185" s="53">
        <f t="shared" si="26"/>
        <v>0</v>
      </c>
      <c r="F185" s="15">
        <v>0.53</v>
      </c>
      <c r="G185">
        <v>0.48099999999999998</v>
      </c>
      <c r="H185" t="s">
        <v>57</v>
      </c>
      <c r="I185" t="str">
        <f>VLOOKUP(A185,Planilha6!$BL$9:$BN$222,2,0)</f>
        <v>banks</v>
      </c>
      <c r="J185" t="str">
        <f>VLOOKUP(A185,Planilha6!$BL$9:$BN$222,3,0)</f>
        <v>very_low_beta</v>
      </c>
      <c r="K185" s="41">
        <v>0</v>
      </c>
      <c r="L185" s="42">
        <v>0</v>
      </c>
      <c r="M185" s="41">
        <f>VLOOKUP(A185,'Mandato Ibov'!$B$1:$C$215,2,0)</f>
        <v>0</v>
      </c>
      <c r="N185" s="59">
        <f t="shared" si="27"/>
        <v>0</v>
      </c>
      <c r="O185" s="42">
        <f t="shared" si="28"/>
        <v>0</v>
      </c>
      <c r="P185" s="59">
        <f>VLOOKUP(A185,'Mandato Ibov'!$B$2:$D$215,3,0)</f>
        <v>0</v>
      </c>
      <c r="Q185" s="42">
        <f t="shared" si="29"/>
        <v>0</v>
      </c>
      <c r="R185" s="15">
        <v>-0.9</v>
      </c>
      <c r="S185" s="15">
        <v>-0.77900000000000003</v>
      </c>
      <c r="T185" s="15">
        <v>-0.93600000000000005</v>
      </c>
      <c r="U185" s="15">
        <v>-0.874</v>
      </c>
      <c r="V185" s="15">
        <v>-0.84799999999999998</v>
      </c>
      <c r="W185" s="15">
        <v>-0.78400000000000003</v>
      </c>
      <c r="X185" s="15">
        <v>-0.61899999999999999</v>
      </c>
      <c r="Y185" s="15">
        <v>-0.79500000000000004</v>
      </c>
      <c r="Z185" s="15">
        <v>0.33500000000000002</v>
      </c>
      <c r="AA185" s="15">
        <v>0.33700000000000002</v>
      </c>
      <c r="AB185" s="15">
        <v>0.34300000000000003</v>
      </c>
      <c r="AC185" s="15">
        <v>0.255</v>
      </c>
      <c r="AD185" s="15">
        <v>0.20599999999999999</v>
      </c>
      <c r="AE185" s="14">
        <v>-0.97099999999999997</v>
      </c>
      <c r="AF185" s="15">
        <v>-0.78800000000000003</v>
      </c>
      <c r="AG185" s="15">
        <v>-1</v>
      </c>
      <c r="AH185" s="15">
        <v>-1</v>
      </c>
      <c r="AI185" s="15">
        <v>-1</v>
      </c>
      <c r="AJ185" s="16">
        <v>-0.54</v>
      </c>
      <c r="AK185" s="4">
        <v>-0.26700000000000002</v>
      </c>
      <c r="AL185" s="4">
        <v>-0.72099999999999997</v>
      </c>
      <c r="AM185" s="4">
        <v>-0.88400000000000001</v>
      </c>
      <c r="AN185" s="4">
        <v>0.245</v>
      </c>
      <c r="AO185" s="4">
        <v>-0.33500000000000002</v>
      </c>
      <c r="AP185" s="4">
        <v>-0.79100000000000004</v>
      </c>
      <c r="AQ185" s="4">
        <v>0.49099999999999999</v>
      </c>
      <c r="AR185" s="4">
        <v>0.1</v>
      </c>
      <c r="AS185" s="4">
        <v>0.28000000000000003</v>
      </c>
      <c r="AT185" s="4">
        <v>0.372</v>
      </c>
      <c r="AU185" s="4">
        <v>-8.9999999999999993E-3</v>
      </c>
      <c r="AV185" s="4">
        <v>-0.182</v>
      </c>
      <c r="AW185" s="4">
        <v>4.7E-2</v>
      </c>
      <c r="AX185" s="4">
        <v>0.22700000000000001</v>
      </c>
      <c r="AY185" s="4">
        <v>0.36099999999999999</v>
      </c>
      <c r="AZ185" s="4">
        <v>5.6000000000000001E-2</v>
      </c>
      <c r="BA185" s="4">
        <v>4.2999999999999997E-2</v>
      </c>
      <c r="BB185" s="4">
        <v>-0.69099999999999995</v>
      </c>
      <c r="BC185" s="4">
        <v>-0.25800000000000001</v>
      </c>
      <c r="BD185" s="4">
        <v>-9.2999999999999999E-2</v>
      </c>
      <c r="BE185" s="4">
        <v>0.20100000000000001</v>
      </c>
      <c r="BF185" s="4">
        <v>-0.41099999999999998</v>
      </c>
      <c r="BG185" s="4">
        <v>0.72499999999999998</v>
      </c>
      <c r="BH185" s="4">
        <v>-0.44600000000000001</v>
      </c>
      <c r="BI185" s="4">
        <v>-0.55100000000000005</v>
      </c>
      <c r="BJ185" s="4">
        <v>0.20599999999999999</v>
      </c>
      <c r="BK185" s="4">
        <v>-0.41099999999999998</v>
      </c>
      <c r="BL185" s="4"/>
      <c r="BM185" s="4">
        <f t="shared" si="30"/>
        <v>-0.45095599999999986</v>
      </c>
    </row>
    <row r="186" spans="1:65" hidden="1" x14ac:dyDescent="0.3">
      <c r="A186" t="s">
        <v>215</v>
      </c>
      <c r="B186" s="53">
        <f t="shared" si="23"/>
        <v>0</v>
      </c>
      <c r="C186" s="53">
        <f t="shared" si="24"/>
        <v>0</v>
      </c>
      <c r="D186" s="53">
        <f t="shared" si="25"/>
        <v>0</v>
      </c>
      <c r="E186" s="53">
        <f t="shared" si="26"/>
        <v>0</v>
      </c>
      <c r="F186" s="15">
        <v>0.52900000000000003</v>
      </c>
      <c r="G186">
        <v>0.376</v>
      </c>
      <c r="H186" t="s">
        <v>55</v>
      </c>
      <c r="I186" t="str">
        <f>VLOOKUP(A186,Planilha6!$BL$9:$BN$222,2,0)</f>
        <v>telecom</v>
      </c>
      <c r="J186" t="str">
        <f>VLOOKUP(A186,Planilha6!$BL$9:$BN$222,3,0)</f>
        <v>very_low_beta</v>
      </c>
      <c r="K186" s="41">
        <v>0</v>
      </c>
      <c r="L186" s="42">
        <v>0</v>
      </c>
      <c r="M186" s="41">
        <f>VLOOKUP(A186,'Mandato Ibov'!$B$1:$C$215,2,0)</f>
        <v>0</v>
      </c>
      <c r="N186" s="59">
        <f t="shared" si="27"/>
        <v>0</v>
      </c>
      <c r="O186" s="42">
        <f t="shared" si="28"/>
        <v>0</v>
      </c>
      <c r="P186" s="59">
        <f>VLOOKUP(A186,'Mandato Ibov'!$B$2:$D$215,3,0)</f>
        <v>0</v>
      </c>
      <c r="Q186" s="42">
        <f t="shared" si="29"/>
        <v>0</v>
      </c>
      <c r="R186" s="15">
        <v>-0.85</v>
      </c>
      <c r="S186" s="15">
        <v>-0.82</v>
      </c>
      <c r="T186" s="15">
        <v>-0.874</v>
      </c>
      <c r="U186" s="15">
        <v>-0.82899999999999996</v>
      </c>
      <c r="V186" s="15">
        <v>-0.84299999999999997</v>
      </c>
      <c r="W186" s="15">
        <v>-0.88300000000000001</v>
      </c>
      <c r="X186" s="15">
        <v>-0.86099999999999999</v>
      </c>
      <c r="Y186" s="15">
        <v>-0.88300000000000001</v>
      </c>
      <c r="Z186" s="15">
        <v>0.223</v>
      </c>
      <c r="AA186" s="15">
        <v>0.217</v>
      </c>
      <c r="AB186" s="15">
        <v>0.51</v>
      </c>
      <c r="AC186" s="15">
        <v>0.42599999999999999</v>
      </c>
      <c r="AD186" s="15">
        <v>0.32200000000000001</v>
      </c>
      <c r="AE186" s="14">
        <v>-0.80800000000000005</v>
      </c>
      <c r="AF186" s="15">
        <v>-0.433</v>
      </c>
      <c r="AG186" s="15">
        <v>-0.503</v>
      </c>
      <c r="AH186" s="15">
        <v>-0.41399999999999998</v>
      </c>
      <c r="AI186" s="15">
        <v>0.17</v>
      </c>
      <c r="AJ186" s="16">
        <v>-0.40899999999999997</v>
      </c>
      <c r="AK186" s="4">
        <v>-0.20599999999999999</v>
      </c>
      <c r="AL186" s="4">
        <v>-0.93</v>
      </c>
      <c r="AM186" s="4">
        <v>-0.20499999999999999</v>
      </c>
      <c r="AN186" s="4">
        <v>9.6000000000000002E-2</v>
      </c>
      <c r="AO186" s="4">
        <v>0.32800000000000001</v>
      </c>
      <c r="AP186" s="4">
        <v>-0.39200000000000002</v>
      </c>
      <c r="AQ186" s="4">
        <v>0.17699999999999999</v>
      </c>
      <c r="AR186" s="4">
        <v>3.3000000000000002E-2</v>
      </c>
      <c r="AS186" s="4">
        <v>-6.3E-2</v>
      </c>
      <c r="AT186" s="4">
        <v>-6.0000000000000001E-3</v>
      </c>
      <c r="AU186" s="4">
        <v>0.23100000000000001</v>
      </c>
      <c r="AV186" s="4">
        <v>-0.24299999999999999</v>
      </c>
      <c r="AW186" s="4">
        <v>-0.42199999999999999</v>
      </c>
      <c r="AX186" s="4">
        <v>-0.218</v>
      </c>
      <c r="AY186" s="4">
        <v>0.80500000000000005</v>
      </c>
      <c r="AZ186" s="4">
        <v>-0.17499999999999999</v>
      </c>
      <c r="BA186" s="4">
        <v>0.68799999999999994</v>
      </c>
      <c r="BB186" s="4">
        <v>-0.24099999999999999</v>
      </c>
      <c r="BC186" s="4">
        <v>-0.55500000000000005</v>
      </c>
      <c r="BD186" s="4">
        <v>0.36</v>
      </c>
      <c r="BE186" s="4">
        <v>-1</v>
      </c>
      <c r="BF186" s="4">
        <v>-1</v>
      </c>
      <c r="BG186" s="4">
        <v>-0.70299999999999996</v>
      </c>
      <c r="BH186" s="4">
        <v>-0.38700000000000001</v>
      </c>
      <c r="BI186" s="4">
        <v>-0.59</v>
      </c>
      <c r="BJ186" s="4">
        <v>-0.18</v>
      </c>
      <c r="BK186" s="4">
        <v>0.55600000000000005</v>
      </c>
      <c r="BL186" s="4"/>
      <c r="BM186" s="4">
        <f t="shared" si="30"/>
        <v>-0.4571615</v>
      </c>
    </row>
    <row r="187" spans="1:65" hidden="1" x14ac:dyDescent="0.3">
      <c r="A187" t="s">
        <v>236</v>
      </c>
      <c r="B187" s="53">
        <f t="shared" si="23"/>
        <v>0</v>
      </c>
      <c r="C187" s="53">
        <f t="shared" si="24"/>
        <v>0</v>
      </c>
      <c r="D187" s="53">
        <f t="shared" si="25"/>
        <v>0</v>
      </c>
      <c r="E187" s="53">
        <f t="shared" si="26"/>
        <v>0</v>
      </c>
      <c r="F187" s="15">
        <v>0.52700000000000002</v>
      </c>
      <c r="G187">
        <v>0.52</v>
      </c>
      <c r="H187" t="s">
        <v>68</v>
      </c>
      <c r="I187" t="str">
        <f>VLOOKUP(A187,Planilha6!$BL$9:$BN$222,2,0)</f>
        <v>building_materials</v>
      </c>
      <c r="J187" t="str">
        <f>VLOOKUP(A187,Planilha6!$BL$9:$BN$222,3,0)</f>
        <v>very_high_beta</v>
      </c>
      <c r="K187" s="41">
        <v>0</v>
      </c>
      <c r="L187" s="42">
        <v>0</v>
      </c>
      <c r="M187" s="41">
        <f>VLOOKUP(A187,'Mandato Ibov'!$B$1:$C$215,2,0)</f>
        <v>0</v>
      </c>
      <c r="N187" s="59">
        <f t="shared" si="27"/>
        <v>0</v>
      </c>
      <c r="O187" s="42">
        <f t="shared" si="28"/>
        <v>0</v>
      </c>
      <c r="P187" s="59">
        <f>VLOOKUP(A187,'Mandato Ibov'!$B$2:$D$215,3,0)</f>
        <v>0</v>
      </c>
      <c r="Q187" s="42">
        <f t="shared" si="29"/>
        <v>0</v>
      </c>
      <c r="R187" s="15">
        <v>-0.92100000000000004</v>
      </c>
      <c r="S187" s="15">
        <v>-0.82899999999999996</v>
      </c>
      <c r="T187" s="15">
        <v>-0.90700000000000003</v>
      </c>
      <c r="U187" s="15">
        <v>-0.90200000000000002</v>
      </c>
      <c r="V187" s="15">
        <v>-0.872</v>
      </c>
      <c r="W187" s="15">
        <v>-0.88900000000000001</v>
      </c>
      <c r="X187" s="15">
        <v>-0.83299999999999996</v>
      </c>
      <c r="Y187" s="15">
        <v>-0.84799999999999998</v>
      </c>
      <c r="Z187" s="15">
        <v>0.223</v>
      </c>
      <c r="AA187" s="15">
        <v>0.222</v>
      </c>
      <c r="AB187" s="15">
        <v>0.378</v>
      </c>
      <c r="AC187" s="15">
        <v>0.50800000000000001</v>
      </c>
      <c r="AD187" s="15">
        <v>0.33300000000000002</v>
      </c>
      <c r="AE187" s="14">
        <v>-0.52600000000000002</v>
      </c>
      <c r="AF187" s="15">
        <v>-0.99399999999999999</v>
      </c>
      <c r="AG187" s="15">
        <v>-0.36799999999999999</v>
      </c>
      <c r="AH187" s="15">
        <v>-0.58699999999999997</v>
      </c>
      <c r="AI187" s="15">
        <v>-0.51800000000000002</v>
      </c>
      <c r="AJ187" s="16">
        <v>-0.84799999999999998</v>
      </c>
      <c r="AK187" s="4">
        <v>-0.153</v>
      </c>
      <c r="AL187" s="4">
        <v>-0.75700000000000001</v>
      </c>
      <c r="AM187" s="4">
        <v>4.4999999999999998E-2</v>
      </c>
      <c r="AN187" s="4">
        <v>-0.61899999999999999</v>
      </c>
      <c r="AO187" s="4">
        <v>-2.7E-2</v>
      </c>
      <c r="AP187" s="4">
        <v>-0.186</v>
      </c>
      <c r="AQ187" s="4">
        <v>-0.75700000000000001</v>
      </c>
      <c r="AR187" s="4">
        <v>-0.72299999999999998</v>
      </c>
      <c r="AS187" s="4">
        <v>-0.442</v>
      </c>
      <c r="AT187" s="4">
        <v>-3.0000000000000001E-3</v>
      </c>
      <c r="AU187" s="4">
        <v>-0.32900000000000001</v>
      </c>
      <c r="AV187" s="4">
        <v>-0.21</v>
      </c>
      <c r="AW187" s="4">
        <v>3.5999999999999997E-2</v>
      </c>
      <c r="AX187" s="4">
        <v>-0.33300000000000002</v>
      </c>
      <c r="AY187" s="4">
        <v>0.9</v>
      </c>
      <c r="AZ187" s="4">
        <v>-0.27700000000000002</v>
      </c>
      <c r="BA187" s="4">
        <v>-0.17</v>
      </c>
      <c r="BB187" s="4">
        <v>1.7000000000000001E-2</v>
      </c>
      <c r="BC187" s="4">
        <v>-0.51200000000000001</v>
      </c>
      <c r="BD187" s="4">
        <v>9.9000000000000005E-2</v>
      </c>
      <c r="BE187" s="4">
        <v>-0.82899999999999996</v>
      </c>
      <c r="BF187" s="4">
        <v>-0.09</v>
      </c>
      <c r="BG187" s="4">
        <v>0.28100000000000003</v>
      </c>
      <c r="BH187" s="4">
        <v>0.107</v>
      </c>
      <c r="BI187" s="4">
        <v>0.66700000000000004</v>
      </c>
      <c r="BJ187" s="4">
        <v>0.41299999999999998</v>
      </c>
      <c r="BK187" s="4">
        <v>-0.22600000000000001</v>
      </c>
      <c r="BL187" s="4"/>
      <c r="BM187" s="4">
        <f t="shared" si="30"/>
        <v>-0.46682419999999991</v>
      </c>
    </row>
    <row r="188" spans="1:65" hidden="1" x14ac:dyDescent="0.3">
      <c r="A188" t="s">
        <v>245</v>
      </c>
      <c r="B188" s="53">
        <f t="shared" si="23"/>
        <v>0</v>
      </c>
      <c r="C188" s="53">
        <f t="shared" si="24"/>
        <v>0</v>
      </c>
      <c r="D188" s="53">
        <f t="shared" si="25"/>
        <v>0</v>
      </c>
      <c r="E188" s="53">
        <f t="shared" si="26"/>
        <v>0</v>
      </c>
      <c r="F188" s="15">
        <v>0.52600000000000002</v>
      </c>
      <c r="G188">
        <v>0.39300000000000002</v>
      </c>
      <c r="H188" t="s">
        <v>57</v>
      </c>
      <c r="I188" t="str">
        <f>VLOOKUP(A188,Planilha6!$BL$9:$BN$222,2,0)</f>
        <v>consumer_services</v>
      </c>
      <c r="J188" t="str">
        <f>VLOOKUP(A188,Planilha6!$BL$9:$BN$222,3,0)</f>
        <v>very_high_beta</v>
      </c>
      <c r="K188" s="41">
        <v>0</v>
      </c>
      <c r="L188" s="42">
        <v>0</v>
      </c>
      <c r="M188" s="41">
        <f>VLOOKUP(A188,'Mandato Ibov'!$B$1:$C$215,2,0)</f>
        <v>0</v>
      </c>
      <c r="N188" s="59">
        <f t="shared" si="27"/>
        <v>0</v>
      </c>
      <c r="O188" s="42">
        <f t="shared" si="28"/>
        <v>0</v>
      </c>
      <c r="P188" s="59">
        <f>VLOOKUP(A188,'Mandato Ibov'!$B$2:$D$215,3,0)</f>
        <v>0</v>
      </c>
      <c r="Q188" s="42">
        <f t="shared" si="29"/>
        <v>0</v>
      </c>
      <c r="R188" s="15">
        <v>-0.82799999999999996</v>
      </c>
      <c r="S188" s="15">
        <v>-0.81200000000000006</v>
      </c>
      <c r="T188" s="15">
        <v>-0.83499999999999996</v>
      </c>
      <c r="U188" s="15">
        <v>-0.86599999999999999</v>
      </c>
      <c r="V188" s="15">
        <v>-0.85699999999999998</v>
      </c>
      <c r="W188" s="15">
        <v>-0.84699999999999998</v>
      </c>
      <c r="X188" s="15">
        <v>-0.83799999999999997</v>
      </c>
      <c r="Y188" s="15">
        <v>-0.89100000000000001</v>
      </c>
      <c r="Z188" s="15">
        <v>0.28299999999999997</v>
      </c>
      <c r="AA188" s="15">
        <v>0.27800000000000002</v>
      </c>
      <c r="AB188" s="15">
        <v>0.28899999999999998</v>
      </c>
      <c r="AC188" s="15">
        <v>0.08</v>
      </c>
      <c r="AD188" s="15">
        <v>0.3</v>
      </c>
      <c r="AE188" s="14">
        <v>-0.752</v>
      </c>
      <c r="AF188" s="15">
        <v>-0.45200000000000001</v>
      </c>
      <c r="AG188" s="15">
        <v>-0.57999999999999996</v>
      </c>
      <c r="AH188" s="15">
        <v>-0.75700000000000001</v>
      </c>
      <c r="AI188" s="15">
        <v>-0.44900000000000001</v>
      </c>
      <c r="AJ188" s="16">
        <v>-0.85199999999999998</v>
      </c>
      <c r="AK188" s="4">
        <v>-0.121</v>
      </c>
      <c r="AL188" s="4">
        <v>-0.82399999999999995</v>
      </c>
      <c r="AM188" s="4">
        <v>0.154</v>
      </c>
      <c r="AN188" s="4">
        <v>5.7000000000000002E-2</v>
      </c>
      <c r="AO188" s="4">
        <v>-9.0999999999999998E-2</v>
      </c>
      <c r="AP188" s="4">
        <v>-1.6E-2</v>
      </c>
      <c r="AQ188" s="4">
        <v>-0.112</v>
      </c>
      <c r="AR188" s="4">
        <v>0.79300000000000004</v>
      </c>
      <c r="AS188" s="4">
        <v>0.23899999999999999</v>
      </c>
      <c r="AT188" s="4">
        <v>-4.0000000000000001E-3</v>
      </c>
      <c r="AU188" s="4">
        <v>-0.43</v>
      </c>
      <c r="AV188" s="4">
        <v>-0.3</v>
      </c>
      <c r="AW188" s="4">
        <v>-0.77300000000000002</v>
      </c>
      <c r="AX188" s="4">
        <v>-0.50700000000000001</v>
      </c>
      <c r="AY188" s="4">
        <v>0.624</v>
      </c>
      <c r="AZ188" s="4">
        <v>0.20200000000000001</v>
      </c>
      <c r="BA188" s="4">
        <v>-0.106</v>
      </c>
      <c r="BB188" s="4">
        <v>-0.25900000000000001</v>
      </c>
      <c r="BC188" s="4">
        <v>-0.61399999999999999</v>
      </c>
      <c r="BD188" s="4">
        <v>0.11899999999999999</v>
      </c>
      <c r="BE188" s="4">
        <v>0.218</v>
      </c>
      <c r="BF188" s="4">
        <v>-0.85199999999999998</v>
      </c>
      <c r="BG188" s="4">
        <v>0.22700000000000001</v>
      </c>
      <c r="BH188" s="4">
        <v>6.7000000000000004E-2</v>
      </c>
      <c r="BI188" s="4">
        <v>0.627</v>
      </c>
      <c r="BJ188" s="4">
        <v>-0.04</v>
      </c>
      <c r="BK188" s="4">
        <v>2.8000000000000001E-2</v>
      </c>
      <c r="BL188" s="4"/>
      <c r="BM188" s="4">
        <f t="shared" si="30"/>
        <v>-0.4721336000000001</v>
      </c>
    </row>
    <row r="189" spans="1:65" hidden="1" x14ac:dyDescent="0.3">
      <c r="A189" t="s">
        <v>231</v>
      </c>
      <c r="B189" s="53">
        <f t="shared" si="23"/>
        <v>0</v>
      </c>
      <c r="C189" s="53">
        <f t="shared" si="24"/>
        <v>0</v>
      </c>
      <c r="D189" s="53">
        <f t="shared" si="25"/>
        <v>0</v>
      </c>
      <c r="E189" s="53">
        <f t="shared" si="26"/>
        <v>0</v>
      </c>
      <c r="F189" s="15">
        <v>0.52600000000000002</v>
      </c>
      <c r="G189">
        <v>0.52</v>
      </c>
      <c r="H189" t="s">
        <v>71</v>
      </c>
      <c r="I189" t="str">
        <f>VLOOKUP(A189,Planilha6!$BL$9:$BN$222,2,0)</f>
        <v>food</v>
      </c>
      <c r="J189" t="str">
        <f>VLOOKUP(A189,Planilha6!$BL$9:$BN$222,3,0)</f>
        <v>low_beta</v>
      </c>
      <c r="K189" s="41">
        <v>0</v>
      </c>
      <c r="L189" s="42">
        <v>0</v>
      </c>
      <c r="M189" s="41">
        <f>VLOOKUP(A189,'Mandato Ibov'!$B$1:$C$215,2,0)</f>
        <v>0</v>
      </c>
      <c r="N189" s="59">
        <f t="shared" si="27"/>
        <v>0</v>
      </c>
      <c r="O189" s="42">
        <f t="shared" si="28"/>
        <v>0</v>
      </c>
      <c r="P189" s="59">
        <f>VLOOKUP(A189,'Mandato Ibov'!$B$2:$D$215,3,0)</f>
        <v>0</v>
      </c>
      <c r="Q189" s="42">
        <f t="shared" si="29"/>
        <v>0</v>
      </c>
      <c r="R189" s="15">
        <v>-0.95399999999999996</v>
      </c>
      <c r="S189" s="15">
        <v>-0.84399999999999997</v>
      </c>
      <c r="T189" s="15">
        <v>-0.98</v>
      </c>
      <c r="U189" s="15">
        <v>-0.91200000000000003</v>
      </c>
      <c r="V189" s="15">
        <v>-0.89400000000000002</v>
      </c>
      <c r="W189" s="15">
        <v>-0.79800000000000004</v>
      </c>
      <c r="X189" s="15">
        <v>-0.71199999999999997</v>
      </c>
      <c r="Y189" s="15">
        <v>-0.83699999999999997</v>
      </c>
      <c r="Z189" s="15">
        <v>0.23699999999999999</v>
      </c>
      <c r="AA189" s="15">
        <v>0.23899999999999999</v>
      </c>
      <c r="AB189" s="15">
        <v>0.46800000000000003</v>
      </c>
      <c r="AC189" s="15">
        <v>0.501</v>
      </c>
      <c r="AD189" s="15">
        <v>0.24399999999999999</v>
      </c>
      <c r="AE189" s="14">
        <v>-0.85799999999999998</v>
      </c>
      <c r="AF189" s="15">
        <v>-0.72899999999999998</v>
      </c>
      <c r="AG189" s="15">
        <v>-0.69599999999999995</v>
      </c>
      <c r="AH189" s="15">
        <v>-0.78600000000000003</v>
      </c>
      <c r="AI189" s="15">
        <v>-0.69899999999999995</v>
      </c>
      <c r="AJ189" s="16">
        <v>-0.72</v>
      </c>
      <c r="AK189" s="4">
        <v>-0.52500000000000002</v>
      </c>
      <c r="AL189" s="4">
        <v>-0.83699999999999997</v>
      </c>
      <c r="AM189" s="4">
        <v>-0.63300000000000001</v>
      </c>
      <c r="AN189" s="4">
        <v>-5.7000000000000002E-2</v>
      </c>
      <c r="AO189" s="4">
        <v>4.9000000000000002E-2</v>
      </c>
      <c r="AP189" s="4">
        <v>-5.0999999999999997E-2</v>
      </c>
      <c r="AQ189" s="4">
        <v>0.21299999999999999</v>
      </c>
      <c r="AR189" s="4">
        <v>-0.318</v>
      </c>
      <c r="AS189" s="4">
        <v>-0.77200000000000002</v>
      </c>
      <c r="AT189" s="4">
        <v>0.29499999999999998</v>
      </c>
      <c r="AU189" s="4">
        <v>-0.38</v>
      </c>
      <c r="AV189" s="4">
        <v>-0.38700000000000001</v>
      </c>
      <c r="AW189" s="4">
        <v>0.44500000000000001</v>
      </c>
      <c r="AX189" s="4">
        <v>6.6000000000000003E-2</v>
      </c>
      <c r="AY189" s="4">
        <v>0.81</v>
      </c>
      <c r="AZ189" s="4">
        <v>-0.68799999999999994</v>
      </c>
      <c r="BA189" s="4">
        <v>0.49299999999999999</v>
      </c>
      <c r="BB189" s="4">
        <v>-0.96699999999999997</v>
      </c>
      <c r="BC189" s="4">
        <v>-0.76700000000000002</v>
      </c>
      <c r="BD189" s="4">
        <v>-0.86299999999999999</v>
      </c>
      <c r="BE189" s="4">
        <v>-2.8000000000000001E-2</v>
      </c>
      <c r="BF189" s="4">
        <v>-0.39800000000000002</v>
      </c>
      <c r="BG189" s="4">
        <v>0.79200000000000004</v>
      </c>
      <c r="BH189" s="4">
        <v>-0.36899999999999999</v>
      </c>
      <c r="BI189" s="4">
        <v>-0.47299999999999998</v>
      </c>
      <c r="BJ189" s="4">
        <v>0.33500000000000002</v>
      </c>
      <c r="BK189" s="4">
        <v>-3.5999999999999997E-2</v>
      </c>
      <c r="BL189" s="4"/>
      <c r="BM189" s="4">
        <f t="shared" si="30"/>
        <v>-0.47171589999999997</v>
      </c>
    </row>
    <row r="190" spans="1:65" hidden="1" x14ac:dyDescent="0.3">
      <c r="A190" t="s">
        <v>248</v>
      </c>
      <c r="B190" s="53">
        <f t="shared" si="23"/>
        <v>0</v>
      </c>
      <c r="C190" s="53">
        <f t="shared" si="24"/>
        <v>-1E-3</v>
      </c>
      <c r="D190" s="53">
        <f t="shared" si="25"/>
        <v>0</v>
      </c>
      <c r="E190" s="53">
        <f t="shared" si="26"/>
        <v>1E-3</v>
      </c>
      <c r="F190" s="15">
        <v>0.52500000000000002</v>
      </c>
      <c r="G190">
        <v>0.40699999999999997</v>
      </c>
      <c r="H190" t="s">
        <v>57</v>
      </c>
      <c r="I190" t="str">
        <f>VLOOKUP(A190,Planilha6!$BL$9:$BN$222,2,0)</f>
        <v>homebuilders</v>
      </c>
      <c r="J190" t="str">
        <f>VLOOKUP(A190,Planilha6!$BL$9:$BN$222,3,0)</f>
        <v>very_high_beta</v>
      </c>
      <c r="K190" s="41">
        <v>0</v>
      </c>
      <c r="L190" s="42">
        <v>-1E-3</v>
      </c>
      <c r="M190" s="41">
        <f>VLOOKUP(A190,'Mandato Ibov'!$B$1:$C$215,2,0)</f>
        <v>0</v>
      </c>
      <c r="N190" s="59">
        <f t="shared" si="27"/>
        <v>0</v>
      </c>
      <c r="O190" s="42">
        <f t="shared" si="28"/>
        <v>0</v>
      </c>
      <c r="P190" s="59">
        <f>VLOOKUP(A190,'Mandato Ibov'!$B$2:$D$215,3,0)</f>
        <v>0</v>
      </c>
      <c r="Q190" s="42">
        <f t="shared" si="29"/>
        <v>0</v>
      </c>
      <c r="R190" s="15">
        <v>-0.71699999999999997</v>
      </c>
      <c r="S190" s="15">
        <v>-0.72</v>
      </c>
      <c r="T190" s="15">
        <v>-0.752</v>
      </c>
      <c r="U190" s="15">
        <v>-0.77100000000000002</v>
      </c>
      <c r="V190" s="15">
        <v>-0.75800000000000001</v>
      </c>
      <c r="W190" s="15">
        <v>-0.79800000000000004</v>
      </c>
      <c r="X190" s="15">
        <v>-0.81899999999999995</v>
      </c>
      <c r="Y190" s="15">
        <v>-0.83899999999999997</v>
      </c>
      <c r="Z190" s="15">
        <v>-0.112</v>
      </c>
      <c r="AA190" s="15">
        <v>-0.115</v>
      </c>
      <c r="AB190" s="15">
        <v>0.28399999999999997</v>
      </c>
      <c r="AC190" s="15">
        <v>0.56999999999999995</v>
      </c>
      <c r="AD190" s="15">
        <v>7.3999999999999996E-2</v>
      </c>
      <c r="AE190" s="14">
        <v>-0.318</v>
      </c>
      <c r="AF190" s="15">
        <v>-0.10199999999999999</v>
      </c>
      <c r="AG190" s="15">
        <v>-0.44</v>
      </c>
      <c r="AH190" s="15">
        <v>-0.40699999999999997</v>
      </c>
      <c r="AI190" s="15">
        <v>-0.114</v>
      </c>
      <c r="AJ190" s="16">
        <v>-0.75800000000000001</v>
      </c>
      <c r="AK190" s="4">
        <v>-0.126</v>
      </c>
      <c r="AL190" s="4">
        <v>-1</v>
      </c>
      <c r="AM190" s="4">
        <v>-6.9000000000000006E-2</v>
      </c>
      <c r="AN190" s="4">
        <v>-0.156</v>
      </c>
      <c r="AO190" s="4">
        <v>3.4000000000000002E-2</v>
      </c>
      <c r="AP190" s="4">
        <v>1.0999999999999999E-2</v>
      </c>
      <c r="AQ190" s="4">
        <v>-7.6999999999999999E-2</v>
      </c>
      <c r="AR190" s="4">
        <v>0.53500000000000003</v>
      </c>
      <c r="AS190" s="4">
        <v>0.2</v>
      </c>
      <c r="AT190" s="4">
        <v>-0.187</v>
      </c>
      <c r="AU190" s="4">
        <v>-0.439</v>
      </c>
      <c r="AV190" s="4">
        <v>-0.107</v>
      </c>
      <c r="AW190" s="4">
        <v>-0.45900000000000002</v>
      </c>
      <c r="AX190" s="4">
        <v>-0.85699999999999998</v>
      </c>
      <c r="AY190" s="4">
        <v>0.61599999999999999</v>
      </c>
      <c r="AZ190" s="4">
        <v>0.68100000000000005</v>
      </c>
      <c r="BA190" s="4">
        <v>0.44400000000000001</v>
      </c>
      <c r="BB190" s="4">
        <v>0.14799999999999999</v>
      </c>
      <c r="BC190" s="4">
        <v>-0.23</v>
      </c>
      <c r="BD190" s="4">
        <v>0.437</v>
      </c>
      <c r="BE190" s="4">
        <v>0.35</v>
      </c>
      <c r="BF190" s="4">
        <v>0.28199999999999997</v>
      </c>
      <c r="BG190" s="4">
        <v>6.8000000000000005E-2</v>
      </c>
      <c r="BH190" s="4">
        <v>-7.0000000000000001E-3</v>
      </c>
      <c r="BI190" s="4">
        <v>0.59899999999999998</v>
      </c>
      <c r="BJ190" s="4">
        <v>-0.68500000000000005</v>
      </c>
      <c r="BK190" s="4">
        <v>-8.9999999999999993E-3</v>
      </c>
      <c r="BL190" s="4"/>
      <c r="BM190" s="4">
        <f t="shared" si="30"/>
        <v>-0.47800939999999992</v>
      </c>
    </row>
    <row r="191" spans="1:65" hidden="1" x14ac:dyDescent="0.3">
      <c r="A191" t="s">
        <v>181</v>
      </c>
      <c r="B191" s="53">
        <f t="shared" si="23"/>
        <v>0</v>
      </c>
      <c r="C191" s="53">
        <f t="shared" si="24"/>
        <v>-2.1999999999999999E-2</v>
      </c>
      <c r="D191" s="53">
        <f t="shared" si="25"/>
        <v>0</v>
      </c>
      <c r="E191" s="53">
        <f t="shared" si="26"/>
        <v>2.1999999999999999E-2</v>
      </c>
      <c r="F191" s="15">
        <v>0.52400000000000002</v>
      </c>
      <c r="G191">
        <v>0.69099999999999995</v>
      </c>
      <c r="H191" t="s">
        <v>68</v>
      </c>
      <c r="I191" t="str">
        <f>VLOOKUP(A191,Planilha6!$BL$9:$BN$222,2,0)</f>
        <v>capital_goods</v>
      </c>
      <c r="J191" t="str">
        <f>VLOOKUP(A191,Planilha6!$BL$9:$BN$222,3,0)</f>
        <v>very_high_beta</v>
      </c>
      <c r="K191" s="41">
        <v>0</v>
      </c>
      <c r="L191" s="42">
        <v>-2.1999999999999999E-2</v>
      </c>
      <c r="M191" s="41">
        <f>VLOOKUP(A191,'Mandato Ibov'!$B$1:$C$215,2,0)</f>
        <v>0</v>
      </c>
      <c r="N191" s="59">
        <f t="shared" si="27"/>
        <v>0</v>
      </c>
      <c r="O191" s="42">
        <f t="shared" si="28"/>
        <v>0</v>
      </c>
      <c r="P191" s="59">
        <f>VLOOKUP(A191,'Mandato Ibov'!$B$2:$D$215,3,0)</f>
        <v>0</v>
      </c>
      <c r="Q191" s="42">
        <f t="shared" si="29"/>
        <v>0</v>
      </c>
      <c r="R191" s="15">
        <v>-0.78900000000000003</v>
      </c>
      <c r="S191" s="15">
        <v>-0.69799999999999995</v>
      </c>
      <c r="T191" s="15">
        <v>-0.93400000000000005</v>
      </c>
      <c r="U191" s="15">
        <v>-0.78</v>
      </c>
      <c r="V191" s="15">
        <v>-0.80400000000000005</v>
      </c>
      <c r="W191" s="15">
        <v>-0.71099999999999997</v>
      </c>
      <c r="X191" s="15">
        <v>-0.58399999999999996</v>
      </c>
      <c r="Y191" s="15">
        <v>-0.77100000000000002</v>
      </c>
      <c r="Z191" s="15">
        <v>0.11799999999999999</v>
      </c>
      <c r="AA191" s="15">
        <v>0.11899999999999999</v>
      </c>
      <c r="AB191" s="15">
        <v>0.44800000000000001</v>
      </c>
      <c r="AC191" s="15">
        <v>0.42899999999999999</v>
      </c>
      <c r="AD191" s="15">
        <v>-0.152</v>
      </c>
      <c r="AE191" s="14">
        <v>-0.435</v>
      </c>
      <c r="AF191" s="15">
        <v>-0.48499999999999999</v>
      </c>
      <c r="AG191" s="15">
        <v>-0.94899999999999995</v>
      </c>
      <c r="AH191" s="15">
        <v>-1</v>
      </c>
      <c r="AI191" s="15">
        <v>-1</v>
      </c>
      <c r="AJ191" s="16">
        <v>-0.77900000000000003</v>
      </c>
      <c r="AK191" s="4">
        <v>-0.28699999999999998</v>
      </c>
      <c r="AL191" s="4">
        <v>-0.94199999999999995</v>
      </c>
      <c r="AM191" s="4">
        <v>-0.72899999999999998</v>
      </c>
      <c r="AN191" s="4">
        <v>0.44600000000000001</v>
      </c>
      <c r="AO191" s="4">
        <v>-0.26500000000000001</v>
      </c>
      <c r="AP191" s="4">
        <v>-0.66800000000000004</v>
      </c>
      <c r="AQ191" s="4">
        <v>0.45500000000000002</v>
      </c>
      <c r="AR191" s="4">
        <v>0.47299999999999998</v>
      </c>
      <c r="AS191" s="4">
        <v>-7.3999999999999996E-2</v>
      </c>
      <c r="AT191" s="4">
        <v>9.9000000000000005E-2</v>
      </c>
      <c r="AU191" s="4">
        <v>-0.217</v>
      </c>
      <c r="AV191" s="4">
        <v>0.28399999999999997</v>
      </c>
      <c r="AW191" s="4">
        <v>0.41899999999999998</v>
      </c>
      <c r="AX191" s="4">
        <v>0.216</v>
      </c>
      <c r="AY191" s="4">
        <v>0.49299999999999999</v>
      </c>
      <c r="AZ191" s="4">
        <v>0.18</v>
      </c>
      <c r="BA191" s="4">
        <v>0.29899999999999999</v>
      </c>
      <c r="BB191" s="4">
        <v>0.224</v>
      </c>
      <c r="BC191" s="4">
        <v>0.17799999999999999</v>
      </c>
      <c r="BD191" s="4">
        <v>0.44500000000000001</v>
      </c>
      <c r="BE191" s="4">
        <v>-0.33800000000000002</v>
      </c>
      <c r="BF191" s="4">
        <v>-0.30599999999999999</v>
      </c>
      <c r="BG191" s="4">
        <v>0.34200000000000003</v>
      </c>
      <c r="BH191" s="4">
        <v>-0.98699999999999999</v>
      </c>
      <c r="BI191" s="4">
        <v>0.83099999999999996</v>
      </c>
      <c r="BJ191" s="4">
        <v>-0.435</v>
      </c>
      <c r="BK191" s="4">
        <v>-0.81100000000000005</v>
      </c>
      <c r="BL191" s="4"/>
      <c r="BM191" s="4">
        <f t="shared" si="30"/>
        <v>-0.47923650000000001</v>
      </c>
    </row>
    <row r="192" spans="1:65" hidden="1" x14ac:dyDescent="0.3">
      <c r="A192" t="s">
        <v>223</v>
      </c>
      <c r="B192" s="53">
        <f t="shared" si="23"/>
        <v>0</v>
      </c>
      <c r="C192" s="53">
        <f t="shared" si="24"/>
        <v>0</v>
      </c>
      <c r="D192" s="53">
        <f t="shared" si="25"/>
        <v>0</v>
      </c>
      <c r="E192" s="53">
        <f t="shared" si="26"/>
        <v>0</v>
      </c>
      <c r="F192" s="15">
        <v>0.52400000000000002</v>
      </c>
      <c r="G192">
        <v>0.58799999999999997</v>
      </c>
      <c r="H192" t="s">
        <v>68</v>
      </c>
      <c r="I192" t="str">
        <f>VLOOKUP(A192,Planilha6!$BL$9:$BN$222,2,0)</f>
        <v>capital_goods</v>
      </c>
      <c r="J192" t="str">
        <f>VLOOKUP(A192,Planilha6!$BL$9:$BN$222,3,0)</f>
        <v>high_beta</v>
      </c>
      <c r="K192" s="41">
        <v>0</v>
      </c>
      <c r="L192" s="42">
        <v>0</v>
      </c>
      <c r="M192" s="41">
        <f>VLOOKUP(A192,'Mandato Ibov'!$B$1:$C$215,2,0)</f>
        <v>0</v>
      </c>
      <c r="N192" s="59">
        <f t="shared" si="27"/>
        <v>0</v>
      </c>
      <c r="O192" s="42">
        <f t="shared" si="28"/>
        <v>0</v>
      </c>
      <c r="P192" s="59">
        <f>VLOOKUP(A192,'Mandato Ibov'!$B$2:$D$215,3,0)</f>
        <v>0</v>
      </c>
      <c r="Q192" s="42">
        <f t="shared" si="29"/>
        <v>0</v>
      </c>
      <c r="R192" s="15">
        <v>-0.91400000000000003</v>
      </c>
      <c r="S192" s="15">
        <v>-0.75800000000000001</v>
      </c>
      <c r="T192" s="15">
        <v>-0.878</v>
      </c>
      <c r="U192" s="15">
        <v>-0.9</v>
      </c>
      <c r="V192" s="15">
        <v>-0.83199999999999996</v>
      </c>
      <c r="W192" s="15">
        <v>-0.86299999999999999</v>
      </c>
      <c r="X192" s="15">
        <v>-0.78700000000000003</v>
      </c>
      <c r="Y192" s="15">
        <v>-0.82299999999999995</v>
      </c>
      <c r="Z192" s="15">
        <v>0.219</v>
      </c>
      <c r="AA192" s="15">
        <v>0.216</v>
      </c>
      <c r="AB192" s="15">
        <v>0.30499999999999999</v>
      </c>
      <c r="AC192" s="15">
        <v>0.214</v>
      </c>
      <c r="AD192" s="15">
        <v>0.24099999999999999</v>
      </c>
      <c r="AE192" s="14">
        <v>-0.92400000000000004</v>
      </c>
      <c r="AF192" s="15">
        <v>-1</v>
      </c>
      <c r="AG192" s="15">
        <v>-0.108</v>
      </c>
      <c r="AH192" s="15">
        <v>-0.45200000000000001</v>
      </c>
      <c r="AI192" s="15">
        <v>1</v>
      </c>
      <c r="AJ192" s="16">
        <v>-0.55400000000000005</v>
      </c>
      <c r="AK192" s="4">
        <v>-0.31</v>
      </c>
      <c r="AL192" s="4">
        <v>-0.95</v>
      </c>
      <c r="AM192" s="4">
        <v>-0.57999999999999996</v>
      </c>
      <c r="AN192" s="4">
        <v>-0.379</v>
      </c>
      <c r="AO192" s="4">
        <v>0.436</v>
      </c>
      <c r="AP192" s="4">
        <v>0.95699999999999996</v>
      </c>
      <c r="AQ192" s="4">
        <v>-0.78600000000000003</v>
      </c>
      <c r="AR192" s="4">
        <v>-1</v>
      </c>
      <c r="AS192" s="4">
        <v>-0.85799999999999998</v>
      </c>
      <c r="AT192" s="4">
        <v>0.185</v>
      </c>
      <c r="AU192" s="4">
        <v>-0.35699999999999998</v>
      </c>
      <c r="AV192" s="4">
        <v>-0.42499999999999999</v>
      </c>
      <c r="AW192" s="4">
        <v>0.56699999999999995</v>
      </c>
      <c r="AX192" s="4">
        <v>-0.14799999999999999</v>
      </c>
      <c r="AY192" s="4">
        <v>0.82899999999999996</v>
      </c>
      <c r="AZ192" s="4">
        <v>-0.55700000000000005</v>
      </c>
      <c r="BA192" s="4">
        <v>-0.126</v>
      </c>
      <c r="BB192" s="4">
        <v>-1</v>
      </c>
      <c r="BC192" s="4">
        <v>-0.77700000000000002</v>
      </c>
      <c r="BD192" s="4">
        <v>-0.67300000000000004</v>
      </c>
      <c r="BE192" s="4">
        <v>-0.107</v>
      </c>
      <c r="BF192" s="4">
        <v>-0.41299999999999998</v>
      </c>
      <c r="BG192" s="4">
        <v>0.52500000000000002</v>
      </c>
      <c r="BH192" s="4">
        <v>-0.67800000000000005</v>
      </c>
      <c r="BI192" s="4">
        <v>0.39700000000000002</v>
      </c>
      <c r="BJ192" s="4">
        <v>0.11799999999999999</v>
      </c>
      <c r="BK192" s="4">
        <v>0.436</v>
      </c>
      <c r="BL192" s="4"/>
      <c r="BM192" s="4">
        <f t="shared" si="30"/>
        <v>-0.48080489999999992</v>
      </c>
    </row>
    <row r="193" spans="1:65" hidden="1" x14ac:dyDescent="0.3">
      <c r="A193" t="s">
        <v>149</v>
      </c>
      <c r="B193" s="53">
        <f t="shared" si="23"/>
        <v>0</v>
      </c>
      <c r="C193" s="53">
        <f t="shared" si="24"/>
        <v>0</v>
      </c>
      <c r="D193" s="53">
        <f t="shared" si="25"/>
        <v>0</v>
      </c>
      <c r="E193" s="53">
        <f t="shared" si="26"/>
        <v>0</v>
      </c>
      <c r="F193" s="15">
        <v>0.51900000000000002</v>
      </c>
      <c r="G193">
        <v>0.38800000000000001</v>
      </c>
      <c r="H193" t="s">
        <v>53</v>
      </c>
      <c r="I193" t="str">
        <f>VLOOKUP(A193,Planilha6!$BL$9:$BN$222,2,0)</f>
        <v>healthcare</v>
      </c>
      <c r="J193" t="str">
        <f>VLOOKUP(A193,Planilha6!$BL$9:$BN$222,3,0)</f>
        <v>very_high_beta</v>
      </c>
      <c r="K193" s="41">
        <v>0</v>
      </c>
      <c r="L193" s="42">
        <v>0</v>
      </c>
      <c r="M193" s="41">
        <f>VLOOKUP(A193,'Mandato Ibov'!$B$1:$C$215,2,0)</f>
        <v>0</v>
      </c>
      <c r="N193" s="59">
        <f t="shared" si="27"/>
        <v>0</v>
      </c>
      <c r="O193" s="42">
        <f t="shared" si="28"/>
        <v>0</v>
      </c>
      <c r="P193" s="59">
        <f>VLOOKUP(A193,'Mandato Ibov'!$B$2:$D$215,3,0)</f>
        <v>0</v>
      </c>
      <c r="Q193" s="42">
        <f t="shared" si="29"/>
        <v>0</v>
      </c>
      <c r="R193" s="15">
        <v>-0.443</v>
      </c>
      <c r="S193" s="15">
        <v>-0.77700000000000002</v>
      </c>
      <c r="T193" s="15">
        <v>-0.254</v>
      </c>
      <c r="U193" s="15">
        <v>-0.69699999999999995</v>
      </c>
      <c r="V193" s="15">
        <v>-0.73199999999999998</v>
      </c>
      <c r="W193" s="15">
        <v>-0.81699999999999995</v>
      </c>
      <c r="X193" s="15">
        <v>-0.82899999999999996</v>
      </c>
      <c r="Y193" s="15">
        <v>-0.871</v>
      </c>
      <c r="Z193" s="15">
        <v>-0.34499999999999997</v>
      </c>
      <c r="AA193" s="15">
        <v>-0.34</v>
      </c>
      <c r="AB193" s="15">
        <v>0.27700000000000002</v>
      </c>
      <c r="AC193" s="15">
        <v>-7.6999999999999999E-2</v>
      </c>
      <c r="AD193" s="15">
        <v>-0.20799999999999999</v>
      </c>
      <c r="AE193" s="14">
        <v>0.13200000000000001</v>
      </c>
      <c r="AF193" s="15">
        <v>-0.40400000000000003</v>
      </c>
      <c r="AG193" s="15">
        <v>-0.32200000000000001</v>
      </c>
      <c r="AH193" s="15">
        <v>0.85699999999999998</v>
      </c>
      <c r="AI193" s="15">
        <v>-0.17899999999999999</v>
      </c>
      <c r="AJ193" s="16">
        <v>-0.16</v>
      </c>
      <c r="AK193" s="4">
        <v>0.20399999999999999</v>
      </c>
      <c r="AL193" s="4">
        <v>-0.96399999999999997</v>
      </c>
      <c r="AM193" s="4">
        <v>0.30199999999999999</v>
      </c>
      <c r="AN193" s="4">
        <v>-0.16300000000000001</v>
      </c>
      <c r="AO193" s="4">
        <v>-0.58799999999999997</v>
      </c>
      <c r="AP193" s="4">
        <v>-0.58699999999999997</v>
      </c>
      <c r="AQ193" s="4">
        <v>-0.28899999999999998</v>
      </c>
      <c r="AR193" s="4">
        <v>6.2E-2</v>
      </c>
      <c r="AS193" s="4">
        <v>-3.2000000000000001E-2</v>
      </c>
      <c r="AT193" s="4">
        <v>6.8000000000000005E-2</v>
      </c>
      <c r="AU193" s="4">
        <v>0.123</v>
      </c>
      <c r="AV193" s="4">
        <v>0.193</v>
      </c>
      <c r="AW193" s="4">
        <v>-0.65400000000000003</v>
      </c>
      <c r="AX193" s="4">
        <v>-0.215</v>
      </c>
      <c r="AY193" s="4">
        <v>0.63700000000000001</v>
      </c>
      <c r="AZ193" s="4">
        <v>0.17699999999999999</v>
      </c>
      <c r="BA193" s="4">
        <v>0.33700000000000002</v>
      </c>
      <c r="BB193" s="4">
        <v>0.30099999999999999</v>
      </c>
      <c r="BC193" s="4">
        <v>0.10299999999999999</v>
      </c>
      <c r="BD193" s="4">
        <v>0.33700000000000002</v>
      </c>
      <c r="BE193" s="4">
        <v>-0.47</v>
      </c>
      <c r="BF193" s="4">
        <v>-0.79300000000000004</v>
      </c>
      <c r="BG193" s="4">
        <v>-0.66</v>
      </c>
      <c r="BH193" s="4">
        <v>0.67600000000000005</v>
      </c>
      <c r="BI193" s="4">
        <v>0.54100000000000004</v>
      </c>
      <c r="BJ193" s="4">
        <v>-0.14199999999999999</v>
      </c>
      <c r="BK193" s="4">
        <v>0.91200000000000003</v>
      </c>
      <c r="BL193" s="4"/>
      <c r="BM193" s="4">
        <f t="shared" si="30"/>
        <v>-0.50909519999999997</v>
      </c>
    </row>
    <row r="194" spans="1:65" hidden="1" x14ac:dyDescent="0.3">
      <c r="A194" t="s">
        <v>246</v>
      </c>
      <c r="B194" s="53">
        <f t="shared" si="23"/>
        <v>0</v>
      </c>
      <c r="C194" s="53">
        <f t="shared" si="24"/>
        <v>-3.0000000000000001E-3</v>
      </c>
      <c r="D194" s="53">
        <f t="shared" si="25"/>
        <v>0</v>
      </c>
      <c r="E194" s="53">
        <f t="shared" si="26"/>
        <v>3.0000000000000001E-3</v>
      </c>
      <c r="F194" s="15">
        <v>0.51600000000000001</v>
      </c>
      <c r="G194">
        <v>0.53200000000000003</v>
      </c>
      <c r="H194" t="s">
        <v>53</v>
      </c>
      <c r="I194" t="str">
        <f>VLOOKUP(A194,Planilha6!$BL$9:$BN$222,2,0)</f>
        <v>consumer_staples</v>
      </c>
      <c r="J194" t="str">
        <f>VLOOKUP(A194,Planilha6!$BL$9:$BN$222,3,0)</f>
        <v>high_beta</v>
      </c>
      <c r="K194" s="41">
        <v>0</v>
      </c>
      <c r="L194" s="42">
        <v>-3.0000000000000001E-3</v>
      </c>
      <c r="M194" s="41">
        <f>VLOOKUP(A194,'Mandato Ibov'!$B$1:$C$215,2,0)</f>
        <v>0</v>
      </c>
      <c r="N194" s="59">
        <f t="shared" si="27"/>
        <v>0</v>
      </c>
      <c r="O194" s="42">
        <f t="shared" si="28"/>
        <v>0</v>
      </c>
      <c r="P194" s="59">
        <f>VLOOKUP(A194,'Mandato Ibov'!$B$2:$D$215,3,0)</f>
        <v>0</v>
      </c>
      <c r="Q194" s="42">
        <f t="shared" si="29"/>
        <v>0</v>
      </c>
      <c r="R194" s="15">
        <v>-0.80800000000000005</v>
      </c>
      <c r="S194" s="15">
        <v>-0.76</v>
      </c>
      <c r="T194" s="15">
        <v>-0.86899999999999999</v>
      </c>
      <c r="U194" s="15">
        <v>-0.84299999999999997</v>
      </c>
      <c r="V194" s="15">
        <v>-0.83</v>
      </c>
      <c r="W194" s="15">
        <v>-0.82499999999999996</v>
      </c>
      <c r="X194" s="15">
        <v>-0.79600000000000004</v>
      </c>
      <c r="Y194" s="15">
        <v>-0.81399999999999995</v>
      </c>
      <c r="Z194" s="15">
        <v>-0.16600000000000001</v>
      </c>
      <c r="AA194" s="15">
        <v>-0.16500000000000001</v>
      </c>
      <c r="AB194" s="15">
        <v>0.44500000000000001</v>
      </c>
      <c r="AC194" s="15">
        <v>0.56299999999999994</v>
      </c>
      <c r="AD194" s="15">
        <v>-6.8000000000000005E-2</v>
      </c>
      <c r="AE194" s="14">
        <v>-1</v>
      </c>
      <c r="AF194" s="15">
        <v>-0.42</v>
      </c>
      <c r="AG194" s="15">
        <v>-0.69299999999999995</v>
      </c>
      <c r="AH194" s="15">
        <v>-0.95099999999999996</v>
      </c>
      <c r="AI194" s="15">
        <v>-0.58799999999999997</v>
      </c>
      <c r="AJ194" s="16">
        <v>-0.51700000000000002</v>
      </c>
      <c r="AK194" s="4">
        <v>-0.53100000000000003</v>
      </c>
      <c r="AL194" s="4">
        <v>-0.68400000000000005</v>
      </c>
      <c r="AM194" s="4">
        <v>-0.53400000000000003</v>
      </c>
      <c r="AN194" s="4">
        <v>0.20499999999999999</v>
      </c>
      <c r="AO194" s="4">
        <v>-0.02</v>
      </c>
      <c r="AP194" s="4">
        <v>0.65</v>
      </c>
      <c r="AQ194" s="4">
        <v>0.17199999999999999</v>
      </c>
      <c r="AR194" s="4">
        <v>0.23100000000000001</v>
      </c>
      <c r="AS194" s="4">
        <v>0.254</v>
      </c>
      <c r="AT194" s="4">
        <v>-6.6000000000000003E-2</v>
      </c>
      <c r="AU194" s="4">
        <v>-0.19400000000000001</v>
      </c>
      <c r="AV194" s="4">
        <v>-0.47</v>
      </c>
      <c r="AW194" s="4">
        <v>0.27</v>
      </c>
      <c r="AX194" s="4">
        <v>-0.23400000000000001</v>
      </c>
      <c r="AY194" s="4">
        <v>0.92400000000000004</v>
      </c>
      <c r="AZ194" s="4">
        <v>0.20300000000000001</v>
      </c>
      <c r="BA194" s="4">
        <v>0.19600000000000001</v>
      </c>
      <c r="BB194" s="4">
        <v>-8.1000000000000003E-2</v>
      </c>
      <c r="BC194" s="4">
        <v>8.5999999999999993E-2</v>
      </c>
      <c r="BD194" s="4">
        <v>0.28100000000000003</v>
      </c>
      <c r="BE194" s="4">
        <v>-0.437</v>
      </c>
      <c r="BF194" s="4">
        <v>-1</v>
      </c>
      <c r="BG194" s="4">
        <v>-0.45</v>
      </c>
      <c r="BH194" s="4">
        <v>-0.182</v>
      </c>
      <c r="BI194" s="4">
        <v>0.16400000000000001</v>
      </c>
      <c r="BJ194" s="4">
        <v>-9.4E-2</v>
      </c>
      <c r="BK194" s="4">
        <v>-0.252</v>
      </c>
      <c r="BL194" s="4"/>
      <c r="BM194" s="4">
        <f t="shared" si="30"/>
        <v>-0.52305500000000016</v>
      </c>
    </row>
    <row r="195" spans="1:65" hidden="1" x14ac:dyDescent="0.3">
      <c r="A195" t="s">
        <v>224</v>
      </c>
      <c r="B195" s="53">
        <f t="shared" si="23"/>
        <v>0</v>
      </c>
      <c r="C195" s="53">
        <f t="shared" si="24"/>
        <v>0</v>
      </c>
      <c r="D195" s="53">
        <f t="shared" si="25"/>
        <v>0</v>
      </c>
      <c r="E195" s="53">
        <f t="shared" si="26"/>
        <v>0</v>
      </c>
      <c r="F195" s="15">
        <v>0.51600000000000001</v>
      </c>
      <c r="G195">
        <v>0.42599999999999999</v>
      </c>
      <c r="H195" t="s">
        <v>71</v>
      </c>
      <c r="I195" t="str">
        <f>VLOOKUP(A195,Planilha6!$BL$9:$BN$222,2,0)</f>
        <v>food</v>
      </c>
      <c r="J195" t="str">
        <f>VLOOKUP(A195,Planilha6!$BL$9:$BN$222,3,0)</f>
        <v>very_low_beta</v>
      </c>
      <c r="K195" s="41">
        <v>0</v>
      </c>
      <c r="L195" s="42">
        <v>0</v>
      </c>
      <c r="M195" s="41">
        <f>VLOOKUP(A195,'Mandato Ibov'!$B$1:$C$215,2,0)</f>
        <v>0</v>
      </c>
      <c r="N195" s="59">
        <f t="shared" si="27"/>
        <v>0</v>
      </c>
      <c r="O195" s="42">
        <f t="shared" si="28"/>
        <v>0</v>
      </c>
      <c r="P195" s="59">
        <f>VLOOKUP(A195,'Mandato Ibov'!$B$2:$D$215,3,0)</f>
        <v>0</v>
      </c>
      <c r="Q195" s="42">
        <f t="shared" si="29"/>
        <v>0</v>
      </c>
      <c r="R195" s="15">
        <v>-0.98699999999999999</v>
      </c>
      <c r="S195" s="15">
        <v>-0.93899999999999995</v>
      </c>
      <c r="T195" s="15">
        <v>-0.91400000000000003</v>
      </c>
      <c r="U195" s="15">
        <v>-0.95699999999999996</v>
      </c>
      <c r="V195" s="15">
        <v>-0.92900000000000005</v>
      </c>
      <c r="W195" s="15">
        <v>-0.90700000000000003</v>
      </c>
      <c r="X195" s="15">
        <v>-0.872</v>
      </c>
      <c r="Y195" s="15">
        <v>-0.872</v>
      </c>
      <c r="Z195" s="15">
        <v>0.44500000000000001</v>
      </c>
      <c r="AA195" s="15">
        <v>0.443</v>
      </c>
      <c r="AB195" s="15">
        <v>0.217</v>
      </c>
      <c r="AC195" s="15">
        <v>0.17</v>
      </c>
      <c r="AD195" s="15">
        <v>0.14599999999999999</v>
      </c>
      <c r="AE195" s="14">
        <v>-0.76300000000000001</v>
      </c>
      <c r="AF195" s="15">
        <v>-0.77400000000000002</v>
      </c>
      <c r="AG195" s="15">
        <v>-0.76</v>
      </c>
      <c r="AH195" s="15">
        <v>7.6999999999999999E-2</v>
      </c>
      <c r="AI195" s="15">
        <v>-0.42399999999999999</v>
      </c>
      <c r="AJ195" s="16">
        <v>-0.52800000000000002</v>
      </c>
      <c r="AK195" s="4">
        <v>-0.7</v>
      </c>
      <c r="AL195" s="4">
        <v>-0.51400000000000001</v>
      </c>
      <c r="AM195" s="4">
        <v>0.439</v>
      </c>
      <c r="AN195" s="4">
        <v>-0.24399999999999999</v>
      </c>
      <c r="AO195" s="4">
        <v>-0.56799999999999995</v>
      </c>
      <c r="AP195" s="4">
        <v>-0.54800000000000004</v>
      </c>
      <c r="AQ195" s="4">
        <v>-0.47699999999999998</v>
      </c>
      <c r="AR195" s="4">
        <v>-0.316</v>
      </c>
      <c r="AS195" s="4">
        <v>-0.16</v>
      </c>
      <c r="AT195" s="4">
        <v>-0.13800000000000001</v>
      </c>
      <c r="AU195" s="4">
        <v>-0.48799999999999999</v>
      </c>
      <c r="AV195" s="4">
        <v>-0.58099999999999996</v>
      </c>
      <c r="AW195" s="4">
        <v>0.55100000000000005</v>
      </c>
      <c r="AX195" s="4">
        <v>0.222</v>
      </c>
      <c r="AY195" s="4">
        <v>-0.183</v>
      </c>
      <c r="AZ195" s="4">
        <v>-0.57899999999999996</v>
      </c>
      <c r="BA195" s="4">
        <v>-0.97499999999999998</v>
      </c>
      <c r="BB195" s="4">
        <v>-0.83499999999999996</v>
      </c>
      <c r="BC195" s="4">
        <v>-0.98499999999999999</v>
      </c>
      <c r="BD195" s="4">
        <v>-1</v>
      </c>
      <c r="BE195" s="4">
        <v>1</v>
      </c>
      <c r="BF195" s="4">
        <v>1</v>
      </c>
      <c r="BG195" s="4">
        <v>0.28499999999999998</v>
      </c>
      <c r="BH195" s="4">
        <v>7.3999999999999996E-2</v>
      </c>
      <c r="BI195" s="4">
        <v>-0.78100000000000003</v>
      </c>
      <c r="BJ195" s="4">
        <v>0.23400000000000001</v>
      </c>
      <c r="BK195" s="4">
        <v>0.76800000000000002</v>
      </c>
      <c r="BL195" s="4"/>
      <c r="BM195" s="4">
        <f t="shared" si="30"/>
        <v>-0.52585389999999987</v>
      </c>
    </row>
    <row r="196" spans="1:65" hidden="1" x14ac:dyDescent="0.3">
      <c r="A196" t="s">
        <v>252</v>
      </c>
      <c r="B196" s="53">
        <f t="shared" si="23"/>
        <v>0</v>
      </c>
      <c r="C196" s="53">
        <f t="shared" si="24"/>
        <v>-5.0000000000000001E-3</v>
      </c>
      <c r="D196" s="53">
        <f t="shared" si="25"/>
        <v>0</v>
      </c>
      <c r="E196" s="53">
        <f t="shared" si="26"/>
        <v>5.0000000000000001E-3</v>
      </c>
      <c r="F196" s="15">
        <v>0.51400000000000001</v>
      </c>
      <c r="G196">
        <v>0.45200000000000001</v>
      </c>
      <c r="H196" t="s">
        <v>53</v>
      </c>
      <c r="I196" t="str">
        <f>VLOOKUP(A196,Planilha6!$BL$9:$BN$222,2,0)</f>
        <v>consumer_staples</v>
      </c>
      <c r="J196" t="str">
        <f>VLOOKUP(A196,Planilha6!$BL$9:$BN$222,3,0)</f>
        <v>very_high_beta</v>
      </c>
      <c r="K196" s="41">
        <v>0</v>
      </c>
      <c r="L196" s="42">
        <v>-5.0000000000000001E-3</v>
      </c>
      <c r="M196" s="41">
        <f>VLOOKUP(A196,'Mandato Ibov'!$B$1:$C$215,2,0)</f>
        <v>0</v>
      </c>
      <c r="N196" s="59">
        <f t="shared" si="27"/>
        <v>0</v>
      </c>
      <c r="O196" s="42">
        <f t="shared" si="28"/>
        <v>0</v>
      </c>
      <c r="P196" s="59">
        <f>VLOOKUP(A196,'Mandato Ibov'!$B$2:$D$215,3,0)</f>
        <v>0</v>
      </c>
      <c r="Q196" s="42">
        <f t="shared" si="29"/>
        <v>0</v>
      </c>
      <c r="R196" s="15">
        <v>-0.85299999999999998</v>
      </c>
      <c r="S196" s="15">
        <v>-0.76</v>
      </c>
      <c r="T196" s="15">
        <v>-0.96399999999999997</v>
      </c>
      <c r="U196" s="15">
        <v>-0.75800000000000001</v>
      </c>
      <c r="V196" s="15">
        <v>-0.81899999999999995</v>
      </c>
      <c r="W196" s="15">
        <v>-0.81899999999999995</v>
      </c>
      <c r="X196" s="15">
        <v>-0.77500000000000002</v>
      </c>
      <c r="Y196" s="15">
        <v>-0.81200000000000006</v>
      </c>
      <c r="Z196" s="15">
        <v>-0.36799999999999999</v>
      </c>
      <c r="AA196" s="15">
        <v>-0.36199999999999999</v>
      </c>
      <c r="AB196" s="15">
        <v>0.48099999999999998</v>
      </c>
      <c r="AC196" s="15">
        <v>0.38500000000000001</v>
      </c>
      <c r="AD196" s="15">
        <v>3.5999999999999997E-2</v>
      </c>
      <c r="AE196" s="14">
        <v>8.3000000000000004E-2</v>
      </c>
      <c r="AF196" s="15">
        <v>-0.67</v>
      </c>
      <c r="AG196" s="15">
        <v>-0.13</v>
      </c>
      <c r="AH196" s="15">
        <v>-0.65400000000000003</v>
      </c>
      <c r="AI196" s="15">
        <v>-0.61699999999999999</v>
      </c>
      <c r="AJ196" s="16">
        <v>-0.88900000000000001</v>
      </c>
      <c r="AK196" s="4">
        <v>0.37</v>
      </c>
      <c r="AL196" s="4">
        <v>-0.86499999999999999</v>
      </c>
      <c r="AM196" s="4">
        <v>-0.67200000000000004</v>
      </c>
      <c r="AN196" s="4">
        <v>-6.6000000000000003E-2</v>
      </c>
      <c r="AO196" s="4">
        <v>-0.23100000000000001</v>
      </c>
      <c r="AP196" s="4">
        <v>0.54500000000000004</v>
      </c>
      <c r="AQ196" s="4">
        <v>-0.222</v>
      </c>
      <c r="AR196" s="4">
        <v>-1</v>
      </c>
      <c r="AS196" s="4">
        <v>-0.93300000000000005</v>
      </c>
      <c r="AT196" s="4">
        <v>0.52200000000000002</v>
      </c>
      <c r="AU196" s="4">
        <v>-0.40100000000000002</v>
      </c>
      <c r="AV196" s="4">
        <v>0.27700000000000002</v>
      </c>
      <c r="AW196" s="4">
        <v>-3.9E-2</v>
      </c>
      <c r="AX196" s="4">
        <v>-0.35799999999999998</v>
      </c>
      <c r="AY196" s="4">
        <v>0.87</v>
      </c>
      <c r="AZ196" s="4">
        <v>-0.17599999999999999</v>
      </c>
      <c r="BA196" s="4">
        <v>0.128</v>
      </c>
      <c r="BB196" s="4">
        <v>-7.0999999999999994E-2</v>
      </c>
      <c r="BC196" s="4">
        <v>0.18</v>
      </c>
      <c r="BD196" s="4">
        <v>0.20599999999999999</v>
      </c>
      <c r="BE196" s="4">
        <v>-0.995</v>
      </c>
      <c r="BF196" s="4">
        <v>-0.40200000000000002</v>
      </c>
      <c r="BG196" s="4">
        <v>-5.0999999999999997E-2</v>
      </c>
      <c r="BH196" s="4">
        <v>7.2999999999999995E-2</v>
      </c>
      <c r="BI196" s="4">
        <v>0.317</v>
      </c>
      <c r="BJ196" s="4">
        <v>-0.55500000000000005</v>
      </c>
      <c r="BK196" s="4">
        <v>-0.15</v>
      </c>
      <c r="BL196" s="4"/>
      <c r="BM196" s="4">
        <f t="shared" si="30"/>
        <v>-0.53712519999999997</v>
      </c>
    </row>
    <row r="197" spans="1:65" hidden="1" x14ac:dyDescent="0.3">
      <c r="A197" t="s">
        <v>276</v>
      </c>
      <c r="B197" s="53">
        <f t="shared" si="23"/>
        <v>0</v>
      </c>
      <c r="C197" s="53">
        <f t="shared" si="24"/>
        <v>0</v>
      </c>
      <c r="D197" s="53">
        <f t="shared" si="25"/>
        <v>0</v>
      </c>
      <c r="E197" s="53">
        <f t="shared" si="26"/>
        <v>0</v>
      </c>
      <c r="F197" s="15">
        <v>0.51400000000000001</v>
      </c>
      <c r="G197">
        <v>0.36099999999999999</v>
      </c>
      <c r="H197" t="s">
        <v>68</v>
      </c>
      <c r="I197" t="str">
        <f>VLOOKUP(A197,Planilha6!$BL$9:$BN$222,2,0)</f>
        <v>chemicals</v>
      </c>
      <c r="J197" t="str">
        <f>VLOOKUP(A197,Planilha6!$BL$9:$BN$222,3,0)</f>
        <v>very_high_beta</v>
      </c>
      <c r="K197" s="41">
        <v>0</v>
      </c>
      <c r="L197" s="42">
        <v>0</v>
      </c>
      <c r="M197" s="41">
        <f>VLOOKUP(A197,'Mandato Ibov'!$B$1:$C$215,2,0)</f>
        <v>0</v>
      </c>
      <c r="N197" s="59">
        <f t="shared" si="27"/>
        <v>0</v>
      </c>
      <c r="O197" s="42">
        <f t="shared" si="28"/>
        <v>0</v>
      </c>
      <c r="P197" s="59">
        <f>VLOOKUP(A197,'Mandato Ibov'!$B$2:$D$215,3,0)</f>
        <v>0</v>
      </c>
      <c r="Q197" s="42">
        <f t="shared" si="29"/>
        <v>0</v>
      </c>
      <c r="R197" s="15">
        <v>-0.79200000000000004</v>
      </c>
      <c r="S197" s="15">
        <v>-0.85599999999999998</v>
      </c>
      <c r="T197" s="15">
        <v>-0.78900000000000003</v>
      </c>
      <c r="U197" s="15">
        <v>-0.84099999999999997</v>
      </c>
      <c r="V197" s="15">
        <v>-0.876</v>
      </c>
      <c r="W197" s="15">
        <v>-0.92</v>
      </c>
      <c r="X197" s="15">
        <v>-0.92700000000000005</v>
      </c>
      <c r="Y197" s="15">
        <v>-0.91900000000000004</v>
      </c>
      <c r="Z197" s="15">
        <v>-0.13500000000000001</v>
      </c>
      <c r="AA197" s="15">
        <v>-0.13700000000000001</v>
      </c>
      <c r="AB197" s="15">
        <v>-0.223</v>
      </c>
      <c r="AC197" s="15">
        <v>0.28399999999999997</v>
      </c>
      <c r="AD197" s="15">
        <v>0.28599999999999998</v>
      </c>
      <c r="AE197" s="14">
        <v>-0.60899999999999999</v>
      </c>
      <c r="AF197" s="15">
        <v>-0.98499999999999999</v>
      </c>
      <c r="AG197" s="15">
        <v>-0.78100000000000003</v>
      </c>
      <c r="AH197" s="15">
        <v>-0.79300000000000004</v>
      </c>
      <c r="AI197" s="15">
        <v>-0.38600000000000001</v>
      </c>
      <c r="AJ197" s="16">
        <v>-0.52600000000000002</v>
      </c>
      <c r="AK197" s="4">
        <v>-0.33100000000000002</v>
      </c>
      <c r="AL197" s="4">
        <v>-0.71299999999999997</v>
      </c>
      <c r="AM197" s="4">
        <v>-0.76500000000000001</v>
      </c>
      <c r="AN197" s="4">
        <v>-0.93700000000000006</v>
      </c>
      <c r="AO197" s="4">
        <v>0.17799999999999999</v>
      </c>
      <c r="AP197" s="4">
        <v>0.14599999999999999</v>
      </c>
      <c r="AQ197" s="4">
        <v>-0.28100000000000003</v>
      </c>
      <c r="AR197" s="4">
        <v>0.126</v>
      </c>
      <c r="AS197" s="4">
        <v>0.23899999999999999</v>
      </c>
      <c r="AT197" s="4">
        <v>0.40500000000000003</v>
      </c>
      <c r="AU197" s="4">
        <v>-0.29499999999999998</v>
      </c>
      <c r="AV197" s="4">
        <v>0.14899999999999999</v>
      </c>
      <c r="AW197" s="4">
        <v>-0.75</v>
      </c>
      <c r="AX197" s="4">
        <v>9.2999999999999999E-2</v>
      </c>
      <c r="AY197" s="4">
        <v>4.3999999999999997E-2</v>
      </c>
      <c r="AZ197" s="4">
        <v>-0.66800000000000004</v>
      </c>
      <c r="BA197" s="4">
        <v>0.93400000000000005</v>
      </c>
      <c r="BB197" s="4">
        <v>0.183</v>
      </c>
      <c r="BC197" s="4">
        <v>-0.113</v>
      </c>
      <c r="BD197" s="4">
        <v>1</v>
      </c>
      <c r="BE197" s="4">
        <v>-1</v>
      </c>
      <c r="BF197" s="4">
        <v>-1</v>
      </c>
      <c r="BG197" s="4">
        <v>-1</v>
      </c>
      <c r="BH197" s="4">
        <v>0.26100000000000001</v>
      </c>
      <c r="BI197" s="4">
        <v>0.79400000000000004</v>
      </c>
      <c r="BJ197" s="4">
        <v>0.96799999999999997</v>
      </c>
      <c r="BK197" s="4">
        <v>-6.8000000000000005E-2</v>
      </c>
      <c r="BL197" s="4"/>
      <c r="BM197" s="4">
        <f t="shared" si="30"/>
        <v>-0.53550319999999973</v>
      </c>
    </row>
    <row r="198" spans="1:65" hidden="1" x14ac:dyDescent="0.3">
      <c r="A198" t="s">
        <v>247</v>
      </c>
      <c r="B198" s="53">
        <f t="shared" si="23"/>
        <v>0</v>
      </c>
      <c r="C198" s="53">
        <f t="shared" si="24"/>
        <v>0</v>
      </c>
      <c r="D198" s="53">
        <f t="shared" si="25"/>
        <v>0</v>
      </c>
      <c r="E198" s="53">
        <f t="shared" si="26"/>
        <v>0</v>
      </c>
      <c r="F198" s="15">
        <v>0.51400000000000001</v>
      </c>
      <c r="G198">
        <v>0.39200000000000002</v>
      </c>
      <c r="H198" t="s">
        <v>57</v>
      </c>
      <c r="I198" t="str">
        <f>VLOOKUP(A198,Planilha6!$BL$9:$BN$222,2,0)</f>
        <v>financial_services</v>
      </c>
      <c r="J198" t="str">
        <f>VLOOKUP(A198,Planilha6!$BL$9:$BN$222,3,0)</f>
        <v>neutral_beta</v>
      </c>
      <c r="K198" s="41">
        <v>0</v>
      </c>
      <c r="L198" s="42">
        <v>0</v>
      </c>
      <c r="M198" s="41">
        <f>VLOOKUP(A198,'Mandato Ibov'!$B$1:$C$215,2,0)</f>
        <v>0</v>
      </c>
      <c r="N198" s="59">
        <f t="shared" si="27"/>
        <v>0</v>
      </c>
      <c r="O198" s="42">
        <f t="shared" si="28"/>
        <v>0</v>
      </c>
      <c r="P198" s="59">
        <f>VLOOKUP(A198,'Mandato Ibov'!$B$2:$D$215,3,0)</f>
        <v>0</v>
      </c>
      <c r="Q198" s="42">
        <f t="shared" si="29"/>
        <v>0</v>
      </c>
      <c r="R198" s="15">
        <v>-0.80700000000000005</v>
      </c>
      <c r="S198" s="15">
        <v>-0.76300000000000001</v>
      </c>
      <c r="T198" s="15">
        <v>-0.84099999999999997</v>
      </c>
      <c r="U198" s="15">
        <v>-0.876</v>
      </c>
      <c r="V198" s="15">
        <v>-0.85199999999999998</v>
      </c>
      <c r="W198" s="15">
        <v>-0.74399999999999999</v>
      </c>
      <c r="X198" s="15">
        <v>-0.57099999999999995</v>
      </c>
      <c r="Y198" s="15">
        <v>-0.84099999999999997</v>
      </c>
      <c r="Z198" s="15">
        <v>2.1000000000000001E-2</v>
      </c>
      <c r="AA198" s="15">
        <v>2.5000000000000001E-2</v>
      </c>
      <c r="AB198" s="15">
        <v>-0.02</v>
      </c>
      <c r="AC198" s="15">
        <v>0.13100000000000001</v>
      </c>
      <c r="AD198" s="15">
        <v>-9.4E-2</v>
      </c>
      <c r="AE198" s="14">
        <v>-1</v>
      </c>
      <c r="AF198" s="15">
        <v>-0.46800000000000003</v>
      </c>
      <c r="AG198" s="15">
        <v>-1</v>
      </c>
      <c r="AH198" s="15">
        <v>-0.96699999999999997</v>
      </c>
      <c r="AI198" s="15">
        <v>-1</v>
      </c>
      <c r="AJ198" s="16">
        <v>-0.374</v>
      </c>
      <c r="AK198" s="4">
        <v>-0.54</v>
      </c>
      <c r="AL198" s="4">
        <v>-0.80300000000000005</v>
      </c>
      <c r="AM198" s="4">
        <v>-0.433</v>
      </c>
      <c r="AN198" s="4">
        <v>0.441</v>
      </c>
      <c r="AO198" s="4">
        <v>-0.67200000000000004</v>
      </c>
      <c r="AP198" s="4">
        <v>-0.216</v>
      </c>
      <c r="AQ198" s="4">
        <v>0.73499999999999999</v>
      </c>
      <c r="AR198" s="4">
        <v>0.53400000000000003</v>
      </c>
      <c r="AS198" s="4">
        <v>1.9E-2</v>
      </c>
      <c r="AT198" s="4">
        <v>1.2999999999999999E-2</v>
      </c>
      <c r="AU198" s="4">
        <v>0.318</v>
      </c>
      <c r="AV198" s="4">
        <v>-0.40799999999999997</v>
      </c>
      <c r="AW198" s="4">
        <v>-0.215</v>
      </c>
      <c r="AX198" s="4">
        <v>-0.13900000000000001</v>
      </c>
      <c r="AY198" s="4">
        <v>0.72699999999999998</v>
      </c>
      <c r="AZ198" s="4">
        <v>6.0000000000000001E-3</v>
      </c>
      <c r="BA198" s="4">
        <v>0.73899999999999999</v>
      </c>
      <c r="BB198" s="4">
        <v>-0.44500000000000001</v>
      </c>
      <c r="BC198" s="4">
        <v>-0.22700000000000001</v>
      </c>
      <c r="BD198" s="4">
        <v>-3.4000000000000002E-2</v>
      </c>
      <c r="BE198" s="4">
        <v>0.44700000000000001</v>
      </c>
      <c r="BF198" s="4">
        <v>-0.46400000000000002</v>
      </c>
      <c r="BG198" s="4">
        <v>0.54100000000000004</v>
      </c>
      <c r="BH198" s="4">
        <v>-0.34499999999999997</v>
      </c>
      <c r="BI198" s="4">
        <v>5.7000000000000002E-2</v>
      </c>
      <c r="BJ198" s="4">
        <v>0.53700000000000003</v>
      </c>
      <c r="BK198" s="4">
        <v>-0.10100000000000001</v>
      </c>
      <c r="BL198" s="4"/>
      <c r="BM198" s="4">
        <f t="shared" si="30"/>
        <v>-0.53217679999999989</v>
      </c>
    </row>
    <row r="199" spans="1:65" hidden="1" x14ac:dyDescent="0.3">
      <c r="A199" t="s">
        <v>257</v>
      </c>
      <c r="B199" s="53">
        <f t="shared" si="23"/>
        <v>0</v>
      </c>
      <c r="C199" s="53">
        <f t="shared" si="24"/>
        <v>-1E-3</v>
      </c>
      <c r="D199" s="53">
        <f t="shared" si="25"/>
        <v>0</v>
      </c>
      <c r="E199" s="53">
        <f t="shared" si="26"/>
        <v>1E-3</v>
      </c>
      <c r="F199" s="15">
        <v>0.51200000000000001</v>
      </c>
      <c r="G199">
        <v>0.38400000000000001</v>
      </c>
      <c r="H199" t="s">
        <v>57</v>
      </c>
      <c r="I199" t="str">
        <f>VLOOKUP(A199,Planilha6!$BL$9:$BN$222,2,0)</f>
        <v>transportation</v>
      </c>
      <c r="J199" t="str">
        <f>VLOOKUP(A199,Planilha6!$BL$9:$BN$222,3,0)</f>
        <v>very_high_beta</v>
      </c>
      <c r="K199" s="41">
        <v>0</v>
      </c>
      <c r="L199" s="42">
        <v>-1E-3</v>
      </c>
      <c r="M199" s="41">
        <f>VLOOKUP(A199,'Mandato Ibov'!$B$1:$C$215,2,0)</f>
        <v>0</v>
      </c>
      <c r="N199" s="59">
        <f t="shared" si="27"/>
        <v>0</v>
      </c>
      <c r="O199" s="42">
        <f t="shared" si="28"/>
        <v>0</v>
      </c>
      <c r="P199" s="59">
        <f>VLOOKUP(A199,'Mandato Ibov'!$B$2:$D$215,3,0)</f>
        <v>0</v>
      </c>
      <c r="Q199" s="42">
        <f t="shared" si="29"/>
        <v>0</v>
      </c>
      <c r="R199" s="15">
        <v>-0.81699999999999995</v>
      </c>
      <c r="S199" s="15">
        <v>-0.79400000000000004</v>
      </c>
      <c r="T199" s="15">
        <v>-0.88400000000000001</v>
      </c>
      <c r="U199" s="15">
        <v>-0.85199999999999998</v>
      </c>
      <c r="V199" s="15">
        <v>-0.85299999999999998</v>
      </c>
      <c r="W199" s="15">
        <v>-0.83599999999999997</v>
      </c>
      <c r="X199" s="15">
        <v>-0.79400000000000004</v>
      </c>
      <c r="Y199" s="15">
        <v>-0.84399999999999997</v>
      </c>
      <c r="Z199" s="15">
        <v>-0.104</v>
      </c>
      <c r="AA199" s="15">
        <v>-0.107</v>
      </c>
      <c r="AB199" s="15">
        <v>0.106</v>
      </c>
      <c r="AC199" s="15">
        <v>-0.155</v>
      </c>
      <c r="AD199" s="15">
        <v>8.4000000000000005E-2</v>
      </c>
      <c r="AE199" s="14">
        <v>-0.89700000000000002</v>
      </c>
      <c r="AF199" s="15">
        <v>-0.61699999999999999</v>
      </c>
      <c r="AG199" s="15">
        <v>-0.66400000000000003</v>
      </c>
      <c r="AH199" s="15">
        <v>-0.73499999999999999</v>
      </c>
      <c r="AI199" s="15">
        <v>-0.38200000000000001</v>
      </c>
      <c r="AJ199" s="16">
        <v>-0.81</v>
      </c>
      <c r="AK199" s="4">
        <v>-0.52400000000000002</v>
      </c>
      <c r="AL199" s="4">
        <v>-0.45600000000000002</v>
      </c>
      <c r="AM199" s="4">
        <v>-0.34699999999999998</v>
      </c>
      <c r="AN199" s="4">
        <v>0.108</v>
      </c>
      <c r="AO199" s="4">
        <v>0.124</v>
      </c>
      <c r="AP199" s="4">
        <v>0.105</v>
      </c>
      <c r="AQ199" s="4">
        <v>0.113</v>
      </c>
      <c r="AR199" s="4">
        <v>0.62</v>
      </c>
      <c r="AS199" s="4">
        <v>1</v>
      </c>
      <c r="AT199" s="4">
        <v>-9.5000000000000001E-2</v>
      </c>
      <c r="AU199" s="4">
        <v>2.5999999999999999E-2</v>
      </c>
      <c r="AV199" s="4">
        <v>-0.45200000000000001</v>
      </c>
      <c r="AW199" s="4">
        <v>-0.63900000000000001</v>
      </c>
      <c r="AX199" s="4">
        <v>-0.378</v>
      </c>
      <c r="AY199" s="4">
        <v>0.184</v>
      </c>
      <c r="AZ199" s="4">
        <v>-0.158</v>
      </c>
      <c r="BA199" s="4">
        <v>-6.2E-2</v>
      </c>
      <c r="BB199" s="4">
        <v>-0.19400000000000001</v>
      </c>
      <c r="BC199" s="4">
        <v>-0.35</v>
      </c>
      <c r="BD199" s="4">
        <v>-0.21299999999999999</v>
      </c>
      <c r="BE199" s="4">
        <v>-0.57599999999999996</v>
      </c>
      <c r="BF199" s="4">
        <v>-0.31900000000000001</v>
      </c>
      <c r="BG199" s="4">
        <v>-0.106</v>
      </c>
      <c r="BH199" s="4">
        <v>0.41299999999999998</v>
      </c>
      <c r="BI199" s="4">
        <v>0.96099999999999997</v>
      </c>
      <c r="BJ199" s="4">
        <v>-0.67300000000000004</v>
      </c>
      <c r="BK199" s="4">
        <v>0.20499999999999999</v>
      </c>
      <c r="BL199" s="4"/>
      <c r="BM199" s="4">
        <f t="shared" si="30"/>
        <v>-0.54690949999999994</v>
      </c>
    </row>
    <row r="200" spans="1:65" hidden="1" x14ac:dyDescent="0.3">
      <c r="A200" t="s">
        <v>254</v>
      </c>
      <c r="B200" s="53">
        <f t="shared" si="23"/>
        <v>0</v>
      </c>
      <c r="C200" s="53">
        <f t="shared" si="24"/>
        <v>-3.0000000000000001E-3</v>
      </c>
      <c r="D200" s="53">
        <f t="shared" si="25"/>
        <v>0</v>
      </c>
      <c r="E200" s="53">
        <f t="shared" si="26"/>
        <v>3.0000000000000001E-3</v>
      </c>
      <c r="F200" s="15">
        <v>0.50900000000000001</v>
      </c>
      <c r="G200">
        <v>0.42699999999999999</v>
      </c>
      <c r="H200" t="s">
        <v>57</v>
      </c>
      <c r="I200" t="str">
        <f>VLOOKUP(A200,Planilha6!$BL$9:$BN$222,2,0)</f>
        <v>consumer_services</v>
      </c>
      <c r="J200" t="str">
        <f>VLOOKUP(A200,Planilha6!$BL$9:$BN$222,3,0)</f>
        <v>very_high_beta</v>
      </c>
      <c r="K200" s="41">
        <v>0</v>
      </c>
      <c r="L200" s="42">
        <v>-3.0000000000000001E-3</v>
      </c>
      <c r="M200" s="41">
        <f>VLOOKUP(A200,'Mandato Ibov'!$B$1:$C$215,2,0)</f>
        <v>0</v>
      </c>
      <c r="N200" s="59">
        <f t="shared" si="27"/>
        <v>0</v>
      </c>
      <c r="O200" s="42">
        <f t="shared" si="28"/>
        <v>0</v>
      </c>
      <c r="P200" s="59">
        <f>VLOOKUP(A200,'Mandato Ibov'!$B$2:$D$215,3,0)</f>
        <v>0</v>
      </c>
      <c r="Q200" s="42">
        <f t="shared" si="29"/>
        <v>0</v>
      </c>
      <c r="R200" s="15">
        <v>-0.86499999999999999</v>
      </c>
      <c r="S200" s="15">
        <v>-0.82299999999999995</v>
      </c>
      <c r="T200" s="15">
        <v>-0.95599999999999996</v>
      </c>
      <c r="U200" s="15">
        <v>-0.875</v>
      </c>
      <c r="V200" s="15">
        <v>-0.89300000000000002</v>
      </c>
      <c r="W200" s="15">
        <v>-0.83099999999999996</v>
      </c>
      <c r="X200" s="15">
        <v>-0.77700000000000002</v>
      </c>
      <c r="Y200" s="15">
        <v>-0.88500000000000001</v>
      </c>
      <c r="Z200" s="15">
        <v>-0.317</v>
      </c>
      <c r="AA200" s="15">
        <v>-0.315</v>
      </c>
      <c r="AB200" s="15">
        <v>0.49299999999999999</v>
      </c>
      <c r="AC200" s="15">
        <v>0.47099999999999997</v>
      </c>
      <c r="AD200" s="15">
        <v>-4.3999999999999997E-2</v>
      </c>
      <c r="AE200" s="14">
        <v>-0.623</v>
      </c>
      <c r="AF200" s="15">
        <v>3.0000000000000001E-3</v>
      </c>
      <c r="AG200" s="15">
        <v>-0.41099999999999998</v>
      </c>
      <c r="AH200" s="15">
        <v>-0.57499999999999996</v>
      </c>
      <c r="AI200" s="15">
        <v>-0.98299999999999998</v>
      </c>
      <c r="AJ200" s="16">
        <v>-0.99399999999999999</v>
      </c>
      <c r="AK200" s="4">
        <v>0.218</v>
      </c>
      <c r="AL200" s="4">
        <v>-0.80200000000000005</v>
      </c>
      <c r="AM200" s="4">
        <v>2.7E-2</v>
      </c>
      <c r="AN200" s="4">
        <v>-0.32700000000000001</v>
      </c>
      <c r="AO200" s="4">
        <v>-0.62</v>
      </c>
      <c r="AP200" s="4">
        <v>0.17899999999999999</v>
      </c>
      <c r="AQ200" s="4">
        <v>-5.5E-2</v>
      </c>
      <c r="AR200" s="4">
        <v>0.123</v>
      </c>
      <c r="AS200" s="4">
        <v>-0.31</v>
      </c>
      <c r="AT200" s="4">
        <v>-0.27600000000000002</v>
      </c>
      <c r="AU200" s="4">
        <v>-0.13900000000000001</v>
      </c>
      <c r="AV200" s="4">
        <v>-0.53900000000000003</v>
      </c>
      <c r="AW200" s="4">
        <v>-0.374</v>
      </c>
      <c r="AX200" s="4">
        <v>-0.34599999999999997</v>
      </c>
      <c r="AY200" s="4">
        <v>0.53800000000000003</v>
      </c>
      <c r="AZ200" s="4">
        <v>-0.309</v>
      </c>
      <c r="BA200" s="4">
        <v>0.26300000000000001</v>
      </c>
      <c r="BB200" s="4">
        <v>0.50700000000000001</v>
      </c>
      <c r="BC200" s="4">
        <v>1.7000000000000001E-2</v>
      </c>
      <c r="BD200" s="4">
        <v>0.04</v>
      </c>
      <c r="BE200" s="4">
        <v>0.377</v>
      </c>
      <c r="BF200" s="4">
        <v>-0.52200000000000002</v>
      </c>
      <c r="BG200" s="4">
        <v>0.48699999999999999</v>
      </c>
      <c r="BH200" s="4">
        <v>0.50900000000000001</v>
      </c>
      <c r="BI200" s="4">
        <v>0.45600000000000002</v>
      </c>
      <c r="BJ200" s="4">
        <v>-0.74399999999999999</v>
      </c>
      <c r="BK200" s="4">
        <v>-0.27200000000000002</v>
      </c>
      <c r="BL200" s="4"/>
      <c r="BM200" s="4">
        <f t="shared" si="30"/>
        <v>-0.56837230000000005</v>
      </c>
    </row>
    <row r="201" spans="1:65" hidden="1" x14ac:dyDescent="0.3">
      <c r="A201" t="s">
        <v>238</v>
      </c>
      <c r="B201" s="53">
        <f t="shared" si="23"/>
        <v>0</v>
      </c>
      <c r="C201" s="53">
        <f t="shared" si="24"/>
        <v>0</v>
      </c>
      <c r="D201" s="53">
        <f t="shared" si="25"/>
        <v>0</v>
      </c>
      <c r="E201" s="53">
        <f t="shared" si="26"/>
        <v>0</v>
      </c>
      <c r="F201" s="15">
        <v>0.50900000000000001</v>
      </c>
      <c r="G201">
        <v>0.42199999999999999</v>
      </c>
      <c r="H201" t="s">
        <v>68</v>
      </c>
      <c r="I201" t="str">
        <f>VLOOKUP(A201,Planilha6!$BL$9:$BN$222,2,0)</f>
        <v>capital_goods</v>
      </c>
      <c r="J201" t="str">
        <f>VLOOKUP(A201,Planilha6!$BL$9:$BN$222,3,0)</f>
        <v>high_beta</v>
      </c>
      <c r="K201" s="41">
        <v>0</v>
      </c>
      <c r="L201" s="42">
        <v>0</v>
      </c>
      <c r="M201" s="41">
        <f>VLOOKUP(A201,'Mandato Ibov'!$B$1:$C$215,2,0)</f>
        <v>0</v>
      </c>
      <c r="N201" s="59">
        <f t="shared" si="27"/>
        <v>0</v>
      </c>
      <c r="O201" s="42">
        <f t="shared" si="28"/>
        <v>0</v>
      </c>
      <c r="P201" s="59">
        <f>VLOOKUP(A201,'Mandato Ibov'!$B$2:$D$215,3,0)</f>
        <v>0</v>
      </c>
      <c r="Q201" s="42">
        <f t="shared" si="29"/>
        <v>0</v>
      </c>
      <c r="R201" s="15">
        <v>-0.87</v>
      </c>
      <c r="S201" s="15">
        <v>-0.81100000000000005</v>
      </c>
      <c r="T201" s="15">
        <v>-0.85199999999999998</v>
      </c>
      <c r="U201" s="15">
        <v>-0.90300000000000002</v>
      </c>
      <c r="V201" s="15">
        <v>-0.86799999999999999</v>
      </c>
      <c r="W201" s="15">
        <v>-0.88200000000000001</v>
      </c>
      <c r="X201" s="15">
        <v>-0.85599999999999998</v>
      </c>
      <c r="Y201" s="15">
        <v>-0.84299999999999997</v>
      </c>
      <c r="Z201" s="15">
        <v>-0.26600000000000001</v>
      </c>
      <c r="AA201" s="15">
        <v>-0.26500000000000001</v>
      </c>
      <c r="AB201" s="15">
        <v>8.5000000000000006E-2</v>
      </c>
      <c r="AC201" s="15">
        <v>0.376</v>
      </c>
      <c r="AD201" s="15">
        <v>5.1999999999999998E-2</v>
      </c>
      <c r="AE201" s="14">
        <v>-0.873</v>
      </c>
      <c r="AF201" s="15">
        <v>-0.7</v>
      </c>
      <c r="AG201" s="15">
        <v>-8.7999999999999995E-2</v>
      </c>
      <c r="AH201" s="15">
        <v>3.0000000000000001E-3</v>
      </c>
      <c r="AI201" s="15">
        <v>0.16500000000000001</v>
      </c>
      <c r="AJ201" s="16">
        <v>-0.68700000000000006</v>
      </c>
      <c r="AK201" s="4">
        <v>4.0000000000000001E-3</v>
      </c>
      <c r="AL201" s="4">
        <v>-0.61499999999999999</v>
      </c>
      <c r="AM201" s="4">
        <v>-6.7000000000000004E-2</v>
      </c>
      <c r="AN201" s="4">
        <v>-0.51400000000000001</v>
      </c>
      <c r="AO201" s="4">
        <v>-0.31</v>
      </c>
      <c r="AP201" s="4">
        <v>0.50800000000000001</v>
      </c>
      <c r="AQ201" s="4">
        <v>-0.42099999999999999</v>
      </c>
      <c r="AR201" s="4">
        <v>-1</v>
      </c>
      <c r="AS201" s="4">
        <v>-1</v>
      </c>
      <c r="AT201" s="4">
        <v>-0.28299999999999997</v>
      </c>
      <c r="AU201" s="4">
        <v>-0.51500000000000001</v>
      </c>
      <c r="AV201" s="4">
        <v>-0.64</v>
      </c>
      <c r="AW201" s="4">
        <v>0.314</v>
      </c>
      <c r="AX201" s="4">
        <v>-0.29399999999999998</v>
      </c>
      <c r="AY201" s="4">
        <v>0.60199999999999998</v>
      </c>
      <c r="AZ201" s="4">
        <v>-0.14899999999999999</v>
      </c>
      <c r="BA201" s="4">
        <v>-7.3999999999999996E-2</v>
      </c>
      <c r="BB201" s="4">
        <v>0.64</v>
      </c>
      <c r="BC201" s="4">
        <v>0.121</v>
      </c>
      <c r="BD201" s="4">
        <v>0.108</v>
      </c>
      <c r="BE201" s="4">
        <v>-0.69299999999999995</v>
      </c>
      <c r="BF201" s="4">
        <v>-0.39400000000000002</v>
      </c>
      <c r="BG201" s="4">
        <v>2.7E-2</v>
      </c>
      <c r="BH201" s="4">
        <v>0.13200000000000001</v>
      </c>
      <c r="BI201" s="4">
        <v>0.61699999999999999</v>
      </c>
      <c r="BJ201" s="4">
        <v>-8.0000000000000002E-3</v>
      </c>
      <c r="BK201" s="4">
        <v>0.26700000000000002</v>
      </c>
      <c r="BL201" s="4"/>
      <c r="BM201" s="4">
        <f t="shared" si="30"/>
        <v>-0.56437789999999988</v>
      </c>
    </row>
    <row r="202" spans="1:65" hidden="1" x14ac:dyDescent="0.3">
      <c r="A202" t="s">
        <v>242</v>
      </c>
      <c r="B202" s="53">
        <f t="shared" ref="B202:B222" si="31">K202</f>
        <v>0</v>
      </c>
      <c r="C202" s="53">
        <f t="shared" ref="C202:C222" si="32">B202-E202</f>
        <v>0</v>
      </c>
      <c r="D202" s="53">
        <f t="shared" ref="D202:D222" si="33">B202-K202</f>
        <v>0</v>
      </c>
      <c r="E202" s="53">
        <f t="shared" ref="E202:E222" si="34">K202-L202</f>
        <v>0</v>
      </c>
      <c r="F202" s="15">
        <v>0.505</v>
      </c>
      <c r="G202">
        <v>0.35499999999999998</v>
      </c>
      <c r="H202" t="s">
        <v>57</v>
      </c>
      <c r="I202" t="str">
        <f>VLOOKUP(A202,Planilha6!$BL$9:$BN$222,2,0)</f>
        <v>consumer_durables</v>
      </c>
      <c r="J202" t="str">
        <f>VLOOKUP(A202,Planilha6!$BL$9:$BN$222,3,0)</f>
        <v>very_high_beta</v>
      </c>
      <c r="K202" s="41">
        <v>0</v>
      </c>
      <c r="L202" s="42">
        <v>0</v>
      </c>
      <c r="M202" s="41">
        <f>VLOOKUP(A202,'Mandato Ibov'!$B$1:$C$215,2,0)</f>
        <v>0</v>
      </c>
      <c r="N202" s="59">
        <f t="shared" ref="N202:N222" si="35">K202-M202</f>
        <v>0</v>
      </c>
      <c r="O202" s="42">
        <f t="shared" ref="O202:O222" si="36">B202-M202</f>
        <v>0</v>
      </c>
      <c r="P202" s="59">
        <f>VLOOKUP(A202,'Mandato Ibov'!$B$2:$D$215,3,0)</f>
        <v>0</v>
      </c>
      <c r="Q202" s="42">
        <f t="shared" ref="Q202:Q222" si="37">K202-P202</f>
        <v>0</v>
      </c>
      <c r="R202" s="15">
        <v>-0.68500000000000005</v>
      </c>
      <c r="S202" s="15">
        <v>-0.82899999999999996</v>
      </c>
      <c r="T202" s="15">
        <v>-0.71899999999999997</v>
      </c>
      <c r="U202" s="15">
        <v>-0.82199999999999995</v>
      </c>
      <c r="V202" s="15">
        <v>-0.86199999999999999</v>
      </c>
      <c r="W202" s="15">
        <v>-0.80900000000000005</v>
      </c>
      <c r="X202" s="15">
        <v>-0.78900000000000003</v>
      </c>
      <c r="Y202" s="15">
        <v>-0.94299999999999995</v>
      </c>
      <c r="Z202" s="15">
        <v>-0.27300000000000002</v>
      </c>
      <c r="AA202" s="15">
        <v>-0.27500000000000002</v>
      </c>
      <c r="AB202" s="15">
        <v>-0.48299999999999998</v>
      </c>
      <c r="AC202" s="15">
        <v>-0.65500000000000003</v>
      </c>
      <c r="AD202" s="15">
        <v>0.113</v>
      </c>
      <c r="AE202" s="14">
        <v>-0.56499999999999995</v>
      </c>
      <c r="AF202" s="15">
        <v>0.105</v>
      </c>
      <c r="AG202" s="15">
        <v>-0.46500000000000002</v>
      </c>
      <c r="AH202" s="15">
        <v>0.36899999999999999</v>
      </c>
      <c r="AI202" s="15">
        <v>-0.46500000000000002</v>
      </c>
      <c r="AJ202" s="16">
        <v>-0.60499999999999998</v>
      </c>
      <c r="AK202" s="4">
        <v>0.77700000000000002</v>
      </c>
      <c r="AL202" s="4">
        <v>-1</v>
      </c>
      <c r="AM202" s="4">
        <v>-5.0999999999999997E-2</v>
      </c>
      <c r="AN202" s="4">
        <v>4.8000000000000001E-2</v>
      </c>
      <c r="AO202" s="4">
        <v>-0.53300000000000003</v>
      </c>
      <c r="AP202" s="4">
        <v>0.17499999999999999</v>
      </c>
      <c r="AQ202" s="4">
        <v>-0.27200000000000002</v>
      </c>
      <c r="AR202" s="4">
        <v>-0.57599999999999996</v>
      </c>
      <c r="AS202" s="4">
        <v>7.4999999999999997E-2</v>
      </c>
      <c r="AT202" s="4">
        <v>-0.16400000000000001</v>
      </c>
      <c r="AU202" s="4">
        <v>-0.17599999999999999</v>
      </c>
      <c r="AV202" s="4">
        <v>-0.33900000000000002</v>
      </c>
      <c r="AW202" s="4">
        <v>-1</v>
      </c>
      <c r="AX202" s="4">
        <v>-0.60799999999999998</v>
      </c>
      <c r="AY202" s="4">
        <v>-0.17299999999999999</v>
      </c>
      <c r="AZ202" s="4">
        <v>-1</v>
      </c>
      <c r="BA202" s="4">
        <v>-0.14399999999999999</v>
      </c>
      <c r="BB202" s="4">
        <v>0.47699999999999998</v>
      </c>
      <c r="BC202" s="4">
        <v>0.67600000000000005</v>
      </c>
      <c r="BD202" s="4">
        <v>0.372</v>
      </c>
      <c r="BE202" s="4">
        <v>0.28000000000000003</v>
      </c>
      <c r="BF202" s="4">
        <v>0.38200000000000001</v>
      </c>
      <c r="BG202" s="4">
        <v>0.58399999999999996</v>
      </c>
      <c r="BH202" s="4">
        <v>1</v>
      </c>
      <c r="BI202" s="4">
        <v>0.48899999999999999</v>
      </c>
      <c r="BJ202" s="4">
        <v>0.13200000000000001</v>
      </c>
      <c r="BK202" s="4">
        <v>3.4000000000000002E-2</v>
      </c>
      <c r="BL202" s="4"/>
      <c r="BM202" s="4">
        <f t="shared" ref="BM202:BM222" si="38">SUMPRODUCT(R202:AD202,$R$225:$AD$225)</f>
        <v>-0.59051609999999999</v>
      </c>
    </row>
    <row r="203" spans="1:65" hidden="1" x14ac:dyDescent="0.3">
      <c r="A203" t="s">
        <v>207</v>
      </c>
      <c r="B203" s="53">
        <f t="shared" si="31"/>
        <v>0</v>
      </c>
      <c r="C203" s="53">
        <f t="shared" si="32"/>
        <v>0</v>
      </c>
      <c r="D203" s="53">
        <f t="shared" si="33"/>
        <v>0</v>
      </c>
      <c r="E203" s="53">
        <f t="shared" si="34"/>
        <v>0</v>
      </c>
      <c r="F203" s="15">
        <v>0.499</v>
      </c>
      <c r="G203">
        <v>0.35099999999999998</v>
      </c>
      <c r="H203" t="s">
        <v>53</v>
      </c>
      <c r="I203" t="str">
        <f>VLOOKUP(A203,Planilha6!$BL$9:$BN$222,2,0)</f>
        <v>healthcare</v>
      </c>
      <c r="J203" t="str">
        <f>VLOOKUP(A203,Planilha6!$BL$9:$BN$222,3,0)</f>
        <v>very_high_beta</v>
      </c>
      <c r="K203" s="41">
        <v>0</v>
      </c>
      <c r="L203" s="42">
        <v>0</v>
      </c>
      <c r="M203" s="41">
        <f>VLOOKUP(A203,'Mandato Ibov'!$B$1:$C$215,2,0)</f>
        <v>0</v>
      </c>
      <c r="N203" s="59">
        <f t="shared" si="35"/>
        <v>0</v>
      </c>
      <c r="O203" s="42">
        <f t="shared" si="36"/>
        <v>0</v>
      </c>
      <c r="P203" s="59">
        <f>VLOOKUP(A203,'Mandato Ibov'!$B$2:$D$215,3,0)</f>
        <v>0</v>
      </c>
      <c r="Q203" s="42">
        <f t="shared" si="37"/>
        <v>0</v>
      </c>
      <c r="R203" s="15">
        <v>-0.752</v>
      </c>
      <c r="S203" s="15">
        <v>-0.86399999999999999</v>
      </c>
      <c r="T203" s="15">
        <v>-0.77200000000000002</v>
      </c>
      <c r="U203" s="15">
        <v>-0.83599999999999997</v>
      </c>
      <c r="V203" s="15">
        <v>-0.874</v>
      </c>
      <c r="W203" s="15">
        <v>-0.93400000000000005</v>
      </c>
      <c r="X203" s="15">
        <v>-0.94899999999999995</v>
      </c>
      <c r="Y203" s="15">
        <v>-0.95199999999999996</v>
      </c>
      <c r="Z203" s="15">
        <v>-0.26</v>
      </c>
      <c r="AA203" s="15">
        <v>-0.26200000000000001</v>
      </c>
      <c r="AB203" s="15">
        <v>-0.29099999999999998</v>
      </c>
      <c r="AC203" s="15">
        <v>1.2999999999999999E-2</v>
      </c>
      <c r="AD203" s="15">
        <v>-0.14199999999999999</v>
      </c>
      <c r="AE203" s="14">
        <v>-0.69</v>
      </c>
      <c r="AF203" s="15">
        <v>-0.71899999999999997</v>
      </c>
      <c r="AG203" s="15">
        <v>0.124</v>
      </c>
      <c r="AH203" s="15">
        <v>-0.35299999999999998</v>
      </c>
      <c r="AI203" s="15">
        <v>0.39900000000000002</v>
      </c>
      <c r="AJ203" s="16">
        <v>-0.79200000000000004</v>
      </c>
      <c r="AK203" s="4">
        <v>-0.14099999999999999</v>
      </c>
      <c r="AL203" s="4">
        <v>-1</v>
      </c>
      <c r="AM203" s="4">
        <v>3.7999999999999999E-2</v>
      </c>
      <c r="AN203" s="4">
        <v>-0.29199999999999998</v>
      </c>
      <c r="AO203" s="4">
        <v>0.67300000000000004</v>
      </c>
      <c r="AP203" s="4">
        <v>-0.58799999999999997</v>
      </c>
      <c r="AQ203" s="4">
        <v>-0.27700000000000002</v>
      </c>
      <c r="AR203" s="4">
        <v>-0.123</v>
      </c>
      <c r="AS203" s="4">
        <v>-0.108</v>
      </c>
      <c r="AT203" s="4">
        <v>-0.28599999999999998</v>
      </c>
      <c r="AU203" s="4">
        <v>-0.45200000000000001</v>
      </c>
      <c r="AV203" s="4">
        <v>-0.48899999999999999</v>
      </c>
      <c r="AW203" s="4">
        <v>-0.76200000000000001</v>
      </c>
      <c r="AX203" s="4">
        <v>-0.34399999999999997</v>
      </c>
      <c r="AY203" s="4">
        <v>0.63600000000000001</v>
      </c>
      <c r="AZ203" s="4">
        <v>-0.89700000000000002</v>
      </c>
      <c r="BA203" s="4">
        <v>0.90400000000000003</v>
      </c>
      <c r="BB203" s="4">
        <v>1</v>
      </c>
      <c r="BC203" s="4">
        <v>0.496</v>
      </c>
      <c r="BD203" s="4">
        <v>0.84199999999999997</v>
      </c>
      <c r="BE203" s="4">
        <v>0.755</v>
      </c>
      <c r="BF203" s="4">
        <v>0.28799999999999998</v>
      </c>
      <c r="BG203" s="4">
        <v>-0.97399999999999998</v>
      </c>
      <c r="BH203" s="4">
        <v>0.84599999999999997</v>
      </c>
      <c r="BI203" s="4">
        <v>0.36699999999999999</v>
      </c>
      <c r="BJ203" s="4">
        <v>0.58899999999999997</v>
      </c>
      <c r="BK203" s="4">
        <v>0.16900000000000001</v>
      </c>
      <c r="BL203" s="4"/>
      <c r="BM203" s="4">
        <f t="shared" si="38"/>
        <v>-0.63225030000000004</v>
      </c>
    </row>
    <row r="204" spans="1:65" hidden="1" x14ac:dyDescent="0.3">
      <c r="A204" t="s">
        <v>175</v>
      </c>
      <c r="B204" s="53">
        <f t="shared" si="31"/>
        <v>0</v>
      </c>
      <c r="C204" s="53">
        <f t="shared" si="32"/>
        <v>0</v>
      </c>
      <c r="D204" s="53">
        <f t="shared" si="33"/>
        <v>0</v>
      </c>
      <c r="E204" s="53">
        <f t="shared" si="34"/>
        <v>0</v>
      </c>
      <c r="F204" s="15">
        <v>0.495</v>
      </c>
      <c r="G204">
        <v>0.35099999999999998</v>
      </c>
      <c r="H204" t="s">
        <v>53</v>
      </c>
      <c r="I204" t="str">
        <f>VLOOKUP(A204,Planilha6!$BL$9:$BN$222,2,0)</f>
        <v>consumer_staples</v>
      </c>
      <c r="J204" t="str">
        <f>VLOOKUP(A204,Planilha6!$BL$9:$BN$222,3,0)</f>
        <v>very_high_beta</v>
      </c>
      <c r="K204" s="41">
        <v>0</v>
      </c>
      <c r="L204" s="42">
        <v>0</v>
      </c>
      <c r="M204" s="41">
        <f>VLOOKUP(A204,'Mandato Ibov'!$B$1:$C$215,2,0)</f>
        <v>0</v>
      </c>
      <c r="N204" s="59">
        <f t="shared" si="35"/>
        <v>0</v>
      </c>
      <c r="O204" s="42">
        <f t="shared" si="36"/>
        <v>0</v>
      </c>
      <c r="P204" s="59">
        <f>VLOOKUP(A204,'Mandato Ibov'!$B$2:$D$215,3,0)</f>
        <v>0</v>
      </c>
      <c r="Q204" s="42">
        <f t="shared" si="37"/>
        <v>0</v>
      </c>
      <c r="R204" s="15">
        <v>-0.61499999999999999</v>
      </c>
      <c r="S204" s="15">
        <v>-0.9</v>
      </c>
      <c r="T204" s="15">
        <v>-0.51500000000000001</v>
      </c>
      <c r="U204" s="15">
        <v>-0.66900000000000004</v>
      </c>
      <c r="V204" s="15">
        <v>-0.81599999999999995</v>
      </c>
      <c r="W204" s="15">
        <v>-0.875</v>
      </c>
      <c r="X204" s="15">
        <v>-0.90600000000000003</v>
      </c>
      <c r="Y204" s="15">
        <v>-0.93700000000000006</v>
      </c>
      <c r="Z204" s="15">
        <v>-0.36099999999999999</v>
      </c>
      <c r="AA204" s="15">
        <v>-0.36399999999999999</v>
      </c>
      <c r="AB204" s="15">
        <v>-0.31</v>
      </c>
      <c r="AC204" s="15">
        <v>-0.216</v>
      </c>
      <c r="AD204" s="15">
        <v>-0.53</v>
      </c>
      <c r="AE204" s="14">
        <v>0.223</v>
      </c>
      <c r="AF204" s="15">
        <v>1</v>
      </c>
      <c r="AG204" s="15">
        <v>-0.65500000000000003</v>
      </c>
      <c r="AH204" s="15">
        <v>1</v>
      </c>
      <c r="AI204" s="15">
        <v>-0.64200000000000002</v>
      </c>
      <c r="AJ204" s="16">
        <v>-0.28899999999999998</v>
      </c>
      <c r="AK204" s="4">
        <v>0.76</v>
      </c>
      <c r="AL204" s="4">
        <v>-1</v>
      </c>
      <c r="AM204" s="4">
        <v>0.68300000000000005</v>
      </c>
      <c r="AN204" s="4">
        <v>-2.5000000000000001E-2</v>
      </c>
      <c r="AO204" s="4">
        <v>-0.94</v>
      </c>
      <c r="AP204" s="4">
        <v>-1</v>
      </c>
      <c r="AQ204" s="4">
        <v>-6.5000000000000002E-2</v>
      </c>
      <c r="AR204" s="4">
        <v>0.33200000000000002</v>
      </c>
      <c r="AS204" s="4">
        <v>0.14699999999999999</v>
      </c>
      <c r="AT204" s="4">
        <v>-0.23699999999999999</v>
      </c>
      <c r="AU204" s="4">
        <v>-0.36799999999999999</v>
      </c>
      <c r="AV204" s="4">
        <v>4.7E-2</v>
      </c>
      <c r="AW204" s="4">
        <v>-0.61299999999999999</v>
      </c>
      <c r="AX204" s="4">
        <v>-0.34499999999999997</v>
      </c>
      <c r="AY204" s="4">
        <v>0.27700000000000002</v>
      </c>
      <c r="AZ204" s="4">
        <v>-0.17199999999999999</v>
      </c>
      <c r="BA204" s="4">
        <v>-0.10100000000000001</v>
      </c>
      <c r="BB204" s="4">
        <v>0.45600000000000002</v>
      </c>
      <c r="BC204" s="4">
        <v>0.48899999999999999</v>
      </c>
      <c r="BD204" s="4">
        <v>0.14299999999999999</v>
      </c>
      <c r="BE204" s="4">
        <v>0.48899999999999999</v>
      </c>
      <c r="BF204" s="4">
        <v>-0.38500000000000001</v>
      </c>
      <c r="BG204" s="4">
        <v>-0.876</v>
      </c>
      <c r="BH204" s="4">
        <v>0.218</v>
      </c>
      <c r="BI204" s="4">
        <v>0.52400000000000002</v>
      </c>
      <c r="BJ204" s="4">
        <v>-0.69899999999999995</v>
      </c>
      <c r="BK204" s="4">
        <v>0.76</v>
      </c>
      <c r="BL204" s="4"/>
      <c r="BM204" s="4">
        <f t="shared" si="38"/>
        <v>-0.66387350000000001</v>
      </c>
    </row>
    <row r="205" spans="1:65" hidden="1" x14ac:dyDescent="0.3">
      <c r="A205" t="s">
        <v>239</v>
      </c>
      <c r="B205" s="53">
        <f t="shared" si="31"/>
        <v>0</v>
      </c>
      <c r="C205" s="53">
        <f t="shared" si="32"/>
        <v>0</v>
      </c>
      <c r="D205" s="53">
        <f t="shared" si="33"/>
        <v>0</v>
      </c>
      <c r="E205" s="53">
        <f t="shared" si="34"/>
        <v>0</v>
      </c>
      <c r="F205" s="15">
        <v>0.49399999999999999</v>
      </c>
      <c r="G205">
        <v>0.34699999999999998</v>
      </c>
      <c r="H205" t="s">
        <v>57</v>
      </c>
      <c r="I205" t="str">
        <f>VLOOKUP(A205,Planilha6!$BL$9:$BN$222,2,0)</f>
        <v>tech</v>
      </c>
      <c r="J205" t="str">
        <f>VLOOKUP(A205,Planilha6!$BL$9:$BN$222,3,0)</f>
        <v>high_beta</v>
      </c>
      <c r="K205" s="41">
        <v>0</v>
      </c>
      <c r="L205" s="42">
        <v>0</v>
      </c>
      <c r="M205" s="41">
        <f>VLOOKUP(A205,'Mandato Ibov'!$B$1:$C$215,2,0)</f>
        <v>0</v>
      </c>
      <c r="N205" s="59">
        <f t="shared" si="35"/>
        <v>0</v>
      </c>
      <c r="O205" s="42">
        <f t="shared" si="36"/>
        <v>0</v>
      </c>
      <c r="P205" s="59">
        <f>VLOOKUP(A205,'Mandato Ibov'!$B$2:$D$215,3,0)</f>
        <v>0</v>
      </c>
      <c r="Q205" s="42">
        <f t="shared" si="37"/>
        <v>0</v>
      </c>
      <c r="R205" s="15">
        <v>-0.70799999999999996</v>
      </c>
      <c r="S205" s="15">
        <v>-0.84799999999999998</v>
      </c>
      <c r="T205" s="15">
        <v>-0.38200000000000001</v>
      </c>
      <c r="U205" s="15">
        <v>-0.77</v>
      </c>
      <c r="V205" s="15">
        <v>-0.79400000000000004</v>
      </c>
      <c r="W205" s="15">
        <v>-0.85699999999999998</v>
      </c>
      <c r="X205" s="15">
        <v>-0.878</v>
      </c>
      <c r="Y205" s="15">
        <v>-0.90900000000000003</v>
      </c>
      <c r="Z205" s="15">
        <v>-0.47599999999999998</v>
      </c>
      <c r="AA205" s="15">
        <v>-0.48</v>
      </c>
      <c r="AB205" s="15">
        <v>-0.20799999999999999</v>
      </c>
      <c r="AC205" s="15">
        <v>-0.24399999999999999</v>
      </c>
      <c r="AD205" s="15">
        <v>-0.53600000000000003</v>
      </c>
      <c r="AE205" s="14">
        <v>-4.1000000000000002E-2</v>
      </c>
      <c r="AF205" s="15">
        <v>-0.2</v>
      </c>
      <c r="AG205" s="15">
        <v>-0.90400000000000003</v>
      </c>
      <c r="AH205" s="15">
        <v>-0.16900000000000001</v>
      </c>
      <c r="AI205" s="15">
        <v>-8.7999999999999995E-2</v>
      </c>
      <c r="AJ205" s="16">
        <v>1</v>
      </c>
      <c r="AK205" s="4">
        <v>-0.66500000000000004</v>
      </c>
      <c r="AL205" s="4">
        <v>-1</v>
      </c>
      <c r="AM205" s="4">
        <v>-0.28999999999999998</v>
      </c>
      <c r="AN205" s="4">
        <v>7.6999999999999999E-2</v>
      </c>
      <c r="AO205" s="4">
        <v>-0.59499999999999997</v>
      </c>
      <c r="AP205" s="4">
        <v>-0.71099999999999997</v>
      </c>
      <c r="AQ205" s="4">
        <v>0.99</v>
      </c>
      <c r="AR205" s="4">
        <v>-0.55500000000000005</v>
      </c>
      <c r="AS205" s="4">
        <v>-8.6999999999999994E-2</v>
      </c>
      <c r="AT205" s="4">
        <v>-0.22</v>
      </c>
      <c r="AU205" s="4">
        <v>-0.45400000000000001</v>
      </c>
      <c r="AV205" s="4">
        <v>0.69299999999999995</v>
      </c>
      <c r="AW205" s="4">
        <v>-0.76400000000000001</v>
      </c>
      <c r="AX205" s="4">
        <v>0.44900000000000001</v>
      </c>
      <c r="AY205" s="4">
        <v>0.20799999999999999</v>
      </c>
      <c r="AZ205" s="4">
        <v>0.32900000000000001</v>
      </c>
      <c r="BA205" s="4">
        <v>0.107</v>
      </c>
      <c r="BB205" s="4">
        <v>-0.63200000000000001</v>
      </c>
      <c r="BC205" s="4">
        <v>-0.61099999999999999</v>
      </c>
      <c r="BD205" s="4">
        <v>0.57299999999999995</v>
      </c>
      <c r="BE205" s="4">
        <v>-0.88300000000000001</v>
      </c>
      <c r="BF205" s="4">
        <v>-1</v>
      </c>
      <c r="BG205" s="4">
        <v>-0.27</v>
      </c>
      <c r="BH205" s="4">
        <v>0.28199999999999997</v>
      </c>
      <c r="BI205" s="4">
        <v>8.7999999999999995E-2</v>
      </c>
      <c r="BJ205" s="4">
        <v>-0.38300000000000001</v>
      </c>
      <c r="BK205" s="4">
        <v>0.91300000000000003</v>
      </c>
      <c r="BL205" s="4"/>
      <c r="BM205" s="4">
        <f t="shared" si="38"/>
        <v>-0.67603070000000021</v>
      </c>
    </row>
    <row r="206" spans="1:65" x14ac:dyDescent="0.3">
      <c r="A206" t="s">
        <v>230</v>
      </c>
      <c r="B206" s="53">
        <f t="shared" si="31"/>
        <v>0</v>
      </c>
      <c r="C206" s="53">
        <f t="shared" si="32"/>
        <v>-2E-3</v>
      </c>
      <c r="D206" s="53">
        <f t="shared" si="33"/>
        <v>0</v>
      </c>
      <c r="E206" s="53">
        <f t="shared" si="34"/>
        <v>2E-3</v>
      </c>
      <c r="F206" s="15">
        <v>0.49299999999999999</v>
      </c>
      <c r="G206">
        <v>0.38500000000000001</v>
      </c>
      <c r="H206" t="s">
        <v>71</v>
      </c>
      <c r="I206" t="str">
        <f>VLOOKUP(A206,Planilha6!$BL$9:$BN$222,2,0)</f>
        <v>basic_materials</v>
      </c>
      <c r="J206" t="str">
        <f>VLOOKUP(A206,Planilha6!$BL$9:$BN$222,3,0)</f>
        <v>very_high_beta</v>
      </c>
      <c r="K206" s="41">
        <v>0</v>
      </c>
      <c r="L206" s="42">
        <v>-2E-3</v>
      </c>
      <c r="M206" s="41">
        <f>VLOOKUP(A206,'Mandato Ibov'!$B$1:$C$215,2,0)</f>
        <v>0</v>
      </c>
      <c r="N206" s="59">
        <f t="shared" si="35"/>
        <v>0</v>
      </c>
      <c r="O206" s="42">
        <f t="shared" si="36"/>
        <v>0</v>
      </c>
      <c r="P206" s="59">
        <f>VLOOKUP(A206,'Mandato Ibov'!$B$2:$D$215,3,0)</f>
        <v>0</v>
      </c>
      <c r="Q206" s="42">
        <f t="shared" si="37"/>
        <v>0</v>
      </c>
      <c r="R206" s="15">
        <v>-1</v>
      </c>
      <c r="S206" s="15">
        <v>-0.98899999999999999</v>
      </c>
      <c r="T206" s="15">
        <v>-1</v>
      </c>
      <c r="U206" s="15">
        <v>-1</v>
      </c>
      <c r="V206" s="15">
        <v>-1</v>
      </c>
      <c r="W206" s="15">
        <v>-0.96899999999999997</v>
      </c>
      <c r="X206" s="15">
        <v>-0.92800000000000005</v>
      </c>
      <c r="Y206" s="15">
        <v>-0.93600000000000005</v>
      </c>
      <c r="Z206" s="15">
        <v>-0.38600000000000001</v>
      </c>
      <c r="AA206" s="15">
        <v>-0.38800000000000001</v>
      </c>
      <c r="AB206" s="15">
        <v>7.9000000000000001E-2</v>
      </c>
      <c r="AC206" s="15">
        <v>0.25700000000000001</v>
      </c>
      <c r="AD206" s="15">
        <v>-0.128</v>
      </c>
      <c r="AE206" s="14">
        <v>-0.91100000000000003</v>
      </c>
      <c r="AF206" s="15">
        <v>-1</v>
      </c>
      <c r="AG206" s="15">
        <v>-0.997</v>
      </c>
      <c r="AH206" s="15">
        <v>-0.77800000000000002</v>
      </c>
      <c r="AI206" s="15">
        <v>-1</v>
      </c>
      <c r="AJ206" s="16">
        <v>-0.92200000000000004</v>
      </c>
      <c r="AK206" s="4">
        <v>-0.68799999999999994</v>
      </c>
      <c r="AL206" s="4">
        <v>-7.4999999999999997E-2</v>
      </c>
      <c r="AM206" s="4">
        <v>0.30499999999999999</v>
      </c>
      <c r="AN206" s="4">
        <v>-0.78700000000000003</v>
      </c>
      <c r="AO206" s="4">
        <v>-0.78700000000000003</v>
      </c>
      <c r="AP206" s="4">
        <v>-1</v>
      </c>
      <c r="AQ206" s="4">
        <v>-0.26600000000000001</v>
      </c>
      <c r="AR206" s="4">
        <v>-1</v>
      </c>
      <c r="AS206" s="4">
        <v>-0.57599999999999996</v>
      </c>
      <c r="AT206" s="4">
        <v>-0.22600000000000001</v>
      </c>
      <c r="AU206" s="4">
        <v>-0.40699999999999997</v>
      </c>
      <c r="AV206" s="4">
        <v>-0.69299999999999995</v>
      </c>
      <c r="AW206" s="4">
        <v>-0.40600000000000003</v>
      </c>
      <c r="AX206" s="4">
        <v>-0.68899999999999995</v>
      </c>
      <c r="AY206" s="4">
        <v>0.755</v>
      </c>
      <c r="AZ206" s="4">
        <v>-1</v>
      </c>
      <c r="BA206" s="4">
        <v>0.33500000000000002</v>
      </c>
      <c r="BB206" s="4">
        <v>0.123</v>
      </c>
      <c r="BC206" s="4">
        <v>-0.16600000000000001</v>
      </c>
      <c r="BD206" s="4">
        <v>5.2999999999999999E-2</v>
      </c>
      <c r="BE206" s="4">
        <v>-0.33500000000000002</v>
      </c>
      <c r="BF206" s="4">
        <v>-0.248</v>
      </c>
      <c r="BG206" s="4">
        <v>-0.05</v>
      </c>
      <c r="BH206" s="4">
        <v>0.45</v>
      </c>
      <c r="BI206" s="4">
        <v>0.39300000000000002</v>
      </c>
      <c r="BJ206" s="4">
        <v>-0.34899999999999998</v>
      </c>
      <c r="BK206" s="4">
        <v>0.11</v>
      </c>
      <c r="BL206" s="4"/>
      <c r="BM206" s="4">
        <f t="shared" si="38"/>
        <v>-0.684029</v>
      </c>
    </row>
    <row r="207" spans="1:65" x14ac:dyDescent="0.3">
      <c r="A207" t="s">
        <v>249</v>
      </c>
      <c r="B207" s="53">
        <f t="shared" si="31"/>
        <v>0</v>
      </c>
      <c r="C207" s="53">
        <f t="shared" si="32"/>
        <v>0</v>
      </c>
      <c r="D207" s="53">
        <f t="shared" si="33"/>
        <v>0</v>
      </c>
      <c r="E207" s="53">
        <f t="shared" si="34"/>
        <v>0</v>
      </c>
      <c r="F207" s="15">
        <v>0.49</v>
      </c>
      <c r="G207">
        <v>0.34399999999999997</v>
      </c>
      <c r="H207" t="s">
        <v>71</v>
      </c>
      <c r="I207" t="str">
        <f>VLOOKUP(A207,Planilha6!$BL$9:$BN$222,2,0)</f>
        <v>basic_materials</v>
      </c>
      <c r="J207" t="str">
        <f>VLOOKUP(A207,Planilha6!$BL$9:$BN$222,3,0)</f>
        <v>very_high_beta</v>
      </c>
      <c r="K207" s="41">
        <v>0</v>
      </c>
      <c r="L207" s="42">
        <v>0</v>
      </c>
      <c r="M207" s="41">
        <f>VLOOKUP(A207,'Mandato Ibov'!$B$1:$C$215,2,0)</f>
        <v>0</v>
      </c>
      <c r="N207" s="59">
        <f t="shared" si="35"/>
        <v>0</v>
      </c>
      <c r="O207" s="42">
        <f t="shared" si="36"/>
        <v>0</v>
      </c>
      <c r="P207" s="59">
        <f>VLOOKUP(A207,'Mandato Ibov'!$B$2:$D$215,3,0)</f>
        <v>0</v>
      </c>
      <c r="Q207" s="42">
        <f t="shared" si="37"/>
        <v>0</v>
      </c>
      <c r="R207" s="15">
        <v>-0.91600000000000004</v>
      </c>
      <c r="S207" s="15">
        <v>-0.92200000000000004</v>
      </c>
      <c r="T207" s="15">
        <v>-0.90800000000000003</v>
      </c>
      <c r="U207" s="15">
        <v>-0.93700000000000006</v>
      </c>
      <c r="V207" s="15">
        <v>-0.93799999999999994</v>
      </c>
      <c r="W207" s="15">
        <v>-0.94</v>
      </c>
      <c r="X207" s="15">
        <v>-0.94399999999999995</v>
      </c>
      <c r="Y207" s="15">
        <v>-0.92100000000000004</v>
      </c>
      <c r="Z207" s="15">
        <v>-0.185</v>
      </c>
      <c r="AA207" s="15">
        <v>-0.19800000000000001</v>
      </c>
      <c r="AB207" s="15">
        <v>-0.51300000000000001</v>
      </c>
      <c r="AC207" s="15">
        <v>-1</v>
      </c>
      <c r="AD207" s="15">
        <v>-0.10100000000000001</v>
      </c>
      <c r="AE207" s="14">
        <v>-0.98799999999999999</v>
      </c>
      <c r="AF207" s="15">
        <v>-1</v>
      </c>
      <c r="AG207" s="15">
        <v>-0.753</v>
      </c>
      <c r="AH207" s="15">
        <v>-0.622</v>
      </c>
      <c r="AI207" s="15">
        <v>0.151</v>
      </c>
      <c r="AJ207" s="16">
        <v>-0.62</v>
      </c>
      <c r="AK207" s="4">
        <v>-0.54300000000000004</v>
      </c>
      <c r="AL207" s="4">
        <v>-0.30299999999999999</v>
      </c>
      <c r="AM207" s="4">
        <v>-0.34</v>
      </c>
      <c r="AN207" s="4">
        <v>-0.46700000000000003</v>
      </c>
      <c r="AO207" s="4">
        <v>0.64600000000000002</v>
      </c>
      <c r="AP207" s="4">
        <v>-0.56499999999999995</v>
      </c>
      <c r="AQ207" s="4">
        <v>-0.65500000000000003</v>
      </c>
      <c r="AR207" s="4">
        <v>-0.92100000000000004</v>
      </c>
      <c r="AS207" s="4">
        <v>-0.123</v>
      </c>
      <c r="AT207" s="4">
        <v>-0.64200000000000002</v>
      </c>
      <c r="AU207" s="4">
        <v>7.0999999999999994E-2</v>
      </c>
      <c r="AV207" s="4">
        <v>-0.376</v>
      </c>
      <c r="AW207" s="4">
        <v>-0.85699999999999998</v>
      </c>
      <c r="AX207" s="4">
        <v>-7.8E-2</v>
      </c>
      <c r="AY207" s="4">
        <v>1E-3</v>
      </c>
      <c r="AZ207" s="4">
        <v>-1</v>
      </c>
      <c r="BA207" s="4">
        <v>0.78600000000000003</v>
      </c>
      <c r="BB207" s="4">
        <v>0.314</v>
      </c>
      <c r="BC207" s="4">
        <v>0.65400000000000003</v>
      </c>
      <c r="BD207" s="4">
        <v>0.54700000000000004</v>
      </c>
      <c r="BE207" s="4">
        <v>-1</v>
      </c>
      <c r="BF207" s="4">
        <v>-0.48099999999999998</v>
      </c>
      <c r="BG207" s="4">
        <v>-1</v>
      </c>
      <c r="BH207" s="4">
        <v>0.3</v>
      </c>
      <c r="BI207" s="4">
        <v>0.372</v>
      </c>
      <c r="BJ207" s="4">
        <v>0.79200000000000004</v>
      </c>
      <c r="BK207" s="4">
        <v>0.70399999999999996</v>
      </c>
      <c r="BL207" s="4"/>
      <c r="BM207" s="4">
        <f t="shared" si="38"/>
        <v>-0.70673379999999997</v>
      </c>
    </row>
    <row r="208" spans="1:65" hidden="1" x14ac:dyDescent="0.3">
      <c r="A208" t="s">
        <v>251</v>
      </c>
      <c r="B208" s="53">
        <f t="shared" si="31"/>
        <v>0</v>
      </c>
      <c r="C208" s="53">
        <f t="shared" si="32"/>
        <v>0</v>
      </c>
      <c r="D208" s="53">
        <f t="shared" si="33"/>
        <v>0</v>
      </c>
      <c r="E208" s="53">
        <f t="shared" si="34"/>
        <v>0</v>
      </c>
      <c r="F208" s="15">
        <v>0.48699999999999999</v>
      </c>
      <c r="G208">
        <v>0.34200000000000003</v>
      </c>
      <c r="H208" t="s">
        <v>55</v>
      </c>
      <c r="I208" t="str">
        <f>VLOOKUP(A208,Planilha6!$BL$9:$BN$222,2,0)</f>
        <v>utilities</v>
      </c>
      <c r="J208" t="str">
        <f>VLOOKUP(A208,Planilha6!$BL$9:$BN$222,3,0)</f>
        <v>neutral_beta</v>
      </c>
      <c r="K208" s="41">
        <v>0</v>
      </c>
      <c r="L208" s="42">
        <v>0</v>
      </c>
      <c r="M208" s="41">
        <f>VLOOKUP(A208,'Mandato Ibov'!$B$1:$C$215,2,0)</f>
        <v>0</v>
      </c>
      <c r="N208" s="59">
        <f t="shared" si="35"/>
        <v>0</v>
      </c>
      <c r="O208" s="42">
        <f t="shared" si="36"/>
        <v>0</v>
      </c>
      <c r="P208" s="59">
        <f>VLOOKUP(A208,'Mandato Ibov'!$B$2:$D$215,3,0)</f>
        <v>0</v>
      </c>
      <c r="Q208" s="42">
        <f t="shared" si="37"/>
        <v>0</v>
      </c>
      <c r="R208" s="15">
        <v>-0.82199999999999995</v>
      </c>
      <c r="S208" s="15">
        <v>-0.91200000000000003</v>
      </c>
      <c r="T208" s="15">
        <v>-0.66700000000000004</v>
      </c>
      <c r="U208" s="15">
        <v>-0.88600000000000001</v>
      </c>
      <c r="V208" s="15">
        <v>-0.89100000000000001</v>
      </c>
      <c r="W208" s="15">
        <v>-0.92700000000000005</v>
      </c>
      <c r="X208" s="15">
        <v>-0.94599999999999995</v>
      </c>
      <c r="Y208" s="15">
        <v>-0.95099999999999996</v>
      </c>
      <c r="Z208" s="15">
        <v>-0.23200000000000001</v>
      </c>
      <c r="AA208" s="15">
        <v>-0.23400000000000001</v>
      </c>
      <c r="AB208" s="15">
        <v>-0.40200000000000002</v>
      </c>
      <c r="AC208" s="15">
        <v>-0.67</v>
      </c>
      <c r="AD208" s="15">
        <v>-0.50800000000000001</v>
      </c>
      <c r="AE208" s="14">
        <v>-0.55000000000000004</v>
      </c>
      <c r="AF208" s="15">
        <v>-0.14499999999999999</v>
      </c>
      <c r="AG208" s="15">
        <v>-0.377</v>
      </c>
      <c r="AH208" s="15">
        <v>1</v>
      </c>
      <c r="AI208" s="15">
        <v>-0.33</v>
      </c>
      <c r="AJ208" s="16">
        <v>-0.51600000000000001</v>
      </c>
      <c r="AK208" s="4">
        <v>0.63500000000000001</v>
      </c>
      <c r="AL208" s="4">
        <v>-1</v>
      </c>
      <c r="AM208" s="4">
        <v>0.84</v>
      </c>
      <c r="AN208" s="4">
        <v>-0.26200000000000001</v>
      </c>
      <c r="AO208" s="4">
        <v>-0.54100000000000004</v>
      </c>
      <c r="AP208" s="4">
        <v>-0.68300000000000005</v>
      </c>
      <c r="AQ208" s="4">
        <v>-0.36499999999999999</v>
      </c>
      <c r="AR208" s="4">
        <v>-0.70899999999999996</v>
      </c>
      <c r="AS208" s="4">
        <v>-0.36199999999999999</v>
      </c>
      <c r="AT208" s="4">
        <v>-0.105</v>
      </c>
      <c r="AU208" s="4">
        <v>-0.32200000000000001</v>
      </c>
      <c r="AV208" s="4">
        <v>-0.69299999999999995</v>
      </c>
      <c r="AW208" s="4">
        <v>-0.63800000000000001</v>
      </c>
      <c r="AX208" s="4">
        <v>-0.38300000000000001</v>
      </c>
      <c r="AY208" s="4">
        <v>0.69199999999999995</v>
      </c>
      <c r="AZ208" s="4">
        <v>8.2000000000000003E-2</v>
      </c>
      <c r="BA208" s="4">
        <v>0.78100000000000003</v>
      </c>
      <c r="BB208" s="4">
        <v>-0.32800000000000001</v>
      </c>
      <c r="BC208" s="4">
        <v>-0.32900000000000001</v>
      </c>
      <c r="BD208" s="4">
        <v>-0.26900000000000002</v>
      </c>
      <c r="BE208" s="4">
        <v>0.44400000000000001</v>
      </c>
      <c r="BF208" s="4">
        <v>-0.30099999999999999</v>
      </c>
      <c r="BG208" s="4">
        <v>-0.78</v>
      </c>
      <c r="BH208" s="4">
        <v>0.91700000000000004</v>
      </c>
      <c r="BI208" s="4">
        <v>7.3999999999999996E-2</v>
      </c>
      <c r="BJ208" s="4">
        <v>-0.13900000000000001</v>
      </c>
      <c r="BK208" s="4">
        <v>1</v>
      </c>
      <c r="BL208" s="4"/>
      <c r="BM208" s="4">
        <f t="shared" si="38"/>
        <v>-0.73344920000000002</v>
      </c>
    </row>
    <row r="209" spans="1:65" hidden="1" x14ac:dyDescent="0.3">
      <c r="A209" t="s">
        <v>243</v>
      </c>
      <c r="B209" s="53">
        <f t="shared" si="31"/>
        <v>0</v>
      </c>
      <c r="C209" s="53">
        <f t="shared" si="32"/>
        <v>-1E-3</v>
      </c>
      <c r="D209" s="53">
        <f t="shared" si="33"/>
        <v>0</v>
      </c>
      <c r="E209" s="53">
        <f t="shared" si="34"/>
        <v>1E-3</v>
      </c>
      <c r="F209" s="15">
        <v>0.48499999999999999</v>
      </c>
      <c r="G209">
        <v>0.34599999999999997</v>
      </c>
      <c r="H209" t="s">
        <v>53</v>
      </c>
      <c r="I209" t="str">
        <f>VLOOKUP(A209,Planilha6!$BL$9:$BN$222,2,0)</f>
        <v>healthcare</v>
      </c>
      <c r="J209" t="str">
        <f>VLOOKUP(A209,Planilha6!$BL$9:$BN$222,3,0)</f>
        <v>very_high_beta</v>
      </c>
      <c r="K209" s="41">
        <v>0</v>
      </c>
      <c r="L209" s="42">
        <v>-1E-3</v>
      </c>
      <c r="M209" s="41">
        <f>VLOOKUP(A209,'Mandato Ibov'!$B$1:$C$215,2,0)</f>
        <v>0</v>
      </c>
      <c r="N209" s="59">
        <f t="shared" si="35"/>
        <v>0</v>
      </c>
      <c r="O209" s="42">
        <f t="shared" si="36"/>
        <v>0</v>
      </c>
      <c r="P209" s="59">
        <f>VLOOKUP(A209,'Mandato Ibov'!$B$2:$D$215,3,0)</f>
        <v>0</v>
      </c>
      <c r="Q209" s="42">
        <f t="shared" si="37"/>
        <v>0</v>
      </c>
      <c r="R209" s="15">
        <v>-0.71899999999999997</v>
      </c>
      <c r="S209" s="15">
        <v>-0.91400000000000003</v>
      </c>
      <c r="T209" s="15">
        <v>-0.72399999999999998</v>
      </c>
      <c r="U209" s="15">
        <v>-0.67100000000000004</v>
      </c>
      <c r="V209" s="15">
        <v>-0.83799999999999997</v>
      </c>
      <c r="W209" s="15">
        <v>-0.89300000000000002</v>
      </c>
      <c r="X209" s="15">
        <v>-0.92700000000000005</v>
      </c>
      <c r="Y209" s="15">
        <v>-0.94799999999999995</v>
      </c>
      <c r="Z209" s="15">
        <v>-0.23400000000000001</v>
      </c>
      <c r="AA209" s="15">
        <v>-0.23899999999999999</v>
      </c>
      <c r="AB209" s="15">
        <v>-1</v>
      </c>
      <c r="AC209" s="15">
        <v>-1</v>
      </c>
      <c r="AD209" s="15">
        <v>-0.6</v>
      </c>
      <c r="AE209" s="14">
        <v>0.217</v>
      </c>
      <c r="AF209" s="15">
        <v>1</v>
      </c>
      <c r="AG209" s="15">
        <v>-0.57599999999999996</v>
      </c>
      <c r="AH209" s="15">
        <v>-1.0999999999999999E-2</v>
      </c>
      <c r="AI209" s="15">
        <v>-0.91400000000000003</v>
      </c>
      <c r="AJ209" s="16">
        <v>-0.57699999999999996</v>
      </c>
      <c r="AK209" s="4">
        <v>0.51400000000000001</v>
      </c>
      <c r="AL209" s="4">
        <v>-1</v>
      </c>
      <c r="AM209" s="4">
        <v>0.91</v>
      </c>
      <c r="AN209" s="4">
        <v>0.17599999999999999</v>
      </c>
      <c r="AO209" s="4">
        <v>-1</v>
      </c>
      <c r="AP209" s="4">
        <v>-0.72399999999999998</v>
      </c>
      <c r="AQ209" s="4">
        <v>0.35499999999999998</v>
      </c>
      <c r="AR209" s="4">
        <v>0.63400000000000001</v>
      </c>
      <c r="AS209" s="4">
        <v>0.67400000000000004</v>
      </c>
      <c r="AT209" s="4">
        <v>-0.121</v>
      </c>
      <c r="AU209" s="4">
        <v>-0.51300000000000001</v>
      </c>
      <c r="AV209" s="4">
        <v>-2.5999999999999999E-2</v>
      </c>
      <c r="AW209" s="4">
        <v>-0.751</v>
      </c>
      <c r="AX209" s="4">
        <v>-0.36299999999999999</v>
      </c>
      <c r="AY209" s="4">
        <v>0.58299999999999996</v>
      </c>
      <c r="AZ209" s="4">
        <v>-0.02</v>
      </c>
      <c r="BA209" s="4">
        <v>-0.84899999999999998</v>
      </c>
      <c r="BB209" s="4">
        <v>0.24399999999999999</v>
      </c>
      <c r="BC209" s="4">
        <v>-9.0999999999999998E-2</v>
      </c>
      <c r="BD209" s="4">
        <v>-2E-3</v>
      </c>
      <c r="BE209" s="4">
        <v>-1</v>
      </c>
      <c r="BF209" s="4">
        <v>-0.72299999999999998</v>
      </c>
      <c r="BG209" s="4">
        <v>-0.93500000000000005</v>
      </c>
      <c r="BH209" s="4">
        <v>0.95099999999999996</v>
      </c>
      <c r="BI209" s="4">
        <v>0.44600000000000001</v>
      </c>
      <c r="BJ209" s="4">
        <v>-0.96499999999999997</v>
      </c>
      <c r="BK209" s="4">
        <v>-3.0000000000000001E-3</v>
      </c>
      <c r="BL209" s="4"/>
      <c r="BM209" s="4">
        <f t="shared" si="38"/>
        <v>-0.75707069999999976</v>
      </c>
    </row>
    <row r="210" spans="1:65" hidden="1" x14ac:dyDescent="0.3">
      <c r="A210" t="s">
        <v>256</v>
      </c>
      <c r="B210" s="53">
        <f t="shared" si="31"/>
        <v>0</v>
      </c>
      <c r="C210" s="53">
        <f t="shared" si="32"/>
        <v>0</v>
      </c>
      <c r="D210" s="53">
        <f t="shared" si="33"/>
        <v>0</v>
      </c>
      <c r="E210" s="53">
        <f t="shared" si="34"/>
        <v>0</v>
      </c>
      <c r="F210" s="15">
        <v>0.48099999999999998</v>
      </c>
      <c r="G210">
        <v>0.36199999999999999</v>
      </c>
      <c r="H210" t="s">
        <v>68</v>
      </c>
      <c r="I210" t="str">
        <f>VLOOKUP(A210,Planilha6!$BL$9:$BN$222,2,0)</f>
        <v>building_materials</v>
      </c>
      <c r="J210" t="str">
        <f>VLOOKUP(A210,Planilha6!$BL$9:$BN$222,3,0)</f>
        <v>very_low_beta</v>
      </c>
      <c r="K210" s="41">
        <v>0</v>
      </c>
      <c r="L210" s="42">
        <v>0</v>
      </c>
      <c r="M210" s="41">
        <f>VLOOKUP(A210,'Mandato Ibov'!$B$1:$C$215,2,0)</f>
        <v>0</v>
      </c>
      <c r="N210" s="59">
        <f t="shared" si="35"/>
        <v>0</v>
      </c>
      <c r="O210" s="42">
        <f t="shared" si="36"/>
        <v>0</v>
      </c>
      <c r="P210" s="59">
        <f>VLOOKUP(A210,'Mandato Ibov'!$B$2:$D$215,3,0)</f>
        <v>0</v>
      </c>
      <c r="Q210" s="42">
        <f t="shared" si="37"/>
        <v>0</v>
      </c>
      <c r="R210" s="15">
        <v>-0.94799999999999995</v>
      </c>
      <c r="S210" s="15">
        <v>-0.95399999999999996</v>
      </c>
      <c r="T210" s="15">
        <v>-0.81499999999999995</v>
      </c>
      <c r="U210" s="15">
        <v>-0.97299999999999998</v>
      </c>
      <c r="V210" s="15">
        <v>-0.95199999999999996</v>
      </c>
      <c r="W210" s="15">
        <v>-0.97899999999999998</v>
      </c>
      <c r="X210" s="15">
        <v>-0.96599999999999997</v>
      </c>
      <c r="Y210" s="15">
        <v>-0.97</v>
      </c>
      <c r="Z210" s="15">
        <v>-0.64700000000000002</v>
      </c>
      <c r="AA210" s="15">
        <v>-0.64500000000000002</v>
      </c>
      <c r="AB210" s="15">
        <v>-0.219</v>
      </c>
      <c r="AC210" s="15">
        <v>-0.38100000000000001</v>
      </c>
      <c r="AD210" s="15">
        <v>-0.504</v>
      </c>
      <c r="AE210" s="14">
        <v>-0.93400000000000005</v>
      </c>
      <c r="AF210" s="15">
        <v>-0.93200000000000005</v>
      </c>
      <c r="AG210" s="15">
        <v>-0.80200000000000005</v>
      </c>
      <c r="AH210" s="15">
        <v>0.42199999999999999</v>
      </c>
      <c r="AI210" s="15">
        <v>-0.109</v>
      </c>
      <c r="AJ210" s="16">
        <v>-0.51600000000000001</v>
      </c>
      <c r="AK210" s="4">
        <v>0.221</v>
      </c>
      <c r="AL210" s="4">
        <v>-1</v>
      </c>
      <c r="AM210" s="4">
        <v>-0.47599999999999998</v>
      </c>
      <c r="AN210" s="4">
        <v>-0.27300000000000002</v>
      </c>
      <c r="AO210" s="4">
        <v>-0.82099999999999995</v>
      </c>
      <c r="AP210" s="4">
        <v>-0.436</v>
      </c>
      <c r="AQ210" s="4">
        <v>-0.502</v>
      </c>
      <c r="AR210" s="4">
        <v>-0.69299999999999995</v>
      </c>
      <c r="AS210" s="4">
        <v>-0.48499999999999999</v>
      </c>
      <c r="AT210" s="4">
        <v>-0.252</v>
      </c>
      <c r="AU210" s="4">
        <v>-0.46899999999999997</v>
      </c>
      <c r="AV210" s="4">
        <v>-0.53900000000000003</v>
      </c>
      <c r="AW210" s="4">
        <v>-0.22</v>
      </c>
      <c r="AX210" s="4">
        <v>-0.68899999999999995</v>
      </c>
      <c r="AY210" s="4">
        <v>-0.107</v>
      </c>
      <c r="AZ210" s="4">
        <v>1.7000000000000001E-2</v>
      </c>
      <c r="BA210" s="4">
        <v>4.2999999999999997E-2</v>
      </c>
      <c r="BB210" s="4">
        <v>0.65200000000000002</v>
      </c>
      <c r="BC210" s="4">
        <v>0.26300000000000001</v>
      </c>
      <c r="BD210" s="4">
        <v>-0.16</v>
      </c>
      <c r="BE210" s="4">
        <v>1</v>
      </c>
      <c r="BF210" s="4">
        <v>-0.433</v>
      </c>
      <c r="BG210" s="4">
        <v>-0.48299999999999998</v>
      </c>
      <c r="BH210" s="4">
        <v>0.26500000000000001</v>
      </c>
      <c r="BI210" s="4">
        <v>-1.9E-2</v>
      </c>
      <c r="BJ210" s="4">
        <v>0.90600000000000003</v>
      </c>
      <c r="BK210" s="4">
        <v>0.67</v>
      </c>
      <c r="BL210" s="4"/>
      <c r="BM210" s="4">
        <f t="shared" si="38"/>
        <v>-0.79683160000000008</v>
      </c>
    </row>
    <row r="211" spans="1:65" hidden="1" x14ac:dyDescent="0.3">
      <c r="A211" t="s">
        <v>258</v>
      </c>
      <c r="B211" s="53">
        <f t="shared" si="31"/>
        <v>0</v>
      </c>
      <c r="C211" s="53">
        <f t="shared" si="32"/>
        <v>0</v>
      </c>
      <c r="D211" s="53">
        <f t="shared" si="33"/>
        <v>0</v>
      </c>
      <c r="E211" s="53">
        <f t="shared" si="34"/>
        <v>0</v>
      </c>
      <c r="F211" s="15">
        <v>0.48</v>
      </c>
      <c r="G211">
        <v>0.35499999999999998</v>
      </c>
      <c r="H211" t="s">
        <v>57</v>
      </c>
      <c r="I211" t="str">
        <f>VLOOKUP(A211,Planilha6!$BL$9:$BN$222,2,0)</f>
        <v>consumer_durables</v>
      </c>
      <c r="J211" t="str">
        <f>VLOOKUP(A211,Planilha6!$BL$9:$BN$222,3,0)</f>
        <v>very_high_beta</v>
      </c>
      <c r="K211" s="41">
        <v>0</v>
      </c>
      <c r="L211" s="42">
        <v>0</v>
      </c>
      <c r="M211" s="41">
        <f>VLOOKUP(A211,'Mandato Ibov'!$B$1:$C$215,2,0)</f>
        <v>0</v>
      </c>
      <c r="N211" s="59">
        <f t="shared" si="35"/>
        <v>0</v>
      </c>
      <c r="O211" s="42">
        <f t="shared" si="36"/>
        <v>0</v>
      </c>
      <c r="P211" s="59">
        <f>VLOOKUP(A211,'Mandato Ibov'!$B$2:$D$215,3,0)</f>
        <v>0</v>
      </c>
      <c r="Q211" s="42">
        <f t="shared" si="37"/>
        <v>0</v>
      </c>
      <c r="R211" s="15">
        <v>-0.93799999999999994</v>
      </c>
      <c r="S211" s="15">
        <v>-0.93600000000000005</v>
      </c>
      <c r="T211" s="15">
        <v>-0.89500000000000002</v>
      </c>
      <c r="U211" s="15">
        <v>-0.96899999999999997</v>
      </c>
      <c r="V211" s="15">
        <v>-0.95399999999999996</v>
      </c>
      <c r="W211" s="15">
        <v>-0.95599999999999996</v>
      </c>
      <c r="X211" s="15">
        <v>-0.94</v>
      </c>
      <c r="Y211" s="15">
        <v>-0.95099999999999996</v>
      </c>
      <c r="Z211" s="15">
        <v>-0.59</v>
      </c>
      <c r="AA211" s="15">
        <v>-0.59199999999999997</v>
      </c>
      <c r="AB211" s="15">
        <v>-0.48499999999999999</v>
      </c>
      <c r="AC211" s="15">
        <v>-0.41699999999999998</v>
      </c>
      <c r="AD211" s="15">
        <v>-0.55800000000000005</v>
      </c>
      <c r="AE211" s="14">
        <v>-0.85599999999999998</v>
      </c>
      <c r="AF211" s="15">
        <v>-0.90500000000000003</v>
      </c>
      <c r="AG211" s="15">
        <v>-0.86299999999999999</v>
      </c>
      <c r="AH211" s="15">
        <v>0.30599999999999999</v>
      </c>
      <c r="AI211" s="15">
        <v>-0.184</v>
      </c>
      <c r="AJ211" s="16">
        <v>-0.51200000000000001</v>
      </c>
      <c r="AK211" s="4">
        <v>7.4999999999999997E-2</v>
      </c>
      <c r="AL211" s="4">
        <v>-0.68500000000000005</v>
      </c>
      <c r="AM211" s="4">
        <v>-0.28899999999999998</v>
      </c>
      <c r="AN211" s="4">
        <v>-0.61399999999999999</v>
      </c>
      <c r="AO211" s="4">
        <v>-0.60799999999999998</v>
      </c>
      <c r="AP211" s="4">
        <v>-0.66900000000000004</v>
      </c>
      <c r="AQ211" s="4">
        <v>-0.48899999999999999</v>
      </c>
      <c r="AR211" s="4">
        <v>-1</v>
      </c>
      <c r="AS211" s="4">
        <v>-0.48499999999999999</v>
      </c>
      <c r="AT211" s="4">
        <v>-0.14000000000000001</v>
      </c>
      <c r="AU211" s="4">
        <v>-0.378</v>
      </c>
      <c r="AV211" s="4">
        <v>-0.52900000000000003</v>
      </c>
      <c r="AW211" s="4">
        <v>-0.69399999999999995</v>
      </c>
      <c r="AX211" s="4">
        <v>0.24199999999999999</v>
      </c>
      <c r="AY211" s="4">
        <v>0.34799999999999998</v>
      </c>
      <c r="AZ211" s="4">
        <v>-0.14099999999999999</v>
      </c>
      <c r="BA211" s="4">
        <v>-9.6000000000000002E-2</v>
      </c>
      <c r="BB211" s="4">
        <v>0.54500000000000004</v>
      </c>
      <c r="BC211" s="4">
        <v>0.39</v>
      </c>
      <c r="BD211" s="4">
        <v>-3.9E-2</v>
      </c>
      <c r="BE211" s="4">
        <v>-0.47199999999999998</v>
      </c>
      <c r="BF211" s="4">
        <v>-1</v>
      </c>
      <c r="BG211" s="4">
        <v>-0.157</v>
      </c>
      <c r="BH211" s="4">
        <v>0.53400000000000003</v>
      </c>
      <c r="BI211" s="4">
        <v>0.69699999999999995</v>
      </c>
      <c r="BJ211" s="4">
        <v>-0.20100000000000001</v>
      </c>
      <c r="BK211" s="4">
        <v>0.96299999999999997</v>
      </c>
      <c r="BL211" s="4"/>
      <c r="BM211" s="4">
        <f t="shared" si="38"/>
        <v>-0.80675229999999998</v>
      </c>
    </row>
    <row r="212" spans="1:65" hidden="1" x14ac:dyDescent="0.3">
      <c r="A212" t="s">
        <v>265</v>
      </c>
      <c r="B212" s="53">
        <f t="shared" si="31"/>
        <v>0</v>
      </c>
      <c r="C212" s="53">
        <f t="shared" si="32"/>
        <v>0</v>
      </c>
      <c r="D212" s="53">
        <f t="shared" si="33"/>
        <v>0</v>
      </c>
      <c r="E212" s="53">
        <f t="shared" si="34"/>
        <v>0</v>
      </c>
      <c r="F212" s="15">
        <v>0.47499999999999998</v>
      </c>
      <c r="G212">
        <v>0.33300000000000002</v>
      </c>
      <c r="H212" t="s">
        <v>68</v>
      </c>
      <c r="I212" t="str">
        <f>VLOOKUP(A212,Planilha6!$BL$9:$BN$222,2,0)</f>
        <v>capital_goods</v>
      </c>
      <c r="J212" t="str">
        <f>VLOOKUP(A212,Planilha6!$BL$9:$BN$222,3,0)</f>
        <v>very_low_beta</v>
      </c>
      <c r="K212" s="41">
        <v>0</v>
      </c>
      <c r="L212" s="42">
        <v>0</v>
      </c>
      <c r="M212" s="41">
        <f>VLOOKUP(A212,'Mandato Ibov'!$B$1:$C$215,2,0)</f>
        <v>0</v>
      </c>
      <c r="N212" s="59">
        <f t="shared" si="35"/>
        <v>0</v>
      </c>
      <c r="O212" s="42">
        <f t="shared" si="36"/>
        <v>0</v>
      </c>
      <c r="P212" s="59">
        <f>VLOOKUP(A212,'Mandato Ibov'!$B$2:$D$215,3,0)</f>
        <v>0</v>
      </c>
      <c r="Q212" s="42">
        <f t="shared" si="37"/>
        <v>0</v>
      </c>
      <c r="R212" s="15">
        <v>-0.92300000000000004</v>
      </c>
      <c r="S212" s="15">
        <v>-0.94199999999999995</v>
      </c>
      <c r="T212" s="15">
        <v>-0.82499999999999996</v>
      </c>
      <c r="U212" s="15">
        <v>-0.98199999999999998</v>
      </c>
      <c r="V212" s="15">
        <v>-0.95599999999999996</v>
      </c>
      <c r="W212" s="15">
        <v>-0.94899999999999995</v>
      </c>
      <c r="X212" s="15">
        <v>-0.93</v>
      </c>
      <c r="Y212" s="15">
        <v>-0.97899999999999998</v>
      </c>
      <c r="Z212" s="15">
        <v>-0.97699999999999998</v>
      </c>
      <c r="AA212" s="15">
        <v>-0.98099999999999998</v>
      </c>
      <c r="AB212" s="15">
        <v>-1</v>
      </c>
      <c r="AC212" s="15">
        <v>-0.81</v>
      </c>
      <c r="AD212" s="15">
        <v>-0.46500000000000002</v>
      </c>
      <c r="AE212" s="14">
        <v>-1</v>
      </c>
      <c r="AF212" s="15">
        <v>-1</v>
      </c>
      <c r="AG212" s="15">
        <v>-0.91900000000000004</v>
      </c>
      <c r="AH212" s="15">
        <v>-0.54700000000000004</v>
      </c>
      <c r="AI212" s="15">
        <v>1</v>
      </c>
      <c r="AJ212" s="16">
        <v>-0.51600000000000001</v>
      </c>
      <c r="AK212" s="4">
        <v>-0.81299999999999994</v>
      </c>
      <c r="AL212" s="4">
        <v>-1</v>
      </c>
      <c r="AM212" s="4">
        <v>-0.91300000000000003</v>
      </c>
      <c r="AN212" s="4">
        <v>-0.26700000000000002</v>
      </c>
      <c r="AO212" s="4">
        <v>0.40600000000000003</v>
      </c>
      <c r="AP212" s="4">
        <v>-0.85499999999999998</v>
      </c>
      <c r="AQ212" s="4">
        <v>-0.224</v>
      </c>
      <c r="AR212" s="4">
        <v>0.28399999999999997</v>
      </c>
      <c r="AS212" s="4">
        <v>0.33800000000000002</v>
      </c>
      <c r="AT212" s="4">
        <v>-1</v>
      </c>
      <c r="AU212" s="4">
        <v>-0.95599999999999996</v>
      </c>
      <c r="AV212" s="4">
        <v>-1</v>
      </c>
      <c r="AW212" s="4">
        <v>-0.46800000000000003</v>
      </c>
      <c r="AX212" s="4">
        <v>-0.67100000000000004</v>
      </c>
      <c r="AY212" s="4">
        <v>-1</v>
      </c>
      <c r="AZ212" s="4">
        <v>-1</v>
      </c>
      <c r="BA212" s="4">
        <v>0.95199999999999996</v>
      </c>
      <c r="BB212" s="4">
        <v>0.98699999999999999</v>
      </c>
      <c r="BC212" s="4">
        <v>0.54900000000000004</v>
      </c>
      <c r="BD212" s="4">
        <v>8.8999999999999996E-2</v>
      </c>
      <c r="BE212" s="4">
        <v>0.99099999999999999</v>
      </c>
      <c r="BF212" s="4">
        <v>-0.246</v>
      </c>
      <c r="BG212" s="4">
        <v>0.71599999999999997</v>
      </c>
      <c r="BH212" s="4">
        <v>1</v>
      </c>
      <c r="BI212" s="4">
        <v>-0.39700000000000002</v>
      </c>
      <c r="BJ212" s="4">
        <v>0.433</v>
      </c>
      <c r="BK212" s="4">
        <v>1</v>
      </c>
      <c r="BL212" s="4"/>
      <c r="BM212" s="4">
        <f t="shared" si="38"/>
        <v>-0.86509259999999999</v>
      </c>
    </row>
    <row r="213" spans="1:65" hidden="1" x14ac:dyDescent="0.3">
      <c r="A213" t="s">
        <v>261</v>
      </c>
      <c r="B213" s="53">
        <f t="shared" si="31"/>
        <v>0</v>
      </c>
      <c r="C213" s="53">
        <f t="shared" si="32"/>
        <v>-1E-3</v>
      </c>
      <c r="D213" s="53">
        <f t="shared" si="33"/>
        <v>0</v>
      </c>
      <c r="E213" s="53">
        <f t="shared" si="34"/>
        <v>1E-3</v>
      </c>
      <c r="F213" s="15">
        <v>0.47499999999999998</v>
      </c>
      <c r="G213">
        <v>0.33900000000000002</v>
      </c>
      <c r="H213" t="s">
        <v>68</v>
      </c>
      <c r="I213" t="str">
        <f>VLOOKUP(A213,Planilha6!$BL$9:$BN$222,2,0)</f>
        <v>chemicals</v>
      </c>
      <c r="J213" t="str">
        <f>VLOOKUP(A213,Planilha6!$BL$9:$BN$222,3,0)</f>
        <v>very_low_beta</v>
      </c>
      <c r="K213" s="41">
        <v>0</v>
      </c>
      <c r="L213" s="42">
        <v>-1E-3</v>
      </c>
      <c r="M213" s="41">
        <f>VLOOKUP(A213,'Mandato Ibov'!$B$1:$C$215,2,0)</f>
        <v>0</v>
      </c>
      <c r="N213" s="59">
        <f t="shared" si="35"/>
        <v>0</v>
      </c>
      <c r="O213" s="42">
        <f t="shared" si="36"/>
        <v>0</v>
      </c>
      <c r="P213" s="59">
        <f>VLOOKUP(A213,'Mandato Ibov'!$B$2:$D$215,3,0)</f>
        <v>0</v>
      </c>
      <c r="Q213" s="42">
        <f t="shared" si="37"/>
        <v>0</v>
      </c>
      <c r="R213" s="15">
        <v>-1</v>
      </c>
      <c r="S213" s="15">
        <v>-0.96499999999999997</v>
      </c>
      <c r="T213" s="15">
        <v>-0.99399999999999999</v>
      </c>
      <c r="U213" s="15">
        <v>-1</v>
      </c>
      <c r="V213" s="15">
        <v>-0.99099999999999999</v>
      </c>
      <c r="W213" s="15">
        <v>-1</v>
      </c>
      <c r="X213" s="15">
        <v>-0.997</v>
      </c>
      <c r="Y213" s="15">
        <v>-0.98399999999999999</v>
      </c>
      <c r="Z213" s="15">
        <v>-0.7</v>
      </c>
      <c r="AA213" s="15">
        <v>-0.70299999999999996</v>
      </c>
      <c r="AB213" s="15">
        <v>-0.57699999999999996</v>
      </c>
      <c r="AC213" s="15">
        <v>-0.376</v>
      </c>
      <c r="AD213" s="15">
        <v>-0.59399999999999997</v>
      </c>
      <c r="AE213" s="14">
        <v>-1</v>
      </c>
      <c r="AF213" s="15">
        <v>-1</v>
      </c>
      <c r="AG213" s="15">
        <v>-0.91500000000000004</v>
      </c>
      <c r="AH213" s="15">
        <v>-0.94199999999999995</v>
      </c>
      <c r="AI213" s="15">
        <v>-1.6E-2</v>
      </c>
      <c r="AJ213" s="16">
        <v>-0.88500000000000001</v>
      </c>
      <c r="AK213" s="4">
        <v>-0.78200000000000003</v>
      </c>
      <c r="AL213" s="4">
        <v>-1</v>
      </c>
      <c r="AM213" s="4">
        <v>-0.48199999999999998</v>
      </c>
      <c r="AN213" s="4">
        <v>-0.86699999999999999</v>
      </c>
      <c r="AO213" s="4">
        <v>0.35899999999999999</v>
      </c>
      <c r="AP213" s="4">
        <v>0.48699999999999999</v>
      </c>
      <c r="AQ213" s="4">
        <v>-0.94199999999999995</v>
      </c>
      <c r="AR213" s="4">
        <v>-1.2999999999999999E-2</v>
      </c>
      <c r="AS213" s="4">
        <v>-0.20499999999999999</v>
      </c>
      <c r="AT213" s="4">
        <v>-0.83399999999999996</v>
      </c>
      <c r="AU213" s="4">
        <v>-0.755</v>
      </c>
      <c r="AV213" s="4">
        <v>-0.84599999999999997</v>
      </c>
      <c r="AW213" s="4">
        <v>-0.45</v>
      </c>
      <c r="AX213" s="4">
        <v>-0.372</v>
      </c>
      <c r="AY213" s="4">
        <v>0.126</v>
      </c>
      <c r="AZ213" s="4">
        <v>-0.249</v>
      </c>
      <c r="BA213" s="4">
        <v>-2E-3</v>
      </c>
      <c r="BB213" s="4">
        <v>0.76</v>
      </c>
      <c r="BC213" s="4">
        <v>0.193</v>
      </c>
      <c r="BD213" s="4">
        <v>4.8000000000000001E-2</v>
      </c>
      <c r="BE213" s="4">
        <v>1</v>
      </c>
      <c r="BF213" s="4">
        <v>0.82299999999999995</v>
      </c>
      <c r="BG213" s="4">
        <v>-0.17599999999999999</v>
      </c>
      <c r="BH213" s="4">
        <v>0.45200000000000001</v>
      </c>
      <c r="BI213" s="4">
        <v>-0.28000000000000003</v>
      </c>
      <c r="BJ213" s="4">
        <v>-2.8000000000000001E-2</v>
      </c>
      <c r="BK213" s="4">
        <v>-0.109</v>
      </c>
      <c r="BL213" s="4"/>
      <c r="BM213" s="4">
        <f t="shared" si="38"/>
        <v>-0.85716820000000005</v>
      </c>
    </row>
    <row r="214" spans="1:65" hidden="1" x14ac:dyDescent="0.3">
      <c r="A214" t="s">
        <v>255</v>
      </c>
      <c r="B214" s="53">
        <f t="shared" si="31"/>
        <v>0</v>
      </c>
      <c r="C214" s="53">
        <f t="shared" si="32"/>
        <v>0</v>
      </c>
      <c r="D214" s="53">
        <f t="shared" si="33"/>
        <v>0</v>
      </c>
      <c r="E214" s="53">
        <f t="shared" si="34"/>
        <v>0</v>
      </c>
      <c r="F214" s="15">
        <v>0.47299999999999998</v>
      </c>
      <c r="G214">
        <v>0.374</v>
      </c>
      <c r="H214" t="s">
        <v>57</v>
      </c>
      <c r="I214" t="str">
        <f>VLOOKUP(A214,Planilha6!$BL$9:$BN$222,2,0)</f>
        <v>education</v>
      </c>
      <c r="J214" t="str">
        <f>VLOOKUP(A214,Planilha6!$BL$9:$BN$222,3,0)</f>
        <v>low_beta</v>
      </c>
      <c r="K214" s="41">
        <v>0</v>
      </c>
      <c r="L214" s="42">
        <v>0</v>
      </c>
      <c r="M214" s="41">
        <f>VLOOKUP(A214,'Mandato Ibov'!$B$1:$C$215,2,0)</f>
        <v>0</v>
      </c>
      <c r="N214" s="59">
        <f t="shared" si="35"/>
        <v>0</v>
      </c>
      <c r="O214" s="42">
        <f t="shared" si="36"/>
        <v>0</v>
      </c>
      <c r="P214" s="59">
        <f>VLOOKUP(A214,'Mandato Ibov'!$B$2:$D$215,3,0)</f>
        <v>0</v>
      </c>
      <c r="Q214" s="42">
        <f t="shared" si="37"/>
        <v>0</v>
      </c>
      <c r="R214" s="15">
        <v>-0.97699999999999998</v>
      </c>
      <c r="S214" s="15">
        <v>-0.95699999999999996</v>
      </c>
      <c r="T214" s="15">
        <v>-0.95399999999999996</v>
      </c>
      <c r="U214" s="15">
        <v>-0.98399999999999999</v>
      </c>
      <c r="V214" s="15">
        <v>-0.97</v>
      </c>
      <c r="W214" s="15">
        <v>-0.94199999999999995</v>
      </c>
      <c r="X214" s="15">
        <v>-0.90200000000000002</v>
      </c>
      <c r="Y214" s="15">
        <v>-0.94799999999999995</v>
      </c>
      <c r="Z214" s="15">
        <v>-0.92200000000000004</v>
      </c>
      <c r="AA214" s="15">
        <v>-0.92</v>
      </c>
      <c r="AB214" s="15">
        <v>-0.72</v>
      </c>
      <c r="AC214" s="15">
        <v>-0.47699999999999998</v>
      </c>
      <c r="AD214" s="15">
        <v>-0.72399999999999998</v>
      </c>
      <c r="AE214" s="14">
        <v>-1</v>
      </c>
      <c r="AF214" s="15">
        <v>-0.28399999999999997</v>
      </c>
      <c r="AG214" s="15">
        <v>-1</v>
      </c>
      <c r="AH214" s="15">
        <v>-0.71399999999999997</v>
      </c>
      <c r="AI214" s="15">
        <v>-0.75700000000000001</v>
      </c>
      <c r="AJ214" s="16">
        <v>-0.55500000000000005</v>
      </c>
      <c r="AK214" s="4">
        <v>-0.96399999999999997</v>
      </c>
      <c r="AL214" s="4">
        <v>-0.68799999999999994</v>
      </c>
      <c r="AM214" s="4">
        <v>-0.66100000000000003</v>
      </c>
      <c r="AN214" s="4">
        <v>0.104</v>
      </c>
      <c r="AO214" s="4">
        <v>-0.80400000000000005</v>
      </c>
      <c r="AP214" s="4">
        <v>-0.76200000000000001</v>
      </c>
      <c r="AQ214" s="4">
        <v>6.8000000000000005E-2</v>
      </c>
      <c r="AR214" s="4">
        <v>4.4999999999999998E-2</v>
      </c>
      <c r="AS214" s="4">
        <v>0.16</v>
      </c>
      <c r="AT214" s="4">
        <v>-0.98799999999999999</v>
      </c>
      <c r="AU214" s="4">
        <v>-0.69599999999999995</v>
      </c>
      <c r="AV214" s="4">
        <v>-0.64900000000000002</v>
      </c>
      <c r="AW214" s="4">
        <v>-0.32700000000000001</v>
      </c>
      <c r="AX214" s="4">
        <v>-0.40799999999999997</v>
      </c>
      <c r="AY214" s="4">
        <v>9.6000000000000002E-2</v>
      </c>
      <c r="AZ214" s="4">
        <v>-0.20399999999999999</v>
      </c>
      <c r="BA214" s="4">
        <v>0.72199999999999998</v>
      </c>
      <c r="BB214" s="4">
        <v>-0.04</v>
      </c>
      <c r="BC214" s="4">
        <v>-0.11</v>
      </c>
      <c r="BD214" s="4">
        <v>5.0999999999999997E-2</v>
      </c>
      <c r="BE214" s="4">
        <v>0.19500000000000001</v>
      </c>
      <c r="BF214" s="4">
        <v>8.5999999999999993E-2</v>
      </c>
      <c r="BG214" s="4">
        <v>0.5</v>
      </c>
      <c r="BH214" s="4">
        <v>0.105</v>
      </c>
      <c r="BI214" s="4">
        <v>-0.32100000000000001</v>
      </c>
      <c r="BJ214" s="4">
        <v>0.19700000000000001</v>
      </c>
      <c r="BK214" s="4">
        <v>0.26900000000000002</v>
      </c>
      <c r="BL214" s="4"/>
      <c r="BM214" s="4">
        <f t="shared" si="38"/>
        <v>-0.88474739999999996</v>
      </c>
    </row>
    <row r="215" spans="1:65" hidden="1" x14ac:dyDescent="0.3">
      <c r="A215" t="s">
        <v>264</v>
      </c>
      <c r="B215" s="53">
        <f t="shared" si="31"/>
        <v>0</v>
      </c>
      <c r="C215" s="53">
        <f t="shared" si="32"/>
        <v>0</v>
      </c>
      <c r="D215" s="53">
        <f t="shared" si="33"/>
        <v>0</v>
      </c>
      <c r="E215" s="53">
        <f t="shared" si="34"/>
        <v>0</v>
      </c>
      <c r="F215" s="15">
        <v>0.47</v>
      </c>
      <c r="G215">
        <v>0.33</v>
      </c>
      <c r="H215" t="s">
        <v>68</v>
      </c>
      <c r="I215" t="str">
        <f>VLOOKUP(A215,Planilha6!$BL$9:$BN$222,2,0)</f>
        <v>building_materials</v>
      </c>
      <c r="J215" t="str">
        <f>VLOOKUP(A215,Planilha6!$BL$9:$BN$222,3,0)</f>
        <v>neutral_beta</v>
      </c>
      <c r="K215" s="41">
        <v>0</v>
      </c>
      <c r="L215" s="42">
        <v>0</v>
      </c>
      <c r="M215" s="41">
        <f>VLOOKUP(A215,'Mandato Ibov'!$B$1:$C$215,2,0)</f>
        <v>0</v>
      </c>
      <c r="N215" s="59">
        <f t="shared" si="35"/>
        <v>0</v>
      </c>
      <c r="O215" s="42">
        <f t="shared" si="36"/>
        <v>0</v>
      </c>
      <c r="P215" s="59">
        <f>VLOOKUP(A215,'Mandato Ibov'!$B$2:$D$215,3,0)</f>
        <v>0</v>
      </c>
      <c r="Q215" s="42">
        <f t="shared" si="37"/>
        <v>0</v>
      </c>
      <c r="R215" s="15">
        <v>-0.94599999999999995</v>
      </c>
      <c r="S215" s="15">
        <v>-1</v>
      </c>
      <c r="T215" s="15">
        <v>-0.81399999999999995</v>
      </c>
      <c r="U215" s="15">
        <v>-0.97399999999999998</v>
      </c>
      <c r="V215" s="15">
        <v>-0.97699999999999998</v>
      </c>
      <c r="W215" s="15">
        <v>-0.997</v>
      </c>
      <c r="X215" s="15">
        <v>-0.99399999999999999</v>
      </c>
      <c r="Y215" s="15">
        <v>-1</v>
      </c>
      <c r="Z215" s="15">
        <v>-1</v>
      </c>
      <c r="AA215" s="15">
        <v>-1</v>
      </c>
      <c r="AB215" s="15">
        <v>-0.39400000000000002</v>
      </c>
      <c r="AC215" s="15">
        <v>-0.35</v>
      </c>
      <c r="AD215" s="15">
        <v>-1</v>
      </c>
      <c r="AE215" s="14">
        <v>-0.9</v>
      </c>
      <c r="AF215" s="15">
        <v>-0.438</v>
      </c>
      <c r="AG215" s="15">
        <v>-1</v>
      </c>
      <c r="AH215" s="15">
        <v>-0.36399999999999999</v>
      </c>
      <c r="AI215" s="15">
        <v>-0.46</v>
      </c>
      <c r="AJ215" s="16">
        <v>-8.8999999999999996E-2</v>
      </c>
      <c r="AK215" s="4">
        <v>-1</v>
      </c>
      <c r="AL215" s="4">
        <v>-1</v>
      </c>
      <c r="AM215" s="4">
        <v>0.216</v>
      </c>
      <c r="AN215" s="4">
        <v>-0.47</v>
      </c>
      <c r="AO215" s="4">
        <v>-0.93200000000000005</v>
      </c>
      <c r="AP215" s="4">
        <v>-1</v>
      </c>
      <c r="AQ215" s="4">
        <v>0.51300000000000001</v>
      </c>
      <c r="AR215" s="4">
        <v>0.77500000000000002</v>
      </c>
      <c r="AS215" s="4">
        <v>0.498</v>
      </c>
      <c r="AT215" s="4">
        <v>-0.81399999999999995</v>
      </c>
      <c r="AU215" s="4">
        <v>-0.70599999999999996</v>
      </c>
      <c r="AV215" s="4">
        <v>-0.26700000000000002</v>
      </c>
      <c r="AW215" s="4">
        <v>-0.55700000000000005</v>
      </c>
      <c r="AX215" s="4">
        <v>-0.88900000000000001</v>
      </c>
      <c r="AY215" s="4">
        <v>-1</v>
      </c>
      <c r="AZ215" s="4">
        <v>-0.27100000000000002</v>
      </c>
      <c r="BA215" s="4">
        <v>0.752</v>
      </c>
      <c r="BB215" s="4">
        <v>0.104</v>
      </c>
      <c r="BC215" s="4">
        <v>0.14699999999999999</v>
      </c>
      <c r="BD215" s="4">
        <v>-0.95599999999999996</v>
      </c>
      <c r="BE215" s="4">
        <v>1</v>
      </c>
      <c r="BF215" s="4">
        <v>0.872</v>
      </c>
      <c r="BG215" s="4">
        <v>-0.67700000000000005</v>
      </c>
      <c r="BH215" s="4">
        <v>1</v>
      </c>
      <c r="BI215" s="4">
        <v>9.2999999999999999E-2</v>
      </c>
      <c r="BJ215" s="4">
        <v>0.216</v>
      </c>
      <c r="BK215" s="4">
        <v>0.89800000000000002</v>
      </c>
      <c r="BL215" s="4"/>
      <c r="BM215" s="4">
        <f t="shared" si="38"/>
        <v>-0.92877549999999987</v>
      </c>
    </row>
    <row r="216" spans="1:65" hidden="1" x14ac:dyDescent="0.3">
      <c r="A216" t="s">
        <v>259</v>
      </c>
      <c r="B216" s="53">
        <f t="shared" si="31"/>
        <v>0</v>
      </c>
      <c r="C216" s="53">
        <f t="shared" si="32"/>
        <v>0</v>
      </c>
      <c r="D216" s="53">
        <f t="shared" si="33"/>
        <v>0</v>
      </c>
      <c r="E216" s="53">
        <f t="shared" si="34"/>
        <v>0</v>
      </c>
      <c r="F216" s="15">
        <v>0.46899999999999997</v>
      </c>
      <c r="G216">
        <v>0.33</v>
      </c>
      <c r="H216" t="s">
        <v>57</v>
      </c>
      <c r="I216" t="str">
        <f>VLOOKUP(A216,Planilha6!$BL$9:$BN$222,2,0)</f>
        <v>homebuilders</v>
      </c>
      <c r="J216" t="str">
        <f>VLOOKUP(A216,Planilha6!$BL$9:$BN$222,3,0)</f>
        <v>high_beta</v>
      </c>
      <c r="K216" s="41">
        <v>0</v>
      </c>
      <c r="L216" s="42">
        <v>0</v>
      </c>
      <c r="M216" s="41">
        <f>VLOOKUP(A216,'Mandato Ibov'!$B$1:$C$215,2,0)</f>
        <v>0</v>
      </c>
      <c r="N216" s="59">
        <f t="shared" si="35"/>
        <v>0</v>
      </c>
      <c r="O216" s="42">
        <f t="shared" si="36"/>
        <v>0</v>
      </c>
      <c r="P216" s="59">
        <f>VLOOKUP(A216,'Mandato Ibov'!$B$2:$D$215,3,0)</f>
        <v>0</v>
      </c>
      <c r="Q216" s="42">
        <f t="shared" si="37"/>
        <v>0</v>
      </c>
      <c r="R216" s="15">
        <v>-1</v>
      </c>
      <c r="S216" s="15">
        <v>-1</v>
      </c>
      <c r="T216" s="15">
        <v>-1</v>
      </c>
      <c r="U216" s="15">
        <v>-1</v>
      </c>
      <c r="V216" s="15">
        <v>-1</v>
      </c>
      <c r="W216" s="15">
        <v>-1</v>
      </c>
      <c r="X216" s="15">
        <v>-1</v>
      </c>
      <c r="Y216" s="15">
        <v>-1</v>
      </c>
      <c r="Z216" s="15">
        <v>-0.79900000000000004</v>
      </c>
      <c r="AA216" s="15">
        <v>-0.79700000000000004</v>
      </c>
      <c r="AB216" s="15">
        <v>-1</v>
      </c>
      <c r="AC216" s="15">
        <v>-0.14499999999999999</v>
      </c>
      <c r="AD216" s="15">
        <v>-1</v>
      </c>
      <c r="AE216" s="14">
        <v>-0.88800000000000001</v>
      </c>
      <c r="AF216" s="15">
        <v>-0.97499999999999998</v>
      </c>
      <c r="AG216" s="15">
        <v>-0.88300000000000001</v>
      </c>
      <c r="AH216" s="15">
        <v>0.27200000000000002</v>
      </c>
      <c r="AI216" s="15">
        <v>-0.501</v>
      </c>
      <c r="AJ216" s="16">
        <v>-0.499</v>
      </c>
      <c r="AK216" s="4">
        <v>-0.83199999999999996</v>
      </c>
      <c r="AL216" s="4">
        <v>-1</v>
      </c>
      <c r="AM216" s="4">
        <v>1</v>
      </c>
      <c r="AN216" s="4">
        <v>-0.94899999999999995</v>
      </c>
      <c r="AO216" s="4">
        <v>-0.92300000000000004</v>
      </c>
      <c r="AP216" s="4">
        <v>-1</v>
      </c>
      <c r="AQ216" s="4">
        <v>-0.9</v>
      </c>
      <c r="AR216" s="4">
        <v>-1</v>
      </c>
      <c r="AS216" s="4">
        <v>-0.98499999999999999</v>
      </c>
      <c r="AT216" s="4">
        <v>-0.84599999999999997</v>
      </c>
      <c r="AU216" s="4">
        <v>-1</v>
      </c>
      <c r="AV216" s="4">
        <v>-0.98299999999999998</v>
      </c>
      <c r="AW216" s="4">
        <v>-0.60799999999999998</v>
      </c>
      <c r="AX216" s="4">
        <v>-0.61399999999999999</v>
      </c>
      <c r="AY216" s="4">
        <v>-0.35899999999999999</v>
      </c>
      <c r="AZ216" s="4">
        <v>-1</v>
      </c>
      <c r="BA216" s="4">
        <v>-0.51200000000000001</v>
      </c>
      <c r="BB216" s="4">
        <v>0.58699999999999997</v>
      </c>
      <c r="BC216" s="4">
        <v>0.39700000000000002</v>
      </c>
      <c r="BD216" s="4">
        <v>0.217</v>
      </c>
      <c r="BE216" s="4">
        <v>1</v>
      </c>
      <c r="BF216" s="4">
        <v>0.05</v>
      </c>
      <c r="BG216" s="4">
        <v>0.183</v>
      </c>
      <c r="BH216" s="4">
        <v>1</v>
      </c>
      <c r="BI216" s="4">
        <v>0.54700000000000004</v>
      </c>
      <c r="BJ216" s="4">
        <v>-0.24399999999999999</v>
      </c>
      <c r="BK216" s="4">
        <v>1</v>
      </c>
      <c r="BL216" s="4"/>
      <c r="BM216" s="4">
        <f t="shared" si="38"/>
        <v>-0.94591859999999994</v>
      </c>
    </row>
    <row r="217" spans="1:65" hidden="1" x14ac:dyDescent="0.3">
      <c r="A217" t="s">
        <v>263</v>
      </c>
      <c r="B217" s="53">
        <f t="shared" si="31"/>
        <v>0</v>
      </c>
      <c r="C217" s="53">
        <f t="shared" si="32"/>
        <v>0</v>
      </c>
      <c r="D217" s="53">
        <f t="shared" si="33"/>
        <v>0</v>
      </c>
      <c r="E217" s="53">
        <f t="shared" si="34"/>
        <v>0</v>
      </c>
      <c r="F217" s="15">
        <v>0.46800000000000003</v>
      </c>
      <c r="G217">
        <v>0.32900000000000001</v>
      </c>
      <c r="H217" t="s">
        <v>68</v>
      </c>
      <c r="I217" t="str">
        <f>VLOOKUP(A217,Planilha6!$BL$9:$BN$222,2,0)</f>
        <v>capital_goods</v>
      </c>
      <c r="J217" t="str">
        <f>VLOOKUP(A217,Planilha6!$BL$9:$BN$222,3,0)</f>
        <v>very_low_beta</v>
      </c>
      <c r="K217" s="41">
        <v>0</v>
      </c>
      <c r="L217" s="42">
        <v>0</v>
      </c>
      <c r="M217" s="41">
        <f>VLOOKUP(A217,'Mandato Ibov'!$B$1:$C$215,2,0)</f>
        <v>0</v>
      </c>
      <c r="N217" s="59">
        <f t="shared" si="35"/>
        <v>0</v>
      </c>
      <c r="O217" s="42">
        <f t="shared" si="36"/>
        <v>0</v>
      </c>
      <c r="P217" s="59">
        <f>VLOOKUP(A217,'Mandato Ibov'!$B$2:$D$215,3,0)</f>
        <v>0</v>
      </c>
      <c r="Q217" s="42">
        <f t="shared" si="37"/>
        <v>0</v>
      </c>
      <c r="R217" s="15">
        <v>-0.995</v>
      </c>
      <c r="S217" s="15">
        <v>-0.99199999999999999</v>
      </c>
      <c r="T217" s="15">
        <v>-0.98599999999999999</v>
      </c>
      <c r="U217" s="15">
        <v>-0.99</v>
      </c>
      <c r="V217" s="15">
        <v>-0.99399999999999999</v>
      </c>
      <c r="W217" s="15">
        <v>-1</v>
      </c>
      <c r="X217" s="15">
        <v>-1</v>
      </c>
      <c r="Y217" s="15">
        <v>-1</v>
      </c>
      <c r="Z217" s="15">
        <v>-1</v>
      </c>
      <c r="AA217" s="15">
        <v>-1</v>
      </c>
      <c r="AB217" s="15">
        <v>-1</v>
      </c>
      <c r="AC217" s="15">
        <v>-1</v>
      </c>
      <c r="AD217" s="15">
        <v>-0.98499999999999999</v>
      </c>
      <c r="AE217" s="14">
        <v>-1</v>
      </c>
      <c r="AF217" s="15">
        <v>-1</v>
      </c>
      <c r="AG217" s="15">
        <v>-0.76500000000000001</v>
      </c>
      <c r="AH217" s="15">
        <v>-0.54700000000000004</v>
      </c>
      <c r="AI217" s="15">
        <v>1</v>
      </c>
      <c r="AJ217" s="16">
        <v>-0.51600000000000001</v>
      </c>
      <c r="AK217" s="4">
        <v>-0.81299999999999994</v>
      </c>
      <c r="AL217" s="4">
        <v>-1</v>
      </c>
      <c r="AM217" s="4">
        <v>-0.91300000000000003</v>
      </c>
      <c r="AN217" s="4">
        <v>-0.19800000000000001</v>
      </c>
      <c r="AO217" s="4">
        <v>0.54300000000000004</v>
      </c>
      <c r="AP217" s="4">
        <v>-1</v>
      </c>
      <c r="AQ217" s="4">
        <v>-0.224</v>
      </c>
      <c r="AR217" s="4">
        <v>0.28399999999999997</v>
      </c>
      <c r="AS217" s="4">
        <v>0.33800000000000002</v>
      </c>
      <c r="AT217" s="4">
        <v>-1</v>
      </c>
      <c r="AU217" s="4">
        <v>-0.95599999999999996</v>
      </c>
      <c r="AV217" s="4">
        <v>-0.84599999999999997</v>
      </c>
      <c r="AW217" s="4">
        <v>-0.33900000000000002</v>
      </c>
      <c r="AX217" s="4">
        <v>-0.69099999999999995</v>
      </c>
      <c r="AY217" s="4">
        <v>-1</v>
      </c>
      <c r="AZ217" s="4">
        <v>-1</v>
      </c>
      <c r="BA217" s="4">
        <v>5.1999999999999998E-2</v>
      </c>
      <c r="BB217" s="4">
        <v>0.98699999999999999</v>
      </c>
      <c r="BC217" s="4">
        <v>0.54600000000000004</v>
      </c>
      <c r="BD217" s="4">
        <v>0.52600000000000002</v>
      </c>
      <c r="BE217" s="4">
        <v>1</v>
      </c>
      <c r="BF217" s="4">
        <v>-0.16200000000000001</v>
      </c>
      <c r="BG217" s="4">
        <v>-0.746</v>
      </c>
      <c r="BH217" s="4">
        <v>0.38500000000000001</v>
      </c>
      <c r="BI217" s="4">
        <v>-0.39700000000000002</v>
      </c>
      <c r="BJ217" s="4">
        <v>-0.58899999999999997</v>
      </c>
      <c r="BK217" s="4">
        <v>1</v>
      </c>
      <c r="BL217" s="4"/>
      <c r="BM217" s="4">
        <f t="shared" si="38"/>
        <v>-0.9951416999999998</v>
      </c>
    </row>
    <row r="218" spans="1:65" hidden="1" x14ac:dyDescent="0.3">
      <c r="A218" t="s">
        <v>266</v>
      </c>
      <c r="B218" s="53">
        <f t="shared" si="31"/>
        <v>0</v>
      </c>
      <c r="C218" s="53">
        <f t="shared" si="32"/>
        <v>0</v>
      </c>
      <c r="D218" s="53">
        <f t="shared" si="33"/>
        <v>0</v>
      </c>
      <c r="E218" s="53">
        <f t="shared" si="34"/>
        <v>0</v>
      </c>
      <c r="F218" s="15">
        <v>0.46800000000000003</v>
      </c>
      <c r="G218">
        <v>0.33200000000000002</v>
      </c>
      <c r="H218" t="s">
        <v>57</v>
      </c>
      <c r="I218" t="str">
        <f>VLOOKUP(A218,Planilha6!$BL$9:$BN$222,2,0)</f>
        <v>consumer_services</v>
      </c>
      <c r="J218" t="str">
        <f>VLOOKUP(A218,Planilha6!$BL$9:$BN$222,3,0)</f>
        <v>very_high_beta</v>
      </c>
      <c r="K218" s="41">
        <v>0</v>
      </c>
      <c r="L218" s="42">
        <v>0</v>
      </c>
      <c r="M218" s="41">
        <f>VLOOKUP(A218,'Mandato Ibov'!$B$1:$C$215,2,0)</f>
        <v>0</v>
      </c>
      <c r="N218" s="59">
        <f t="shared" si="35"/>
        <v>0</v>
      </c>
      <c r="O218" s="42">
        <f t="shared" si="36"/>
        <v>0</v>
      </c>
      <c r="P218" s="59">
        <f>VLOOKUP(A218,'Mandato Ibov'!$B$2:$D$215,3,0)</f>
        <v>0</v>
      </c>
      <c r="Q218" s="42">
        <f t="shared" si="37"/>
        <v>0</v>
      </c>
      <c r="R218" s="15">
        <v>-1</v>
      </c>
      <c r="S218" s="15">
        <v>-1</v>
      </c>
      <c r="T218" s="15">
        <v>-0.96799999999999997</v>
      </c>
      <c r="U218" s="15">
        <v>-1</v>
      </c>
      <c r="V218" s="15">
        <v>-1</v>
      </c>
      <c r="W218" s="15">
        <v>-1</v>
      </c>
      <c r="X218" s="15">
        <v>-1</v>
      </c>
      <c r="Y218" s="15">
        <v>-0.998</v>
      </c>
      <c r="Z218" s="15">
        <v>-1</v>
      </c>
      <c r="AA218" s="15">
        <v>-1</v>
      </c>
      <c r="AB218" s="15">
        <v>-0.746</v>
      </c>
      <c r="AC218" s="15">
        <v>-0.76600000000000001</v>
      </c>
      <c r="AD218" s="15">
        <v>-1</v>
      </c>
      <c r="AE218" s="14">
        <v>-1</v>
      </c>
      <c r="AF218" s="15">
        <v>-0.82599999999999996</v>
      </c>
      <c r="AG218" s="15">
        <v>-1</v>
      </c>
      <c r="AH218" s="15">
        <v>-0.122</v>
      </c>
      <c r="AI218" s="15">
        <v>-0.49399999999999999</v>
      </c>
      <c r="AJ218" s="16">
        <v>0.23</v>
      </c>
      <c r="AK218" s="4">
        <v>-0.33</v>
      </c>
      <c r="AL218" s="4">
        <v>-0.75700000000000001</v>
      </c>
      <c r="AM218" s="4">
        <v>-0.53700000000000003</v>
      </c>
      <c r="AN218" s="4">
        <v>-0.64300000000000002</v>
      </c>
      <c r="AO218" s="4">
        <v>-0.74199999999999999</v>
      </c>
      <c r="AP218" s="4">
        <v>-1</v>
      </c>
      <c r="AQ218" s="4">
        <v>-0.32100000000000001</v>
      </c>
      <c r="AR218" s="4">
        <v>-1</v>
      </c>
      <c r="AS218" s="4">
        <v>-0.38600000000000001</v>
      </c>
      <c r="AT218" s="4">
        <v>-0.41399999999999998</v>
      </c>
      <c r="AU218" s="4">
        <v>-0.27100000000000002</v>
      </c>
      <c r="AV218" s="4">
        <v>-0.70599999999999996</v>
      </c>
      <c r="AW218" s="4">
        <v>-0.42599999999999999</v>
      </c>
      <c r="AX218" s="4">
        <v>0.109</v>
      </c>
      <c r="AY218" s="4">
        <v>0.13</v>
      </c>
      <c r="AZ218" s="4">
        <v>-0.59499999999999997</v>
      </c>
      <c r="BA218" s="4">
        <v>-0.151</v>
      </c>
      <c r="BB218" s="4">
        <v>0.47799999999999998</v>
      </c>
      <c r="BC218" s="4">
        <v>-0.23</v>
      </c>
      <c r="BD218" s="4">
        <v>-4.3999999999999997E-2</v>
      </c>
      <c r="BE218" s="4">
        <v>-0.60499999999999998</v>
      </c>
      <c r="BF218" s="4">
        <v>-0.81299999999999994</v>
      </c>
      <c r="BG218" s="4">
        <v>-1</v>
      </c>
      <c r="BH218" s="4">
        <v>0.55800000000000005</v>
      </c>
      <c r="BI218" s="4">
        <v>0.32500000000000001</v>
      </c>
      <c r="BJ218" s="4">
        <v>-0.17599999999999999</v>
      </c>
      <c r="BK218" s="4">
        <v>1</v>
      </c>
      <c r="BL218" s="4"/>
      <c r="BM218" s="4">
        <f t="shared" si="38"/>
        <v>-0.97832819999999998</v>
      </c>
    </row>
    <row r="219" spans="1:65" hidden="1" x14ac:dyDescent="0.3">
      <c r="A219" t="s">
        <v>262</v>
      </c>
      <c r="B219" s="53">
        <f t="shared" si="31"/>
        <v>0</v>
      </c>
      <c r="C219" s="53">
        <f t="shared" si="32"/>
        <v>0</v>
      </c>
      <c r="D219" s="53">
        <f t="shared" si="33"/>
        <v>0</v>
      </c>
      <c r="E219" s="53">
        <f t="shared" si="34"/>
        <v>0</v>
      </c>
      <c r="F219" s="15">
        <v>0.46800000000000003</v>
      </c>
      <c r="G219">
        <v>0.35399999999999998</v>
      </c>
      <c r="H219" t="s">
        <v>68</v>
      </c>
      <c r="I219" t="str">
        <f>VLOOKUP(A219,Planilha6!$BL$9:$BN$222,2,0)</f>
        <v>capital_goods</v>
      </c>
      <c r="J219" t="str">
        <f>VLOOKUP(A219,Planilha6!$BL$9:$BN$222,3,0)</f>
        <v>very_low_beta</v>
      </c>
      <c r="K219" s="41">
        <v>0</v>
      </c>
      <c r="L219" s="42">
        <v>0</v>
      </c>
      <c r="M219" s="41">
        <f>VLOOKUP(A219,'Mandato Ibov'!$B$1:$C$215,2,0)</f>
        <v>0</v>
      </c>
      <c r="N219" s="59">
        <f t="shared" si="35"/>
        <v>0</v>
      </c>
      <c r="O219" s="42">
        <f t="shared" si="36"/>
        <v>0</v>
      </c>
      <c r="P219" s="59">
        <f>VLOOKUP(A219,'Mandato Ibov'!$B$2:$D$215,3,0)</f>
        <v>0</v>
      </c>
      <c r="Q219" s="42">
        <f t="shared" si="37"/>
        <v>0</v>
      </c>
      <c r="R219" s="15">
        <v>-1</v>
      </c>
      <c r="S219" s="15">
        <v>-1</v>
      </c>
      <c r="T219" s="15">
        <v>-0.92400000000000004</v>
      </c>
      <c r="U219" s="15">
        <v>-1</v>
      </c>
      <c r="V219" s="15">
        <v>-1</v>
      </c>
      <c r="W219" s="15">
        <v>-0.997</v>
      </c>
      <c r="X219" s="15">
        <v>-0.96299999999999997</v>
      </c>
      <c r="Y219" s="15">
        <v>-1</v>
      </c>
      <c r="Z219" s="15">
        <v>-1</v>
      </c>
      <c r="AA219" s="15">
        <v>-1</v>
      </c>
      <c r="AB219" s="15">
        <v>-0.88</v>
      </c>
      <c r="AC219" s="15">
        <v>-0.84099999999999997</v>
      </c>
      <c r="AD219" s="15">
        <v>-0.81299999999999994</v>
      </c>
      <c r="AE219" s="14">
        <v>-1</v>
      </c>
      <c r="AF219" s="15">
        <v>-1</v>
      </c>
      <c r="AG219" s="15">
        <v>-1</v>
      </c>
      <c r="AH219" s="15">
        <v>-0.61599999999999999</v>
      </c>
      <c r="AI219" s="15">
        <v>-0.46300000000000002</v>
      </c>
      <c r="AJ219" s="16">
        <v>-0.51600000000000001</v>
      </c>
      <c r="AK219" s="4">
        <v>-0.98799999999999999</v>
      </c>
      <c r="AL219" s="4">
        <v>-1</v>
      </c>
      <c r="AM219" s="4">
        <v>-0.51900000000000002</v>
      </c>
      <c r="AN219" s="4">
        <v>-0.64200000000000002</v>
      </c>
      <c r="AO219" s="4">
        <v>-0.94399999999999995</v>
      </c>
      <c r="AP219" s="4">
        <v>-0.65200000000000002</v>
      </c>
      <c r="AQ219" s="4">
        <v>-1</v>
      </c>
      <c r="AR219" s="4">
        <v>0.59099999999999997</v>
      </c>
      <c r="AS219" s="4">
        <v>0.19400000000000001</v>
      </c>
      <c r="AT219" s="4">
        <v>-0.94899999999999995</v>
      </c>
      <c r="AU219" s="4">
        <v>-0.77500000000000002</v>
      </c>
      <c r="AV219" s="4">
        <v>-0.84599999999999997</v>
      </c>
      <c r="AW219" s="4">
        <v>-8.5000000000000006E-2</v>
      </c>
      <c r="AX219" s="4">
        <v>-0.92900000000000005</v>
      </c>
      <c r="AY219" s="4">
        <v>-1</v>
      </c>
      <c r="AZ219" s="4">
        <v>-0.88400000000000001</v>
      </c>
      <c r="BA219" s="4">
        <v>5.6000000000000001E-2</v>
      </c>
      <c r="BB219" s="4">
        <v>0.97799999999999998</v>
      </c>
      <c r="BC219" s="4">
        <v>0.246</v>
      </c>
      <c r="BD219" s="4">
        <v>-6.8000000000000005E-2</v>
      </c>
      <c r="BE219" s="4">
        <v>1</v>
      </c>
      <c r="BF219" s="4">
        <v>-0.68600000000000005</v>
      </c>
      <c r="BG219" s="4">
        <v>0.45700000000000002</v>
      </c>
      <c r="BH219" s="4">
        <v>1</v>
      </c>
      <c r="BI219" s="4">
        <v>-0.159</v>
      </c>
      <c r="BJ219" s="4">
        <v>0.94499999999999995</v>
      </c>
      <c r="BK219" s="4">
        <v>0.95799999999999996</v>
      </c>
      <c r="BL219" s="4"/>
      <c r="BM219" s="4">
        <f t="shared" si="38"/>
        <v>-0.95209480000000002</v>
      </c>
    </row>
    <row r="220" spans="1:65" hidden="1" x14ac:dyDescent="0.3">
      <c r="A220" t="s">
        <v>260</v>
      </c>
      <c r="B220" s="53">
        <f t="shared" si="31"/>
        <v>0</v>
      </c>
      <c r="C220" s="53">
        <f t="shared" si="32"/>
        <v>0</v>
      </c>
      <c r="D220" s="53">
        <f t="shared" si="33"/>
        <v>0</v>
      </c>
      <c r="E220" s="53">
        <f t="shared" si="34"/>
        <v>0</v>
      </c>
      <c r="F220" s="15">
        <v>0.46800000000000003</v>
      </c>
      <c r="G220">
        <v>0.33100000000000002</v>
      </c>
      <c r="H220" t="s">
        <v>57</v>
      </c>
      <c r="I220" t="str">
        <f>VLOOKUP(A220,Planilha6!$BL$9:$BN$222,2,0)</f>
        <v>consumer_services</v>
      </c>
      <c r="J220" t="str">
        <f>VLOOKUP(A220,Planilha6!$BL$9:$BN$222,3,0)</f>
        <v>very_high_beta</v>
      </c>
      <c r="K220" s="41">
        <v>0</v>
      </c>
      <c r="L220" s="42">
        <v>0</v>
      </c>
      <c r="M220" s="41">
        <f>VLOOKUP(A220,'Mandato Ibov'!$B$1:$C$215,2,0)</f>
        <v>0</v>
      </c>
      <c r="N220" s="59">
        <f t="shared" si="35"/>
        <v>0</v>
      </c>
      <c r="O220" s="42">
        <f t="shared" si="36"/>
        <v>0</v>
      </c>
      <c r="P220" s="59">
        <f>VLOOKUP(A220,'Mandato Ibov'!$B$2:$D$215,3,0)</f>
        <v>0</v>
      </c>
      <c r="Q220" s="42">
        <f t="shared" si="37"/>
        <v>0</v>
      </c>
      <c r="R220" s="15">
        <v>-0.98399999999999999</v>
      </c>
      <c r="S220" s="15">
        <v>-1</v>
      </c>
      <c r="T220" s="15">
        <v>-0.97799999999999998</v>
      </c>
      <c r="U220" s="15">
        <v>-0.98299999999999998</v>
      </c>
      <c r="V220" s="15">
        <v>-1</v>
      </c>
      <c r="W220" s="15">
        <v>-1</v>
      </c>
      <c r="X220" s="15">
        <v>-1</v>
      </c>
      <c r="Y220" s="15">
        <v>-0.996</v>
      </c>
      <c r="Z220" s="15">
        <v>-0.76100000000000001</v>
      </c>
      <c r="AA220" s="15">
        <v>-0.76400000000000001</v>
      </c>
      <c r="AB220" s="15">
        <v>-0.78100000000000003</v>
      </c>
      <c r="AC220" s="15">
        <v>-1</v>
      </c>
      <c r="AD220" s="15">
        <v>-1</v>
      </c>
      <c r="AE220" s="14">
        <v>-0.79900000000000004</v>
      </c>
      <c r="AF220" s="15">
        <v>-0.45200000000000001</v>
      </c>
      <c r="AG220" s="15">
        <v>-0.871</v>
      </c>
      <c r="AH220" s="15">
        <v>-0.14000000000000001</v>
      </c>
      <c r="AI220" s="15">
        <v>-0.94099999999999995</v>
      </c>
      <c r="AJ220" s="16">
        <v>-0.86899999999999999</v>
      </c>
      <c r="AK220" s="4">
        <v>0.20399999999999999</v>
      </c>
      <c r="AL220" s="4">
        <v>-0.56000000000000005</v>
      </c>
      <c r="AM220" s="4">
        <v>-3.6999999999999998E-2</v>
      </c>
      <c r="AN220" s="4">
        <v>-0.29099999999999998</v>
      </c>
      <c r="AO220" s="4">
        <v>-0.76900000000000002</v>
      </c>
      <c r="AP220" s="4">
        <v>-0.874</v>
      </c>
      <c r="AQ220" s="4">
        <v>-0.57699999999999996</v>
      </c>
      <c r="AR220" s="4">
        <v>-0.69899999999999995</v>
      </c>
      <c r="AS220" s="4">
        <v>-0.44600000000000001</v>
      </c>
      <c r="AT220" s="4">
        <v>-0.41399999999999998</v>
      </c>
      <c r="AU220" s="4">
        <v>-0.66</v>
      </c>
      <c r="AV220" s="4">
        <v>-0.69299999999999995</v>
      </c>
      <c r="AW220" s="4">
        <v>-0.57899999999999996</v>
      </c>
      <c r="AX220" s="4">
        <v>-4.7E-2</v>
      </c>
      <c r="AY220" s="4">
        <v>0.28999999999999998</v>
      </c>
      <c r="AZ220" s="4">
        <v>-0.94099999999999995</v>
      </c>
      <c r="BA220" s="4">
        <v>0.189</v>
      </c>
      <c r="BB220" s="4">
        <v>0.78800000000000003</v>
      </c>
      <c r="BC220" s="4">
        <v>0.29299999999999998</v>
      </c>
      <c r="BD220" s="4">
        <v>-0.28599999999999998</v>
      </c>
      <c r="BE220" s="4">
        <v>-0.79300000000000004</v>
      </c>
      <c r="BF220" s="4">
        <v>-1</v>
      </c>
      <c r="BG220" s="4">
        <v>-1</v>
      </c>
      <c r="BH220" s="4">
        <v>0.98199999999999998</v>
      </c>
      <c r="BI220" s="4">
        <v>0.69699999999999995</v>
      </c>
      <c r="BJ220" s="4">
        <v>0.28199999999999997</v>
      </c>
      <c r="BK220" s="4">
        <v>6.6000000000000003E-2</v>
      </c>
      <c r="BL220" s="4"/>
      <c r="BM220" s="4">
        <f t="shared" si="38"/>
        <v>-0.96329979999999993</v>
      </c>
    </row>
    <row r="221" spans="1:65" hidden="1" x14ac:dyDescent="0.3">
      <c r="A221" t="s">
        <v>267</v>
      </c>
      <c r="B221" s="53">
        <f t="shared" si="31"/>
        <v>0</v>
      </c>
      <c r="C221" s="53">
        <f t="shared" si="32"/>
        <v>0</v>
      </c>
      <c r="D221" s="53">
        <f t="shared" si="33"/>
        <v>0</v>
      </c>
      <c r="E221" s="53">
        <f t="shared" si="34"/>
        <v>0</v>
      </c>
      <c r="F221" s="15">
        <v>0.46800000000000003</v>
      </c>
      <c r="G221">
        <v>0.32900000000000001</v>
      </c>
      <c r="H221" t="s">
        <v>53</v>
      </c>
      <c r="I221" t="str">
        <f>VLOOKUP(A221,Planilha6!$BL$9:$BN$222,2,0)</f>
        <v>healthcare</v>
      </c>
      <c r="J221" t="str">
        <f>VLOOKUP(A221,Planilha6!$BL$9:$BN$222,3,0)</f>
        <v>high_beta</v>
      </c>
      <c r="K221" s="41">
        <v>0</v>
      </c>
      <c r="L221" s="42">
        <v>0</v>
      </c>
      <c r="M221" s="41">
        <f>VLOOKUP(A221,'Mandato Ibov'!$B$1:$C$215,2,0)</f>
        <v>0</v>
      </c>
      <c r="N221" s="59">
        <f t="shared" si="35"/>
        <v>0</v>
      </c>
      <c r="O221" s="42">
        <f t="shared" si="36"/>
        <v>0</v>
      </c>
      <c r="P221" s="59">
        <f>VLOOKUP(A221,'Mandato Ibov'!$B$2:$D$215,3,0)</f>
        <v>0</v>
      </c>
      <c r="Q221" s="42">
        <f t="shared" si="37"/>
        <v>0</v>
      </c>
      <c r="R221" s="15">
        <v>-1</v>
      </c>
      <c r="S221" s="15">
        <v>-1</v>
      </c>
      <c r="T221" s="15">
        <v>-0.996</v>
      </c>
      <c r="U221" s="15">
        <v>-1</v>
      </c>
      <c r="V221" s="15">
        <v>-1</v>
      </c>
      <c r="W221" s="15">
        <v>-1</v>
      </c>
      <c r="X221" s="15">
        <v>-1</v>
      </c>
      <c r="Y221" s="15">
        <v>-1</v>
      </c>
      <c r="Z221" s="15">
        <v>-1</v>
      </c>
      <c r="AA221" s="15">
        <v>-1</v>
      </c>
      <c r="AB221" s="15">
        <v>-1</v>
      </c>
      <c r="AC221" s="15">
        <v>-1</v>
      </c>
      <c r="AD221" s="15">
        <v>-1</v>
      </c>
      <c r="AE221" s="14">
        <v>-0.86499999999999999</v>
      </c>
      <c r="AF221" s="15">
        <v>-0.73199999999999998</v>
      </c>
      <c r="AG221" s="15">
        <v>-1</v>
      </c>
      <c r="AH221" s="15">
        <v>-0.23499999999999999</v>
      </c>
      <c r="AI221" s="15">
        <v>-0.46200000000000002</v>
      </c>
      <c r="AJ221" s="16">
        <v>-0.68700000000000006</v>
      </c>
      <c r="AK221" s="4">
        <v>-0.38800000000000001</v>
      </c>
      <c r="AL221" s="4">
        <v>-1</v>
      </c>
      <c r="AM221" s="4">
        <v>-0.39300000000000002</v>
      </c>
      <c r="AN221" s="4">
        <v>-0.69399999999999995</v>
      </c>
      <c r="AO221" s="4">
        <v>-0.47299999999999998</v>
      </c>
      <c r="AP221" s="4">
        <v>-0.80800000000000005</v>
      </c>
      <c r="AQ221" s="4">
        <v>-0.46700000000000003</v>
      </c>
      <c r="AR221" s="4">
        <v>-0.77200000000000002</v>
      </c>
      <c r="AS221" s="4">
        <v>-0.28399999999999997</v>
      </c>
      <c r="AT221" s="4">
        <v>-0.66100000000000003</v>
      </c>
      <c r="AU221" s="4">
        <v>-0.63100000000000001</v>
      </c>
      <c r="AV221" s="4">
        <v>-0.69099999999999995</v>
      </c>
      <c r="AW221" s="4">
        <v>-0.60699999999999998</v>
      </c>
      <c r="AX221" s="4">
        <v>-1</v>
      </c>
      <c r="AY221" s="4">
        <v>-0.18099999999999999</v>
      </c>
      <c r="AZ221" s="4">
        <v>-0.879</v>
      </c>
      <c r="BA221" s="4">
        <v>7.0999999999999994E-2</v>
      </c>
      <c r="BB221" s="4">
        <v>0.97899999999999998</v>
      </c>
      <c r="BC221" s="4">
        <v>0.54300000000000004</v>
      </c>
      <c r="BD221" s="4">
        <v>0.21199999999999999</v>
      </c>
      <c r="BE221" s="4">
        <v>1</v>
      </c>
      <c r="BF221" s="4">
        <v>-1</v>
      </c>
      <c r="BG221" s="4">
        <v>-1</v>
      </c>
      <c r="BH221" s="4">
        <v>0.96799999999999997</v>
      </c>
      <c r="BI221" s="4">
        <v>0.187</v>
      </c>
      <c r="BJ221" s="4">
        <v>0.33800000000000002</v>
      </c>
      <c r="BK221" s="4">
        <v>0.53800000000000003</v>
      </c>
      <c r="BL221" s="4"/>
      <c r="BM221" s="4">
        <f t="shared" si="38"/>
        <v>-0.99982959999999976</v>
      </c>
    </row>
    <row r="222" spans="1:65" ht="15" thickBot="1" x14ac:dyDescent="0.35">
      <c r="A222" t="s">
        <v>268</v>
      </c>
      <c r="B222" s="53">
        <f t="shared" si="31"/>
        <v>0</v>
      </c>
      <c r="C222" s="53">
        <f t="shared" si="32"/>
        <v>0</v>
      </c>
      <c r="D222" s="53">
        <f t="shared" si="33"/>
        <v>0</v>
      </c>
      <c r="E222" s="53">
        <f t="shared" si="34"/>
        <v>0</v>
      </c>
      <c r="F222" s="15">
        <v>0.46800000000000003</v>
      </c>
      <c r="G222">
        <v>0.32900000000000001</v>
      </c>
      <c r="H222" t="s">
        <v>71</v>
      </c>
      <c r="I222" t="str">
        <f>VLOOKUP(A222,Planilha6!$BL$9:$BN$222,2,0)</f>
        <v>basic_materials</v>
      </c>
      <c r="J222" t="str">
        <f>VLOOKUP(A222,Planilha6!$BL$9:$BN$222,3,0)</f>
        <v>very_high_beta</v>
      </c>
      <c r="K222" s="43">
        <v>0</v>
      </c>
      <c r="L222" s="44">
        <v>0</v>
      </c>
      <c r="M222" s="43">
        <f>VLOOKUP(A222,'Mandato Ibov'!$B$1:$C$215,2,0)</f>
        <v>0</v>
      </c>
      <c r="N222" s="60">
        <f t="shared" si="35"/>
        <v>0</v>
      </c>
      <c r="O222" s="44">
        <f t="shared" si="36"/>
        <v>0</v>
      </c>
      <c r="P222" s="60">
        <f>VLOOKUP(A222,'Mandato Ibov'!$B$2:$D$215,3,0)</f>
        <v>0</v>
      </c>
      <c r="Q222" s="44">
        <f t="shared" si="37"/>
        <v>0</v>
      </c>
      <c r="R222" s="15">
        <v>-0.97</v>
      </c>
      <c r="S222" s="15">
        <v>-1</v>
      </c>
      <c r="T222" s="15">
        <v>-0.91300000000000003</v>
      </c>
      <c r="U222" s="15">
        <v>-0.997</v>
      </c>
      <c r="V222" s="15">
        <v>-0.998</v>
      </c>
      <c r="W222" s="15">
        <v>-0.99299999999999999</v>
      </c>
      <c r="X222" s="15">
        <v>-1</v>
      </c>
      <c r="Y222" s="15">
        <v>-1</v>
      </c>
      <c r="Z222" s="15">
        <v>-1</v>
      </c>
      <c r="AA222" s="15">
        <v>-1</v>
      </c>
      <c r="AB222" s="15">
        <v>-1</v>
      </c>
      <c r="AC222" s="15">
        <v>-1</v>
      </c>
      <c r="AD222" s="15">
        <v>-1</v>
      </c>
      <c r="AE222" s="14">
        <v>-0.995</v>
      </c>
      <c r="AF222" s="15">
        <v>-0.871</v>
      </c>
      <c r="AG222" s="15">
        <v>-1</v>
      </c>
      <c r="AH222" s="15">
        <v>-0.505</v>
      </c>
      <c r="AI222" s="15">
        <v>-0.35099999999999998</v>
      </c>
      <c r="AJ222" s="16">
        <v>-0.58299999999999996</v>
      </c>
      <c r="AK222" s="4">
        <v>-0.623</v>
      </c>
      <c r="AL222" s="4">
        <v>-1</v>
      </c>
      <c r="AM222" s="4">
        <v>-0.97299999999999998</v>
      </c>
      <c r="AN222" s="4">
        <v>-8.6999999999999994E-2</v>
      </c>
      <c r="AO222" s="4">
        <v>-0.68799999999999994</v>
      </c>
      <c r="AP222" s="4">
        <v>-0.40500000000000003</v>
      </c>
      <c r="AQ222" s="4">
        <v>-8.3000000000000004E-2</v>
      </c>
      <c r="AR222" s="4">
        <v>0.24199999999999999</v>
      </c>
      <c r="AS222" s="4">
        <v>0.13900000000000001</v>
      </c>
      <c r="AT222" s="4">
        <v>-0.77400000000000002</v>
      </c>
      <c r="AU222" s="4">
        <v>-0.83499999999999996</v>
      </c>
      <c r="AV222" s="4">
        <v>-0.52500000000000002</v>
      </c>
      <c r="AW222" s="4">
        <v>-0.50600000000000001</v>
      </c>
      <c r="AX222" s="4">
        <v>-0.68300000000000005</v>
      </c>
      <c r="AY222" s="4">
        <v>-0.443</v>
      </c>
      <c r="AZ222" s="4">
        <v>-0.35299999999999998</v>
      </c>
      <c r="BA222" s="4">
        <v>0.46400000000000002</v>
      </c>
      <c r="BB222" s="4">
        <v>0.93700000000000006</v>
      </c>
      <c r="BC222" s="4">
        <v>0.70799999999999996</v>
      </c>
      <c r="BD222" s="4">
        <v>-0.219</v>
      </c>
      <c r="BE222" s="4">
        <v>-0.70399999999999996</v>
      </c>
      <c r="BF222" s="4">
        <v>-0.98799999999999999</v>
      </c>
      <c r="BG222" s="4">
        <v>-0.95599999999999996</v>
      </c>
      <c r="BH222" s="4">
        <v>1</v>
      </c>
      <c r="BI222" s="4">
        <v>0.19</v>
      </c>
      <c r="BJ222" s="4">
        <v>0.67700000000000005</v>
      </c>
      <c r="BK222" s="4">
        <v>0.90600000000000003</v>
      </c>
      <c r="BL222" s="4"/>
      <c r="BM222" s="4">
        <f t="shared" si="38"/>
        <v>-0.99036239999999975</v>
      </c>
    </row>
    <row r="223" spans="1:65" hidden="1" x14ac:dyDescent="0.3">
      <c r="AE223"/>
      <c r="AJ223"/>
    </row>
    <row r="224" spans="1:65" hidden="1" x14ac:dyDescent="0.3">
      <c r="AE224"/>
      <c r="AJ224"/>
    </row>
    <row r="225" spans="18:36" hidden="1" x14ac:dyDescent="0.3">
      <c r="R225" s="26">
        <v>0.1784</v>
      </c>
      <c r="S225" s="26">
        <v>3.9800000000000002E-2</v>
      </c>
      <c r="T225" s="26">
        <v>4.2599999999999999E-2</v>
      </c>
      <c r="U225" s="26">
        <v>3.6799999999999999E-2</v>
      </c>
      <c r="V225" s="26">
        <v>3.85E-2</v>
      </c>
      <c r="W225" s="26">
        <v>5.6000000000000001E-2</v>
      </c>
      <c r="X225" s="26">
        <v>6.8699999999999997E-2</v>
      </c>
      <c r="Y225" s="109">
        <v>0.1991</v>
      </c>
      <c r="Z225" s="26">
        <v>4.3799999999999999E-2</v>
      </c>
      <c r="AA225" s="26">
        <v>5.1200000000000002E-2</v>
      </c>
      <c r="AB225" s="26">
        <v>4.0800000000000003E-2</v>
      </c>
      <c r="AC225" s="26">
        <v>4.0800000000000003E-2</v>
      </c>
      <c r="AD225" s="26">
        <v>0.16350000000000001</v>
      </c>
      <c r="AE225"/>
      <c r="AJ225"/>
    </row>
    <row r="226" spans="18:36" hidden="1" x14ac:dyDescent="0.3">
      <c r="AE226"/>
      <c r="AJ226"/>
    </row>
    <row r="248" spans="8:15" x14ac:dyDescent="0.3">
      <c r="H248" s="23" t="s">
        <v>308</v>
      </c>
      <c r="I248" t="s">
        <v>329</v>
      </c>
      <c r="J248" t="s">
        <v>330</v>
      </c>
      <c r="K248" t="s">
        <v>754</v>
      </c>
      <c r="L248" t="s">
        <v>310</v>
      </c>
      <c r="M248" t="s">
        <v>325</v>
      </c>
      <c r="N248" t="s">
        <v>326</v>
      </c>
    </row>
    <row r="249" spans="8:15" x14ac:dyDescent="0.3">
      <c r="H249" s="24" t="s">
        <v>55</v>
      </c>
      <c r="I249" s="26">
        <v>0.22850000000000001</v>
      </c>
      <c r="J249" s="26">
        <v>4.4999999999999832E-3</v>
      </c>
      <c r="K249" s="26">
        <v>0.255</v>
      </c>
      <c r="L249" s="26">
        <v>3.1000000000000007E-2</v>
      </c>
      <c r="M249" s="26">
        <v>0.23084228884994176</v>
      </c>
      <c r="N249" s="26">
        <v>0.36791703822579475</v>
      </c>
      <c r="O249" s="26"/>
    </row>
    <row r="250" spans="8:15" x14ac:dyDescent="0.3">
      <c r="H250" s="25" t="s">
        <v>295</v>
      </c>
      <c r="I250" s="26">
        <v>4.2000000000000003E-2</v>
      </c>
      <c r="J250" s="26">
        <v>3.0000000000000002E-2</v>
      </c>
      <c r="K250" s="26">
        <v>4.2000000000000003E-2</v>
      </c>
      <c r="L250" s="26">
        <v>3.0000000000000002E-2</v>
      </c>
      <c r="M250" s="26">
        <v>5.1733471818672293E-2</v>
      </c>
      <c r="N250" s="26">
        <v>3.647266375550718E-2</v>
      </c>
      <c r="O250" s="26"/>
    </row>
    <row r="251" spans="8:15" x14ac:dyDescent="0.3">
      <c r="H251" s="25" t="s">
        <v>302</v>
      </c>
      <c r="I251" s="26">
        <v>4.7E-2</v>
      </c>
      <c r="J251" s="26">
        <v>2.8999999999999998E-2</v>
      </c>
      <c r="K251" s="26">
        <v>4.7E-2</v>
      </c>
      <c r="L251" s="26">
        <v>2.8999999999999998E-2</v>
      </c>
      <c r="M251" s="26">
        <v>6.7403946151741195E-2</v>
      </c>
      <c r="N251" s="26">
        <v>5.2120984658782399E-2</v>
      </c>
      <c r="O251" s="26"/>
    </row>
    <row r="252" spans="8:15" x14ac:dyDescent="0.3">
      <c r="H252" s="25" t="s">
        <v>285</v>
      </c>
      <c r="I252" s="26">
        <v>0</v>
      </c>
      <c r="J252" s="26">
        <v>-6.0000000000000001E-3</v>
      </c>
      <c r="K252" s="26">
        <v>0</v>
      </c>
      <c r="L252" s="26">
        <v>-6.0000000000000001E-3</v>
      </c>
      <c r="M252" s="26">
        <v>0</v>
      </c>
      <c r="N252" s="26">
        <v>6.7889261017899799E-3</v>
      </c>
      <c r="O252" s="26"/>
    </row>
    <row r="253" spans="8:15" x14ac:dyDescent="0.3">
      <c r="H253" s="25" t="s">
        <v>280</v>
      </c>
      <c r="I253" s="26">
        <v>0.13950000000000001</v>
      </c>
      <c r="J253" s="26">
        <v>-4.8500000000000015E-2</v>
      </c>
      <c r="K253" s="26">
        <v>0.16599999999999998</v>
      </c>
      <c r="L253" s="26">
        <v>-2.1999999999999992E-2</v>
      </c>
      <c r="M253" s="26">
        <v>0.11170487087952827</v>
      </c>
      <c r="N253" s="26">
        <v>0.27253446370971518</v>
      </c>
      <c r="O253" s="26"/>
    </row>
    <row r="254" spans="8:15" x14ac:dyDescent="0.3">
      <c r="H254" s="24" t="s">
        <v>71</v>
      </c>
      <c r="I254" s="26">
        <v>0.20400000000000001</v>
      </c>
      <c r="J254" s="26">
        <v>-0.1</v>
      </c>
      <c r="K254" s="26">
        <v>0.15400000000000003</v>
      </c>
      <c r="L254" s="26">
        <v>-0.15000000000000002</v>
      </c>
      <c r="M254" s="26">
        <v>0.17784950948471687</v>
      </c>
      <c r="N254" s="26">
        <v>0.14028350743651774</v>
      </c>
      <c r="O254" s="26"/>
    </row>
    <row r="255" spans="8:15" x14ac:dyDescent="0.3">
      <c r="H255" s="25" t="s">
        <v>284</v>
      </c>
      <c r="I255" s="26">
        <v>7.0000000000000007E-2</v>
      </c>
      <c r="J255" s="26">
        <v>-7.8E-2</v>
      </c>
      <c r="K255" s="26">
        <v>7.1000000000000008E-2</v>
      </c>
      <c r="L255" s="26">
        <v>-7.6999999999999999E-2</v>
      </c>
      <c r="M255" s="26">
        <v>2.1142980258643199E-2</v>
      </c>
      <c r="N255" s="26">
        <v>0</v>
      </c>
      <c r="O255" s="26"/>
    </row>
    <row r="256" spans="8:15" x14ac:dyDescent="0.3">
      <c r="H256" s="25" t="s">
        <v>300</v>
      </c>
      <c r="I256" s="26">
        <v>0.13400000000000001</v>
      </c>
      <c r="J256" s="26">
        <v>-1.3999999999999992E-2</v>
      </c>
      <c r="K256" s="26">
        <v>8.3000000000000004E-2</v>
      </c>
      <c r="L256" s="26">
        <v>-6.5000000000000002E-2</v>
      </c>
      <c r="M256" s="26">
        <v>0.15670652922607367</v>
      </c>
      <c r="N256" s="26">
        <v>0.14028350743651774</v>
      </c>
      <c r="O256" s="26"/>
    </row>
    <row r="257" spans="8:15" x14ac:dyDescent="0.3">
      <c r="H257" s="25" t="s">
        <v>292</v>
      </c>
      <c r="I257" s="26">
        <v>0</v>
      </c>
      <c r="J257" s="26">
        <v>-8.0000000000000002E-3</v>
      </c>
      <c r="K257" s="26">
        <v>0</v>
      </c>
      <c r="L257" s="26">
        <v>-8.0000000000000002E-3</v>
      </c>
      <c r="M257" s="26">
        <v>0</v>
      </c>
      <c r="N257" s="26">
        <v>0</v>
      </c>
      <c r="O257" s="26"/>
    </row>
    <row r="258" spans="8:15" x14ac:dyDescent="0.3">
      <c r="H258" s="24" t="s">
        <v>53</v>
      </c>
      <c r="I258" s="26">
        <v>0.10800000000000001</v>
      </c>
      <c r="J258" s="26">
        <v>2.6000000000000006E-2</v>
      </c>
      <c r="K258" s="26">
        <v>0.10600000000000001</v>
      </c>
      <c r="L258" s="26">
        <v>2.4000000000000004E-2</v>
      </c>
      <c r="M258" s="26">
        <v>0.13271674395811525</v>
      </c>
      <c r="N258" s="26">
        <v>0.10608654097290673</v>
      </c>
      <c r="O258" s="26"/>
    </row>
    <row r="259" spans="8:15" x14ac:dyDescent="0.3">
      <c r="H259" s="25" t="s">
        <v>288</v>
      </c>
      <c r="I259" s="26">
        <v>2.7000000000000003E-2</v>
      </c>
      <c r="J259" s="26">
        <v>-3.9999999999999983E-3</v>
      </c>
      <c r="K259" s="26">
        <v>2.5000000000000001E-2</v>
      </c>
      <c r="L259" s="26">
        <v>-6.0000000000000001E-3</v>
      </c>
      <c r="M259" s="26">
        <v>5.031293374320564E-2</v>
      </c>
      <c r="N259" s="26">
        <v>3.4187506051222102E-2</v>
      </c>
      <c r="O259" s="26"/>
    </row>
    <row r="260" spans="8:15" x14ac:dyDescent="0.3">
      <c r="H260" s="25" t="s">
        <v>299</v>
      </c>
      <c r="I260" s="26">
        <v>1.4E-2</v>
      </c>
      <c r="J260" s="26">
        <v>1.4E-2</v>
      </c>
      <c r="K260" s="26">
        <v>1.4E-2</v>
      </c>
      <c r="L260" s="26">
        <v>1.4E-2</v>
      </c>
      <c r="M260" s="26">
        <v>1.46965161702187E-2</v>
      </c>
      <c r="N260" s="26">
        <v>1.05286394974092E-2</v>
      </c>
      <c r="O260" s="26"/>
    </row>
    <row r="261" spans="8:15" x14ac:dyDescent="0.3">
      <c r="H261" s="25" t="s">
        <v>301</v>
      </c>
      <c r="I261" s="26">
        <v>3.3000000000000002E-2</v>
      </c>
      <c r="J261" s="26">
        <v>1.6E-2</v>
      </c>
      <c r="K261" s="26">
        <v>3.3000000000000002E-2</v>
      </c>
      <c r="L261" s="26">
        <v>1.6E-2</v>
      </c>
      <c r="M261" s="26">
        <v>2.5937870587482301E-2</v>
      </c>
      <c r="N261" s="26">
        <v>3.6806597174948497E-2</v>
      </c>
      <c r="O261" s="26"/>
    </row>
    <row r="262" spans="8:15" x14ac:dyDescent="0.3">
      <c r="H262" s="25" t="s">
        <v>290</v>
      </c>
      <c r="I262" s="26">
        <v>3.4000000000000002E-2</v>
      </c>
      <c r="J262" s="26">
        <v>4.3368086899420177E-18</v>
      </c>
      <c r="K262" s="26">
        <v>3.4000000000000002E-2</v>
      </c>
      <c r="L262" s="26">
        <v>4.3368086899420177E-18</v>
      </c>
      <c r="M262" s="26">
        <v>4.1769423457208618E-2</v>
      </c>
      <c r="N262" s="26">
        <v>2.4563798249326932E-2</v>
      </c>
      <c r="O262" s="26"/>
    </row>
    <row r="263" spans="8:15" x14ac:dyDescent="0.3">
      <c r="H263" s="24" t="s">
        <v>68</v>
      </c>
      <c r="I263" s="26">
        <v>5.3000000000000005E-2</v>
      </c>
      <c r="J263" s="26">
        <v>1.0000000000000009E-3</v>
      </c>
      <c r="K263" s="26">
        <v>5.3000000000000005E-2</v>
      </c>
      <c r="L263" s="26">
        <v>1.0000000000000009E-3</v>
      </c>
      <c r="M263" s="26">
        <v>6.66663338636065E-2</v>
      </c>
      <c r="N263" s="26">
        <v>2.5460574206811692E-2</v>
      </c>
      <c r="O263" s="26"/>
    </row>
    <row r="264" spans="8:15" x14ac:dyDescent="0.3">
      <c r="H264" s="25" t="s">
        <v>298</v>
      </c>
      <c r="I264" s="26">
        <v>0</v>
      </c>
      <c r="J264" s="26">
        <v>0</v>
      </c>
      <c r="K264" s="26">
        <v>0</v>
      </c>
      <c r="L264" s="26">
        <v>0</v>
      </c>
      <c r="M264" s="26">
        <v>0</v>
      </c>
      <c r="N264" s="26">
        <v>0</v>
      </c>
      <c r="O264" s="26"/>
    </row>
    <row r="265" spans="8:15" x14ac:dyDescent="0.3">
      <c r="H265" s="25" t="s">
        <v>293</v>
      </c>
      <c r="I265" s="26">
        <v>4.2000000000000003E-2</v>
      </c>
      <c r="J265" s="26">
        <v>-8.9999999999999976E-3</v>
      </c>
      <c r="K265" s="26">
        <v>4.2000000000000003E-2</v>
      </c>
      <c r="L265" s="26">
        <v>-8.9999999999999976E-3</v>
      </c>
      <c r="M265" s="26">
        <v>5.3916111983628404E-2</v>
      </c>
      <c r="N265" s="26">
        <v>2.5460574206811692E-2</v>
      </c>
      <c r="O265" s="26"/>
    </row>
    <row r="266" spans="8:15" x14ac:dyDescent="0.3">
      <c r="H266" s="25" t="s">
        <v>303</v>
      </c>
      <c r="I266" s="26">
        <v>1.0999999999999999E-2</v>
      </c>
      <c r="J266" s="26">
        <v>9.9999999999999985E-3</v>
      </c>
      <c r="K266" s="26">
        <v>1.0999999999999999E-2</v>
      </c>
      <c r="L266" s="26">
        <v>9.9999999999999985E-3</v>
      </c>
      <c r="M266" s="26">
        <v>1.27502218799781E-2</v>
      </c>
      <c r="N266" s="26">
        <v>0</v>
      </c>
      <c r="O266" s="26"/>
    </row>
    <row r="267" spans="8:15" x14ac:dyDescent="0.3">
      <c r="H267" s="24" t="s">
        <v>57</v>
      </c>
      <c r="I267" s="26">
        <v>0.40649999999999997</v>
      </c>
      <c r="J267" s="26">
        <v>6.8500000000000005E-2</v>
      </c>
      <c r="K267" s="26">
        <v>0.434</v>
      </c>
      <c r="L267" s="26">
        <v>9.5999999999999946E-2</v>
      </c>
      <c r="M267" s="26">
        <v>0.39192512384361966</v>
      </c>
      <c r="N267" s="26">
        <v>0.36025233915796911</v>
      </c>
      <c r="O267" s="26"/>
    </row>
    <row r="268" spans="8:15" x14ac:dyDescent="0.3">
      <c r="H268" s="25" t="s">
        <v>289</v>
      </c>
      <c r="I268" s="26">
        <v>5.4999999999999993E-2</v>
      </c>
      <c r="J268" s="26">
        <v>4.5999999999999999E-2</v>
      </c>
      <c r="K268" s="26">
        <v>6.3E-2</v>
      </c>
      <c r="L268" s="26">
        <v>5.3999999999999992E-2</v>
      </c>
      <c r="M268" s="26">
        <v>6.6926283045071061E-2</v>
      </c>
      <c r="N268" s="26">
        <v>3.248004994569554E-2</v>
      </c>
      <c r="O268" s="26"/>
    </row>
    <row r="269" spans="8:15" x14ac:dyDescent="0.3">
      <c r="H269" s="25" t="s">
        <v>286</v>
      </c>
      <c r="I269" s="26">
        <v>0.188</v>
      </c>
      <c r="J269" s="26">
        <v>-3.100000000000001E-2</v>
      </c>
      <c r="K269" s="26">
        <v>0.188</v>
      </c>
      <c r="L269" s="26">
        <v>-3.100000000000001E-2</v>
      </c>
      <c r="M269" s="26">
        <v>0.14513158744359606</v>
      </c>
      <c r="N269" s="26">
        <v>0.19439511689019343</v>
      </c>
      <c r="O269" s="26"/>
    </row>
    <row r="270" spans="8:15" x14ac:dyDescent="0.3">
      <c r="H270" s="25" t="s">
        <v>296</v>
      </c>
      <c r="I270" s="26">
        <v>8.9999999999999993E-3</v>
      </c>
      <c r="J270" s="26">
        <v>8.0000000000000002E-3</v>
      </c>
      <c r="K270" s="26">
        <v>8.0000000000000002E-3</v>
      </c>
      <c r="L270" s="26">
        <v>7.0000000000000001E-3</v>
      </c>
      <c r="M270" s="26">
        <v>1.46965161702187E-2</v>
      </c>
      <c r="N270" s="26">
        <v>1.12224185713198E-2</v>
      </c>
      <c r="O270" s="26"/>
    </row>
    <row r="271" spans="8:15" x14ac:dyDescent="0.3">
      <c r="H271" s="25" t="s">
        <v>278</v>
      </c>
      <c r="I271" s="26">
        <v>0</v>
      </c>
      <c r="J271" s="26">
        <v>-4.9000000000000009E-2</v>
      </c>
      <c r="K271" s="26">
        <v>0</v>
      </c>
      <c r="L271" s="26">
        <v>-4.9000000000000009E-2</v>
      </c>
      <c r="M271" s="26">
        <v>0</v>
      </c>
      <c r="N271" s="26">
        <v>2.2799719561755999E-2</v>
      </c>
      <c r="O271" s="26"/>
    </row>
    <row r="272" spans="8:15" x14ac:dyDescent="0.3">
      <c r="H272" s="25" t="s">
        <v>297</v>
      </c>
      <c r="I272" s="26">
        <v>1.4999999999999999E-2</v>
      </c>
      <c r="J272" s="26">
        <v>1.2E-2</v>
      </c>
      <c r="K272" s="26">
        <v>1.6E-2</v>
      </c>
      <c r="L272" s="26">
        <v>1.3000000000000001E-2</v>
      </c>
      <c r="M272" s="26">
        <v>2.2470986759554001E-2</v>
      </c>
      <c r="N272" s="26">
        <v>1.857195565790604E-2</v>
      </c>
      <c r="O272" s="26"/>
    </row>
    <row r="273" spans="8:15" x14ac:dyDescent="0.3">
      <c r="H273" s="25" t="s">
        <v>299</v>
      </c>
      <c r="I273" s="26">
        <v>0</v>
      </c>
      <c r="J273" s="26">
        <v>-3.5999999999999997E-2</v>
      </c>
      <c r="K273" s="26">
        <v>0</v>
      </c>
      <c r="L273" s="26">
        <v>-3.5999999999999997E-2</v>
      </c>
      <c r="M273" s="26">
        <v>0</v>
      </c>
      <c r="N273" s="26">
        <v>0</v>
      </c>
      <c r="O273" s="26"/>
    </row>
    <row r="274" spans="8:15" x14ac:dyDescent="0.3">
      <c r="H274" s="25" t="s">
        <v>294</v>
      </c>
      <c r="I274" s="26">
        <v>8.8999999999999996E-2</v>
      </c>
      <c r="J274" s="26">
        <v>8.2000000000000017E-2</v>
      </c>
      <c r="K274" s="26">
        <v>0.10099999999999999</v>
      </c>
      <c r="L274" s="26">
        <v>9.3999999999999986E-2</v>
      </c>
      <c r="M274" s="26">
        <v>9.5785574992455963E-2</v>
      </c>
      <c r="N274" s="26">
        <v>5.681133717469046E-2</v>
      </c>
      <c r="O274" s="26"/>
    </row>
    <row r="275" spans="8:15" x14ac:dyDescent="0.3">
      <c r="H275" s="25" t="s">
        <v>291</v>
      </c>
      <c r="I275" s="26">
        <v>5.0500000000000003E-2</v>
      </c>
      <c r="J275" s="26">
        <v>4.4500000000000005E-2</v>
      </c>
      <c r="K275" s="26">
        <v>5.7999999999999996E-2</v>
      </c>
      <c r="L275" s="26">
        <v>5.1999999999999998E-2</v>
      </c>
      <c r="M275" s="26">
        <v>4.6914175432723915E-2</v>
      </c>
      <c r="N275" s="26">
        <v>2.3971741356407832E-2</v>
      </c>
      <c r="O275" s="26"/>
    </row>
    <row r="276" spans="8:15" x14ac:dyDescent="0.3">
      <c r="H276" s="25" t="s">
        <v>285</v>
      </c>
      <c r="I276" s="26">
        <v>0</v>
      </c>
      <c r="J276" s="26">
        <v>-8.0000000000000002E-3</v>
      </c>
      <c r="K276" s="26">
        <v>0</v>
      </c>
      <c r="L276" s="26">
        <v>-8.0000000000000002E-3</v>
      </c>
      <c r="M276" s="26">
        <v>0</v>
      </c>
      <c r="N276" s="26">
        <v>0</v>
      </c>
      <c r="O276" s="26"/>
    </row>
    <row r="277" spans="8:15" x14ac:dyDescent="0.3">
      <c r="H277" s="24" t="s">
        <v>309</v>
      </c>
      <c r="I277" s="26">
        <v>1</v>
      </c>
      <c r="J277" s="26">
        <v>0</v>
      </c>
      <c r="K277" s="26">
        <v>1.0020000000000002</v>
      </c>
      <c r="L277" s="26">
        <v>1.999999999999974E-3</v>
      </c>
      <c r="M277" s="26">
        <v>1.0000000000000002</v>
      </c>
      <c r="N277" s="26">
        <v>0.99999999999999989</v>
      </c>
      <c r="O277" s="26"/>
    </row>
  </sheetData>
  <autoFilter ref="A8:BK226" xr:uid="{00000000-0001-0000-0000-000000000000}">
    <filterColumn colId="8">
      <filters>
        <filter val="basic_materials"/>
      </filters>
    </filterColumn>
    <sortState xmlns:xlrd2="http://schemas.microsoft.com/office/spreadsheetml/2017/richdata2" ref="A9:BK226">
      <sortCondition descending="1" ref="F8:F226"/>
    </sortState>
  </autoFilter>
  <mergeCells count="3">
    <mergeCell ref="R1:AD3"/>
    <mergeCell ref="AE1:AJ3"/>
    <mergeCell ref="AK1:BK3"/>
  </mergeCells>
  <conditionalFormatting sqref="F9:F60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9:F222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6:G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:K222"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:Q22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8:R60">
    <cfRule type="colorScale" priority="15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R9:R222">
    <cfRule type="colorScale" priority="1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R7:BK7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8">
    <cfRule type="colorScale" priority="15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9:S60">
    <cfRule type="colorScale" priority="10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9:S222">
    <cfRule type="colorScale" priority="10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8">
    <cfRule type="colorScale" priority="15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9:T60">
    <cfRule type="colorScale" priority="10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9:T222">
    <cfRule type="colorScale" priority="10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">
    <cfRule type="colorScale" priority="15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9:U60">
    <cfRule type="colorScale" priority="10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9:U222">
    <cfRule type="colorScale" priority="10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8">
    <cfRule type="colorScale" priority="14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9:V60">
    <cfRule type="colorScale" priority="10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9:V222">
    <cfRule type="colorScale" priority="10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8">
    <cfRule type="colorScale" priority="14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9:W60">
    <cfRule type="colorScale" priority="10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9:W222">
    <cfRule type="colorScale" priority="10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8">
    <cfRule type="colorScale" priority="14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9:X60">
    <cfRule type="colorScale" priority="9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9:X222">
    <cfRule type="colorScale" priority="9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8">
    <cfRule type="colorScale" priority="1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9:Y60">
    <cfRule type="colorScale" priority="9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9:Y222">
    <cfRule type="colorScale" priority="9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8">
    <cfRule type="colorScale" priority="14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9:Z60">
    <cfRule type="colorScale" priority="9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9:Z222">
    <cfRule type="colorScale" priority="9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8">
    <cfRule type="colorScale" priority="14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9:AA60">
    <cfRule type="colorScale" priority="9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9:AA222">
    <cfRule type="colorScale" priority="9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8">
    <cfRule type="colorScale" priority="14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9:AB60">
    <cfRule type="colorScale" priority="9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9:AB222">
    <cfRule type="colorScale" priority="9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8">
    <cfRule type="colorScale" priority="14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9:AC60">
    <cfRule type="colorScale" priority="8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9:AC222">
    <cfRule type="colorScale" priority="8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8">
    <cfRule type="colorScale" priority="1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9:AD60">
    <cfRule type="colorScale" priority="8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9:AD222">
    <cfRule type="colorScale" priority="8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8">
    <cfRule type="colorScale" priority="14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9:AE60">
    <cfRule type="colorScale" priority="8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9:AE222">
    <cfRule type="colorScale" priority="8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8">
    <cfRule type="colorScale" priority="1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9:AF60">
    <cfRule type="colorScale" priority="8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9:AF222">
    <cfRule type="colorScale" priority="8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8">
    <cfRule type="colorScale" priority="13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9:AG60">
    <cfRule type="colorScale" priority="8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9:AG222">
    <cfRule type="colorScale" priority="8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8">
    <cfRule type="colorScale" priority="13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9:AH60">
    <cfRule type="colorScale" priority="7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9:AH222">
    <cfRule type="colorScale" priority="7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8">
    <cfRule type="colorScale" priority="13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9:AI60">
    <cfRule type="colorScale" priority="7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9:AI222">
    <cfRule type="colorScale" priority="7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8">
    <cfRule type="colorScale" priority="13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9:AJ60">
    <cfRule type="colorScale" priority="7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9:AJ222">
    <cfRule type="colorScale" priority="7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8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9:AK60">
    <cfRule type="colorScale" priority="7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9:AK222">
    <cfRule type="colorScale" priority="7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8">
    <cfRule type="colorScale" priority="1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9:AL60">
    <cfRule type="colorScale" priority="7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9:AL222">
    <cfRule type="colorScale" priority="7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8">
    <cfRule type="colorScale" priority="1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9:AM60">
    <cfRule type="colorScale" priority="6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9:AM222">
    <cfRule type="colorScale" priority="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8">
    <cfRule type="colorScale" priority="13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9:AN60">
    <cfRule type="colorScale" priority="6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9:AN222">
    <cfRule type="colorScale" priority="6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8">
    <cfRule type="colorScale" priority="13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9:AO60">
    <cfRule type="colorScale" priority="6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9:AO222">
    <cfRule type="colorScale" priority="6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8"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9:AP60">
    <cfRule type="colorScale" priority="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9:AP222">
    <cfRule type="colorScale" priority="6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8">
    <cfRule type="colorScale" priority="1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9:AQ60">
    <cfRule type="colorScale" priority="6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9:AQ222">
    <cfRule type="colorScale" priority="6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8">
    <cfRule type="colorScale" priority="1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9:AR60">
    <cfRule type="colorScale" priority="5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9:AR222">
    <cfRule type="colorScale" priority="5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8">
    <cfRule type="colorScale" priority="1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9:AS60">
    <cfRule type="colorScale" priority="5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9:AS222">
    <cfRule type="colorScale" priority="5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8">
    <cfRule type="colorScale" priority="1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9:AT60">
    <cfRule type="colorScale" priority="5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9:AT222">
    <cfRule type="colorScale" priority="5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8">
    <cfRule type="colorScale" priority="1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9:AU60">
    <cfRule type="colorScale" priority="5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9:AU222">
    <cfRule type="colorScale" priority="5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8">
    <cfRule type="colorScale" priority="1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9:AV60">
    <cfRule type="colorScale" priority="5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9:AV222">
    <cfRule type="colorScale" priority="5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8">
    <cfRule type="colorScale" priority="1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9:AW60">
    <cfRule type="colorScale" priority="4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9:AW222">
    <cfRule type="colorScale" priority="4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8">
    <cfRule type="colorScale" priority="1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9:AX60">
    <cfRule type="colorScale" priority="4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9:AX222">
    <cfRule type="colorScale" priority="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8">
    <cfRule type="colorScale" priority="1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9:AY60">
    <cfRule type="colorScale" priority="4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9:AY222">
    <cfRule type="colorScale" priority="4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8">
    <cfRule type="colorScale" priority="1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9:AZ60">
    <cfRule type="colorScale" priority="4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9:AZ222">
    <cfRule type="colorScale" priority="4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8">
    <cfRule type="colorScale" priority="1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9:BA60">
    <cfRule type="colorScale" priority="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9:BA222">
    <cfRule type="colorScale" priority="4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8">
    <cfRule type="colorScale" priority="1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9:BB60">
    <cfRule type="colorScale" priority="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9:BB222">
    <cfRule type="colorScale" priority="3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8">
    <cfRule type="colorScale" priority="1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9:BC60">
    <cfRule type="colorScale" priority="3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9:BC222">
    <cfRule type="colorScale" priority="3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8">
    <cfRule type="colorScale" priority="1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9:BD60">
    <cfRule type="colorScale" priority="3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9:BD222">
    <cfRule type="colorScale" priority="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8">
    <cfRule type="colorScale" priority="1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9:BE60">
    <cfRule type="colorScale" priority="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9:BE222">
    <cfRule type="colorScale" priority="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8">
    <cfRule type="colorScale" priority="1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9:BF60">
    <cfRule type="colorScale" priority="3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9:BF222">
    <cfRule type="colorScale" priority="3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G8">
    <cfRule type="colorScale" priority="1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G9:BG60">
    <cfRule type="colorScale" priority="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G9:BG222">
    <cfRule type="colorScale" priority="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H9:BH60"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H9:BH222">
    <cfRule type="colorScale" priority="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I9:BI60"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I9:BI222">
    <cfRule type="colorScale" priority="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J9:BJ60">
    <cfRule type="colorScale" priority="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J9:BJ222">
    <cfRule type="colorScale" priority="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K9:BK60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K9:BK222"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L10:BL60 BM9:BM222"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L10:BL222 BM9:BM222">
    <cfRule type="colorScale" priority="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M10:BM60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M10:BM222"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L250:L253 L249 L254 L255:L257 L258 L259:L262 L263 L264:L266 L267 L268:L27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L249:L277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R4:R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BK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E222 C223:C22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J249:J277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3:F5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:BK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84B6D-C004-47CD-AAAC-C0C7A0806A9C}">
  <dimension ref="A1:AK240"/>
  <sheetViews>
    <sheetView zoomScale="85" zoomScaleNormal="85" workbookViewId="0">
      <pane xSplit="3" ySplit="2" topLeftCell="G3" activePane="bottomRight" state="frozen"/>
      <selection pane="topRight" activeCell="D1" sqref="D1"/>
      <selection pane="bottomLeft" activeCell="A3" sqref="A3"/>
      <selection pane="bottomRight" activeCell="L14" sqref="L14"/>
    </sheetView>
  </sheetViews>
  <sheetFormatPr defaultRowHeight="14.4" x14ac:dyDescent="0.3"/>
  <cols>
    <col min="1" max="1" width="12.33203125" hidden="1" customWidth="1"/>
    <col min="2" max="2" width="0" hidden="1" customWidth="1"/>
    <col min="12" max="12" width="13.88671875" bestFit="1" customWidth="1"/>
    <col min="16" max="16" width="13.88671875" customWidth="1"/>
    <col min="17" max="17" width="10.33203125" bestFit="1" customWidth="1"/>
    <col min="18" max="18" width="13.88671875" bestFit="1" customWidth="1"/>
    <col min="19" max="19" width="13.88671875" customWidth="1"/>
    <col min="20" max="20" width="13.88671875" bestFit="1" customWidth="1"/>
    <col min="21" max="21" width="10.33203125" bestFit="1" customWidth="1"/>
    <col min="22" max="22" width="10.33203125" customWidth="1"/>
    <col min="23" max="23" width="13.88671875" bestFit="1" customWidth="1"/>
    <col min="24" max="24" width="11.33203125" bestFit="1" customWidth="1"/>
  </cols>
  <sheetData>
    <row r="1" spans="1:37" x14ac:dyDescent="0.3">
      <c r="L1" s="65">
        <f ca="1">SUM(L3:L95)</f>
        <v>26109508.695186578</v>
      </c>
      <c r="R1" s="65"/>
      <c r="S1" s="65"/>
      <c r="T1" s="65">
        <f ca="1">SUM(T3:T95)</f>
        <v>26050660</v>
      </c>
      <c r="U1" s="73">
        <f ca="1">T1-L1</f>
        <v>-58848.695186577737</v>
      </c>
      <c r="V1" s="76" t="s">
        <v>531</v>
      </c>
      <c r="W1" s="65">
        <f ca="1">SUM(W3:W95)</f>
        <v>26311337.000192549</v>
      </c>
      <c r="X1" s="73">
        <f ca="1">W1-T1</f>
        <v>260677.00019254908</v>
      </c>
    </row>
    <row r="2" spans="1:37" x14ac:dyDescent="0.3">
      <c r="A2" t="s">
        <v>334</v>
      </c>
      <c r="B2" t="s">
        <v>335</v>
      </c>
      <c r="C2" t="s">
        <v>336</v>
      </c>
      <c r="D2" t="s">
        <v>337</v>
      </c>
      <c r="E2" t="s">
        <v>338</v>
      </c>
      <c r="F2" t="s">
        <v>339</v>
      </c>
      <c r="G2" t="s">
        <v>340</v>
      </c>
      <c r="H2" t="s">
        <v>341</v>
      </c>
      <c r="I2" s="28" t="s">
        <v>423</v>
      </c>
      <c r="J2" s="28" t="s">
        <v>424</v>
      </c>
      <c r="K2" s="28" t="s">
        <v>420</v>
      </c>
      <c r="L2" s="28" t="s">
        <v>520</v>
      </c>
      <c r="M2" s="28" t="s">
        <v>521</v>
      </c>
      <c r="N2" s="28" t="s">
        <v>522</v>
      </c>
      <c r="O2" s="28" t="s">
        <v>523</v>
      </c>
      <c r="P2" s="28" t="s">
        <v>524</v>
      </c>
      <c r="Q2" s="28" t="s">
        <v>525</v>
      </c>
      <c r="R2" s="28" t="s">
        <v>526</v>
      </c>
      <c r="S2" s="28"/>
      <c r="X2" s="28" t="s">
        <v>532</v>
      </c>
      <c r="Y2" s="28" t="s">
        <v>533</v>
      </c>
      <c r="Z2" s="28"/>
      <c r="AA2" s="28" t="s">
        <v>534</v>
      </c>
      <c r="AB2" s="28"/>
      <c r="AC2" s="28"/>
      <c r="AD2" s="28"/>
    </row>
    <row r="3" spans="1:37" x14ac:dyDescent="0.3">
      <c r="A3" s="64">
        <v>46128</v>
      </c>
      <c r="B3">
        <v>29</v>
      </c>
      <c r="C3" t="s">
        <v>83</v>
      </c>
      <c r="D3" t="s">
        <v>342</v>
      </c>
      <c r="E3" t="s">
        <v>343</v>
      </c>
      <c r="F3">
        <v>44400</v>
      </c>
      <c r="G3">
        <v>300</v>
      </c>
      <c r="H3">
        <v>44700</v>
      </c>
      <c r="I3">
        <f ca="1">SUMIF($E$108:$H$127,C3,$H$108:$H$127)</f>
        <v>1500</v>
      </c>
      <c r="J3">
        <f ca="1">I3+H3</f>
        <v>46200</v>
      </c>
      <c r="K3">
        <f>VLOOKUP(C3,$L$138:$M$230,2,0)</f>
        <v>15.43</v>
      </c>
      <c r="L3">
        <f ca="1">K3*J3</f>
        <v>712866</v>
      </c>
      <c r="M3" s="62">
        <f ca="1">L3/SUM($L$3:$L$95)</f>
        <v>2.7302926620423943E-2</v>
      </c>
      <c r="N3" s="62">
        <f>IFERROR(VLOOKUP(C3,'[1]pesos FIA'!$E$2:$F$74,2,0),0)</f>
        <v>1.4424500000000002E-2</v>
      </c>
      <c r="O3" s="26">
        <f ca="1">M3-N3</f>
        <v>1.2878426620423941E-2</v>
      </c>
      <c r="P3" s="73">
        <f ca="1">N3*$L$1</f>
        <v>376616.60817371885</v>
      </c>
      <c r="Q3" s="73">
        <f ca="1">ROUND(P3/K3/100,0)*100</f>
        <v>24400</v>
      </c>
      <c r="R3" s="73">
        <f ca="1">(Q3-J3)</f>
        <v>-21800</v>
      </c>
      <c r="S3" s="73">
        <f ca="1">IF(R3+H3&lt;0,1,0)</f>
        <v>0</v>
      </c>
      <c r="T3" s="73">
        <f ca="1">(R3+J3)*K3</f>
        <v>376492</v>
      </c>
      <c r="V3" s="65">
        <f ca="1">J3+VLOOKUP(C3,$AH$3:$AJ$95,3,0)</f>
        <v>24600</v>
      </c>
      <c r="W3" s="73">
        <f ca="1">V3*K3</f>
        <v>379578</v>
      </c>
      <c r="X3" s="62">
        <f ca="1">W3/SUM($W$3:$W$95)</f>
        <v>1.4426404861038503E-2</v>
      </c>
      <c r="Y3" s="26">
        <f ca="1">X3-N3</f>
        <v>1.9048610385014042E-6</v>
      </c>
      <c r="AA3">
        <f>VLOOKUP(C3,$AH$3:$AJ$95,3,0)+H3</f>
        <v>23100</v>
      </c>
      <c r="AE3" s="74">
        <v>29</v>
      </c>
      <c r="AF3" s="74" t="s">
        <v>527</v>
      </c>
      <c r="AG3" s="74" t="s">
        <v>528</v>
      </c>
      <c r="AH3" s="75" t="s">
        <v>139</v>
      </c>
      <c r="AI3" s="77">
        <v>12100</v>
      </c>
      <c r="AJ3" s="74">
        <f>IF(AG3="VENDA",-AI3,AI3)</f>
        <v>-12100</v>
      </c>
      <c r="AK3" s="74"/>
    </row>
    <row r="4" spans="1:37" x14ac:dyDescent="0.3">
      <c r="A4" s="64">
        <v>46128</v>
      </c>
      <c r="B4">
        <v>29</v>
      </c>
      <c r="C4" t="s">
        <v>59</v>
      </c>
      <c r="D4" t="s">
        <v>344</v>
      </c>
      <c r="E4" t="s">
        <v>343</v>
      </c>
      <c r="F4">
        <v>38300</v>
      </c>
      <c r="G4">
        <v>200</v>
      </c>
      <c r="H4">
        <v>38500</v>
      </c>
      <c r="I4">
        <f t="shared" ref="I4:I67" ca="1" si="0">SUMIF($E$108:$H$127,C4,$H$108:$H$127)</f>
        <v>0</v>
      </c>
      <c r="J4">
        <f t="shared" ref="J4:J67" ca="1" si="1">I4+H4</f>
        <v>38500</v>
      </c>
      <c r="K4">
        <f>VLOOKUP(C4,$L$138:$M$230,2,0)</f>
        <v>6.69</v>
      </c>
      <c r="L4">
        <f t="shared" ref="L4:L67" ca="1" si="2">K4*J4</f>
        <v>257565.00000000003</v>
      </c>
      <c r="M4" s="62">
        <f t="shared" ref="M4:M67" ca="1" si="3">L4/SUM($L$3:$L$95)</f>
        <v>9.8647968832704797E-3</v>
      </c>
      <c r="N4" s="62">
        <f>IFERROR(VLOOKUP(C4,'[1]pesos FIA'!$E$2:$F$74,2,0),0)</f>
        <v>7.6365000000000001E-3</v>
      </c>
      <c r="O4" s="26">
        <f t="shared" ref="O4:O67" ca="1" si="4">M4-N4</f>
        <v>2.2282968832704796E-3</v>
      </c>
      <c r="P4" s="73">
        <f t="shared" ref="P4:P67" ca="1" si="5">N4*$L$1</f>
        <v>199385.26315079231</v>
      </c>
      <c r="Q4" s="73">
        <f t="shared" ref="Q4:Q67" ca="1" si="6">ROUND(P4/K4/100,0)*100</f>
        <v>29800</v>
      </c>
      <c r="R4" s="73">
        <f t="shared" ref="R4:R67" ca="1" si="7">(Q4-J4)</f>
        <v>-8700</v>
      </c>
      <c r="S4" s="73">
        <f t="shared" ref="S4:S67" ca="1" si="8">IF(R4+H4&lt;0,1,0)</f>
        <v>0</v>
      </c>
      <c r="T4" s="73">
        <f t="shared" ref="T4:T67" ca="1" si="9">(R4+J4)*K4</f>
        <v>199362</v>
      </c>
      <c r="V4" s="65">
        <f t="shared" ref="V4:V67" ca="1" si="10">J4+VLOOKUP(C4,$AH$3:$AJ$95,3,0)</f>
        <v>29600</v>
      </c>
      <c r="W4" s="73">
        <f t="shared" ref="W4:W67" ca="1" si="11">V4*K4</f>
        <v>198024</v>
      </c>
      <c r="X4" s="62">
        <f t="shared" ref="X4:X67" ca="1" si="12">W4/SUM($W$3:$W$95)</f>
        <v>7.5261853853550217E-3</v>
      </c>
      <c r="Y4" s="26">
        <f t="shared" ref="Y4:Y67" ca="1" si="13">X4-N4</f>
        <v>-1.1031461464497839E-4</v>
      </c>
      <c r="AA4">
        <f t="shared" ref="AA4:AA67" si="14">VLOOKUP(C4,$AH$3:$AJ$95,3,0)+H4</f>
        <v>29600</v>
      </c>
      <c r="AE4" s="74">
        <v>29</v>
      </c>
      <c r="AF4" s="74" t="s">
        <v>527</v>
      </c>
      <c r="AG4" s="74" t="s">
        <v>528</v>
      </c>
      <c r="AH4" s="75" t="s">
        <v>129</v>
      </c>
      <c r="AI4" s="77">
        <v>37000</v>
      </c>
      <c r="AJ4" s="74">
        <f t="shared" ref="AJ4:AJ67" si="15">IF(AG4="VENDA",-AI4,AI4)</f>
        <v>-37000</v>
      </c>
      <c r="AK4" s="74"/>
    </row>
    <row r="5" spans="1:37" x14ac:dyDescent="0.3">
      <c r="A5" s="64">
        <v>46128</v>
      </c>
      <c r="B5">
        <v>29</v>
      </c>
      <c r="C5" t="s">
        <v>93</v>
      </c>
      <c r="D5" t="s">
        <v>345</v>
      </c>
      <c r="E5" t="s">
        <v>343</v>
      </c>
      <c r="F5">
        <v>6000</v>
      </c>
      <c r="G5">
        <v>0</v>
      </c>
      <c r="H5">
        <v>6000</v>
      </c>
      <c r="I5">
        <f t="shared" ca="1" si="0"/>
        <v>0</v>
      </c>
      <c r="J5">
        <f t="shared" ca="1" si="1"/>
        <v>6000</v>
      </c>
      <c r="K5">
        <v>33.270000000000003</v>
      </c>
      <c r="L5">
        <f t="shared" ca="1" si="2"/>
        <v>199620.00000000003</v>
      </c>
      <c r="M5" s="62">
        <f t="shared" ca="1" si="3"/>
        <v>7.6454904736220101E-3</v>
      </c>
      <c r="N5" s="62">
        <f>IFERROR(VLOOKUP(C5,'[1]pesos FIA'!$E$2:$F$74,2,0),0)</f>
        <v>1.3576000000000001E-2</v>
      </c>
      <c r="O5" s="26">
        <f t="shared" ca="1" si="4"/>
        <v>-5.9305095263779911E-3</v>
      </c>
      <c r="P5" s="73">
        <f t="shared" ca="1" si="5"/>
        <v>354462.69004585303</v>
      </c>
      <c r="Q5" s="73">
        <f t="shared" ca="1" si="6"/>
        <v>10700</v>
      </c>
      <c r="R5" s="73">
        <f t="shared" ca="1" si="7"/>
        <v>4700</v>
      </c>
      <c r="S5" s="73">
        <f t="shared" ca="1" si="8"/>
        <v>0</v>
      </c>
      <c r="T5" s="73">
        <f t="shared" ca="1" si="9"/>
        <v>355989.00000000006</v>
      </c>
      <c r="V5" s="65">
        <f t="shared" ca="1" si="10"/>
        <v>9900</v>
      </c>
      <c r="W5" s="73">
        <f t="shared" ca="1" si="11"/>
        <v>329373.00000000006</v>
      </c>
      <c r="X5" s="62">
        <f t="shared" ca="1" si="12"/>
        <v>1.2518292019808407E-2</v>
      </c>
      <c r="Y5" s="26">
        <f t="shared" ca="1" si="13"/>
        <v>-1.0577079801915943E-3</v>
      </c>
      <c r="AA5">
        <f t="shared" si="14"/>
        <v>9900</v>
      </c>
      <c r="AE5" s="74">
        <v>29</v>
      </c>
      <c r="AF5" s="74" t="s">
        <v>527</v>
      </c>
      <c r="AG5" s="74" t="s">
        <v>528</v>
      </c>
      <c r="AH5" s="75" t="s">
        <v>192</v>
      </c>
      <c r="AI5" s="77">
        <v>10500</v>
      </c>
      <c r="AJ5" s="74">
        <f t="shared" si="15"/>
        <v>-10500</v>
      </c>
      <c r="AK5" s="74"/>
    </row>
    <row r="6" spans="1:37" x14ac:dyDescent="0.3">
      <c r="A6" s="64">
        <v>46128</v>
      </c>
      <c r="B6">
        <v>29</v>
      </c>
      <c r="C6" t="s">
        <v>72</v>
      </c>
      <c r="D6" t="s">
        <v>346</v>
      </c>
      <c r="E6" t="s">
        <v>343</v>
      </c>
      <c r="F6">
        <v>3800</v>
      </c>
      <c r="G6">
        <v>0</v>
      </c>
      <c r="H6">
        <v>3800</v>
      </c>
      <c r="I6">
        <f t="shared" ca="1" si="0"/>
        <v>0</v>
      </c>
      <c r="J6">
        <f t="shared" ca="1" si="1"/>
        <v>3800</v>
      </c>
      <c r="K6">
        <f t="shared" ref="K6:K37" si="16">VLOOKUP(C6,$L$138:$M$230,2,0)</f>
        <v>12.24</v>
      </c>
      <c r="L6">
        <f t="shared" ca="1" si="2"/>
        <v>46512</v>
      </c>
      <c r="M6" s="62">
        <f t="shared" ca="1" si="3"/>
        <v>1.7814199624742355E-3</v>
      </c>
      <c r="N6" s="62">
        <f>IFERROR(VLOOKUP(C6,'[1]pesos FIA'!$E$2:$F$74,2,0),0)</f>
        <v>7.6365000000000001E-3</v>
      </c>
      <c r="O6" s="26">
        <f t="shared" ca="1" si="4"/>
        <v>-5.8550800375257641E-3</v>
      </c>
      <c r="P6" s="73">
        <f t="shared" ca="1" si="5"/>
        <v>199385.26315079231</v>
      </c>
      <c r="Q6" s="73">
        <f t="shared" ca="1" si="6"/>
        <v>16300</v>
      </c>
      <c r="R6" s="73">
        <f t="shared" ca="1" si="7"/>
        <v>12500</v>
      </c>
      <c r="S6" s="73">
        <f t="shared" ca="1" si="8"/>
        <v>0</v>
      </c>
      <c r="T6" s="73">
        <f t="shared" ca="1" si="9"/>
        <v>199512</v>
      </c>
      <c r="V6" s="65">
        <f t="shared" ca="1" si="10"/>
        <v>14100</v>
      </c>
      <c r="W6" s="73">
        <f t="shared" ca="1" si="11"/>
        <v>172584</v>
      </c>
      <c r="X6" s="62">
        <f t="shared" ca="1" si="12"/>
        <v>6.5593017944598183E-3</v>
      </c>
      <c r="Y6" s="26">
        <f t="shared" ca="1" si="13"/>
        <v>-1.0771982055401818E-3</v>
      </c>
      <c r="AA6">
        <f t="shared" si="14"/>
        <v>14100</v>
      </c>
      <c r="AE6" s="74">
        <v>29</v>
      </c>
      <c r="AF6" s="74" t="s">
        <v>527</v>
      </c>
      <c r="AG6" s="74" t="s">
        <v>528</v>
      </c>
      <c r="AH6" s="75" t="s">
        <v>155</v>
      </c>
      <c r="AI6" s="77">
        <v>9400</v>
      </c>
      <c r="AJ6" s="74">
        <f t="shared" si="15"/>
        <v>-9400</v>
      </c>
      <c r="AK6" s="74"/>
    </row>
    <row r="7" spans="1:37" x14ac:dyDescent="0.3">
      <c r="A7" s="64">
        <v>46128</v>
      </c>
      <c r="B7">
        <v>29</v>
      </c>
      <c r="C7" t="s">
        <v>210</v>
      </c>
      <c r="D7" t="s">
        <v>347</v>
      </c>
      <c r="E7" t="s">
        <v>343</v>
      </c>
      <c r="F7">
        <v>11400</v>
      </c>
      <c r="G7">
        <v>0</v>
      </c>
      <c r="H7">
        <v>11400</v>
      </c>
      <c r="I7">
        <f t="shared" ca="1" si="0"/>
        <v>0</v>
      </c>
      <c r="J7">
        <f t="shared" ca="1" si="1"/>
        <v>11400</v>
      </c>
      <c r="K7">
        <f t="shared" si="16"/>
        <v>65.56</v>
      </c>
      <c r="L7">
        <f t="shared" ca="1" si="2"/>
        <v>747384</v>
      </c>
      <c r="M7" s="62">
        <f t="shared" ca="1" si="3"/>
        <v>2.8624973710737963E-2</v>
      </c>
      <c r="N7" s="62">
        <f>IFERROR(VLOOKUP(C7,'[1]pesos FIA'!$E$2:$F$74,2,0),0)</f>
        <v>0</v>
      </c>
      <c r="O7" s="26">
        <f t="shared" ca="1" si="4"/>
        <v>2.8624973710737963E-2</v>
      </c>
      <c r="P7" s="73">
        <f t="shared" ca="1" si="5"/>
        <v>0</v>
      </c>
      <c r="Q7" s="73">
        <f t="shared" ca="1" si="6"/>
        <v>0</v>
      </c>
      <c r="R7" s="73">
        <f t="shared" ca="1" si="7"/>
        <v>-11400</v>
      </c>
      <c r="S7" s="73">
        <f t="shared" ca="1" si="8"/>
        <v>0</v>
      </c>
      <c r="T7" s="73">
        <f t="shared" ca="1" si="9"/>
        <v>0</v>
      </c>
      <c r="V7" s="65">
        <f t="shared" ca="1" si="10"/>
        <v>0</v>
      </c>
      <c r="W7" s="73">
        <f t="shared" ca="1" si="11"/>
        <v>0</v>
      </c>
      <c r="X7" s="62">
        <f t="shared" ca="1" si="12"/>
        <v>0</v>
      </c>
      <c r="Y7" s="26">
        <f t="shared" ca="1" si="13"/>
        <v>0</v>
      </c>
      <c r="AA7">
        <f t="shared" si="14"/>
        <v>0</v>
      </c>
      <c r="AE7" s="74">
        <v>29</v>
      </c>
      <c r="AF7" s="74" t="s">
        <v>527</v>
      </c>
      <c r="AG7" s="74" t="s">
        <v>528</v>
      </c>
      <c r="AH7" s="75" t="s">
        <v>134</v>
      </c>
      <c r="AI7" s="77">
        <v>25900</v>
      </c>
      <c r="AJ7" s="74">
        <f t="shared" si="15"/>
        <v>-25900</v>
      </c>
      <c r="AK7" s="74"/>
    </row>
    <row r="8" spans="1:37" x14ac:dyDescent="0.3">
      <c r="A8" s="64">
        <v>46128</v>
      </c>
      <c r="B8">
        <v>29</v>
      </c>
      <c r="C8" t="s">
        <v>188</v>
      </c>
      <c r="D8" t="s">
        <v>348</v>
      </c>
      <c r="E8" t="s">
        <v>343</v>
      </c>
      <c r="F8">
        <v>4500</v>
      </c>
      <c r="G8">
        <v>0</v>
      </c>
      <c r="H8">
        <v>4500</v>
      </c>
      <c r="I8">
        <f t="shared" ca="1" si="0"/>
        <v>0</v>
      </c>
      <c r="J8">
        <f t="shared" ca="1" si="1"/>
        <v>4500</v>
      </c>
      <c r="K8">
        <f t="shared" si="16"/>
        <v>71.86</v>
      </c>
      <c r="L8">
        <f t="shared" ca="1" si="2"/>
        <v>323370</v>
      </c>
      <c r="M8" s="62">
        <f t="shared" ca="1" si="3"/>
        <v>1.2385143044059459E-2</v>
      </c>
      <c r="N8" s="62">
        <f>IFERROR(VLOOKUP(C8,'[1]pesos FIA'!$E$2:$F$74,2,0),0)</f>
        <v>1.9515500000000002E-2</v>
      </c>
      <c r="O8" s="26">
        <f t="shared" ca="1" si="4"/>
        <v>-7.1303569559405429E-3</v>
      </c>
      <c r="P8" s="73">
        <f t="shared" ca="1" si="5"/>
        <v>509540.11694091372</v>
      </c>
      <c r="Q8" s="73">
        <f t="shared" ca="1" si="6"/>
        <v>7100</v>
      </c>
      <c r="R8" s="73">
        <f t="shared" ca="1" si="7"/>
        <v>2600</v>
      </c>
      <c r="S8" s="73">
        <f t="shared" ca="1" si="8"/>
        <v>0</v>
      </c>
      <c r="T8" s="73">
        <f t="shared" ca="1" si="9"/>
        <v>510206</v>
      </c>
      <c r="V8" s="65">
        <f t="shared" ca="1" si="10"/>
        <v>6900</v>
      </c>
      <c r="W8" s="73">
        <f t="shared" ca="1" si="11"/>
        <v>495834</v>
      </c>
      <c r="X8" s="62">
        <f t="shared" ca="1" si="12"/>
        <v>1.8844880440563375E-2</v>
      </c>
      <c r="Y8" s="26">
        <f t="shared" ca="1" si="13"/>
        <v>-6.7061955943662627E-4</v>
      </c>
      <c r="AA8">
        <f t="shared" si="14"/>
        <v>6900</v>
      </c>
      <c r="AE8" s="74">
        <v>29</v>
      </c>
      <c r="AF8" s="74" t="s">
        <v>527</v>
      </c>
      <c r="AG8" s="74" t="s">
        <v>528</v>
      </c>
      <c r="AH8" s="75" t="s">
        <v>132</v>
      </c>
      <c r="AI8" s="77">
        <v>25000</v>
      </c>
      <c r="AJ8" s="74">
        <f t="shared" si="15"/>
        <v>-25000</v>
      </c>
      <c r="AK8" s="74"/>
    </row>
    <row r="9" spans="1:37" x14ac:dyDescent="0.3">
      <c r="A9" s="64">
        <v>46128</v>
      </c>
      <c r="B9">
        <v>29</v>
      </c>
      <c r="C9" t="s">
        <v>192</v>
      </c>
      <c r="D9" t="s">
        <v>349</v>
      </c>
      <c r="E9" t="s">
        <v>343</v>
      </c>
      <c r="F9">
        <v>10300</v>
      </c>
      <c r="G9">
        <v>400</v>
      </c>
      <c r="H9">
        <v>10700</v>
      </c>
      <c r="I9">
        <f t="shared" ca="1" si="0"/>
        <v>24000</v>
      </c>
      <c r="J9">
        <f t="shared" ca="1" si="1"/>
        <v>34700</v>
      </c>
      <c r="K9">
        <f t="shared" si="16"/>
        <v>24.28</v>
      </c>
      <c r="L9">
        <f t="shared" ca="1" si="2"/>
        <v>842516</v>
      </c>
      <c r="M9" s="62">
        <f t="shared" ca="1" si="3"/>
        <v>3.2268550505330736E-2</v>
      </c>
      <c r="N9" s="62">
        <f>IFERROR(VLOOKUP(C9,'[1]pesos FIA'!$E$2:$F$74,2,0),0)</f>
        <v>0</v>
      </c>
      <c r="O9" s="26">
        <f t="shared" ca="1" si="4"/>
        <v>3.2268550505330736E-2</v>
      </c>
      <c r="P9" s="73">
        <f t="shared" ca="1" si="5"/>
        <v>0</v>
      </c>
      <c r="Q9" s="73">
        <f t="shared" ca="1" si="6"/>
        <v>0</v>
      </c>
      <c r="R9" s="73">
        <f t="shared" ca="1" si="7"/>
        <v>-34700</v>
      </c>
      <c r="S9" s="73">
        <f t="shared" ca="1" si="8"/>
        <v>1</v>
      </c>
      <c r="T9" s="73">
        <f t="shared" ca="1" si="9"/>
        <v>0</v>
      </c>
      <c r="V9" s="65">
        <f t="shared" ca="1" si="10"/>
        <v>24200</v>
      </c>
      <c r="W9" s="73">
        <f t="shared" ca="1" si="11"/>
        <v>587576</v>
      </c>
      <c r="X9" s="62">
        <f t="shared" ca="1" si="12"/>
        <v>2.2331666383798743E-2</v>
      </c>
      <c r="Y9" s="26">
        <f t="shared" ca="1" si="13"/>
        <v>2.2331666383798743E-2</v>
      </c>
      <c r="AA9">
        <f t="shared" si="14"/>
        <v>200</v>
      </c>
      <c r="AE9" s="74">
        <v>29</v>
      </c>
      <c r="AF9" s="74" t="s">
        <v>527</v>
      </c>
      <c r="AG9" s="74" t="s">
        <v>528</v>
      </c>
      <c r="AH9" s="75" t="s">
        <v>157</v>
      </c>
      <c r="AI9" s="77">
        <v>10800</v>
      </c>
      <c r="AJ9" s="74">
        <f t="shared" si="15"/>
        <v>-10800</v>
      </c>
      <c r="AK9" s="74"/>
    </row>
    <row r="10" spans="1:37" x14ac:dyDescent="0.3">
      <c r="A10" s="64">
        <v>46128</v>
      </c>
      <c r="B10">
        <v>29</v>
      </c>
      <c r="C10" t="s">
        <v>113</v>
      </c>
      <c r="D10" t="s">
        <v>350</v>
      </c>
      <c r="E10" t="s">
        <v>343</v>
      </c>
      <c r="F10">
        <v>32500</v>
      </c>
      <c r="G10">
        <v>0</v>
      </c>
      <c r="H10">
        <v>32500</v>
      </c>
      <c r="I10">
        <f t="shared" ca="1" si="0"/>
        <v>0</v>
      </c>
      <c r="J10">
        <f t="shared" ca="1" si="1"/>
        <v>32500</v>
      </c>
      <c r="K10">
        <f t="shared" si="16"/>
        <v>18.12</v>
      </c>
      <c r="L10">
        <f t="shared" ca="1" si="2"/>
        <v>588900</v>
      </c>
      <c r="M10" s="62">
        <f t="shared" ca="1" si="3"/>
        <v>2.2555001201863548E-2</v>
      </c>
      <c r="N10" s="62">
        <f>IFERROR(VLOOKUP(C10,'[1]pesos FIA'!$E$2:$F$74,2,0),0)</f>
        <v>1.9515500000000002E-2</v>
      </c>
      <c r="O10" s="26">
        <f t="shared" ca="1" si="4"/>
        <v>3.0395012018635467E-3</v>
      </c>
      <c r="P10" s="73">
        <f t="shared" ca="1" si="5"/>
        <v>509540.11694091372</v>
      </c>
      <c r="Q10" s="73">
        <f t="shared" ca="1" si="6"/>
        <v>28100</v>
      </c>
      <c r="R10" s="73">
        <f t="shared" ca="1" si="7"/>
        <v>-4400</v>
      </c>
      <c r="S10" s="73">
        <f t="shared" ca="1" si="8"/>
        <v>0</v>
      </c>
      <c r="T10" s="73">
        <f t="shared" ca="1" si="9"/>
        <v>509172</v>
      </c>
      <c r="V10" s="65">
        <f t="shared" ca="1" si="10"/>
        <v>28000</v>
      </c>
      <c r="W10" s="73">
        <f t="shared" ca="1" si="11"/>
        <v>507360</v>
      </c>
      <c r="X10" s="62">
        <f t="shared" ca="1" si="12"/>
        <v>1.9282942558042075E-2</v>
      </c>
      <c r="Y10" s="26">
        <f t="shared" ca="1" si="13"/>
        <v>-2.3255744195792641E-4</v>
      </c>
      <c r="AA10">
        <f t="shared" si="14"/>
        <v>28000</v>
      </c>
      <c r="AE10" s="74">
        <v>29</v>
      </c>
      <c r="AF10" s="74" t="s">
        <v>527</v>
      </c>
      <c r="AG10" s="74" t="s">
        <v>528</v>
      </c>
      <c r="AH10" s="75" t="s">
        <v>83</v>
      </c>
      <c r="AI10" s="77">
        <v>21600</v>
      </c>
      <c r="AJ10" s="74">
        <f t="shared" si="15"/>
        <v>-21600</v>
      </c>
      <c r="AK10" s="74"/>
    </row>
    <row r="11" spans="1:37" x14ac:dyDescent="0.3">
      <c r="A11" s="64">
        <v>46128</v>
      </c>
      <c r="B11">
        <v>29</v>
      </c>
      <c r="C11" t="s">
        <v>134</v>
      </c>
      <c r="D11" t="s">
        <v>351</v>
      </c>
      <c r="E11" t="s">
        <v>343</v>
      </c>
      <c r="F11">
        <v>25900</v>
      </c>
      <c r="G11">
        <v>0</v>
      </c>
      <c r="H11">
        <v>25900</v>
      </c>
      <c r="I11">
        <f t="shared" ca="1" si="0"/>
        <v>0</v>
      </c>
      <c r="J11">
        <f t="shared" ca="1" si="1"/>
        <v>25900</v>
      </c>
      <c r="K11">
        <f t="shared" si="16"/>
        <v>20.85</v>
      </c>
      <c r="L11">
        <f t="shared" ca="1" si="2"/>
        <v>540015</v>
      </c>
      <c r="M11" s="62">
        <f t="shared" ca="1" si="3"/>
        <v>2.0682694810705286E-2</v>
      </c>
      <c r="N11" s="62">
        <f>IFERROR(VLOOKUP(C11,'[1]pesos FIA'!$E$2:$F$74,2,0),0)</f>
        <v>0</v>
      </c>
      <c r="O11" s="26">
        <f t="shared" ca="1" si="4"/>
        <v>2.0682694810705286E-2</v>
      </c>
      <c r="P11" s="73">
        <f t="shared" ca="1" si="5"/>
        <v>0</v>
      </c>
      <c r="Q11" s="73">
        <f t="shared" ca="1" si="6"/>
        <v>0</v>
      </c>
      <c r="R11" s="73">
        <f t="shared" ca="1" si="7"/>
        <v>-25900</v>
      </c>
      <c r="S11" s="73">
        <f t="shared" ca="1" si="8"/>
        <v>0</v>
      </c>
      <c r="T11" s="73">
        <f t="shared" ca="1" si="9"/>
        <v>0</v>
      </c>
      <c r="V11" s="65">
        <f t="shared" ca="1" si="10"/>
        <v>0</v>
      </c>
      <c r="W11" s="73">
        <f t="shared" ca="1" si="11"/>
        <v>0</v>
      </c>
      <c r="X11" s="62">
        <f t="shared" ca="1" si="12"/>
        <v>0</v>
      </c>
      <c r="Y11" s="26">
        <f t="shared" ca="1" si="13"/>
        <v>0</v>
      </c>
      <c r="AA11">
        <f t="shared" si="14"/>
        <v>0</v>
      </c>
      <c r="AE11" s="74">
        <v>29</v>
      </c>
      <c r="AF11" s="74" t="s">
        <v>527</v>
      </c>
      <c r="AG11" s="74" t="s">
        <v>528</v>
      </c>
      <c r="AH11" s="75" t="s">
        <v>120</v>
      </c>
      <c r="AI11" s="77">
        <v>19466</v>
      </c>
      <c r="AJ11" s="74">
        <f t="shared" si="15"/>
        <v>-19466</v>
      </c>
      <c r="AK11" s="74"/>
    </row>
    <row r="12" spans="1:37" x14ac:dyDescent="0.3">
      <c r="A12" s="64">
        <v>46128</v>
      </c>
      <c r="B12">
        <v>29</v>
      </c>
      <c r="C12" t="s">
        <v>95</v>
      </c>
      <c r="D12" t="s">
        <v>352</v>
      </c>
      <c r="E12" t="s">
        <v>343</v>
      </c>
      <c r="F12">
        <v>4400</v>
      </c>
      <c r="G12">
        <v>100</v>
      </c>
      <c r="H12">
        <v>4500</v>
      </c>
      <c r="I12">
        <f t="shared" ca="1" si="0"/>
        <v>5500</v>
      </c>
      <c r="J12">
        <f t="shared" ca="1" si="1"/>
        <v>10000</v>
      </c>
      <c r="K12">
        <f t="shared" si="16"/>
        <v>35.01</v>
      </c>
      <c r="L12">
        <f t="shared" ca="1" si="2"/>
        <v>350100</v>
      </c>
      <c r="M12" s="62">
        <f t="shared" ca="1" si="3"/>
        <v>1.3408907999273948E-2</v>
      </c>
      <c r="N12" s="62">
        <f>IFERROR(VLOOKUP(C12,'[1]pesos FIA'!$E$2:$F$74,2,0),0)</f>
        <v>1.6970000000000002E-2</v>
      </c>
      <c r="O12" s="26">
        <f t="shared" ca="1" si="4"/>
        <v>-3.5610920007260547E-3</v>
      </c>
      <c r="P12" s="73">
        <f t="shared" ca="1" si="5"/>
        <v>443078.36255731632</v>
      </c>
      <c r="Q12" s="73">
        <f t="shared" ca="1" si="6"/>
        <v>12700</v>
      </c>
      <c r="R12" s="73">
        <f t="shared" ca="1" si="7"/>
        <v>2700</v>
      </c>
      <c r="S12" s="73">
        <f t="shared" ca="1" si="8"/>
        <v>0</v>
      </c>
      <c r="T12" s="73">
        <f t="shared" ca="1" si="9"/>
        <v>444627</v>
      </c>
      <c r="V12" s="65">
        <f t="shared" ca="1" si="10"/>
        <v>12300</v>
      </c>
      <c r="W12" s="73">
        <f t="shared" ca="1" si="11"/>
        <v>430623</v>
      </c>
      <c r="X12" s="62">
        <f t="shared" ca="1" si="12"/>
        <v>1.6366443103854763E-2</v>
      </c>
      <c r="Y12" s="26">
        <f t="shared" ca="1" si="13"/>
        <v>-6.035568961452395E-4</v>
      </c>
      <c r="AA12">
        <f t="shared" si="14"/>
        <v>6800</v>
      </c>
      <c r="AE12" s="74">
        <v>29</v>
      </c>
      <c r="AF12" s="74" t="s">
        <v>527</v>
      </c>
      <c r="AG12" s="74" t="s">
        <v>528</v>
      </c>
      <c r="AH12" s="75" t="s">
        <v>156</v>
      </c>
      <c r="AI12" s="77">
        <v>18800</v>
      </c>
      <c r="AJ12" s="74">
        <f t="shared" si="15"/>
        <v>-18800</v>
      </c>
      <c r="AK12" s="74"/>
    </row>
    <row r="13" spans="1:37" x14ac:dyDescent="0.3">
      <c r="A13" s="64">
        <v>46128</v>
      </c>
      <c r="B13">
        <v>29</v>
      </c>
      <c r="C13" t="s">
        <v>145</v>
      </c>
      <c r="D13" t="s">
        <v>353</v>
      </c>
      <c r="E13" t="s">
        <v>343</v>
      </c>
      <c r="F13">
        <v>3000</v>
      </c>
      <c r="G13">
        <v>0</v>
      </c>
      <c r="H13">
        <v>3000</v>
      </c>
      <c r="I13">
        <f t="shared" ca="1" si="0"/>
        <v>0</v>
      </c>
      <c r="J13">
        <f t="shared" ca="1" si="1"/>
        <v>3000</v>
      </c>
      <c r="K13">
        <f t="shared" si="16"/>
        <v>80.3</v>
      </c>
      <c r="L13">
        <f t="shared" ca="1" si="2"/>
        <v>240900</v>
      </c>
      <c r="M13" s="62">
        <f t="shared" ca="1" si="3"/>
        <v>9.2265236704515679E-3</v>
      </c>
      <c r="N13" s="62">
        <f>IFERROR(VLOOKUP(C13,'[1]pesos FIA'!$E$2:$F$74,2,0),0)</f>
        <v>6.7880000000000006E-3</v>
      </c>
      <c r="O13" s="26">
        <f t="shared" ca="1" si="4"/>
        <v>2.4385236704515673E-3</v>
      </c>
      <c r="P13" s="73">
        <f t="shared" ca="1" si="5"/>
        <v>177231.34502292651</v>
      </c>
      <c r="Q13" s="73">
        <f t="shared" ca="1" si="6"/>
        <v>2200</v>
      </c>
      <c r="R13" s="73">
        <f t="shared" ca="1" si="7"/>
        <v>-800</v>
      </c>
      <c r="S13" s="73">
        <f t="shared" ca="1" si="8"/>
        <v>0</v>
      </c>
      <c r="T13" s="73">
        <f t="shared" ca="1" si="9"/>
        <v>176660</v>
      </c>
      <c r="V13" s="65">
        <f t="shared" ca="1" si="10"/>
        <v>2300</v>
      </c>
      <c r="W13" s="73">
        <f t="shared" ca="1" si="11"/>
        <v>184690</v>
      </c>
      <c r="X13" s="62">
        <f t="shared" ca="1" si="12"/>
        <v>7.0194076416051536E-3</v>
      </c>
      <c r="Y13" s="26">
        <f t="shared" ca="1" si="13"/>
        <v>2.31407641605153E-4</v>
      </c>
      <c r="AA13">
        <f t="shared" si="14"/>
        <v>2300</v>
      </c>
      <c r="AE13" s="74">
        <v>29</v>
      </c>
      <c r="AF13" s="74" t="s">
        <v>527</v>
      </c>
      <c r="AG13" s="74" t="s">
        <v>528</v>
      </c>
      <c r="AH13" s="75" t="s">
        <v>82</v>
      </c>
      <c r="AI13" s="77">
        <v>17900</v>
      </c>
      <c r="AJ13" s="74">
        <f t="shared" si="15"/>
        <v>-17900</v>
      </c>
      <c r="AK13" s="74"/>
    </row>
    <row r="14" spans="1:37" x14ac:dyDescent="0.3">
      <c r="A14" s="64">
        <v>46128</v>
      </c>
      <c r="B14">
        <v>29</v>
      </c>
      <c r="C14" t="s">
        <v>69</v>
      </c>
      <c r="D14" t="s">
        <v>354</v>
      </c>
      <c r="E14" t="s">
        <v>343</v>
      </c>
      <c r="F14">
        <v>31900</v>
      </c>
      <c r="G14">
        <v>1000</v>
      </c>
      <c r="H14">
        <v>32900</v>
      </c>
      <c r="I14">
        <f t="shared" ca="1" si="0"/>
        <v>0</v>
      </c>
      <c r="J14">
        <f t="shared" ca="1" si="1"/>
        <v>32900</v>
      </c>
      <c r="K14">
        <f t="shared" si="16"/>
        <v>5.53</v>
      </c>
      <c r="L14">
        <f t="shared" ca="1" si="2"/>
        <v>181937</v>
      </c>
      <c r="M14" s="62">
        <f t="shared" ca="1" si="3"/>
        <v>6.9682276340014403E-3</v>
      </c>
      <c r="N14" s="62">
        <f>IFERROR(VLOOKUP(C14,'[1]pesos FIA'!$E$2:$F$74,2,0),0)</f>
        <v>8.4850000000000012E-3</v>
      </c>
      <c r="O14" s="26">
        <f t="shared" ca="1" si="4"/>
        <v>-1.5167723659985609E-3</v>
      </c>
      <c r="P14" s="73">
        <f t="shared" ca="1" si="5"/>
        <v>221539.18127865816</v>
      </c>
      <c r="Q14" s="73">
        <f t="shared" ca="1" si="6"/>
        <v>40100</v>
      </c>
      <c r="R14" s="73">
        <f t="shared" ca="1" si="7"/>
        <v>7200</v>
      </c>
      <c r="S14" s="73">
        <f t="shared" ca="1" si="8"/>
        <v>0</v>
      </c>
      <c r="T14" s="73">
        <f t="shared" ca="1" si="9"/>
        <v>221753</v>
      </c>
      <c r="V14" s="65">
        <f t="shared" ca="1" si="10"/>
        <v>39100</v>
      </c>
      <c r="W14" s="73">
        <f t="shared" ca="1" si="11"/>
        <v>216223</v>
      </c>
      <c r="X14" s="62">
        <f t="shared" ca="1" si="12"/>
        <v>8.2178644132914133E-3</v>
      </c>
      <c r="Y14" s="26">
        <f t="shared" ca="1" si="13"/>
        <v>-2.671355867085879E-4</v>
      </c>
      <c r="AA14">
        <f t="shared" si="14"/>
        <v>39100</v>
      </c>
      <c r="AE14" s="74">
        <v>29</v>
      </c>
      <c r="AF14" s="74" t="s">
        <v>527</v>
      </c>
      <c r="AG14" s="74" t="s">
        <v>528</v>
      </c>
      <c r="AH14" s="75" t="s">
        <v>107</v>
      </c>
      <c r="AI14" s="77">
        <v>17900</v>
      </c>
      <c r="AJ14" s="74">
        <f t="shared" si="15"/>
        <v>-17900</v>
      </c>
      <c r="AK14" s="74"/>
    </row>
    <row r="15" spans="1:37" x14ac:dyDescent="0.3">
      <c r="A15" s="64">
        <v>46128</v>
      </c>
      <c r="B15">
        <v>29</v>
      </c>
      <c r="C15" t="s">
        <v>355</v>
      </c>
      <c r="D15" t="s">
        <v>356</v>
      </c>
      <c r="E15" t="s">
        <v>343</v>
      </c>
      <c r="F15">
        <v>3891</v>
      </c>
      <c r="G15">
        <v>0</v>
      </c>
      <c r="H15">
        <v>3891</v>
      </c>
      <c r="I15">
        <f t="shared" ca="1" si="0"/>
        <v>9909</v>
      </c>
      <c r="J15">
        <f t="shared" ca="1" si="1"/>
        <v>13800</v>
      </c>
      <c r="K15">
        <f t="shared" si="16"/>
        <v>193.05</v>
      </c>
      <c r="L15">
        <f t="shared" ca="1" si="2"/>
        <v>2664090</v>
      </c>
      <c r="M15" s="62">
        <f t="shared" ca="1" si="3"/>
        <v>0.10203524053637741</v>
      </c>
      <c r="N15" s="62">
        <f>IFERROR(VLOOKUP(C15,'[1]pesos FIA'!$E$2:$F$74,2,0),0)</f>
        <v>0.1</v>
      </c>
      <c r="O15" s="26">
        <f t="shared" ca="1" si="4"/>
        <v>2.0352405363774084E-3</v>
      </c>
      <c r="P15" s="73">
        <f t="shared" ca="1" si="5"/>
        <v>2610950.8695186581</v>
      </c>
      <c r="Q15" s="73">
        <f t="shared" ca="1" si="6"/>
        <v>13500</v>
      </c>
      <c r="R15" s="73">
        <f t="shared" ca="1" si="7"/>
        <v>-300</v>
      </c>
      <c r="S15" s="73">
        <f t="shared" ca="1" si="8"/>
        <v>0</v>
      </c>
      <c r="T15" s="73">
        <f t="shared" ca="1" si="9"/>
        <v>2606175</v>
      </c>
      <c r="V15" s="65">
        <f t="shared" ca="1" si="10"/>
        <v>12800</v>
      </c>
      <c r="W15" s="73">
        <f t="shared" ca="1" si="11"/>
        <v>2471040</v>
      </c>
      <c r="X15" s="62">
        <f t="shared" ca="1" si="12"/>
        <v>9.3915409923179372E-2</v>
      </c>
      <c r="Y15" s="26">
        <f t="shared" ca="1" si="13"/>
        <v>-6.084590076820634E-3</v>
      </c>
      <c r="AA15">
        <f t="shared" si="14"/>
        <v>2891</v>
      </c>
      <c r="AE15" s="74">
        <v>29</v>
      </c>
      <c r="AF15" s="74" t="s">
        <v>527</v>
      </c>
      <c r="AG15" s="74" t="s">
        <v>528</v>
      </c>
      <c r="AH15" s="75" t="s">
        <v>140</v>
      </c>
      <c r="AI15" s="77">
        <v>5800</v>
      </c>
      <c r="AJ15" s="74">
        <f t="shared" si="15"/>
        <v>-5800</v>
      </c>
      <c r="AK15" s="74"/>
    </row>
    <row r="16" spans="1:37" x14ac:dyDescent="0.3">
      <c r="A16" s="64">
        <v>46128</v>
      </c>
      <c r="B16">
        <v>29</v>
      </c>
      <c r="C16" t="s">
        <v>357</v>
      </c>
      <c r="D16" t="s">
        <v>358</v>
      </c>
      <c r="E16" t="s">
        <v>343</v>
      </c>
      <c r="F16">
        <v>3095</v>
      </c>
      <c r="G16">
        <v>200</v>
      </c>
      <c r="H16">
        <v>3295</v>
      </c>
      <c r="I16">
        <f t="shared" ca="1" si="0"/>
        <v>3405</v>
      </c>
      <c r="J16">
        <f t="shared" ca="1" si="1"/>
        <v>6700</v>
      </c>
      <c r="K16">
        <f t="shared" si="16"/>
        <v>202.6</v>
      </c>
      <c r="L16">
        <f t="shared" ca="1" si="2"/>
        <v>1357420</v>
      </c>
      <c r="M16" s="62">
        <f t="shared" ca="1" si="3"/>
        <v>5.1989488421520832E-2</v>
      </c>
      <c r="N16" s="62">
        <f>IFERROR(VLOOKUP(C16,'[1]pesos FIA'!$E$2:$F$74,2,0),0)</f>
        <v>0.05</v>
      </c>
      <c r="O16" s="26">
        <f t="shared" ca="1" si="4"/>
        <v>1.9894884215208297E-3</v>
      </c>
      <c r="P16" s="73">
        <f t="shared" ca="1" si="5"/>
        <v>1305475.4347593291</v>
      </c>
      <c r="Q16" s="73">
        <f t="shared" ca="1" si="6"/>
        <v>6400</v>
      </c>
      <c r="R16" s="73">
        <f t="shared" ca="1" si="7"/>
        <v>-300</v>
      </c>
      <c r="S16" s="73">
        <f t="shared" ca="1" si="8"/>
        <v>0</v>
      </c>
      <c r="T16" s="73">
        <f t="shared" ca="1" si="9"/>
        <v>1296640</v>
      </c>
      <c r="V16" s="65">
        <f t="shared" ca="1" si="10"/>
        <v>5900</v>
      </c>
      <c r="W16" s="73">
        <f t="shared" ca="1" si="11"/>
        <v>1195340</v>
      </c>
      <c r="X16" s="62">
        <f t="shared" ca="1" si="12"/>
        <v>4.5430606585718257E-2</v>
      </c>
      <c r="Y16" s="26">
        <f t="shared" ca="1" si="13"/>
        <v>-4.5693934142817458E-3</v>
      </c>
      <c r="AA16">
        <f t="shared" si="14"/>
        <v>2495</v>
      </c>
      <c r="AE16" s="74">
        <v>29</v>
      </c>
      <c r="AF16" s="74" t="s">
        <v>527</v>
      </c>
      <c r="AG16" s="74" t="s">
        <v>528</v>
      </c>
      <c r="AH16" s="75" t="s">
        <v>110</v>
      </c>
      <c r="AI16" s="77">
        <v>8800</v>
      </c>
      <c r="AJ16" s="74">
        <f t="shared" si="15"/>
        <v>-8800</v>
      </c>
      <c r="AK16" s="74"/>
    </row>
    <row r="17" spans="1:37" x14ac:dyDescent="0.3">
      <c r="A17" s="64">
        <v>46128</v>
      </c>
      <c r="B17">
        <v>29</v>
      </c>
      <c r="C17" t="s">
        <v>82</v>
      </c>
      <c r="D17" t="s">
        <v>359</v>
      </c>
      <c r="E17" t="s">
        <v>343</v>
      </c>
      <c r="F17">
        <v>22300</v>
      </c>
      <c r="G17">
        <v>0</v>
      </c>
      <c r="H17">
        <v>22300</v>
      </c>
      <c r="I17">
        <f t="shared" ca="1" si="0"/>
        <v>0</v>
      </c>
      <c r="J17">
        <f t="shared" ca="1" si="1"/>
        <v>22300</v>
      </c>
      <c r="K17">
        <f t="shared" si="16"/>
        <v>25.05</v>
      </c>
      <c r="L17">
        <f t="shared" ca="1" si="2"/>
        <v>558615</v>
      </c>
      <c r="M17" s="62">
        <f t="shared" ca="1" si="3"/>
        <v>2.1395078954625581E-2</v>
      </c>
      <c r="N17" s="62">
        <f>IFERROR(VLOOKUP(C17,'[1]pesos FIA'!$E$2:$F$74,2,0),0)</f>
        <v>4.2425000000000006E-3</v>
      </c>
      <c r="O17" s="26">
        <f t="shared" ca="1" si="4"/>
        <v>1.7152578954625582E-2</v>
      </c>
      <c r="P17" s="73">
        <f t="shared" ca="1" si="5"/>
        <v>110769.59063932908</v>
      </c>
      <c r="Q17" s="73">
        <f t="shared" ca="1" si="6"/>
        <v>4400</v>
      </c>
      <c r="R17" s="73">
        <f t="shared" ca="1" si="7"/>
        <v>-17900</v>
      </c>
      <c r="S17" s="73">
        <f t="shared" ca="1" si="8"/>
        <v>0</v>
      </c>
      <c r="T17" s="73">
        <f t="shared" ca="1" si="9"/>
        <v>110220</v>
      </c>
      <c r="V17" s="65">
        <f t="shared" ca="1" si="10"/>
        <v>4400</v>
      </c>
      <c r="W17" s="73">
        <f t="shared" ca="1" si="11"/>
        <v>110220</v>
      </c>
      <c r="X17" s="62">
        <f t="shared" ca="1" si="12"/>
        <v>4.1890687652700199E-3</v>
      </c>
      <c r="Y17" s="26">
        <f t="shared" ca="1" si="13"/>
        <v>-5.343123472998073E-5</v>
      </c>
      <c r="AA17">
        <f t="shared" si="14"/>
        <v>4400</v>
      </c>
      <c r="AE17" s="74">
        <v>29</v>
      </c>
      <c r="AF17" s="74" t="s">
        <v>527</v>
      </c>
      <c r="AG17" s="74" t="s">
        <v>528</v>
      </c>
      <c r="AH17" s="75" t="s">
        <v>210</v>
      </c>
      <c r="AI17" s="77">
        <v>11400</v>
      </c>
      <c r="AJ17" s="74">
        <f t="shared" si="15"/>
        <v>-11400</v>
      </c>
      <c r="AK17" s="74"/>
    </row>
    <row r="18" spans="1:37" x14ac:dyDescent="0.3">
      <c r="A18" s="64">
        <v>46128</v>
      </c>
      <c r="B18">
        <v>29</v>
      </c>
      <c r="C18" t="s">
        <v>73</v>
      </c>
      <c r="D18" t="s">
        <v>360</v>
      </c>
      <c r="E18" t="s">
        <v>343</v>
      </c>
      <c r="F18">
        <v>18500</v>
      </c>
      <c r="G18">
        <v>0</v>
      </c>
      <c r="H18">
        <v>18500</v>
      </c>
      <c r="I18">
        <f t="shared" ca="1" si="0"/>
        <v>0</v>
      </c>
      <c r="J18">
        <f t="shared" ca="1" si="1"/>
        <v>18500</v>
      </c>
      <c r="K18">
        <f t="shared" si="16"/>
        <v>16.600000000000001</v>
      </c>
      <c r="L18">
        <f t="shared" ca="1" si="2"/>
        <v>307100</v>
      </c>
      <c r="M18" s="62">
        <f t="shared" ca="1" si="3"/>
        <v>1.1761998419243157E-2</v>
      </c>
      <c r="N18" s="62">
        <f>IFERROR(VLOOKUP(C18,'[1]pesos FIA'!$E$2:$F$74,2,0),0)</f>
        <v>1.0182E-2</v>
      </c>
      <c r="O18" s="26">
        <f t="shared" ca="1" si="4"/>
        <v>1.5799984192431567E-3</v>
      </c>
      <c r="P18" s="73">
        <f t="shared" ca="1" si="5"/>
        <v>265847.01753438974</v>
      </c>
      <c r="Q18" s="73">
        <f t="shared" ca="1" si="6"/>
        <v>16000</v>
      </c>
      <c r="R18" s="73">
        <f t="shared" ca="1" si="7"/>
        <v>-2500</v>
      </c>
      <c r="S18" s="73">
        <f t="shared" ca="1" si="8"/>
        <v>0</v>
      </c>
      <c r="T18" s="73">
        <f t="shared" ca="1" si="9"/>
        <v>265600</v>
      </c>
      <c r="V18" s="65">
        <f t="shared" ca="1" si="10"/>
        <v>16000</v>
      </c>
      <c r="W18" s="73">
        <f t="shared" ca="1" si="11"/>
        <v>265600</v>
      </c>
      <c r="X18" s="62">
        <f t="shared" ca="1" si="12"/>
        <v>1.0094507930100865E-2</v>
      </c>
      <c r="Y18" s="26">
        <f t="shared" ca="1" si="13"/>
        <v>-8.7492069899134869E-5</v>
      </c>
      <c r="AA18">
        <f t="shared" si="14"/>
        <v>16000</v>
      </c>
      <c r="AE18" s="74">
        <v>29</v>
      </c>
      <c r="AF18" s="74" t="s">
        <v>527</v>
      </c>
      <c r="AG18" s="74" t="s">
        <v>528</v>
      </c>
      <c r="AH18" s="75" t="s">
        <v>59</v>
      </c>
      <c r="AI18" s="77">
        <v>8900</v>
      </c>
      <c r="AJ18" s="74">
        <f t="shared" si="15"/>
        <v>-8900</v>
      </c>
      <c r="AK18" s="74"/>
    </row>
    <row r="19" spans="1:37" x14ac:dyDescent="0.3">
      <c r="A19" s="64">
        <v>46128</v>
      </c>
      <c r="B19">
        <v>29</v>
      </c>
      <c r="C19" t="s">
        <v>154</v>
      </c>
      <c r="D19" t="s">
        <v>361</v>
      </c>
      <c r="E19" t="s">
        <v>343</v>
      </c>
      <c r="F19">
        <v>19820</v>
      </c>
      <c r="G19">
        <v>200</v>
      </c>
      <c r="H19">
        <v>20020</v>
      </c>
      <c r="I19">
        <f t="shared" ca="1" si="0"/>
        <v>0</v>
      </c>
      <c r="J19">
        <f t="shared" ca="1" si="1"/>
        <v>20020</v>
      </c>
      <c r="K19">
        <f t="shared" si="16"/>
        <v>13.52</v>
      </c>
      <c r="L19">
        <f t="shared" ca="1" si="2"/>
        <v>270670.39999999997</v>
      </c>
      <c r="M19" s="62">
        <f t="shared" ca="1" si="3"/>
        <v>1.036673662304107E-2</v>
      </c>
      <c r="N19" s="62">
        <f>IFERROR(VLOOKUP(C19,'[1]pesos FIA'!$E$2:$F$74,2,0),0)</f>
        <v>1.4848750000000003E-2</v>
      </c>
      <c r="O19" s="26">
        <f t="shared" ca="1" si="4"/>
        <v>-4.4820133769589328E-3</v>
      </c>
      <c r="P19" s="73">
        <f t="shared" ca="1" si="5"/>
        <v>387693.56723765179</v>
      </c>
      <c r="Q19" s="73">
        <f t="shared" ca="1" si="6"/>
        <v>28700</v>
      </c>
      <c r="R19" s="73">
        <f t="shared" ca="1" si="7"/>
        <v>8680</v>
      </c>
      <c r="S19" s="73">
        <f t="shared" ca="1" si="8"/>
        <v>0</v>
      </c>
      <c r="T19" s="73">
        <f t="shared" ca="1" si="9"/>
        <v>388024</v>
      </c>
      <c r="V19" s="65">
        <f t="shared" ca="1" si="10"/>
        <v>27320</v>
      </c>
      <c r="W19" s="73">
        <f t="shared" ca="1" si="11"/>
        <v>369366.39999999997</v>
      </c>
      <c r="X19" s="62">
        <f t="shared" ca="1" si="12"/>
        <v>1.4038298395756054E-2</v>
      </c>
      <c r="Y19" s="26">
        <f t="shared" ca="1" si="13"/>
        <v>-8.1045160424394851E-4</v>
      </c>
      <c r="AA19">
        <f t="shared" si="14"/>
        <v>27320</v>
      </c>
      <c r="AE19" s="74">
        <v>29</v>
      </c>
      <c r="AF19" s="74" t="s">
        <v>527</v>
      </c>
      <c r="AG19" s="74" t="s">
        <v>528</v>
      </c>
      <c r="AH19" s="75" t="s">
        <v>91</v>
      </c>
      <c r="AI19" s="77">
        <v>8800</v>
      </c>
      <c r="AJ19" s="74">
        <f t="shared" si="15"/>
        <v>-8800</v>
      </c>
      <c r="AK19" s="74"/>
    </row>
    <row r="20" spans="1:37" x14ac:dyDescent="0.3">
      <c r="A20" s="64">
        <v>46128</v>
      </c>
      <c r="B20">
        <v>29</v>
      </c>
      <c r="C20" t="s">
        <v>139</v>
      </c>
      <c r="D20" t="s">
        <v>362</v>
      </c>
      <c r="E20" t="s">
        <v>343</v>
      </c>
      <c r="F20">
        <v>12200</v>
      </c>
      <c r="G20">
        <v>0</v>
      </c>
      <c r="H20">
        <v>12200</v>
      </c>
      <c r="I20">
        <f t="shared" ca="1" si="0"/>
        <v>28400</v>
      </c>
      <c r="J20">
        <f t="shared" ca="1" si="1"/>
        <v>40600</v>
      </c>
      <c r="K20">
        <f t="shared" si="16"/>
        <v>4.8185070242999997</v>
      </c>
      <c r="L20">
        <f t="shared" ca="1" si="2"/>
        <v>195631.38518657998</v>
      </c>
      <c r="M20" s="62">
        <f t="shared" ca="1" si="3"/>
        <v>7.4927256376388892E-3</v>
      </c>
      <c r="N20" s="62">
        <f>IFERROR(VLOOKUP(C20,'[1]pesos FIA'!$E$2:$F$74,2,0),0)</f>
        <v>0</v>
      </c>
      <c r="O20" s="26">
        <f t="shared" ca="1" si="4"/>
        <v>7.4927256376388892E-3</v>
      </c>
      <c r="P20" s="73">
        <f t="shared" ca="1" si="5"/>
        <v>0</v>
      </c>
      <c r="Q20" s="73">
        <f t="shared" ca="1" si="6"/>
        <v>0</v>
      </c>
      <c r="R20" s="73">
        <f t="shared" ca="1" si="7"/>
        <v>-40600</v>
      </c>
      <c r="S20" s="73">
        <f t="shared" ca="1" si="8"/>
        <v>1</v>
      </c>
      <c r="T20" s="73">
        <f t="shared" ca="1" si="9"/>
        <v>0</v>
      </c>
      <c r="V20" s="65">
        <f t="shared" ca="1" si="10"/>
        <v>28500</v>
      </c>
      <c r="W20" s="73">
        <f t="shared" ca="1" si="11"/>
        <v>137327.45019254999</v>
      </c>
      <c r="X20" s="62">
        <f t="shared" ca="1" si="12"/>
        <v>5.2193261859534166E-3</v>
      </c>
      <c r="Y20" s="26">
        <f t="shared" ca="1" si="13"/>
        <v>5.2193261859534166E-3</v>
      </c>
      <c r="AA20">
        <f t="shared" si="14"/>
        <v>100</v>
      </c>
      <c r="AE20" s="74">
        <v>29</v>
      </c>
      <c r="AF20" s="74" t="s">
        <v>527</v>
      </c>
      <c r="AG20" s="74" t="s">
        <v>528</v>
      </c>
      <c r="AH20" s="75" t="s">
        <v>76</v>
      </c>
      <c r="AI20" s="77">
        <v>7100</v>
      </c>
      <c r="AJ20" s="74">
        <f t="shared" si="15"/>
        <v>-7100</v>
      </c>
      <c r="AK20" s="74"/>
    </row>
    <row r="21" spans="1:37" x14ac:dyDescent="0.3">
      <c r="A21" s="64">
        <v>46128</v>
      </c>
      <c r="B21">
        <v>29</v>
      </c>
      <c r="C21" t="s">
        <v>117</v>
      </c>
      <c r="D21" t="s">
        <v>363</v>
      </c>
      <c r="E21" t="s">
        <v>343</v>
      </c>
      <c r="F21">
        <v>6000</v>
      </c>
      <c r="G21">
        <v>0</v>
      </c>
      <c r="H21">
        <v>6000</v>
      </c>
      <c r="I21">
        <f t="shared" ca="1" si="0"/>
        <v>0</v>
      </c>
      <c r="J21">
        <f t="shared" ca="1" si="1"/>
        <v>6000</v>
      </c>
      <c r="K21">
        <f t="shared" si="16"/>
        <v>56.26</v>
      </c>
      <c r="L21">
        <f t="shared" ca="1" si="2"/>
        <v>337560</v>
      </c>
      <c r="M21" s="62">
        <f t="shared" ca="1" si="3"/>
        <v>1.2928623205469619E-2</v>
      </c>
      <c r="N21" s="62">
        <f>IFERROR(VLOOKUP(C21,'[1]pesos FIA'!$E$2:$F$74,2,0),0)</f>
        <v>0</v>
      </c>
      <c r="O21" s="26">
        <f t="shared" ca="1" si="4"/>
        <v>1.2928623205469619E-2</v>
      </c>
      <c r="P21" s="73">
        <f t="shared" ca="1" si="5"/>
        <v>0</v>
      </c>
      <c r="Q21" s="73">
        <f t="shared" ca="1" si="6"/>
        <v>0</v>
      </c>
      <c r="R21" s="73">
        <f t="shared" ca="1" si="7"/>
        <v>-6000</v>
      </c>
      <c r="S21" s="73">
        <f t="shared" ca="1" si="8"/>
        <v>0</v>
      </c>
      <c r="T21" s="73">
        <f t="shared" ca="1" si="9"/>
        <v>0</v>
      </c>
      <c r="V21" s="65">
        <f t="shared" ca="1" si="10"/>
        <v>0</v>
      </c>
      <c r="W21" s="73">
        <f t="shared" ca="1" si="11"/>
        <v>0</v>
      </c>
      <c r="X21" s="62">
        <f t="shared" ca="1" si="12"/>
        <v>0</v>
      </c>
      <c r="Y21" s="26">
        <f t="shared" ca="1" si="13"/>
        <v>0</v>
      </c>
      <c r="AA21">
        <f t="shared" si="14"/>
        <v>0</v>
      </c>
      <c r="AE21" s="74">
        <v>29</v>
      </c>
      <c r="AF21" s="74" t="s">
        <v>527</v>
      </c>
      <c r="AG21" s="74" t="s">
        <v>528</v>
      </c>
      <c r="AH21" s="75" t="s">
        <v>135</v>
      </c>
      <c r="AI21" s="77">
        <v>6400</v>
      </c>
      <c r="AJ21" s="74">
        <f t="shared" si="15"/>
        <v>-6400</v>
      </c>
      <c r="AK21" s="74"/>
    </row>
    <row r="22" spans="1:37" x14ac:dyDescent="0.3">
      <c r="A22" s="64">
        <v>46128</v>
      </c>
      <c r="B22">
        <v>29</v>
      </c>
      <c r="C22" t="s">
        <v>185</v>
      </c>
      <c r="D22" t="s">
        <v>364</v>
      </c>
      <c r="E22" t="s">
        <v>343</v>
      </c>
      <c r="F22">
        <v>18900</v>
      </c>
      <c r="G22">
        <v>200</v>
      </c>
      <c r="H22">
        <v>19100</v>
      </c>
      <c r="I22">
        <f t="shared" ca="1" si="0"/>
        <v>0</v>
      </c>
      <c r="J22">
        <f t="shared" ca="1" si="1"/>
        <v>19100</v>
      </c>
      <c r="K22">
        <f t="shared" si="16"/>
        <v>16.8</v>
      </c>
      <c r="L22">
        <f t="shared" ca="1" si="2"/>
        <v>320880</v>
      </c>
      <c r="M22" s="62">
        <f t="shared" ca="1" si="3"/>
        <v>1.2289775489308839E-2</v>
      </c>
      <c r="N22" s="62">
        <f>IFERROR(VLOOKUP(C22,'[1]pesos FIA'!$E$2:$F$74,2,0),0)</f>
        <v>1.8667E-2</v>
      </c>
      <c r="O22" s="26">
        <f t="shared" ca="1" si="4"/>
        <v>-6.3772245106911603E-3</v>
      </c>
      <c r="P22" s="73">
        <f t="shared" ca="1" si="5"/>
        <v>487386.19881304784</v>
      </c>
      <c r="Q22" s="73">
        <f t="shared" ca="1" si="6"/>
        <v>29000</v>
      </c>
      <c r="R22" s="73">
        <f t="shared" ca="1" si="7"/>
        <v>9900</v>
      </c>
      <c r="S22" s="73">
        <f t="shared" ca="1" si="8"/>
        <v>0</v>
      </c>
      <c r="T22" s="73">
        <f t="shared" ca="1" si="9"/>
        <v>487200</v>
      </c>
      <c r="V22" s="65">
        <f t="shared" ca="1" si="10"/>
        <v>27900</v>
      </c>
      <c r="W22" s="73">
        <f t="shared" ca="1" si="11"/>
        <v>468720</v>
      </c>
      <c r="X22" s="62">
        <f t="shared" ca="1" si="12"/>
        <v>1.7814374085078605E-2</v>
      </c>
      <c r="Y22" s="26">
        <f t="shared" ca="1" si="13"/>
        <v>-8.5262591492139481E-4</v>
      </c>
      <c r="AA22">
        <f t="shared" si="14"/>
        <v>27900</v>
      </c>
      <c r="AE22" s="74">
        <v>29</v>
      </c>
      <c r="AF22" s="74" t="s">
        <v>527</v>
      </c>
      <c r="AG22" s="74" t="s">
        <v>528</v>
      </c>
      <c r="AH22" s="75" t="s">
        <v>84</v>
      </c>
      <c r="AI22" s="77">
        <v>6400</v>
      </c>
      <c r="AJ22" s="74">
        <f t="shared" si="15"/>
        <v>-6400</v>
      </c>
      <c r="AK22" s="74"/>
    </row>
    <row r="23" spans="1:37" x14ac:dyDescent="0.3">
      <c r="A23" s="64">
        <v>46128</v>
      </c>
      <c r="B23">
        <v>29</v>
      </c>
      <c r="C23" t="s">
        <v>77</v>
      </c>
      <c r="D23" t="s">
        <v>365</v>
      </c>
      <c r="E23" t="s">
        <v>343</v>
      </c>
      <c r="F23">
        <v>31100</v>
      </c>
      <c r="G23">
        <v>500</v>
      </c>
      <c r="H23">
        <v>31600</v>
      </c>
      <c r="I23">
        <f t="shared" ca="1" si="0"/>
        <v>0</v>
      </c>
      <c r="J23">
        <f t="shared" ca="1" si="1"/>
        <v>31600</v>
      </c>
      <c r="K23">
        <f t="shared" si="16"/>
        <v>6.19</v>
      </c>
      <c r="L23">
        <f t="shared" ca="1" si="2"/>
        <v>195604</v>
      </c>
      <c r="M23" s="62">
        <f t="shared" ca="1" si="3"/>
        <v>7.4916767788916917E-3</v>
      </c>
      <c r="N23" s="62">
        <f>IFERROR(VLOOKUP(C23,'[1]pesos FIA'!$E$2:$F$74,2,0),0)</f>
        <v>7.6365000000000001E-3</v>
      </c>
      <c r="O23" s="26">
        <f t="shared" ca="1" si="4"/>
        <v>-1.448232211083084E-4</v>
      </c>
      <c r="P23" s="73">
        <f t="shared" ca="1" si="5"/>
        <v>199385.26315079231</v>
      </c>
      <c r="Q23" s="73">
        <f t="shared" ca="1" si="6"/>
        <v>32200</v>
      </c>
      <c r="R23" s="73">
        <f t="shared" ca="1" si="7"/>
        <v>600</v>
      </c>
      <c r="S23" s="73">
        <f t="shared" ca="1" si="8"/>
        <v>0</v>
      </c>
      <c r="T23" s="73">
        <f t="shared" ca="1" si="9"/>
        <v>199318</v>
      </c>
      <c r="V23" s="65">
        <f t="shared" ca="1" si="10"/>
        <v>32400</v>
      </c>
      <c r="W23" s="73">
        <f t="shared" ca="1" si="11"/>
        <v>200556</v>
      </c>
      <c r="X23" s="62">
        <f t="shared" ca="1" si="12"/>
        <v>7.6224176672790257E-3</v>
      </c>
      <c r="Y23" s="26">
        <f t="shared" ca="1" si="13"/>
        <v>-1.4082332720974367E-5</v>
      </c>
      <c r="AA23">
        <f t="shared" si="14"/>
        <v>32400</v>
      </c>
      <c r="AE23" s="74">
        <v>29</v>
      </c>
      <c r="AF23" s="74" t="s">
        <v>527</v>
      </c>
      <c r="AG23" s="74" t="s">
        <v>528</v>
      </c>
      <c r="AH23" s="75" t="s">
        <v>144</v>
      </c>
      <c r="AI23" s="77">
        <v>6400</v>
      </c>
      <c r="AJ23" s="74">
        <f t="shared" si="15"/>
        <v>-6400</v>
      </c>
      <c r="AK23" s="74"/>
    </row>
    <row r="24" spans="1:37" x14ac:dyDescent="0.3">
      <c r="A24" s="64">
        <v>46128</v>
      </c>
      <c r="B24">
        <v>29</v>
      </c>
      <c r="C24" t="s">
        <v>112</v>
      </c>
      <c r="D24" t="s">
        <v>366</v>
      </c>
      <c r="E24" t="s">
        <v>343</v>
      </c>
      <c r="F24">
        <v>5400</v>
      </c>
      <c r="G24">
        <v>0</v>
      </c>
      <c r="H24">
        <v>5400</v>
      </c>
      <c r="I24">
        <f t="shared" ca="1" si="0"/>
        <v>0</v>
      </c>
      <c r="J24">
        <f t="shared" ca="1" si="1"/>
        <v>5400</v>
      </c>
      <c r="K24">
        <f t="shared" si="16"/>
        <v>57.4</v>
      </c>
      <c r="L24">
        <f t="shared" ca="1" si="2"/>
        <v>309960</v>
      </c>
      <c r="M24" s="62">
        <f t="shared" ca="1" si="3"/>
        <v>1.1871537056426601E-2</v>
      </c>
      <c r="N24" s="62">
        <f>IFERROR(VLOOKUP(C24,'[1]pesos FIA'!$E$2:$F$74,2,0),0)</f>
        <v>0</v>
      </c>
      <c r="O24" s="26">
        <f t="shared" ca="1" si="4"/>
        <v>1.1871537056426601E-2</v>
      </c>
      <c r="P24" s="73">
        <f t="shared" ca="1" si="5"/>
        <v>0</v>
      </c>
      <c r="Q24" s="73">
        <f t="shared" ca="1" si="6"/>
        <v>0</v>
      </c>
      <c r="R24" s="73">
        <f t="shared" ca="1" si="7"/>
        <v>-5400</v>
      </c>
      <c r="S24" s="73">
        <f t="shared" ca="1" si="8"/>
        <v>0</v>
      </c>
      <c r="T24" s="73">
        <f t="shared" ca="1" si="9"/>
        <v>0</v>
      </c>
      <c r="V24" s="65">
        <f t="shared" ca="1" si="10"/>
        <v>0</v>
      </c>
      <c r="W24" s="73">
        <f t="shared" ca="1" si="11"/>
        <v>0</v>
      </c>
      <c r="X24" s="62">
        <f t="shared" ca="1" si="12"/>
        <v>0</v>
      </c>
      <c r="Y24" s="26">
        <f t="shared" ca="1" si="13"/>
        <v>0</v>
      </c>
      <c r="AA24">
        <f t="shared" si="14"/>
        <v>0</v>
      </c>
      <c r="AE24" s="74">
        <v>29</v>
      </c>
      <c r="AF24" s="74" t="s">
        <v>527</v>
      </c>
      <c r="AG24" s="74" t="s">
        <v>528</v>
      </c>
      <c r="AH24" s="75" t="s">
        <v>94</v>
      </c>
      <c r="AI24" s="77">
        <v>6400</v>
      </c>
      <c r="AJ24" s="74">
        <f t="shared" si="15"/>
        <v>-6400</v>
      </c>
      <c r="AK24" s="74"/>
    </row>
    <row r="25" spans="1:37" x14ac:dyDescent="0.3">
      <c r="A25" s="64">
        <v>46128</v>
      </c>
      <c r="B25">
        <v>29</v>
      </c>
      <c r="C25" t="s">
        <v>96</v>
      </c>
      <c r="D25" t="s">
        <v>367</v>
      </c>
      <c r="E25" t="s">
        <v>343</v>
      </c>
      <c r="F25">
        <v>5400</v>
      </c>
      <c r="G25">
        <v>100</v>
      </c>
      <c r="H25">
        <v>5500</v>
      </c>
      <c r="I25">
        <f t="shared" ca="1" si="0"/>
        <v>0</v>
      </c>
      <c r="J25">
        <f t="shared" ca="1" si="1"/>
        <v>5500</v>
      </c>
      <c r="K25">
        <f t="shared" si="16"/>
        <v>34.21</v>
      </c>
      <c r="L25">
        <f t="shared" ca="1" si="2"/>
        <v>188155</v>
      </c>
      <c r="M25" s="62">
        <f t="shared" ca="1" si="3"/>
        <v>7.2063784193184509E-3</v>
      </c>
      <c r="N25" s="62">
        <f>IFERROR(VLOOKUP(C25,'[1]pesos FIA'!$E$2:$F$74,2,0),0)</f>
        <v>9.3334999999999998E-3</v>
      </c>
      <c r="O25" s="26">
        <f t="shared" ca="1" si="4"/>
        <v>-2.1271215806815489E-3</v>
      </c>
      <c r="P25" s="73">
        <f t="shared" ca="1" si="5"/>
        <v>243693.09940652392</v>
      </c>
      <c r="Q25" s="73">
        <f t="shared" ca="1" si="6"/>
        <v>7100</v>
      </c>
      <c r="R25" s="73">
        <f t="shared" ca="1" si="7"/>
        <v>1600</v>
      </c>
      <c r="S25" s="73">
        <f t="shared" ca="1" si="8"/>
        <v>0</v>
      </c>
      <c r="T25" s="73">
        <f t="shared" ca="1" si="9"/>
        <v>242891</v>
      </c>
      <c r="V25" s="65">
        <f t="shared" ca="1" si="10"/>
        <v>6700</v>
      </c>
      <c r="W25" s="73">
        <f t="shared" ca="1" si="11"/>
        <v>229207</v>
      </c>
      <c r="X25" s="62">
        <f t="shared" ca="1" si="12"/>
        <v>8.7113399063803807E-3</v>
      </c>
      <c r="Y25" s="26">
        <f t="shared" ca="1" si="13"/>
        <v>-6.2216009361961908E-4</v>
      </c>
      <c r="AA25">
        <f t="shared" si="14"/>
        <v>6700</v>
      </c>
      <c r="AE25" s="74">
        <v>29</v>
      </c>
      <c r="AF25" s="74" t="s">
        <v>527</v>
      </c>
      <c r="AG25" s="74" t="s">
        <v>528</v>
      </c>
      <c r="AH25" s="75" t="s">
        <v>125</v>
      </c>
      <c r="AI25" s="77">
        <v>1900</v>
      </c>
      <c r="AJ25" s="74">
        <f t="shared" si="15"/>
        <v>-1900</v>
      </c>
      <c r="AK25" s="74"/>
    </row>
    <row r="26" spans="1:37" x14ac:dyDescent="0.3">
      <c r="A26" s="64">
        <v>46128</v>
      </c>
      <c r="B26">
        <v>29</v>
      </c>
      <c r="C26" t="s">
        <v>107</v>
      </c>
      <c r="D26" t="s">
        <v>368</v>
      </c>
      <c r="E26" t="s">
        <v>343</v>
      </c>
      <c r="F26">
        <v>17400</v>
      </c>
      <c r="G26">
        <v>500</v>
      </c>
      <c r="H26">
        <v>17900</v>
      </c>
      <c r="I26">
        <f t="shared" ca="1" si="0"/>
        <v>0</v>
      </c>
      <c r="J26">
        <f t="shared" ca="1" si="1"/>
        <v>17900</v>
      </c>
      <c r="K26">
        <f t="shared" si="16"/>
        <v>18.88</v>
      </c>
      <c r="L26">
        <f t="shared" ca="1" si="2"/>
        <v>337952</v>
      </c>
      <c r="M26" s="62">
        <f t="shared" ca="1" si="3"/>
        <v>1.2943636892803853E-2</v>
      </c>
      <c r="N26" s="62">
        <f>IFERROR(VLOOKUP(C26,'[1]pesos FIA'!$E$2:$F$74,2,0),0)</f>
        <v>0</v>
      </c>
      <c r="O26" s="26">
        <f t="shared" ca="1" si="4"/>
        <v>1.2943636892803853E-2</v>
      </c>
      <c r="P26" s="73">
        <f t="shared" ca="1" si="5"/>
        <v>0</v>
      </c>
      <c r="Q26" s="73">
        <f t="shared" ca="1" si="6"/>
        <v>0</v>
      </c>
      <c r="R26" s="73">
        <f t="shared" ca="1" si="7"/>
        <v>-17900</v>
      </c>
      <c r="S26" s="73">
        <f t="shared" ca="1" si="8"/>
        <v>0</v>
      </c>
      <c r="T26" s="73">
        <f t="shared" ca="1" si="9"/>
        <v>0</v>
      </c>
      <c r="V26" s="65">
        <f t="shared" ca="1" si="10"/>
        <v>0</v>
      </c>
      <c r="W26" s="73">
        <f t="shared" ca="1" si="11"/>
        <v>0</v>
      </c>
      <c r="X26" s="62">
        <f t="shared" ca="1" si="12"/>
        <v>0</v>
      </c>
      <c r="Y26" s="26">
        <f t="shared" ca="1" si="13"/>
        <v>0</v>
      </c>
      <c r="AA26">
        <f t="shared" si="14"/>
        <v>0</v>
      </c>
      <c r="AE26" s="74">
        <v>29</v>
      </c>
      <c r="AF26" s="74" t="s">
        <v>527</v>
      </c>
      <c r="AG26" s="74" t="s">
        <v>528</v>
      </c>
      <c r="AH26" s="75" t="s">
        <v>117</v>
      </c>
      <c r="AI26" s="77">
        <v>6000</v>
      </c>
      <c r="AJ26" s="74">
        <f t="shared" si="15"/>
        <v>-6000</v>
      </c>
      <c r="AK26" s="74"/>
    </row>
    <row r="27" spans="1:37" x14ac:dyDescent="0.3">
      <c r="A27" s="64">
        <v>46128</v>
      </c>
      <c r="B27">
        <v>29</v>
      </c>
      <c r="C27" t="s">
        <v>194</v>
      </c>
      <c r="D27" t="s">
        <v>369</v>
      </c>
      <c r="E27" t="s">
        <v>343</v>
      </c>
      <c r="F27">
        <v>1900</v>
      </c>
      <c r="G27">
        <v>0</v>
      </c>
      <c r="H27">
        <v>1900</v>
      </c>
      <c r="I27">
        <f t="shared" ca="1" si="0"/>
        <v>0</v>
      </c>
      <c r="J27">
        <f t="shared" ca="1" si="1"/>
        <v>1900</v>
      </c>
      <c r="K27">
        <f t="shared" si="16"/>
        <v>27.25</v>
      </c>
      <c r="L27">
        <f t="shared" ca="1" si="2"/>
        <v>51775</v>
      </c>
      <c r="M27" s="62">
        <f t="shared" ca="1" si="3"/>
        <v>1.9829940350254462E-3</v>
      </c>
      <c r="N27" s="62">
        <f>IFERROR(VLOOKUP(C27,'[1]pesos FIA'!$E$2:$F$74,2,0),0)</f>
        <v>0</v>
      </c>
      <c r="O27" s="26">
        <f t="shared" ca="1" si="4"/>
        <v>1.9829940350254462E-3</v>
      </c>
      <c r="P27" s="73">
        <f t="shared" ca="1" si="5"/>
        <v>0</v>
      </c>
      <c r="Q27" s="73">
        <f t="shared" ca="1" si="6"/>
        <v>0</v>
      </c>
      <c r="R27" s="73">
        <f t="shared" ca="1" si="7"/>
        <v>-1900</v>
      </c>
      <c r="S27" s="73">
        <f t="shared" ca="1" si="8"/>
        <v>0</v>
      </c>
      <c r="T27" s="73">
        <f t="shared" ca="1" si="9"/>
        <v>0</v>
      </c>
      <c r="V27" s="65">
        <f t="shared" ca="1" si="10"/>
        <v>0</v>
      </c>
      <c r="W27" s="73">
        <f t="shared" ca="1" si="11"/>
        <v>0</v>
      </c>
      <c r="X27" s="62">
        <f t="shared" ca="1" si="12"/>
        <v>0</v>
      </c>
      <c r="Y27" s="26">
        <f t="shared" ca="1" si="13"/>
        <v>0</v>
      </c>
      <c r="AA27">
        <f t="shared" si="14"/>
        <v>0</v>
      </c>
      <c r="AE27" s="74">
        <v>29</v>
      </c>
      <c r="AF27" s="74" t="s">
        <v>527</v>
      </c>
      <c r="AG27" s="74" t="s">
        <v>528</v>
      </c>
      <c r="AH27" s="75" t="s">
        <v>60</v>
      </c>
      <c r="AI27" s="77">
        <v>5400</v>
      </c>
      <c r="AJ27" s="74">
        <f t="shared" si="15"/>
        <v>-5400</v>
      </c>
      <c r="AK27" s="74"/>
    </row>
    <row r="28" spans="1:37" x14ac:dyDescent="0.3">
      <c r="A28" s="64">
        <v>46128</v>
      </c>
      <c r="B28">
        <v>29</v>
      </c>
      <c r="C28" t="s">
        <v>151</v>
      </c>
      <c r="D28" t="s">
        <v>370</v>
      </c>
      <c r="E28" t="s">
        <v>343</v>
      </c>
      <c r="F28">
        <v>7200</v>
      </c>
      <c r="G28">
        <v>0</v>
      </c>
      <c r="H28">
        <v>7200</v>
      </c>
      <c r="I28">
        <f t="shared" ca="1" si="0"/>
        <v>0</v>
      </c>
      <c r="J28">
        <f t="shared" ca="1" si="1"/>
        <v>7200</v>
      </c>
      <c r="K28">
        <f t="shared" si="16"/>
        <v>14.27</v>
      </c>
      <c r="L28">
        <f t="shared" ca="1" si="2"/>
        <v>102744</v>
      </c>
      <c r="M28" s="62">
        <f t="shared" ca="1" si="3"/>
        <v>3.9351180904810129E-3</v>
      </c>
      <c r="N28" s="62">
        <f>IFERROR(VLOOKUP(C28,'[1]pesos FIA'!$E$2:$F$74,2,0),0)</f>
        <v>6.3637499999999996E-3</v>
      </c>
      <c r="O28" s="26">
        <f t="shared" ca="1" si="4"/>
        <v>-2.4286319095189867E-3</v>
      </c>
      <c r="P28" s="73">
        <f t="shared" ca="1" si="5"/>
        <v>166154.38595899357</v>
      </c>
      <c r="Q28" s="73">
        <f t="shared" ca="1" si="6"/>
        <v>11600</v>
      </c>
      <c r="R28" s="73">
        <f t="shared" ca="1" si="7"/>
        <v>4400</v>
      </c>
      <c r="S28" s="73">
        <f t="shared" ca="1" si="8"/>
        <v>0</v>
      </c>
      <c r="T28" s="73">
        <f t="shared" ca="1" si="9"/>
        <v>165532</v>
      </c>
      <c r="V28" s="65">
        <f t="shared" ca="1" si="10"/>
        <v>10700</v>
      </c>
      <c r="W28" s="73">
        <f t="shared" ca="1" si="11"/>
        <v>152689</v>
      </c>
      <c r="X28" s="62">
        <f t="shared" ca="1" si="12"/>
        <v>5.8031638604637463E-3</v>
      </c>
      <c r="Y28" s="26">
        <f t="shared" ca="1" si="13"/>
        <v>-5.6058613953625328E-4</v>
      </c>
      <c r="AA28">
        <f t="shared" si="14"/>
        <v>10700</v>
      </c>
      <c r="AE28" s="74">
        <v>29</v>
      </c>
      <c r="AF28" s="74" t="s">
        <v>527</v>
      </c>
      <c r="AG28" s="74" t="s">
        <v>528</v>
      </c>
      <c r="AH28" s="75" t="s">
        <v>112</v>
      </c>
      <c r="AI28" s="77">
        <v>5400</v>
      </c>
      <c r="AJ28" s="74">
        <f t="shared" si="15"/>
        <v>-5400</v>
      </c>
      <c r="AK28" s="74"/>
    </row>
    <row r="29" spans="1:37" x14ac:dyDescent="0.3">
      <c r="A29" s="64">
        <v>46128</v>
      </c>
      <c r="B29">
        <v>29</v>
      </c>
      <c r="C29" t="s">
        <v>156</v>
      </c>
      <c r="D29" t="s">
        <v>371</v>
      </c>
      <c r="E29" t="s">
        <v>343</v>
      </c>
      <c r="F29">
        <v>18800</v>
      </c>
      <c r="G29">
        <v>0</v>
      </c>
      <c r="H29">
        <v>18800</v>
      </c>
      <c r="I29">
        <f t="shared" ca="1" si="0"/>
        <v>0</v>
      </c>
      <c r="J29">
        <f t="shared" ca="1" si="1"/>
        <v>18800</v>
      </c>
      <c r="K29">
        <f t="shared" si="16"/>
        <v>9.98</v>
      </c>
      <c r="L29">
        <f t="shared" ca="1" si="2"/>
        <v>187624</v>
      </c>
      <c r="M29" s="62">
        <f t="shared" ca="1" si="3"/>
        <v>7.1860410010162103E-3</v>
      </c>
      <c r="N29" s="62">
        <f>IFERROR(VLOOKUP(C29,'[1]pesos FIA'!$E$2:$F$74,2,0),0)</f>
        <v>0</v>
      </c>
      <c r="O29" s="26">
        <f t="shared" ca="1" si="4"/>
        <v>7.1860410010162103E-3</v>
      </c>
      <c r="P29" s="73">
        <f t="shared" ca="1" si="5"/>
        <v>0</v>
      </c>
      <c r="Q29" s="73">
        <f t="shared" ca="1" si="6"/>
        <v>0</v>
      </c>
      <c r="R29" s="73">
        <f t="shared" ca="1" si="7"/>
        <v>-18800</v>
      </c>
      <c r="S29" s="73">
        <f t="shared" ca="1" si="8"/>
        <v>0</v>
      </c>
      <c r="T29" s="73">
        <f t="shared" ca="1" si="9"/>
        <v>0</v>
      </c>
      <c r="V29" s="65">
        <f t="shared" ca="1" si="10"/>
        <v>0</v>
      </c>
      <c r="W29" s="73">
        <f t="shared" ca="1" si="11"/>
        <v>0</v>
      </c>
      <c r="X29" s="62">
        <f t="shared" ca="1" si="12"/>
        <v>0</v>
      </c>
      <c r="Y29" s="26">
        <f t="shared" ca="1" si="13"/>
        <v>0</v>
      </c>
      <c r="AA29">
        <f t="shared" si="14"/>
        <v>0</v>
      </c>
      <c r="AE29" s="74">
        <v>29</v>
      </c>
      <c r="AF29" s="74" t="s">
        <v>527</v>
      </c>
      <c r="AG29" s="74" t="s">
        <v>528</v>
      </c>
      <c r="AH29" s="75" t="s">
        <v>78</v>
      </c>
      <c r="AI29" s="77">
        <v>4600</v>
      </c>
      <c r="AJ29" s="74">
        <f t="shared" si="15"/>
        <v>-4600</v>
      </c>
      <c r="AK29" s="74"/>
    </row>
    <row r="30" spans="1:37" x14ac:dyDescent="0.3">
      <c r="A30" s="64">
        <v>46128</v>
      </c>
      <c r="B30">
        <v>29</v>
      </c>
      <c r="C30" t="s">
        <v>54</v>
      </c>
      <c r="D30" t="s">
        <v>372</v>
      </c>
      <c r="E30" t="s">
        <v>343</v>
      </c>
      <c r="F30">
        <v>20005</v>
      </c>
      <c r="G30">
        <v>0</v>
      </c>
      <c r="H30">
        <v>20005</v>
      </c>
      <c r="I30">
        <f t="shared" ca="1" si="0"/>
        <v>0</v>
      </c>
      <c r="J30">
        <f t="shared" ca="1" si="1"/>
        <v>20005</v>
      </c>
      <c r="K30">
        <f t="shared" si="16"/>
        <v>7.18</v>
      </c>
      <c r="L30">
        <f t="shared" ca="1" si="2"/>
        <v>143635.9</v>
      </c>
      <c r="M30" s="62">
        <f t="shared" ca="1" si="3"/>
        <v>5.5012869708452239E-3</v>
      </c>
      <c r="N30" s="62">
        <f>IFERROR(VLOOKUP(C30,'[1]pesos FIA'!$E$2:$F$74,2,0),0)</f>
        <v>1.0182E-2</v>
      </c>
      <c r="O30" s="26">
        <f t="shared" ca="1" si="4"/>
        <v>-4.6807130291547762E-3</v>
      </c>
      <c r="P30" s="73">
        <f t="shared" ca="1" si="5"/>
        <v>265847.01753438974</v>
      </c>
      <c r="Q30" s="73">
        <f t="shared" ca="1" si="6"/>
        <v>37000</v>
      </c>
      <c r="R30" s="73">
        <f t="shared" ca="1" si="7"/>
        <v>16995</v>
      </c>
      <c r="S30" s="73">
        <f t="shared" ca="1" si="8"/>
        <v>0</v>
      </c>
      <c r="T30" s="73">
        <f t="shared" ca="1" si="9"/>
        <v>265660</v>
      </c>
      <c r="V30" s="65">
        <f t="shared" ca="1" si="10"/>
        <v>35105</v>
      </c>
      <c r="W30" s="73">
        <f t="shared" ca="1" si="11"/>
        <v>252053.9</v>
      </c>
      <c r="X30" s="62">
        <f t="shared" ca="1" si="12"/>
        <v>9.5796690224504918E-3</v>
      </c>
      <c r="Y30" s="26">
        <f t="shared" ca="1" si="13"/>
        <v>-6.0233097754950823E-4</v>
      </c>
      <c r="AA30">
        <f t="shared" si="14"/>
        <v>35105</v>
      </c>
      <c r="AE30" s="74">
        <v>29</v>
      </c>
      <c r="AF30" s="74" t="s">
        <v>527</v>
      </c>
      <c r="AG30" s="74" t="s">
        <v>528</v>
      </c>
      <c r="AH30" s="75" t="s">
        <v>113</v>
      </c>
      <c r="AI30" s="77">
        <v>4500</v>
      </c>
      <c r="AJ30" s="74">
        <f t="shared" si="15"/>
        <v>-4500</v>
      </c>
      <c r="AK30" s="74"/>
    </row>
    <row r="31" spans="1:37" x14ac:dyDescent="0.3">
      <c r="A31" s="64">
        <v>46128</v>
      </c>
      <c r="B31">
        <v>29</v>
      </c>
      <c r="C31" t="s">
        <v>120</v>
      </c>
      <c r="D31" t="s">
        <v>373</v>
      </c>
      <c r="E31" t="s">
        <v>343</v>
      </c>
      <c r="F31">
        <v>19466</v>
      </c>
      <c r="G31">
        <v>0</v>
      </c>
      <c r="H31">
        <v>19466</v>
      </c>
      <c r="I31">
        <f t="shared" ca="1" si="0"/>
        <v>0</v>
      </c>
      <c r="J31">
        <f t="shared" ca="1" si="1"/>
        <v>19466</v>
      </c>
      <c r="K31">
        <f t="shared" si="16"/>
        <v>9.36</v>
      </c>
      <c r="L31">
        <f t="shared" ca="1" si="2"/>
        <v>182201.75999999998</v>
      </c>
      <c r="M31" s="62">
        <f t="shared" ca="1" si="3"/>
        <v>6.9783680009876939E-3</v>
      </c>
      <c r="N31" s="62">
        <f>IFERROR(VLOOKUP(C31,'[1]pesos FIA'!$E$2:$F$74,2,0),0)</f>
        <v>0</v>
      </c>
      <c r="O31" s="26">
        <f t="shared" ca="1" si="4"/>
        <v>6.9783680009876939E-3</v>
      </c>
      <c r="P31" s="73">
        <f t="shared" ca="1" si="5"/>
        <v>0</v>
      </c>
      <c r="Q31" s="73">
        <f t="shared" ca="1" si="6"/>
        <v>0</v>
      </c>
      <c r="R31" s="73">
        <f t="shared" ca="1" si="7"/>
        <v>-19466</v>
      </c>
      <c r="S31" s="73">
        <f t="shared" ca="1" si="8"/>
        <v>0</v>
      </c>
      <c r="T31" s="73">
        <f t="shared" ca="1" si="9"/>
        <v>0</v>
      </c>
      <c r="V31" s="65">
        <f t="shared" ca="1" si="10"/>
        <v>0</v>
      </c>
      <c r="W31" s="73">
        <f t="shared" ca="1" si="11"/>
        <v>0</v>
      </c>
      <c r="X31" s="62">
        <f t="shared" ca="1" si="12"/>
        <v>0</v>
      </c>
      <c r="Y31" s="26">
        <f t="shared" ca="1" si="13"/>
        <v>0</v>
      </c>
      <c r="AA31">
        <f t="shared" si="14"/>
        <v>0</v>
      </c>
      <c r="AE31" s="74">
        <v>29</v>
      </c>
      <c r="AF31" s="74" t="s">
        <v>527</v>
      </c>
      <c r="AG31" s="74" t="s">
        <v>528</v>
      </c>
      <c r="AH31" s="75" t="s">
        <v>124</v>
      </c>
      <c r="AI31" s="77">
        <v>1200</v>
      </c>
      <c r="AJ31" s="74">
        <f t="shared" si="15"/>
        <v>-1200</v>
      </c>
      <c r="AK31" s="74"/>
    </row>
    <row r="32" spans="1:37" x14ac:dyDescent="0.3">
      <c r="A32" s="64">
        <v>46128</v>
      </c>
      <c r="B32">
        <v>29</v>
      </c>
      <c r="C32" t="s">
        <v>58</v>
      </c>
      <c r="D32" t="s">
        <v>374</v>
      </c>
      <c r="E32" t="s">
        <v>343</v>
      </c>
      <c r="F32">
        <v>21800</v>
      </c>
      <c r="G32">
        <v>0</v>
      </c>
      <c r="H32">
        <v>21800</v>
      </c>
      <c r="I32">
        <f t="shared" ca="1" si="0"/>
        <v>0</v>
      </c>
      <c r="J32">
        <f t="shared" ca="1" si="1"/>
        <v>21800</v>
      </c>
      <c r="K32">
        <f t="shared" si="16"/>
        <v>4.71</v>
      </c>
      <c r="L32">
        <f t="shared" ca="1" si="2"/>
        <v>102678</v>
      </c>
      <c r="M32" s="62">
        <f t="shared" ca="1" si="3"/>
        <v>3.9325902757767796E-3</v>
      </c>
      <c r="N32" s="62">
        <f>IFERROR(VLOOKUP(C32,'[1]pesos FIA'!$E$2:$F$74,2,0),0)</f>
        <v>7.6365000000000001E-3</v>
      </c>
      <c r="O32" s="26">
        <f t="shared" ca="1" si="4"/>
        <v>-3.7039097242232205E-3</v>
      </c>
      <c r="P32" s="73">
        <f t="shared" ca="1" si="5"/>
        <v>199385.26315079231</v>
      </c>
      <c r="Q32" s="73">
        <f t="shared" ca="1" si="6"/>
        <v>42300</v>
      </c>
      <c r="R32" s="73">
        <f t="shared" ca="1" si="7"/>
        <v>20500</v>
      </c>
      <c r="S32" s="73">
        <f t="shared" ca="1" si="8"/>
        <v>0</v>
      </c>
      <c r="T32" s="73">
        <f t="shared" ca="1" si="9"/>
        <v>199233</v>
      </c>
      <c r="V32" s="65">
        <f t="shared" ca="1" si="10"/>
        <v>39300</v>
      </c>
      <c r="W32" s="73">
        <f t="shared" ca="1" si="11"/>
        <v>185103</v>
      </c>
      <c r="X32" s="62">
        <f t="shared" ca="1" si="12"/>
        <v>7.0351042973850171E-3</v>
      </c>
      <c r="Y32" s="26">
        <f t="shared" ca="1" si="13"/>
        <v>-6.0139570261498292E-4</v>
      </c>
      <c r="AA32">
        <f t="shared" si="14"/>
        <v>39300</v>
      </c>
      <c r="AE32" s="74">
        <v>29</v>
      </c>
      <c r="AF32" s="74" t="s">
        <v>527</v>
      </c>
      <c r="AG32" s="74" t="s">
        <v>528</v>
      </c>
      <c r="AH32" s="75" t="s">
        <v>146</v>
      </c>
      <c r="AI32" s="77">
        <v>4200</v>
      </c>
      <c r="AJ32" s="74">
        <f t="shared" si="15"/>
        <v>-4200</v>
      </c>
      <c r="AK32" s="74"/>
    </row>
    <row r="33" spans="1:37" x14ac:dyDescent="0.3">
      <c r="A33" s="64">
        <v>46128</v>
      </c>
      <c r="B33">
        <v>29</v>
      </c>
      <c r="C33" t="s">
        <v>129</v>
      </c>
      <c r="D33" t="s">
        <v>375</v>
      </c>
      <c r="E33" t="s">
        <v>343</v>
      </c>
      <c r="F33">
        <v>37000</v>
      </c>
      <c r="G33">
        <v>0</v>
      </c>
      <c r="H33">
        <v>37000</v>
      </c>
      <c r="I33">
        <f t="shared" ca="1" si="0"/>
        <v>0</v>
      </c>
      <c r="J33">
        <f t="shared" ca="1" si="1"/>
        <v>37000</v>
      </c>
      <c r="K33">
        <f t="shared" si="16"/>
        <v>2.35</v>
      </c>
      <c r="L33">
        <f t="shared" ca="1" si="2"/>
        <v>86950</v>
      </c>
      <c r="M33" s="62">
        <f t="shared" ca="1" si="3"/>
        <v>3.3302043717134242E-3</v>
      </c>
      <c r="N33" s="62">
        <f>IFERROR(VLOOKUP(C33,'[1]pesos FIA'!$E$2:$F$74,2,0),0)</f>
        <v>0</v>
      </c>
      <c r="O33" s="26">
        <f t="shared" ca="1" si="4"/>
        <v>3.3302043717134242E-3</v>
      </c>
      <c r="P33" s="73">
        <f t="shared" ca="1" si="5"/>
        <v>0</v>
      </c>
      <c r="Q33" s="73">
        <f t="shared" ca="1" si="6"/>
        <v>0</v>
      </c>
      <c r="R33" s="73">
        <f t="shared" ca="1" si="7"/>
        <v>-37000</v>
      </c>
      <c r="S33" s="73">
        <f t="shared" ca="1" si="8"/>
        <v>0</v>
      </c>
      <c r="T33" s="73">
        <f t="shared" ca="1" si="9"/>
        <v>0</v>
      </c>
      <c r="V33" s="65">
        <f t="shared" ca="1" si="10"/>
        <v>0</v>
      </c>
      <c r="W33" s="73">
        <f t="shared" ca="1" si="11"/>
        <v>0</v>
      </c>
      <c r="X33" s="62">
        <f t="shared" ca="1" si="12"/>
        <v>0</v>
      </c>
      <c r="Y33" s="26">
        <f t="shared" ca="1" si="13"/>
        <v>0</v>
      </c>
      <c r="AA33">
        <f t="shared" si="14"/>
        <v>0</v>
      </c>
      <c r="AE33" s="74">
        <v>29</v>
      </c>
      <c r="AF33" s="74" t="s">
        <v>527</v>
      </c>
      <c r="AG33" s="74" t="s">
        <v>528</v>
      </c>
      <c r="AH33" s="75" t="s">
        <v>123</v>
      </c>
      <c r="AI33" s="77">
        <v>3500</v>
      </c>
      <c r="AJ33" s="74">
        <f t="shared" si="15"/>
        <v>-3500</v>
      </c>
      <c r="AK33" s="74"/>
    </row>
    <row r="34" spans="1:37" x14ac:dyDescent="0.3">
      <c r="A34" s="64">
        <v>46128</v>
      </c>
      <c r="B34">
        <v>29</v>
      </c>
      <c r="C34" t="s">
        <v>94</v>
      </c>
      <c r="D34" t="s">
        <v>376</v>
      </c>
      <c r="E34" t="s">
        <v>343</v>
      </c>
      <c r="F34">
        <v>6400</v>
      </c>
      <c r="G34">
        <v>0</v>
      </c>
      <c r="H34">
        <v>6400</v>
      </c>
      <c r="I34">
        <f t="shared" ca="1" si="0"/>
        <v>0</v>
      </c>
      <c r="J34">
        <f t="shared" ca="1" si="1"/>
        <v>6400</v>
      </c>
      <c r="K34">
        <f t="shared" si="16"/>
        <v>29.82</v>
      </c>
      <c r="L34">
        <f t="shared" ca="1" si="2"/>
        <v>190848</v>
      </c>
      <c r="M34" s="62">
        <f t="shared" ca="1" si="3"/>
        <v>7.309520919295728E-3</v>
      </c>
      <c r="N34" s="62">
        <f>IFERROR(VLOOKUP(C34,'[1]pesos FIA'!$E$2:$F$74,2,0),0)</f>
        <v>0</v>
      </c>
      <c r="O34" s="26">
        <f t="shared" ca="1" si="4"/>
        <v>7.309520919295728E-3</v>
      </c>
      <c r="P34" s="73">
        <f t="shared" ca="1" si="5"/>
        <v>0</v>
      </c>
      <c r="Q34" s="73">
        <f t="shared" ca="1" si="6"/>
        <v>0</v>
      </c>
      <c r="R34" s="73">
        <f t="shared" ca="1" si="7"/>
        <v>-6400</v>
      </c>
      <c r="S34" s="73">
        <f t="shared" ca="1" si="8"/>
        <v>0</v>
      </c>
      <c r="T34" s="73">
        <f t="shared" ca="1" si="9"/>
        <v>0</v>
      </c>
      <c r="V34" s="65">
        <f t="shared" ca="1" si="10"/>
        <v>0</v>
      </c>
      <c r="W34" s="73">
        <f t="shared" ca="1" si="11"/>
        <v>0</v>
      </c>
      <c r="X34" s="62">
        <f t="shared" ca="1" si="12"/>
        <v>0</v>
      </c>
      <c r="Y34" s="26">
        <f t="shared" ca="1" si="13"/>
        <v>0</v>
      </c>
      <c r="AA34">
        <f t="shared" si="14"/>
        <v>0</v>
      </c>
      <c r="AE34" s="74">
        <v>29</v>
      </c>
      <c r="AF34" s="74" t="s">
        <v>527</v>
      </c>
      <c r="AG34" s="74" t="s">
        <v>528</v>
      </c>
      <c r="AH34" s="75" t="s">
        <v>136</v>
      </c>
      <c r="AI34" s="77">
        <v>3000</v>
      </c>
      <c r="AJ34" s="74">
        <f t="shared" si="15"/>
        <v>-3000</v>
      </c>
      <c r="AK34" s="74"/>
    </row>
    <row r="35" spans="1:37" x14ac:dyDescent="0.3">
      <c r="A35" s="64">
        <v>46128</v>
      </c>
      <c r="B35">
        <v>29</v>
      </c>
      <c r="C35" t="s">
        <v>144</v>
      </c>
      <c r="D35" t="s">
        <v>377</v>
      </c>
      <c r="E35" t="s">
        <v>343</v>
      </c>
      <c r="F35">
        <v>6400</v>
      </c>
      <c r="G35">
        <v>0</v>
      </c>
      <c r="H35">
        <v>6400</v>
      </c>
      <c r="I35">
        <f t="shared" ca="1" si="0"/>
        <v>0</v>
      </c>
      <c r="J35">
        <f t="shared" ca="1" si="1"/>
        <v>6400</v>
      </c>
      <c r="K35">
        <f t="shared" si="16"/>
        <v>31.34</v>
      </c>
      <c r="L35">
        <f t="shared" ca="1" si="2"/>
        <v>200576</v>
      </c>
      <c r="M35" s="62">
        <f t="shared" ca="1" si="3"/>
        <v>7.6821054866106006E-3</v>
      </c>
      <c r="N35" s="62">
        <f>IFERROR(VLOOKUP(C35,'[1]pesos FIA'!$E$2:$F$74,2,0),0)</f>
        <v>0</v>
      </c>
      <c r="O35" s="26">
        <f t="shared" ca="1" si="4"/>
        <v>7.6821054866106006E-3</v>
      </c>
      <c r="P35" s="73">
        <f t="shared" ca="1" si="5"/>
        <v>0</v>
      </c>
      <c r="Q35" s="73">
        <f t="shared" ca="1" si="6"/>
        <v>0</v>
      </c>
      <c r="R35" s="73">
        <f t="shared" ca="1" si="7"/>
        <v>-6400</v>
      </c>
      <c r="S35" s="73">
        <f t="shared" ca="1" si="8"/>
        <v>0</v>
      </c>
      <c r="T35" s="73">
        <f t="shared" ca="1" si="9"/>
        <v>0</v>
      </c>
      <c r="V35" s="65">
        <f t="shared" ca="1" si="10"/>
        <v>0</v>
      </c>
      <c r="W35" s="73">
        <f t="shared" ca="1" si="11"/>
        <v>0</v>
      </c>
      <c r="X35" s="62">
        <f t="shared" ca="1" si="12"/>
        <v>0</v>
      </c>
      <c r="Y35" s="26">
        <f t="shared" ca="1" si="13"/>
        <v>0</v>
      </c>
      <c r="AA35">
        <f t="shared" si="14"/>
        <v>0</v>
      </c>
      <c r="AE35" s="74">
        <v>29</v>
      </c>
      <c r="AF35" s="74" t="s">
        <v>527</v>
      </c>
      <c r="AG35" s="74" t="s">
        <v>528</v>
      </c>
      <c r="AH35" s="75" t="s">
        <v>98</v>
      </c>
      <c r="AI35" s="77">
        <v>2810</v>
      </c>
      <c r="AJ35" s="74">
        <f t="shared" si="15"/>
        <v>-2810</v>
      </c>
      <c r="AK35" s="74"/>
    </row>
    <row r="36" spans="1:37" x14ac:dyDescent="0.3">
      <c r="A36" s="64">
        <v>46128</v>
      </c>
      <c r="B36">
        <v>29</v>
      </c>
      <c r="C36" t="s">
        <v>121</v>
      </c>
      <c r="D36" t="s">
        <v>378</v>
      </c>
      <c r="E36" t="s">
        <v>343</v>
      </c>
      <c r="F36">
        <v>38200</v>
      </c>
      <c r="G36">
        <v>300</v>
      </c>
      <c r="H36">
        <v>38500</v>
      </c>
      <c r="I36">
        <f t="shared" ca="1" si="0"/>
        <v>0</v>
      </c>
      <c r="J36">
        <f t="shared" ca="1" si="1"/>
        <v>38500</v>
      </c>
      <c r="K36">
        <f t="shared" si="16"/>
        <v>14.81</v>
      </c>
      <c r="L36">
        <f t="shared" ca="1" si="2"/>
        <v>570185</v>
      </c>
      <c r="M36" s="62">
        <f t="shared" ca="1" si="3"/>
        <v>2.1838212532322238E-2</v>
      </c>
      <c r="N36" s="62">
        <f>IFERROR(VLOOKUP(C36,'[1]pesos FIA'!$E$2:$F$74,2,0),0)</f>
        <v>2.1212500000000002E-2</v>
      </c>
      <c r="O36" s="26">
        <f t="shared" ca="1" si="4"/>
        <v>6.2571253232223539E-4</v>
      </c>
      <c r="P36" s="73">
        <f t="shared" ca="1" si="5"/>
        <v>553847.95319664537</v>
      </c>
      <c r="Q36" s="73">
        <f t="shared" ca="1" si="6"/>
        <v>37400</v>
      </c>
      <c r="R36" s="73">
        <f t="shared" ca="1" si="7"/>
        <v>-1100</v>
      </c>
      <c r="S36" s="73">
        <f t="shared" ca="1" si="8"/>
        <v>0</v>
      </c>
      <c r="T36" s="73">
        <f t="shared" ca="1" si="9"/>
        <v>553894</v>
      </c>
      <c r="V36" s="65">
        <f t="shared" ca="1" si="10"/>
        <v>37500</v>
      </c>
      <c r="W36" s="73">
        <f t="shared" ca="1" si="11"/>
        <v>555375</v>
      </c>
      <c r="X36" s="62">
        <f t="shared" ca="1" si="12"/>
        <v>2.1107821316565391E-2</v>
      </c>
      <c r="Y36" s="26">
        <f t="shared" ca="1" si="13"/>
        <v>-1.046786834346114E-4</v>
      </c>
      <c r="AA36">
        <f t="shared" si="14"/>
        <v>37500</v>
      </c>
      <c r="AE36" s="74">
        <v>29</v>
      </c>
      <c r="AF36" s="74" t="s">
        <v>527</v>
      </c>
      <c r="AG36" s="74" t="s">
        <v>528</v>
      </c>
      <c r="AH36" s="75" t="s">
        <v>73</v>
      </c>
      <c r="AI36" s="77">
        <v>2500</v>
      </c>
      <c r="AJ36" s="74">
        <f t="shared" si="15"/>
        <v>-2500</v>
      </c>
      <c r="AK36" s="74"/>
    </row>
    <row r="37" spans="1:37" x14ac:dyDescent="0.3">
      <c r="A37" s="64">
        <v>46128</v>
      </c>
      <c r="B37">
        <v>29</v>
      </c>
      <c r="C37" t="s">
        <v>110</v>
      </c>
      <c r="D37" t="s">
        <v>379</v>
      </c>
      <c r="E37" t="s">
        <v>343</v>
      </c>
      <c r="F37">
        <v>8994</v>
      </c>
      <c r="G37">
        <v>0</v>
      </c>
      <c r="H37">
        <v>8994</v>
      </c>
      <c r="I37">
        <f t="shared" ca="1" si="0"/>
        <v>15800</v>
      </c>
      <c r="J37">
        <f t="shared" ca="1" si="1"/>
        <v>24794</v>
      </c>
      <c r="K37">
        <f t="shared" si="16"/>
        <v>46.86</v>
      </c>
      <c r="L37">
        <f t="shared" ca="1" si="2"/>
        <v>1161846.8400000001</v>
      </c>
      <c r="M37" s="62">
        <f t="shared" ca="1" si="3"/>
        <v>4.4498992821500029E-2</v>
      </c>
      <c r="N37" s="62">
        <f>IFERROR(VLOOKUP(C37,'[1]pesos FIA'!$E$2:$F$74,2,0),0)</f>
        <v>1.9515500000000002E-2</v>
      </c>
      <c r="O37" s="26">
        <f t="shared" ca="1" si="4"/>
        <v>2.4983492821500027E-2</v>
      </c>
      <c r="P37" s="73">
        <f t="shared" ca="1" si="5"/>
        <v>509540.11694091372</v>
      </c>
      <c r="Q37" s="73">
        <f t="shared" ca="1" si="6"/>
        <v>10900</v>
      </c>
      <c r="R37" s="73">
        <f t="shared" ca="1" si="7"/>
        <v>-13894</v>
      </c>
      <c r="S37" s="73">
        <f t="shared" ca="1" si="8"/>
        <v>1</v>
      </c>
      <c r="T37" s="73">
        <f t="shared" ca="1" si="9"/>
        <v>510774</v>
      </c>
      <c r="V37" s="65">
        <f t="shared" ca="1" si="10"/>
        <v>15994</v>
      </c>
      <c r="W37" s="73">
        <f t="shared" ca="1" si="11"/>
        <v>749478.84</v>
      </c>
      <c r="X37" s="62">
        <f t="shared" ca="1" si="12"/>
        <v>2.8485015413489446E-2</v>
      </c>
      <c r="Y37" s="26">
        <f t="shared" ca="1" si="13"/>
        <v>8.9695154134894449E-3</v>
      </c>
      <c r="AA37">
        <f t="shared" si="14"/>
        <v>194</v>
      </c>
      <c r="AE37" s="74">
        <v>29</v>
      </c>
      <c r="AF37" s="74" t="s">
        <v>527</v>
      </c>
      <c r="AG37" s="74" t="s">
        <v>528</v>
      </c>
      <c r="AH37" s="75" t="s">
        <v>194</v>
      </c>
      <c r="AI37" s="77">
        <v>1900</v>
      </c>
      <c r="AJ37" s="74">
        <f t="shared" si="15"/>
        <v>-1900</v>
      </c>
      <c r="AK37" s="74"/>
    </row>
    <row r="38" spans="1:37" x14ac:dyDescent="0.3">
      <c r="A38" s="64">
        <v>46128</v>
      </c>
      <c r="B38">
        <v>29</v>
      </c>
      <c r="C38" t="s">
        <v>135</v>
      </c>
      <c r="D38" t="s">
        <v>380</v>
      </c>
      <c r="E38" t="s">
        <v>343</v>
      </c>
      <c r="F38">
        <v>21113</v>
      </c>
      <c r="G38">
        <v>0</v>
      </c>
      <c r="H38">
        <v>21113</v>
      </c>
      <c r="I38">
        <f t="shared" ca="1" si="0"/>
        <v>0</v>
      </c>
      <c r="J38">
        <f t="shared" ca="1" si="1"/>
        <v>21113</v>
      </c>
      <c r="K38">
        <f t="shared" ref="K38:K67" si="17">VLOOKUP(C38,$L$138:$M$230,2,0)</f>
        <v>46.98</v>
      </c>
      <c r="L38">
        <f t="shared" ca="1" si="2"/>
        <v>991888.74</v>
      </c>
      <c r="M38" s="62">
        <f t="shared" ca="1" si="3"/>
        <v>3.7989559726294649E-2</v>
      </c>
      <c r="N38" s="62">
        <f>IFERROR(VLOOKUP(C38,'[1]pesos FIA'!$E$2:$F$74,2,0),0)</f>
        <v>2.63035E-2</v>
      </c>
      <c r="O38" s="26">
        <f t="shared" ca="1" si="4"/>
        <v>1.1686059726294648E-2</v>
      </c>
      <c r="P38" s="73">
        <f t="shared" ca="1" si="5"/>
        <v>686771.46196384018</v>
      </c>
      <c r="Q38" s="73">
        <f t="shared" ca="1" si="6"/>
        <v>14600</v>
      </c>
      <c r="R38" s="73">
        <f t="shared" ca="1" si="7"/>
        <v>-6513</v>
      </c>
      <c r="S38" s="73">
        <f t="shared" ca="1" si="8"/>
        <v>0</v>
      </c>
      <c r="T38" s="73">
        <f t="shared" ca="1" si="9"/>
        <v>685908</v>
      </c>
      <c r="V38" s="65">
        <f t="shared" ca="1" si="10"/>
        <v>14713</v>
      </c>
      <c r="W38" s="73">
        <f t="shared" ca="1" si="11"/>
        <v>691216.74</v>
      </c>
      <c r="X38" s="62">
        <f t="shared" ca="1" si="12"/>
        <v>2.6270680961402365E-2</v>
      </c>
      <c r="Y38" s="26">
        <f t="shared" ca="1" si="13"/>
        <v>-3.2819038597635408E-5</v>
      </c>
      <c r="AA38">
        <f t="shared" si="14"/>
        <v>14713</v>
      </c>
      <c r="AE38" s="74">
        <v>29</v>
      </c>
      <c r="AF38" s="74" t="s">
        <v>527</v>
      </c>
      <c r="AG38" s="74" t="s">
        <v>528</v>
      </c>
      <c r="AH38" s="75" t="s">
        <v>182</v>
      </c>
      <c r="AI38" s="77">
        <v>1200</v>
      </c>
      <c r="AJ38" s="74">
        <f t="shared" si="15"/>
        <v>-1200</v>
      </c>
      <c r="AK38" s="74"/>
    </row>
    <row r="39" spans="1:37" x14ac:dyDescent="0.3">
      <c r="A39" s="64">
        <v>46128</v>
      </c>
      <c r="B39">
        <v>29</v>
      </c>
      <c r="C39" t="s">
        <v>91</v>
      </c>
      <c r="D39" t="s">
        <v>381</v>
      </c>
      <c r="E39" t="s">
        <v>343</v>
      </c>
      <c r="F39">
        <v>26800</v>
      </c>
      <c r="G39">
        <v>0</v>
      </c>
      <c r="H39">
        <v>26800</v>
      </c>
      <c r="I39">
        <f t="shared" ca="1" si="0"/>
        <v>0</v>
      </c>
      <c r="J39">
        <f t="shared" ca="1" si="1"/>
        <v>26800</v>
      </c>
      <c r="K39">
        <f t="shared" si="17"/>
        <v>13.26</v>
      </c>
      <c r="L39">
        <f t="shared" ca="1" si="2"/>
        <v>355368</v>
      </c>
      <c r="M39" s="62">
        <f t="shared" ca="1" si="3"/>
        <v>1.3610673572939115E-2</v>
      </c>
      <c r="N39" s="62">
        <f>IFERROR(VLOOKUP(C39,'[1]pesos FIA'!$E$2:$F$74,2,0),0)</f>
        <v>9.3334999999999998E-3</v>
      </c>
      <c r="O39" s="26">
        <f t="shared" ca="1" si="4"/>
        <v>4.277173572939115E-3</v>
      </c>
      <c r="P39" s="73">
        <f t="shared" ca="1" si="5"/>
        <v>243693.09940652392</v>
      </c>
      <c r="Q39" s="73">
        <f t="shared" ca="1" si="6"/>
        <v>18400</v>
      </c>
      <c r="R39" s="73">
        <f t="shared" ca="1" si="7"/>
        <v>-8400</v>
      </c>
      <c r="S39" s="73">
        <f t="shared" ca="1" si="8"/>
        <v>0</v>
      </c>
      <c r="T39" s="73">
        <f t="shared" ca="1" si="9"/>
        <v>243984</v>
      </c>
      <c r="V39" s="65">
        <f t="shared" ca="1" si="10"/>
        <v>18000</v>
      </c>
      <c r="W39" s="73">
        <f t="shared" ca="1" si="11"/>
        <v>238680</v>
      </c>
      <c r="X39" s="62">
        <f t="shared" ca="1" si="12"/>
        <v>9.0713748221252812E-3</v>
      </c>
      <c r="Y39" s="26">
        <f t="shared" ca="1" si="13"/>
        <v>-2.6212517787471863E-4</v>
      </c>
      <c r="AA39">
        <f t="shared" si="14"/>
        <v>18000</v>
      </c>
      <c r="AE39" s="74">
        <v>29</v>
      </c>
      <c r="AF39" s="74" t="s">
        <v>527</v>
      </c>
      <c r="AG39" s="74" t="s">
        <v>528</v>
      </c>
      <c r="AH39" s="75" t="s">
        <v>121</v>
      </c>
      <c r="AI39" s="77">
        <v>1000</v>
      </c>
      <c r="AJ39" s="74">
        <f t="shared" si="15"/>
        <v>-1000</v>
      </c>
      <c r="AK39" s="74"/>
    </row>
    <row r="40" spans="1:37" x14ac:dyDescent="0.3">
      <c r="A40" s="64">
        <v>46128</v>
      </c>
      <c r="B40">
        <v>29</v>
      </c>
      <c r="C40" t="s">
        <v>61</v>
      </c>
      <c r="D40" t="s">
        <v>382</v>
      </c>
      <c r="E40" t="s">
        <v>343</v>
      </c>
      <c r="F40">
        <v>14400</v>
      </c>
      <c r="G40">
        <v>0</v>
      </c>
      <c r="H40">
        <v>14400</v>
      </c>
      <c r="I40">
        <f t="shared" ca="1" si="0"/>
        <v>0</v>
      </c>
      <c r="J40">
        <f t="shared" ca="1" si="1"/>
        <v>14400</v>
      </c>
      <c r="K40">
        <f t="shared" si="17"/>
        <v>15</v>
      </c>
      <c r="L40">
        <f t="shared" ca="1" si="2"/>
        <v>216000</v>
      </c>
      <c r="M40" s="62">
        <f t="shared" ca="1" si="3"/>
        <v>8.2728481229453667E-3</v>
      </c>
      <c r="N40" s="62">
        <f>IFERROR(VLOOKUP(C40,'[1]pesos FIA'!$E$2:$F$74,2,0),0)</f>
        <v>9.3334999999999998E-3</v>
      </c>
      <c r="O40" s="26">
        <f t="shared" ca="1" si="4"/>
        <v>-1.060651877054633E-3</v>
      </c>
      <c r="P40" s="73">
        <f t="shared" ca="1" si="5"/>
        <v>243693.09940652392</v>
      </c>
      <c r="Q40" s="73">
        <f t="shared" ca="1" si="6"/>
        <v>16200</v>
      </c>
      <c r="R40" s="73">
        <f t="shared" ca="1" si="7"/>
        <v>1800</v>
      </c>
      <c r="S40" s="73">
        <f t="shared" ca="1" si="8"/>
        <v>0</v>
      </c>
      <c r="T40" s="73">
        <f t="shared" ca="1" si="9"/>
        <v>243000</v>
      </c>
      <c r="V40" s="65">
        <f t="shared" ca="1" si="10"/>
        <v>15700</v>
      </c>
      <c r="W40" s="73">
        <f t="shared" ca="1" si="11"/>
        <v>235500</v>
      </c>
      <c r="X40" s="62">
        <f t="shared" ca="1" si="12"/>
        <v>8.95051437326338E-3</v>
      </c>
      <c r="Y40" s="26">
        <f t="shared" ca="1" si="13"/>
        <v>-3.8298562673661982E-4</v>
      </c>
      <c r="AA40">
        <f t="shared" si="14"/>
        <v>15700</v>
      </c>
      <c r="AE40" s="74">
        <v>29</v>
      </c>
      <c r="AF40" s="74" t="s">
        <v>527</v>
      </c>
      <c r="AG40" s="74" t="s">
        <v>528</v>
      </c>
      <c r="AH40" s="75" t="s">
        <v>56</v>
      </c>
      <c r="AI40" s="74">
        <v>700</v>
      </c>
      <c r="AJ40" s="74">
        <f t="shared" si="15"/>
        <v>-700</v>
      </c>
      <c r="AK40" s="74"/>
    </row>
    <row r="41" spans="1:37" x14ac:dyDescent="0.3">
      <c r="A41" s="64">
        <v>46128</v>
      </c>
      <c r="B41">
        <v>29</v>
      </c>
      <c r="C41" t="s">
        <v>79</v>
      </c>
      <c r="D41" t="s">
        <v>383</v>
      </c>
      <c r="E41" t="s">
        <v>343</v>
      </c>
      <c r="F41">
        <v>6100</v>
      </c>
      <c r="G41">
        <v>0</v>
      </c>
      <c r="H41">
        <v>6100</v>
      </c>
      <c r="I41">
        <f t="shared" ca="1" si="0"/>
        <v>0</v>
      </c>
      <c r="J41">
        <f t="shared" ca="1" si="1"/>
        <v>6100</v>
      </c>
      <c r="K41">
        <f t="shared" si="17"/>
        <v>36.21</v>
      </c>
      <c r="L41">
        <f t="shared" ca="1" si="2"/>
        <v>220881</v>
      </c>
      <c r="M41" s="62">
        <f t="shared" ca="1" si="3"/>
        <v>8.4597915103902573E-3</v>
      </c>
      <c r="N41" s="62">
        <f>IFERROR(VLOOKUP(C41,'[1]pesos FIA'!$E$2:$F$74,2,0),0)</f>
        <v>9.3334999999999998E-3</v>
      </c>
      <c r="O41" s="26">
        <f t="shared" ca="1" si="4"/>
        <v>-8.7370848960974246E-4</v>
      </c>
      <c r="P41" s="73">
        <f t="shared" ca="1" si="5"/>
        <v>243693.09940652392</v>
      </c>
      <c r="Q41" s="73">
        <f t="shared" ca="1" si="6"/>
        <v>6700</v>
      </c>
      <c r="R41" s="73">
        <f t="shared" ca="1" si="7"/>
        <v>600</v>
      </c>
      <c r="S41" s="73">
        <f t="shared" ca="1" si="8"/>
        <v>0</v>
      </c>
      <c r="T41" s="73">
        <f t="shared" ca="1" si="9"/>
        <v>242607</v>
      </c>
      <c r="V41" s="65">
        <f t="shared" ca="1" si="10"/>
        <v>6500</v>
      </c>
      <c r="W41" s="73">
        <f t="shared" ca="1" si="11"/>
        <v>235365</v>
      </c>
      <c r="X41" s="62">
        <f t="shared" ca="1" si="12"/>
        <v>8.9453835051513178E-3</v>
      </c>
      <c r="Y41" s="26">
        <f t="shared" ca="1" si="13"/>
        <v>-3.8811649484868198E-4</v>
      </c>
      <c r="AA41">
        <f t="shared" si="14"/>
        <v>6500</v>
      </c>
      <c r="AE41" s="74">
        <v>29</v>
      </c>
      <c r="AF41" s="74" t="s">
        <v>527</v>
      </c>
      <c r="AG41" s="74" t="s">
        <v>528</v>
      </c>
      <c r="AH41" s="75" t="s">
        <v>145</v>
      </c>
      <c r="AI41" s="74">
        <v>700</v>
      </c>
      <c r="AJ41" s="74">
        <f t="shared" si="15"/>
        <v>-700</v>
      </c>
      <c r="AK41" s="74"/>
    </row>
    <row r="42" spans="1:37" x14ac:dyDescent="0.3">
      <c r="A42" s="64">
        <v>46128</v>
      </c>
      <c r="B42">
        <v>29</v>
      </c>
      <c r="C42" t="s">
        <v>155</v>
      </c>
      <c r="D42" t="s">
        <v>384</v>
      </c>
      <c r="E42" t="s">
        <v>343</v>
      </c>
      <c r="F42">
        <v>9500</v>
      </c>
      <c r="G42">
        <v>0</v>
      </c>
      <c r="H42">
        <v>9500</v>
      </c>
      <c r="I42">
        <f t="shared" ca="1" si="0"/>
        <v>22000</v>
      </c>
      <c r="J42">
        <f t="shared" ca="1" si="1"/>
        <v>31500</v>
      </c>
      <c r="K42">
        <f t="shared" si="17"/>
        <v>5.35</v>
      </c>
      <c r="L42">
        <f t="shared" ca="1" si="2"/>
        <v>168525</v>
      </c>
      <c r="M42" s="62">
        <f t="shared" ca="1" si="3"/>
        <v>6.4545450459229997E-3</v>
      </c>
      <c r="N42" s="62">
        <f>IFERROR(VLOOKUP(C42,'[1]pesos FIA'!$E$2:$F$74,2,0),0)</f>
        <v>0</v>
      </c>
      <c r="O42" s="26">
        <f t="shared" ca="1" si="4"/>
        <v>6.4545450459229997E-3</v>
      </c>
      <c r="P42" s="73">
        <f t="shared" ca="1" si="5"/>
        <v>0</v>
      </c>
      <c r="Q42" s="73">
        <f t="shared" ca="1" si="6"/>
        <v>0</v>
      </c>
      <c r="R42" s="73">
        <f t="shared" ca="1" si="7"/>
        <v>-31500</v>
      </c>
      <c r="S42" s="73">
        <f t="shared" ca="1" si="8"/>
        <v>1</v>
      </c>
      <c r="T42" s="73">
        <f t="shared" ca="1" si="9"/>
        <v>0</v>
      </c>
      <c r="V42" s="65">
        <f t="shared" ca="1" si="10"/>
        <v>22100</v>
      </c>
      <c r="W42" s="73">
        <f t="shared" ca="1" si="11"/>
        <v>118234.99999999999</v>
      </c>
      <c r="X42" s="62">
        <f t="shared" ca="1" si="12"/>
        <v>4.4936903054046519E-3</v>
      </c>
      <c r="Y42" s="26">
        <f t="shared" ca="1" si="13"/>
        <v>4.4936903054046519E-3</v>
      </c>
      <c r="AA42">
        <f t="shared" si="14"/>
        <v>100</v>
      </c>
      <c r="AE42" s="74">
        <v>29</v>
      </c>
      <c r="AF42" s="74" t="s">
        <v>527</v>
      </c>
      <c r="AG42" s="74" t="s">
        <v>528</v>
      </c>
      <c r="AH42" s="75" t="s">
        <v>355</v>
      </c>
      <c r="AI42" s="77">
        <v>1000</v>
      </c>
      <c r="AJ42" s="74">
        <f t="shared" si="15"/>
        <v>-1000</v>
      </c>
      <c r="AK42" s="74"/>
    </row>
    <row r="43" spans="1:37" x14ac:dyDescent="0.3">
      <c r="A43" s="64">
        <v>46128</v>
      </c>
      <c r="B43">
        <v>29</v>
      </c>
      <c r="C43" t="s">
        <v>140</v>
      </c>
      <c r="D43" t="s">
        <v>385</v>
      </c>
      <c r="E43" t="s">
        <v>343</v>
      </c>
      <c r="F43">
        <v>5543</v>
      </c>
      <c r="G43">
        <v>400</v>
      </c>
      <c r="H43">
        <v>5943</v>
      </c>
      <c r="I43">
        <f t="shared" ca="1" si="0"/>
        <v>8257</v>
      </c>
      <c r="J43">
        <f t="shared" ca="1" si="1"/>
        <v>14200</v>
      </c>
      <c r="K43">
        <f t="shared" si="17"/>
        <v>19.649999999999999</v>
      </c>
      <c r="L43">
        <f t="shared" ca="1" si="2"/>
        <v>279030</v>
      </c>
      <c r="M43" s="62">
        <f t="shared" ca="1" si="3"/>
        <v>1.0686911165488174E-2</v>
      </c>
      <c r="N43" s="62">
        <f>IFERROR(VLOOKUP(C43,'[1]pesos FIA'!$E$2:$F$74,2,0),0)</f>
        <v>0</v>
      </c>
      <c r="O43" s="26">
        <f t="shared" ca="1" si="4"/>
        <v>1.0686911165488174E-2</v>
      </c>
      <c r="P43" s="73">
        <f t="shared" ca="1" si="5"/>
        <v>0</v>
      </c>
      <c r="Q43" s="73">
        <f t="shared" ca="1" si="6"/>
        <v>0</v>
      </c>
      <c r="R43" s="73">
        <f t="shared" ca="1" si="7"/>
        <v>-14200</v>
      </c>
      <c r="S43" s="73">
        <f t="shared" ca="1" si="8"/>
        <v>1</v>
      </c>
      <c r="T43" s="73">
        <f t="shared" ca="1" si="9"/>
        <v>0</v>
      </c>
      <c r="V43" s="65">
        <f t="shared" ca="1" si="10"/>
        <v>8400</v>
      </c>
      <c r="W43" s="73">
        <f t="shared" ca="1" si="11"/>
        <v>165060</v>
      </c>
      <c r="X43" s="62">
        <f t="shared" ca="1" si="12"/>
        <v>6.2733414116809064E-3</v>
      </c>
      <c r="Y43" s="26">
        <f t="shared" ca="1" si="13"/>
        <v>6.2733414116809064E-3</v>
      </c>
      <c r="AA43">
        <f t="shared" si="14"/>
        <v>143</v>
      </c>
      <c r="AE43" s="74">
        <v>29</v>
      </c>
      <c r="AF43" s="74" t="s">
        <v>527</v>
      </c>
      <c r="AG43" s="74" t="s">
        <v>528</v>
      </c>
      <c r="AH43" s="75" t="s">
        <v>357</v>
      </c>
      <c r="AI43" s="74">
        <v>800</v>
      </c>
      <c r="AJ43" s="74">
        <f t="shared" si="15"/>
        <v>-800</v>
      </c>
      <c r="AK43" s="74"/>
    </row>
    <row r="44" spans="1:37" x14ac:dyDescent="0.3">
      <c r="A44" s="64">
        <v>46128</v>
      </c>
      <c r="B44">
        <v>29</v>
      </c>
      <c r="C44" t="s">
        <v>118</v>
      </c>
      <c r="D44" t="s">
        <v>386</v>
      </c>
      <c r="E44" t="s">
        <v>343</v>
      </c>
      <c r="F44">
        <v>1600</v>
      </c>
      <c r="G44">
        <v>0</v>
      </c>
      <c r="H44">
        <v>1600</v>
      </c>
      <c r="I44">
        <f t="shared" ca="1" si="0"/>
        <v>0</v>
      </c>
      <c r="J44">
        <f t="shared" ca="1" si="1"/>
        <v>1600</v>
      </c>
      <c r="K44">
        <f t="shared" si="17"/>
        <v>32.29</v>
      </c>
      <c r="L44">
        <f t="shared" ca="1" si="2"/>
        <v>51664</v>
      </c>
      <c r="M44" s="62">
        <f t="shared" ca="1" si="3"/>
        <v>1.9787427102955992E-3</v>
      </c>
      <c r="N44" s="62">
        <f>IFERROR(VLOOKUP(C44,'[1]pesos FIA'!$E$2:$F$74,2,0),0)</f>
        <v>5.9395000000000003E-3</v>
      </c>
      <c r="O44" s="26">
        <f t="shared" ca="1" si="4"/>
        <v>-3.9607572897044016E-3</v>
      </c>
      <c r="P44" s="73">
        <f t="shared" ca="1" si="5"/>
        <v>155077.42689506069</v>
      </c>
      <c r="Q44" s="73">
        <f t="shared" ca="1" si="6"/>
        <v>4800</v>
      </c>
      <c r="R44" s="73">
        <f t="shared" ca="1" si="7"/>
        <v>3200</v>
      </c>
      <c r="S44" s="73">
        <f t="shared" ca="1" si="8"/>
        <v>0</v>
      </c>
      <c r="T44" s="73">
        <f t="shared" ca="1" si="9"/>
        <v>154992</v>
      </c>
      <c r="V44" s="65">
        <f t="shared" ca="1" si="10"/>
        <v>4100</v>
      </c>
      <c r="W44" s="73">
        <f t="shared" ca="1" si="11"/>
        <v>132389</v>
      </c>
      <c r="X44" s="62">
        <f t="shared" ca="1" si="12"/>
        <v>5.0316333221314888E-3</v>
      </c>
      <c r="Y44" s="26">
        <f t="shared" ca="1" si="13"/>
        <v>-9.0786667786851155E-4</v>
      </c>
      <c r="AA44">
        <f t="shared" si="14"/>
        <v>4100</v>
      </c>
      <c r="AE44" s="74">
        <v>29</v>
      </c>
      <c r="AF44" s="74" t="s">
        <v>529</v>
      </c>
      <c r="AG44" s="74" t="s">
        <v>530</v>
      </c>
      <c r="AH44" s="75" t="s">
        <v>79</v>
      </c>
      <c r="AI44" s="74">
        <v>400</v>
      </c>
      <c r="AJ44" s="74">
        <f t="shared" si="15"/>
        <v>400</v>
      </c>
      <c r="AK44" s="74"/>
    </row>
    <row r="45" spans="1:37" x14ac:dyDescent="0.3">
      <c r="A45" s="64">
        <v>46128</v>
      </c>
      <c r="B45">
        <v>29</v>
      </c>
      <c r="C45" t="s">
        <v>65</v>
      </c>
      <c r="D45" t="s">
        <v>387</v>
      </c>
      <c r="E45" t="s">
        <v>343</v>
      </c>
      <c r="F45">
        <v>27900</v>
      </c>
      <c r="G45">
        <v>0</v>
      </c>
      <c r="H45">
        <v>27900</v>
      </c>
      <c r="I45">
        <f t="shared" ca="1" si="0"/>
        <v>0</v>
      </c>
      <c r="J45">
        <f t="shared" ca="1" si="1"/>
        <v>27900</v>
      </c>
      <c r="K45">
        <f t="shared" si="17"/>
        <v>3.64</v>
      </c>
      <c r="L45">
        <f t="shared" ca="1" si="2"/>
        <v>101556</v>
      </c>
      <c r="M45" s="62">
        <f t="shared" ca="1" si="3"/>
        <v>3.889617425804813E-3</v>
      </c>
      <c r="N45" s="62">
        <f>IFERROR(VLOOKUP(C45,'[1]pesos FIA'!$E$2:$F$74,2,0),0)</f>
        <v>9.7577500000000008E-3</v>
      </c>
      <c r="O45" s="26">
        <f t="shared" ca="1" si="4"/>
        <v>-5.8681325741951878E-3</v>
      </c>
      <c r="P45" s="73">
        <f t="shared" ca="1" si="5"/>
        <v>254770.05847045686</v>
      </c>
      <c r="Q45" s="73">
        <f t="shared" ca="1" si="6"/>
        <v>70000</v>
      </c>
      <c r="R45" s="73">
        <f t="shared" ca="1" si="7"/>
        <v>42100</v>
      </c>
      <c r="S45" s="73">
        <f t="shared" ca="1" si="8"/>
        <v>0</v>
      </c>
      <c r="T45" s="73">
        <f t="shared" ca="1" si="9"/>
        <v>254800</v>
      </c>
      <c r="V45" s="65">
        <f t="shared" ca="1" si="10"/>
        <v>65000</v>
      </c>
      <c r="W45" s="73">
        <f t="shared" ca="1" si="11"/>
        <v>236600</v>
      </c>
      <c r="X45" s="62">
        <f t="shared" ca="1" si="12"/>
        <v>8.992321446769069E-3</v>
      </c>
      <c r="Y45" s="26">
        <f t="shared" ca="1" si="13"/>
        <v>-7.6542855323093184E-4</v>
      </c>
      <c r="AA45">
        <f t="shared" si="14"/>
        <v>65000</v>
      </c>
      <c r="AE45" s="74">
        <v>29</v>
      </c>
      <c r="AF45" s="74" t="s">
        <v>529</v>
      </c>
      <c r="AG45" s="74" t="s">
        <v>530</v>
      </c>
      <c r="AH45" s="75" t="s">
        <v>77</v>
      </c>
      <c r="AI45" s="74">
        <v>800</v>
      </c>
      <c r="AJ45" s="74">
        <f t="shared" si="15"/>
        <v>800</v>
      </c>
      <c r="AK45" s="74"/>
    </row>
    <row r="46" spans="1:37" x14ac:dyDescent="0.3">
      <c r="A46" s="64">
        <v>46128</v>
      </c>
      <c r="B46">
        <v>29</v>
      </c>
      <c r="C46" t="s">
        <v>157</v>
      </c>
      <c r="D46" t="s">
        <v>388</v>
      </c>
      <c r="E46" t="s">
        <v>343</v>
      </c>
      <c r="F46">
        <v>10980</v>
      </c>
      <c r="G46">
        <v>0</v>
      </c>
      <c r="H46">
        <v>10980</v>
      </c>
      <c r="I46">
        <f t="shared" ca="1" si="0"/>
        <v>11235</v>
      </c>
      <c r="J46">
        <f t="shared" ca="1" si="1"/>
        <v>22215</v>
      </c>
      <c r="K46">
        <f t="shared" si="17"/>
        <v>9.25</v>
      </c>
      <c r="L46">
        <f t="shared" ca="1" si="2"/>
        <v>205488.75</v>
      </c>
      <c r="M46" s="62">
        <f t="shared" ca="1" si="3"/>
        <v>7.870264906129118E-3</v>
      </c>
      <c r="N46" s="62">
        <f>IFERROR(VLOOKUP(C46,'[1]pesos FIA'!$E$2:$F$74,2,0),0)</f>
        <v>0</v>
      </c>
      <c r="O46" s="26">
        <f t="shared" ca="1" si="4"/>
        <v>7.870264906129118E-3</v>
      </c>
      <c r="P46" s="73">
        <f t="shared" ca="1" si="5"/>
        <v>0</v>
      </c>
      <c r="Q46" s="73">
        <f t="shared" ca="1" si="6"/>
        <v>0</v>
      </c>
      <c r="R46" s="73">
        <f t="shared" ca="1" si="7"/>
        <v>-22215</v>
      </c>
      <c r="S46" s="73">
        <f t="shared" ca="1" si="8"/>
        <v>1</v>
      </c>
      <c r="T46" s="73">
        <f t="shared" ca="1" si="9"/>
        <v>0</v>
      </c>
      <c r="V46" s="65">
        <f t="shared" ca="1" si="10"/>
        <v>11415</v>
      </c>
      <c r="W46" s="73">
        <f t="shared" ca="1" si="11"/>
        <v>105588.75</v>
      </c>
      <c r="X46" s="62">
        <f t="shared" ca="1" si="12"/>
        <v>4.0130514842034552E-3</v>
      </c>
      <c r="Y46" s="26">
        <f t="shared" ca="1" si="13"/>
        <v>4.0130514842034552E-3</v>
      </c>
      <c r="AA46">
        <f t="shared" si="14"/>
        <v>180</v>
      </c>
      <c r="AE46" s="74">
        <v>29</v>
      </c>
      <c r="AF46" s="74" t="s">
        <v>529</v>
      </c>
      <c r="AG46" s="74" t="s">
        <v>530</v>
      </c>
      <c r="AH46" s="75" t="s">
        <v>62</v>
      </c>
      <c r="AI46" s="77">
        <v>1000</v>
      </c>
      <c r="AJ46" s="74">
        <f t="shared" si="15"/>
        <v>1000</v>
      </c>
      <c r="AK46" s="74"/>
    </row>
    <row r="47" spans="1:37" x14ac:dyDescent="0.3">
      <c r="A47" s="64">
        <v>46128</v>
      </c>
      <c r="B47">
        <v>29</v>
      </c>
      <c r="C47" t="s">
        <v>125</v>
      </c>
      <c r="D47" t="s">
        <v>389</v>
      </c>
      <c r="E47" t="s">
        <v>343</v>
      </c>
      <c r="F47">
        <v>2000</v>
      </c>
      <c r="G47">
        <v>0</v>
      </c>
      <c r="H47">
        <v>2000</v>
      </c>
      <c r="I47">
        <f t="shared" ca="1" si="0"/>
        <v>4400</v>
      </c>
      <c r="J47">
        <f t="shared" ca="1" si="1"/>
        <v>6400</v>
      </c>
      <c r="K47">
        <f t="shared" si="17"/>
        <v>34.409999999999997</v>
      </c>
      <c r="L47">
        <f t="shared" ca="1" si="2"/>
        <v>220223.99999999997</v>
      </c>
      <c r="M47" s="62">
        <f t="shared" ca="1" si="3"/>
        <v>8.4346282640162962E-3</v>
      </c>
      <c r="N47" s="62">
        <f>IFERROR(VLOOKUP(C47,'[1]pesos FIA'!$E$2:$F$74,2,0),0)</f>
        <v>0</v>
      </c>
      <c r="O47" s="26">
        <f t="shared" ca="1" si="4"/>
        <v>8.4346282640162962E-3</v>
      </c>
      <c r="P47" s="73">
        <f t="shared" ca="1" si="5"/>
        <v>0</v>
      </c>
      <c r="Q47" s="73">
        <f t="shared" ca="1" si="6"/>
        <v>0</v>
      </c>
      <c r="R47" s="73">
        <f t="shared" ca="1" si="7"/>
        <v>-6400</v>
      </c>
      <c r="S47" s="73">
        <f t="shared" ca="1" si="8"/>
        <v>1</v>
      </c>
      <c r="T47" s="73">
        <f t="shared" ca="1" si="9"/>
        <v>0</v>
      </c>
      <c r="V47" s="65">
        <f t="shared" ca="1" si="10"/>
        <v>4500</v>
      </c>
      <c r="W47" s="73">
        <f t="shared" ca="1" si="11"/>
        <v>154844.99999999997</v>
      </c>
      <c r="X47" s="62">
        <f t="shared" ca="1" si="12"/>
        <v>5.8851057245348955E-3</v>
      </c>
      <c r="Y47" s="26">
        <f t="shared" ca="1" si="13"/>
        <v>5.8851057245348955E-3</v>
      </c>
      <c r="AA47">
        <f t="shared" si="14"/>
        <v>100</v>
      </c>
      <c r="AE47" s="74">
        <v>29</v>
      </c>
      <c r="AF47" s="74" t="s">
        <v>529</v>
      </c>
      <c r="AG47" s="74" t="s">
        <v>530</v>
      </c>
      <c r="AH47" s="75" t="s">
        <v>96</v>
      </c>
      <c r="AI47" s="77">
        <v>1200</v>
      </c>
      <c r="AJ47" s="74">
        <f t="shared" si="15"/>
        <v>1200</v>
      </c>
      <c r="AK47" s="74"/>
    </row>
    <row r="48" spans="1:37" x14ac:dyDescent="0.3">
      <c r="A48" s="64">
        <v>46128</v>
      </c>
      <c r="B48">
        <v>29</v>
      </c>
      <c r="C48" t="s">
        <v>146</v>
      </c>
      <c r="D48" t="s">
        <v>390</v>
      </c>
      <c r="E48" t="s">
        <v>343</v>
      </c>
      <c r="F48">
        <v>8900</v>
      </c>
      <c r="G48">
        <v>200</v>
      </c>
      <c r="H48">
        <v>9100</v>
      </c>
      <c r="I48">
        <f t="shared" ca="1" si="0"/>
        <v>17000</v>
      </c>
      <c r="J48">
        <f t="shared" ca="1" si="1"/>
        <v>26100</v>
      </c>
      <c r="K48">
        <f t="shared" si="17"/>
        <v>53.66</v>
      </c>
      <c r="L48">
        <f t="shared" ca="1" si="2"/>
        <v>1400526</v>
      </c>
      <c r="M48" s="62">
        <f t="shared" ca="1" si="3"/>
        <v>5.3640457825167506E-2</v>
      </c>
      <c r="N48" s="62">
        <f>IFERROR(VLOOKUP(C48,'[1]pesos FIA'!$E$2:$F$74,2,0),0)</f>
        <v>4.2425000000000004E-2</v>
      </c>
      <c r="O48" s="26">
        <f t="shared" ca="1" si="4"/>
        <v>1.1215457825167502E-2</v>
      </c>
      <c r="P48" s="73">
        <f t="shared" ca="1" si="5"/>
        <v>1107695.9063932907</v>
      </c>
      <c r="Q48" s="73">
        <f t="shared" ca="1" si="6"/>
        <v>20600</v>
      </c>
      <c r="R48" s="73">
        <f t="shared" ca="1" si="7"/>
        <v>-5500</v>
      </c>
      <c r="S48" s="73">
        <f t="shared" ca="1" si="8"/>
        <v>0</v>
      </c>
      <c r="T48" s="73">
        <f t="shared" ca="1" si="9"/>
        <v>1105396</v>
      </c>
      <c r="V48" s="65">
        <f t="shared" ca="1" si="10"/>
        <v>21900</v>
      </c>
      <c r="W48" s="73">
        <f t="shared" ca="1" si="11"/>
        <v>1175154</v>
      </c>
      <c r="X48" s="62">
        <f t="shared" ca="1" si="12"/>
        <v>4.4663408780458408E-2</v>
      </c>
      <c r="Y48" s="26">
        <f t="shared" ca="1" si="13"/>
        <v>2.2384087804584035E-3</v>
      </c>
      <c r="AA48">
        <f t="shared" si="14"/>
        <v>4900</v>
      </c>
      <c r="AE48" s="74">
        <v>29</v>
      </c>
      <c r="AF48" s="74" t="s">
        <v>529</v>
      </c>
      <c r="AG48" s="74" t="s">
        <v>530</v>
      </c>
      <c r="AH48" s="75" t="s">
        <v>61</v>
      </c>
      <c r="AI48" s="77">
        <v>1300</v>
      </c>
      <c r="AJ48" s="74">
        <f t="shared" si="15"/>
        <v>1300</v>
      </c>
      <c r="AK48" s="74"/>
    </row>
    <row r="49" spans="1:37" x14ac:dyDescent="0.3">
      <c r="A49" s="64">
        <v>46128</v>
      </c>
      <c r="B49">
        <v>29</v>
      </c>
      <c r="C49" t="s">
        <v>136</v>
      </c>
      <c r="D49" t="s">
        <v>391</v>
      </c>
      <c r="E49" t="s">
        <v>343</v>
      </c>
      <c r="F49">
        <v>29400</v>
      </c>
      <c r="G49">
        <v>200</v>
      </c>
      <c r="H49">
        <v>29600</v>
      </c>
      <c r="I49">
        <f t="shared" ca="1" si="0"/>
        <v>0</v>
      </c>
      <c r="J49">
        <f t="shared" ca="1" si="1"/>
        <v>29600</v>
      </c>
      <c r="K49">
        <f t="shared" si="17"/>
        <v>48.58</v>
      </c>
      <c r="L49">
        <f t="shared" ca="1" si="2"/>
        <v>1437968</v>
      </c>
      <c r="M49" s="62">
        <f t="shared" ca="1" si="3"/>
        <v>5.5074494766923623E-2</v>
      </c>
      <c r="N49" s="62">
        <f>IFERROR(VLOOKUP(C49,'[1]pesos FIA'!$E$2:$F$74,2,0),0)</f>
        <v>4.6667500000000001E-2</v>
      </c>
      <c r="O49" s="26">
        <f t="shared" ca="1" si="4"/>
        <v>8.4069947669236228E-3</v>
      </c>
      <c r="P49" s="73">
        <f t="shared" ca="1" si="5"/>
        <v>1218465.4970326195</v>
      </c>
      <c r="Q49" s="73">
        <f t="shared" ca="1" si="6"/>
        <v>25100</v>
      </c>
      <c r="R49" s="73">
        <f t="shared" ca="1" si="7"/>
        <v>-4500</v>
      </c>
      <c r="S49" s="73">
        <f t="shared" ca="1" si="8"/>
        <v>0</v>
      </c>
      <c r="T49" s="73">
        <f t="shared" ca="1" si="9"/>
        <v>1219358</v>
      </c>
      <c r="V49" s="65">
        <f t="shared" ca="1" si="10"/>
        <v>26600</v>
      </c>
      <c r="W49" s="73">
        <f t="shared" ca="1" si="11"/>
        <v>1292228</v>
      </c>
      <c r="X49" s="62">
        <f t="shared" ca="1" si="12"/>
        <v>4.9112973620099323E-2</v>
      </c>
      <c r="Y49" s="26">
        <f t="shared" ca="1" si="13"/>
        <v>2.4454736200993227E-3</v>
      </c>
      <c r="AA49">
        <f t="shared" si="14"/>
        <v>26600</v>
      </c>
      <c r="AE49" s="74">
        <v>29</v>
      </c>
      <c r="AF49" s="74" t="s">
        <v>529</v>
      </c>
      <c r="AG49" s="74" t="s">
        <v>530</v>
      </c>
      <c r="AH49" s="75" t="s">
        <v>67</v>
      </c>
      <c r="AI49" s="77">
        <v>1900</v>
      </c>
      <c r="AJ49" s="74">
        <f t="shared" si="15"/>
        <v>1900</v>
      </c>
      <c r="AK49" s="74"/>
    </row>
    <row r="50" spans="1:37" x14ac:dyDescent="0.3">
      <c r="A50" s="64">
        <v>46128</v>
      </c>
      <c r="B50">
        <v>29</v>
      </c>
      <c r="C50" t="s">
        <v>132</v>
      </c>
      <c r="D50" t="s">
        <v>392</v>
      </c>
      <c r="E50" t="s">
        <v>343</v>
      </c>
      <c r="F50">
        <v>25000</v>
      </c>
      <c r="G50">
        <v>0</v>
      </c>
      <c r="H50">
        <v>25000</v>
      </c>
      <c r="I50">
        <f t="shared" ca="1" si="0"/>
        <v>0</v>
      </c>
      <c r="J50">
        <f t="shared" ca="1" si="1"/>
        <v>25000</v>
      </c>
      <c r="K50">
        <f t="shared" si="17"/>
        <v>5.67</v>
      </c>
      <c r="L50">
        <f t="shared" ca="1" si="2"/>
        <v>141750</v>
      </c>
      <c r="M50" s="62">
        <f t="shared" ca="1" si="3"/>
        <v>5.4290565806828965E-3</v>
      </c>
      <c r="N50" s="62">
        <f>IFERROR(VLOOKUP(C50,'[1]pesos FIA'!$E$2:$F$74,2,0),0)</f>
        <v>0</v>
      </c>
      <c r="O50" s="26">
        <f t="shared" ca="1" si="4"/>
        <v>5.4290565806828965E-3</v>
      </c>
      <c r="P50" s="73">
        <f t="shared" ca="1" si="5"/>
        <v>0</v>
      </c>
      <c r="Q50" s="73">
        <f t="shared" ca="1" si="6"/>
        <v>0</v>
      </c>
      <c r="R50" s="73">
        <f t="shared" ca="1" si="7"/>
        <v>-25000</v>
      </c>
      <c r="S50" s="73">
        <f t="shared" ca="1" si="8"/>
        <v>0</v>
      </c>
      <c r="T50" s="73">
        <f t="shared" ca="1" si="9"/>
        <v>0</v>
      </c>
      <c r="V50" s="65">
        <f t="shared" ca="1" si="10"/>
        <v>0</v>
      </c>
      <c r="W50" s="73">
        <f t="shared" ca="1" si="11"/>
        <v>0</v>
      </c>
      <c r="X50" s="62">
        <f t="shared" ca="1" si="12"/>
        <v>0</v>
      </c>
      <c r="Y50" s="26">
        <f t="shared" ca="1" si="13"/>
        <v>0</v>
      </c>
      <c r="AA50">
        <f t="shared" si="14"/>
        <v>0</v>
      </c>
      <c r="AE50" s="74">
        <v>29</v>
      </c>
      <c r="AF50" s="74" t="s">
        <v>529</v>
      </c>
      <c r="AG50" s="74" t="s">
        <v>530</v>
      </c>
      <c r="AH50" s="75" t="s">
        <v>81</v>
      </c>
      <c r="AI50" s="77">
        <v>1900</v>
      </c>
      <c r="AJ50" s="74">
        <f t="shared" si="15"/>
        <v>1900</v>
      </c>
      <c r="AK50" s="74"/>
    </row>
    <row r="51" spans="1:37" x14ac:dyDescent="0.3">
      <c r="A51" s="64">
        <v>46128</v>
      </c>
      <c r="B51">
        <v>29</v>
      </c>
      <c r="C51" t="s">
        <v>84</v>
      </c>
      <c r="D51" t="s">
        <v>393</v>
      </c>
      <c r="E51" t="s">
        <v>343</v>
      </c>
      <c r="F51">
        <v>19300</v>
      </c>
      <c r="G51">
        <v>0</v>
      </c>
      <c r="H51">
        <v>19300</v>
      </c>
      <c r="I51">
        <f t="shared" ca="1" si="0"/>
        <v>0</v>
      </c>
      <c r="J51">
        <f t="shared" ca="1" si="1"/>
        <v>19300</v>
      </c>
      <c r="K51">
        <f t="shared" si="17"/>
        <v>15.77</v>
      </c>
      <c r="L51">
        <f t="shared" ca="1" si="2"/>
        <v>304361</v>
      </c>
      <c r="M51" s="62">
        <f t="shared" ca="1" si="3"/>
        <v>1.1657094109017475E-2</v>
      </c>
      <c r="N51" s="62">
        <f>IFERROR(VLOOKUP(C51,'[1]pesos FIA'!$E$2:$F$74,2,0),0)</f>
        <v>7.6365000000000001E-3</v>
      </c>
      <c r="O51" s="26">
        <f t="shared" ca="1" si="4"/>
        <v>4.0205941090174753E-3</v>
      </c>
      <c r="P51" s="73">
        <f t="shared" ca="1" si="5"/>
        <v>199385.26315079231</v>
      </c>
      <c r="Q51" s="73">
        <f t="shared" ca="1" si="6"/>
        <v>12600</v>
      </c>
      <c r="R51" s="73">
        <f t="shared" ca="1" si="7"/>
        <v>-6700</v>
      </c>
      <c r="S51" s="73">
        <f t="shared" ca="1" si="8"/>
        <v>0</v>
      </c>
      <c r="T51" s="73">
        <f t="shared" ca="1" si="9"/>
        <v>198702</v>
      </c>
      <c r="V51" s="65">
        <f t="shared" ca="1" si="10"/>
        <v>12900</v>
      </c>
      <c r="W51" s="73">
        <f t="shared" ca="1" si="11"/>
        <v>203433</v>
      </c>
      <c r="X51" s="62">
        <f t="shared" ca="1" si="12"/>
        <v>7.7317621677116316E-3</v>
      </c>
      <c r="Y51" s="26">
        <f t="shared" ca="1" si="13"/>
        <v>9.5262167711631512E-5</v>
      </c>
      <c r="AA51">
        <f t="shared" si="14"/>
        <v>12900</v>
      </c>
      <c r="AE51" s="74">
        <v>29</v>
      </c>
      <c r="AF51" s="74" t="s">
        <v>529</v>
      </c>
      <c r="AG51" s="74" t="s">
        <v>530</v>
      </c>
      <c r="AH51" s="75" t="s">
        <v>66</v>
      </c>
      <c r="AI51" s="77">
        <v>2200</v>
      </c>
      <c r="AJ51" s="74">
        <f t="shared" si="15"/>
        <v>2200</v>
      </c>
      <c r="AK51" s="74"/>
    </row>
    <row r="52" spans="1:37" x14ac:dyDescent="0.3">
      <c r="A52" s="64">
        <v>46128</v>
      </c>
      <c r="B52">
        <v>29</v>
      </c>
      <c r="C52" t="s">
        <v>116</v>
      </c>
      <c r="D52" t="s">
        <v>394</v>
      </c>
      <c r="E52" t="s">
        <v>343</v>
      </c>
      <c r="F52">
        <v>3500</v>
      </c>
      <c r="G52">
        <v>0</v>
      </c>
      <c r="H52">
        <v>3500</v>
      </c>
      <c r="I52">
        <f t="shared" ca="1" si="0"/>
        <v>0</v>
      </c>
      <c r="J52">
        <f t="shared" ca="1" si="1"/>
        <v>3500</v>
      </c>
      <c r="K52">
        <f t="shared" si="17"/>
        <v>14.61</v>
      </c>
      <c r="L52">
        <f t="shared" ca="1" si="2"/>
        <v>51135</v>
      </c>
      <c r="M52" s="62">
        <f t="shared" ca="1" si="3"/>
        <v>1.9584818924389411E-3</v>
      </c>
      <c r="N52" s="62">
        <f>IFERROR(VLOOKUP(C52,'[1]pesos FIA'!$E$2:$F$74,2,0),0)</f>
        <v>1.0182E-2</v>
      </c>
      <c r="O52" s="26">
        <f t="shared" ca="1" si="4"/>
        <v>-8.2235181075610599E-3</v>
      </c>
      <c r="P52" s="73">
        <f t="shared" ca="1" si="5"/>
        <v>265847.01753438974</v>
      </c>
      <c r="Q52" s="73">
        <f t="shared" ca="1" si="6"/>
        <v>18200</v>
      </c>
      <c r="R52" s="73">
        <f t="shared" ca="1" si="7"/>
        <v>14700</v>
      </c>
      <c r="S52" s="73">
        <f t="shared" ca="1" si="8"/>
        <v>0</v>
      </c>
      <c r="T52" s="73">
        <f t="shared" ca="1" si="9"/>
        <v>265902</v>
      </c>
      <c r="V52" s="65">
        <f t="shared" ca="1" si="10"/>
        <v>16080</v>
      </c>
      <c r="W52" s="73">
        <f t="shared" ca="1" si="11"/>
        <v>234928.8</v>
      </c>
      <c r="X52" s="62">
        <f t="shared" ca="1" si="12"/>
        <v>8.928805100184789E-3</v>
      </c>
      <c r="Y52" s="26">
        <f t="shared" ca="1" si="13"/>
        <v>-1.2531948998152111E-3</v>
      </c>
      <c r="AA52">
        <f t="shared" si="14"/>
        <v>16080</v>
      </c>
      <c r="AE52" s="74">
        <v>29</v>
      </c>
      <c r="AF52" s="74" t="s">
        <v>529</v>
      </c>
      <c r="AG52" s="74" t="s">
        <v>530</v>
      </c>
      <c r="AH52" s="75" t="s">
        <v>95</v>
      </c>
      <c r="AI52" s="77">
        <v>2300</v>
      </c>
      <c r="AJ52" s="74">
        <f t="shared" si="15"/>
        <v>2300</v>
      </c>
      <c r="AK52" s="74"/>
    </row>
    <row r="53" spans="1:37" x14ac:dyDescent="0.3">
      <c r="A53" s="64">
        <v>46128</v>
      </c>
      <c r="B53">
        <v>29</v>
      </c>
      <c r="C53" t="s">
        <v>67</v>
      </c>
      <c r="D53" t="s">
        <v>395</v>
      </c>
      <c r="E53" t="s">
        <v>343</v>
      </c>
      <c r="F53">
        <v>27940</v>
      </c>
      <c r="G53">
        <v>200</v>
      </c>
      <c r="H53">
        <v>28140</v>
      </c>
      <c r="I53">
        <f t="shared" ca="1" si="0"/>
        <v>0</v>
      </c>
      <c r="J53">
        <f t="shared" ca="1" si="1"/>
        <v>28140</v>
      </c>
      <c r="K53">
        <f t="shared" si="17"/>
        <v>6.5</v>
      </c>
      <c r="L53">
        <f t="shared" ca="1" si="2"/>
        <v>182910</v>
      </c>
      <c r="M53" s="62">
        <f t="shared" ca="1" si="3"/>
        <v>7.005493750777486E-3</v>
      </c>
      <c r="N53" s="62">
        <f>IFERROR(VLOOKUP(C53,'[1]pesos FIA'!$E$2:$F$74,2,0),0)</f>
        <v>7.6365000000000001E-3</v>
      </c>
      <c r="O53" s="26">
        <f t="shared" ca="1" si="4"/>
        <v>-6.3100624922251408E-4</v>
      </c>
      <c r="P53" s="73">
        <f t="shared" ca="1" si="5"/>
        <v>199385.26315079231</v>
      </c>
      <c r="Q53" s="73">
        <f t="shared" ca="1" si="6"/>
        <v>30700</v>
      </c>
      <c r="R53" s="73">
        <f t="shared" ca="1" si="7"/>
        <v>2560</v>
      </c>
      <c r="S53" s="73">
        <f t="shared" ca="1" si="8"/>
        <v>0</v>
      </c>
      <c r="T53" s="73">
        <f t="shared" ca="1" si="9"/>
        <v>199550</v>
      </c>
      <c r="V53" s="65">
        <f t="shared" ca="1" si="10"/>
        <v>30040</v>
      </c>
      <c r="W53" s="73">
        <f t="shared" ca="1" si="11"/>
        <v>195260</v>
      </c>
      <c r="X53" s="62">
        <f t="shared" ca="1" si="12"/>
        <v>7.421135611564364E-3</v>
      </c>
      <c r="Y53" s="26">
        <f t="shared" ca="1" si="13"/>
        <v>-2.1536438843563609E-4</v>
      </c>
      <c r="AA53">
        <f t="shared" si="14"/>
        <v>30040</v>
      </c>
      <c r="AE53" s="74">
        <v>29</v>
      </c>
      <c r="AF53" s="74" t="s">
        <v>529</v>
      </c>
      <c r="AG53" s="74" t="s">
        <v>530</v>
      </c>
      <c r="AH53" s="75" t="s">
        <v>188</v>
      </c>
      <c r="AI53" s="77">
        <v>2400</v>
      </c>
      <c r="AJ53" s="74">
        <f t="shared" si="15"/>
        <v>2400</v>
      </c>
      <c r="AK53" s="74"/>
    </row>
    <row r="54" spans="1:37" x14ac:dyDescent="0.3">
      <c r="A54" s="64">
        <v>46128</v>
      </c>
      <c r="B54">
        <v>29</v>
      </c>
      <c r="C54" t="s">
        <v>60</v>
      </c>
      <c r="D54" t="s">
        <v>396</v>
      </c>
      <c r="E54" t="s">
        <v>343</v>
      </c>
      <c r="F54">
        <v>24500</v>
      </c>
      <c r="G54">
        <v>0</v>
      </c>
      <c r="H54">
        <v>24500</v>
      </c>
      <c r="I54">
        <f t="shared" ca="1" si="0"/>
        <v>0</v>
      </c>
      <c r="J54">
        <f t="shared" ca="1" si="1"/>
        <v>24500</v>
      </c>
      <c r="K54">
        <f t="shared" si="17"/>
        <v>10.65</v>
      </c>
      <c r="L54">
        <f t="shared" ca="1" si="2"/>
        <v>260925</v>
      </c>
      <c r="M54" s="62">
        <f t="shared" ca="1" si="3"/>
        <v>9.993485631849628E-3</v>
      </c>
      <c r="N54" s="62">
        <f>IFERROR(VLOOKUP(C54,'[1]pesos FIA'!$E$2:$F$74,2,0),0)</f>
        <v>7.6365000000000001E-3</v>
      </c>
      <c r="O54" s="26">
        <f t="shared" ca="1" si="4"/>
        <v>2.356985631849628E-3</v>
      </c>
      <c r="P54" s="73">
        <f t="shared" ca="1" si="5"/>
        <v>199385.26315079231</v>
      </c>
      <c r="Q54" s="73">
        <f t="shared" ca="1" si="6"/>
        <v>18700</v>
      </c>
      <c r="R54" s="73">
        <f t="shared" ca="1" si="7"/>
        <v>-5800</v>
      </c>
      <c r="S54" s="73">
        <f t="shared" ca="1" si="8"/>
        <v>0</v>
      </c>
      <c r="T54" s="73">
        <f t="shared" ca="1" si="9"/>
        <v>199155</v>
      </c>
      <c r="V54" s="65">
        <f t="shared" ca="1" si="10"/>
        <v>19100</v>
      </c>
      <c r="W54" s="73">
        <f t="shared" ca="1" si="11"/>
        <v>203415</v>
      </c>
      <c r="X54" s="62">
        <f t="shared" ca="1" si="12"/>
        <v>7.731078051963357E-3</v>
      </c>
      <c r="Y54" s="26">
        <f t="shared" ca="1" si="13"/>
        <v>9.4578051963356904E-5</v>
      </c>
      <c r="AA54">
        <f t="shared" si="14"/>
        <v>19100</v>
      </c>
      <c r="AE54" s="74">
        <v>29</v>
      </c>
      <c r="AF54" s="74" t="s">
        <v>529</v>
      </c>
      <c r="AG54" s="74" t="s">
        <v>530</v>
      </c>
      <c r="AH54" s="75" t="s">
        <v>118</v>
      </c>
      <c r="AI54" s="77">
        <v>2500</v>
      </c>
      <c r="AJ54" s="74">
        <f t="shared" si="15"/>
        <v>2500</v>
      </c>
      <c r="AK54" s="74"/>
    </row>
    <row r="55" spans="1:37" x14ac:dyDescent="0.3">
      <c r="A55" s="64">
        <v>46128</v>
      </c>
      <c r="B55">
        <v>29</v>
      </c>
      <c r="C55" t="s">
        <v>62</v>
      </c>
      <c r="D55" t="s">
        <v>397</v>
      </c>
      <c r="E55" t="s">
        <v>343</v>
      </c>
      <c r="F55">
        <v>4800</v>
      </c>
      <c r="G55">
        <v>0</v>
      </c>
      <c r="H55">
        <v>4800</v>
      </c>
      <c r="I55">
        <f t="shared" ca="1" si="0"/>
        <v>0</v>
      </c>
      <c r="J55">
        <f t="shared" ca="1" si="1"/>
        <v>4800</v>
      </c>
      <c r="K55">
        <f t="shared" si="17"/>
        <v>41.38</v>
      </c>
      <c r="L55">
        <f t="shared" ca="1" si="2"/>
        <v>198624</v>
      </c>
      <c r="M55" s="62">
        <f t="shared" ca="1" si="3"/>
        <v>7.6073434517217615E-3</v>
      </c>
      <c r="N55" s="62">
        <f>IFERROR(VLOOKUP(C55,'[1]pesos FIA'!$E$2:$F$74,2,0),0)</f>
        <v>9.3334999999999998E-3</v>
      </c>
      <c r="O55" s="26">
        <f t="shared" ca="1" si="4"/>
        <v>-1.7261565482782383E-3</v>
      </c>
      <c r="P55" s="73">
        <f t="shared" ca="1" si="5"/>
        <v>243693.09940652392</v>
      </c>
      <c r="Q55" s="73">
        <f t="shared" ca="1" si="6"/>
        <v>5900</v>
      </c>
      <c r="R55" s="73">
        <f t="shared" ca="1" si="7"/>
        <v>1100</v>
      </c>
      <c r="S55" s="73">
        <f t="shared" ca="1" si="8"/>
        <v>0</v>
      </c>
      <c r="T55" s="73">
        <f t="shared" ca="1" si="9"/>
        <v>244142.00000000003</v>
      </c>
      <c r="V55" s="65">
        <f t="shared" ca="1" si="10"/>
        <v>5800</v>
      </c>
      <c r="W55" s="73">
        <f t="shared" ca="1" si="11"/>
        <v>240004.00000000003</v>
      </c>
      <c r="X55" s="62">
        <f t="shared" ca="1" si="12"/>
        <v>9.1216953360539477E-3</v>
      </c>
      <c r="Y55" s="26">
        <f t="shared" ca="1" si="13"/>
        <v>-2.1180466394605212E-4</v>
      </c>
      <c r="AA55">
        <f t="shared" si="14"/>
        <v>5800</v>
      </c>
      <c r="AE55" s="74">
        <v>29</v>
      </c>
      <c r="AF55" s="74" t="s">
        <v>529</v>
      </c>
      <c r="AG55" s="74" t="s">
        <v>530</v>
      </c>
      <c r="AH55" s="75" t="s">
        <v>151</v>
      </c>
      <c r="AI55" s="77">
        <v>3500</v>
      </c>
      <c r="AJ55" s="74">
        <f t="shared" si="15"/>
        <v>3500</v>
      </c>
      <c r="AK55" s="74"/>
    </row>
    <row r="56" spans="1:37" x14ac:dyDescent="0.3">
      <c r="A56" s="64">
        <v>46128</v>
      </c>
      <c r="B56">
        <v>29</v>
      </c>
      <c r="C56" t="s">
        <v>56</v>
      </c>
      <c r="D56" t="s">
        <v>398</v>
      </c>
      <c r="E56" t="s">
        <v>343</v>
      </c>
      <c r="F56">
        <v>31600</v>
      </c>
      <c r="G56">
        <v>500</v>
      </c>
      <c r="H56">
        <v>32100</v>
      </c>
      <c r="I56">
        <f t="shared" ca="1" si="0"/>
        <v>0</v>
      </c>
      <c r="J56">
        <f t="shared" ca="1" si="1"/>
        <v>32100</v>
      </c>
      <c r="K56">
        <f t="shared" si="17"/>
        <v>7.99</v>
      </c>
      <c r="L56">
        <f t="shared" ca="1" si="2"/>
        <v>256479</v>
      </c>
      <c r="M56" s="62">
        <f t="shared" ca="1" si="3"/>
        <v>9.8232028413190019E-3</v>
      </c>
      <c r="N56" s="62">
        <f>IFERROR(VLOOKUP(C56,'[1]pesos FIA'!$E$2:$F$74,2,0),0)</f>
        <v>9.3334999999999998E-3</v>
      </c>
      <c r="O56" s="26">
        <f t="shared" ca="1" si="4"/>
        <v>4.8970284131900216E-4</v>
      </c>
      <c r="P56" s="73">
        <f t="shared" ca="1" si="5"/>
        <v>243693.09940652392</v>
      </c>
      <c r="Q56" s="73">
        <f t="shared" ca="1" si="6"/>
        <v>30500</v>
      </c>
      <c r="R56" s="73">
        <f t="shared" ca="1" si="7"/>
        <v>-1600</v>
      </c>
      <c r="S56" s="73">
        <f t="shared" ca="1" si="8"/>
        <v>0</v>
      </c>
      <c r="T56" s="73">
        <f t="shared" ca="1" si="9"/>
        <v>243695</v>
      </c>
      <c r="V56" s="65">
        <f t="shared" ca="1" si="10"/>
        <v>31400</v>
      </c>
      <c r="W56" s="73">
        <f t="shared" ca="1" si="11"/>
        <v>250886</v>
      </c>
      <c r="X56" s="62">
        <f t="shared" ca="1" si="12"/>
        <v>9.5352813123165871E-3</v>
      </c>
      <c r="Y56" s="26">
        <f t="shared" ca="1" si="13"/>
        <v>2.0178131231658736E-4</v>
      </c>
      <c r="AA56">
        <f t="shared" si="14"/>
        <v>31400</v>
      </c>
      <c r="AE56" s="74">
        <v>29</v>
      </c>
      <c r="AF56" s="74" t="s">
        <v>529</v>
      </c>
      <c r="AG56" s="74" t="s">
        <v>530</v>
      </c>
      <c r="AH56" s="75" t="s">
        <v>63</v>
      </c>
      <c r="AI56" s="77">
        <v>3700</v>
      </c>
      <c r="AJ56" s="74">
        <f t="shared" si="15"/>
        <v>3700</v>
      </c>
      <c r="AK56" s="74"/>
    </row>
    <row r="57" spans="1:37" x14ac:dyDescent="0.3">
      <c r="A57" s="64">
        <v>46128</v>
      </c>
      <c r="B57">
        <v>29</v>
      </c>
      <c r="C57" t="s">
        <v>66</v>
      </c>
      <c r="D57" t="s">
        <v>399</v>
      </c>
      <c r="E57" t="s">
        <v>343</v>
      </c>
      <c r="F57">
        <v>39900</v>
      </c>
      <c r="G57">
        <v>0</v>
      </c>
      <c r="H57">
        <v>39900</v>
      </c>
      <c r="I57">
        <f t="shared" ca="1" si="0"/>
        <v>0</v>
      </c>
      <c r="J57">
        <f t="shared" ca="1" si="1"/>
        <v>39900</v>
      </c>
      <c r="K57">
        <f t="shared" si="17"/>
        <v>4.22</v>
      </c>
      <c r="L57">
        <f t="shared" ca="1" si="2"/>
        <v>168378</v>
      </c>
      <c r="M57" s="62">
        <f t="shared" ca="1" si="3"/>
        <v>6.4489149131726617E-3</v>
      </c>
      <c r="N57" s="62">
        <f>IFERROR(VLOOKUP(C57,'[1]pesos FIA'!$E$2:$F$74,2,0),0)</f>
        <v>6.7880000000000006E-3</v>
      </c>
      <c r="O57" s="26">
        <f t="shared" ca="1" si="4"/>
        <v>-3.3908508682733898E-4</v>
      </c>
      <c r="P57" s="73">
        <f t="shared" ca="1" si="5"/>
        <v>177231.34502292651</v>
      </c>
      <c r="Q57" s="73">
        <f t="shared" ca="1" si="6"/>
        <v>42000</v>
      </c>
      <c r="R57" s="73">
        <f t="shared" ca="1" si="7"/>
        <v>2100</v>
      </c>
      <c r="S57" s="73">
        <f t="shared" ca="1" si="8"/>
        <v>0</v>
      </c>
      <c r="T57" s="73">
        <f t="shared" ca="1" si="9"/>
        <v>177240</v>
      </c>
      <c r="V57" s="65">
        <f t="shared" ca="1" si="10"/>
        <v>42100</v>
      </c>
      <c r="W57" s="73">
        <f t="shared" ca="1" si="11"/>
        <v>177662</v>
      </c>
      <c r="X57" s="62">
        <f t="shared" ca="1" si="12"/>
        <v>6.7522984483342615E-3</v>
      </c>
      <c r="Y57" s="26">
        <f t="shared" ca="1" si="13"/>
        <v>-3.5701551665739094E-5</v>
      </c>
      <c r="AA57">
        <f t="shared" si="14"/>
        <v>42100</v>
      </c>
      <c r="AE57" s="74">
        <v>29</v>
      </c>
      <c r="AF57" s="74" t="s">
        <v>529</v>
      </c>
      <c r="AG57" s="74" t="s">
        <v>530</v>
      </c>
      <c r="AH57" s="75" t="s">
        <v>80</v>
      </c>
      <c r="AI57" s="77">
        <v>3800</v>
      </c>
      <c r="AJ57" s="74">
        <f t="shared" si="15"/>
        <v>3800</v>
      </c>
      <c r="AK57" s="74"/>
    </row>
    <row r="58" spans="1:37" x14ac:dyDescent="0.3">
      <c r="A58" s="64">
        <v>46128</v>
      </c>
      <c r="B58">
        <v>29</v>
      </c>
      <c r="C58" t="s">
        <v>124</v>
      </c>
      <c r="D58" t="s">
        <v>400</v>
      </c>
      <c r="E58" t="s">
        <v>343</v>
      </c>
      <c r="F58">
        <v>1300</v>
      </c>
      <c r="G58">
        <v>0</v>
      </c>
      <c r="H58">
        <v>1300</v>
      </c>
      <c r="I58">
        <f t="shared" ca="1" si="0"/>
        <v>3000</v>
      </c>
      <c r="J58">
        <f t="shared" ca="1" si="1"/>
        <v>4300</v>
      </c>
      <c r="K58">
        <f t="shared" si="17"/>
        <v>44.3</v>
      </c>
      <c r="L58">
        <f t="shared" ca="1" si="2"/>
        <v>190490</v>
      </c>
      <c r="M58" s="62">
        <f t="shared" ca="1" si="3"/>
        <v>7.2958094395364024E-3</v>
      </c>
      <c r="N58" s="62">
        <f>IFERROR(VLOOKUP(C58,'[1]pesos FIA'!$E$2:$F$74,2,0),0)</f>
        <v>0</v>
      </c>
      <c r="O58" s="26">
        <f t="shared" ca="1" si="4"/>
        <v>7.2958094395364024E-3</v>
      </c>
      <c r="P58" s="73">
        <f t="shared" ca="1" si="5"/>
        <v>0</v>
      </c>
      <c r="Q58" s="73">
        <f t="shared" ca="1" si="6"/>
        <v>0</v>
      </c>
      <c r="R58" s="73">
        <f t="shared" ca="1" si="7"/>
        <v>-4300</v>
      </c>
      <c r="S58" s="73">
        <f t="shared" ca="1" si="8"/>
        <v>1</v>
      </c>
      <c r="T58" s="73">
        <f t="shared" ca="1" si="9"/>
        <v>0</v>
      </c>
      <c r="V58" s="65">
        <f t="shared" ca="1" si="10"/>
        <v>3100</v>
      </c>
      <c r="W58" s="73">
        <f t="shared" ca="1" si="11"/>
        <v>137330</v>
      </c>
      <c r="X58" s="62">
        <f t="shared" ca="1" si="12"/>
        <v>5.2194230950329511E-3</v>
      </c>
      <c r="Y58" s="26">
        <f t="shared" ca="1" si="13"/>
        <v>5.2194230950329511E-3</v>
      </c>
      <c r="AA58">
        <f t="shared" si="14"/>
        <v>100</v>
      </c>
      <c r="AE58" s="74">
        <v>29</v>
      </c>
      <c r="AF58" s="74" t="s">
        <v>529</v>
      </c>
      <c r="AG58" s="74" t="s">
        <v>530</v>
      </c>
      <c r="AH58" s="75" t="s">
        <v>93</v>
      </c>
      <c r="AI58" s="77">
        <v>3900</v>
      </c>
      <c r="AJ58" s="74">
        <f t="shared" si="15"/>
        <v>3900</v>
      </c>
      <c r="AK58" s="74"/>
    </row>
    <row r="59" spans="1:37" x14ac:dyDescent="0.3">
      <c r="A59" s="64">
        <v>46128</v>
      </c>
      <c r="B59">
        <v>29</v>
      </c>
      <c r="C59" t="s">
        <v>104</v>
      </c>
      <c r="D59" t="s">
        <v>401</v>
      </c>
      <c r="E59" t="s">
        <v>343</v>
      </c>
      <c r="F59">
        <v>14700</v>
      </c>
      <c r="G59">
        <v>0</v>
      </c>
      <c r="H59">
        <v>14700</v>
      </c>
      <c r="I59">
        <f t="shared" ca="1" si="0"/>
        <v>0</v>
      </c>
      <c r="J59">
        <f t="shared" ca="1" si="1"/>
        <v>14700</v>
      </c>
      <c r="K59">
        <f t="shared" si="17"/>
        <v>14.93</v>
      </c>
      <c r="L59">
        <f t="shared" ca="1" si="2"/>
        <v>219471</v>
      </c>
      <c r="M59" s="62">
        <f t="shared" ca="1" si="3"/>
        <v>8.4057881962543626E-3</v>
      </c>
      <c r="N59" s="62">
        <f>IFERROR(VLOOKUP(C59,'[1]pesos FIA'!$E$2:$F$74,2,0),0)</f>
        <v>1.4424500000000002E-2</v>
      </c>
      <c r="O59" s="26">
        <f t="shared" ca="1" si="4"/>
        <v>-6.018711803745639E-3</v>
      </c>
      <c r="P59" s="73">
        <f t="shared" ca="1" si="5"/>
        <v>376616.60817371885</v>
      </c>
      <c r="Q59" s="73">
        <f t="shared" ca="1" si="6"/>
        <v>25200</v>
      </c>
      <c r="R59" s="73">
        <f t="shared" ca="1" si="7"/>
        <v>10500</v>
      </c>
      <c r="S59" s="73">
        <f t="shared" ca="1" si="8"/>
        <v>0</v>
      </c>
      <c r="T59" s="73">
        <f t="shared" ca="1" si="9"/>
        <v>376236</v>
      </c>
      <c r="V59" s="65">
        <f t="shared" ca="1" si="10"/>
        <v>23500</v>
      </c>
      <c r="W59" s="73">
        <f t="shared" ca="1" si="11"/>
        <v>350855</v>
      </c>
      <c r="X59" s="62">
        <f t="shared" ca="1" si="12"/>
        <v>1.3334746158944049E-2</v>
      </c>
      <c r="Y59" s="26">
        <f t="shared" ca="1" si="13"/>
        <v>-1.0897538410559529E-3</v>
      </c>
      <c r="AA59">
        <f t="shared" si="14"/>
        <v>23500</v>
      </c>
      <c r="AE59" s="74">
        <v>29</v>
      </c>
      <c r="AF59" s="74" t="s">
        <v>529</v>
      </c>
      <c r="AG59" s="74" t="s">
        <v>530</v>
      </c>
      <c r="AH59" s="75" t="s">
        <v>127</v>
      </c>
      <c r="AI59" s="77">
        <v>4500</v>
      </c>
      <c r="AJ59" s="74">
        <f t="shared" si="15"/>
        <v>4500</v>
      </c>
      <c r="AK59" s="74"/>
    </row>
    <row r="60" spans="1:37" x14ac:dyDescent="0.3">
      <c r="A60" s="64">
        <v>46128</v>
      </c>
      <c r="B60">
        <v>29</v>
      </c>
      <c r="C60" t="s">
        <v>78</v>
      </c>
      <c r="D60" t="s">
        <v>402</v>
      </c>
      <c r="E60" t="s">
        <v>343</v>
      </c>
      <c r="F60">
        <v>4600</v>
      </c>
      <c r="G60">
        <v>0</v>
      </c>
      <c r="H60">
        <v>4600</v>
      </c>
      <c r="I60">
        <f t="shared" ca="1" si="0"/>
        <v>0</v>
      </c>
      <c r="J60">
        <f t="shared" ca="1" si="1"/>
        <v>4600</v>
      </c>
      <c r="K60">
        <f t="shared" si="17"/>
        <v>33.619999999999997</v>
      </c>
      <c r="L60">
        <f t="shared" ca="1" si="2"/>
        <v>154652</v>
      </c>
      <c r="M60" s="62">
        <f t="shared" ca="1" si="3"/>
        <v>5.9232060551377167E-3</v>
      </c>
      <c r="N60" s="62">
        <f>IFERROR(VLOOKUP(C60,'[1]pesos FIA'!$E$2:$F$74,2,0),0)</f>
        <v>0</v>
      </c>
      <c r="O60" s="26">
        <f t="shared" ca="1" si="4"/>
        <v>5.9232060551377167E-3</v>
      </c>
      <c r="P60" s="73">
        <f t="shared" ca="1" si="5"/>
        <v>0</v>
      </c>
      <c r="Q60" s="73">
        <f t="shared" ca="1" si="6"/>
        <v>0</v>
      </c>
      <c r="R60" s="73">
        <f t="shared" ca="1" si="7"/>
        <v>-4600</v>
      </c>
      <c r="S60" s="73">
        <f t="shared" ca="1" si="8"/>
        <v>0</v>
      </c>
      <c r="T60" s="73">
        <f t="shared" ca="1" si="9"/>
        <v>0</v>
      </c>
      <c r="V60" s="65">
        <f t="shared" ca="1" si="10"/>
        <v>0</v>
      </c>
      <c r="W60" s="73">
        <f t="shared" ca="1" si="11"/>
        <v>0</v>
      </c>
      <c r="X60" s="62">
        <f t="shared" ca="1" si="12"/>
        <v>0</v>
      </c>
      <c r="Y60" s="26">
        <f t="shared" ca="1" si="13"/>
        <v>0</v>
      </c>
      <c r="AA60">
        <f t="shared" si="14"/>
        <v>0</v>
      </c>
      <c r="AE60" s="74">
        <v>29</v>
      </c>
      <c r="AF60" s="74" t="s">
        <v>529</v>
      </c>
      <c r="AG60" s="74" t="s">
        <v>530</v>
      </c>
      <c r="AH60" s="75" t="s">
        <v>97</v>
      </c>
      <c r="AI60" s="77">
        <v>4700</v>
      </c>
      <c r="AJ60" s="74">
        <f t="shared" si="15"/>
        <v>4700</v>
      </c>
      <c r="AK60" s="74"/>
    </row>
    <row r="61" spans="1:37" x14ac:dyDescent="0.3">
      <c r="A61" s="64">
        <v>46128</v>
      </c>
      <c r="B61">
        <v>29</v>
      </c>
      <c r="C61" t="s">
        <v>81</v>
      </c>
      <c r="D61" t="s">
        <v>403</v>
      </c>
      <c r="E61" t="s">
        <v>343</v>
      </c>
      <c r="F61">
        <v>13300</v>
      </c>
      <c r="G61">
        <v>200</v>
      </c>
      <c r="H61">
        <v>13500</v>
      </c>
      <c r="I61">
        <f t="shared" ca="1" si="0"/>
        <v>0</v>
      </c>
      <c r="J61">
        <f t="shared" ca="1" si="1"/>
        <v>13500</v>
      </c>
      <c r="K61">
        <f t="shared" si="17"/>
        <v>26.54</v>
      </c>
      <c r="L61">
        <f t="shared" ca="1" si="2"/>
        <v>358290</v>
      </c>
      <c r="M61" s="62">
        <f t="shared" ca="1" si="3"/>
        <v>1.3722586823935626E-2</v>
      </c>
      <c r="N61" s="62">
        <f>IFERROR(VLOOKUP(C61,'[1]pesos FIA'!$E$2:$F$74,2,0),0)</f>
        <v>1.61215E-2</v>
      </c>
      <c r="O61" s="26">
        <f t="shared" ca="1" si="4"/>
        <v>-2.3989131760643739E-3</v>
      </c>
      <c r="P61" s="73">
        <f t="shared" ca="1" si="5"/>
        <v>420924.44442945044</v>
      </c>
      <c r="Q61" s="73">
        <f t="shared" ca="1" si="6"/>
        <v>15900</v>
      </c>
      <c r="R61" s="73">
        <f t="shared" ca="1" si="7"/>
        <v>2400</v>
      </c>
      <c r="S61" s="73">
        <f t="shared" ca="1" si="8"/>
        <v>0</v>
      </c>
      <c r="T61" s="73">
        <f t="shared" ca="1" si="9"/>
        <v>421986</v>
      </c>
      <c r="V61" s="65">
        <f t="shared" ca="1" si="10"/>
        <v>15400</v>
      </c>
      <c r="W61" s="73">
        <f t="shared" ca="1" si="11"/>
        <v>408716</v>
      </c>
      <c r="X61" s="62">
        <f t="shared" ca="1" si="12"/>
        <v>1.553383623177374E-2</v>
      </c>
      <c r="Y61" s="26">
        <f t="shared" ca="1" si="13"/>
        <v>-5.876637682262608E-4</v>
      </c>
      <c r="AA61">
        <f t="shared" si="14"/>
        <v>15400</v>
      </c>
      <c r="AE61" s="74">
        <v>29</v>
      </c>
      <c r="AF61" s="74" t="s">
        <v>529</v>
      </c>
      <c r="AG61" s="74" t="s">
        <v>530</v>
      </c>
      <c r="AH61" s="75" t="s">
        <v>232</v>
      </c>
      <c r="AI61" s="77">
        <v>5100</v>
      </c>
      <c r="AJ61" s="74">
        <f t="shared" si="15"/>
        <v>5100</v>
      </c>
      <c r="AK61" s="74"/>
    </row>
    <row r="62" spans="1:37" x14ac:dyDescent="0.3">
      <c r="A62" s="64">
        <v>46128</v>
      </c>
      <c r="B62">
        <v>29</v>
      </c>
      <c r="C62" t="s">
        <v>76</v>
      </c>
      <c r="D62" t="s">
        <v>404</v>
      </c>
      <c r="E62" t="s">
        <v>343</v>
      </c>
      <c r="F62">
        <v>26531</v>
      </c>
      <c r="G62">
        <v>0</v>
      </c>
      <c r="H62">
        <v>26531</v>
      </c>
      <c r="I62">
        <f t="shared" ca="1" si="0"/>
        <v>0</v>
      </c>
      <c r="J62">
        <f t="shared" ca="1" si="1"/>
        <v>26531</v>
      </c>
      <c r="K62">
        <f t="shared" si="17"/>
        <v>5.62</v>
      </c>
      <c r="L62">
        <f t="shared" ca="1" si="2"/>
        <v>149104.22</v>
      </c>
      <c r="M62" s="62">
        <f t="shared" ca="1" si="3"/>
        <v>5.710724845139967E-3</v>
      </c>
      <c r="N62" s="62">
        <f>IFERROR(VLOOKUP(C62,'[1]pesos FIA'!$E$2:$F$74,2,0),0)</f>
        <v>4.2425000000000006E-3</v>
      </c>
      <c r="O62" s="26">
        <f t="shared" ca="1" si="4"/>
        <v>1.4682248451399664E-3</v>
      </c>
      <c r="P62" s="73">
        <f t="shared" ca="1" si="5"/>
        <v>110769.59063932908</v>
      </c>
      <c r="Q62" s="73">
        <f t="shared" ca="1" si="6"/>
        <v>19700</v>
      </c>
      <c r="R62" s="73">
        <f t="shared" ca="1" si="7"/>
        <v>-6831</v>
      </c>
      <c r="S62" s="73">
        <f t="shared" ca="1" si="8"/>
        <v>0</v>
      </c>
      <c r="T62" s="73">
        <f t="shared" ca="1" si="9"/>
        <v>110714</v>
      </c>
      <c r="V62" s="65">
        <f t="shared" ca="1" si="10"/>
        <v>19431</v>
      </c>
      <c r="W62" s="73">
        <f t="shared" ca="1" si="11"/>
        <v>109202.22</v>
      </c>
      <c r="X62" s="62">
        <f t="shared" ca="1" si="12"/>
        <v>4.150386580476729E-3</v>
      </c>
      <c r="Y62" s="26">
        <f t="shared" ca="1" si="13"/>
        <v>-9.2113419523271595E-5</v>
      </c>
      <c r="AA62">
        <f t="shared" si="14"/>
        <v>19431</v>
      </c>
      <c r="AE62" s="74">
        <v>29</v>
      </c>
      <c r="AF62" s="74" t="s">
        <v>529</v>
      </c>
      <c r="AG62" s="74" t="s">
        <v>530</v>
      </c>
      <c r="AH62" s="75" t="s">
        <v>69</v>
      </c>
      <c r="AI62" s="77">
        <v>6200</v>
      </c>
      <c r="AJ62" s="74">
        <f t="shared" si="15"/>
        <v>6200</v>
      </c>
      <c r="AK62" s="74"/>
    </row>
    <row r="63" spans="1:37" x14ac:dyDescent="0.3">
      <c r="A63" s="64">
        <v>46128</v>
      </c>
      <c r="B63">
        <v>29</v>
      </c>
      <c r="C63" t="s">
        <v>98</v>
      </c>
      <c r="D63" t="s">
        <v>405</v>
      </c>
      <c r="E63" t="s">
        <v>343</v>
      </c>
      <c r="F63">
        <v>2810</v>
      </c>
      <c r="G63">
        <v>0</v>
      </c>
      <c r="H63">
        <v>2810</v>
      </c>
      <c r="I63">
        <f t="shared" ca="1" si="0"/>
        <v>0</v>
      </c>
      <c r="J63">
        <f t="shared" ca="1" si="1"/>
        <v>2810</v>
      </c>
      <c r="K63">
        <f t="shared" si="17"/>
        <v>62.47</v>
      </c>
      <c r="L63">
        <f t="shared" ca="1" si="2"/>
        <v>175540.69999999998</v>
      </c>
      <c r="M63" s="62">
        <f t="shared" ca="1" si="3"/>
        <v>6.7232479189607199E-3</v>
      </c>
      <c r="N63" s="62">
        <f>IFERROR(VLOOKUP(C63,'[1]pesos FIA'!$E$2:$F$74,2,0),0)</f>
        <v>0</v>
      </c>
      <c r="O63" s="26">
        <f t="shared" ca="1" si="4"/>
        <v>6.7232479189607199E-3</v>
      </c>
      <c r="P63" s="73">
        <f t="shared" ca="1" si="5"/>
        <v>0</v>
      </c>
      <c r="Q63" s="73">
        <f t="shared" ca="1" si="6"/>
        <v>0</v>
      </c>
      <c r="R63" s="73">
        <f t="shared" ca="1" si="7"/>
        <v>-2810</v>
      </c>
      <c r="S63" s="73">
        <f t="shared" ca="1" si="8"/>
        <v>0</v>
      </c>
      <c r="T63" s="73">
        <f t="shared" ca="1" si="9"/>
        <v>0</v>
      </c>
      <c r="V63" s="65">
        <f t="shared" ca="1" si="10"/>
        <v>0</v>
      </c>
      <c r="W63" s="73">
        <f t="shared" ca="1" si="11"/>
        <v>0</v>
      </c>
      <c r="X63" s="62">
        <f t="shared" ca="1" si="12"/>
        <v>0</v>
      </c>
      <c r="Y63" s="26">
        <f t="shared" ca="1" si="13"/>
        <v>0</v>
      </c>
      <c r="AA63">
        <f t="shared" si="14"/>
        <v>0</v>
      </c>
      <c r="AE63" s="74">
        <v>29</v>
      </c>
      <c r="AF63" s="74" t="s">
        <v>529</v>
      </c>
      <c r="AG63" s="74" t="s">
        <v>530</v>
      </c>
      <c r="AH63" s="75" t="s">
        <v>87</v>
      </c>
      <c r="AI63" s="77">
        <v>6800</v>
      </c>
      <c r="AJ63" s="74">
        <f t="shared" si="15"/>
        <v>6800</v>
      </c>
      <c r="AK63" s="74"/>
    </row>
    <row r="64" spans="1:37" x14ac:dyDescent="0.3">
      <c r="A64" s="64">
        <v>46128</v>
      </c>
      <c r="B64">
        <v>29</v>
      </c>
      <c r="C64" t="s">
        <v>182</v>
      </c>
      <c r="D64" t="s">
        <v>406</v>
      </c>
      <c r="E64" t="s">
        <v>343</v>
      </c>
      <c r="F64">
        <v>15500</v>
      </c>
      <c r="G64">
        <v>0</v>
      </c>
      <c r="H64">
        <v>15500</v>
      </c>
      <c r="I64">
        <f t="shared" ca="1" si="0"/>
        <v>0</v>
      </c>
      <c r="J64">
        <f t="shared" ca="1" si="1"/>
        <v>15500</v>
      </c>
      <c r="K64">
        <f t="shared" si="17"/>
        <v>87.44</v>
      </c>
      <c r="L64">
        <f t="shared" ca="1" si="2"/>
        <v>1355320</v>
      </c>
      <c r="M64" s="62">
        <f t="shared" ca="1" si="3"/>
        <v>5.1909057953658862E-2</v>
      </c>
      <c r="N64" s="62">
        <f>IFERROR(VLOOKUP(C64,'[1]pesos FIA'!$E$2:$F$74,2,0),0)</f>
        <v>4.8364500000000005E-2</v>
      </c>
      <c r="O64" s="26">
        <f t="shared" ca="1" si="4"/>
        <v>3.544557953658857E-3</v>
      </c>
      <c r="P64" s="73">
        <f t="shared" ca="1" si="5"/>
        <v>1262773.3332883513</v>
      </c>
      <c r="Q64" s="73">
        <f t="shared" ca="1" si="6"/>
        <v>14400</v>
      </c>
      <c r="R64" s="73">
        <f t="shared" ca="1" si="7"/>
        <v>-1100</v>
      </c>
      <c r="S64" s="73">
        <f t="shared" ca="1" si="8"/>
        <v>0</v>
      </c>
      <c r="T64" s="73">
        <f t="shared" ca="1" si="9"/>
        <v>1259136</v>
      </c>
      <c r="V64" s="65">
        <f t="shared" ca="1" si="10"/>
        <v>14300</v>
      </c>
      <c r="W64" s="73">
        <f t="shared" ca="1" si="11"/>
        <v>1250392</v>
      </c>
      <c r="X64" s="62">
        <f t="shared" ca="1" si="12"/>
        <v>4.7522936595386603E-2</v>
      </c>
      <c r="Y64" s="26">
        <f t="shared" ca="1" si="13"/>
        <v>-8.4156340461340184E-4</v>
      </c>
      <c r="AA64">
        <f t="shared" si="14"/>
        <v>14300</v>
      </c>
      <c r="AE64" s="74">
        <v>29</v>
      </c>
      <c r="AF64" s="74" t="s">
        <v>529</v>
      </c>
      <c r="AG64" s="74" t="s">
        <v>530</v>
      </c>
      <c r="AH64" s="75" t="s">
        <v>92</v>
      </c>
      <c r="AI64" s="77">
        <v>6900</v>
      </c>
      <c r="AJ64" s="74">
        <f t="shared" si="15"/>
        <v>6900</v>
      </c>
      <c r="AK64" s="74"/>
    </row>
    <row r="65" spans="1:37" x14ac:dyDescent="0.3">
      <c r="A65" s="64">
        <v>46128</v>
      </c>
      <c r="B65">
        <v>29</v>
      </c>
      <c r="C65" t="s">
        <v>123</v>
      </c>
      <c r="D65" t="s">
        <v>407</v>
      </c>
      <c r="E65" t="s">
        <v>343</v>
      </c>
      <c r="F65">
        <v>12200</v>
      </c>
      <c r="G65">
        <v>100</v>
      </c>
      <c r="H65">
        <v>12300</v>
      </c>
      <c r="I65">
        <f t="shared" ca="1" si="0"/>
        <v>0</v>
      </c>
      <c r="J65">
        <f t="shared" ca="1" si="1"/>
        <v>12300</v>
      </c>
      <c r="K65">
        <f t="shared" si="17"/>
        <v>40.950000000000003</v>
      </c>
      <c r="L65">
        <f t="shared" ca="1" si="2"/>
        <v>503685.00000000006</v>
      </c>
      <c r="M65" s="62">
        <f t="shared" ca="1" si="3"/>
        <v>1.929124771669323E-2</v>
      </c>
      <c r="N65" s="62">
        <f>IFERROR(VLOOKUP(C65,'[1]pesos FIA'!$E$2:$F$74,2,0),0)</f>
        <v>1.3576000000000001E-2</v>
      </c>
      <c r="O65" s="26">
        <f t="shared" ca="1" si="4"/>
        <v>5.7152477166932288E-3</v>
      </c>
      <c r="P65" s="73">
        <f t="shared" ca="1" si="5"/>
        <v>354462.69004585303</v>
      </c>
      <c r="Q65" s="73">
        <f t="shared" ca="1" si="6"/>
        <v>8700</v>
      </c>
      <c r="R65" s="73">
        <f t="shared" ca="1" si="7"/>
        <v>-3600</v>
      </c>
      <c r="S65" s="73">
        <f t="shared" ca="1" si="8"/>
        <v>0</v>
      </c>
      <c r="T65" s="73">
        <f t="shared" ca="1" si="9"/>
        <v>356265</v>
      </c>
      <c r="V65" s="65">
        <f t="shared" ca="1" si="10"/>
        <v>8800</v>
      </c>
      <c r="W65" s="73">
        <f t="shared" ca="1" si="11"/>
        <v>360360</v>
      </c>
      <c r="X65" s="62">
        <f t="shared" ca="1" si="12"/>
        <v>1.3695997280463659E-2</v>
      </c>
      <c r="Y65" s="26">
        <f t="shared" ca="1" si="13"/>
        <v>1.1999728046365767E-4</v>
      </c>
      <c r="AA65">
        <f t="shared" si="14"/>
        <v>8800</v>
      </c>
      <c r="AE65" s="74">
        <v>29</v>
      </c>
      <c r="AF65" s="74" t="s">
        <v>529</v>
      </c>
      <c r="AG65" s="74" t="s">
        <v>530</v>
      </c>
      <c r="AH65" s="75" t="s">
        <v>154</v>
      </c>
      <c r="AI65" s="77">
        <v>7300</v>
      </c>
      <c r="AJ65" s="74">
        <f t="shared" si="15"/>
        <v>7300</v>
      </c>
      <c r="AK65" s="74"/>
    </row>
    <row r="66" spans="1:37" x14ac:dyDescent="0.3">
      <c r="A66" s="64">
        <v>46128</v>
      </c>
      <c r="B66">
        <v>29</v>
      </c>
      <c r="C66" t="s">
        <v>80</v>
      </c>
      <c r="D66" t="s">
        <v>408</v>
      </c>
      <c r="E66" t="s">
        <v>343</v>
      </c>
      <c r="F66">
        <v>9100</v>
      </c>
      <c r="G66">
        <v>0</v>
      </c>
      <c r="H66">
        <v>9100</v>
      </c>
      <c r="I66">
        <f t="shared" ca="1" si="0"/>
        <v>0</v>
      </c>
      <c r="J66">
        <f t="shared" ca="1" si="1"/>
        <v>9100</v>
      </c>
      <c r="K66">
        <f t="shared" si="17"/>
        <v>20.5</v>
      </c>
      <c r="L66">
        <f t="shared" ca="1" si="2"/>
        <v>186550</v>
      </c>
      <c r="M66" s="62">
        <f t="shared" ca="1" si="3"/>
        <v>7.1449065617382318E-3</v>
      </c>
      <c r="N66" s="62">
        <f>IFERROR(VLOOKUP(C66,'[1]pesos FIA'!$E$2:$F$74,2,0),0)</f>
        <v>1.0606250000000001E-2</v>
      </c>
      <c r="O66" s="26">
        <f t="shared" ca="1" si="4"/>
        <v>-3.4613434382617693E-3</v>
      </c>
      <c r="P66" s="73">
        <f t="shared" ca="1" si="5"/>
        <v>276923.97659832268</v>
      </c>
      <c r="Q66" s="73">
        <f t="shared" ca="1" si="6"/>
        <v>13500</v>
      </c>
      <c r="R66" s="73">
        <f t="shared" ca="1" si="7"/>
        <v>4400</v>
      </c>
      <c r="S66" s="73">
        <f t="shared" ca="1" si="8"/>
        <v>0</v>
      </c>
      <c r="T66" s="73">
        <f t="shared" ca="1" si="9"/>
        <v>276750</v>
      </c>
      <c r="V66" s="65">
        <f t="shared" ca="1" si="10"/>
        <v>12900</v>
      </c>
      <c r="W66" s="73">
        <f t="shared" ca="1" si="11"/>
        <v>264450</v>
      </c>
      <c r="X66" s="62">
        <f t="shared" ca="1" si="12"/>
        <v>1.005080053507219E-2</v>
      </c>
      <c r="Y66" s="26">
        <f t="shared" ca="1" si="13"/>
        <v>-5.5544946492781105E-4</v>
      </c>
      <c r="AA66">
        <f t="shared" si="14"/>
        <v>12900</v>
      </c>
      <c r="AE66" s="74">
        <v>29</v>
      </c>
      <c r="AF66" s="74" t="s">
        <v>529</v>
      </c>
      <c r="AG66" s="74" t="s">
        <v>530</v>
      </c>
      <c r="AH66" s="75" t="s">
        <v>137</v>
      </c>
      <c r="AI66" s="77">
        <v>8400</v>
      </c>
      <c r="AJ66" s="74">
        <f t="shared" si="15"/>
        <v>8400</v>
      </c>
      <c r="AK66" s="74"/>
    </row>
    <row r="67" spans="1:37" x14ac:dyDescent="0.3">
      <c r="A67" s="64">
        <v>46128</v>
      </c>
      <c r="B67">
        <v>29</v>
      </c>
      <c r="C67" t="s">
        <v>63</v>
      </c>
      <c r="D67" t="s">
        <v>409</v>
      </c>
      <c r="E67" t="s">
        <v>343</v>
      </c>
      <c r="F67">
        <v>11200</v>
      </c>
      <c r="G67">
        <v>0</v>
      </c>
      <c r="H67">
        <v>11200</v>
      </c>
      <c r="I67">
        <f t="shared" ca="1" si="0"/>
        <v>0</v>
      </c>
      <c r="J67">
        <f t="shared" ca="1" si="1"/>
        <v>11200</v>
      </c>
      <c r="K67">
        <f t="shared" si="17"/>
        <v>17.100000000000001</v>
      </c>
      <c r="L67">
        <f t="shared" ca="1" si="2"/>
        <v>191520.00000000003</v>
      </c>
      <c r="M67" s="62">
        <f t="shared" ca="1" si="3"/>
        <v>7.3352586690115596E-3</v>
      </c>
      <c r="N67" s="62">
        <f>IFERROR(VLOOKUP(C67,'[1]pesos FIA'!$E$2:$F$74,2,0),0)</f>
        <v>1.0182E-2</v>
      </c>
      <c r="O67" s="26">
        <f t="shared" ca="1" si="4"/>
        <v>-2.8467413309884405E-3</v>
      </c>
      <c r="P67" s="73">
        <f t="shared" ca="1" si="5"/>
        <v>265847.01753438974</v>
      </c>
      <c r="Q67" s="73">
        <f t="shared" ca="1" si="6"/>
        <v>15500</v>
      </c>
      <c r="R67" s="73">
        <f t="shared" ca="1" si="7"/>
        <v>4300</v>
      </c>
      <c r="S67" s="73">
        <f t="shared" ca="1" si="8"/>
        <v>0</v>
      </c>
      <c r="T67" s="73">
        <f t="shared" ca="1" si="9"/>
        <v>265050</v>
      </c>
      <c r="V67" s="65">
        <f t="shared" ca="1" si="10"/>
        <v>14900</v>
      </c>
      <c r="W67" s="73">
        <f t="shared" ca="1" si="11"/>
        <v>254790.00000000003</v>
      </c>
      <c r="X67" s="62">
        <f t="shared" ca="1" si="12"/>
        <v>9.6836584168313242E-3</v>
      </c>
      <c r="Y67" s="26">
        <f t="shared" ca="1" si="13"/>
        <v>-4.9834158316867591E-4</v>
      </c>
      <c r="AA67">
        <f t="shared" si="14"/>
        <v>14900</v>
      </c>
      <c r="AE67" s="74">
        <v>29</v>
      </c>
      <c r="AF67" s="74" t="s">
        <v>529</v>
      </c>
      <c r="AG67" s="74" t="s">
        <v>530</v>
      </c>
      <c r="AH67" s="75" t="s">
        <v>185</v>
      </c>
      <c r="AI67" s="77">
        <v>8800</v>
      </c>
      <c r="AJ67" s="74">
        <f t="shared" si="15"/>
        <v>8800</v>
      </c>
      <c r="AK67" s="74"/>
    </row>
    <row r="68" spans="1:37" x14ac:dyDescent="0.3">
      <c r="A68" s="64">
        <v>46128</v>
      </c>
      <c r="B68">
        <v>29</v>
      </c>
      <c r="C68" t="s">
        <v>52</v>
      </c>
      <c r="D68" t="s">
        <v>410</v>
      </c>
      <c r="E68" t="s">
        <v>343</v>
      </c>
      <c r="F68">
        <v>17500</v>
      </c>
      <c r="G68">
        <v>400</v>
      </c>
      <c r="H68">
        <v>17900</v>
      </c>
      <c r="I68">
        <f t="shared" ref="I68:I69" ca="1" si="18">SUMIF($E$108:$H$127,C68,$H$108:$H$127)</f>
        <v>0</v>
      </c>
      <c r="J68">
        <f t="shared" ref="J68:J69" ca="1" si="19">I68+H68</f>
        <v>17900</v>
      </c>
      <c r="K68">
        <f t="shared" ref="K68:K95" si="20">VLOOKUP(C68,$L$138:$M$230,2,0)</f>
        <v>9.5299999999999994</v>
      </c>
      <c r="L68">
        <f t="shared" ref="L68:L95" ca="1" si="21">K68*J68</f>
        <v>170587</v>
      </c>
      <c r="M68" s="62">
        <f t="shared" ref="M68:M95" ca="1" si="22">L68/SUM($L$3:$L$95)</f>
        <v>6.5335201053188944E-3</v>
      </c>
      <c r="N68" s="62">
        <f>IFERROR(VLOOKUP(C68,'[1]pesos FIA'!$E$2:$F$74,2,0),0)</f>
        <v>1.1879000000000001E-2</v>
      </c>
      <c r="O68" s="26">
        <f t="shared" ref="O68:O95" ca="1" si="23">M68-N68</f>
        <v>-5.3454798946811063E-3</v>
      </c>
      <c r="P68" s="73">
        <f t="shared" ref="P68:P95" ca="1" si="24">N68*$L$1</f>
        <v>310154.85379012139</v>
      </c>
      <c r="Q68" s="73">
        <f t="shared" ref="Q68:Q95" ca="1" si="25">ROUND(P68/K68/100,0)*100</f>
        <v>32500</v>
      </c>
      <c r="R68" s="73">
        <f t="shared" ref="R68:R95" ca="1" si="26">(Q68-J68)</f>
        <v>14600</v>
      </c>
      <c r="S68" s="73">
        <f t="shared" ref="S68:S95" ca="1" si="27">IF(R68+H68&lt;0,1,0)</f>
        <v>0</v>
      </c>
      <c r="T68" s="73">
        <f t="shared" ref="T68:T95" ca="1" si="28">(R68+J68)*K68</f>
        <v>309725</v>
      </c>
      <c r="V68" s="65">
        <f t="shared" ref="V68:V95" ca="1" si="29">J68+VLOOKUP(C68,$AH$3:$AJ$95,3,0)</f>
        <v>30300</v>
      </c>
      <c r="W68" s="73">
        <f t="shared" ref="W68:W95" ca="1" si="30">V68*K68</f>
        <v>288759</v>
      </c>
      <c r="X68" s="62">
        <f t="shared" ref="X68:X95" ca="1" si="31">W68/SUM($W$3:$W$95)</f>
        <v>1.0974698853117453E-2</v>
      </c>
      <c r="Y68" s="26">
        <f t="shared" ref="Y68:Y95" ca="1" si="32">X68-N68</f>
        <v>-9.0430114688254751E-4</v>
      </c>
      <c r="AA68">
        <f t="shared" ref="AA68:AA95" si="33">VLOOKUP(C68,$AH$3:$AJ$95,3,0)+H68</f>
        <v>30300</v>
      </c>
      <c r="AE68" s="74">
        <v>29</v>
      </c>
      <c r="AF68" s="74" t="s">
        <v>529</v>
      </c>
      <c r="AG68" s="74" t="s">
        <v>530</v>
      </c>
      <c r="AH68" s="75" t="s">
        <v>104</v>
      </c>
      <c r="AI68" s="77">
        <v>8800</v>
      </c>
      <c r="AJ68" s="74">
        <f t="shared" ref="AJ68:AJ95" si="34">IF(AG68="VENDA",-AI68,AI68)</f>
        <v>8800</v>
      </c>
      <c r="AK68" s="74"/>
    </row>
    <row r="69" spans="1:37" x14ac:dyDescent="0.3">
      <c r="A69" s="64">
        <v>46128</v>
      </c>
      <c r="B69">
        <v>29</v>
      </c>
      <c r="C69" t="s">
        <v>97</v>
      </c>
      <c r="D69" t="s">
        <v>411</v>
      </c>
      <c r="E69" t="s">
        <v>343</v>
      </c>
      <c r="F69">
        <v>6900</v>
      </c>
      <c r="G69">
        <v>0</v>
      </c>
      <c r="H69">
        <v>6900</v>
      </c>
      <c r="I69">
        <f t="shared" ca="1" si="18"/>
        <v>0</v>
      </c>
      <c r="J69">
        <f t="shared" ca="1" si="19"/>
        <v>6900</v>
      </c>
      <c r="K69">
        <f t="shared" si="20"/>
        <v>26.7</v>
      </c>
      <c r="L69">
        <f t="shared" ca="1" si="21"/>
        <v>184230</v>
      </c>
      <c r="M69" s="62">
        <f t="shared" ca="1" si="22"/>
        <v>7.0560500448621517E-3</v>
      </c>
      <c r="N69" s="62">
        <f>IFERROR(VLOOKUP(C69,'[1]pesos FIA'!$E$2:$F$74,2,0),0)</f>
        <v>1.2727499999999999E-2</v>
      </c>
      <c r="O69" s="26">
        <f t="shared" ca="1" si="23"/>
        <v>-5.6714499551378476E-3</v>
      </c>
      <c r="P69" s="73">
        <f t="shared" ca="1" si="24"/>
        <v>332308.77191798715</v>
      </c>
      <c r="Q69" s="73">
        <f t="shared" ca="1" si="25"/>
        <v>12400</v>
      </c>
      <c r="R69" s="73">
        <f t="shared" ca="1" si="26"/>
        <v>5500</v>
      </c>
      <c r="S69" s="73">
        <f t="shared" ca="1" si="27"/>
        <v>0</v>
      </c>
      <c r="T69" s="73">
        <f t="shared" ca="1" si="28"/>
        <v>331080</v>
      </c>
      <c r="V69" s="65">
        <f t="shared" ca="1" si="29"/>
        <v>11600</v>
      </c>
      <c r="W69" s="73">
        <f t="shared" ca="1" si="30"/>
        <v>309720</v>
      </c>
      <c r="X69" s="62">
        <f t="shared" ca="1" si="31"/>
        <v>1.1771351641983584E-2</v>
      </c>
      <c r="Y69" s="26">
        <f t="shared" ca="1" si="32"/>
        <v>-9.5614835801641554E-4</v>
      </c>
      <c r="AA69">
        <f t="shared" si="33"/>
        <v>11600</v>
      </c>
      <c r="AE69" s="74">
        <v>29</v>
      </c>
      <c r="AF69" s="74" t="s">
        <v>529</v>
      </c>
      <c r="AG69" s="74" t="s">
        <v>530</v>
      </c>
      <c r="AH69" s="75" t="s">
        <v>72</v>
      </c>
      <c r="AI69" s="77">
        <v>10300</v>
      </c>
      <c r="AJ69" s="74">
        <f t="shared" si="34"/>
        <v>10300</v>
      </c>
      <c r="AK69" s="74"/>
    </row>
    <row r="70" spans="1:37" x14ac:dyDescent="0.3">
      <c r="C70" t="s">
        <v>100</v>
      </c>
      <c r="K70">
        <f t="shared" si="20"/>
        <v>5.33</v>
      </c>
      <c r="L70">
        <f t="shared" si="21"/>
        <v>0</v>
      </c>
      <c r="M70" s="62">
        <f t="shared" ca="1" si="22"/>
        <v>0</v>
      </c>
      <c r="N70" s="62">
        <f>IFERROR(VLOOKUP(C70,'[1]pesos FIA'!$E$2:$F$74,2,0),0)</f>
        <v>1.0182E-2</v>
      </c>
      <c r="O70" s="26">
        <f t="shared" ca="1" si="23"/>
        <v>-1.0182E-2</v>
      </c>
      <c r="P70" s="73">
        <f t="shared" ca="1" si="24"/>
        <v>265847.01753438974</v>
      </c>
      <c r="Q70" s="73">
        <f t="shared" ca="1" si="25"/>
        <v>49900</v>
      </c>
      <c r="R70" s="73">
        <f t="shared" ca="1" si="26"/>
        <v>49900</v>
      </c>
      <c r="S70" s="73">
        <f t="shared" ca="1" si="27"/>
        <v>0</v>
      </c>
      <c r="T70" s="73">
        <f t="shared" ca="1" si="28"/>
        <v>265967</v>
      </c>
      <c r="V70" s="65">
        <f t="shared" si="29"/>
        <v>42500</v>
      </c>
      <c r="W70" s="73">
        <f t="shared" si="30"/>
        <v>226525</v>
      </c>
      <c r="X70" s="62">
        <f t="shared" ca="1" si="31"/>
        <v>8.609406659887419E-3</v>
      </c>
      <c r="Y70" s="26">
        <f t="shared" ca="1" si="32"/>
        <v>-1.5725933401125811E-3</v>
      </c>
      <c r="AA70">
        <f t="shared" si="33"/>
        <v>42500</v>
      </c>
      <c r="AE70" s="74">
        <v>29</v>
      </c>
      <c r="AF70" s="74" t="s">
        <v>529</v>
      </c>
      <c r="AG70" s="74" t="s">
        <v>530</v>
      </c>
      <c r="AH70" s="75" t="s">
        <v>114</v>
      </c>
      <c r="AI70" s="77">
        <v>10300</v>
      </c>
      <c r="AJ70" s="74">
        <f t="shared" si="34"/>
        <v>10300</v>
      </c>
      <c r="AK70" s="74"/>
    </row>
    <row r="71" spans="1:37" x14ac:dyDescent="0.3">
      <c r="C71" t="s">
        <v>86</v>
      </c>
      <c r="K71">
        <f t="shared" si="20"/>
        <v>3.86</v>
      </c>
      <c r="L71">
        <f t="shared" si="21"/>
        <v>0</v>
      </c>
      <c r="M71" s="62">
        <f t="shared" ca="1" si="22"/>
        <v>0</v>
      </c>
      <c r="N71" s="62">
        <f>IFERROR(VLOOKUP(C71,'[1]pesos FIA'!$E$2:$F$74,2,0),0)</f>
        <v>1.1879000000000001E-2</v>
      </c>
      <c r="O71" s="26">
        <f t="shared" ca="1" si="23"/>
        <v>-1.1879000000000001E-2</v>
      </c>
      <c r="P71" s="73">
        <f t="shared" ca="1" si="24"/>
        <v>310154.85379012139</v>
      </c>
      <c r="Q71" s="73">
        <f t="shared" ca="1" si="25"/>
        <v>80400</v>
      </c>
      <c r="R71" s="73">
        <f t="shared" ca="1" si="26"/>
        <v>80400</v>
      </c>
      <c r="S71" s="73">
        <f t="shared" ca="1" si="27"/>
        <v>0</v>
      </c>
      <c r="T71" s="73">
        <f t="shared" ca="1" si="28"/>
        <v>310344</v>
      </c>
      <c r="V71" s="65">
        <f t="shared" si="29"/>
        <v>69400</v>
      </c>
      <c r="W71" s="73">
        <f t="shared" si="30"/>
        <v>267884</v>
      </c>
      <c r="X71" s="62">
        <f t="shared" ca="1" si="31"/>
        <v>1.018131461727086E-2</v>
      </c>
      <c r="Y71" s="26">
        <f t="shared" ca="1" si="32"/>
        <v>-1.6976853827291409E-3</v>
      </c>
      <c r="AA71">
        <f t="shared" si="33"/>
        <v>69400</v>
      </c>
      <c r="AE71" s="74">
        <v>29</v>
      </c>
      <c r="AF71" s="74" t="s">
        <v>529</v>
      </c>
      <c r="AG71" s="74" t="s">
        <v>530</v>
      </c>
      <c r="AH71" s="75" t="s">
        <v>122</v>
      </c>
      <c r="AI71" s="77">
        <v>10400</v>
      </c>
      <c r="AJ71" s="74">
        <f t="shared" si="34"/>
        <v>10400</v>
      </c>
      <c r="AK71" s="74"/>
    </row>
    <row r="72" spans="1:37" x14ac:dyDescent="0.3">
      <c r="C72" t="s">
        <v>74</v>
      </c>
      <c r="K72">
        <f t="shared" si="20"/>
        <v>8.06</v>
      </c>
      <c r="L72">
        <f t="shared" si="21"/>
        <v>0</v>
      </c>
      <c r="M72" s="62">
        <f t="shared" ca="1" si="22"/>
        <v>0</v>
      </c>
      <c r="N72" s="62">
        <f>IFERROR(VLOOKUP(C72,'[1]pesos FIA'!$E$2:$F$74,2,0),0)</f>
        <v>6.7880000000000006E-3</v>
      </c>
      <c r="O72" s="26">
        <f t="shared" ca="1" si="23"/>
        <v>-6.7880000000000006E-3</v>
      </c>
      <c r="P72" s="73">
        <f t="shared" ca="1" si="24"/>
        <v>177231.34502292651</v>
      </c>
      <c r="Q72" s="73">
        <f t="shared" ca="1" si="25"/>
        <v>22000</v>
      </c>
      <c r="R72" s="73">
        <f t="shared" ca="1" si="26"/>
        <v>22000</v>
      </c>
      <c r="S72" s="73">
        <f t="shared" ca="1" si="27"/>
        <v>0</v>
      </c>
      <c r="T72" s="73">
        <f t="shared" ca="1" si="28"/>
        <v>177320</v>
      </c>
      <c r="V72" s="65">
        <f t="shared" si="29"/>
        <v>18900</v>
      </c>
      <c r="W72" s="73">
        <f t="shared" si="30"/>
        <v>152334</v>
      </c>
      <c r="X72" s="62">
        <f t="shared" ca="1" si="31"/>
        <v>5.7896715776505469E-3</v>
      </c>
      <c r="Y72" s="26">
        <f t="shared" ca="1" si="32"/>
        <v>-9.9832842234945374E-4</v>
      </c>
      <c r="AA72">
        <f t="shared" si="33"/>
        <v>18900</v>
      </c>
      <c r="AE72" s="74">
        <v>29</v>
      </c>
      <c r="AF72" s="74" t="s">
        <v>529</v>
      </c>
      <c r="AG72" s="74" t="s">
        <v>530</v>
      </c>
      <c r="AH72" s="75" t="s">
        <v>103</v>
      </c>
      <c r="AI72" s="77">
        <v>11900</v>
      </c>
      <c r="AJ72" s="74">
        <f t="shared" si="34"/>
        <v>11900</v>
      </c>
      <c r="AK72" s="74"/>
    </row>
    <row r="73" spans="1:37" x14ac:dyDescent="0.3">
      <c r="C73" t="s">
        <v>89</v>
      </c>
      <c r="K73">
        <f t="shared" si="20"/>
        <v>7.33</v>
      </c>
      <c r="L73">
        <f t="shared" si="21"/>
        <v>0</v>
      </c>
      <c r="M73" s="62">
        <f t="shared" ca="1" si="22"/>
        <v>0</v>
      </c>
      <c r="N73" s="62">
        <f>IFERROR(VLOOKUP(C73,'[1]pesos FIA'!$E$2:$F$74,2,0),0)</f>
        <v>9.3334999999999998E-3</v>
      </c>
      <c r="O73" s="26">
        <f t="shared" ca="1" si="23"/>
        <v>-9.3334999999999998E-3</v>
      </c>
      <c r="P73" s="73">
        <f t="shared" ca="1" si="24"/>
        <v>243693.09940652392</v>
      </c>
      <c r="Q73" s="73">
        <f t="shared" ca="1" si="25"/>
        <v>33200</v>
      </c>
      <c r="R73" s="73">
        <f t="shared" ca="1" si="26"/>
        <v>33200</v>
      </c>
      <c r="S73" s="73">
        <f t="shared" ca="1" si="27"/>
        <v>0</v>
      </c>
      <c r="T73" s="73">
        <f t="shared" ca="1" si="28"/>
        <v>243356</v>
      </c>
      <c r="V73" s="65">
        <f t="shared" si="29"/>
        <v>28200</v>
      </c>
      <c r="W73" s="73">
        <f t="shared" si="30"/>
        <v>206706</v>
      </c>
      <c r="X73" s="62">
        <f t="shared" ca="1" si="31"/>
        <v>7.8561572146062849E-3</v>
      </c>
      <c r="Y73" s="26">
        <f t="shared" ca="1" si="32"/>
        <v>-1.4773427853937149E-3</v>
      </c>
      <c r="AA73">
        <f t="shared" si="33"/>
        <v>28200</v>
      </c>
      <c r="AE73" s="74">
        <v>29</v>
      </c>
      <c r="AF73" s="74" t="s">
        <v>529</v>
      </c>
      <c r="AG73" s="74" t="s">
        <v>530</v>
      </c>
      <c r="AH73" s="75" t="s">
        <v>147</v>
      </c>
      <c r="AI73" s="77">
        <v>12300</v>
      </c>
      <c r="AJ73" s="74">
        <f t="shared" si="34"/>
        <v>12300</v>
      </c>
      <c r="AK73" s="74"/>
    </row>
    <row r="74" spans="1:37" x14ac:dyDescent="0.3">
      <c r="C74" t="s">
        <v>90</v>
      </c>
      <c r="K74">
        <f t="shared" si="20"/>
        <v>6.86</v>
      </c>
      <c r="L74">
        <f t="shared" si="21"/>
        <v>0</v>
      </c>
      <c r="M74" s="62">
        <f t="shared" ca="1" si="22"/>
        <v>0</v>
      </c>
      <c r="N74" s="62">
        <f>IFERROR(VLOOKUP(C74,'[1]pesos FIA'!$E$2:$F$74,2,0),0)</f>
        <v>8.4850000000000012E-3</v>
      </c>
      <c r="O74" s="26">
        <f t="shared" ca="1" si="23"/>
        <v>-8.4850000000000012E-3</v>
      </c>
      <c r="P74" s="73">
        <f t="shared" ca="1" si="24"/>
        <v>221539.18127865816</v>
      </c>
      <c r="Q74" s="73">
        <f t="shared" ca="1" si="25"/>
        <v>32300</v>
      </c>
      <c r="R74" s="73">
        <f t="shared" ca="1" si="26"/>
        <v>32300</v>
      </c>
      <c r="S74" s="73">
        <f t="shared" ca="1" si="27"/>
        <v>0</v>
      </c>
      <c r="T74" s="73">
        <f t="shared" ca="1" si="28"/>
        <v>221578</v>
      </c>
      <c r="V74" s="65">
        <f t="shared" si="29"/>
        <v>27100</v>
      </c>
      <c r="W74" s="73">
        <f t="shared" si="30"/>
        <v>185906</v>
      </c>
      <c r="X74" s="62">
        <f t="shared" ca="1" si="31"/>
        <v>7.0656234610441699E-3</v>
      </c>
      <c r="Y74" s="26">
        <f t="shared" ca="1" si="32"/>
        <v>-1.4193765389558313E-3</v>
      </c>
      <c r="AA74">
        <f t="shared" si="33"/>
        <v>27100</v>
      </c>
      <c r="AE74" s="74">
        <v>29</v>
      </c>
      <c r="AF74" s="74" t="s">
        <v>529</v>
      </c>
      <c r="AG74" s="74" t="s">
        <v>530</v>
      </c>
      <c r="AH74" s="75" t="s">
        <v>52</v>
      </c>
      <c r="AI74" s="77">
        <v>12400</v>
      </c>
      <c r="AJ74" s="74">
        <f t="shared" si="34"/>
        <v>12400</v>
      </c>
      <c r="AK74" s="74"/>
    </row>
    <row r="75" spans="1:37" x14ac:dyDescent="0.3">
      <c r="C75" t="s">
        <v>87</v>
      </c>
      <c r="K75">
        <f t="shared" si="20"/>
        <v>27.61</v>
      </c>
      <c r="L75">
        <f t="shared" si="21"/>
        <v>0</v>
      </c>
      <c r="M75" s="62">
        <f t="shared" ca="1" si="22"/>
        <v>0</v>
      </c>
      <c r="N75" s="62">
        <f>IFERROR(VLOOKUP(C75,'[1]pesos FIA'!$E$2:$F$74,2,0),0)</f>
        <v>8.4850000000000012E-3</v>
      </c>
      <c r="O75" s="26">
        <f t="shared" ca="1" si="23"/>
        <v>-8.4850000000000012E-3</v>
      </c>
      <c r="P75" s="73">
        <f t="shared" ca="1" si="24"/>
        <v>221539.18127865816</v>
      </c>
      <c r="Q75" s="73">
        <f t="shared" ca="1" si="25"/>
        <v>8000</v>
      </c>
      <c r="R75" s="73">
        <f t="shared" ca="1" si="26"/>
        <v>8000</v>
      </c>
      <c r="S75" s="73">
        <f t="shared" ca="1" si="27"/>
        <v>0</v>
      </c>
      <c r="T75" s="73">
        <f t="shared" ca="1" si="28"/>
        <v>220880</v>
      </c>
      <c r="V75" s="65">
        <f t="shared" si="29"/>
        <v>6800</v>
      </c>
      <c r="W75" s="73">
        <f t="shared" si="30"/>
        <v>187748</v>
      </c>
      <c r="X75" s="62">
        <f t="shared" ca="1" si="31"/>
        <v>7.1356313059509685E-3</v>
      </c>
      <c r="Y75" s="26">
        <f t="shared" ca="1" si="32"/>
        <v>-1.3493686940490328E-3</v>
      </c>
      <c r="AA75">
        <f t="shared" si="33"/>
        <v>6800</v>
      </c>
      <c r="AE75" s="74">
        <v>29</v>
      </c>
      <c r="AF75" s="74" t="s">
        <v>529</v>
      </c>
      <c r="AG75" s="74" t="s">
        <v>530</v>
      </c>
      <c r="AH75" s="75" t="s">
        <v>116</v>
      </c>
      <c r="AI75" s="77">
        <v>12580</v>
      </c>
      <c r="AJ75" s="74">
        <f t="shared" si="34"/>
        <v>12580</v>
      </c>
      <c r="AK75" s="74"/>
    </row>
    <row r="76" spans="1:37" x14ac:dyDescent="0.3">
      <c r="C76" t="s">
        <v>103</v>
      </c>
      <c r="K76">
        <f t="shared" si="20"/>
        <v>15.8</v>
      </c>
      <c r="L76">
        <f t="shared" si="21"/>
        <v>0</v>
      </c>
      <c r="M76" s="62">
        <f t="shared" ca="1" si="22"/>
        <v>0</v>
      </c>
      <c r="N76" s="62">
        <f>IFERROR(VLOOKUP(C76,'[1]pesos FIA'!$E$2:$F$74,2,0),0)</f>
        <v>8.4850000000000012E-3</v>
      </c>
      <c r="O76" s="26">
        <f t="shared" ca="1" si="23"/>
        <v>-8.4850000000000012E-3</v>
      </c>
      <c r="P76" s="73">
        <f t="shared" ca="1" si="24"/>
        <v>221539.18127865816</v>
      </c>
      <c r="Q76" s="73">
        <f t="shared" ca="1" si="25"/>
        <v>14000</v>
      </c>
      <c r="R76" s="73">
        <f t="shared" ca="1" si="26"/>
        <v>14000</v>
      </c>
      <c r="S76" s="73">
        <f t="shared" ca="1" si="27"/>
        <v>0</v>
      </c>
      <c r="T76" s="73">
        <f t="shared" ca="1" si="28"/>
        <v>221200</v>
      </c>
      <c r="V76" s="65">
        <f t="shared" si="29"/>
        <v>11900</v>
      </c>
      <c r="W76" s="73">
        <f t="shared" si="30"/>
        <v>188020</v>
      </c>
      <c r="X76" s="62">
        <f t="shared" ca="1" si="31"/>
        <v>7.1459690550360116E-3</v>
      </c>
      <c r="Y76" s="26">
        <f t="shared" ca="1" si="32"/>
        <v>-1.3390309449639896E-3</v>
      </c>
      <c r="AA76">
        <f t="shared" si="33"/>
        <v>11900</v>
      </c>
      <c r="AE76" s="74">
        <v>29</v>
      </c>
      <c r="AF76" s="74" t="s">
        <v>529</v>
      </c>
      <c r="AG76" s="74" t="s">
        <v>530</v>
      </c>
      <c r="AH76" s="75" t="s">
        <v>167</v>
      </c>
      <c r="AI76" s="77">
        <v>14200</v>
      </c>
      <c r="AJ76" s="74">
        <f t="shared" si="34"/>
        <v>14200</v>
      </c>
      <c r="AK76" s="74"/>
    </row>
    <row r="77" spans="1:37" x14ac:dyDescent="0.3">
      <c r="C77" t="s">
        <v>99</v>
      </c>
      <c r="K77">
        <f t="shared" si="20"/>
        <v>6.92</v>
      </c>
      <c r="L77">
        <f t="shared" si="21"/>
        <v>0</v>
      </c>
      <c r="M77" s="62">
        <f t="shared" ca="1" si="22"/>
        <v>0</v>
      </c>
      <c r="N77" s="62">
        <f>IFERROR(VLOOKUP(C77,'[1]pesos FIA'!$E$2:$F$74,2,0),0)</f>
        <v>9.3334999999999998E-3</v>
      </c>
      <c r="O77" s="26">
        <f t="shared" ca="1" si="23"/>
        <v>-9.3334999999999998E-3</v>
      </c>
      <c r="P77" s="73">
        <f t="shared" ca="1" si="24"/>
        <v>243693.09940652392</v>
      </c>
      <c r="Q77" s="73">
        <f t="shared" ca="1" si="25"/>
        <v>35200</v>
      </c>
      <c r="R77" s="73">
        <f t="shared" ca="1" si="26"/>
        <v>35200</v>
      </c>
      <c r="S77" s="73">
        <f t="shared" ca="1" si="27"/>
        <v>0</v>
      </c>
      <c r="T77" s="73">
        <f t="shared" ca="1" si="28"/>
        <v>243584</v>
      </c>
      <c r="V77" s="65">
        <f t="shared" si="29"/>
        <v>30900</v>
      </c>
      <c r="W77" s="73">
        <f t="shared" si="30"/>
        <v>213828</v>
      </c>
      <c r="X77" s="62">
        <f t="shared" ca="1" si="31"/>
        <v>8.1268390123403911E-3</v>
      </c>
      <c r="Y77" s="26">
        <f t="shared" ca="1" si="32"/>
        <v>-1.2066609876596086E-3</v>
      </c>
      <c r="AA77">
        <f t="shared" si="33"/>
        <v>30900</v>
      </c>
      <c r="AE77" s="74">
        <v>29</v>
      </c>
      <c r="AF77" s="74" t="s">
        <v>529</v>
      </c>
      <c r="AG77" s="74" t="s">
        <v>530</v>
      </c>
      <c r="AH77" s="75" t="s">
        <v>54</v>
      </c>
      <c r="AI77" s="77">
        <v>15100</v>
      </c>
      <c r="AJ77" s="74">
        <f t="shared" si="34"/>
        <v>15100</v>
      </c>
      <c r="AK77" s="74"/>
    </row>
    <row r="78" spans="1:37" x14ac:dyDescent="0.3">
      <c r="C78" t="s">
        <v>109</v>
      </c>
      <c r="K78">
        <f t="shared" si="20"/>
        <v>14.66</v>
      </c>
      <c r="L78">
        <f t="shared" si="21"/>
        <v>0</v>
      </c>
      <c r="M78" s="62">
        <f t="shared" ca="1" si="22"/>
        <v>0</v>
      </c>
      <c r="N78" s="62">
        <f>IFERROR(VLOOKUP(C78,'[1]pesos FIA'!$E$2:$F$74,2,0),0)</f>
        <v>1.7818500000000001E-2</v>
      </c>
      <c r="O78" s="26">
        <f t="shared" ca="1" si="23"/>
        <v>-1.7818500000000001E-2</v>
      </c>
      <c r="P78" s="73">
        <f t="shared" ca="1" si="24"/>
        <v>465232.28068518208</v>
      </c>
      <c r="Q78" s="73">
        <f t="shared" ca="1" si="25"/>
        <v>31700</v>
      </c>
      <c r="R78" s="73">
        <f t="shared" ca="1" si="26"/>
        <v>31700</v>
      </c>
      <c r="S78" s="73">
        <f t="shared" ca="1" si="27"/>
        <v>0</v>
      </c>
      <c r="T78" s="73">
        <f t="shared" ca="1" si="28"/>
        <v>464722</v>
      </c>
      <c r="V78" s="65">
        <f t="shared" si="29"/>
        <v>26900</v>
      </c>
      <c r="W78" s="73">
        <f t="shared" si="30"/>
        <v>394354</v>
      </c>
      <c r="X78" s="62">
        <f t="shared" ca="1" si="31"/>
        <v>1.4987987877511282E-2</v>
      </c>
      <c r="Y78" s="26">
        <f t="shared" ca="1" si="32"/>
        <v>-2.8305121224887191E-3</v>
      </c>
      <c r="AA78">
        <f t="shared" si="33"/>
        <v>26900</v>
      </c>
      <c r="AE78" s="74">
        <v>29</v>
      </c>
      <c r="AF78" s="74" t="s">
        <v>529</v>
      </c>
      <c r="AG78" s="74" t="s">
        <v>530</v>
      </c>
      <c r="AH78" s="75" t="s">
        <v>58</v>
      </c>
      <c r="AI78" s="77">
        <v>17500</v>
      </c>
      <c r="AJ78" s="74">
        <f t="shared" si="34"/>
        <v>17500</v>
      </c>
      <c r="AK78" s="74"/>
    </row>
    <row r="79" spans="1:37" x14ac:dyDescent="0.3">
      <c r="C79" t="s">
        <v>167</v>
      </c>
      <c r="K79">
        <f t="shared" si="20"/>
        <v>14.39</v>
      </c>
      <c r="L79">
        <f t="shared" si="21"/>
        <v>0</v>
      </c>
      <c r="M79" s="62">
        <f t="shared" ca="1" si="22"/>
        <v>0</v>
      </c>
      <c r="N79" s="62">
        <f>IFERROR(VLOOKUP(C79,'[1]pesos FIA'!$E$2:$F$74,2,0),0)</f>
        <v>9.3334999999999998E-3</v>
      </c>
      <c r="O79" s="26">
        <f t="shared" ca="1" si="23"/>
        <v>-9.3334999999999998E-3</v>
      </c>
      <c r="P79" s="73">
        <f t="shared" ca="1" si="24"/>
        <v>243693.09940652392</v>
      </c>
      <c r="Q79" s="73">
        <f t="shared" ca="1" si="25"/>
        <v>16900</v>
      </c>
      <c r="R79" s="73">
        <f t="shared" ca="1" si="26"/>
        <v>16900</v>
      </c>
      <c r="S79" s="73">
        <f t="shared" ca="1" si="27"/>
        <v>0</v>
      </c>
      <c r="T79" s="73">
        <f t="shared" ca="1" si="28"/>
        <v>243191</v>
      </c>
      <c r="V79" s="65">
        <f t="shared" si="29"/>
        <v>14200</v>
      </c>
      <c r="W79" s="73">
        <f t="shared" si="30"/>
        <v>204338</v>
      </c>
      <c r="X79" s="62">
        <f t="shared" ca="1" si="31"/>
        <v>7.7661579872776755E-3</v>
      </c>
      <c r="Y79" s="26">
        <f t="shared" ca="1" si="32"/>
        <v>-1.5673420127223243E-3</v>
      </c>
      <c r="AA79">
        <f t="shared" si="33"/>
        <v>14200</v>
      </c>
      <c r="AE79" s="74">
        <v>29</v>
      </c>
      <c r="AF79" s="74" t="s">
        <v>529</v>
      </c>
      <c r="AG79" s="74" t="s">
        <v>530</v>
      </c>
      <c r="AH79" s="75" t="s">
        <v>138</v>
      </c>
      <c r="AI79" s="77">
        <v>18600</v>
      </c>
      <c r="AJ79" s="74">
        <f t="shared" si="34"/>
        <v>18600</v>
      </c>
      <c r="AK79" s="74"/>
    </row>
    <row r="80" spans="1:37" x14ac:dyDescent="0.3">
      <c r="C80" t="s">
        <v>126</v>
      </c>
      <c r="K80">
        <f t="shared" si="20"/>
        <v>1.58</v>
      </c>
      <c r="L80">
        <f t="shared" si="21"/>
        <v>0</v>
      </c>
      <c r="M80" s="62">
        <f t="shared" ca="1" si="22"/>
        <v>0</v>
      </c>
      <c r="N80" s="62">
        <f>IFERROR(VLOOKUP(C80,'[1]pesos FIA'!$E$2:$F$74,2,0),0)</f>
        <v>5.9395000000000003E-3</v>
      </c>
      <c r="O80" s="26">
        <f t="shared" ca="1" si="23"/>
        <v>-5.9395000000000003E-3</v>
      </c>
      <c r="P80" s="73">
        <f t="shared" ca="1" si="24"/>
        <v>155077.42689506069</v>
      </c>
      <c r="Q80" s="73">
        <f t="shared" ca="1" si="25"/>
        <v>98200</v>
      </c>
      <c r="R80" s="73">
        <f t="shared" ca="1" si="26"/>
        <v>98200</v>
      </c>
      <c r="S80" s="73">
        <f t="shared" ca="1" si="27"/>
        <v>0</v>
      </c>
      <c r="T80" s="73">
        <f t="shared" ca="1" si="28"/>
        <v>155156</v>
      </c>
      <c r="V80" s="65">
        <f t="shared" si="29"/>
        <v>84000</v>
      </c>
      <c r="W80" s="73">
        <f t="shared" si="30"/>
        <v>132720</v>
      </c>
      <c r="X80" s="62">
        <f t="shared" ca="1" si="31"/>
        <v>5.0442134506136554E-3</v>
      </c>
      <c r="Y80" s="26">
        <f t="shared" ca="1" si="32"/>
        <v>-8.9528654938634492E-4</v>
      </c>
      <c r="AA80">
        <f t="shared" si="33"/>
        <v>84000</v>
      </c>
      <c r="AE80" s="74">
        <v>29</v>
      </c>
      <c r="AF80" s="74" t="s">
        <v>529</v>
      </c>
      <c r="AG80" s="74" t="s">
        <v>530</v>
      </c>
      <c r="AH80" s="75" t="s">
        <v>74</v>
      </c>
      <c r="AI80" s="77">
        <v>18900</v>
      </c>
      <c r="AJ80" s="74">
        <f t="shared" si="34"/>
        <v>18900</v>
      </c>
      <c r="AK80" s="74"/>
    </row>
    <row r="81" spans="3:37" x14ac:dyDescent="0.3">
      <c r="C81" t="s">
        <v>114</v>
      </c>
      <c r="K81">
        <f t="shared" si="20"/>
        <v>36.36</v>
      </c>
      <c r="L81">
        <f t="shared" si="21"/>
        <v>0</v>
      </c>
      <c r="M81" s="62">
        <f t="shared" ca="1" si="22"/>
        <v>0</v>
      </c>
      <c r="N81" s="62">
        <f>IFERROR(VLOOKUP(C81,'[1]pesos FIA'!$E$2:$F$74,2,0),0)</f>
        <v>1.6970000000000002E-2</v>
      </c>
      <c r="O81" s="26">
        <f t="shared" ca="1" si="23"/>
        <v>-1.6970000000000002E-2</v>
      </c>
      <c r="P81" s="73">
        <f t="shared" ca="1" si="24"/>
        <v>443078.36255731632</v>
      </c>
      <c r="Q81" s="73">
        <f t="shared" ca="1" si="25"/>
        <v>12200</v>
      </c>
      <c r="R81" s="73">
        <f t="shared" ca="1" si="26"/>
        <v>12200</v>
      </c>
      <c r="S81" s="73">
        <f t="shared" ca="1" si="27"/>
        <v>0</v>
      </c>
      <c r="T81" s="73">
        <f t="shared" ca="1" si="28"/>
        <v>443592</v>
      </c>
      <c r="V81" s="65">
        <f t="shared" si="29"/>
        <v>10300</v>
      </c>
      <c r="W81" s="73">
        <f t="shared" si="30"/>
        <v>374508</v>
      </c>
      <c r="X81" s="62">
        <f t="shared" ca="1" si="31"/>
        <v>1.4233712258607737E-2</v>
      </c>
      <c r="Y81" s="26">
        <f t="shared" ca="1" si="32"/>
        <v>-2.7362877413922657E-3</v>
      </c>
      <c r="AA81">
        <f t="shared" si="33"/>
        <v>10300</v>
      </c>
      <c r="AE81" s="74">
        <v>29</v>
      </c>
      <c r="AF81" s="74" t="s">
        <v>529</v>
      </c>
      <c r="AG81" s="74" t="s">
        <v>530</v>
      </c>
      <c r="AH81" s="75" t="s">
        <v>131</v>
      </c>
      <c r="AI81" s="77">
        <v>22000</v>
      </c>
      <c r="AJ81" s="74">
        <f t="shared" si="34"/>
        <v>22000</v>
      </c>
      <c r="AK81" s="74"/>
    </row>
    <row r="82" spans="3:37" x14ac:dyDescent="0.3">
      <c r="C82" t="s">
        <v>131</v>
      </c>
      <c r="K82">
        <f t="shared" si="20"/>
        <v>13.58</v>
      </c>
      <c r="L82">
        <f t="shared" si="21"/>
        <v>0</v>
      </c>
      <c r="M82" s="62">
        <f t="shared" ca="1" si="22"/>
        <v>0</v>
      </c>
      <c r="N82" s="62">
        <f>IFERROR(VLOOKUP(C82,'[1]pesos FIA'!$E$2:$F$74,2,0),0)</f>
        <v>1.2727499999999999E-2</v>
      </c>
      <c r="O82" s="26">
        <f t="shared" ca="1" si="23"/>
        <v>-1.2727499999999999E-2</v>
      </c>
      <c r="P82" s="73">
        <f t="shared" ca="1" si="24"/>
        <v>332308.77191798715</v>
      </c>
      <c r="Q82" s="73">
        <f t="shared" ca="1" si="25"/>
        <v>24500</v>
      </c>
      <c r="R82" s="73">
        <f t="shared" ca="1" si="26"/>
        <v>24500</v>
      </c>
      <c r="S82" s="73">
        <f t="shared" ca="1" si="27"/>
        <v>0</v>
      </c>
      <c r="T82" s="73">
        <f t="shared" ca="1" si="28"/>
        <v>332710</v>
      </c>
      <c r="V82" s="65">
        <f t="shared" si="29"/>
        <v>22000</v>
      </c>
      <c r="W82" s="73">
        <f t="shared" si="30"/>
        <v>298760</v>
      </c>
      <c r="X82" s="62">
        <f t="shared" ca="1" si="31"/>
        <v>1.1354801164145084E-2</v>
      </c>
      <c r="Y82" s="26">
        <f t="shared" ca="1" si="32"/>
        <v>-1.3726988358549151E-3</v>
      </c>
      <c r="AA82">
        <f t="shared" si="33"/>
        <v>22000</v>
      </c>
      <c r="AE82" s="74">
        <v>29</v>
      </c>
      <c r="AF82" s="74" t="s">
        <v>529</v>
      </c>
      <c r="AG82" s="74" t="s">
        <v>530</v>
      </c>
      <c r="AH82" s="75" t="s">
        <v>108</v>
      </c>
      <c r="AI82" s="77">
        <v>23200</v>
      </c>
      <c r="AJ82" s="74">
        <f t="shared" si="34"/>
        <v>23200</v>
      </c>
      <c r="AK82" s="74"/>
    </row>
    <row r="83" spans="3:37" x14ac:dyDescent="0.3">
      <c r="C83" t="s">
        <v>101</v>
      </c>
      <c r="K83">
        <f t="shared" si="20"/>
        <v>10.199999999999999</v>
      </c>
      <c r="L83">
        <f t="shared" si="21"/>
        <v>0</v>
      </c>
      <c r="M83" s="62">
        <f t="shared" ca="1" si="22"/>
        <v>0</v>
      </c>
      <c r="N83" s="62">
        <f>IFERROR(VLOOKUP(C83,'[1]pesos FIA'!$E$2:$F$74,2,0),0)</f>
        <v>1.1879000000000001E-2</v>
      </c>
      <c r="O83" s="26">
        <f t="shared" ca="1" si="23"/>
        <v>-1.1879000000000001E-2</v>
      </c>
      <c r="P83" s="73">
        <f t="shared" ca="1" si="24"/>
        <v>310154.85379012139</v>
      </c>
      <c r="Q83" s="73">
        <f t="shared" ca="1" si="25"/>
        <v>30400</v>
      </c>
      <c r="R83" s="73">
        <f t="shared" ca="1" si="26"/>
        <v>30400</v>
      </c>
      <c r="S83" s="73">
        <f t="shared" ca="1" si="27"/>
        <v>0</v>
      </c>
      <c r="T83" s="73">
        <f t="shared" ca="1" si="28"/>
        <v>310080</v>
      </c>
      <c r="V83" s="65">
        <f t="shared" si="29"/>
        <v>26300</v>
      </c>
      <c r="W83" s="73">
        <f t="shared" si="30"/>
        <v>268260</v>
      </c>
      <c r="X83" s="62">
        <f t="shared" ca="1" si="31"/>
        <v>1.0195605035123713E-2</v>
      </c>
      <c r="Y83" s="26">
        <f t="shared" ca="1" si="32"/>
        <v>-1.6833949648762878E-3</v>
      </c>
      <c r="AA83">
        <f t="shared" si="33"/>
        <v>26300</v>
      </c>
      <c r="AE83" s="74">
        <v>29</v>
      </c>
      <c r="AF83" s="74" t="s">
        <v>529</v>
      </c>
      <c r="AG83" s="74" t="s">
        <v>530</v>
      </c>
      <c r="AH83" s="75" t="s">
        <v>101</v>
      </c>
      <c r="AI83" s="77">
        <v>26300</v>
      </c>
      <c r="AJ83" s="74">
        <f t="shared" si="34"/>
        <v>26300</v>
      </c>
      <c r="AK83" s="74"/>
    </row>
    <row r="84" spans="3:37" x14ac:dyDescent="0.3">
      <c r="C84" t="s">
        <v>92</v>
      </c>
      <c r="K84">
        <f t="shared" si="20"/>
        <v>27.67</v>
      </c>
      <c r="L84">
        <f t="shared" si="21"/>
        <v>0</v>
      </c>
      <c r="M84" s="62">
        <f t="shared" ca="1" si="22"/>
        <v>0</v>
      </c>
      <c r="N84" s="62">
        <f>IFERROR(VLOOKUP(C84,'[1]pesos FIA'!$E$2:$F$74,2,0),0)</f>
        <v>8.4850000000000012E-3</v>
      </c>
      <c r="O84" s="26">
        <f t="shared" ca="1" si="23"/>
        <v>-8.4850000000000012E-3</v>
      </c>
      <c r="P84" s="73">
        <f t="shared" ca="1" si="24"/>
        <v>221539.18127865816</v>
      </c>
      <c r="Q84" s="73">
        <f t="shared" ca="1" si="25"/>
        <v>8000</v>
      </c>
      <c r="R84" s="73">
        <f t="shared" ca="1" si="26"/>
        <v>8000</v>
      </c>
      <c r="S84" s="73">
        <f t="shared" ca="1" si="27"/>
        <v>0</v>
      </c>
      <c r="T84" s="73">
        <f t="shared" ca="1" si="28"/>
        <v>221360</v>
      </c>
      <c r="V84" s="65">
        <f t="shared" si="29"/>
        <v>6900</v>
      </c>
      <c r="W84" s="73">
        <f t="shared" si="30"/>
        <v>190923</v>
      </c>
      <c r="X84" s="62">
        <f t="shared" ca="1" si="31"/>
        <v>7.2563017226605709E-3</v>
      </c>
      <c r="Y84" s="26">
        <f t="shared" ca="1" si="32"/>
        <v>-1.2286982773394304E-3</v>
      </c>
      <c r="AA84">
        <f t="shared" si="33"/>
        <v>6900</v>
      </c>
      <c r="AE84" s="74">
        <v>29</v>
      </c>
      <c r="AF84" s="74" t="s">
        <v>529</v>
      </c>
      <c r="AG84" s="74" t="s">
        <v>530</v>
      </c>
      <c r="AH84" s="75" t="s">
        <v>109</v>
      </c>
      <c r="AI84" s="77">
        <v>26900</v>
      </c>
      <c r="AJ84" s="74">
        <f t="shared" si="34"/>
        <v>26900</v>
      </c>
      <c r="AK84" s="74"/>
    </row>
    <row r="85" spans="3:37" x14ac:dyDescent="0.3">
      <c r="C85" t="s">
        <v>106</v>
      </c>
      <c r="K85">
        <f t="shared" si="20"/>
        <v>4.5599999999999996</v>
      </c>
      <c r="L85">
        <f t="shared" si="21"/>
        <v>0</v>
      </c>
      <c r="M85" s="62">
        <f t="shared" ca="1" si="22"/>
        <v>0</v>
      </c>
      <c r="N85" s="62">
        <f>IFERROR(VLOOKUP(C85,'[1]pesos FIA'!$E$2:$F$74,2,0),0)</f>
        <v>8.4850000000000012E-3</v>
      </c>
      <c r="O85" s="26">
        <f t="shared" ca="1" si="23"/>
        <v>-8.4850000000000012E-3</v>
      </c>
      <c r="P85" s="73">
        <f t="shared" ca="1" si="24"/>
        <v>221539.18127865816</v>
      </c>
      <c r="Q85" s="73">
        <f t="shared" ca="1" si="25"/>
        <v>48600</v>
      </c>
      <c r="R85" s="73">
        <f t="shared" ca="1" si="26"/>
        <v>48600</v>
      </c>
      <c r="S85" s="73">
        <f t="shared" ca="1" si="27"/>
        <v>0</v>
      </c>
      <c r="T85" s="73">
        <f t="shared" ca="1" si="28"/>
        <v>221615.99999999997</v>
      </c>
      <c r="V85" s="65">
        <f t="shared" si="29"/>
        <v>40900</v>
      </c>
      <c r="W85" s="73">
        <f t="shared" si="30"/>
        <v>186503.99999999997</v>
      </c>
      <c r="X85" s="62">
        <f t="shared" ca="1" si="31"/>
        <v>7.0883513064590791E-3</v>
      </c>
      <c r="Y85" s="26">
        <f t="shared" ca="1" si="32"/>
        <v>-1.3966486935409221E-3</v>
      </c>
      <c r="AA85">
        <f t="shared" si="33"/>
        <v>40900</v>
      </c>
      <c r="AE85" s="74">
        <v>29</v>
      </c>
      <c r="AF85" s="74" t="s">
        <v>529</v>
      </c>
      <c r="AG85" s="74" t="s">
        <v>530</v>
      </c>
      <c r="AH85" s="75" t="s">
        <v>90</v>
      </c>
      <c r="AI85" s="77">
        <v>27100</v>
      </c>
      <c r="AJ85" s="74">
        <f t="shared" si="34"/>
        <v>27100</v>
      </c>
      <c r="AK85" s="74"/>
    </row>
    <row r="86" spans="3:37" x14ac:dyDescent="0.3">
      <c r="C86" t="s">
        <v>237</v>
      </c>
      <c r="K86">
        <f t="shared" si="20"/>
        <v>1.59</v>
      </c>
      <c r="L86">
        <f t="shared" si="21"/>
        <v>0</v>
      </c>
      <c r="M86" s="62">
        <f t="shared" ca="1" si="22"/>
        <v>0</v>
      </c>
      <c r="N86" s="62">
        <f>IFERROR(VLOOKUP(C86,'[1]pesos FIA'!$E$2:$F$74,2,0),0)</f>
        <v>3.3940000000000003E-3</v>
      </c>
      <c r="O86" s="26">
        <f t="shared" ca="1" si="23"/>
        <v>-3.3940000000000003E-3</v>
      </c>
      <c r="P86" s="73">
        <f t="shared" ca="1" si="24"/>
        <v>88615.672511463257</v>
      </c>
      <c r="Q86" s="73">
        <f t="shared" ca="1" si="25"/>
        <v>55700</v>
      </c>
      <c r="R86" s="73">
        <f t="shared" ca="1" si="26"/>
        <v>55700</v>
      </c>
      <c r="S86" s="73">
        <f t="shared" ca="1" si="27"/>
        <v>0</v>
      </c>
      <c r="T86" s="73">
        <f t="shared" ca="1" si="28"/>
        <v>88563</v>
      </c>
      <c r="V86" s="65">
        <f t="shared" si="29"/>
        <v>46000</v>
      </c>
      <c r="W86" s="73">
        <f t="shared" si="30"/>
        <v>73140</v>
      </c>
      <c r="X86" s="62">
        <f t="shared" ca="1" si="31"/>
        <v>2.7797903238237095E-3</v>
      </c>
      <c r="Y86" s="26">
        <f t="shared" ca="1" si="32"/>
        <v>-6.1420967617629085E-4</v>
      </c>
      <c r="AA86">
        <f t="shared" si="33"/>
        <v>46000</v>
      </c>
      <c r="AE86" s="74">
        <v>29</v>
      </c>
      <c r="AF86" s="74" t="s">
        <v>529</v>
      </c>
      <c r="AG86" s="74" t="s">
        <v>530</v>
      </c>
      <c r="AH86" s="75" t="s">
        <v>111</v>
      </c>
      <c r="AI86" s="77">
        <v>27965</v>
      </c>
      <c r="AJ86" s="74">
        <f t="shared" si="34"/>
        <v>27965</v>
      </c>
      <c r="AK86" s="74"/>
    </row>
    <row r="87" spans="3:37" x14ac:dyDescent="0.3">
      <c r="C87" t="s">
        <v>127</v>
      </c>
      <c r="K87">
        <f t="shared" si="20"/>
        <v>53.69</v>
      </c>
      <c r="L87">
        <f t="shared" si="21"/>
        <v>0</v>
      </c>
      <c r="M87" s="62">
        <f t="shared" ca="1" si="22"/>
        <v>0</v>
      </c>
      <c r="N87" s="62">
        <f>IFERROR(VLOOKUP(C87,'[1]pesos FIA'!$E$2:$F$74,2,0),0)</f>
        <v>1.10305E-2</v>
      </c>
      <c r="O87" s="26">
        <f t="shared" ca="1" si="23"/>
        <v>-1.10305E-2</v>
      </c>
      <c r="P87" s="73">
        <f t="shared" ca="1" si="24"/>
        <v>288000.93566225556</v>
      </c>
      <c r="Q87" s="73">
        <f t="shared" ca="1" si="25"/>
        <v>5400</v>
      </c>
      <c r="R87" s="73">
        <f t="shared" ca="1" si="26"/>
        <v>5400</v>
      </c>
      <c r="S87" s="73">
        <f t="shared" ca="1" si="27"/>
        <v>0</v>
      </c>
      <c r="T87" s="73">
        <f t="shared" ca="1" si="28"/>
        <v>289926</v>
      </c>
      <c r="V87" s="65">
        <f t="shared" si="29"/>
        <v>4500</v>
      </c>
      <c r="W87" s="73">
        <f t="shared" si="30"/>
        <v>241605</v>
      </c>
      <c r="X87" s="62">
        <f t="shared" ca="1" si="31"/>
        <v>9.1825436312199527E-3</v>
      </c>
      <c r="Y87" s="26">
        <f t="shared" ca="1" si="32"/>
        <v>-1.8479563687800477E-3</v>
      </c>
      <c r="AA87">
        <f t="shared" si="33"/>
        <v>4500</v>
      </c>
      <c r="AE87" s="74">
        <v>29</v>
      </c>
      <c r="AF87" s="74" t="s">
        <v>529</v>
      </c>
      <c r="AG87" s="74" t="s">
        <v>530</v>
      </c>
      <c r="AH87" s="75" t="s">
        <v>89</v>
      </c>
      <c r="AI87" s="77">
        <v>28200</v>
      </c>
      <c r="AJ87" s="74">
        <f t="shared" si="34"/>
        <v>28200</v>
      </c>
      <c r="AK87" s="74"/>
    </row>
    <row r="88" spans="3:37" x14ac:dyDescent="0.3">
      <c r="C88" t="s">
        <v>137</v>
      </c>
      <c r="K88">
        <f t="shared" si="20"/>
        <v>13.45</v>
      </c>
      <c r="L88">
        <f t="shared" si="21"/>
        <v>0</v>
      </c>
      <c r="M88" s="62">
        <f t="shared" ca="1" si="22"/>
        <v>0</v>
      </c>
      <c r="N88" s="62">
        <f>IFERROR(VLOOKUP(C88,'[1]pesos FIA'!$E$2:$F$74,2,0),0)</f>
        <v>5.091E-3</v>
      </c>
      <c r="O88" s="26">
        <f t="shared" ca="1" si="23"/>
        <v>-5.091E-3</v>
      </c>
      <c r="P88" s="73">
        <f t="shared" ca="1" si="24"/>
        <v>132923.50876719487</v>
      </c>
      <c r="Q88" s="73">
        <f t="shared" ca="1" si="25"/>
        <v>9900</v>
      </c>
      <c r="R88" s="73">
        <f t="shared" ca="1" si="26"/>
        <v>9900</v>
      </c>
      <c r="S88" s="73">
        <f t="shared" ca="1" si="27"/>
        <v>0</v>
      </c>
      <c r="T88" s="73">
        <f t="shared" ca="1" si="28"/>
        <v>133155</v>
      </c>
      <c r="V88" s="65">
        <f t="shared" si="29"/>
        <v>8400</v>
      </c>
      <c r="W88" s="73">
        <f t="shared" si="30"/>
        <v>112980</v>
      </c>
      <c r="X88" s="62">
        <f t="shared" ca="1" si="31"/>
        <v>4.2939665133388391E-3</v>
      </c>
      <c r="Y88" s="26">
        <f t="shared" ca="1" si="32"/>
        <v>-7.9703348666116097E-4</v>
      </c>
      <c r="AA88">
        <f t="shared" si="33"/>
        <v>8400</v>
      </c>
      <c r="AE88" s="74">
        <v>29</v>
      </c>
      <c r="AF88" s="74" t="s">
        <v>529</v>
      </c>
      <c r="AG88" s="74" t="s">
        <v>530</v>
      </c>
      <c r="AH88" s="75" t="s">
        <v>99</v>
      </c>
      <c r="AI88" s="77">
        <v>30900</v>
      </c>
      <c r="AJ88" s="74">
        <f t="shared" si="34"/>
        <v>30900</v>
      </c>
      <c r="AK88" s="74"/>
    </row>
    <row r="89" spans="3:37" x14ac:dyDescent="0.3">
      <c r="C89" t="s">
        <v>111</v>
      </c>
      <c r="K89">
        <f t="shared" si="20"/>
        <v>7.26</v>
      </c>
      <c r="L89">
        <f t="shared" si="21"/>
        <v>0</v>
      </c>
      <c r="M89" s="62">
        <f t="shared" ca="1" si="22"/>
        <v>0</v>
      </c>
      <c r="N89" s="62">
        <f>IFERROR(VLOOKUP(C89,'[1]pesos FIA'!$E$2:$F$74,2,0),0)</f>
        <v>8.4850000000000012E-3</v>
      </c>
      <c r="O89" s="26">
        <f t="shared" ca="1" si="23"/>
        <v>-8.4850000000000012E-3</v>
      </c>
      <c r="P89" s="73">
        <f t="shared" ca="1" si="24"/>
        <v>221539.18127865816</v>
      </c>
      <c r="Q89" s="73">
        <f t="shared" ca="1" si="25"/>
        <v>30500</v>
      </c>
      <c r="R89" s="73">
        <f t="shared" ca="1" si="26"/>
        <v>30500</v>
      </c>
      <c r="S89" s="73">
        <f t="shared" ca="1" si="27"/>
        <v>0</v>
      </c>
      <c r="T89" s="73">
        <f t="shared" ca="1" si="28"/>
        <v>221430</v>
      </c>
      <c r="V89" s="65">
        <f t="shared" si="29"/>
        <v>27965</v>
      </c>
      <c r="W89" s="73">
        <f t="shared" si="30"/>
        <v>203025.9</v>
      </c>
      <c r="X89" s="62">
        <f t="shared" ca="1" si="31"/>
        <v>7.7162897498714803E-3</v>
      </c>
      <c r="Y89" s="26">
        <f t="shared" ca="1" si="32"/>
        <v>-7.687102501285209E-4</v>
      </c>
      <c r="AA89">
        <f t="shared" si="33"/>
        <v>27965</v>
      </c>
      <c r="AE89" s="74">
        <v>29</v>
      </c>
      <c r="AF89" s="74" t="s">
        <v>529</v>
      </c>
      <c r="AG89" s="74" t="s">
        <v>530</v>
      </c>
      <c r="AH89" s="75" t="s">
        <v>65</v>
      </c>
      <c r="AI89" s="77">
        <v>37100</v>
      </c>
      <c r="AJ89" s="74">
        <f t="shared" si="34"/>
        <v>37100</v>
      </c>
      <c r="AK89" s="74"/>
    </row>
    <row r="90" spans="3:37" x14ac:dyDescent="0.3">
      <c r="C90" t="s">
        <v>75</v>
      </c>
      <c r="K90">
        <f t="shared" si="20"/>
        <v>3.27</v>
      </c>
      <c r="L90">
        <f t="shared" si="21"/>
        <v>0</v>
      </c>
      <c r="M90" s="62">
        <f t="shared" ca="1" si="22"/>
        <v>0</v>
      </c>
      <c r="N90" s="62">
        <f>IFERROR(VLOOKUP(C90,'[1]pesos FIA'!$E$2:$F$74,2,0),0)</f>
        <v>6.7880000000000006E-3</v>
      </c>
      <c r="O90" s="26">
        <f t="shared" ca="1" si="23"/>
        <v>-6.7880000000000006E-3</v>
      </c>
      <c r="P90" s="73">
        <f t="shared" ca="1" si="24"/>
        <v>177231.34502292651</v>
      </c>
      <c r="Q90" s="73">
        <f t="shared" ca="1" si="25"/>
        <v>54200</v>
      </c>
      <c r="R90" s="73">
        <f t="shared" ca="1" si="26"/>
        <v>54200</v>
      </c>
      <c r="S90" s="73">
        <f t="shared" ca="1" si="27"/>
        <v>0</v>
      </c>
      <c r="T90" s="73">
        <f t="shared" ca="1" si="28"/>
        <v>177234</v>
      </c>
      <c r="V90" s="65">
        <f t="shared" si="29"/>
        <v>45100</v>
      </c>
      <c r="W90" s="73">
        <f t="shared" si="30"/>
        <v>147477</v>
      </c>
      <c r="X90" s="62">
        <f t="shared" ca="1" si="31"/>
        <v>5.6050743449077003E-3</v>
      </c>
      <c r="Y90" s="26">
        <f t="shared" ca="1" si="32"/>
        <v>-1.1829256550923003E-3</v>
      </c>
      <c r="AA90">
        <f t="shared" si="33"/>
        <v>45100</v>
      </c>
      <c r="AE90" s="74">
        <v>29</v>
      </c>
      <c r="AF90" s="74" t="s">
        <v>529</v>
      </c>
      <c r="AG90" s="74" t="s">
        <v>530</v>
      </c>
      <c r="AH90" s="75" t="s">
        <v>106</v>
      </c>
      <c r="AI90" s="77">
        <v>40900</v>
      </c>
      <c r="AJ90" s="74">
        <f t="shared" si="34"/>
        <v>40900</v>
      </c>
      <c r="AK90" s="74"/>
    </row>
    <row r="91" spans="3:37" x14ac:dyDescent="0.3">
      <c r="C91" t="s">
        <v>108</v>
      </c>
      <c r="K91">
        <f t="shared" si="20"/>
        <v>14.64</v>
      </c>
      <c r="L91">
        <f t="shared" si="21"/>
        <v>0</v>
      </c>
      <c r="M91" s="62">
        <f t="shared" ca="1" si="22"/>
        <v>0</v>
      </c>
      <c r="N91" s="62">
        <f>IFERROR(VLOOKUP(C91,'[1]pesos FIA'!$E$2:$F$74,2,0),0)</f>
        <v>1.5273E-2</v>
      </c>
      <c r="O91" s="26">
        <f t="shared" ca="1" si="23"/>
        <v>-1.5273E-2</v>
      </c>
      <c r="P91" s="73">
        <f t="shared" ca="1" si="24"/>
        <v>398770.52630158461</v>
      </c>
      <c r="Q91" s="73">
        <f t="shared" ca="1" si="25"/>
        <v>27200</v>
      </c>
      <c r="R91" s="73">
        <f t="shared" ca="1" si="26"/>
        <v>27200</v>
      </c>
      <c r="S91" s="73">
        <f t="shared" ca="1" si="27"/>
        <v>0</v>
      </c>
      <c r="T91" s="73">
        <f t="shared" ca="1" si="28"/>
        <v>398208</v>
      </c>
      <c r="V91" s="65">
        <f t="shared" si="29"/>
        <v>23200</v>
      </c>
      <c r="W91" s="73">
        <f t="shared" si="30"/>
        <v>339648</v>
      </c>
      <c r="X91" s="62">
        <f t="shared" ca="1" si="31"/>
        <v>1.2908808092781998E-2</v>
      </c>
      <c r="Y91" s="26">
        <f t="shared" ca="1" si="32"/>
        <v>-2.364191907218002E-3</v>
      </c>
      <c r="AA91">
        <f t="shared" si="33"/>
        <v>23200</v>
      </c>
      <c r="AE91" s="74">
        <v>29</v>
      </c>
      <c r="AF91" s="74" t="s">
        <v>529</v>
      </c>
      <c r="AG91" s="74" t="s">
        <v>530</v>
      </c>
      <c r="AH91" s="75" t="s">
        <v>100</v>
      </c>
      <c r="AI91" s="77">
        <v>42500</v>
      </c>
      <c r="AJ91" s="74">
        <f t="shared" si="34"/>
        <v>42500</v>
      </c>
      <c r="AK91" s="74"/>
    </row>
    <row r="92" spans="3:37" x14ac:dyDescent="0.3">
      <c r="C92" t="s">
        <v>232</v>
      </c>
      <c r="K92">
        <f t="shared" si="20"/>
        <v>22.22</v>
      </c>
      <c r="L92">
        <f t="shared" si="21"/>
        <v>0</v>
      </c>
      <c r="M92" s="62">
        <f t="shared" ca="1" si="22"/>
        <v>0</v>
      </c>
      <c r="N92" s="62">
        <f>IFERROR(VLOOKUP(C92,'[1]pesos FIA'!$E$2:$F$74,2,0),0)</f>
        <v>5.091E-3</v>
      </c>
      <c r="O92" s="26">
        <f t="shared" ca="1" si="23"/>
        <v>-5.091E-3</v>
      </c>
      <c r="P92" s="73">
        <f t="shared" ca="1" si="24"/>
        <v>132923.50876719487</v>
      </c>
      <c r="Q92" s="73">
        <f t="shared" ca="1" si="25"/>
        <v>6000</v>
      </c>
      <c r="R92" s="73">
        <f t="shared" ca="1" si="26"/>
        <v>6000</v>
      </c>
      <c r="S92" s="73">
        <f t="shared" ca="1" si="27"/>
        <v>0</v>
      </c>
      <c r="T92" s="73">
        <f t="shared" ca="1" si="28"/>
        <v>133320</v>
      </c>
      <c r="V92" s="65">
        <f t="shared" si="29"/>
        <v>5100</v>
      </c>
      <c r="W92" s="73">
        <f t="shared" si="30"/>
        <v>113322</v>
      </c>
      <c r="X92" s="62">
        <f t="shared" ca="1" si="31"/>
        <v>4.3069647125560627E-3</v>
      </c>
      <c r="Y92" s="26">
        <f t="shared" ca="1" si="32"/>
        <v>-7.8403528744393734E-4</v>
      </c>
      <c r="AA92">
        <f t="shared" si="33"/>
        <v>5100</v>
      </c>
      <c r="AE92" s="74">
        <v>29</v>
      </c>
      <c r="AF92" s="74" t="s">
        <v>529</v>
      </c>
      <c r="AG92" s="74" t="s">
        <v>530</v>
      </c>
      <c r="AH92" s="75" t="s">
        <v>75</v>
      </c>
      <c r="AI92" s="77">
        <v>45100</v>
      </c>
      <c r="AJ92" s="74">
        <f t="shared" si="34"/>
        <v>45100</v>
      </c>
      <c r="AK92" s="74"/>
    </row>
    <row r="93" spans="3:37" x14ac:dyDescent="0.3">
      <c r="C93" t="s">
        <v>122</v>
      </c>
      <c r="K93">
        <f t="shared" si="20"/>
        <v>19.309999999999999</v>
      </c>
      <c r="L93">
        <f t="shared" si="21"/>
        <v>0</v>
      </c>
      <c r="M93" s="62">
        <f t="shared" ca="1" si="22"/>
        <v>0</v>
      </c>
      <c r="N93" s="62">
        <f>IFERROR(VLOOKUP(C93,'[1]pesos FIA'!$E$2:$F$74,2,0),0)</f>
        <v>9.3334999999999998E-3</v>
      </c>
      <c r="O93" s="26">
        <f t="shared" ca="1" si="23"/>
        <v>-9.3334999999999998E-3</v>
      </c>
      <c r="P93" s="73">
        <f t="shared" ca="1" si="24"/>
        <v>243693.09940652392</v>
      </c>
      <c r="Q93" s="73">
        <f t="shared" ca="1" si="25"/>
        <v>12600</v>
      </c>
      <c r="R93" s="73">
        <f t="shared" ca="1" si="26"/>
        <v>12600</v>
      </c>
      <c r="S93" s="73">
        <f t="shared" ca="1" si="27"/>
        <v>0</v>
      </c>
      <c r="T93" s="73">
        <f t="shared" ca="1" si="28"/>
        <v>243305.99999999997</v>
      </c>
      <c r="V93" s="65">
        <f t="shared" si="29"/>
        <v>10400</v>
      </c>
      <c r="W93" s="73">
        <f t="shared" si="30"/>
        <v>200824</v>
      </c>
      <c r="X93" s="62">
        <f t="shared" ca="1" si="31"/>
        <v>7.6326033906422295E-3</v>
      </c>
      <c r="Y93" s="26">
        <f t="shared" ca="1" si="32"/>
        <v>-1.7008966093577703E-3</v>
      </c>
      <c r="AA93">
        <f t="shared" si="33"/>
        <v>10400</v>
      </c>
      <c r="AE93" s="74">
        <v>29</v>
      </c>
      <c r="AF93" s="74" t="s">
        <v>529</v>
      </c>
      <c r="AG93" s="74" t="s">
        <v>530</v>
      </c>
      <c r="AH93" s="75" t="s">
        <v>237</v>
      </c>
      <c r="AI93" s="77">
        <v>46000</v>
      </c>
      <c r="AJ93" s="74">
        <f t="shared" si="34"/>
        <v>46000</v>
      </c>
      <c r="AK93" s="74"/>
    </row>
    <row r="94" spans="3:37" x14ac:dyDescent="0.3">
      <c r="C94" t="s">
        <v>138</v>
      </c>
      <c r="K94">
        <f t="shared" si="20"/>
        <v>8.06</v>
      </c>
      <c r="L94">
        <f t="shared" si="21"/>
        <v>0</v>
      </c>
      <c r="M94" s="62">
        <f t="shared" ca="1" si="22"/>
        <v>0</v>
      </c>
      <c r="N94" s="62">
        <f>IFERROR(VLOOKUP(C94,'[1]pesos FIA'!$E$2:$F$74,2,0),0)</f>
        <v>6.7880000000000006E-3</v>
      </c>
      <c r="O94" s="26">
        <f t="shared" ca="1" si="23"/>
        <v>-6.7880000000000006E-3</v>
      </c>
      <c r="P94" s="73">
        <f t="shared" ca="1" si="24"/>
        <v>177231.34502292651</v>
      </c>
      <c r="Q94" s="73">
        <f t="shared" ca="1" si="25"/>
        <v>22000</v>
      </c>
      <c r="R94" s="73">
        <f t="shared" ca="1" si="26"/>
        <v>22000</v>
      </c>
      <c r="S94" s="73">
        <f t="shared" ca="1" si="27"/>
        <v>0</v>
      </c>
      <c r="T94" s="73">
        <f t="shared" ca="1" si="28"/>
        <v>177320</v>
      </c>
      <c r="V94" s="65">
        <f t="shared" si="29"/>
        <v>18600</v>
      </c>
      <c r="W94" s="73">
        <f t="shared" si="30"/>
        <v>149916</v>
      </c>
      <c r="X94" s="62">
        <f t="shared" ca="1" si="31"/>
        <v>5.6977720287989505E-3</v>
      </c>
      <c r="Y94" s="26">
        <f t="shared" ca="1" si="32"/>
        <v>-1.0902279712010502E-3</v>
      </c>
      <c r="AA94">
        <f t="shared" si="33"/>
        <v>18600</v>
      </c>
      <c r="AE94" s="74">
        <v>29</v>
      </c>
      <c r="AF94" s="74" t="s">
        <v>529</v>
      </c>
      <c r="AG94" s="74" t="s">
        <v>530</v>
      </c>
      <c r="AH94" s="75" t="s">
        <v>86</v>
      </c>
      <c r="AI94" s="77">
        <v>69400</v>
      </c>
      <c r="AJ94" s="74">
        <f t="shared" si="34"/>
        <v>69400</v>
      </c>
      <c r="AK94" s="74"/>
    </row>
    <row r="95" spans="3:37" x14ac:dyDescent="0.3">
      <c r="C95" t="s">
        <v>147</v>
      </c>
      <c r="K95">
        <f t="shared" si="20"/>
        <v>15.05</v>
      </c>
      <c r="L95">
        <f t="shared" si="21"/>
        <v>0</v>
      </c>
      <c r="M95" s="62">
        <f t="shared" ca="1" si="22"/>
        <v>0</v>
      </c>
      <c r="N95" s="62">
        <f>IFERROR(VLOOKUP(C95,'[1]pesos FIA'!$E$2:$F$74,2,0),0)</f>
        <v>8.4850000000000012E-3</v>
      </c>
      <c r="O95" s="26">
        <f t="shared" ca="1" si="23"/>
        <v>-8.4850000000000012E-3</v>
      </c>
      <c r="P95" s="73">
        <f t="shared" ca="1" si="24"/>
        <v>221539.18127865816</v>
      </c>
      <c r="Q95" s="73">
        <f t="shared" ca="1" si="25"/>
        <v>14700</v>
      </c>
      <c r="R95" s="73">
        <f t="shared" ca="1" si="26"/>
        <v>14700</v>
      </c>
      <c r="S95" s="73">
        <f t="shared" ca="1" si="27"/>
        <v>0</v>
      </c>
      <c r="T95" s="73">
        <f t="shared" ca="1" si="28"/>
        <v>221235</v>
      </c>
      <c r="V95" s="65">
        <f t="shared" si="29"/>
        <v>12300</v>
      </c>
      <c r="W95" s="73">
        <f t="shared" si="30"/>
        <v>185115</v>
      </c>
      <c r="X95" s="62">
        <f t="shared" ca="1" si="31"/>
        <v>7.0355603745505335E-3</v>
      </c>
      <c r="Y95" s="26">
        <f t="shared" ca="1" si="32"/>
        <v>-1.4494396254494677E-3</v>
      </c>
      <c r="AA95">
        <f t="shared" si="33"/>
        <v>12300</v>
      </c>
      <c r="AE95" s="74">
        <v>29</v>
      </c>
      <c r="AF95" s="74" t="s">
        <v>529</v>
      </c>
      <c r="AG95" s="74" t="s">
        <v>530</v>
      </c>
      <c r="AH95" s="75" t="s">
        <v>126</v>
      </c>
      <c r="AI95" s="77">
        <v>84000</v>
      </c>
      <c r="AJ95" s="74">
        <f t="shared" si="34"/>
        <v>84000</v>
      </c>
      <c r="AK95" s="74"/>
    </row>
    <row r="106" spans="1:35" x14ac:dyDescent="0.3">
      <c r="A106" t="s">
        <v>412</v>
      </c>
    </row>
    <row r="107" spans="1:35" x14ac:dyDescent="0.3">
      <c r="A107" t="s">
        <v>413</v>
      </c>
      <c r="B107" t="s">
        <v>414</v>
      </c>
      <c r="C107" t="s">
        <v>415</v>
      </c>
      <c r="D107" t="s">
        <v>416</v>
      </c>
      <c r="E107" t="s">
        <v>417</v>
      </c>
      <c r="F107" t="s">
        <v>337</v>
      </c>
      <c r="G107" t="s">
        <v>418</v>
      </c>
      <c r="H107" t="s">
        <v>419</v>
      </c>
      <c r="U107" t="s">
        <v>421</v>
      </c>
    </row>
    <row r="108" spans="1:35" x14ac:dyDescent="0.3">
      <c r="A108">
        <v>139584</v>
      </c>
      <c r="B108" t="s">
        <v>422</v>
      </c>
      <c r="C108" s="64">
        <v>46105</v>
      </c>
      <c r="D108" s="64">
        <v>46139</v>
      </c>
      <c r="E108" t="s">
        <v>146</v>
      </c>
      <c r="F108" t="s">
        <v>390</v>
      </c>
      <c r="G108" t="s">
        <v>343</v>
      </c>
      <c r="H108">
        <v>11292</v>
      </c>
      <c r="T108">
        <v>0</v>
      </c>
      <c r="U108">
        <v>0</v>
      </c>
      <c r="W108">
        <v>548</v>
      </c>
      <c r="X108">
        <v>2800000000000000</v>
      </c>
      <c r="AE108">
        <v>0</v>
      </c>
      <c r="AF108">
        <v>1.0160754951269501E+17</v>
      </c>
      <c r="AH108">
        <v>0</v>
      </c>
      <c r="AI108">
        <v>2.15630372529487E+16</v>
      </c>
    </row>
    <row r="109" spans="1:35" x14ac:dyDescent="0.3">
      <c r="A109">
        <v>139587</v>
      </c>
      <c r="B109" t="s">
        <v>422</v>
      </c>
      <c r="C109" s="64">
        <v>46105</v>
      </c>
      <c r="D109" s="64">
        <v>46139</v>
      </c>
      <c r="E109" t="s">
        <v>139</v>
      </c>
      <c r="F109" t="s">
        <v>362</v>
      </c>
      <c r="G109" t="s">
        <v>343</v>
      </c>
      <c r="H109">
        <v>28400</v>
      </c>
      <c r="T109">
        <v>0</v>
      </c>
      <c r="U109">
        <v>0</v>
      </c>
      <c r="W109">
        <v>242</v>
      </c>
      <c r="X109">
        <v>4800000000000000</v>
      </c>
      <c r="AE109">
        <v>0</v>
      </c>
      <c r="AF109">
        <v>2.48746120961005E+16</v>
      </c>
      <c r="AH109">
        <v>0</v>
      </c>
      <c r="AI109">
        <v>5278861559532540</v>
      </c>
    </row>
    <row r="110" spans="1:35" x14ac:dyDescent="0.3">
      <c r="A110">
        <v>139589</v>
      </c>
      <c r="B110" t="s">
        <v>422</v>
      </c>
      <c r="C110" s="64">
        <v>46105</v>
      </c>
      <c r="D110" s="64">
        <v>46139</v>
      </c>
      <c r="E110" t="s">
        <v>355</v>
      </c>
      <c r="F110" t="s">
        <v>356</v>
      </c>
      <c r="G110" t="s">
        <v>343</v>
      </c>
      <c r="H110">
        <v>150</v>
      </c>
      <c r="T110">
        <v>0</v>
      </c>
      <c r="U110">
        <v>0</v>
      </c>
      <c r="W110">
        <v>10</v>
      </c>
      <c r="X110">
        <v>8.4E+16</v>
      </c>
      <c r="AE110">
        <v>0</v>
      </c>
      <c r="AF110">
        <v>4784376741622790</v>
      </c>
      <c r="AH110">
        <v>0</v>
      </c>
      <c r="AI110">
        <v>1015334927439260</v>
      </c>
    </row>
    <row r="111" spans="1:35" x14ac:dyDescent="0.3">
      <c r="A111">
        <v>140462</v>
      </c>
      <c r="B111" t="s">
        <v>422</v>
      </c>
      <c r="C111" s="64">
        <v>46112</v>
      </c>
      <c r="D111" s="64">
        <v>46146</v>
      </c>
      <c r="E111" t="s">
        <v>110</v>
      </c>
      <c r="F111" t="s">
        <v>379</v>
      </c>
      <c r="G111" t="s">
        <v>343</v>
      </c>
      <c r="H111">
        <v>15800</v>
      </c>
      <c r="T111">
        <v>0</v>
      </c>
      <c r="U111">
        <v>0</v>
      </c>
      <c r="W111">
        <v>36</v>
      </c>
      <c r="X111">
        <v>8.6E+16</v>
      </c>
      <c r="AE111">
        <v>0</v>
      </c>
      <c r="AF111">
        <v>1.1618853375833901E+17</v>
      </c>
      <c r="AH111">
        <v>0</v>
      </c>
      <c r="AI111">
        <v>2.46573969533979E+16</v>
      </c>
    </row>
    <row r="112" spans="1:35" x14ac:dyDescent="0.3">
      <c r="A112">
        <v>140464</v>
      </c>
      <c r="B112" t="s">
        <v>422</v>
      </c>
      <c r="C112" s="64">
        <v>46112</v>
      </c>
      <c r="D112" s="64">
        <v>46146</v>
      </c>
      <c r="E112" t="s">
        <v>124</v>
      </c>
      <c r="F112" t="s">
        <v>400</v>
      </c>
      <c r="G112" t="s">
        <v>343</v>
      </c>
      <c r="H112">
        <v>1000</v>
      </c>
      <c r="T112">
        <v>0</v>
      </c>
      <c r="U112">
        <v>0</v>
      </c>
      <c r="W112">
        <v>20</v>
      </c>
      <c r="X112">
        <v>7.3E+16</v>
      </c>
      <c r="AE112">
        <v>0</v>
      </c>
      <c r="AF112">
        <v>7423416501516650</v>
      </c>
      <c r="AH112">
        <v>0</v>
      </c>
      <c r="AI112">
        <v>1575388908934940</v>
      </c>
    </row>
    <row r="113" spans="1:35" x14ac:dyDescent="0.3">
      <c r="A113">
        <v>140465</v>
      </c>
      <c r="B113" t="s">
        <v>422</v>
      </c>
      <c r="C113" s="64">
        <v>46112</v>
      </c>
      <c r="D113" s="64">
        <v>46146</v>
      </c>
      <c r="E113" t="s">
        <v>140</v>
      </c>
      <c r="F113" t="s">
        <v>385</v>
      </c>
      <c r="G113" t="s">
        <v>343</v>
      </c>
      <c r="H113">
        <v>3472</v>
      </c>
      <c r="T113">
        <v>0</v>
      </c>
      <c r="U113">
        <v>0</v>
      </c>
      <c r="W113">
        <v>959</v>
      </c>
      <c r="X113">
        <v>360000000000000</v>
      </c>
      <c r="AE113">
        <v>0</v>
      </c>
      <c r="AF113">
        <v>1.38521059167275E+16</v>
      </c>
      <c r="AH113">
        <v>0</v>
      </c>
      <c r="AI113">
        <v>2939677980097990</v>
      </c>
    </row>
    <row r="114" spans="1:35" x14ac:dyDescent="0.3">
      <c r="A114">
        <v>140466</v>
      </c>
      <c r="B114" t="s">
        <v>422</v>
      </c>
      <c r="C114" s="64">
        <v>46112</v>
      </c>
      <c r="D114" s="64">
        <v>46146</v>
      </c>
      <c r="E114" t="s">
        <v>124</v>
      </c>
      <c r="F114" t="s">
        <v>400</v>
      </c>
      <c r="G114" t="s">
        <v>343</v>
      </c>
      <c r="H114">
        <v>1600</v>
      </c>
      <c r="T114">
        <v>0</v>
      </c>
      <c r="U114">
        <v>0</v>
      </c>
      <c r="W114">
        <v>33</v>
      </c>
      <c r="X114">
        <v>1.7E+16</v>
      </c>
      <c r="AE114">
        <v>0</v>
      </c>
      <c r="AF114">
        <v>1.18774664024266E+16</v>
      </c>
      <c r="AH114">
        <v>0</v>
      </c>
      <c r="AI114">
        <v>2520622254295900</v>
      </c>
    </row>
    <row r="115" spans="1:35" x14ac:dyDescent="0.3">
      <c r="A115">
        <v>140688</v>
      </c>
      <c r="B115" t="s">
        <v>422</v>
      </c>
      <c r="C115" s="64">
        <v>46113</v>
      </c>
      <c r="D115" s="64">
        <v>46146</v>
      </c>
      <c r="E115" t="s">
        <v>83</v>
      </c>
      <c r="F115" t="s">
        <v>342</v>
      </c>
      <c r="G115" t="s">
        <v>343</v>
      </c>
      <c r="H115">
        <v>1500</v>
      </c>
      <c r="T115">
        <v>0</v>
      </c>
      <c r="U115">
        <v>0</v>
      </c>
      <c r="W115">
        <v>0</v>
      </c>
      <c r="X115">
        <v>9E+17</v>
      </c>
      <c r="AE115">
        <v>0</v>
      </c>
      <c r="AF115">
        <v>4064736124355610</v>
      </c>
      <c r="AH115">
        <v>0</v>
      </c>
      <c r="AI115">
        <v>862613623625826</v>
      </c>
    </row>
    <row r="116" spans="1:35" x14ac:dyDescent="0.3">
      <c r="A116">
        <v>140756</v>
      </c>
      <c r="B116" t="s">
        <v>422</v>
      </c>
      <c r="C116" s="64">
        <v>46113</v>
      </c>
      <c r="D116" s="64">
        <v>46146</v>
      </c>
      <c r="E116" t="s">
        <v>124</v>
      </c>
      <c r="F116" t="s">
        <v>400</v>
      </c>
      <c r="G116" t="s">
        <v>343</v>
      </c>
      <c r="H116">
        <v>400</v>
      </c>
      <c r="T116">
        <v>0</v>
      </c>
      <c r="U116">
        <v>0</v>
      </c>
      <c r="W116">
        <v>7</v>
      </c>
      <c r="X116">
        <v>4.1E+17</v>
      </c>
      <c r="AE116">
        <v>0</v>
      </c>
      <c r="AF116">
        <v>3052305807365720</v>
      </c>
      <c r="AH116">
        <v>0</v>
      </c>
      <c r="AI116">
        <v>647756826606623</v>
      </c>
    </row>
    <row r="117" spans="1:35" x14ac:dyDescent="0.3">
      <c r="A117">
        <v>140757</v>
      </c>
      <c r="B117" t="s">
        <v>422</v>
      </c>
      <c r="C117" s="64">
        <v>46113</v>
      </c>
      <c r="D117" s="64">
        <v>46146</v>
      </c>
      <c r="E117" t="s">
        <v>157</v>
      </c>
      <c r="F117" t="s">
        <v>388</v>
      </c>
      <c r="G117" t="s">
        <v>343</v>
      </c>
      <c r="H117">
        <v>10700</v>
      </c>
      <c r="T117">
        <v>0</v>
      </c>
      <c r="U117">
        <v>0</v>
      </c>
      <c r="W117">
        <v>980</v>
      </c>
      <c r="X117">
        <v>870000000000000</v>
      </c>
      <c r="AE117">
        <v>0</v>
      </c>
      <c r="AF117">
        <v>1.64292916182013E+16</v>
      </c>
      <c r="AH117">
        <v>0</v>
      </c>
      <c r="AI117">
        <v>3486605364481990</v>
      </c>
    </row>
    <row r="118" spans="1:35" x14ac:dyDescent="0.3">
      <c r="A118">
        <v>140758</v>
      </c>
      <c r="B118" t="s">
        <v>422</v>
      </c>
      <c r="C118" s="64">
        <v>46113</v>
      </c>
      <c r="D118" s="64">
        <v>46146</v>
      </c>
      <c r="E118" t="s">
        <v>157</v>
      </c>
      <c r="F118" t="s">
        <v>388</v>
      </c>
      <c r="G118" t="s">
        <v>343</v>
      </c>
      <c r="H118">
        <v>535</v>
      </c>
      <c r="T118">
        <v>0</v>
      </c>
      <c r="U118">
        <v>0</v>
      </c>
      <c r="W118">
        <v>49</v>
      </c>
      <c r="X118">
        <v>4000000000000000</v>
      </c>
      <c r="AE118">
        <v>0</v>
      </c>
      <c r="AF118">
        <v>821464580910065</v>
      </c>
      <c r="AH118">
        <v>0</v>
      </c>
      <c r="AI118">
        <v>174330268224100</v>
      </c>
    </row>
    <row r="119" spans="1:35" x14ac:dyDescent="0.3">
      <c r="A119">
        <v>141498</v>
      </c>
      <c r="B119" t="s">
        <v>422</v>
      </c>
      <c r="C119" s="64">
        <v>46120</v>
      </c>
      <c r="D119" s="64">
        <v>46153</v>
      </c>
      <c r="E119" t="s">
        <v>155</v>
      </c>
      <c r="F119" t="s">
        <v>384</v>
      </c>
      <c r="G119" t="s">
        <v>343</v>
      </c>
      <c r="H119">
        <v>22000</v>
      </c>
      <c r="T119">
        <v>0</v>
      </c>
      <c r="U119">
        <v>0</v>
      </c>
      <c r="W119">
        <v>10</v>
      </c>
      <c r="X119">
        <v>1.8E+16</v>
      </c>
      <c r="AE119">
        <v>0</v>
      </c>
      <c r="AF119">
        <v>2.25330094914806E+16</v>
      </c>
      <c r="AH119">
        <v>0</v>
      </c>
      <c r="AI119">
        <v>4781929348912560</v>
      </c>
    </row>
    <row r="120" spans="1:35" x14ac:dyDescent="0.3">
      <c r="A120">
        <v>141503</v>
      </c>
      <c r="B120" t="s">
        <v>422</v>
      </c>
      <c r="C120" s="64">
        <v>46120</v>
      </c>
      <c r="D120" s="64">
        <v>46153</v>
      </c>
      <c r="E120" t="s">
        <v>192</v>
      </c>
      <c r="F120" t="s">
        <v>349</v>
      </c>
      <c r="G120" t="s">
        <v>343</v>
      </c>
      <c r="H120">
        <v>24000</v>
      </c>
      <c r="T120">
        <v>0</v>
      </c>
      <c r="U120">
        <v>0</v>
      </c>
      <c r="W120">
        <v>2</v>
      </c>
      <c r="X120">
        <v>6.5E+17</v>
      </c>
      <c r="AE120">
        <v>0</v>
      </c>
      <c r="AF120">
        <v>9.9655746879979904E+16</v>
      </c>
      <c r="AH120">
        <v>0</v>
      </c>
      <c r="AI120">
        <v>2.11488279438817E+16</v>
      </c>
    </row>
    <row r="121" spans="1:35" x14ac:dyDescent="0.3">
      <c r="A121">
        <v>141712</v>
      </c>
      <c r="B121" t="s">
        <v>422</v>
      </c>
      <c r="C121" s="64">
        <v>46120</v>
      </c>
      <c r="D121" s="64">
        <v>46153</v>
      </c>
      <c r="E121" t="s">
        <v>357</v>
      </c>
      <c r="F121" t="s">
        <v>358</v>
      </c>
      <c r="G121" t="s">
        <v>343</v>
      </c>
      <c r="H121">
        <v>3405</v>
      </c>
      <c r="T121">
        <v>0</v>
      </c>
      <c r="U121">
        <v>0</v>
      </c>
      <c r="W121">
        <v>49</v>
      </c>
      <c r="X121">
        <v>9.2E+16</v>
      </c>
      <c r="AE121">
        <v>0</v>
      </c>
      <c r="AF121">
        <v>1.1732104717683901E+17</v>
      </c>
      <c r="AH121">
        <v>0</v>
      </c>
      <c r="AI121">
        <v>2.48977376480579E+16</v>
      </c>
    </row>
    <row r="122" spans="1:35" x14ac:dyDescent="0.3">
      <c r="A122">
        <v>141713</v>
      </c>
      <c r="B122" t="s">
        <v>422</v>
      </c>
      <c r="C122" s="64">
        <v>46120</v>
      </c>
      <c r="D122" s="64">
        <v>46153</v>
      </c>
      <c r="E122" t="s">
        <v>355</v>
      </c>
      <c r="F122" t="s">
        <v>356</v>
      </c>
      <c r="G122" t="s">
        <v>343</v>
      </c>
      <c r="H122">
        <v>8559</v>
      </c>
      <c r="T122">
        <v>0</v>
      </c>
      <c r="U122">
        <v>0</v>
      </c>
      <c r="W122">
        <v>108</v>
      </c>
      <c r="X122">
        <v>3300000000000000</v>
      </c>
      <c r="AE122">
        <v>0</v>
      </c>
      <c r="AF122">
        <v>2.8086025689239501E+17</v>
      </c>
      <c r="AH122">
        <v>0</v>
      </c>
      <c r="AI122">
        <v>5.96038405737438E+16</v>
      </c>
    </row>
    <row r="123" spans="1:35" x14ac:dyDescent="0.3">
      <c r="A123">
        <v>141715</v>
      </c>
      <c r="B123" t="s">
        <v>422</v>
      </c>
      <c r="C123" s="64">
        <v>46120</v>
      </c>
      <c r="D123" s="64">
        <v>46153</v>
      </c>
      <c r="E123" t="s">
        <v>95</v>
      </c>
      <c r="F123" t="s">
        <v>352</v>
      </c>
      <c r="G123" t="s">
        <v>343</v>
      </c>
      <c r="H123">
        <v>5500</v>
      </c>
      <c r="T123">
        <v>0</v>
      </c>
      <c r="U123">
        <v>0</v>
      </c>
      <c r="W123">
        <v>1</v>
      </c>
      <c r="X123">
        <v>8.4E+17</v>
      </c>
      <c r="AE123">
        <v>0</v>
      </c>
      <c r="AF123">
        <v>3.45466820912141E+16</v>
      </c>
      <c r="AH123">
        <v>0</v>
      </c>
      <c r="AI123">
        <v>7331457125688800</v>
      </c>
    </row>
    <row r="124" spans="1:35" x14ac:dyDescent="0.3">
      <c r="A124">
        <v>141847</v>
      </c>
      <c r="B124" t="s">
        <v>422</v>
      </c>
      <c r="C124" s="64">
        <v>46121</v>
      </c>
      <c r="D124" s="64">
        <v>46154</v>
      </c>
      <c r="E124" t="s">
        <v>355</v>
      </c>
      <c r="F124" t="s">
        <v>356</v>
      </c>
      <c r="G124" t="s">
        <v>343</v>
      </c>
      <c r="H124">
        <v>1200</v>
      </c>
      <c r="T124">
        <v>0</v>
      </c>
      <c r="U124">
        <v>0</v>
      </c>
      <c r="W124">
        <v>8</v>
      </c>
      <c r="X124">
        <v>8E+16</v>
      </c>
      <c r="AE124">
        <v>0</v>
      </c>
      <c r="AF124">
        <v>4.04886327616552E+16</v>
      </c>
      <c r="AH124">
        <v>0</v>
      </c>
      <c r="AI124">
        <v>8592451060454400</v>
      </c>
    </row>
    <row r="125" spans="1:35" x14ac:dyDescent="0.3">
      <c r="A125">
        <v>142764</v>
      </c>
      <c r="B125" t="s">
        <v>422</v>
      </c>
      <c r="C125" s="64">
        <v>46127</v>
      </c>
      <c r="D125" s="64">
        <v>46160</v>
      </c>
      <c r="E125" t="s">
        <v>140</v>
      </c>
      <c r="F125" t="s">
        <v>385</v>
      </c>
      <c r="G125" t="s">
        <v>343</v>
      </c>
      <c r="H125">
        <v>4785</v>
      </c>
      <c r="T125">
        <v>0</v>
      </c>
      <c r="U125">
        <v>0</v>
      </c>
      <c r="W125">
        <v>81</v>
      </c>
      <c r="X125">
        <v>7.7E+16</v>
      </c>
      <c r="AE125">
        <v>0</v>
      </c>
      <c r="AF125">
        <v>1.8671429736612E+16</v>
      </c>
      <c r="AH125">
        <v>0</v>
      </c>
      <c r="AI125">
        <v>3962429336277580</v>
      </c>
    </row>
    <row r="126" spans="1:35" x14ac:dyDescent="0.3">
      <c r="A126">
        <v>142765</v>
      </c>
      <c r="B126" t="s">
        <v>422</v>
      </c>
      <c r="C126" s="64">
        <v>46127</v>
      </c>
      <c r="D126" s="64">
        <v>46160</v>
      </c>
      <c r="E126" t="s">
        <v>146</v>
      </c>
      <c r="F126" t="s">
        <v>390</v>
      </c>
      <c r="G126" t="s">
        <v>343</v>
      </c>
      <c r="H126">
        <v>5708</v>
      </c>
      <c r="T126">
        <v>0</v>
      </c>
      <c r="U126">
        <v>0</v>
      </c>
      <c r="W126">
        <v>13</v>
      </c>
      <c r="X126">
        <v>9.1E+16</v>
      </c>
      <c r="AE126">
        <v>0</v>
      </c>
      <c r="AF126">
        <v>5.38919946702264E+16</v>
      </c>
      <c r="AH126">
        <v>0</v>
      </c>
      <c r="AI126">
        <v>1.14368971034442E+16</v>
      </c>
    </row>
    <row r="127" spans="1:35" x14ac:dyDescent="0.3">
      <c r="A127">
        <v>142766</v>
      </c>
      <c r="B127" t="s">
        <v>422</v>
      </c>
      <c r="C127" s="64">
        <v>46127</v>
      </c>
      <c r="D127" s="64">
        <v>46160</v>
      </c>
      <c r="E127" t="s">
        <v>125</v>
      </c>
      <c r="F127" t="s">
        <v>389</v>
      </c>
      <c r="G127" t="s">
        <v>343</v>
      </c>
      <c r="H127">
        <v>4400</v>
      </c>
      <c r="T127">
        <v>0</v>
      </c>
      <c r="U127">
        <v>0</v>
      </c>
      <c r="W127">
        <v>10</v>
      </c>
      <c r="X127">
        <v>5.3E+16</v>
      </c>
      <c r="AE127">
        <v>0</v>
      </c>
      <c r="AF127">
        <v>2.70553412393344E+16</v>
      </c>
      <c r="AH127">
        <v>0</v>
      </c>
      <c r="AI127">
        <v>5741653389270220</v>
      </c>
    </row>
    <row r="138" spans="11:13" x14ac:dyDescent="0.3">
      <c r="K138" s="66" t="s">
        <v>427</v>
      </c>
      <c r="L138" s="67" t="str">
        <f>RIGHT(K138,5)</f>
        <v>ABCB4</v>
      </c>
      <c r="M138" s="68">
        <v>26.7</v>
      </c>
    </row>
    <row r="139" spans="11:13" x14ac:dyDescent="0.3">
      <c r="K139" s="69" t="s">
        <v>428</v>
      </c>
      <c r="L139" s="67" t="str">
        <f t="shared" ref="L139:L202" si="35">RIGHT(K139,5)</f>
        <v>ALLD3</v>
      </c>
      <c r="M139" s="70">
        <v>6.69</v>
      </c>
    </row>
    <row r="140" spans="11:13" x14ac:dyDescent="0.3">
      <c r="K140" s="66" t="s">
        <v>429</v>
      </c>
      <c r="L140" s="67" t="str">
        <f>RIGHT(K140,6)</f>
        <v xml:space="preserve"> ALOS3</v>
      </c>
      <c r="M140" s="68">
        <v>33.270000000000003</v>
      </c>
    </row>
    <row r="141" spans="11:13" x14ac:dyDescent="0.3">
      <c r="K141" s="69" t="s">
        <v>430</v>
      </c>
      <c r="L141" s="67" t="str">
        <f t="shared" si="35"/>
        <v>ALPA4</v>
      </c>
      <c r="M141" s="70">
        <v>12.24</v>
      </c>
    </row>
    <row r="142" spans="11:13" x14ac:dyDescent="0.3">
      <c r="K142" s="66" t="s">
        <v>431</v>
      </c>
      <c r="L142" s="67" t="str">
        <f>RIGHT(K142,6)</f>
        <v>ALUP11</v>
      </c>
      <c r="M142" s="68">
        <v>36.36</v>
      </c>
    </row>
    <row r="143" spans="11:13" x14ac:dyDescent="0.3">
      <c r="K143" s="69" t="s">
        <v>432</v>
      </c>
      <c r="L143" s="67" t="str">
        <f t="shared" si="35"/>
        <v>ABEV3</v>
      </c>
      <c r="M143" s="70">
        <v>15.43</v>
      </c>
    </row>
    <row r="144" spans="11:13" x14ac:dyDescent="0.3">
      <c r="K144" s="66" t="s">
        <v>433</v>
      </c>
      <c r="L144" s="67" t="str">
        <f t="shared" si="35"/>
        <v>AXIA3</v>
      </c>
      <c r="M144" s="68">
        <v>65.56</v>
      </c>
    </row>
    <row r="145" spans="4:13" x14ac:dyDescent="0.3">
      <c r="K145" s="69" t="s">
        <v>434</v>
      </c>
      <c r="L145" s="67" t="str">
        <f t="shared" si="35"/>
        <v>AXIA6</v>
      </c>
      <c r="M145" s="70">
        <v>71.86</v>
      </c>
    </row>
    <row r="146" spans="4:13" x14ac:dyDescent="0.3">
      <c r="K146" s="66" t="s">
        <v>435</v>
      </c>
      <c r="L146" s="67" t="str">
        <f t="shared" si="35"/>
        <v>AZZA3</v>
      </c>
      <c r="M146" s="68">
        <v>22.22</v>
      </c>
    </row>
    <row r="147" spans="4:13" x14ac:dyDescent="0.3">
      <c r="D147" s="28" t="s">
        <v>425</v>
      </c>
      <c r="E147" s="28" t="s">
        <v>426</v>
      </c>
      <c r="K147" s="69" t="s">
        <v>436</v>
      </c>
      <c r="L147" s="67" t="str">
        <f t="shared" si="35"/>
        <v>BMGB4</v>
      </c>
      <c r="M147" s="70">
        <v>5.53</v>
      </c>
    </row>
    <row r="148" spans="4:13" x14ac:dyDescent="0.3">
      <c r="D148" t="s">
        <v>52</v>
      </c>
      <c r="E148" t="str">
        <f>VLOOKUP(D148,$C$3:$D$69,2,0)</f>
        <v>WIZ CO      ON      NM</v>
      </c>
      <c r="K148" s="66" t="s">
        <v>437</v>
      </c>
      <c r="L148" s="67" t="str">
        <f t="shared" si="35"/>
        <v>BRSR6</v>
      </c>
      <c r="M148" s="68">
        <v>16.600000000000001</v>
      </c>
    </row>
    <row r="149" spans="4:13" x14ac:dyDescent="0.3">
      <c r="D149" t="s">
        <v>91</v>
      </c>
      <c r="E149" t="str">
        <f t="shared" ref="E149:E212" si="36">VLOOKUP(D149,$C$3:$D$69,2,0)</f>
        <v>JHSF PART   ON      NM</v>
      </c>
      <c r="K149" s="69" t="s">
        <v>438</v>
      </c>
      <c r="L149" s="67" t="str">
        <f t="shared" si="35"/>
        <v>BBSE3</v>
      </c>
      <c r="M149" s="70">
        <v>35.01</v>
      </c>
    </row>
    <row r="150" spans="4:13" x14ac:dyDescent="0.3">
      <c r="D150" t="s">
        <v>69</v>
      </c>
      <c r="E150" t="str">
        <f t="shared" si="36"/>
        <v>BANCO BMG   PN      N1</v>
      </c>
      <c r="K150" s="66" t="s">
        <v>439</v>
      </c>
      <c r="L150" s="67" t="str">
        <f t="shared" si="35"/>
        <v>BMOB3</v>
      </c>
      <c r="M150" s="68">
        <v>27.67</v>
      </c>
    </row>
    <row r="151" spans="4:13" x14ac:dyDescent="0.3">
      <c r="D151" t="s">
        <v>60</v>
      </c>
      <c r="E151" t="str">
        <f t="shared" si="36"/>
        <v>RIACHUELO   ON      NM</v>
      </c>
      <c r="K151" s="69" t="s">
        <v>440</v>
      </c>
      <c r="L151" s="67" t="str">
        <f>RIGHT(K151,6)</f>
        <v>BRBI11</v>
      </c>
      <c r="M151" s="70">
        <v>19.309999999999999</v>
      </c>
    </row>
    <row r="152" spans="4:13" x14ac:dyDescent="0.3">
      <c r="D152" t="s">
        <v>77</v>
      </c>
      <c r="E152" t="str">
        <f t="shared" si="36"/>
        <v>CRUZEIRO EDUON  ED  NM</v>
      </c>
      <c r="K152" s="66" t="s">
        <v>441</v>
      </c>
      <c r="L152" s="67" t="str">
        <f t="shared" si="35"/>
        <v>BBDC3</v>
      </c>
      <c r="M152" s="68">
        <v>18.12</v>
      </c>
    </row>
    <row r="153" spans="4:13" x14ac:dyDescent="0.3">
      <c r="D153" t="s">
        <v>59</v>
      </c>
      <c r="E153" t="str">
        <f t="shared" si="36"/>
        <v>ALLIED      ON      NM</v>
      </c>
      <c r="K153" s="69" t="s">
        <v>442</v>
      </c>
      <c r="L153" s="67" t="str">
        <f t="shared" si="35"/>
        <v>BBDC4</v>
      </c>
      <c r="M153" s="70">
        <v>20.85</v>
      </c>
    </row>
    <row r="154" spans="4:13" x14ac:dyDescent="0.3">
      <c r="D154" t="s">
        <v>66</v>
      </c>
      <c r="E154" t="str">
        <f t="shared" si="36"/>
        <v>SYN PROP TECON  ED  NM</v>
      </c>
      <c r="K154" s="66" t="s">
        <v>443</v>
      </c>
      <c r="L154" s="67" t="str">
        <f t="shared" si="35"/>
        <v>BRAP4</v>
      </c>
      <c r="M154" s="68">
        <v>25.05</v>
      </c>
    </row>
    <row r="155" spans="4:13" x14ac:dyDescent="0.3">
      <c r="D155" t="s">
        <v>67</v>
      </c>
      <c r="E155" t="str">
        <f t="shared" si="36"/>
        <v>MARCOPOLO   ON      N2</v>
      </c>
      <c r="K155" s="69" t="s">
        <v>444</v>
      </c>
      <c r="L155" s="67" t="str">
        <f t="shared" si="35"/>
        <v>BBAS3</v>
      </c>
      <c r="M155" s="70">
        <v>24.28</v>
      </c>
    </row>
    <row r="156" spans="4:13" x14ac:dyDescent="0.3">
      <c r="D156" t="s">
        <v>100</v>
      </c>
      <c r="E156" t="e">
        <f t="shared" si="36"/>
        <v>#N/A</v>
      </c>
      <c r="K156" s="66" t="s">
        <v>445</v>
      </c>
      <c r="L156" s="67" t="str">
        <f t="shared" si="35"/>
        <v>CXSE3</v>
      </c>
      <c r="M156" s="68">
        <v>18.88</v>
      </c>
    </row>
    <row r="157" spans="4:13" x14ac:dyDescent="0.3">
      <c r="D157" t="s">
        <v>54</v>
      </c>
      <c r="E157" t="str">
        <f t="shared" si="36"/>
        <v>UNIFIQUE    ON      NM</v>
      </c>
      <c r="K157" s="69" t="s">
        <v>446</v>
      </c>
      <c r="L157" s="67" t="str">
        <f t="shared" si="35"/>
        <v>CAML3</v>
      </c>
      <c r="M157" s="70">
        <v>7.26</v>
      </c>
    </row>
    <row r="158" spans="4:13" x14ac:dyDescent="0.3">
      <c r="D158" t="s">
        <v>86</v>
      </c>
      <c r="E158" t="e">
        <f t="shared" si="36"/>
        <v>#N/A</v>
      </c>
      <c r="K158" s="66" t="s">
        <v>447</v>
      </c>
      <c r="L158" s="67" t="str">
        <f t="shared" si="35"/>
        <v>CMIG4</v>
      </c>
      <c r="M158" s="68">
        <v>13.52</v>
      </c>
    </row>
    <row r="159" spans="4:13" x14ac:dyDescent="0.3">
      <c r="D159" t="s">
        <v>73</v>
      </c>
      <c r="E159" t="str">
        <f t="shared" si="36"/>
        <v>BANRISUL    PNB     N1</v>
      </c>
      <c r="K159" s="69" t="s">
        <v>448</v>
      </c>
      <c r="L159" s="67" t="str">
        <f t="shared" si="35"/>
        <v>CSMG3</v>
      </c>
      <c r="M159" s="70">
        <v>57.4</v>
      </c>
    </row>
    <row r="160" spans="4:13" x14ac:dyDescent="0.3">
      <c r="D160" t="s">
        <v>58</v>
      </c>
      <c r="E160" t="str">
        <f t="shared" si="36"/>
        <v>GRENDENE    ON      NM</v>
      </c>
      <c r="K160" s="66" t="s">
        <v>449</v>
      </c>
      <c r="L160" s="67" t="str">
        <f t="shared" si="35"/>
        <v>CPLE3</v>
      </c>
      <c r="M160" s="68">
        <v>16.8</v>
      </c>
    </row>
    <row r="161" spans="4:13" x14ac:dyDescent="0.3">
      <c r="D161" t="s">
        <v>81</v>
      </c>
      <c r="E161" t="str">
        <f t="shared" si="36"/>
        <v>TIM         ON      NM</v>
      </c>
      <c r="K161" s="69" t="s">
        <v>450</v>
      </c>
      <c r="L161" s="67" t="str">
        <f t="shared" si="35"/>
        <v>CPFE3</v>
      </c>
      <c r="M161" s="70">
        <v>56.26</v>
      </c>
    </row>
    <row r="162" spans="4:13" x14ac:dyDescent="0.3">
      <c r="D162" t="s">
        <v>56</v>
      </c>
      <c r="E162" t="str">
        <f t="shared" si="36"/>
        <v>SANEPAR     PN      N2</v>
      </c>
      <c r="K162" s="66" t="s">
        <v>451</v>
      </c>
      <c r="L162" s="67" t="str">
        <f t="shared" si="35"/>
        <v>CSED3</v>
      </c>
      <c r="M162" s="68">
        <v>6.19</v>
      </c>
    </row>
    <row r="163" spans="4:13" x14ac:dyDescent="0.3">
      <c r="D163" t="s">
        <v>74</v>
      </c>
      <c r="E163" t="e">
        <f t="shared" si="36"/>
        <v>#N/A</v>
      </c>
      <c r="K163" s="69" t="s">
        <v>452</v>
      </c>
      <c r="L163" s="67" t="str">
        <f t="shared" si="35"/>
        <v>CMIN3</v>
      </c>
      <c r="M163" s="70">
        <v>4.8185070242999997</v>
      </c>
    </row>
    <row r="164" spans="4:13" x14ac:dyDescent="0.3">
      <c r="D164" t="s">
        <v>89</v>
      </c>
      <c r="E164" t="e">
        <f t="shared" si="36"/>
        <v>#N/A</v>
      </c>
      <c r="K164" s="66" t="s">
        <v>453</v>
      </c>
      <c r="L164" s="67" t="str">
        <f t="shared" si="35"/>
        <v>CURY3</v>
      </c>
      <c r="M164" s="68">
        <v>34.21</v>
      </c>
    </row>
    <row r="165" spans="4:13" x14ac:dyDescent="0.3">
      <c r="D165" t="s">
        <v>136</v>
      </c>
      <c r="E165" t="str">
        <f t="shared" si="36"/>
        <v>PETROBRAS   PN      N2</v>
      </c>
      <c r="K165" s="69" t="s">
        <v>454</v>
      </c>
      <c r="L165" s="67" t="str">
        <f t="shared" si="35"/>
        <v>CYRE3</v>
      </c>
      <c r="M165" s="70">
        <v>27.25</v>
      </c>
    </row>
    <row r="166" spans="4:13" x14ac:dyDescent="0.3">
      <c r="D166" t="s">
        <v>79</v>
      </c>
      <c r="E166" t="str">
        <f t="shared" si="36"/>
        <v>METAL LEVE  ON  EJ  NM</v>
      </c>
      <c r="K166" s="66" t="s">
        <v>455</v>
      </c>
      <c r="L166" s="67" t="str">
        <f t="shared" si="35"/>
        <v>DEXP3</v>
      </c>
      <c r="M166" s="68">
        <v>7.33</v>
      </c>
    </row>
    <row r="167" spans="4:13" x14ac:dyDescent="0.3">
      <c r="D167" t="s">
        <v>146</v>
      </c>
      <c r="E167" t="str">
        <f t="shared" si="36"/>
        <v>PETROBRAS   ON      N2</v>
      </c>
      <c r="K167" s="69" t="s">
        <v>456</v>
      </c>
      <c r="L167" s="67" t="str">
        <f t="shared" si="35"/>
        <v>PNVL3</v>
      </c>
      <c r="M167" s="70">
        <v>14.61</v>
      </c>
    </row>
    <row r="168" spans="4:13" x14ac:dyDescent="0.3">
      <c r="D168" t="s">
        <v>97</v>
      </c>
      <c r="E168" t="str">
        <f t="shared" si="36"/>
        <v>ABC BRASIL  PN      N2</v>
      </c>
      <c r="K168" s="66" t="s">
        <v>457</v>
      </c>
      <c r="L168" s="67" t="str">
        <f t="shared" si="35"/>
        <v>DIRR3</v>
      </c>
      <c r="M168" s="68">
        <v>14.27</v>
      </c>
    </row>
    <row r="169" spans="4:13" x14ac:dyDescent="0.3">
      <c r="D169" t="s">
        <v>72</v>
      </c>
      <c r="E169" t="str">
        <f t="shared" si="36"/>
        <v>ALPARGATAS  PN  EDJ N1</v>
      </c>
      <c r="K169" s="69" t="s">
        <v>458</v>
      </c>
      <c r="L169" s="67" t="str">
        <f t="shared" si="35"/>
        <v>ECOR3</v>
      </c>
      <c r="M169" s="70">
        <v>9.98</v>
      </c>
    </row>
    <row r="170" spans="4:13" x14ac:dyDescent="0.3">
      <c r="D170" t="s">
        <v>62</v>
      </c>
      <c r="E170" t="str">
        <f t="shared" si="36"/>
        <v>SANEPAR     UNT     N2</v>
      </c>
      <c r="K170" s="66" t="s">
        <v>459</v>
      </c>
      <c r="L170" s="67" t="str">
        <f t="shared" si="35"/>
        <v>EVEN3</v>
      </c>
      <c r="M170" s="68">
        <v>6.92</v>
      </c>
    </row>
    <row r="171" spans="4:13" x14ac:dyDescent="0.3">
      <c r="D171" t="s">
        <v>90</v>
      </c>
      <c r="E171" t="e">
        <f t="shared" si="36"/>
        <v>#N/A</v>
      </c>
      <c r="K171" s="69" t="s">
        <v>460</v>
      </c>
      <c r="L171" s="67" t="str">
        <f t="shared" si="35"/>
        <v>FESA4</v>
      </c>
      <c r="M171" s="70">
        <v>8.06</v>
      </c>
    </row>
    <row r="172" spans="4:13" x14ac:dyDescent="0.3">
      <c r="D172" t="s">
        <v>87</v>
      </c>
      <c r="E172" t="e">
        <f t="shared" si="36"/>
        <v>#N/A</v>
      </c>
      <c r="K172" s="66" t="s">
        <v>461</v>
      </c>
      <c r="L172" s="67" t="str">
        <f t="shared" si="35"/>
        <v>GOAU4</v>
      </c>
      <c r="M172" s="68">
        <v>9.36</v>
      </c>
    </row>
    <row r="173" spans="4:13" x14ac:dyDescent="0.3">
      <c r="D173" t="s">
        <v>103</v>
      </c>
      <c r="E173" t="e">
        <f t="shared" si="36"/>
        <v>#N/A</v>
      </c>
      <c r="K173" s="69" t="s">
        <v>462</v>
      </c>
      <c r="L173" s="67" t="str">
        <f t="shared" si="35"/>
        <v>GRND3</v>
      </c>
      <c r="M173" s="70">
        <v>4.71</v>
      </c>
    </row>
    <row r="174" spans="4:13" x14ac:dyDescent="0.3">
      <c r="D174" t="s">
        <v>99</v>
      </c>
      <c r="E174" t="e">
        <f t="shared" si="36"/>
        <v>#N/A</v>
      </c>
      <c r="K174" s="66" t="s">
        <v>463</v>
      </c>
      <c r="L174" s="67" t="str">
        <f t="shared" si="35"/>
        <v>HBRE3</v>
      </c>
      <c r="M174" s="68">
        <v>3.27</v>
      </c>
    </row>
    <row r="175" spans="4:13" x14ac:dyDescent="0.3">
      <c r="D175" t="s">
        <v>96</v>
      </c>
      <c r="E175" t="str">
        <f t="shared" si="36"/>
        <v>CURY S/A    ON  ED  NM</v>
      </c>
      <c r="K175" s="69" t="s">
        <v>464</v>
      </c>
      <c r="L175" s="67" t="str">
        <f t="shared" si="35"/>
        <v>HBOR3</v>
      </c>
      <c r="M175" s="70">
        <v>2.35</v>
      </c>
    </row>
    <row r="176" spans="4:13" x14ac:dyDescent="0.3">
      <c r="D176" t="s">
        <v>93</v>
      </c>
      <c r="E176" t="str">
        <f t="shared" si="36"/>
        <v>ALLOS       ON      NM</v>
      </c>
      <c r="K176" s="66" t="s">
        <v>465</v>
      </c>
      <c r="L176" s="67" t="str">
        <f>RIGHT(K176,6)</f>
        <v>IGTI11</v>
      </c>
      <c r="M176" s="68">
        <v>29.82</v>
      </c>
    </row>
    <row r="177" spans="4:13" x14ac:dyDescent="0.3">
      <c r="D177" t="s">
        <v>109</v>
      </c>
      <c r="E177" t="e">
        <f t="shared" si="36"/>
        <v>#N/A</v>
      </c>
      <c r="K177" s="69" t="s">
        <v>466</v>
      </c>
      <c r="L177" s="67" t="str">
        <f t="shared" si="35"/>
        <v>INTB3</v>
      </c>
      <c r="M177" s="70">
        <v>14.39</v>
      </c>
    </row>
    <row r="178" spans="4:13" x14ac:dyDescent="0.3">
      <c r="D178" t="s">
        <v>65</v>
      </c>
      <c r="E178" t="str">
        <f t="shared" si="36"/>
        <v>MELNICK     ON  ED  NM</v>
      </c>
      <c r="K178" s="66" t="s">
        <v>467</v>
      </c>
      <c r="L178" s="67" t="str">
        <f t="shared" si="35"/>
        <v>ISAE4</v>
      </c>
      <c r="M178" s="68">
        <v>31.34</v>
      </c>
    </row>
    <row r="179" spans="4:13" x14ac:dyDescent="0.3">
      <c r="D179" t="s">
        <v>80</v>
      </c>
      <c r="E179" t="str">
        <f t="shared" si="36"/>
        <v>VALID       ON  EJ  NM</v>
      </c>
      <c r="K179" s="69" t="s">
        <v>468</v>
      </c>
      <c r="L179" s="67" t="str">
        <f>RIGHT(K179,6)</f>
        <v>BOVA11</v>
      </c>
      <c r="M179" s="70">
        <v>193.05</v>
      </c>
    </row>
    <row r="180" spans="4:13" x14ac:dyDescent="0.3">
      <c r="D180" t="s">
        <v>76</v>
      </c>
      <c r="E180" t="str">
        <f t="shared" si="36"/>
        <v>TRISUL      ON      NM</v>
      </c>
      <c r="K180" s="66" t="s">
        <v>469</v>
      </c>
      <c r="L180" s="67" t="str">
        <f>RIGHT(K180,6)</f>
        <v>BOVV11</v>
      </c>
      <c r="M180" s="68">
        <v>202.6</v>
      </c>
    </row>
    <row r="181" spans="4:13" x14ac:dyDescent="0.3">
      <c r="D181" t="s">
        <v>63</v>
      </c>
      <c r="E181" t="str">
        <f t="shared" si="36"/>
        <v>VULCABRAS   ON      NM</v>
      </c>
      <c r="K181" s="69" t="s">
        <v>470</v>
      </c>
      <c r="L181" s="67" t="str">
        <f t="shared" si="35"/>
        <v>ITSA3</v>
      </c>
      <c r="M181" s="70">
        <v>14.66</v>
      </c>
    </row>
    <row r="182" spans="4:13" x14ac:dyDescent="0.3">
      <c r="D182" t="s">
        <v>167</v>
      </c>
      <c r="E182" t="e">
        <f t="shared" si="36"/>
        <v>#N/A</v>
      </c>
      <c r="K182" s="66" t="s">
        <v>471</v>
      </c>
      <c r="L182" s="67" t="str">
        <f t="shared" si="35"/>
        <v>ITSA4</v>
      </c>
      <c r="M182" s="68">
        <v>14.81</v>
      </c>
    </row>
    <row r="183" spans="4:13" x14ac:dyDescent="0.3">
      <c r="D183" t="s">
        <v>145</v>
      </c>
      <c r="E183" t="str">
        <f t="shared" si="36"/>
        <v>MERCANTIL   PN      N1</v>
      </c>
      <c r="K183" s="69" t="s">
        <v>472</v>
      </c>
      <c r="L183" s="67" t="str">
        <f t="shared" si="35"/>
        <v>ITUB3</v>
      </c>
      <c r="M183" s="70">
        <v>46.86</v>
      </c>
    </row>
    <row r="184" spans="4:13" x14ac:dyDescent="0.3">
      <c r="D184" t="s">
        <v>126</v>
      </c>
      <c r="E184" t="e">
        <f t="shared" si="36"/>
        <v>#N/A</v>
      </c>
      <c r="K184" s="66" t="s">
        <v>473</v>
      </c>
      <c r="L184" s="67" t="str">
        <f t="shared" si="35"/>
        <v>ITUB4</v>
      </c>
      <c r="M184" s="68">
        <v>46.98</v>
      </c>
    </row>
    <row r="185" spans="4:13" x14ac:dyDescent="0.3">
      <c r="D185" t="s">
        <v>114</v>
      </c>
      <c r="E185" t="e">
        <f t="shared" si="36"/>
        <v>#N/A</v>
      </c>
      <c r="K185" s="69" t="s">
        <v>474</v>
      </c>
      <c r="L185" s="67" t="str">
        <f t="shared" si="35"/>
        <v>JHSF3</v>
      </c>
      <c r="M185" s="70">
        <v>13.26</v>
      </c>
    </row>
    <row r="186" spans="4:13" x14ac:dyDescent="0.3">
      <c r="D186" t="s">
        <v>116</v>
      </c>
      <c r="E186" t="str">
        <f t="shared" si="36"/>
        <v>DIMED       ON  EJ  NM</v>
      </c>
      <c r="K186" s="66" t="s">
        <v>475</v>
      </c>
      <c r="L186" s="67" t="str">
        <f t="shared" si="35"/>
        <v>LAVV3</v>
      </c>
      <c r="M186" s="68">
        <v>15</v>
      </c>
    </row>
    <row r="187" spans="4:13" x14ac:dyDescent="0.3">
      <c r="D187" t="s">
        <v>131</v>
      </c>
      <c r="E187" t="e">
        <f t="shared" si="36"/>
        <v>#N/A</v>
      </c>
      <c r="K187" s="69" t="s">
        <v>476</v>
      </c>
      <c r="L187" s="67" t="str">
        <f t="shared" si="35"/>
        <v>LIGT3</v>
      </c>
      <c r="M187" s="70">
        <v>5.35</v>
      </c>
    </row>
    <row r="188" spans="4:13" x14ac:dyDescent="0.3">
      <c r="D188" t="s">
        <v>101</v>
      </c>
      <c r="E188" t="e">
        <f t="shared" si="36"/>
        <v>#N/A</v>
      </c>
      <c r="K188" s="66" t="s">
        <v>477</v>
      </c>
      <c r="L188" s="67" t="str">
        <f t="shared" si="35"/>
        <v>LOGG3</v>
      </c>
      <c r="M188" s="68">
        <v>27.61</v>
      </c>
    </row>
    <row r="189" spans="4:13" x14ac:dyDescent="0.3">
      <c r="D189" t="s">
        <v>61</v>
      </c>
      <c r="E189" t="str">
        <f t="shared" si="36"/>
        <v>LAVVI       ON      NM</v>
      </c>
      <c r="K189" s="69" t="s">
        <v>478</v>
      </c>
      <c r="L189" s="67" t="str">
        <f t="shared" si="35"/>
        <v>LREN3</v>
      </c>
      <c r="M189" s="70">
        <v>15.05</v>
      </c>
    </row>
    <row r="190" spans="4:13" x14ac:dyDescent="0.3">
      <c r="D190" t="s">
        <v>123</v>
      </c>
      <c r="E190" t="str">
        <f t="shared" si="36"/>
        <v>TELEF BRASILON</v>
      </c>
      <c r="K190" s="66" t="s">
        <v>479</v>
      </c>
      <c r="L190" s="67" t="str">
        <f t="shared" si="35"/>
        <v>MGLU3</v>
      </c>
      <c r="M190" s="68">
        <v>9.25</v>
      </c>
    </row>
    <row r="191" spans="4:13" x14ac:dyDescent="0.3">
      <c r="D191" t="s">
        <v>84</v>
      </c>
      <c r="E191" t="str">
        <f t="shared" si="36"/>
        <v>PINE        PN  EDJ N2</v>
      </c>
      <c r="K191" s="69" t="s">
        <v>480</v>
      </c>
      <c r="L191" s="67" t="str">
        <f t="shared" si="35"/>
        <v>POMO3</v>
      </c>
      <c r="M191" s="70">
        <v>6.5</v>
      </c>
    </row>
    <row r="192" spans="4:13" x14ac:dyDescent="0.3">
      <c r="D192" t="s">
        <v>92</v>
      </c>
      <c r="E192" t="e">
        <f t="shared" si="36"/>
        <v>#N/A</v>
      </c>
      <c r="K192" s="66" t="s">
        <v>481</v>
      </c>
      <c r="L192" s="67" t="str">
        <f t="shared" si="35"/>
        <v>POMO4</v>
      </c>
      <c r="M192" s="68">
        <v>6.86</v>
      </c>
    </row>
    <row r="193" spans="4:13" x14ac:dyDescent="0.3">
      <c r="D193" t="s">
        <v>106</v>
      </c>
      <c r="E193" t="e">
        <f t="shared" si="36"/>
        <v>#N/A</v>
      </c>
      <c r="K193" s="69" t="s">
        <v>482</v>
      </c>
      <c r="L193" s="67" t="str">
        <f t="shared" si="35"/>
        <v>MBRF3</v>
      </c>
      <c r="M193" s="70">
        <v>19.649999999999999</v>
      </c>
    </row>
    <row r="194" spans="4:13" x14ac:dyDescent="0.3">
      <c r="D194" t="s">
        <v>121</v>
      </c>
      <c r="E194" t="str">
        <f t="shared" si="36"/>
        <v>ITAUSA      PN  EB  N1</v>
      </c>
      <c r="K194" s="66" t="s">
        <v>483</v>
      </c>
      <c r="L194" s="67" t="str">
        <f t="shared" si="35"/>
        <v>MELK3</v>
      </c>
      <c r="M194" s="68">
        <v>3.64</v>
      </c>
    </row>
    <row r="195" spans="4:13" x14ac:dyDescent="0.3">
      <c r="D195" t="s">
        <v>83</v>
      </c>
      <c r="E195" t="str">
        <f t="shared" si="36"/>
        <v>AMBEV S/A   ON  EX</v>
      </c>
      <c r="K195" s="69" t="s">
        <v>484</v>
      </c>
      <c r="L195" s="67" t="str">
        <f t="shared" si="35"/>
        <v>BMEB4</v>
      </c>
      <c r="M195" s="70">
        <v>80.3</v>
      </c>
    </row>
    <row r="196" spans="4:13" x14ac:dyDescent="0.3">
      <c r="D196" t="s">
        <v>237</v>
      </c>
      <c r="E196" t="e">
        <f t="shared" si="36"/>
        <v>#N/A</v>
      </c>
      <c r="K196" s="66" t="s">
        <v>485</v>
      </c>
      <c r="L196" s="67" t="str">
        <f t="shared" si="35"/>
        <v>LEVE3</v>
      </c>
      <c r="M196" s="68">
        <v>36.21</v>
      </c>
    </row>
    <row r="197" spans="4:13" x14ac:dyDescent="0.3">
      <c r="D197" t="s">
        <v>118</v>
      </c>
      <c r="E197" t="str">
        <f t="shared" si="36"/>
        <v>MOURA DUBEUXON      NM</v>
      </c>
      <c r="K197" s="69" t="s">
        <v>486</v>
      </c>
      <c r="L197" s="67" t="str">
        <f t="shared" si="35"/>
        <v>MTRE3</v>
      </c>
      <c r="M197" s="70">
        <v>3.86</v>
      </c>
    </row>
    <row r="198" spans="4:13" x14ac:dyDescent="0.3">
      <c r="D198" t="s">
        <v>127</v>
      </c>
      <c r="E198" t="e">
        <f t="shared" si="36"/>
        <v>#N/A</v>
      </c>
      <c r="K198" s="66" t="s">
        <v>487</v>
      </c>
      <c r="L198" s="67" t="str">
        <f t="shared" si="35"/>
        <v>MDNE3</v>
      </c>
      <c r="M198" s="68">
        <v>32.29</v>
      </c>
    </row>
    <row r="199" spans="4:13" x14ac:dyDescent="0.3">
      <c r="D199" t="s">
        <v>137</v>
      </c>
      <c r="E199" t="e">
        <f t="shared" si="36"/>
        <v>#N/A</v>
      </c>
      <c r="K199" s="69" t="s">
        <v>488</v>
      </c>
      <c r="L199" s="67" t="str">
        <f t="shared" si="35"/>
        <v>MLAS3</v>
      </c>
      <c r="M199" s="70">
        <v>1.58</v>
      </c>
    </row>
    <row r="200" spans="4:13" x14ac:dyDescent="0.3">
      <c r="D200" t="s">
        <v>111</v>
      </c>
      <c r="E200" t="e">
        <f t="shared" si="36"/>
        <v>#N/A</v>
      </c>
      <c r="K200" s="66" t="s">
        <v>489</v>
      </c>
      <c r="L200" s="67" t="str">
        <f t="shared" si="35"/>
        <v>MULT3</v>
      </c>
      <c r="M200" s="68">
        <v>34.409999999999997</v>
      </c>
    </row>
    <row r="201" spans="4:13" x14ac:dyDescent="0.3">
      <c r="D201" t="s">
        <v>75</v>
      </c>
      <c r="E201" t="e">
        <f t="shared" si="36"/>
        <v>#N/A</v>
      </c>
      <c r="K201" s="69" t="s">
        <v>490</v>
      </c>
      <c r="L201" s="67" t="str">
        <f t="shared" si="35"/>
        <v>OPCT3</v>
      </c>
      <c r="M201" s="70">
        <v>10.199999999999999</v>
      </c>
    </row>
    <row r="202" spans="4:13" x14ac:dyDescent="0.3">
      <c r="D202" t="s">
        <v>110</v>
      </c>
      <c r="E202" t="str">
        <f t="shared" si="36"/>
        <v>ITAUUNIBANCOON      N1</v>
      </c>
      <c r="K202" s="66" t="s">
        <v>491</v>
      </c>
      <c r="L202" s="67" t="str">
        <f t="shared" si="35"/>
        <v>ODPV3</v>
      </c>
      <c r="M202" s="68">
        <v>15.8</v>
      </c>
    </row>
    <row r="203" spans="4:13" x14ac:dyDescent="0.3">
      <c r="D203" t="s">
        <v>95</v>
      </c>
      <c r="E203" t="str">
        <f t="shared" si="36"/>
        <v>BBSEGURIDADEON  EDR NM</v>
      </c>
      <c r="K203" s="69" t="s">
        <v>492</v>
      </c>
      <c r="L203" s="67" t="str">
        <f t="shared" ref="L203:L230" si="37">RIGHT(K203,5)</f>
        <v>PGMN3</v>
      </c>
      <c r="M203" s="70">
        <v>5.67</v>
      </c>
    </row>
    <row r="204" spans="4:13" x14ac:dyDescent="0.3">
      <c r="D204" t="s">
        <v>108</v>
      </c>
      <c r="E204" t="e">
        <f t="shared" si="36"/>
        <v>#N/A</v>
      </c>
      <c r="K204" s="66" t="s">
        <v>493</v>
      </c>
      <c r="L204" s="67" t="str">
        <f t="shared" si="37"/>
        <v>PETR3</v>
      </c>
      <c r="M204" s="68">
        <v>53.66</v>
      </c>
    </row>
    <row r="205" spans="4:13" x14ac:dyDescent="0.3">
      <c r="D205" t="s">
        <v>104</v>
      </c>
      <c r="E205" t="str">
        <f t="shared" si="36"/>
        <v>TAESA       PN      N2</v>
      </c>
      <c r="K205" s="69" t="s">
        <v>494</v>
      </c>
      <c r="L205" s="67" t="str">
        <f t="shared" si="37"/>
        <v>PETR4</v>
      </c>
      <c r="M205" s="70">
        <v>48.58</v>
      </c>
    </row>
    <row r="206" spans="4:13" x14ac:dyDescent="0.3">
      <c r="D206" t="s">
        <v>232</v>
      </c>
      <c r="E206" t="e">
        <f t="shared" si="36"/>
        <v>#N/A</v>
      </c>
      <c r="K206" s="66" t="s">
        <v>495</v>
      </c>
      <c r="L206" s="67" t="str">
        <f t="shared" si="37"/>
        <v>RECV3</v>
      </c>
      <c r="M206" s="68">
        <v>13.58</v>
      </c>
    </row>
    <row r="207" spans="4:13" x14ac:dyDescent="0.3">
      <c r="D207" t="s">
        <v>188</v>
      </c>
      <c r="E207" t="str">
        <f t="shared" si="36"/>
        <v>AXIA ENERGIAPNB EB  N1</v>
      </c>
      <c r="K207" s="69" t="s">
        <v>496</v>
      </c>
      <c r="L207" s="67" t="str">
        <f t="shared" si="37"/>
        <v>PINE4</v>
      </c>
      <c r="M207" s="70">
        <v>15.77</v>
      </c>
    </row>
    <row r="208" spans="4:13" x14ac:dyDescent="0.3">
      <c r="D208" t="s">
        <v>113</v>
      </c>
      <c r="E208" t="str">
        <f t="shared" si="36"/>
        <v>BRADESCO    ON      N1</v>
      </c>
      <c r="K208" s="66" t="s">
        <v>497</v>
      </c>
      <c r="L208" s="67" t="str">
        <f t="shared" si="37"/>
        <v>PSSA3</v>
      </c>
      <c r="M208" s="68">
        <v>53.69</v>
      </c>
    </row>
    <row r="209" spans="4:13" x14ac:dyDescent="0.3">
      <c r="D209" t="s">
        <v>122</v>
      </c>
      <c r="E209" t="e">
        <f t="shared" si="36"/>
        <v>#N/A</v>
      </c>
      <c r="K209" s="69" t="s">
        <v>498</v>
      </c>
      <c r="L209" s="67" t="str">
        <f t="shared" si="37"/>
        <v>POSI3</v>
      </c>
      <c r="M209" s="70">
        <v>4.5599999999999996</v>
      </c>
    </row>
    <row r="210" spans="4:13" x14ac:dyDescent="0.3">
      <c r="D210" t="s">
        <v>185</v>
      </c>
      <c r="E210" t="str">
        <f t="shared" si="36"/>
        <v>COPEL       ON      NM</v>
      </c>
      <c r="K210" s="66" t="s">
        <v>499</v>
      </c>
      <c r="L210" s="67" t="str">
        <f t="shared" si="37"/>
        <v>PFRM3</v>
      </c>
      <c r="M210" s="68">
        <v>8.06</v>
      </c>
    </row>
    <row r="211" spans="4:13" x14ac:dyDescent="0.3">
      <c r="D211" t="s">
        <v>82</v>
      </c>
      <c r="E211" t="str">
        <f t="shared" si="36"/>
        <v>BRADESPAR   PN  EDJ N1</v>
      </c>
      <c r="K211" s="69" t="s">
        <v>500</v>
      </c>
      <c r="L211" s="67" t="str">
        <f t="shared" si="37"/>
        <v>RIAA3</v>
      </c>
      <c r="M211" s="70">
        <v>10.65</v>
      </c>
    </row>
    <row r="212" spans="4:13" x14ac:dyDescent="0.3">
      <c r="D212" t="s">
        <v>151</v>
      </c>
      <c r="E212" t="str">
        <f t="shared" si="36"/>
        <v>DIRECIONAL  ON  ED  NM</v>
      </c>
      <c r="K212" s="66" t="s">
        <v>501</v>
      </c>
      <c r="L212" s="67" t="str">
        <f t="shared" si="37"/>
        <v>SAPR4</v>
      </c>
      <c r="M212" s="68">
        <v>7.99</v>
      </c>
    </row>
    <row r="213" spans="4:13" x14ac:dyDescent="0.3">
      <c r="D213" t="s">
        <v>154</v>
      </c>
      <c r="E213" t="str">
        <f t="shared" ref="E213:E240" si="38">VLOOKUP(D213,$C$3:$D$69,2,0)</f>
        <v>CEMIG       PN      N1</v>
      </c>
      <c r="K213" s="69" t="s">
        <v>502</v>
      </c>
      <c r="L213" s="67" t="str">
        <f>RIGHT(K213,6)</f>
        <v>SAPR11</v>
      </c>
      <c r="M213" s="70">
        <v>41.38</v>
      </c>
    </row>
    <row r="214" spans="4:13" x14ac:dyDescent="0.3">
      <c r="D214" t="s">
        <v>138</v>
      </c>
      <c r="E214" t="e">
        <f t="shared" si="38"/>
        <v>#N/A</v>
      </c>
      <c r="K214" s="66" t="s">
        <v>503</v>
      </c>
      <c r="L214" s="67" t="str">
        <f t="shared" si="37"/>
        <v>SHUL4</v>
      </c>
      <c r="M214" s="68">
        <v>5.33</v>
      </c>
    </row>
    <row r="215" spans="4:13" x14ac:dyDescent="0.3">
      <c r="D215" t="s">
        <v>147</v>
      </c>
      <c r="E215" t="e">
        <f t="shared" si="38"/>
        <v>#N/A</v>
      </c>
      <c r="K215" s="69" t="s">
        <v>504</v>
      </c>
      <c r="L215" s="67" t="str">
        <f t="shared" si="37"/>
        <v>SEER3</v>
      </c>
      <c r="M215" s="70">
        <v>13.45</v>
      </c>
    </row>
    <row r="216" spans="4:13" x14ac:dyDescent="0.3">
      <c r="D216" t="s">
        <v>135</v>
      </c>
      <c r="E216" t="str">
        <f t="shared" si="38"/>
        <v>ITAUUNIBANCOPN      N1</v>
      </c>
      <c r="K216" s="66" t="s">
        <v>505</v>
      </c>
      <c r="L216" s="67" t="str">
        <f t="shared" si="37"/>
        <v>SYNE3</v>
      </c>
      <c r="M216" s="68">
        <v>4.22</v>
      </c>
    </row>
    <row r="217" spans="4:13" x14ac:dyDescent="0.3">
      <c r="D217" t="s">
        <v>182</v>
      </c>
      <c r="E217" t="str">
        <f t="shared" si="38"/>
        <v>VALE        ON  EDJ NM</v>
      </c>
      <c r="K217" s="69" t="s">
        <v>506</v>
      </c>
      <c r="L217" s="67" t="str">
        <f t="shared" si="37"/>
        <v>TAEE3</v>
      </c>
      <c r="M217" s="70">
        <v>14.64</v>
      </c>
    </row>
    <row r="218" spans="4:13" x14ac:dyDescent="0.3">
      <c r="D218" t="s">
        <v>210</v>
      </c>
      <c r="E218" t="str">
        <f t="shared" si="38"/>
        <v>AXIA ENERGIAON  EB  N1</v>
      </c>
      <c r="K218" s="66" t="s">
        <v>507</v>
      </c>
      <c r="L218" s="67" t="str">
        <f t="shared" si="37"/>
        <v>TAEE4</v>
      </c>
      <c r="M218" s="68">
        <v>14.93</v>
      </c>
    </row>
    <row r="219" spans="4:13" x14ac:dyDescent="0.3">
      <c r="D219" t="s">
        <v>192</v>
      </c>
      <c r="E219" t="str">
        <f t="shared" si="38"/>
        <v>BRASIL      ON  EJ  NM</v>
      </c>
      <c r="K219" s="69" t="s">
        <v>508</v>
      </c>
      <c r="L219" s="67" t="str">
        <f>RIGHT(K219,6)</f>
        <v>TAEE11</v>
      </c>
      <c r="M219" s="70">
        <v>44.3</v>
      </c>
    </row>
    <row r="220" spans="4:13" x14ac:dyDescent="0.3">
      <c r="D220" t="s">
        <v>134</v>
      </c>
      <c r="E220" t="str">
        <f t="shared" si="38"/>
        <v>BRADESCO    PN      N1</v>
      </c>
      <c r="K220" s="66" t="s">
        <v>509</v>
      </c>
      <c r="L220" s="67" t="str">
        <f t="shared" si="37"/>
        <v>TGMA3</v>
      </c>
      <c r="M220" s="68">
        <v>33.619999999999997</v>
      </c>
    </row>
    <row r="221" spans="4:13" x14ac:dyDescent="0.3">
      <c r="D221" t="s">
        <v>355</v>
      </c>
      <c r="E221" t="str">
        <f t="shared" si="38"/>
        <v>ISHARES BOVACI</v>
      </c>
      <c r="K221" s="69" t="s">
        <v>510</v>
      </c>
      <c r="L221" s="67" t="str">
        <f t="shared" si="37"/>
        <v>VIVT3</v>
      </c>
      <c r="M221" s="70">
        <v>40.950000000000003</v>
      </c>
    </row>
    <row r="222" spans="4:13" x14ac:dyDescent="0.3">
      <c r="D222" t="s">
        <v>357</v>
      </c>
      <c r="E222" t="str">
        <f t="shared" si="38"/>
        <v>IT NOW IBOV CI</v>
      </c>
      <c r="K222" s="66" t="s">
        <v>511</v>
      </c>
      <c r="L222" s="67" t="str">
        <f t="shared" si="37"/>
        <v>TIMS3</v>
      </c>
      <c r="M222" s="68">
        <v>26.54</v>
      </c>
    </row>
    <row r="223" spans="4:13" x14ac:dyDescent="0.3">
      <c r="D223" t="s">
        <v>139</v>
      </c>
      <c r="E223" t="str">
        <f t="shared" si="38"/>
        <v>CSNMINERACAOON      N2</v>
      </c>
      <c r="K223" s="69" t="s">
        <v>512</v>
      </c>
      <c r="L223" s="67" t="str">
        <f t="shared" si="37"/>
        <v>TRIS3</v>
      </c>
      <c r="M223" s="70">
        <v>5.62</v>
      </c>
    </row>
    <row r="224" spans="4:13" x14ac:dyDescent="0.3">
      <c r="D224" t="s">
        <v>117</v>
      </c>
      <c r="E224" t="str">
        <f t="shared" si="38"/>
        <v>CPFL ENERGIAON      NM</v>
      </c>
      <c r="K224" s="66" t="s">
        <v>513</v>
      </c>
      <c r="L224" s="67" t="str">
        <f t="shared" si="37"/>
        <v>FIQE3</v>
      </c>
      <c r="M224" s="68">
        <v>7.18</v>
      </c>
    </row>
    <row r="225" spans="4:13" x14ac:dyDescent="0.3">
      <c r="D225" t="s">
        <v>112</v>
      </c>
      <c r="E225" t="str">
        <f t="shared" si="38"/>
        <v>COPASA      ON      NM</v>
      </c>
      <c r="K225" s="69" t="s">
        <v>514</v>
      </c>
      <c r="L225" s="67" t="str">
        <f t="shared" si="37"/>
        <v>UNIP6</v>
      </c>
      <c r="M225" s="70">
        <v>62.47</v>
      </c>
    </row>
    <row r="226" spans="4:13" x14ac:dyDescent="0.3">
      <c r="D226" t="s">
        <v>107</v>
      </c>
      <c r="E226" t="str">
        <f t="shared" si="38"/>
        <v>CAIXA SEGURION      NM</v>
      </c>
      <c r="K226" s="66" t="s">
        <v>515</v>
      </c>
      <c r="L226" s="67" t="str">
        <f t="shared" si="37"/>
        <v>VALE3</v>
      </c>
      <c r="M226" s="68">
        <v>87.44</v>
      </c>
    </row>
    <row r="227" spans="4:13" x14ac:dyDescent="0.3">
      <c r="D227" t="s">
        <v>194</v>
      </c>
      <c r="E227" t="str">
        <f t="shared" si="38"/>
        <v>CYRELA REALTON      NM</v>
      </c>
      <c r="K227" s="69" t="s">
        <v>516</v>
      </c>
      <c r="L227" s="67" t="str">
        <f t="shared" si="37"/>
        <v>VLID3</v>
      </c>
      <c r="M227" s="70">
        <v>20.5</v>
      </c>
    </row>
    <row r="228" spans="4:13" x14ac:dyDescent="0.3">
      <c r="D228" t="s">
        <v>156</v>
      </c>
      <c r="E228" t="str">
        <f t="shared" si="38"/>
        <v>ECORODOVIAS ON      NM</v>
      </c>
      <c r="K228" s="66" t="s">
        <v>517</v>
      </c>
      <c r="L228" s="67" t="str">
        <f t="shared" si="37"/>
        <v>VVEO3</v>
      </c>
      <c r="M228" s="68">
        <v>1.59</v>
      </c>
    </row>
    <row r="229" spans="4:13" x14ac:dyDescent="0.3">
      <c r="D229" t="s">
        <v>120</v>
      </c>
      <c r="E229" t="str">
        <f t="shared" si="38"/>
        <v>GERDAU MET  PN  EB  N1</v>
      </c>
      <c r="K229" s="69" t="s">
        <v>518</v>
      </c>
      <c r="L229" s="67" t="str">
        <f t="shared" si="37"/>
        <v>VULC3</v>
      </c>
      <c r="M229" s="70">
        <v>17.100000000000001</v>
      </c>
    </row>
    <row r="230" spans="4:13" x14ac:dyDescent="0.3">
      <c r="D230" t="s">
        <v>129</v>
      </c>
      <c r="E230" t="str">
        <f t="shared" si="38"/>
        <v>HELBOR      ON      NM</v>
      </c>
      <c r="K230" s="71" t="s">
        <v>519</v>
      </c>
      <c r="L230" s="67" t="str">
        <f t="shared" si="37"/>
        <v>WIZC3</v>
      </c>
      <c r="M230" s="72">
        <v>9.5299999999999994</v>
      </c>
    </row>
    <row r="231" spans="4:13" x14ac:dyDescent="0.3">
      <c r="D231" t="s">
        <v>94</v>
      </c>
      <c r="E231" t="str">
        <f t="shared" si="38"/>
        <v>IGUATEMI S.AUNT     N1</v>
      </c>
    </row>
    <row r="232" spans="4:13" x14ac:dyDescent="0.3">
      <c r="D232" t="s">
        <v>144</v>
      </c>
      <c r="E232" t="str">
        <f t="shared" si="38"/>
        <v>ISA ENERGIA PN      N1</v>
      </c>
    </row>
    <row r="233" spans="4:13" x14ac:dyDescent="0.3">
      <c r="D233" t="s">
        <v>155</v>
      </c>
      <c r="E233" t="str">
        <f t="shared" si="38"/>
        <v>LIGHT S/A   ON  ES  NM</v>
      </c>
    </row>
    <row r="234" spans="4:13" x14ac:dyDescent="0.3">
      <c r="D234" t="s">
        <v>140</v>
      </c>
      <c r="E234" t="str">
        <f t="shared" si="38"/>
        <v>MARFRIG GLOBAL FOODS S.A.</v>
      </c>
    </row>
    <row r="235" spans="4:13" x14ac:dyDescent="0.3">
      <c r="D235" t="s">
        <v>157</v>
      </c>
      <c r="E235" t="str">
        <f t="shared" si="38"/>
        <v>MAGAZ LUIZA ON      NM</v>
      </c>
    </row>
    <row r="236" spans="4:13" x14ac:dyDescent="0.3">
      <c r="D236" t="s">
        <v>125</v>
      </c>
      <c r="E236" t="str">
        <f t="shared" si="38"/>
        <v>MULTIPLAN   ON      N2</v>
      </c>
    </row>
    <row r="237" spans="4:13" x14ac:dyDescent="0.3">
      <c r="D237" t="s">
        <v>132</v>
      </c>
      <c r="E237" t="str">
        <f t="shared" si="38"/>
        <v>PAGUE MENOS ON      NM</v>
      </c>
    </row>
    <row r="238" spans="4:13" x14ac:dyDescent="0.3">
      <c r="D238" t="s">
        <v>124</v>
      </c>
      <c r="E238" t="str">
        <f t="shared" si="38"/>
        <v>TAESA       UNT     N2</v>
      </c>
    </row>
    <row r="239" spans="4:13" x14ac:dyDescent="0.3">
      <c r="D239" t="s">
        <v>78</v>
      </c>
      <c r="E239" t="str">
        <f t="shared" si="38"/>
        <v>TEGMA       ON  ED  NM</v>
      </c>
    </row>
    <row r="240" spans="4:13" x14ac:dyDescent="0.3">
      <c r="D240" t="s">
        <v>98</v>
      </c>
      <c r="E240" t="str">
        <f t="shared" si="38"/>
        <v>UNIPAR      PNB ED</v>
      </c>
    </row>
  </sheetData>
  <autoFilter ref="D147:E240" xr:uid="{32384B6D-C004-47CD-AAAC-C0C7A0806A9C}"/>
  <conditionalFormatting sqref="O3:O9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:S9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Y9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759A-463B-4552-8112-D01FBA942D97}">
  <sheetPr filterMode="1">
    <tabColor theme="3" tint="0.499984740745262"/>
  </sheetPr>
  <dimension ref="A1:BM270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8" sqref="A8"/>
      <selection pane="bottomRight" activeCell="D20" sqref="D20"/>
    </sheetView>
  </sheetViews>
  <sheetFormatPr defaultRowHeight="14.4" x14ac:dyDescent="0.3"/>
  <cols>
    <col min="5" max="5" width="15" bestFit="1" customWidth="1"/>
    <col min="8" max="8" width="17" customWidth="1"/>
    <col min="9" max="9" width="18.21875" bestFit="1" customWidth="1"/>
    <col min="10" max="10" width="16.5546875" bestFit="1" customWidth="1"/>
    <col min="11" max="11" width="13.6640625" bestFit="1" customWidth="1"/>
    <col min="12" max="12" width="19.21875" bestFit="1" customWidth="1"/>
    <col min="13" max="13" width="16.21875" bestFit="1" customWidth="1"/>
    <col min="14" max="14" width="18.33203125" bestFit="1" customWidth="1"/>
    <col min="15" max="16" width="15.5546875" customWidth="1"/>
    <col min="17" max="17" width="11.44140625" customWidth="1"/>
    <col min="18" max="18" width="15" bestFit="1" customWidth="1"/>
    <col min="32" max="32" width="8.88671875" style="10"/>
    <col min="37" max="37" width="8.88671875" style="11"/>
  </cols>
  <sheetData>
    <row r="1" spans="1:65" ht="14.4" customHeight="1" x14ac:dyDescent="0.3">
      <c r="B1" s="30">
        <f>COUNTIF(B9:B222,"&gt;0")</f>
        <v>63</v>
      </c>
      <c r="E1" s="30">
        <f>COUNTIF(E9:E222,"&gt;0")</f>
        <v>104</v>
      </c>
      <c r="K1" s="51" t="s">
        <v>322</v>
      </c>
      <c r="L1" s="52" t="s">
        <v>323</v>
      </c>
      <c r="M1" s="52" t="s">
        <v>314</v>
      </c>
      <c r="N1" s="52" t="s">
        <v>315</v>
      </c>
      <c r="O1" s="52" t="s">
        <v>324</v>
      </c>
      <c r="S1" s="82" t="s">
        <v>269</v>
      </c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93" t="s">
        <v>270</v>
      </c>
      <c r="AG1" s="94"/>
      <c r="AH1" s="94"/>
      <c r="AI1" s="94"/>
      <c r="AJ1" s="94"/>
      <c r="AK1" s="95"/>
      <c r="AL1" s="84" t="s">
        <v>271</v>
      </c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</row>
    <row r="2" spans="1:65" ht="14.4" customHeight="1" x14ac:dyDescent="0.3">
      <c r="K2" s="28" t="s">
        <v>324</v>
      </c>
      <c r="L2" s="2">
        <f>SQRT(SUMSQ(L9:L222)^2)</f>
        <v>2.2994000000000011E-2</v>
      </c>
      <c r="M2" s="2">
        <f>SQRT(SUMSQ(O9:O222)^2)</f>
        <v>7.7856705014107581E-3</v>
      </c>
      <c r="N2" s="2">
        <f>SQRT(SUMSQ(R9:R222)^2)</f>
        <v>2.2808428774220312E-2</v>
      </c>
      <c r="O2" s="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96"/>
      <c r="AG2" s="83"/>
      <c r="AH2" s="83"/>
      <c r="AI2" s="83"/>
      <c r="AJ2" s="83"/>
      <c r="AK2" s="97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</row>
    <row r="3" spans="1:65" ht="14.4" customHeight="1" x14ac:dyDescent="0.3">
      <c r="E3" s="30" t="s">
        <v>333</v>
      </c>
      <c r="F3" s="5">
        <f>SUMPRODUCT($D$9:$D$222,F9:F222)</f>
        <v>6.5240499999999993E-2</v>
      </c>
      <c r="K3" s="28" t="s">
        <v>327</v>
      </c>
      <c r="L3" s="2">
        <f>SQRT(SUMSQ(C9:C222)^2)</f>
        <v>2.0945250000000009E-2</v>
      </c>
      <c r="M3" s="2">
        <f>SQRT(SUMSQ(P9:P222)^2)</f>
        <v>4.0880842956884334E-3</v>
      </c>
      <c r="O3" s="2">
        <f>SQRT(SUMSQ(D9:D222)^2)</f>
        <v>2.8512500000000005E-3</v>
      </c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96"/>
      <c r="AG3" s="83"/>
      <c r="AH3" s="83"/>
      <c r="AI3" s="83"/>
      <c r="AJ3" s="83"/>
      <c r="AK3" s="97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</row>
    <row r="4" spans="1:65" ht="14.4" customHeight="1" x14ac:dyDescent="0.3">
      <c r="E4" s="32" t="s">
        <v>319</v>
      </c>
      <c r="F4" s="5">
        <f>SUMPRODUCT($R$9:$R$222,F9:F222)</f>
        <v>0.35635340894730572</v>
      </c>
      <c r="R4" s="32" t="s">
        <v>333</v>
      </c>
      <c r="S4" s="4">
        <f>SUMPRODUCT($D$9:$D$226,S9:S226)</f>
        <v>4.0441000000000005E-2</v>
      </c>
      <c r="T4" s="4">
        <f t="shared" ref="T4:BL4" si="0">SUMPRODUCT($D$9:$D$226,T9:T226)</f>
        <v>2.0271000000000001E-2</v>
      </c>
      <c r="U4" s="4">
        <f t="shared" si="0"/>
        <v>3.9692500000000006E-2</v>
      </c>
      <c r="V4" s="4">
        <f t="shared" si="0"/>
        <v>4.4499000000000011E-2</v>
      </c>
      <c r="W4" s="4">
        <f t="shared" si="0"/>
        <v>3.7560000000000017E-2</v>
      </c>
      <c r="X4" s="4">
        <f t="shared" si="0"/>
        <v>3.7583000000000019E-2</v>
      </c>
      <c r="Y4" s="4">
        <f t="shared" si="0"/>
        <v>4.0050000000000009E-2</v>
      </c>
      <c r="Z4" s="4">
        <f t="shared" si="0"/>
        <v>3.3998500000000001E-2</v>
      </c>
      <c r="AA4" s="4">
        <f t="shared" si="0"/>
        <v>-7.4534999999999914E-3</v>
      </c>
      <c r="AB4" s="4">
        <f t="shared" si="0"/>
        <v>-7.6380000000000076E-3</v>
      </c>
      <c r="AC4" s="4">
        <f t="shared" si="0"/>
        <v>3.594E-3</v>
      </c>
      <c r="AD4" s="4">
        <f t="shared" si="0"/>
        <v>-5.1079999999999988E-3</v>
      </c>
      <c r="AE4" s="4">
        <f t="shared" si="0"/>
        <v>-2.2959999999999994E-3</v>
      </c>
      <c r="AF4" s="4">
        <f t="shared" si="0"/>
        <v>7.8415999999999986E-2</v>
      </c>
      <c r="AG4" s="4">
        <f t="shared" si="0"/>
        <v>3.0741000000000004E-2</v>
      </c>
      <c r="AH4" s="4">
        <f t="shared" si="0"/>
        <v>-2.4478E-2</v>
      </c>
      <c r="AI4" s="4">
        <f t="shared" si="0"/>
        <v>3.1810999999999999E-2</v>
      </c>
      <c r="AJ4" s="4">
        <f t="shared" si="0"/>
        <v>4.1738999999999998E-2</v>
      </c>
      <c r="AK4" s="4">
        <f t="shared" si="0"/>
        <v>6.4104000000000008E-2</v>
      </c>
      <c r="AL4" s="4">
        <f t="shared" si="0"/>
        <v>1.5990500000000001E-2</v>
      </c>
      <c r="AM4" s="4">
        <f t="shared" si="0"/>
        <v>1.5746999999999997E-2</v>
      </c>
      <c r="AN4" s="4">
        <f t="shared" si="0"/>
        <v>-6.8175000000000015E-3</v>
      </c>
      <c r="AO4" s="4">
        <f t="shared" si="0"/>
        <v>2.3045E-2</v>
      </c>
      <c r="AP4" s="4">
        <f t="shared" si="0"/>
        <v>-2.2488000000000001E-2</v>
      </c>
      <c r="AQ4" s="4">
        <f t="shared" si="0"/>
        <v>-1.2550500000000006E-2</v>
      </c>
      <c r="AR4" s="4">
        <f t="shared" si="0"/>
        <v>1.4261499999999998E-2</v>
      </c>
      <c r="AS4" s="4">
        <f t="shared" si="0"/>
        <v>-2.0918000000000003E-2</v>
      </c>
      <c r="AT4" s="4">
        <f t="shared" si="0"/>
        <v>-2.8519000000000003E-2</v>
      </c>
      <c r="AU4" s="4">
        <f t="shared" si="0"/>
        <v>3.3214500000000001E-2</v>
      </c>
      <c r="AV4" s="4">
        <f t="shared" si="0"/>
        <v>3.5156500000000007E-2</v>
      </c>
      <c r="AW4" s="4">
        <f t="shared" si="0"/>
        <v>4.6727500000000005E-2</v>
      </c>
      <c r="AX4" s="4">
        <f t="shared" si="0"/>
        <v>2.9165000000000042E-3</v>
      </c>
      <c r="AY4" s="4">
        <f t="shared" si="0"/>
        <v>4.6949000000000005E-2</v>
      </c>
      <c r="AZ4" s="4">
        <f t="shared" si="0"/>
        <v>-1.2207999999999995E-2</v>
      </c>
      <c r="BA4" s="4">
        <f t="shared" si="0"/>
        <v>-2.7214999999999965E-3</v>
      </c>
      <c r="BB4" s="4">
        <f t="shared" si="0"/>
        <v>-1.9422500000000002E-2</v>
      </c>
      <c r="BC4" s="4">
        <f t="shared" si="0"/>
        <v>-2.3250000000000002E-3</v>
      </c>
      <c r="BD4" s="4">
        <f t="shared" si="0"/>
        <v>4.4595000000000008E-3</v>
      </c>
      <c r="BE4" s="4">
        <f t="shared" si="0"/>
        <v>-2.2655000000000005E-2</v>
      </c>
      <c r="BF4" s="4">
        <f t="shared" si="0"/>
        <v>1.7369999999999994E-3</v>
      </c>
      <c r="BG4" s="4">
        <f t="shared" si="0"/>
        <v>3.5746E-2</v>
      </c>
      <c r="BH4" s="4">
        <f t="shared" si="0"/>
        <v>-1.6278999999999991E-2</v>
      </c>
      <c r="BI4" s="4">
        <f t="shared" si="0"/>
        <v>-1.1200000000000446E-4</v>
      </c>
      <c r="BJ4" s="4">
        <f t="shared" si="0"/>
        <v>6.1735000000000002E-3</v>
      </c>
      <c r="BK4" s="4">
        <f t="shared" si="0"/>
        <v>-4.9823500000000007E-2</v>
      </c>
      <c r="BL4" s="4">
        <f t="shared" si="0"/>
        <v>5.7532E-2</v>
      </c>
    </row>
    <row r="5" spans="1:65" ht="14.4" customHeight="1" x14ac:dyDescent="0.3">
      <c r="E5" s="32" t="s">
        <v>320</v>
      </c>
      <c r="F5" s="5">
        <f>SUMPRODUCT($O$9:$O$222,F9:F222)</f>
        <v>-0.18713524320809422</v>
      </c>
      <c r="R5" s="32" t="s">
        <v>319</v>
      </c>
      <c r="S5" s="5">
        <f t="shared" ref="S5:BL5" si="1">SUMPRODUCT($R$9:$R$226,S9:S226)</f>
        <v>0.28691622253023708</v>
      </c>
      <c r="T5" s="5">
        <f t="shared" si="1"/>
        <v>5.6465279642833044E-2</v>
      </c>
      <c r="U5" s="5">
        <f t="shared" si="1"/>
        <v>0.35227282608470467</v>
      </c>
      <c r="V5" s="5">
        <f t="shared" si="1"/>
        <v>0.16800967281534868</v>
      </c>
      <c r="W5" s="5">
        <f t="shared" si="1"/>
        <v>0.18337570819203697</v>
      </c>
      <c r="X5" s="5">
        <f t="shared" si="1"/>
        <v>0.17718771649526421</v>
      </c>
      <c r="Y5" s="5">
        <f t="shared" si="1"/>
        <v>8.6241388845941472E-2</v>
      </c>
      <c r="Z5" s="5">
        <f t="shared" si="1"/>
        <v>0.14215532007073153</v>
      </c>
      <c r="AA5" s="5">
        <f t="shared" si="1"/>
        <v>-1.6744345419575585E-3</v>
      </c>
      <c r="AB5" s="5">
        <f t="shared" si="1"/>
        <v>-2.346006529910643E-3</v>
      </c>
      <c r="AC5" s="5">
        <f t="shared" si="1"/>
        <v>6.736424035111363E-2</v>
      </c>
      <c r="AD5" s="5">
        <f t="shared" si="1"/>
        <v>4.5595222805580565E-2</v>
      </c>
      <c r="AE5" s="5">
        <f t="shared" si="1"/>
        <v>7.1741768800714367E-2</v>
      </c>
      <c r="AF5" s="39">
        <f t="shared" si="1"/>
        <v>0.23887681442459538</v>
      </c>
      <c r="AG5" s="6">
        <f t="shared" si="1"/>
        <v>0.15248556817054065</v>
      </c>
      <c r="AH5" s="6">
        <f t="shared" si="1"/>
        <v>-9.8006443252103795E-2</v>
      </c>
      <c r="AI5" s="6">
        <f t="shared" si="1"/>
        <v>0.32388708863095955</v>
      </c>
      <c r="AJ5" s="6">
        <f t="shared" si="1"/>
        <v>0.16313090367963956</v>
      </c>
      <c r="AK5" s="7">
        <f t="shared" si="1"/>
        <v>0.22134865276545526</v>
      </c>
      <c r="AL5" s="5">
        <f t="shared" si="1"/>
        <v>6.473669819241526E-2</v>
      </c>
      <c r="AM5" s="5">
        <f t="shared" si="1"/>
        <v>0.25273028613556048</v>
      </c>
      <c r="AN5" s="5">
        <f t="shared" si="1"/>
        <v>0.11398024902025526</v>
      </c>
      <c r="AO5" s="5">
        <f t="shared" si="1"/>
        <v>0.14215653719407417</v>
      </c>
      <c r="AP5" s="5">
        <f t="shared" si="1"/>
        <v>-0.14912575339172068</v>
      </c>
      <c r="AQ5" s="5">
        <f t="shared" si="1"/>
        <v>-0.13843646936207779</v>
      </c>
      <c r="AR5" s="5">
        <f t="shared" si="1"/>
        <v>-8.831827006917807E-2</v>
      </c>
      <c r="AS5" s="5">
        <f t="shared" si="1"/>
        <v>8.0414213742209893E-3</v>
      </c>
      <c r="AT5" s="5">
        <f t="shared" si="1"/>
        <v>3.6715784592039578E-2</v>
      </c>
      <c r="AU5" s="5">
        <f t="shared" si="1"/>
        <v>-1.2277695584246224E-2</v>
      </c>
      <c r="AV5" s="5">
        <f t="shared" si="1"/>
        <v>-0.17487575415041345</v>
      </c>
      <c r="AW5" s="5">
        <f t="shared" si="1"/>
        <v>2.8307886254581284E-2</v>
      </c>
      <c r="AX5" s="5">
        <f t="shared" si="1"/>
        <v>-7.3032482461182407E-2</v>
      </c>
      <c r="AY5" s="5">
        <f t="shared" si="1"/>
        <v>0.16591264158759986</v>
      </c>
      <c r="AZ5" s="5">
        <f t="shared" si="1"/>
        <v>1.9184841350649462E-2</v>
      </c>
      <c r="BA5" s="5">
        <f t="shared" si="1"/>
        <v>2.3742879543703979E-2</v>
      </c>
      <c r="BB5" s="5">
        <f t="shared" si="1"/>
        <v>0.25021943758593007</v>
      </c>
      <c r="BC5" s="5">
        <f t="shared" si="1"/>
        <v>0.13301720800392267</v>
      </c>
      <c r="BD5" s="5">
        <f t="shared" si="1"/>
        <v>0.11238001394447336</v>
      </c>
      <c r="BE5" s="5">
        <f t="shared" si="1"/>
        <v>-7.4535525378986757E-3</v>
      </c>
      <c r="BF5" s="5">
        <f t="shared" si="1"/>
        <v>0.14912131155819477</v>
      </c>
      <c r="BG5" s="5">
        <f t="shared" si="1"/>
        <v>-0.10111349823712269</v>
      </c>
      <c r="BH5" s="5">
        <f t="shared" si="1"/>
        <v>2.0487418583102837E-2</v>
      </c>
      <c r="BI5" s="5">
        <f t="shared" si="1"/>
        <v>5.0822708455998816E-2</v>
      </c>
      <c r="BJ5" s="5">
        <f t="shared" si="1"/>
        <v>2.5789097287463595E-2</v>
      </c>
      <c r="BK5" s="5">
        <f t="shared" si="1"/>
        <v>0.26767516709856326</v>
      </c>
      <c r="BL5" s="5">
        <f t="shared" si="1"/>
        <v>0.13500520178577924</v>
      </c>
    </row>
    <row r="6" spans="1:65" x14ac:dyDescent="0.3">
      <c r="E6" s="32" t="s">
        <v>321</v>
      </c>
      <c r="F6" s="5">
        <f>SUMPRODUCT($L$9:$L$222,F9:F222)</f>
        <v>1.0381499999999999</v>
      </c>
      <c r="G6" s="5">
        <f>SUMPRODUCT($L$9:$L$222,G9:G222)</f>
        <v>0.81002199999999991</v>
      </c>
      <c r="M6" s="5"/>
      <c r="N6" s="5"/>
      <c r="O6" s="5"/>
      <c r="P6" s="5"/>
      <c r="Q6" s="5"/>
      <c r="R6" s="32" t="s">
        <v>320</v>
      </c>
      <c r="S6" s="5">
        <f t="shared" ref="S6:BL6" si="2">SUMPRODUCT($O$9:$O$226,S8:S225)</f>
        <v>-0.10209475947206038</v>
      </c>
      <c r="T6" s="5">
        <f t="shared" si="2"/>
        <v>-5.9367972481165723E-2</v>
      </c>
      <c r="U6" s="5">
        <f t="shared" si="2"/>
        <v>-9.4299284514272594E-2</v>
      </c>
      <c r="V6" s="5">
        <f t="shared" si="2"/>
        <v>-0.10674604003179863</v>
      </c>
      <c r="W6" s="5">
        <f t="shared" si="2"/>
        <v>-9.0321690090480619E-2</v>
      </c>
      <c r="X6" s="5">
        <f t="shared" si="2"/>
        <v>-6.9053466109674583E-2</v>
      </c>
      <c r="Y6" s="5">
        <f t="shared" si="2"/>
        <v>-4.2702135539376136E-2</v>
      </c>
      <c r="Z6" s="5">
        <f t="shared" si="2"/>
        <v>-4.1836715377738261E-2</v>
      </c>
      <c r="AA6" s="5">
        <f t="shared" si="2"/>
        <v>-2.6043282774013241E-3</v>
      </c>
      <c r="AB6" s="5">
        <f t="shared" si="2"/>
        <v>-2.5796464580306318E-3</v>
      </c>
      <c r="AC6" s="5">
        <f t="shared" si="2"/>
        <v>-1.4930563501369575E-2</v>
      </c>
      <c r="AD6" s="5">
        <f t="shared" si="2"/>
        <v>-5.6792292135045936E-4</v>
      </c>
      <c r="AE6" s="5">
        <f t="shared" si="2"/>
        <v>-1.3274928311797895E-2</v>
      </c>
      <c r="AF6" s="39">
        <f t="shared" si="2"/>
        <v>-0.10586979227503927</v>
      </c>
      <c r="AG6" s="6">
        <f t="shared" si="2"/>
        <v>-8.7699773869824818E-2</v>
      </c>
      <c r="AH6" s="6">
        <f t="shared" si="2"/>
        <v>-1.7550506803330295E-2</v>
      </c>
      <c r="AI6" s="6">
        <f t="shared" si="2"/>
        <v>-4.8612781276354718E-2</v>
      </c>
      <c r="AJ6" s="6">
        <f t="shared" si="2"/>
        <v>-2.4692201194140503E-2</v>
      </c>
      <c r="AK6" s="7">
        <f t="shared" si="2"/>
        <v>-5.6706175551233064E-2</v>
      </c>
      <c r="AL6" s="5">
        <f t="shared" si="2"/>
        <v>-9.7269769903699909E-3</v>
      </c>
      <c r="AM6" s="5">
        <f t="shared" si="2"/>
        <v>-9.4584590898640023E-3</v>
      </c>
      <c r="AN6" s="5">
        <f t="shared" si="2"/>
        <v>-1.7070435759288984E-2</v>
      </c>
      <c r="AO6" s="5">
        <f t="shared" si="2"/>
        <v>-1.7311242995432973E-2</v>
      </c>
      <c r="AP6" s="5">
        <f t="shared" si="2"/>
        <v>-7.4834128913614083E-3</v>
      </c>
      <c r="AQ6" s="5">
        <f t="shared" si="2"/>
        <v>6.3045776594049127E-2</v>
      </c>
      <c r="AR6" s="5">
        <f t="shared" si="2"/>
        <v>-5.4808885435061606E-2</v>
      </c>
      <c r="AS6" s="5">
        <f t="shared" si="2"/>
        <v>-3.777797373981169E-2</v>
      </c>
      <c r="AT6" s="5">
        <f t="shared" si="2"/>
        <v>-6.2887633203231486E-2</v>
      </c>
      <c r="AU6" s="5">
        <f t="shared" si="2"/>
        <v>-1.7600307408177328E-2</v>
      </c>
      <c r="AV6" s="5">
        <f t="shared" si="2"/>
        <v>2.4207389580301383E-2</v>
      </c>
      <c r="AW6" s="5">
        <f t="shared" si="2"/>
        <v>-5.3137865592791385E-2</v>
      </c>
      <c r="AX6" s="5">
        <f t="shared" si="2"/>
        <v>3.2987872404418125E-2</v>
      </c>
      <c r="AY6" s="5">
        <f t="shared" si="2"/>
        <v>-9.6367121664056379E-3</v>
      </c>
      <c r="AZ6" s="5">
        <f t="shared" si="2"/>
        <v>2.3088075709605776E-2</v>
      </c>
      <c r="BA6" s="5">
        <f t="shared" si="2"/>
        <v>-6.5258425091220774E-3</v>
      </c>
      <c r="BB6" s="5">
        <f t="shared" si="2"/>
        <v>-1.4357770275172356E-2</v>
      </c>
      <c r="BC6" s="5">
        <f t="shared" si="2"/>
        <v>-3.6541157972627435E-2</v>
      </c>
      <c r="BD6" s="5">
        <f t="shared" si="2"/>
        <v>-1.5296069219864128E-2</v>
      </c>
      <c r="BE6" s="5">
        <f t="shared" si="2"/>
        <v>-5.6024949494266806E-2</v>
      </c>
      <c r="BF6" s="5">
        <f t="shared" si="2"/>
        <v>-4.5656336392070687E-2</v>
      </c>
      <c r="BG6" s="5">
        <f t="shared" si="2"/>
        <v>-6.1350628329996494E-3</v>
      </c>
      <c r="BH6" s="5">
        <f t="shared" si="2"/>
        <v>8.797753826917944E-3</v>
      </c>
      <c r="BI6" s="5">
        <f t="shared" si="2"/>
        <v>-6.3134257552154996E-3</v>
      </c>
      <c r="BJ6" s="5">
        <f t="shared" si="2"/>
        <v>-1.311699405730554E-2</v>
      </c>
      <c r="BK6" s="5">
        <f t="shared" si="2"/>
        <v>-2.8253241856616329E-3</v>
      </c>
      <c r="BL6" s="5">
        <f t="shared" si="2"/>
        <v>-7.9018440921865846E-3</v>
      </c>
    </row>
    <row r="7" spans="1:65" ht="15" thickBot="1" x14ac:dyDescent="0.35">
      <c r="B7" s="54">
        <f>SUM(B9:B222)</f>
        <v>0.99950000000000061</v>
      </c>
      <c r="E7" s="54">
        <f>SUM(E9:E222)</f>
        <v>0.99800000000000066</v>
      </c>
      <c r="F7" s="5"/>
      <c r="G7" s="5"/>
      <c r="K7" s="54">
        <f>SUM(K9:K222)</f>
        <v>0.99800000000000066</v>
      </c>
      <c r="M7" s="5"/>
      <c r="N7" s="54">
        <f>SUM(N9:N222)</f>
        <v>0.99999999999999933</v>
      </c>
      <c r="O7" s="5"/>
      <c r="P7" s="5"/>
      <c r="Q7" s="54">
        <f>SUM(Q9:Q222)</f>
        <v>0.99999999999999978</v>
      </c>
      <c r="R7" s="32" t="s">
        <v>321</v>
      </c>
      <c r="S7" s="5">
        <f t="shared" ref="S7:BL7" si="3">SUMPRODUCT($L$9:$L$226,S9:S226)</f>
        <v>0.6205210000000001</v>
      </c>
      <c r="T7" s="5">
        <f t="shared" si="3"/>
        <v>0.58829799999999988</v>
      </c>
      <c r="U7" s="5">
        <f t="shared" si="3"/>
        <v>0.64617800000000014</v>
      </c>
      <c r="V7" s="5">
        <f t="shared" si="3"/>
        <v>0.56104100000000001</v>
      </c>
      <c r="W7" s="5">
        <f t="shared" si="3"/>
        <v>0.65215800000000013</v>
      </c>
      <c r="X7" s="5">
        <f t="shared" si="3"/>
        <v>0.59942099999999976</v>
      </c>
      <c r="Y7" s="5">
        <f t="shared" si="3"/>
        <v>0.53417499999999984</v>
      </c>
      <c r="Z7" s="5">
        <f t="shared" si="3"/>
        <v>0.60861900000000024</v>
      </c>
      <c r="AA7" s="5">
        <f t="shared" si="3"/>
        <v>0.32387300000000002</v>
      </c>
      <c r="AB7" s="5">
        <f t="shared" si="3"/>
        <v>0.3252179999999999</v>
      </c>
      <c r="AC7" s="5">
        <f t="shared" si="3"/>
        <v>0.22660300000000019</v>
      </c>
      <c r="AD7" s="6">
        <f t="shared" si="3"/>
        <v>0.23487399999999983</v>
      </c>
      <c r="AE7" s="13">
        <f t="shared" si="3"/>
        <v>0.33505100000000032</v>
      </c>
      <c r="AF7" s="36">
        <f t="shared" si="3"/>
        <v>0.32284200000000002</v>
      </c>
      <c r="AG7" s="37">
        <f t="shared" si="3"/>
        <v>0.2717929999999999</v>
      </c>
      <c r="AH7" s="37">
        <f t="shared" si="3"/>
        <v>0.35242099999999998</v>
      </c>
      <c r="AI7" s="37">
        <f t="shared" si="3"/>
        <v>0.28437899999999994</v>
      </c>
      <c r="AJ7" s="37">
        <f t="shared" si="3"/>
        <v>0.39616000000000018</v>
      </c>
      <c r="AK7" s="40">
        <f t="shared" si="3"/>
        <v>0.32239700000000004</v>
      </c>
      <c r="AL7" s="6">
        <f t="shared" si="3"/>
        <v>4.3988000000000006E-2</v>
      </c>
      <c r="AM7" s="5">
        <f t="shared" si="3"/>
        <v>0.4212680000000002</v>
      </c>
      <c r="AN7" s="5">
        <f t="shared" si="3"/>
        <v>1.4133999999999994E-2</v>
      </c>
      <c r="AO7" s="5">
        <f t="shared" si="3"/>
        <v>5.2600000000001517E-4</v>
      </c>
      <c r="AP7" s="5">
        <f t="shared" si="3"/>
        <v>0.23875100000000013</v>
      </c>
      <c r="AQ7" s="5">
        <f t="shared" si="3"/>
        <v>0.10604900000000003</v>
      </c>
      <c r="AR7" s="5">
        <f t="shared" si="3"/>
        <v>6.3621000000000066E-2</v>
      </c>
      <c r="AS7" s="5">
        <f t="shared" si="3"/>
        <v>0.19032800000000014</v>
      </c>
      <c r="AT7" s="5">
        <f t="shared" si="3"/>
        <v>0.19520799999999999</v>
      </c>
      <c r="AU7" s="5">
        <f t="shared" si="3"/>
        <v>7.9416E-2</v>
      </c>
      <c r="AV7" s="5">
        <f t="shared" si="3"/>
        <v>-7.9500000000003179E-4</v>
      </c>
      <c r="AW7" s="5">
        <f t="shared" si="3"/>
        <v>0.13382100000000002</v>
      </c>
      <c r="AX7" s="5">
        <f t="shared" si="3"/>
        <v>0.1914040000000001</v>
      </c>
      <c r="AY7" s="5">
        <f t="shared" si="3"/>
        <v>9.9070999999999979E-2</v>
      </c>
      <c r="AZ7" s="5">
        <f t="shared" si="3"/>
        <v>1.0059000000000125E-2</v>
      </c>
      <c r="BA7" s="5">
        <f t="shared" si="3"/>
        <v>0.23466300000000018</v>
      </c>
      <c r="BB7" s="5">
        <f t="shared" si="3"/>
        <v>0.29466599999999976</v>
      </c>
      <c r="BC7" s="5">
        <f t="shared" si="3"/>
        <v>5.2969000000000002E-2</v>
      </c>
      <c r="BD7" s="5">
        <f t="shared" si="3"/>
        <v>6.0056999999999985E-2</v>
      </c>
      <c r="BE7" s="5">
        <f t="shared" si="3"/>
        <v>1.7294000000000011E-2</v>
      </c>
      <c r="BF7" s="5">
        <f t="shared" si="3"/>
        <v>7.1073999999999957E-2</v>
      </c>
      <c r="BG7" s="5">
        <f t="shared" si="3"/>
        <v>9.5912000000000011E-2</v>
      </c>
      <c r="BH7" s="5">
        <f t="shared" si="3"/>
        <v>0.16510799999999987</v>
      </c>
      <c r="BI7" s="5">
        <f t="shared" si="3"/>
        <v>-0.24143099999999984</v>
      </c>
      <c r="BJ7" s="5">
        <f t="shared" si="3"/>
        <v>-8.4994000000000028E-2</v>
      </c>
      <c r="BK7" s="5">
        <f t="shared" si="3"/>
        <v>0.534744</v>
      </c>
      <c r="BL7" s="5">
        <f t="shared" si="3"/>
        <v>0.13647600000000004</v>
      </c>
    </row>
    <row r="8" spans="1:65" x14ac:dyDescent="0.3">
      <c r="A8" s="18" t="s">
        <v>0</v>
      </c>
      <c r="B8" s="55" t="s">
        <v>327</v>
      </c>
      <c r="C8" s="56" t="s">
        <v>535</v>
      </c>
      <c r="D8" s="56" t="s">
        <v>332</v>
      </c>
      <c r="E8" s="57" t="s">
        <v>323</v>
      </c>
      <c r="F8" s="18" t="s">
        <v>1</v>
      </c>
      <c r="G8" s="18" t="s">
        <v>2</v>
      </c>
      <c r="H8" s="81" t="s">
        <v>3</v>
      </c>
      <c r="I8" s="22" t="s">
        <v>305</v>
      </c>
      <c r="J8" s="22" t="s">
        <v>307</v>
      </c>
      <c r="K8" s="30" t="s">
        <v>537</v>
      </c>
      <c r="L8" s="18" t="s">
        <v>5</v>
      </c>
      <c r="M8" s="3" t="s">
        <v>272</v>
      </c>
      <c r="N8" s="45" t="s">
        <v>316</v>
      </c>
      <c r="O8" s="61" t="s">
        <v>320</v>
      </c>
      <c r="P8" s="46" t="s">
        <v>331</v>
      </c>
      <c r="Q8" s="45" t="s">
        <v>317</v>
      </c>
      <c r="R8" s="61" t="s">
        <v>319</v>
      </c>
      <c r="S8" s="3" t="s">
        <v>6</v>
      </c>
      <c r="T8" s="3" t="s">
        <v>7</v>
      </c>
      <c r="U8" s="3" t="s">
        <v>8</v>
      </c>
      <c r="V8" s="3" t="s">
        <v>9</v>
      </c>
      <c r="W8" s="3" t="s">
        <v>10</v>
      </c>
      <c r="X8" s="3" t="s">
        <v>11</v>
      </c>
      <c r="Y8" s="3" t="s">
        <v>12</v>
      </c>
      <c r="Z8" s="3" t="s">
        <v>13</v>
      </c>
      <c r="AA8" s="3" t="s">
        <v>14</v>
      </c>
      <c r="AB8" s="3" t="s">
        <v>15</v>
      </c>
      <c r="AC8" s="3" t="s">
        <v>16</v>
      </c>
      <c r="AD8" s="3" t="s">
        <v>17</v>
      </c>
      <c r="AE8" s="15" t="s">
        <v>18</v>
      </c>
      <c r="AF8" s="14" t="s">
        <v>19</v>
      </c>
      <c r="AG8" s="15" t="s">
        <v>20</v>
      </c>
      <c r="AH8" s="15" t="s">
        <v>21</v>
      </c>
      <c r="AI8" s="15" t="s">
        <v>22</v>
      </c>
      <c r="AJ8" s="15" t="s">
        <v>23</v>
      </c>
      <c r="AK8" s="8" t="s">
        <v>24</v>
      </c>
      <c r="AL8" s="3" t="s">
        <v>25</v>
      </c>
      <c r="AM8" s="3" t="s">
        <v>26</v>
      </c>
      <c r="AN8" s="3" t="s">
        <v>27</v>
      </c>
      <c r="AO8" s="3" t="s">
        <v>28</v>
      </c>
      <c r="AP8" s="3" t="s">
        <v>29</v>
      </c>
      <c r="AQ8" s="3" t="s">
        <v>30</v>
      </c>
      <c r="AR8" s="3" t="s">
        <v>31</v>
      </c>
      <c r="AS8" s="3" t="s">
        <v>32</v>
      </c>
      <c r="AT8" s="3" t="s">
        <v>33</v>
      </c>
      <c r="AU8" s="3" t="s">
        <v>34</v>
      </c>
      <c r="AV8" s="3" t="s">
        <v>35</v>
      </c>
      <c r="AW8" s="3" t="s">
        <v>36</v>
      </c>
      <c r="AX8" s="3" t="s">
        <v>37</v>
      </c>
      <c r="AY8" s="3" t="s">
        <v>38</v>
      </c>
      <c r="AZ8" s="3" t="s">
        <v>39</v>
      </c>
      <c r="BA8" s="3" t="s">
        <v>40</v>
      </c>
      <c r="BB8" s="3" t="s">
        <v>41</v>
      </c>
      <c r="BC8" s="3" t="s">
        <v>42</v>
      </c>
      <c r="BD8" s="3" t="s">
        <v>43</v>
      </c>
      <c r="BE8" s="3" t="s">
        <v>44</v>
      </c>
      <c r="BF8" s="3" t="s">
        <v>45</v>
      </c>
      <c r="BG8" s="3" t="s">
        <v>46</v>
      </c>
      <c r="BH8" s="3" t="s">
        <v>47</v>
      </c>
      <c r="BI8" s="3" t="s">
        <v>48</v>
      </c>
      <c r="BJ8" s="3" t="s">
        <v>49</v>
      </c>
      <c r="BK8" s="3" t="s">
        <v>50</v>
      </c>
      <c r="BL8" s="19" t="s">
        <v>51</v>
      </c>
    </row>
    <row r="9" spans="1:65" x14ac:dyDescent="0.3">
      <c r="A9" s="19" t="s">
        <v>91</v>
      </c>
      <c r="B9" s="53">
        <v>2.2499999999999999E-2</v>
      </c>
      <c r="C9" s="53">
        <f>B9-E9</f>
        <v>1.2500000000000001E-2</v>
      </c>
      <c r="D9" s="53">
        <f>B9-K9</f>
        <v>4.5000000000000005E-3</v>
      </c>
      <c r="E9" s="53">
        <f>K9-L9</f>
        <v>9.9999999999999985E-3</v>
      </c>
      <c r="F9" s="15">
        <v>3.2610000000000001</v>
      </c>
      <c r="G9" s="19">
        <v>4.6310000000000002</v>
      </c>
      <c r="H9" s="24" t="s">
        <v>57</v>
      </c>
      <c r="I9" t="str">
        <f>VLOOKUP(A9,Planilha6!$BL$9:$BN$222,2,0)</f>
        <v>homebuilders</v>
      </c>
      <c r="J9" t="str">
        <f>VLOOKUP(A9,Planilha6!$BL$9:$BN$222,3,0)</f>
        <v>very_high_beta</v>
      </c>
      <c r="K9" s="2">
        <v>1.7999999999999999E-2</v>
      </c>
      <c r="L9" s="2">
        <v>8.0000000000000002E-3</v>
      </c>
      <c r="M9" s="15">
        <v>84</v>
      </c>
      <c r="N9" s="41">
        <f>VLOOKUP(A9,'Mandato Smll'!$A$2:$C$215,2,0)</f>
        <v>3.5956710410150403E-2</v>
      </c>
      <c r="O9" s="59">
        <f>K9-N9</f>
        <v>-1.7956710410150404E-2</v>
      </c>
      <c r="P9" s="42">
        <f>B9-N9</f>
        <v>-1.3456710410150403E-2</v>
      </c>
      <c r="Q9" s="41">
        <f>VLOOKUP(A9,'Mandato Smll'!$A$2:$C$215,3,0)</f>
        <v>3.1948919010160302E-2</v>
      </c>
      <c r="R9" s="59">
        <f>K9-Q9</f>
        <v>-1.3948919010160304E-2</v>
      </c>
      <c r="S9" s="15">
        <v>1</v>
      </c>
      <c r="T9" s="15">
        <v>1</v>
      </c>
      <c r="U9" s="15">
        <v>0.90700000000000003</v>
      </c>
      <c r="V9" s="15">
        <v>1</v>
      </c>
      <c r="W9" s="15">
        <v>1</v>
      </c>
      <c r="X9" s="15">
        <v>1</v>
      </c>
      <c r="Y9" s="15">
        <v>1</v>
      </c>
      <c r="Z9" s="15">
        <v>0.98899999999999999</v>
      </c>
      <c r="AA9" s="15">
        <v>0.91900000000000004</v>
      </c>
      <c r="AB9" s="15">
        <v>0.92200000000000004</v>
      </c>
      <c r="AC9" s="15">
        <v>0.90800000000000003</v>
      </c>
      <c r="AD9" s="15">
        <v>0.95199999999999996</v>
      </c>
      <c r="AE9" s="15">
        <v>1</v>
      </c>
      <c r="AF9" s="14">
        <v>1</v>
      </c>
      <c r="AG9" s="15">
        <v>1</v>
      </c>
      <c r="AH9" s="15">
        <v>1</v>
      </c>
      <c r="AI9" s="15">
        <v>-0.45</v>
      </c>
      <c r="AJ9" s="15">
        <v>0.31</v>
      </c>
      <c r="AK9" s="9">
        <v>0.34</v>
      </c>
      <c r="AL9" s="4">
        <v>0.28699999999999998</v>
      </c>
      <c r="AM9" s="4">
        <v>-0.104</v>
      </c>
      <c r="AN9" s="4">
        <v>-0.45500000000000002</v>
      </c>
      <c r="AO9" s="4">
        <v>0.13600000000000001</v>
      </c>
      <c r="AP9" s="4">
        <v>0.8</v>
      </c>
      <c r="AQ9" s="4">
        <v>0.76900000000000002</v>
      </c>
      <c r="AR9" s="4">
        <v>0.61499999999999999</v>
      </c>
      <c r="AS9" s="4">
        <v>0.41399999999999998</v>
      </c>
      <c r="AT9" s="4">
        <v>0.97599999999999998</v>
      </c>
      <c r="AU9" s="4">
        <v>0.52500000000000002</v>
      </c>
      <c r="AV9" s="4">
        <v>0.91300000000000003</v>
      </c>
      <c r="AW9" s="4">
        <v>0.997</v>
      </c>
      <c r="AX9" s="4">
        <v>-2.9000000000000001E-2</v>
      </c>
      <c r="AY9" s="4">
        <v>0.216</v>
      </c>
      <c r="AZ9" s="4">
        <v>0.188</v>
      </c>
      <c r="BA9" s="4">
        <v>0.76300000000000001</v>
      </c>
      <c r="BB9" s="4">
        <v>0.14899999999999999</v>
      </c>
      <c r="BC9" s="4">
        <v>-0.1</v>
      </c>
      <c r="BD9" s="4">
        <v>0.57299999999999995</v>
      </c>
      <c r="BE9" s="4">
        <v>0.30599999999999999</v>
      </c>
      <c r="BF9" s="4">
        <v>-1</v>
      </c>
      <c r="BG9" s="4">
        <v>0.248</v>
      </c>
      <c r="BH9" s="4">
        <v>-0.13200000000000001</v>
      </c>
      <c r="BI9" s="4">
        <v>-0.67200000000000004</v>
      </c>
      <c r="BJ9" s="4">
        <v>0.63100000000000001</v>
      </c>
      <c r="BK9" s="4">
        <v>2.5000000000000001E-2</v>
      </c>
      <c r="BL9" s="4">
        <v>-0.26800000000000002</v>
      </c>
      <c r="BM9" s="4"/>
    </row>
    <row r="10" spans="1:65" hidden="1" x14ac:dyDescent="0.3">
      <c r="A10" s="19" t="s">
        <v>52</v>
      </c>
      <c r="B10" s="53">
        <f t="shared" ref="B10:B73" si="4">K10</f>
        <v>1.6E-2</v>
      </c>
      <c r="C10" s="53">
        <f t="shared" ref="C10:C73" si="5">B10-E10</f>
        <v>1.6E-2</v>
      </c>
      <c r="D10" s="53">
        <f t="shared" ref="D10:D73" si="6">B10-K10</f>
        <v>0</v>
      </c>
      <c r="E10" s="53">
        <f t="shared" ref="E10:E73" si="7">K10-L10</f>
        <v>0</v>
      </c>
      <c r="F10" s="15">
        <v>3.2610000000000001</v>
      </c>
      <c r="G10" s="19">
        <v>3.3809999999999998</v>
      </c>
      <c r="H10" s="24" t="s">
        <v>53</v>
      </c>
      <c r="I10" t="str">
        <f>VLOOKUP(A10,Planilha6!$BL$9:$BN$222,2,0)</f>
        <v>financial_services</v>
      </c>
      <c r="J10" t="str">
        <f>VLOOKUP(A10,Planilha6!$BL$9:$BN$222,3,0)</f>
        <v>low_beta</v>
      </c>
      <c r="K10" s="2">
        <v>1.6E-2</v>
      </c>
      <c r="L10" s="2">
        <v>1.6E-2</v>
      </c>
      <c r="M10" s="15">
        <v>84</v>
      </c>
      <c r="N10" s="41">
        <f>VLOOKUP(A10,'Mandato Smll'!$A$2:$C$215,2,0)</f>
        <v>1.3288999873824901E-2</v>
      </c>
      <c r="O10" s="59">
        <f t="shared" ref="O10:O73" si="8">K10-N10</f>
        <v>2.7110001261750998E-3</v>
      </c>
      <c r="P10" s="42">
        <f t="shared" ref="P10:P73" si="9">B10-N10</f>
        <v>2.7110001261750998E-3</v>
      </c>
      <c r="Q10" s="41">
        <f>VLOOKUP(A10,'Mandato Smll'!$A$2:$C$215,3,0)</f>
        <v>8.5259172201202493E-3</v>
      </c>
      <c r="R10" s="59">
        <f t="shared" ref="R10:R73" si="10">K10-Q10</f>
        <v>7.474082779879751E-3</v>
      </c>
      <c r="S10" s="15">
        <v>1</v>
      </c>
      <c r="T10" s="15">
        <v>1</v>
      </c>
      <c r="U10" s="15">
        <v>1</v>
      </c>
      <c r="V10" s="15">
        <v>1</v>
      </c>
      <c r="W10" s="15">
        <v>1</v>
      </c>
      <c r="X10" s="15">
        <v>1</v>
      </c>
      <c r="Y10" s="15">
        <v>1</v>
      </c>
      <c r="Z10" s="15">
        <v>0.90300000000000002</v>
      </c>
      <c r="AA10" s="15">
        <v>0.81699999999999995</v>
      </c>
      <c r="AB10" s="15">
        <v>0.82599999999999996</v>
      </c>
      <c r="AC10" s="15">
        <v>1</v>
      </c>
      <c r="AD10" s="15">
        <v>1</v>
      </c>
      <c r="AE10" s="15">
        <v>1</v>
      </c>
      <c r="AF10" s="14">
        <v>1</v>
      </c>
      <c r="AG10" s="15">
        <v>0.24099999999999999</v>
      </c>
      <c r="AH10" s="15">
        <v>0.49</v>
      </c>
      <c r="AI10" s="15">
        <v>0.44700000000000001</v>
      </c>
      <c r="AJ10" s="15">
        <v>0.84099999999999997</v>
      </c>
      <c r="AK10" s="9">
        <v>1</v>
      </c>
      <c r="AL10" s="4">
        <v>0.47699999999999998</v>
      </c>
      <c r="AM10" s="4">
        <v>-0.27100000000000002</v>
      </c>
      <c r="AN10" s="4">
        <v>-0.23599999999999999</v>
      </c>
      <c r="AO10" s="4">
        <v>-5.6000000000000001E-2</v>
      </c>
      <c r="AP10" s="4">
        <v>0.114</v>
      </c>
      <c r="AQ10" s="4">
        <v>1.4999999999999999E-2</v>
      </c>
      <c r="AR10" s="4">
        <v>0.30399999999999999</v>
      </c>
      <c r="AS10" s="4">
        <v>0.17299999999999999</v>
      </c>
      <c r="AT10" s="4">
        <v>0.23300000000000001</v>
      </c>
      <c r="AU10" s="4">
        <v>0.84699999999999998</v>
      </c>
      <c r="AV10" s="4">
        <v>0.51700000000000002</v>
      </c>
      <c r="AW10" s="4">
        <v>0.75900000000000001</v>
      </c>
      <c r="AX10" s="4">
        <v>0.41799999999999998</v>
      </c>
      <c r="AY10" s="4">
        <v>-6.6000000000000003E-2</v>
      </c>
      <c r="AZ10" s="4">
        <v>0.63600000000000001</v>
      </c>
      <c r="BA10" s="4">
        <v>1</v>
      </c>
      <c r="BB10" s="4">
        <v>0.85099999999999998</v>
      </c>
      <c r="BC10" s="4">
        <v>-0.17699999999999999</v>
      </c>
      <c r="BD10" s="4">
        <v>6.0000000000000001E-3</v>
      </c>
      <c r="BE10" s="4">
        <v>0.39300000000000002</v>
      </c>
      <c r="BF10" s="4">
        <v>0.13400000000000001</v>
      </c>
      <c r="BG10" s="4">
        <v>0.78300000000000003</v>
      </c>
      <c r="BH10" s="4">
        <v>0.80900000000000005</v>
      </c>
      <c r="BI10" s="4">
        <v>-0.46899999999999997</v>
      </c>
      <c r="BJ10" s="4">
        <v>-0.20200000000000001</v>
      </c>
      <c r="BK10" s="4">
        <v>0.61499999999999999</v>
      </c>
      <c r="BL10" s="4">
        <v>0.79800000000000004</v>
      </c>
      <c r="BM10" s="4"/>
    </row>
    <row r="11" spans="1:65" hidden="1" x14ac:dyDescent="0.3">
      <c r="A11" s="19" t="s">
        <v>77</v>
      </c>
      <c r="B11" s="53">
        <f t="shared" si="4"/>
        <v>1.4E-2</v>
      </c>
      <c r="C11" s="53">
        <f t="shared" si="5"/>
        <v>1.4E-2</v>
      </c>
      <c r="D11" s="53">
        <f t="shared" si="6"/>
        <v>0</v>
      </c>
      <c r="E11" s="53">
        <f t="shared" si="7"/>
        <v>0</v>
      </c>
      <c r="F11" s="15">
        <v>3.2610000000000001</v>
      </c>
      <c r="G11" s="19">
        <v>2.5049999999999999</v>
      </c>
      <c r="H11" s="24" t="s">
        <v>57</v>
      </c>
      <c r="I11" t="str">
        <f>VLOOKUP(A11,Planilha6!$BL$9:$BN$222,2,0)</f>
        <v>education</v>
      </c>
      <c r="J11" t="str">
        <f>VLOOKUP(A11,Planilha6!$BL$9:$BN$222,3,0)</f>
        <v>high_beta</v>
      </c>
      <c r="K11" s="2">
        <v>1.4E-2</v>
      </c>
      <c r="L11" s="2">
        <v>1.4E-2</v>
      </c>
      <c r="M11" s="15">
        <v>84</v>
      </c>
      <c r="N11" s="41">
        <f>VLOOKUP(A11,'Mandato Smll'!$A$2:$C$215,2,0)</f>
        <v>1.3288999873824901E-2</v>
      </c>
      <c r="O11" s="59">
        <f t="shared" si="8"/>
        <v>7.1100012617509971E-4</v>
      </c>
      <c r="P11" s="42">
        <f t="shared" si="9"/>
        <v>7.1100012617509971E-4</v>
      </c>
      <c r="Q11" s="41">
        <f>VLOOKUP(A11,'Mandato Smll'!$A$2:$C$215,3,0)</f>
        <v>8.5639136828573308E-3</v>
      </c>
      <c r="R11" s="59">
        <f t="shared" si="10"/>
        <v>5.4360863171426695E-3</v>
      </c>
      <c r="S11" s="15">
        <v>1</v>
      </c>
      <c r="T11" s="15">
        <v>1</v>
      </c>
      <c r="U11" s="15">
        <v>1</v>
      </c>
      <c r="V11" s="15">
        <v>1</v>
      </c>
      <c r="W11" s="15">
        <v>1</v>
      </c>
      <c r="X11" s="15">
        <v>1</v>
      </c>
      <c r="Y11" s="15">
        <v>0.94099999999999995</v>
      </c>
      <c r="Z11" s="15">
        <v>0.76800000000000002</v>
      </c>
      <c r="AA11" s="15">
        <v>0.61399999999999999</v>
      </c>
      <c r="AB11" s="15">
        <v>0.61599999999999999</v>
      </c>
      <c r="AC11" s="15">
        <v>1</v>
      </c>
      <c r="AD11" s="15">
        <v>0.95099999999999996</v>
      </c>
      <c r="AE11" s="15">
        <v>0.93500000000000005</v>
      </c>
      <c r="AF11" s="14">
        <v>1</v>
      </c>
      <c r="AG11" s="15">
        <v>1</v>
      </c>
      <c r="AH11" s="15">
        <v>0.124</v>
      </c>
      <c r="AI11" s="15">
        <v>0.20599999999999999</v>
      </c>
      <c r="AJ11" s="15">
        <v>0.40300000000000002</v>
      </c>
      <c r="AK11" s="9">
        <v>1</v>
      </c>
      <c r="AL11" s="4">
        <v>0.371</v>
      </c>
      <c r="AM11" s="4">
        <v>9.9000000000000005E-2</v>
      </c>
      <c r="AN11" s="4">
        <v>-0.60299999999999998</v>
      </c>
      <c r="AO11" s="4">
        <v>0.33100000000000002</v>
      </c>
      <c r="AP11" s="4">
        <v>0.06</v>
      </c>
      <c r="AQ11" s="4">
        <v>-0.193</v>
      </c>
      <c r="AR11" s="4">
        <v>0.8</v>
      </c>
      <c r="AS11" s="4">
        <v>1</v>
      </c>
      <c r="AT11" s="4">
        <v>0.84899999999999998</v>
      </c>
      <c r="AU11" s="4">
        <v>0.50600000000000001</v>
      </c>
      <c r="AV11" s="4">
        <v>4.2000000000000003E-2</v>
      </c>
      <c r="AW11" s="4">
        <v>0.92600000000000005</v>
      </c>
      <c r="AX11" s="4">
        <v>-0.17</v>
      </c>
      <c r="AY11" s="4">
        <v>-5.1999999999999998E-2</v>
      </c>
      <c r="AZ11" s="4">
        <v>0.81</v>
      </c>
      <c r="BA11" s="4">
        <v>0.998</v>
      </c>
      <c r="BB11" s="4">
        <v>0.872</v>
      </c>
      <c r="BC11" s="4">
        <v>-5.0999999999999997E-2</v>
      </c>
      <c r="BD11" s="4">
        <v>-0.10299999999999999</v>
      </c>
      <c r="BE11" s="4">
        <v>0.23200000000000001</v>
      </c>
      <c r="BF11" s="4">
        <v>0.29799999999999999</v>
      </c>
      <c r="BG11" s="4">
        <v>1</v>
      </c>
      <c r="BH11" s="4">
        <v>0.51700000000000002</v>
      </c>
      <c r="BI11" s="4">
        <v>-0.44500000000000001</v>
      </c>
      <c r="BJ11" s="4">
        <v>0.13900000000000001</v>
      </c>
      <c r="BK11" s="4">
        <v>0.71499999999999997</v>
      </c>
      <c r="BL11" s="4">
        <v>0.318</v>
      </c>
      <c r="BM11" s="4"/>
    </row>
    <row r="12" spans="1:65" hidden="1" x14ac:dyDescent="0.3">
      <c r="A12" s="19" t="s">
        <v>60</v>
      </c>
      <c r="B12" s="53">
        <f t="shared" si="4"/>
        <v>1.2999999999999999E-2</v>
      </c>
      <c r="C12" s="53">
        <f t="shared" si="5"/>
        <v>1.0999999999999999E-2</v>
      </c>
      <c r="D12" s="53">
        <f t="shared" si="6"/>
        <v>0</v>
      </c>
      <c r="E12" s="53">
        <f t="shared" si="7"/>
        <v>2E-3</v>
      </c>
      <c r="F12" s="15">
        <v>3.2610000000000001</v>
      </c>
      <c r="G12" s="19">
        <v>2.5219999999999998</v>
      </c>
      <c r="H12" s="24" t="s">
        <v>57</v>
      </c>
      <c r="I12" t="str">
        <f>VLOOKUP(A12,Planilha6!$BL$9:$BN$222,2,0)</f>
        <v>apparel</v>
      </c>
      <c r="J12" t="str">
        <f>VLOOKUP(A12,Planilha6!$BL$9:$BN$222,3,0)</f>
        <v>very_high_beta</v>
      </c>
      <c r="K12" s="2">
        <v>1.2999999999999999E-2</v>
      </c>
      <c r="L12" s="2">
        <v>1.0999999999999999E-2</v>
      </c>
      <c r="M12" s="15">
        <v>84</v>
      </c>
      <c r="N12" s="41">
        <f>VLOOKUP(A12,'Mandato Smll'!$A$2:$C$215,2,0)</f>
        <v>1.5633943475130599E-2</v>
      </c>
      <c r="O12" s="59">
        <f t="shared" si="8"/>
        <v>-2.6339434751305995E-3</v>
      </c>
      <c r="P12" s="42">
        <f t="shared" si="9"/>
        <v>-2.6339434751305995E-3</v>
      </c>
      <c r="Q12" s="41">
        <f>VLOOKUP(A12,'Mandato Smll'!$A$2:$C$215,3,0)</f>
        <v>1.26996911906941E-2</v>
      </c>
      <c r="R12" s="59">
        <f t="shared" si="10"/>
        <v>3.003088093058992E-4</v>
      </c>
      <c r="S12" s="15">
        <v>1</v>
      </c>
      <c r="T12" s="15">
        <v>1</v>
      </c>
      <c r="U12" s="15">
        <v>1</v>
      </c>
      <c r="V12" s="15">
        <v>1</v>
      </c>
      <c r="W12" s="15">
        <v>1</v>
      </c>
      <c r="X12" s="15">
        <v>0.97499999999999998</v>
      </c>
      <c r="Y12" s="15">
        <v>0.68799999999999994</v>
      </c>
      <c r="Z12" s="15">
        <v>0.58599999999999997</v>
      </c>
      <c r="AA12" s="15">
        <v>0.95499999999999996</v>
      </c>
      <c r="AB12" s="15">
        <v>0.95899999999999996</v>
      </c>
      <c r="AC12" s="15">
        <v>0.80400000000000005</v>
      </c>
      <c r="AD12" s="15">
        <v>0.85499999999999998</v>
      </c>
      <c r="AE12" s="15">
        <v>0.96799999999999997</v>
      </c>
      <c r="AF12" s="14">
        <v>1</v>
      </c>
      <c r="AG12" s="15">
        <v>1</v>
      </c>
      <c r="AH12" s="15">
        <v>0.65200000000000002</v>
      </c>
      <c r="AI12" s="15">
        <v>0.03</v>
      </c>
      <c r="AJ12" s="15">
        <v>0.26500000000000001</v>
      </c>
      <c r="AK12" s="9">
        <v>0.68100000000000005</v>
      </c>
      <c r="AL12" s="4">
        <v>0.45900000000000002</v>
      </c>
      <c r="AM12" s="4">
        <v>0.10100000000000001</v>
      </c>
      <c r="AN12" s="4">
        <v>-0.14799999999999999</v>
      </c>
      <c r="AO12" s="4">
        <v>0.505</v>
      </c>
      <c r="AP12" s="4">
        <v>0.28199999999999997</v>
      </c>
      <c r="AQ12" s="4">
        <v>0.441</v>
      </c>
      <c r="AR12" s="4">
        <v>0.61199999999999999</v>
      </c>
      <c r="AS12" s="4">
        <v>0.999</v>
      </c>
      <c r="AT12" s="4">
        <v>0.66200000000000003</v>
      </c>
      <c r="AU12" s="4">
        <v>0.65700000000000003</v>
      </c>
      <c r="AV12" s="4">
        <v>0.11799999999999999</v>
      </c>
      <c r="AW12" s="4">
        <v>0.78200000000000003</v>
      </c>
      <c r="AX12" s="4">
        <v>-0.56699999999999995</v>
      </c>
      <c r="AY12" s="4">
        <v>0.214</v>
      </c>
      <c r="AZ12" s="4">
        <v>0.626</v>
      </c>
      <c r="BA12" s="4">
        <v>0.55300000000000005</v>
      </c>
      <c r="BB12" s="4">
        <v>-0.497</v>
      </c>
      <c r="BC12" s="4">
        <v>0.17899999999999999</v>
      </c>
      <c r="BD12" s="4">
        <v>5.7000000000000002E-2</v>
      </c>
      <c r="BE12" s="4">
        <v>0.60899999999999999</v>
      </c>
      <c r="BF12" s="4">
        <v>-0.77300000000000002</v>
      </c>
      <c r="BG12" s="4">
        <v>-0.53700000000000003</v>
      </c>
      <c r="BH12" s="4">
        <v>0.24199999999999999</v>
      </c>
      <c r="BI12" s="4">
        <v>-0.52300000000000002</v>
      </c>
      <c r="BJ12" s="4">
        <v>0.42799999999999999</v>
      </c>
      <c r="BK12" s="4">
        <v>0.23499999999999999</v>
      </c>
      <c r="BL12" s="4">
        <v>0.13100000000000001</v>
      </c>
      <c r="BM12" s="4"/>
    </row>
    <row r="13" spans="1:65" hidden="1" x14ac:dyDescent="0.3">
      <c r="A13" s="19" t="s">
        <v>69</v>
      </c>
      <c r="B13" s="53">
        <f t="shared" si="4"/>
        <v>1.2E-2</v>
      </c>
      <c r="C13" s="53">
        <f t="shared" si="5"/>
        <v>1.2E-2</v>
      </c>
      <c r="D13" s="53">
        <f t="shared" si="6"/>
        <v>0</v>
      </c>
      <c r="E13" s="53">
        <f t="shared" si="7"/>
        <v>0</v>
      </c>
      <c r="F13" s="15">
        <v>3.2610000000000001</v>
      </c>
      <c r="G13" s="19">
        <v>3.2589999999999999</v>
      </c>
      <c r="H13" s="24" t="s">
        <v>57</v>
      </c>
      <c r="I13" t="str">
        <f>VLOOKUP(A13,Planilha6!$BL$9:$BN$222,2,0)</f>
        <v>banks</v>
      </c>
      <c r="J13" t="str">
        <f>VLOOKUP(A13,Planilha6!$BL$9:$BN$222,3,0)</f>
        <v>high_beta</v>
      </c>
      <c r="K13" s="2">
        <v>1.2E-2</v>
      </c>
      <c r="L13" s="2">
        <v>1.2E-2</v>
      </c>
      <c r="M13" s="15">
        <v>84</v>
      </c>
      <c r="N13" s="41">
        <f>VLOOKUP(A13,'Mandato Smll'!$A$2:$C$215,2,0)</f>
        <v>1.3288999873824901E-2</v>
      </c>
      <c r="O13" s="59">
        <f t="shared" si="8"/>
        <v>-1.2889998738249003E-3</v>
      </c>
      <c r="P13" s="42">
        <f t="shared" si="9"/>
        <v>-1.2889998738249003E-3</v>
      </c>
      <c r="Q13" s="41">
        <f>VLOOKUP(A13,'Mandato Smll'!$A$2:$C$215,3,0)</f>
        <v>1.18077870820744E-2</v>
      </c>
      <c r="R13" s="59">
        <f t="shared" si="10"/>
        <v>1.9221291792560075E-4</v>
      </c>
      <c r="S13" s="15">
        <v>0.91600000000000004</v>
      </c>
      <c r="T13" s="15">
        <v>0.88200000000000001</v>
      </c>
      <c r="U13" s="15">
        <v>0.78900000000000003</v>
      </c>
      <c r="V13" s="15">
        <v>0.877</v>
      </c>
      <c r="W13" s="15">
        <v>0.97499999999999998</v>
      </c>
      <c r="X13" s="15">
        <v>0.70099999999999996</v>
      </c>
      <c r="Y13" s="15">
        <v>0.54200000000000004</v>
      </c>
      <c r="Z13" s="15">
        <v>0.73199999999999998</v>
      </c>
      <c r="AA13" s="15">
        <v>1</v>
      </c>
      <c r="AB13" s="15">
        <v>1</v>
      </c>
      <c r="AC13" s="15">
        <v>1</v>
      </c>
      <c r="AD13" s="15">
        <v>0.97299999999999998</v>
      </c>
      <c r="AE13" s="15">
        <v>1</v>
      </c>
      <c r="AF13" s="14">
        <v>5.2999999999999999E-2</v>
      </c>
      <c r="AG13" s="15">
        <v>1</v>
      </c>
      <c r="AH13" s="15">
        <v>1</v>
      </c>
      <c r="AI13" s="15">
        <v>6.0999999999999999E-2</v>
      </c>
      <c r="AJ13" s="15">
        <v>0.60899999999999999</v>
      </c>
      <c r="AK13" s="9">
        <v>0.34499999999999997</v>
      </c>
      <c r="AL13" s="4">
        <v>7.5999999999999998E-2</v>
      </c>
      <c r="AM13" s="4">
        <v>0.43</v>
      </c>
      <c r="AN13" s="4">
        <v>0.45300000000000001</v>
      </c>
      <c r="AO13" s="4">
        <v>5.7000000000000002E-2</v>
      </c>
      <c r="AP13" s="4">
        <v>0.65200000000000002</v>
      </c>
      <c r="AQ13" s="4">
        <v>0.106</v>
      </c>
      <c r="AR13" s="4">
        <v>0.54400000000000004</v>
      </c>
      <c r="AS13" s="4">
        <v>1</v>
      </c>
      <c r="AT13" s="4">
        <v>-3.1E-2</v>
      </c>
      <c r="AU13" s="4">
        <v>5.6000000000000001E-2</v>
      </c>
      <c r="AV13" s="4">
        <v>-0.20399999999999999</v>
      </c>
      <c r="AW13" s="4">
        <v>-0.217</v>
      </c>
      <c r="AX13" s="4">
        <v>0.52500000000000002</v>
      </c>
      <c r="AY13" s="4">
        <v>-0.14000000000000001</v>
      </c>
      <c r="AZ13" s="4">
        <v>0.81200000000000006</v>
      </c>
      <c r="BA13" s="4">
        <v>0.15</v>
      </c>
      <c r="BB13" s="4">
        <v>-0.23799999999999999</v>
      </c>
      <c r="BC13" s="4">
        <v>6.4000000000000001E-2</v>
      </c>
      <c r="BD13" s="4">
        <v>1E-3</v>
      </c>
      <c r="BE13" s="4">
        <v>0.64700000000000002</v>
      </c>
      <c r="BF13" s="4">
        <v>-0.45700000000000002</v>
      </c>
      <c r="BG13" s="4">
        <v>-0.309</v>
      </c>
      <c r="BH13" s="4">
        <v>0.33700000000000002</v>
      </c>
      <c r="BI13" s="4">
        <v>-0.754</v>
      </c>
      <c r="BJ13" s="4">
        <v>7.0000000000000007E-2</v>
      </c>
      <c r="BK13" s="4">
        <v>0.65400000000000003</v>
      </c>
      <c r="BL13" s="4">
        <v>0.64200000000000002</v>
      </c>
      <c r="BM13" s="4"/>
    </row>
    <row r="14" spans="1:65" hidden="1" x14ac:dyDescent="0.3">
      <c r="A14" s="19" t="s">
        <v>59</v>
      </c>
      <c r="B14" s="53">
        <f t="shared" si="4"/>
        <v>7.0000000000000001E-3</v>
      </c>
      <c r="C14" s="53">
        <f t="shared" si="5"/>
        <v>7.0000000000000001E-3</v>
      </c>
      <c r="D14" s="53">
        <f t="shared" si="6"/>
        <v>0</v>
      </c>
      <c r="E14" s="53">
        <f t="shared" si="7"/>
        <v>0</v>
      </c>
      <c r="F14" s="15">
        <v>3.2610000000000001</v>
      </c>
      <c r="G14" s="19">
        <v>2.46</v>
      </c>
      <c r="H14" s="24" t="s">
        <v>57</v>
      </c>
      <c r="I14" t="str">
        <f>VLOOKUP(A14,Planilha6!$BL$9:$BN$222,2,0)</f>
        <v>consumer_durables</v>
      </c>
      <c r="J14" t="str">
        <f>VLOOKUP(A14,Planilha6!$BL$9:$BN$222,3,0)</f>
        <v>very_low_beta</v>
      </c>
      <c r="K14" s="2">
        <v>7.0000000000000001E-3</v>
      </c>
      <c r="L14" s="2">
        <v>7.0000000000000001E-3</v>
      </c>
      <c r="M14" s="15">
        <v>84</v>
      </c>
      <c r="N14" s="41">
        <f>VLOOKUP(A14,'Mandato Smll'!$A$2:$C$215,2,0)</f>
        <v>1.3288999873824901E-2</v>
      </c>
      <c r="O14" s="59">
        <f t="shared" si="8"/>
        <v>-6.2889998738249004E-3</v>
      </c>
      <c r="P14" s="42">
        <f t="shared" si="9"/>
        <v>-6.2889998738249004E-3</v>
      </c>
      <c r="Q14" s="41">
        <f>VLOOKUP(A14,'Mandato Smll'!$A$2:$C$215,3,0)</f>
        <v>7.3549029246943202E-3</v>
      </c>
      <c r="R14" s="59">
        <f t="shared" si="10"/>
        <v>-3.5490292469432007E-4</v>
      </c>
      <c r="S14" s="15">
        <v>1</v>
      </c>
      <c r="T14" s="15">
        <v>0.90600000000000003</v>
      </c>
      <c r="U14" s="15">
        <v>1</v>
      </c>
      <c r="V14" s="15">
        <v>1</v>
      </c>
      <c r="W14" s="15">
        <v>1</v>
      </c>
      <c r="X14" s="15">
        <v>1</v>
      </c>
      <c r="Y14" s="15">
        <v>1</v>
      </c>
      <c r="Z14" s="15">
        <v>1</v>
      </c>
      <c r="AA14" s="15">
        <v>1</v>
      </c>
      <c r="AB14" s="15">
        <v>1</v>
      </c>
      <c r="AC14" s="15">
        <v>0.84699999999999998</v>
      </c>
      <c r="AD14" s="15">
        <v>0.80900000000000005</v>
      </c>
      <c r="AE14" s="15">
        <v>0.96599999999999997</v>
      </c>
      <c r="AF14" s="14">
        <v>1</v>
      </c>
      <c r="AG14" s="15">
        <v>1</v>
      </c>
      <c r="AH14" s="15">
        <v>0.17399999999999999</v>
      </c>
      <c r="AI14" s="15">
        <v>1</v>
      </c>
      <c r="AJ14" s="15">
        <v>-3.5999999999999997E-2</v>
      </c>
      <c r="AK14" s="9">
        <v>1</v>
      </c>
      <c r="AL14" s="4">
        <v>0.89300000000000002</v>
      </c>
      <c r="AM14" s="4">
        <v>1</v>
      </c>
      <c r="AN14" s="4">
        <v>0.503</v>
      </c>
      <c r="AO14" s="4">
        <v>0.72199999999999998</v>
      </c>
      <c r="AP14" s="4">
        <v>-0.35399999999999998</v>
      </c>
      <c r="AQ14" s="4">
        <v>-0.49299999999999999</v>
      </c>
      <c r="AR14" s="4">
        <v>0.36899999999999999</v>
      </c>
      <c r="AS14" s="4">
        <v>-0.124</v>
      </c>
      <c r="AT14" s="4">
        <v>-6.0000000000000001E-3</v>
      </c>
      <c r="AU14" s="4">
        <v>0.80800000000000005</v>
      </c>
      <c r="AV14" s="4">
        <v>-0.377</v>
      </c>
      <c r="AW14" s="4">
        <v>0.63700000000000001</v>
      </c>
      <c r="AX14" s="4">
        <v>0.36099999999999999</v>
      </c>
      <c r="AY14" s="4">
        <v>9.7000000000000003E-2</v>
      </c>
      <c r="AZ14" s="4">
        <v>0.67400000000000004</v>
      </c>
      <c r="BA14" s="4">
        <v>0.223</v>
      </c>
      <c r="BB14" s="4">
        <v>0.65500000000000003</v>
      </c>
      <c r="BC14" s="4">
        <v>0.318</v>
      </c>
      <c r="BD14" s="4">
        <v>0.317</v>
      </c>
      <c r="BE14" s="4">
        <v>0.50900000000000001</v>
      </c>
      <c r="BF14" s="4">
        <v>0.86399999999999999</v>
      </c>
      <c r="BG14" s="4">
        <v>1</v>
      </c>
      <c r="BH14" s="4">
        <v>0.73199999999999998</v>
      </c>
      <c r="BI14" s="4">
        <v>-0.45600000000000002</v>
      </c>
      <c r="BJ14" s="4">
        <v>-0.442</v>
      </c>
      <c r="BK14" s="4">
        <v>0.47099999999999997</v>
      </c>
      <c r="BL14" s="4">
        <v>0.79200000000000004</v>
      </c>
      <c r="BM14" s="4"/>
    </row>
    <row r="15" spans="1:65" hidden="1" x14ac:dyDescent="0.3">
      <c r="A15" s="19" t="s">
        <v>66</v>
      </c>
      <c r="B15" s="53">
        <f t="shared" si="4"/>
        <v>1.2E-2</v>
      </c>
      <c r="C15" s="53">
        <f t="shared" si="5"/>
        <v>1.2E-2</v>
      </c>
      <c r="D15" s="53">
        <f t="shared" si="6"/>
        <v>0</v>
      </c>
      <c r="E15" s="53">
        <f t="shared" si="7"/>
        <v>0</v>
      </c>
      <c r="F15" s="15">
        <v>3.2570000000000001</v>
      </c>
      <c r="G15" s="19">
        <v>2.484</v>
      </c>
      <c r="H15" s="24" t="s">
        <v>55</v>
      </c>
      <c r="I15" t="str">
        <f>VLOOKUP(A15,Planilha6!$BL$9:$BN$222,2,0)</f>
        <v>real_estate</v>
      </c>
      <c r="J15" t="str">
        <f>VLOOKUP(A15,Planilha6!$BL$9:$BN$222,3,0)</f>
        <v>neutral_beta</v>
      </c>
      <c r="K15" s="2">
        <v>1.2E-2</v>
      </c>
      <c r="L15" s="2">
        <v>1.2E-2</v>
      </c>
      <c r="M15" s="15">
        <v>84</v>
      </c>
      <c r="N15" s="41">
        <f>VLOOKUP(A15,'Mandato Smll'!$A$2:$C$215,2,0)</f>
        <v>1.37097565857754E-2</v>
      </c>
      <c r="O15" s="59">
        <f t="shared" si="8"/>
        <v>-1.7097565857754002E-3</v>
      </c>
      <c r="P15" s="42">
        <f t="shared" si="9"/>
        <v>-1.7097565857754002E-3</v>
      </c>
      <c r="Q15" s="41">
        <f>VLOOKUP(A15,'Mandato Smll'!$A$2:$C$215,3,0)</f>
        <v>0</v>
      </c>
      <c r="R15" s="59">
        <f t="shared" si="10"/>
        <v>1.2E-2</v>
      </c>
      <c r="S15" s="15">
        <v>0.97699999999999998</v>
      </c>
      <c r="T15" s="15">
        <v>0.59</v>
      </c>
      <c r="U15" s="15">
        <v>1</v>
      </c>
      <c r="V15" s="15">
        <v>0.90700000000000003</v>
      </c>
      <c r="W15" s="15">
        <v>0.96599999999999997</v>
      </c>
      <c r="X15" s="15">
        <v>0.96399999999999997</v>
      </c>
      <c r="Y15" s="15">
        <v>0.95899999999999996</v>
      </c>
      <c r="Z15" s="15">
        <v>0.97299999999999998</v>
      </c>
      <c r="AA15" s="15">
        <v>0.64200000000000002</v>
      </c>
      <c r="AB15" s="15">
        <v>0.64200000000000002</v>
      </c>
      <c r="AC15" s="15">
        <v>0.626</v>
      </c>
      <c r="AD15" s="15">
        <v>0.45700000000000002</v>
      </c>
      <c r="AE15" s="15">
        <v>0.79900000000000004</v>
      </c>
      <c r="AF15" s="14">
        <v>1</v>
      </c>
      <c r="AG15" s="15">
        <v>1</v>
      </c>
      <c r="AH15" s="15">
        <v>-0.379</v>
      </c>
      <c r="AI15" s="15">
        <v>1</v>
      </c>
      <c r="AJ15" s="15">
        <v>0.193</v>
      </c>
      <c r="AK15" s="9">
        <v>1</v>
      </c>
      <c r="AL15" s="4">
        <v>0.33400000000000002</v>
      </c>
      <c r="AM15" s="4">
        <v>1</v>
      </c>
      <c r="AN15" s="4">
        <v>0.19900000000000001</v>
      </c>
      <c r="AO15" s="4">
        <v>-0.22500000000000001</v>
      </c>
      <c r="AP15" s="4">
        <v>-0.224</v>
      </c>
      <c r="AQ15" s="4">
        <v>-0.27800000000000002</v>
      </c>
      <c r="AR15" s="4">
        <v>0.71899999999999997</v>
      </c>
      <c r="AS15" s="4">
        <v>-0.751</v>
      </c>
      <c r="AT15" s="4">
        <v>1.0999999999999999E-2</v>
      </c>
      <c r="AU15" s="4">
        <v>4.0000000000000001E-3</v>
      </c>
      <c r="AV15" s="4">
        <v>0.18</v>
      </c>
      <c r="AW15" s="4">
        <v>0.53300000000000003</v>
      </c>
      <c r="AX15" s="4">
        <v>0.247</v>
      </c>
      <c r="AY15" s="4">
        <v>-0.371</v>
      </c>
      <c r="AZ15" s="4">
        <v>0.35199999999999998</v>
      </c>
      <c r="BA15" s="4">
        <v>0.25600000000000001</v>
      </c>
      <c r="BB15" s="4">
        <v>0.14499999999999999</v>
      </c>
      <c r="BC15" s="4">
        <v>0.68600000000000005</v>
      </c>
      <c r="BD15" s="4">
        <v>1</v>
      </c>
      <c r="BE15" s="4">
        <v>0.72</v>
      </c>
      <c r="BF15" s="4">
        <v>0.83399999999999996</v>
      </c>
      <c r="BG15" s="4">
        <v>1</v>
      </c>
      <c r="BH15" s="4">
        <v>0.33500000000000002</v>
      </c>
      <c r="BI15" s="4">
        <v>-0.90600000000000003</v>
      </c>
      <c r="BJ15" s="4">
        <v>0.26</v>
      </c>
      <c r="BK15" s="4">
        <v>0.61799999999999999</v>
      </c>
      <c r="BL15" s="4">
        <v>0.77100000000000002</v>
      </c>
      <c r="BM15" s="4"/>
    </row>
    <row r="16" spans="1:65" hidden="1" x14ac:dyDescent="0.3">
      <c r="A16" s="19" t="s">
        <v>67</v>
      </c>
      <c r="B16" s="53">
        <f t="shared" si="4"/>
        <v>1.2999999999999999E-2</v>
      </c>
      <c r="C16" s="53">
        <f t="shared" si="5"/>
        <v>1.2999999999999999E-2</v>
      </c>
      <c r="D16" s="53">
        <f t="shared" si="6"/>
        <v>0</v>
      </c>
      <c r="E16" s="53">
        <f t="shared" si="7"/>
        <v>0</v>
      </c>
      <c r="F16" s="15">
        <v>3.2280000000000002</v>
      </c>
      <c r="G16" s="19">
        <v>2.8690000000000002</v>
      </c>
      <c r="H16" s="24" t="s">
        <v>68</v>
      </c>
      <c r="I16" t="str">
        <f>VLOOKUP(A16,Planilha6!$BL$9:$BN$222,2,0)</f>
        <v>capital_goods</v>
      </c>
      <c r="J16" t="str">
        <f>VLOOKUP(A16,Planilha6!$BL$9:$BN$222,3,0)</f>
        <v>neutral_beta</v>
      </c>
      <c r="K16" s="2">
        <v>1.2999999999999999E-2</v>
      </c>
      <c r="L16" s="2">
        <v>1.2999999999999999E-2</v>
      </c>
      <c r="M16" s="15">
        <v>84</v>
      </c>
      <c r="N16" s="41">
        <f>VLOOKUP(A16,'Mandato Smll'!$A$2:$C$215,2,0)</f>
        <v>1.3155856797116601E-2</v>
      </c>
      <c r="O16" s="59">
        <f t="shared" si="8"/>
        <v>-1.5585679711660125E-4</v>
      </c>
      <c r="P16" s="42">
        <f t="shared" si="9"/>
        <v>-1.5585679711660125E-4</v>
      </c>
      <c r="Q16" s="41">
        <f>VLOOKUP(A16,'Mandato Smll'!$A$2:$C$215,3,0)</f>
        <v>0</v>
      </c>
      <c r="R16" s="59">
        <f t="shared" si="10"/>
        <v>1.2999999999999999E-2</v>
      </c>
      <c r="S16" s="15">
        <v>0.83899999999999997</v>
      </c>
      <c r="T16" s="15">
        <v>0.877</v>
      </c>
      <c r="U16" s="15">
        <v>0.67200000000000004</v>
      </c>
      <c r="V16" s="15">
        <v>0.93200000000000005</v>
      </c>
      <c r="W16" s="15">
        <v>1</v>
      </c>
      <c r="X16" s="15">
        <v>1</v>
      </c>
      <c r="Y16" s="15">
        <v>1</v>
      </c>
      <c r="Z16" s="15">
        <v>1</v>
      </c>
      <c r="AA16" s="15">
        <v>0.64200000000000002</v>
      </c>
      <c r="AB16" s="15">
        <v>0.64700000000000002</v>
      </c>
      <c r="AC16" s="15">
        <v>0.80800000000000005</v>
      </c>
      <c r="AD16" s="15">
        <v>0.75600000000000001</v>
      </c>
      <c r="AE16" s="15">
        <v>0.70399999999999996</v>
      </c>
      <c r="AF16" s="14">
        <v>1</v>
      </c>
      <c r="AG16" s="15">
        <v>1</v>
      </c>
      <c r="AH16" s="15">
        <v>-0.19700000000000001</v>
      </c>
      <c r="AI16" s="15">
        <v>-0.41899999999999998</v>
      </c>
      <c r="AJ16" s="15">
        <v>-0.26100000000000001</v>
      </c>
      <c r="AK16" s="9">
        <v>0.40500000000000003</v>
      </c>
      <c r="AL16" s="4">
        <v>-3.0000000000000001E-3</v>
      </c>
      <c r="AM16" s="4">
        <v>0.60099999999999998</v>
      </c>
      <c r="AN16" s="4">
        <v>-0.61399999999999999</v>
      </c>
      <c r="AO16" s="4">
        <v>0.42899999999999999</v>
      </c>
      <c r="AP16" s="4">
        <v>-0.10299999999999999</v>
      </c>
      <c r="AQ16" s="4">
        <v>0.28599999999999998</v>
      </c>
      <c r="AR16" s="4">
        <v>0.94099999999999995</v>
      </c>
      <c r="AS16" s="4">
        <v>0.126</v>
      </c>
      <c r="AT16" s="4">
        <v>-0.52700000000000002</v>
      </c>
      <c r="AU16" s="4">
        <v>0.71899999999999997</v>
      </c>
      <c r="AV16" s="4">
        <v>-2.9000000000000001E-2</v>
      </c>
      <c r="AW16" s="4">
        <v>0.53900000000000003</v>
      </c>
      <c r="AX16" s="4">
        <v>0.42</v>
      </c>
      <c r="AY16" s="4">
        <v>0.16300000000000001</v>
      </c>
      <c r="AZ16" s="4">
        <v>0.91</v>
      </c>
      <c r="BA16" s="4">
        <v>1</v>
      </c>
      <c r="BB16" s="4">
        <v>0.58099999999999996</v>
      </c>
      <c r="BC16" s="4">
        <v>-4.5999999999999999E-2</v>
      </c>
      <c r="BD16" s="4">
        <v>-0.16700000000000001</v>
      </c>
      <c r="BE16" s="4">
        <v>0.22</v>
      </c>
      <c r="BF16" s="4">
        <v>-0.34499999999999997</v>
      </c>
      <c r="BG16" s="4">
        <v>-0.61699999999999999</v>
      </c>
      <c r="BH16" s="4">
        <v>0.56299999999999994</v>
      </c>
      <c r="BI16" s="4">
        <v>-0.98899999999999999</v>
      </c>
      <c r="BJ16" s="4">
        <v>0.35499999999999998</v>
      </c>
      <c r="BK16" s="4">
        <v>0.72</v>
      </c>
      <c r="BL16" s="4">
        <v>-0.20899999999999999</v>
      </c>
      <c r="BM16" s="4"/>
    </row>
    <row r="17" spans="1:65" hidden="1" x14ac:dyDescent="0.3">
      <c r="A17" s="19" t="s">
        <v>100</v>
      </c>
      <c r="B17" s="53">
        <f t="shared" si="4"/>
        <v>1.2999999999999999E-2</v>
      </c>
      <c r="C17" s="53">
        <f t="shared" si="5"/>
        <v>1.2999999999999999E-2</v>
      </c>
      <c r="D17" s="53">
        <f t="shared" si="6"/>
        <v>0</v>
      </c>
      <c r="E17" s="53">
        <f t="shared" si="7"/>
        <v>0</v>
      </c>
      <c r="F17" s="15">
        <v>3.1320000000000001</v>
      </c>
      <c r="G17" s="19">
        <v>3.8820000000000001</v>
      </c>
      <c r="H17" s="24" t="s">
        <v>68</v>
      </c>
      <c r="I17" t="str">
        <f>VLOOKUP(A17,Planilha6!$BL$9:$BN$222,2,0)</f>
        <v>capital_goods</v>
      </c>
      <c r="J17" t="str">
        <f>VLOOKUP(A17,Planilha6!$BL$9:$BN$222,3,0)</f>
        <v>low_beta</v>
      </c>
      <c r="K17" s="2">
        <v>1.2999999999999999E-2</v>
      </c>
      <c r="L17" s="2">
        <v>1.2999999999999999E-2</v>
      </c>
      <c r="M17" s="15">
        <v>84</v>
      </c>
      <c r="N17" s="41">
        <f>VLOOKUP(A17,'Mandato Smll'!$A$2:$C$215,2,0)</f>
        <v>1.27655251063983E-2</v>
      </c>
      <c r="O17" s="59">
        <f t="shared" si="8"/>
        <v>2.3447489360169972E-4</v>
      </c>
      <c r="P17" s="42">
        <f t="shared" si="9"/>
        <v>2.3447489360169972E-4</v>
      </c>
      <c r="Q17" s="41">
        <f>VLOOKUP(A17,'Mandato Smll'!$A$2:$C$215,3,0)</f>
        <v>6.83493284775281E-3</v>
      </c>
      <c r="R17" s="59">
        <f t="shared" si="10"/>
        <v>6.1650671522471895E-3</v>
      </c>
      <c r="S17" s="15">
        <v>0.72099999999999997</v>
      </c>
      <c r="T17" s="15">
        <v>0.878</v>
      </c>
      <c r="U17" s="15">
        <v>0.70799999999999996</v>
      </c>
      <c r="V17" s="15">
        <v>0.28199999999999997</v>
      </c>
      <c r="W17" s="15">
        <v>0.70599999999999996</v>
      </c>
      <c r="X17" s="15">
        <v>0.77800000000000002</v>
      </c>
      <c r="Y17" s="15">
        <v>0.84</v>
      </c>
      <c r="Z17" s="15">
        <v>0.77</v>
      </c>
      <c r="AA17" s="15">
        <v>0.98199999999999998</v>
      </c>
      <c r="AB17" s="15">
        <v>0.98199999999999998</v>
      </c>
      <c r="AC17" s="15">
        <v>0.92100000000000004</v>
      </c>
      <c r="AD17" s="15">
        <v>0.97399999999999998</v>
      </c>
      <c r="AE17" s="15">
        <v>0.97599999999999998</v>
      </c>
      <c r="AF17" s="14">
        <v>-0.33400000000000002</v>
      </c>
      <c r="AG17" s="15">
        <v>-0.29599999999999999</v>
      </c>
      <c r="AH17" s="15">
        <v>0.308</v>
      </c>
      <c r="AI17" s="15">
        <v>0.127</v>
      </c>
      <c r="AJ17" s="15">
        <v>0.94699999999999995</v>
      </c>
      <c r="AK17" s="9">
        <v>-0.13500000000000001</v>
      </c>
      <c r="AL17" s="4">
        <v>-4.5999999999999999E-2</v>
      </c>
      <c r="AM17" s="4">
        <v>0.33</v>
      </c>
      <c r="AN17" s="4">
        <v>-0.42599999999999999</v>
      </c>
      <c r="AO17" s="4">
        <v>0.436</v>
      </c>
      <c r="AP17" s="4">
        <v>0.439</v>
      </c>
      <c r="AQ17" s="4">
        <v>0.29399999999999998</v>
      </c>
      <c r="AR17" s="4">
        <v>-4.3999999999999997E-2</v>
      </c>
      <c r="AS17" s="4">
        <v>0.28000000000000003</v>
      </c>
      <c r="AT17" s="4">
        <v>0.16900000000000001</v>
      </c>
      <c r="AU17" s="4">
        <v>0.36</v>
      </c>
      <c r="AV17" s="4">
        <v>-0.14299999999999999</v>
      </c>
      <c r="AW17" s="4">
        <v>-0.152</v>
      </c>
      <c r="AX17" s="4">
        <v>0.73299999999999998</v>
      </c>
      <c r="AY17" s="4">
        <v>0.49399999999999999</v>
      </c>
      <c r="AZ17" s="4">
        <v>0.90500000000000003</v>
      </c>
      <c r="BA17" s="4">
        <v>0.70599999999999996</v>
      </c>
      <c r="BB17" s="4">
        <v>0.81399999999999995</v>
      </c>
      <c r="BC17" s="4">
        <v>-0.14399999999999999</v>
      </c>
      <c r="BD17" s="4">
        <v>-0.183</v>
      </c>
      <c r="BE17" s="4">
        <v>-4.4999999999999998E-2</v>
      </c>
      <c r="BF17" s="4">
        <v>0.26900000000000002</v>
      </c>
      <c r="BG17" s="4">
        <v>0.31</v>
      </c>
      <c r="BH17" s="4">
        <v>1</v>
      </c>
      <c r="BI17" s="4">
        <v>-0.443</v>
      </c>
      <c r="BJ17" s="4">
        <v>-2.3E-2</v>
      </c>
      <c r="BK17" s="4">
        <v>0.85799999999999998</v>
      </c>
      <c r="BL17" s="4">
        <v>0.28599999999999998</v>
      </c>
      <c r="BM17" s="4"/>
    </row>
    <row r="18" spans="1:65" hidden="1" x14ac:dyDescent="0.3">
      <c r="A18" s="19" t="s">
        <v>54</v>
      </c>
      <c r="B18" s="53">
        <f t="shared" si="4"/>
        <v>1.4E-2</v>
      </c>
      <c r="C18" s="53">
        <f t="shared" si="5"/>
        <v>1.4E-2</v>
      </c>
      <c r="D18" s="53">
        <f t="shared" si="6"/>
        <v>0</v>
      </c>
      <c r="E18" s="53">
        <f t="shared" si="7"/>
        <v>0</v>
      </c>
      <c r="F18" s="15">
        <v>3.0819999999999999</v>
      </c>
      <c r="G18" s="19">
        <v>3.1040000000000001</v>
      </c>
      <c r="H18" s="24" t="s">
        <v>55</v>
      </c>
      <c r="I18" t="str">
        <f>VLOOKUP(A18,Planilha6!$BL$9:$BN$222,2,0)</f>
        <v>telecom</v>
      </c>
      <c r="J18" t="str">
        <f>VLOOKUP(A18,Planilha6!$BL$9:$BN$222,3,0)</f>
        <v>low_beta</v>
      </c>
      <c r="K18" s="2">
        <v>1.4E-2</v>
      </c>
      <c r="L18" s="2">
        <v>1.4E-2</v>
      </c>
      <c r="M18" s="15">
        <v>84</v>
      </c>
      <c r="N18" s="41">
        <f>VLOOKUP(A18,'Mandato Smll'!$A$2:$C$215,2,0)</f>
        <v>1.25612285385909E-2</v>
      </c>
      <c r="O18" s="59">
        <f t="shared" si="8"/>
        <v>1.4387714614091003E-3</v>
      </c>
      <c r="P18" s="42">
        <f t="shared" si="9"/>
        <v>1.4387714614091003E-3</v>
      </c>
      <c r="Q18" s="41">
        <f>VLOOKUP(A18,'Mandato Smll'!$A$2:$C$215,3,0)</f>
        <v>1.18077870820744E-2</v>
      </c>
      <c r="R18" s="59">
        <f t="shared" si="10"/>
        <v>2.1922129179256008E-3</v>
      </c>
      <c r="S18" s="15">
        <v>0.88600000000000001</v>
      </c>
      <c r="T18" s="15">
        <v>0.82299999999999995</v>
      </c>
      <c r="U18" s="15">
        <v>0.71299999999999997</v>
      </c>
      <c r="V18" s="15">
        <v>0.99399999999999999</v>
      </c>
      <c r="W18" s="15">
        <v>0.95199999999999996</v>
      </c>
      <c r="X18" s="15">
        <v>0.64200000000000002</v>
      </c>
      <c r="Y18" s="15">
        <v>0.61599999999999999</v>
      </c>
      <c r="Z18" s="15">
        <v>0.58499999999999996</v>
      </c>
      <c r="AA18" s="15">
        <v>0.66800000000000004</v>
      </c>
      <c r="AB18" s="15">
        <v>0.67600000000000005</v>
      </c>
      <c r="AC18" s="15">
        <v>1</v>
      </c>
      <c r="AD18" s="15">
        <v>1</v>
      </c>
      <c r="AE18" s="15">
        <v>1</v>
      </c>
      <c r="AF18" s="14">
        <v>0.629</v>
      </c>
      <c r="AG18" s="15">
        <v>-1.2E-2</v>
      </c>
      <c r="AH18" s="15">
        <v>0.84699999999999998</v>
      </c>
      <c r="AI18" s="15">
        <v>-0.23400000000000001</v>
      </c>
      <c r="AJ18" s="15">
        <v>1</v>
      </c>
      <c r="AK18" s="9">
        <v>1</v>
      </c>
      <c r="AL18" s="4">
        <v>-0.23</v>
      </c>
      <c r="AM18" s="4">
        <v>9.0999999999999998E-2</v>
      </c>
      <c r="AN18" s="4">
        <v>-0.76800000000000002</v>
      </c>
      <c r="AO18" s="4">
        <v>8.9999999999999993E-3</v>
      </c>
      <c r="AP18" s="4">
        <v>0.871</v>
      </c>
      <c r="AQ18" s="4">
        <v>0.81299999999999994</v>
      </c>
      <c r="AR18" s="4">
        <v>0.29799999999999999</v>
      </c>
      <c r="AS18" s="4">
        <v>0.19900000000000001</v>
      </c>
      <c r="AT18" s="4">
        <v>0.439</v>
      </c>
      <c r="AU18" s="4">
        <v>0.52300000000000002</v>
      </c>
      <c r="AV18" s="4">
        <v>0.36</v>
      </c>
      <c r="AW18" s="4">
        <v>0.72199999999999998</v>
      </c>
      <c r="AX18" s="4">
        <v>0.44600000000000001</v>
      </c>
      <c r="AY18" s="4">
        <v>-6.8000000000000005E-2</v>
      </c>
      <c r="AZ18" s="4">
        <v>0.93</v>
      </c>
      <c r="BA18" s="4">
        <v>-0.66100000000000003</v>
      </c>
      <c r="BB18" s="4">
        <v>0.85099999999999998</v>
      </c>
      <c r="BC18" s="4">
        <v>-0.161</v>
      </c>
      <c r="BD18" s="4">
        <v>-0.29699999999999999</v>
      </c>
      <c r="BE18" s="4">
        <v>0.59699999999999998</v>
      </c>
      <c r="BF18" s="4">
        <v>-1</v>
      </c>
      <c r="BG18" s="4">
        <v>-0.32</v>
      </c>
      <c r="BH18" s="4">
        <v>-0.17</v>
      </c>
      <c r="BI18" s="4">
        <v>-0.54100000000000004</v>
      </c>
      <c r="BJ18" s="4">
        <v>-0.36099999999999999</v>
      </c>
      <c r="BK18" s="4">
        <v>0.7</v>
      </c>
      <c r="BL18" s="4">
        <v>0.46800000000000003</v>
      </c>
      <c r="BM18" s="4"/>
    </row>
    <row r="19" spans="1:65" hidden="1" x14ac:dyDescent="0.3">
      <c r="A19" s="19" t="s">
        <v>86</v>
      </c>
      <c r="B19" s="53">
        <f t="shared" si="4"/>
        <v>1.9E-2</v>
      </c>
      <c r="C19" s="53">
        <f t="shared" si="5"/>
        <v>1.9E-2</v>
      </c>
      <c r="D19" s="53">
        <f t="shared" si="6"/>
        <v>0</v>
      </c>
      <c r="E19" s="53">
        <f t="shared" si="7"/>
        <v>0</v>
      </c>
      <c r="F19" s="15">
        <v>3.077</v>
      </c>
      <c r="G19" s="19">
        <v>3.02</v>
      </c>
      <c r="H19" s="24" t="s">
        <v>57</v>
      </c>
      <c r="I19" t="str">
        <f>VLOOKUP(A19,Planilha6!$BL$9:$BN$222,2,0)</f>
        <v>homebuilders</v>
      </c>
      <c r="J19" t="str">
        <f>VLOOKUP(A19,Planilha6!$BL$9:$BN$222,3,0)</f>
        <v>neutral_beta</v>
      </c>
      <c r="K19" s="2">
        <v>1.9E-2</v>
      </c>
      <c r="L19" s="2">
        <v>1.9E-2</v>
      </c>
      <c r="M19" s="15">
        <v>84</v>
      </c>
      <c r="N19" s="41">
        <f>VLOOKUP(A19,'Mandato Smll'!$A$2:$C$215,2,0)</f>
        <v>1.25414119934856E-2</v>
      </c>
      <c r="O19" s="59">
        <f t="shared" si="8"/>
        <v>6.4585880065143996E-3</v>
      </c>
      <c r="P19" s="42">
        <f t="shared" si="9"/>
        <v>6.4585880065143996E-3</v>
      </c>
      <c r="Q19" s="41">
        <f>VLOOKUP(A19,'Mandato Smll'!$A$2:$C$215,3,0)</f>
        <v>7.2027054168184602E-3</v>
      </c>
      <c r="R19" s="59">
        <f t="shared" si="10"/>
        <v>1.1797294583181539E-2</v>
      </c>
      <c r="S19" s="15">
        <v>0.879</v>
      </c>
      <c r="T19" s="15">
        <v>0.60399999999999998</v>
      </c>
      <c r="U19" s="15">
        <v>0.94699999999999995</v>
      </c>
      <c r="V19" s="15">
        <v>0.57799999999999996</v>
      </c>
      <c r="W19" s="15">
        <v>0.76</v>
      </c>
      <c r="X19" s="15">
        <v>0.77</v>
      </c>
      <c r="Y19" s="15">
        <v>0.73199999999999998</v>
      </c>
      <c r="Z19" s="15">
        <v>0.68500000000000005</v>
      </c>
      <c r="AA19" s="15">
        <v>0.68500000000000005</v>
      </c>
      <c r="AB19" s="15">
        <v>0.68700000000000006</v>
      </c>
      <c r="AC19" s="15">
        <v>1</v>
      </c>
      <c r="AD19" s="15">
        <v>0.95299999999999996</v>
      </c>
      <c r="AE19" s="15">
        <v>0.91700000000000004</v>
      </c>
      <c r="AF19" s="14">
        <v>0.52700000000000002</v>
      </c>
      <c r="AG19" s="15">
        <v>0.46500000000000002</v>
      </c>
      <c r="AH19" s="15">
        <v>0.502</v>
      </c>
      <c r="AI19" s="15">
        <v>1</v>
      </c>
      <c r="AJ19" s="15">
        <v>0.96599999999999997</v>
      </c>
      <c r="AK19" s="9">
        <v>1.7999999999999999E-2</v>
      </c>
      <c r="AL19" s="4">
        <v>-0.107</v>
      </c>
      <c r="AM19" s="4">
        <v>0.71399999999999997</v>
      </c>
      <c r="AN19" s="4">
        <v>0.31900000000000001</v>
      </c>
      <c r="AO19" s="4">
        <v>0.34899999999999998</v>
      </c>
      <c r="AP19" s="4">
        <v>1.0999999999999999E-2</v>
      </c>
      <c r="AQ19" s="4">
        <v>0.21</v>
      </c>
      <c r="AR19" s="4">
        <v>0.26300000000000001</v>
      </c>
      <c r="AS19" s="4">
        <v>0.13600000000000001</v>
      </c>
      <c r="AT19" s="4">
        <v>-8.1000000000000003E-2</v>
      </c>
      <c r="AU19" s="4">
        <v>1.2999999999999999E-2</v>
      </c>
      <c r="AV19" s="4">
        <v>-0.221</v>
      </c>
      <c r="AW19" s="4">
        <v>7.6999999999999999E-2</v>
      </c>
      <c r="AX19" s="4">
        <v>-6.4000000000000001E-2</v>
      </c>
      <c r="AY19" s="4">
        <v>-0.28499999999999998</v>
      </c>
      <c r="AZ19" s="4">
        <v>0.76500000000000001</v>
      </c>
      <c r="BA19" s="4">
        <v>0.183</v>
      </c>
      <c r="BB19" s="4">
        <v>0.55800000000000005</v>
      </c>
      <c r="BC19" s="4">
        <v>4.8000000000000001E-2</v>
      </c>
      <c r="BD19" s="4">
        <v>-0.27500000000000002</v>
      </c>
      <c r="BE19" s="4">
        <v>0.13100000000000001</v>
      </c>
      <c r="BF19" s="4">
        <v>6.4000000000000001E-2</v>
      </c>
      <c r="BG19" s="4">
        <v>3.0000000000000001E-3</v>
      </c>
      <c r="BH19" s="4">
        <v>0.91700000000000004</v>
      </c>
      <c r="BI19" s="4">
        <v>-0.14199999999999999</v>
      </c>
      <c r="BJ19" s="4">
        <v>0.23300000000000001</v>
      </c>
      <c r="BK19" s="4">
        <v>0.59499999999999997</v>
      </c>
      <c r="BL19" s="4">
        <v>0.83699999999999997</v>
      </c>
      <c r="BM19" s="4"/>
    </row>
    <row r="20" spans="1:65" x14ac:dyDescent="0.3">
      <c r="A20" s="19" t="s">
        <v>73</v>
      </c>
      <c r="B20" s="53">
        <v>0.02</v>
      </c>
      <c r="C20" s="53">
        <f t="shared" si="5"/>
        <v>0.01</v>
      </c>
      <c r="D20" s="53">
        <f t="shared" si="6"/>
        <v>6.0000000000000001E-3</v>
      </c>
      <c r="E20" s="53">
        <f t="shared" si="7"/>
        <v>0.01</v>
      </c>
      <c r="F20" s="15">
        <v>3.0529999999999999</v>
      </c>
      <c r="G20" s="19">
        <v>4.7220000000000004</v>
      </c>
      <c r="H20" s="24" t="s">
        <v>57</v>
      </c>
      <c r="I20" t="str">
        <f>VLOOKUP(A20,Planilha6!$BL$9:$BN$222,2,0)</f>
        <v>banks</v>
      </c>
      <c r="J20" t="str">
        <f>VLOOKUP(A20,Planilha6!$BL$9:$BN$222,3,0)</f>
        <v>high_beta</v>
      </c>
      <c r="K20" s="2">
        <v>1.4E-2</v>
      </c>
      <c r="L20" s="2">
        <v>4.0000000000000001E-3</v>
      </c>
      <c r="M20" s="15">
        <v>84</v>
      </c>
      <c r="N20" s="41">
        <f>VLOOKUP(A20,'Mandato Smll'!$A$2:$C$215,2,0)</f>
        <v>3.2247886779500003E-2</v>
      </c>
      <c r="O20" s="59">
        <f t="shared" si="8"/>
        <v>-1.8247886779500004E-2</v>
      </c>
      <c r="P20" s="42">
        <f t="shared" si="9"/>
        <v>-1.2247886779500002E-2</v>
      </c>
      <c r="Q20" s="41">
        <f>VLOOKUP(A20,'Mandato Smll'!$A$2:$C$215,3,0)</f>
        <v>2.8259775535961401E-2</v>
      </c>
      <c r="R20" s="59">
        <f t="shared" si="10"/>
        <v>-1.4259775535961401E-2</v>
      </c>
      <c r="S20" s="15">
        <v>0.72199999999999998</v>
      </c>
      <c r="T20" s="15">
        <v>0.82199999999999995</v>
      </c>
      <c r="U20" s="15">
        <v>0.38300000000000001</v>
      </c>
      <c r="V20" s="15">
        <v>0.77</v>
      </c>
      <c r="W20" s="15">
        <v>0.83499999999999996</v>
      </c>
      <c r="X20" s="15">
        <v>0.66200000000000003</v>
      </c>
      <c r="Y20" s="15">
        <v>0.56899999999999995</v>
      </c>
      <c r="Z20" s="15">
        <v>0.68200000000000005</v>
      </c>
      <c r="AA20" s="15">
        <v>1</v>
      </c>
      <c r="AB20" s="15">
        <v>1</v>
      </c>
      <c r="AC20" s="15">
        <v>0.95699999999999996</v>
      </c>
      <c r="AD20" s="15">
        <v>0.98499999999999999</v>
      </c>
      <c r="AE20" s="15">
        <v>1</v>
      </c>
      <c r="AF20" s="14">
        <v>2E-3</v>
      </c>
      <c r="AG20" s="15">
        <v>0.92</v>
      </c>
      <c r="AH20" s="15">
        <v>1</v>
      </c>
      <c r="AI20" s="15">
        <v>-9.1999999999999998E-2</v>
      </c>
      <c r="AJ20" s="15">
        <v>0.3</v>
      </c>
      <c r="AK20" s="9">
        <v>-0.51600000000000001</v>
      </c>
      <c r="AL20" s="4">
        <v>6.7000000000000004E-2</v>
      </c>
      <c r="AM20" s="4">
        <v>0.28399999999999997</v>
      </c>
      <c r="AN20" s="4">
        <v>0.45600000000000002</v>
      </c>
      <c r="AO20" s="4">
        <v>0.40100000000000002</v>
      </c>
      <c r="AP20" s="4">
        <v>0.626</v>
      </c>
      <c r="AQ20" s="4">
        <v>0.129</v>
      </c>
      <c r="AR20" s="4">
        <v>0.23899999999999999</v>
      </c>
      <c r="AS20" s="4">
        <v>0.56599999999999995</v>
      </c>
      <c r="AT20" s="4">
        <v>0.68300000000000005</v>
      </c>
      <c r="AU20" s="4">
        <v>7.3999999999999996E-2</v>
      </c>
      <c r="AV20" s="4">
        <v>-0.17599999999999999</v>
      </c>
      <c r="AW20" s="4">
        <v>-0.128</v>
      </c>
      <c r="AX20" s="4">
        <v>0.45500000000000002</v>
      </c>
      <c r="AY20" s="4">
        <v>-0.56299999999999994</v>
      </c>
      <c r="AZ20" s="4">
        <v>0.71399999999999997</v>
      </c>
      <c r="BA20" s="4">
        <v>0.39700000000000002</v>
      </c>
      <c r="BB20" s="4">
        <v>0.39</v>
      </c>
      <c r="BC20" s="4">
        <v>-0.151</v>
      </c>
      <c r="BD20" s="4">
        <v>-6.6000000000000003E-2</v>
      </c>
      <c r="BE20" s="4">
        <v>0.45400000000000001</v>
      </c>
      <c r="BF20" s="4">
        <v>0.49399999999999999</v>
      </c>
      <c r="BG20" s="4">
        <v>1</v>
      </c>
      <c r="BH20" s="4">
        <v>0.46600000000000003</v>
      </c>
      <c r="BI20" s="4">
        <v>-0.57999999999999996</v>
      </c>
      <c r="BJ20" s="4">
        <v>3.5000000000000003E-2</v>
      </c>
      <c r="BK20" s="4">
        <v>0.20699999999999999</v>
      </c>
      <c r="BL20" s="4">
        <v>0.40300000000000002</v>
      </c>
      <c r="BM20" s="4"/>
    </row>
    <row r="21" spans="1:65" hidden="1" x14ac:dyDescent="0.3">
      <c r="A21" s="19" t="s">
        <v>58</v>
      </c>
      <c r="B21" s="53">
        <f t="shared" si="4"/>
        <v>1.2E-2</v>
      </c>
      <c r="C21" s="53">
        <f t="shared" si="5"/>
        <v>8.9999999999999993E-3</v>
      </c>
      <c r="D21" s="53">
        <f t="shared" si="6"/>
        <v>0</v>
      </c>
      <c r="E21" s="53">
        <f t="shared" si="7"/>
        <v>3.0000000000000009E-3</v>
      </c>
      <c r="F21" s="15">
        <v>3.0070000000000001</v>
      </c>
      <c r="G21" s="19">
        <v>3.452</v>
      </c>
      <c r="H21" s="24" t="s">
        <v>57</v>
      </c>
      <c r="I21" t="str">
        <f>VLOOKUP(A21,Planilha6!$BL$9:$BN$222,2,0)</f>
        <v>apparel</v>
      </c>
      <c r="J21" t="str">
        <f>VLOOKUP(A21,Planilha6!$BL$9:$BN$222,3,0)</f>
        <v>very_low_beta</v>
      </c>
      <c r="K21" s="2">
        <v>1.2E-2</v>
      </c>
      <c r="L21" s="2">
        <v>8.9999999999999993E-3</v>
      </c>
      <c r="M21" s="15">
        <v>84</v>
      </c>
      <c r="N21" s="41">
        <f>VLOOKUP(A21,'Mandato Smll'!$A$2:$C$215,2,0)</f>
        <v>1.59334397117399E-2</v>
      </c>
      <c r="O21" s="59">
        <f t="shared" si="8"/>
        <v>-3.9334397117399E-3</v>
      </c>
      <c r="P21" s="42">
        <f t="shared" si="9"/>
        <v>-3.9334397117399E-3</v>
      </c>
      <c r="Q21" s="41">
        <f>VLOOKUP(A21,'Mandato Smll'!$A$2:$C$215,3,0)</f>
        <v>9.2750914184114904E-3</v>
      </c>
      <c r="R21" s="59">
        <f t="shared" si="10"/>
        <v>2.7249085815885098E-3</v>
      </c>
      <c r="S21" s="15">
        <v>0.69</v>
      </c>
      <c r="T21" s="15">
        <v>0.625</v>
      </c>
      <c r="U21" s="15">
        <v>0.44800000000000001</v>
      </c>
      <c r="V21" s="15">
        <v>0.53200000000000003</v>
      </c>
      <c r="W21" s="15">
        <v>0.623</v>
      </c>
      <c r="X21" s="15">
        <v>0.90700000000000003</v>
      </c>
      <c r="Y21" s="15">
        <v>1</v>
      </c>
      <c r="Z21" s="15">
        <v>1</v>
      </c>
      <c r="AA21" s="15">
        <v>0.59</v>
      </c>
      <c r="AB21" s="15">
        <v>0.59699999999999998</v>
      </c>
      <c r="AC21" s="15">
        <v>0.79100000000000004</v>
      </c>
      <c r="AD21" s="15">
        <v>0.77</v>
      </c>
      <c r="AE21" s="15">
        <v>0.747</v>
      </c>
      <c r="AF21" s="14">
        <v>0.93400000000000005</v>
      </c>
      <c r="AG21" s="15">
        <v>-5.0999999999999997E-2</v>
      </c>
      <c r="AH21" s="15">
        <v>-0.36499999999999999</v>
      </c>
      <c r="AI21" s="15">
        <v>-8.2000000000000003E-2</v>
      </c>
      <c r="AJ21" s="15">
        <v>-0.23</v>
      </c>
      <c r="AK21" s="9">
        <v>1</v>
      </c>
      <c r="AL21" s="4">
        <v>-9.4E-2</v>
      </c>
      <c r="AM21" s="4">
        <v>0.94799999999999995</v>
      </c>
      <c r="AN21" s="4">
        <v>-0.50600000000000001</v>
      </c>
      <c r="AO21" s="4">
        <v>0.65700000000000003</v>
      </c>
      <c r="AP21" s="4">
        <v>0.14000000000000001</v>
      </c>
      <c r="AQ21" s="4">
        <v>1.2999999999999999E-2</v>
      </c>
      <c r="AR21" s="4">
        <v>8.1000000000000003E-2</v>
      </c>
      <c r="AS21" s="4">
        <v>-1E-3</v>
      </c>
      <c r="AT21" s="4">
        <v>-0.46700000000000003</v>
      </c>
      <c r="AU21" s="4">
        <v>0.308</v>
      </c>
      <c r="AV21" s="4">
        <v>-7.0000000000000001E-3</v>
      </c>
      <c r="AW21" s="4">
        <v>0.38600000000000001</v>
      </c>
      <c r="AX21" s="4">
        <v>0.495</v>
      </c>
      <c r="AY21" s="4">
        <v>0.83499999999999996</v>
      </c>
      <c r="AZ21" s="4">
        <v>0.66</v>
      </c>
      <c r="BA21" s="4">
        <v>-0.10199999999999999</v>
      </c>
      <c r="BB21" s="4">
        <v>0.44600000000000001</v>
      </c>
      <c r="BC21" s="4">
        <v>0.82599999999999996</v>
      </c>
      <c r="BD21" s="4">
        <v>0.45300000000000001</v>
      </c>
      <c r="BE21" s="4">
        <v>0.58299999999999996</v>
      </c>
      <c r="BF21" s="4">
        <v>0.17599999999999999</v>
      </c>
      <c r="BG21" s="4">
        <v>5.0000000000000001E-3</v>
      </c>
      <c r="BH21" s="4">
        <v>0.93</v>
      </c>
      <c r="BI21" s="4">
        <v>-0.23499999999999999</v>
      </c>
      <c r="BJ21" s="4">
        <v>-0.371</v>
      </c>
      <c r="BK21" s="4">
        <v>0.129</v>
      </c>
      <c r="BL21" s="4">
        <v>0.29299999999999998</v>
      </c>
      <c r="BM21" s="4"/>
    </row>
    <row r="22" spans="1:65" hidden="1" x14ac:dyDescent="0.3">
      <c r="A22" s="19" t="s">
        <v>81</v>
      </c>
      <c r="B22" s="53">
        <f t="shared" si="4"/>
        <v>1.4999999999999999E-2</v>
      </c>
      <c r="C22" s="53">
        <f t="shared" si="5"/>
        <v>1.4999999999999999E-2</v>
      </c>
      <c r="D22" s="53">
        <f t="shared" si="6"/>
        <v>0</v>
      </c>
      <c r="E22" s="53">
        <f t="shared" si="7"/>
        <v>0</v>
      </c>
      <c r="F22" s="15">
        <v>2.9980000000000002</v>
      </c>
      <c r="G22" s="19">
        <v>3.4420000000000002</v>
      </c>
      <c r="H22" s="24" t="s">
        <v>55</v>
      </c>
      <c r="I22" t="str">
        <f>VLOOKUP(A22,Planilha6!$BL$9:$BN$222,2,0)</f>
        <v>telecom</v>
      </c>
      <c r="J22" t="str">
        <f>VLOOKUP(A22,Planilha6!$BL$9:$BN$222,3,0)</f>
        <v>very_low_beta</v>
      </c>
      <c r="K22" s="2">
        <v>1.4999999999999999E-2</v>
      </c>
      <c r="L22" s="2">
        <v>1.4999999999999999E-2</v>
      </c>
      <c r="M22" s="15">
        <v>31</v>
      </c>
      <c r="N22" s="41">
        <f>VLOOKUP(A22,'Mandato Smll'!$A$2:$C$215,2,0)</f>
        <v>1.22184050659364E-2</v>
      </c>
      <c r="O22" s="59">
        <f t="shared" si="8"/>
        <v>2.7815949340635991E-3</v>
      </c>
      <c r="P22" s="42">
        <f t="shared" si="9"/>
        <v>2.7815949340635991E-3</v>
      </c>
      <c r="Q22" s="41">
        <f>VLOOKUP(A22,'Mandato Smll'!$A$2:$C$215,3,0)</f>
        <v>1.00243266277939E-2</v>
      </c>
      <c r="R22" s="59">
        <f t="shared" si="10"/>
        <v>4.9756733722060992E-3</v>
      </c>
      <c r="S22" s="15">
        <v>0.54200000000000004</v>
      </c>
      <c r="T22" s="15">
        <v>1</v>
      </c>
      <c r="U22" s="15">
        <v>-0.20100000000000001</v>
      </c>
      <c r="V22" s="15">
        <v>0.85499999999999998</v>
      </c>
      <c r="W22" s="15">
        <v>0.79500000000000004</v>
      </c>
      <c r="X22" s="15">
        <v>1</v>
      </c>
      <c r="Y22" s="15">
        <v>1</v>
      </c>
      <c r="Z22" s="15">
        <v>0.89800000000000002</v>
      </c>
      <c r="AA22" s="15">
        <v>0.80200000000000005</v>
      </c>
      <c r="AB22" s="15">
        <v>0.81</v>
      </c>
      <c r="AC22" s="15">
        <v>0.85</v>
      </c>
      <c r="AD22" s="15">
        <v>0.84499999999999997</v>
      </c>
      <c r="AE22" s="15">
        <v>0.79</v>
      </c>
      <c r="AF22" s="14">
        <v>0.83799999999999997</v>
      </c>
      <c r="AG22" s="15">
        <v>3.4000000000000002E-2</v>
      </c>
      <c r="AH22" s="15">
        <v>0.28699999999999998</v>
      </c>
      <c r="AI22" s="15">
        <v>-0.92</v>
      </c>
      <c r="AJ22" s="15">
        <v>-0.58199999999999996</v>
      </c>
      <c r="AK22" s="9">
        <v>-0.42299999999999999</v>
      </c>
      <c r="AL22" s="4">
        <v>0.23100000000000001</v>
      </c>
      <c r="AM22" s="4">
        <v>-6.8000000000000005E-2</v>
      </c>
      <c r="AN22" s="4">
        <v>-0.84799999999999998</v>
      </c>
      <c r="AO22" s="4">
        <v>-0.47799999999999998</v>
      </c>
      <c r="AP22" s="4">
        <v>0.38200000000000001</v>
      </c>
      <c r="AQ22" s="4">
        <v>0.67100000000000004</v>
      </c>
      <c r="AR22" s="4">
        <v>0.57899999999999996</v>
      </c>
      <c r="AS22" s="4">
        <v>0.23699999999999999</v>
      </c>
      <c r="AT22" s="4">
        <v>0.14899999999999999</v>
      </c>
      <c r="AU22" s="4">
        <v>0.55200000000000005</v>
      </c>
      <c r="AV22" s="4">
        <v>0.40699999999999997</v>
      </c>
      <c r="AW22" s="4">
        <v>1</v>
      </c>
      <c r="AX22" s="4">
        <v>0.76600000000000001</v>
      </c>
      <c r="AY22" s="4">
        <v>0.16300000000000001</v>
      </c>
      <c r="AZ22" s="4">
        <v>0.84599999999999997</v>
      </c>
      <c r="BA22" s="4">
        <v>0.27700000000000002</v>
      </c>
      <c r="BB22" s="4">
        <v>0.81299999999999994</v>
      </c>
      <c r="BC22" s="4">
        <v>0.36</v>
      </c>
      <c r="BD22" s="4">
        <v>0.37</v>
      </c>
      <c r="BE22" s="4">
        <v>0.67</v>
      </c>
      <c r="BF22" s="4">
        <v>0.27100000000000002</v>
      </c>
      <c r="BG22" s="4">
        <v>0.39</v>
      </c>
      <c r="BH22" s="4">
        <v>0.94599999999999995</v>
      </c>
      <c r="BI22" s="4">
        <v>-0.77100000000000002</v>
      </c>
      <c r="BJ22" s="4">
        <v>-0.35899999999999999</v>
      </c>
      <c r="BK22" s="4">
        <v>-1.7000000000000001E-2</v>
      </c>
      <c r="BL22" s="4">
        <v>-0.54700000000000004</v>
      </c>
      <c r="BM22" s="4"/>
    </row>
    <row r="23" spans="1:65" hidden="1" x14ac:dyDescent="0.3">
      <c r="A23" s="19" t="s">
        <v>56</v>
      </c>
      <c r="B23" s="53">
        <f t="shared" si="4"/>
        <v>1.4E-2</v>
      </c>
      <c r="C23" s="53">
        <f t="shared" si="5"/>
        <v>1.4E-2</v>
      </c>
      <c r="D23" s="53">
        <f t="shared" si="6"/>
        <v>0</v>
      </c>
      <c r="E23" s="53">
        <f t="shared" si="7"/>
        <v>0</v>
      </c>
      <c r="F23" s="15">
        <v>2.9329999999999998</v>
      </c>
      <c r="G23" s="19">
        <v>3.113</v>
      </c>
      <c r="H23" s="24" t="s">
        <v>55</v>
      </c>
      <c r="I23" t="str">
        <f>VLOOKUP(A23,Planilha6!$BL$9:$BN$222,2,0)</f>
        <v>utilities</v>
      </c>
      <c r="J23" t="str">
        <f>VLOOKUP(A23,Planilha6!$BL$9:$BN$222,3,0)</f>
        <v>low_beta</v>
      </c>
      <c r="K23" s="2">
        <v>1.4E-2</v>
      </c>
      <c r="L23" s="2">
        <v>1.4E-2</v>
      </c>
      <c r="M23" s="15">
        <v>84</v>
      </c>
      <c r="N23" s="41">
        <f>VLOOKUP(A23,'Mandato Smll'!$A$2:$C$215,2,0)</f>
        <v>1.19558899532408E-2</v>
      </c>
      <c r="O23" s="59">
        <f t="shared" si="8"/>
        <v>2.0441100467592007E-3</v>
      </c>
      <c r="P23" s="42">
        <f t="shared" si="9"/>
        <v>2.0441100467592007E-3</v>
      </c>
      <c r="Q23" s="41">
        <f>VLOOKUP(A23,'Mandato Smll'!$A$2:$C$215,3,0)</f>
        <v>8.1879268878186605E-3</v>
      </c>
      <c r="R23" s="59">
        <f t="shared" si="10"/>
        <v>5.8120731121813398E-3</v>
      </c>
      <c r="S23" s="15">
        <v>0.57499999999999996</v>
      </c>
      <c r="T23" s="15">
        <v>0.876</v>
      </c>
      <c r="U23" s="15">
        <v>0.247</v>
      </c>
      <c r="V23" s="15">
        <v>0.80600000000000005</v>
      </c>
      <c r="W23" s="15">
        <v>0.88500000000000001</v>
      </c>
      <c r="X23" s="15">
        <v>0.81200000000000006</v>
      </c>
      <c r="Y23" s="15">
        <v>0.89900000000000002</v>
      </c>
      <c r="Z23" s="15">
        <v>0.77600000000000002</v>
      </c>
      <c r="AA23" s="15">
        <v>0.753</v>
      </c>
      <c r="AB23" s="15">
        <v>0.76300000000000001</v>
      </c>
      <c r="AC23" s="15">
        <v>0.86299999999999999</v>
      </c>
      <c r="AD23" s="15">
        <v>0.84599999999999997</v>
      </c>
      <c r="AE23" s="15">
        <v>0.79500000000000004</v>
      </c>
      <c r="AF23" s="14">
        <v>0.875</v>
      </c>
      <c r="AG23" s="15">
        <v>0.438</v>
      </c>
      <c r="AH23" s="15">
        <v>0.58199999999999996</v>
      </c>
      <c r="AI23" s="15">
        <v>-0.45200000000000001</v>
      </c>
      <c r="AJ23" s="15">
        <v>-0.55600000000000005</v>
      </c>
      <c r="AK23" s="9">
        <v>-0.14499999999999999</v>
      </c>
      <c r="AL23" s="4">
        <v>0.48399999999999999</v>
      </c>
      <c r="AM23" s="4">
        <v>-0.20200000000000001</v>
      </c>
      <c r="AN23" s="4">
        <v>-0.316</v>
      </c>
      <c r="AO23" s="4">
        <v>-5.1999999999999998E-2</v>
      </c>
      <c r="AP23" s="4">
        <v>0.21199999999999999</v>
      </c>
      <c r="AQ23" s="4">
        <v>-0.20499999999999999</v>
      </c>
      <c r="AR23" s="4">
        <v>0.27600000000000002</v>
      </c>
      <c r="AS23" s="4">
        <v>-0.09</v>
      </c>
      <c r="AT23" s="4">
        <v>-6.0999999999999999E-2</v>
      </c>
      <c r="AU23" s="4">
        <v>0.39500000000000002</v>
      </c>
      <c r="AV23" s="4">
        <v>0.42399999999999999</v>
      </c>
      <c r="AW23" s="4">
        <v>0.53200000000000003</v>
      </c>
      <c r="AX23" s="4">
        <v>0.75600000000000001</v>
      </c>
      <c r="AY23" s="4">
        <v>-0.08</v>
      </c>
      <c r="AZ23" s="4">
        <v>0.14899999999999999</v>
      </c>
      <c r="BA23" s="4">
        <v>0.83699999999999997</v>
      </c>
      <c r="BB23" s="4">
        <v>0.89800000000000002</v>
      </c>
      <c r="BC23" s="4">
        <v>-0.13300000000000001</v>
      </c>
      <c r="BD23" s="4">
        <v>0.17899999999999999</v>
      </c>
      <c r="BE23" s="4">
        <v>0.183</v>
      </c>
      <c r="BF23" s="4">
        <v>0.246</v>
      </c>
      <c r="BG23" s="4">
        <v>1</v>
      </c>
      <c r="BH23" s="4">
        <v>0.439</v>
      </c>
      <c r="BI23" s="4">
        <v>-0.752</v>
      </c>
      <c r="BJ23" s="4">
        <v>-8.5000000000000006E-2</v>
      </c>
      <c r="BK23" s="4">
        <v>0.6</v>
      </c>
      <c r="BL23" s="4">
        <v>0.11799999999999999</v>
      </c>
      <c r="BM23" s="4"/>
    </row>
    <row r="24" spans="1:65" hidden="1" x14ac:dyDescent="0.3">
      <c r="A24" s="19" t="s">
        <v>74</v>
      </c>
      <c r="B24" s="53">
        <f t="shared" si="4"/>
        <v>1.2E-2</v>
      </c>
      <c r="C24" s="53">
        <f t="shared" si="5"/>
        <v>1.2E-2</v>
      </c>
      <c r="D24" s="53">
        <f t="shared" si="6"/>
        <v>0</v>
      </c>
      <c r="E24" s="53">
        <f t="shared" si="7"/>
        <v>0</v>
      </c>
      <c r="F24" s="15">
        <v>2.887</v>
      </c>
      <c r="G24" s="19">
        <v>2.2410000000000001</v>
      </c>
      <c r="H24" s="24" t="s">
        <v>53</v>
      </c>
      <c r="I24" t="str">
        <f>VLOOKUP(A24,Planilha6!$BL$9:$BN$222,2,0)</f>
        <v>healthcare</v>
      </c>
      <c r="J24" t="str">
        <f>VLOOKUP(A24,Planilha6!$BL$9:$BN$222,3,0)</f>
        <v>high_beta</v>
      </c>
      <c r="K24" s="2">
        <v>1.2E-2</v>
      </c>
      <c r="L24" s="2">
        <v>1.2E-2</v>
      </c>
      <c r="M24" s="15">
        <v>84</v>
      </c>
      <c r="N24" s="41">
        <f>VLOOKUP(A24,'Mandato Smll'!$A$2:$C$215,2,0)</f>
        <v>1.1765828856546499E-2</v>
      </c>
      <c r="O24" s="59">
        <f t="shared" si="8"/>
        <v>2.3417114345350085E-4</v>
      </c>
      <c r="P24" s="42">
        <f t="shared" si="9"/>
        <v>2.3417114345350085E-4</v>
      </c>
      <c r="Q24" s="41">
        <f>VLOOKUP(A24,'Mandato Smll'!$A$2:$C$215,3,0)</f>
        <v>0</v>
      </c>
      <c r="R24" s="59">
        <f t="shared" si="10"/>
        <v>1.2E-2</v>
      </c>
      <c r="S24" s="15">
        <v>1</v>
      </c>
      <c r="T24" s="15">
        <v>0.46400000000000002</v>
      </c>
      <c r="U24" s="15">
        <v>1</v>
      </c>
      <c r="V24" s="15">
        <v>1</v>
      </c>
      <c r="W24" s="15">
        <v>0.93</v>
      </c>
      <c r="X24" s="15">
        <v>0.61299999999999999</v>
      </c>
      <c r="Y24" s="15">
        <v>0.377</v>
      </c>
      <c r="Z24" s="15">
        <v>0.37</v>
      </c>
      <c r="AA24" s="15">
        <v>0.624</v>
      </c>
      <c r="AB24" s="15">
        <v>0.63</v>
      </c>
      <c r="AC24" s="15">
        <v>0.94699999999999995</v>
      </c>
      <c r="AD24" s="15">
        <v>0.81899999999999995</v>
      </c>
      <c r="AE24" s="15">
        <v>0.92600000000000005</v>
      </c>
      <c r="AF24" s="14">
        <v>1</v>
      </c>
      <c r="AG24" s="15">
        <v>0.97699999999999998</v>
      </c>
      <c r="AH24" s="15">
        <v>0.58099999999999996</v>
      </c>
      <c r="AI24" s="15">
        <v>1</v>
      </c>
      <c r="AJ24" s="15">
        <v>0.69399999999999995</v>
      </c>
      <c r="AK24" s="9">
        <v>0.71899999999999997</v>
      </c>
      <c r="AL24" s="4">
        <v>0.65500000000000003</v>
      </c>
      <c r="AM24" s="4">
        <v>0.1</v>
      </c>
      <c r="AN24" s="4">
        <v>0.107</v>
      </c>
      <c r="AO24" s="4">
        <v>7.4999999999999997E-2</v>
      </c>
      <c r="AP24" s="4">
        <v>0.13800000000000001</v>
      </c>
      <c r="AQ24" s="4">
        <v>-3.7999999999999999E-2</v>
      </c>
      <c r="AR24" s="4">
        <v>0.41699999999999998</v>
      </c>
      <c r="AS24" s="4">
        <v>0.11799999999999999</v>
      </c>
      <c r="AT24" s="4">
        <v>-0.218</v>
      </c>
      <c r="AU24" s="4">
        <v>0.47499999999999998</v>
      </c>
      <c r="AV24" s="4">
        <v>-0.48099999999999998</v>
      </c>
      <c r="AW24" s="4">
        <v>0.45700000000000002</v>
      </c>
      <c r="AX24" s="4">
        <v>0.29099999999999998</v>
      </c>
      <c r="AY24" s="4">
        <v>-0.128</v>
      </c>
      <c r="AZ24" s="4">
        <v>0.91900000000000004</v>
      </c>
      <c r="BA24" s="4">
        <v>-0.17199999999999999</v>
      </c>
      <c r="BB24" s="4">
        <v>0.74099999999999999</v>
      </c>
      <c r="BC24" s="4">
        <v>-0.122</v>
      </c>
      <c r="BD24" s="4">
        <v>-3.7999999999999999E-2</v>
      </c>
      <c r="BE24" s="4">
        <v>0.10100000000000001</v>
      </c>
      <c r="BF24" s="4">
        <v>0.46300000000000002</v>
      </c>
      <c r="BG24" s="4">
        <v>-9.9000000000000005E-2</v>
      </c>
      <c r="BH24" s="4">
        <v>0.161</v>
      </c>
      <c r="BI24" s="4">
        <v>-0.68799999999999994</v>
      </c>
      <c r="BJ24" s="4">
        <v>8.1000000000000003E-2</v>
      </c>
      <c r="BK24" s="4">
        <v>0.81499999999999995</v>
      </c>
      <c r="BL24" s="4">
        <v>0.71499999999999997</v>
      </c>
      <c r="BM24" s="4"/>
    </row>
    <row r="25" spans="1:65" x14ac:dyDescent="0.3">
      <c r="A25" s="19" t="s">
        <v>64</v>
      </c>
      <c r="B25" s="53">
        <v>0</v>
      </c>
      <c r="C25" s="53">
        <f t="shared" si="5"/>
        <v>0</v>
      </c>
      <c r="D25" s="53">
        <f t="shared" si="6"/>
        <v>-1.0999999999999999E-2</v>
      </c>
      <c r="E25" s="53">
        <f t="shared" si="7"/>
        <v>0</v>
      </c>
      <c r="F25" s="15">
        <v>2.85</v>
      </c>
      <c r="G25" s="19">
        <v>2.3860000000000001</v>
      </c>
      <c r="H25" s="24" t="s">
        <v>55</v>
      </c>
      <c r="I25" t="str">
        <f>VLOOKUP(A25,Planilha6!$BL$9:$BN$222,2,0)</f>
        <v>utilities</v>
      </c>
      <c r="J25" t="str">
        <f>VLOOKUP(A25,Planilha6!$BL$9:$BN$222,3,0)</f>
        <v>high_beta</v>
      </c>
      <c r="K25" s="2">
        <v>1.0999999999999999E-2</v>
      </c>
      <c r="L25" s="2">
        <v>1.0999999999999999E-2</v>
      </c>
      <c r="M25" s="15">
        <v>84</v>
      </c>
      <c r="N25" s="41">
        <f>VLOOKUP(A25,'Mandato Smll'!$A$2:$C$215,2,0)</f>
        <v>1.16173597270126E-2</v>
      </c>
      <c r="O25" s="59">
        <f t="shared" si="8"/>
        <v>-6.1735972701260078E-4</v>
      </c>
      <c r="P25" s="42">
        <f t="shared" si="9"/>
        <v>-1.16173597270126E-2</v>
      </c>
      <c r="Q25" s="41">
        <f>VLOOKUP(A25,'Mandato Smll'!$A$2:$C$215,3,0)</f>
        <v>8.5507013673109308E-3</v>
      </c>
      <c r="R25" s="59">
        <f t="shared" si="10"/>
        <v>2.4492986326890686E-3</v>
      </c>
      <c r="S25" s="15">
        <v>0.55800000000000005</v>
      </c>
      <c r="T25" s="15">
        <v>0.86399999999999999</v>
      </c>
      <c r="U25" s="15">
        <v>0.32700000000000001</v>
      </c>
      <c r="V25" s="15">
        <v>0.80200000000000005</v>
      </c>
      <c r="W25" s="15">
        <v>0.90300000000000002</v>
      </c>
      <c r="X25" s="15">
        <v>0.68899999999999995</v>
      </c>
      <c r="Y25" s="15">
        <v>0.70599999999999996</v>
      </c>
      <c r="Z25" s="15">
        <v>0.66700000000000004</v>
      </c>
      <c r="AA25" s="15">
        <v>0.83499999999999996</v>
      </c>
      <c r="AB25" s="15">
        <v>0.84499999999999997</v>
      </c>
      <c r="AC25" s="15">
        <v>0.874</v>
      </c>
      <c r="AD25" s="15">
        <v>0.81399999999999995</v>
      </c>
      <c r="AE25" s="15">
        <v>0.82699999999999996</v>
      </c>
      <c r="AF25" s="14">
        <v>0.81100000000000005</v>
      </c>
      <c r="AG25" s="15">
        <v>0.4</v>
      </c>
      <c r="AH25" s="15">
        <v>0.73899999999999999</v>
      </c>
      <c r="AI25" s="15">
        <v>-0.46700000000000003</v>
      </c>
      <c r="AJ25" s="15">
        <v>-0.51800000000000002</v>
      </c>
      <c r="AK25" s="9">
        <v>-0.14499999999999999</v>
      </c>
      <c r="AL25" s="4">
        <v>0.48399999999999999</v>
      </c>
      <c r="AM25" s="4">
        <v>-0.33300000000000002</v>
      </c>
      <c r="AN25" s="4">
        <v>-0.316</v>
      </c>
      <c r="AO25" s="4">
        <v>-0.10299999999999999</v>
      </c>
      <c r="AP25" s="4">
        <v>0.30399999999999999</v>
      </c>
      <c r="AQ25" s="4">
        <v>-0.214</v>
      </c>
      <c r="AR25" s="4">
        <v>0.27600000000000002</v>
      </c>
      <c r="AS25" s="4">
        <v>-0.09</v>
      </c>
      <c r="AT25" s="4">
        <v>-6.0999999999999999E-2</v>
      </c>
      <c r="AU25" s="4">
        <v>0.39500000000000002</v>
      </c>
      <c r="AV25" s="4">
        <v>0.42399999999999999</v>
      </c>
      <c r="AW25" s="4">
        <v>0.53200000000000003</v>
      </c>
      <c r="AX25" s="4">
        <v>0.64800000000000002</v>
      </c>
      <c r="AY25" s="4">
        <v>-0.08</v>
      </c>
      <c r="AZ25" s="4">
        <v>0.14899999999999999</v>
      </c>
      <c r="BA25" s="4">
        <v>0.95399999999999996</v>
      </c>
      <c r="BB25" s="4">
        <v>0.45600000000000002</v>
      </c>
      <c r="BC25" s="4">
        <v>-0.13300000000000001</v>
      </c>
      <c r="BD25" s="4">
        <v>0.17899999999999999</v>
      </c>
      <c r="BE25" s="4">
        <v>0.29299999999999998</v>
      </c>
      <c r="BF25" s="4">
        <v>8.0000000000000002E-3</v>
      </c>
      <c r="BG25" s="4">
        <v>0.44900000000000001</v>
      </c>
      <c r="BH25" s="4">
        <v>0.23899999999999999</v>
      </c>
      <c r="BI25" s="4">
        <v>-0.872</v>
      </c>
      <c r="BJ25" s="4">
        <v>0.109</v>
      </c>
      <c r="BK25" s="4">
        <v>0.96199999999999997</v>
      </c>
      <c r="BL25" s="4">
        <v>0.11799999999999999</v>
      </c>
      <c r="BM25" s="4"/>
    </row>
    <row r="26" spans="1:65" hidden="1" x14ac:dyDescent="0.3">
      <c r="A26" s="19" t="s">
        <v>89</v>
      </c>
      <c r="B26" s="53">
        <f t="shared" si="4"/>
        <v>1.2999999999999999E-2</v>
      </c>
      <c r="C26" s="53">
        <f t="shared" si="5"/>
        <v>1.2999999999999999E-2</v>
      </c>
      <c r="D26" s="53">
        <f t="shared" si="6"/>
        <v>0</v>
      </c>
      <c r="E26" s="53">
        <f t="shared" si="7"/>
        <v>0</v>
      </c>
      <c r="F26" s="15">
        <v>2.8290000000000002</v>
      </c>
      <c r="G26" s="19">
        <v>2.62</v>
      </c>
      <c r="H26" s="24" t="s">
        <v>68</v>
      </c>
      <c r="I26" t="str">
        <f>VLOOKUP(A26,Planilha6!$BL$9:$BN$222,2,0)</f>
        <v>chemicals</v>
      </c>
      <c r="J26" t="str">
        <f>VLOOKUP(A26,Planilha6!$BL$9:$BN$222,3,0)</f>
        <v>very_low_beta</v>
      </c>
      <c r="K26" s="2">
        <v>1.2999999999999999E-2</v>
      </c>
      <c r="L26" s="2">
        <v>1.2999999999999999E-2</v>
      </c>
      <c r="M26" s="15">
        <v>84</v>
      </c>
      <c r="N26" s="41">
        <f>VLOOKUP(A26,'Mandato Smll'!$A$2:$C$215,2,0)</f>
        <v>1.15291062855849E-2</v>
      </c>
      <c r="O26" s="59">
        <f t="shared" si="8"/>
        <v>1.4708937144150992E-3</v>
      </c>
      <c r="P26" s="42">
        <f t="shared" si="9"/>
        <v>1.4708937144150992E-3</v>
      </c>
      <c r="Q26" s="41">
        <f>VLOOKUP(A26,'Mandato Smll'!$A$2:$C$215,3,0)</f>
        <v>0</v>
      </c>
      <c r="R26" s="59">
        <f t="shared" si="10"/>
        <v>1.2999999999999999E-2</v>
      </c>
      <c r="S26" s="15">
        <v>0.69</v>
      </c>
      <c r="T26" s="15">
        <v>0.58399999999999996</v>
      </c>
      <c r="U26" s="15">
        <v>0.85499999999999998</v>
      </c>
      <c r="V26" s="15">
        <v>0.28799999999999998</v>
      </c>
      <c r="W26" s="15">
        <v>0.627</v>
      </c>
      <c r="X26" s="15">
        <v>0.63900000000000001</v>
      </c>
      <c r="Y26" s="15">
        <v>0.65200000000000002</v>
      </c>
      <c r="Z26" s="15">
        <v>0.61299999999999999</v>
      </c>
      <c r="AA26" s="15">
        <v>0.88500000000000001</v>
      </c>
      <c r="AB26" s="15">
        <v>0.89</v>
      </c>
      <c r="AC26" s="15">
        <v>0.86499999999999999</v>
      </c>
      <c r="AD26" s="15">
        <v>0.77700000000000002</v>
      </c>
      <c r="AE26" s="15">
        <v>0.83799999999999997</v>
      </c>
      <c r="AF26" s="14">
        <v>0.54700000000000004</v>
      </c>
      <c r="AG26" s="15">
        <v>-0.46300000000000002</v>
      </c>
      <c r="AH26" s="15">
        <v>-0.245</v>
      </c>
      <c r="AI26" s="15">
        <v>0.75</v>
      </c>
      <c r="AJ26" s="15">
        <v>0.26200000000000001</v>
      </c>
      <c r="AK26" s="9">
        <v>0.52</v>
      </c>
      <c r="AL26" s="4">
        <v>0.35199999999999998</v>
      </c>
      <c r="AM26" s="4">
        <v>0.183</v>
      </c>
      <c r="AN26" s="4">
        <v>-9.2999999999999999E-2</v>
      </c>
      <c r="AO26" s="4">
        <v>0.36</v>
      </c>
      <c r="AP26" s="4">
        <v>9.6000000000000002E-2</v>
      </c>
      <c r="AQ26" s="4">
        <v>-0.436</v>
      </c>
      <c r="AR26" s="4">
        <v>-5.7000000000000002E-2</v>
      </c>
      <c r="AS26" s="4">
        <v>-0.17</v>
      </c>
      <c r="AT26" s="4">
        <v>-0.47899999999999998</v>
      </c>
      <c r="AU26" s="4">
        <v>0.55100000000000005</v>
      </c>
      <c r="AV26" s="4">
        <v>-0.246</v>
      </c>
      <c r="AW26" s="4">
        <v>0.248</v>
      </c>
      <c r="AX26" s="4">
        <v>0.58299999999999996</v>
      </c>
      <c r="AY26" s="4">
        <v>0.47899999999999998</v>
      </c>
      <c r="AZ26" s="4">
        <v>0.86899999999999999</v>
      </c>
      <c r="BA26" s="4">
        <v>0.77300000000000002</v>
      </c>
      <c r="BB26" s="4">
        <v>0.88100000000000001</v>
      </c>
      <c r="BC26" s="4">
        <v>-3.6999999999999998E-2</v>
      </c>
      <c r="BD26" s="4">
        <v>-9.4E-2</v>
      </c>
      <c r="BE26" s="4">
        <v>0.248</v>
      </c>
      <c r="BF26" s="4">
        <v>0.27200000000000002</v>
      </c>
      <c r="BG26" s="4">
        <v>-9.0999999999999998E-2</v>
      </c>
      <c r="BH26" s="4">
        <v>0.91800000000000004</v>
      </c>
      <c r="BI26" s="4">
        <v>-0.312</v>
      </c>
      <c r="BJ26" s="4">
        <v>-0.254</v>
      </c>
      <c r="BK26" s="4">
        <v>0.92700000000000005</v>
      </c>
      <c r="BL26" s="4">
        <v>0.88300000000000001</v>
      </c>
      <c r="BM26" s="4"/>
    </row>
    <row r="27" spans="1:65" hidden="1" x14ac:dyDescent="0.3">
      <c r="A27" s="19" t="s">
        <v>136</v>
      </c>
      <c r="B27" s="53">
        <f t="shared" si="4"/>
        <v>0</v>
      </c>
      <c r="C27" s="53">
        <f t="shared" si="5"/>
        <v>0</v>
      </c>
      <c r="D27" s="53">
        <f t="shared" si="6"/>
        <v>0</v>
      </c>
      <c r="E27" s="53">
        <f t="shared" si="7"/>
        <v>0</v>
      </c>
      <c r="F27" s="15">
        <v>2.806</v>
      </c>
      <c r="G27" s="19">
        <v>3.222</v>
      </c>
      <c r="H27" s="24" t="s">
        <v>71</v>
      </c>
      <c r="I27" t="str">
        <f>VLOOKUP(A27,Planilha6!$BL$9:$BN$222,2,0)</f>
        <v>crude_oil</v>
      </c>
      <c r="J27" t="str">
        <f>VLOOKUP(A27,Planilha6!$BL$9:$BN$222,3,0)</f>
        <v>very_low_beta</v>
      </c>
      <c r="K27" s="2">
        <v>0</v>
      </c>
      <c r="L27" s="2">
        <v>0</v>
      </c>
      <c r="M27" s="15">
        <v>3</v>
      </c>
      <c r="N27" s="41">
        <f>VLOOKUP(A27,'Mandato Smll'!$A$2:$C$215,2,0)</f>
        <v>0</v>
      </c>
      <c r="O27" s="59">
        <f t="shared" si="8"/>
        <v>0</v>
      </c>
      <c r="P27" s="42">
        <f t="shared" si="9"/>
        <v>0</v>
      </c>
      <c r="Q27" s="41">
        <f>VLOOKUP(A27,'Mandato Smll'!$A$2:$C$215,3,0)</f>
        <v>0</v>
      </c>
      <c r="R27" s="59">
        <f t="shared" si="10"/>
        <v>0</v>
      </c>
      <c r="S27" s="15">
        <v>0.112</v>
      </c>
      <c r="T27" s="15">
        <v>1</v>
      </c>
      <c r="U27" s="15">
        <v>-0.54400000000000004</v>
      </c>
      <c r="V27" s="15">
        <v>0.65100000000000002</v>
      </c>
      <c r="W27" s="15">
        <v>0.72899999999999998</v>
      </c>
      <c r="X27" s="15">
        <v>0.84199999999999997</v>
      </c>
      <c r="Y27" s="15">
        <v>0.86899999999999999</v>
      </c>
      <c r="Z27" s="15">
        <v>1</v>
      </c>
      <c r="AA27" s="15">
        <v>1</v>
      </c>
      <c r="AB27" s="15">
        <v>1</v>
      </c>
      <c r="AC27" s="15">
        <v>0.64400000000000002</v>
      </c>
      <c r="AD27" s="15">
        <v>0.86699999999999999</v>
      </c>
      <c r="AE27" s="15">
        <v>0.91200000000000003</v>
      </c>
      <c r="AF27" s="14">
        <v>0.39900000000000002</v>
      </c>
      <c r="AG27" s="15">
        <v>-0.30599999999999999</v>
      </c>
      <c r="AH27" s="15">
        <v>1</v>
      </c>
      <c r="AI27" s="15">
        <v>-0.91200000000000003</v>
      </c>
      <c r="AJ27" s="15">
        <v>-0.55500000000000005</v>
      </c>
      <c r="AK27" s="9">
        <v>-0.90600000000000003</v>
      </c>
      <c r="AL27" s="4">
        <v>0.218</v>
      </c>
      <c r="AM27" s="4">
        <v>0.45300000000000001</v>
      </c>
      <c r="AN27" s="4">
        <v>-0.51400000000000001</v>
      </c>
      <c r="AO27" s="4">
        <v>-0.65200000000000002</v>
      </c>
      <c r="AP27" s="4">
        <v>0.98499999999999999</v>
      </c>
      <c r="AQ27" s="4">
        <v>1</v>
      </c>
      <c r="AR27" s="4">
        <v>-0.24099999999999999</v>
      </c>
      <c r="AS27" s="4">
        <v>0.66900000000000004</v>
      </c>
      <c r="AT27" s="4">
        <v>0.46500000000000002</v>
      </c>
      <c r="AU27" s="4">
        <v>0.46500000000000002</v>
      </c>
      <c r="AV27" s="4">
        <v>0.34399999999999997</v>
      </c>
      <c r="AW27" s="4">
        <v>0.372</v>
      </c>
      <c r="AX27" s="4">
        <v>0.496</v>
      </c>
      <c r="AY27" s="4">
        <v>-0.23100000000000001</v>
      </c>
      <c r="AZ27" s="4">
        <v>0.81399999999999995</v>
      </c>
      <c r="BA27" s="4">
        <v>0.629</v>
      </c>
      <c r="BB27" s="4">
        <v>0.47899999999999998</v>
      </c>
      <c r="BC27" s="4">
        <v>-0.14799999999999999</v>
      </c>
      <c r="BD27" s="4">
        <v>-0.27300000000000002</v>
      </c>
      <c r="BE27" s="4">
        <v>0.33800000000000002</v>
      </c>
      <c r="BF27" s="4">
        <v>0.191</v>
      </c>
      <c r="BG27" s="4">
        <v>0.74399999999999999</v>
      </c>
      <c r="BH27" s="4">
        <v>0.70799999999999996</v>
      </c>
      <c r="BI27" s="4">
        <v>-0.95399999999999996</v>
      </c>
      <c r="BJ27" s="4">
        <v>-0.997</v>
      </c>
      <c r="BK27" s="4">
        <v>-0.25900000000000001</v>
      </c>
      <c r="BL27" s="4">
        <v>-0.89</v>
      </c>
      <c r="BM27" s="4"/>
    </row>
    <row r="28" spans="1:65" hidden="1" x14ac:dyDescent="0.3">
      <c r="A28" s="19" t="s">
        <v>79</v>
      </c>
      <c r="B28" s="53">
        <f t="shared" si="4"/>
        <v>1.2E-2</v>
      </c>
      <c r="C28" s="53">
        <f t="shared" si="5"/>
        <v>7.0000000000000001E-3</v>
      </c>
      <c r="D28" s="53">
        <f t="shared" si="6"/>
        <v>0</v>
      </c>
      <c r="E28" s="53">
        <f t="shared" si="7"/>
        <v>5.0000000000000001E-3</v>
      </c>
      <c r="F28" s="15">
        <v>2.6960000000000002</v>
      </c>
      <c r="G28" s="19">
        <v>4.0380000000000003</v>
      </c>
      <c r="H28" s="24" t="s">
        <v>68</v>
      </c>
      <c r="I28" t="str">
        <f>VLOOKUP(A28,Planilha6!$BL$9:$BN$222,2,0)</f>
        <v>capital_goods</v>
      </c>
      <c r="J28" t="str">
        <f>VLOOKUP(A28,Planilha6!$BL$9:$BN$222,3,0)</f>
        <v>very_low_beta</v>
      </c>
      <c r="K28" s="2">
        <v>1.2E-2</v>
      </c>
      <c r="L28" s="2">
        <v>7.0000000000000001E-3</v>
      </c>
      <c r="M28" s="15">
        <v>84</v>
      </c>
      <c r="N28" s="41">
        <f>VLOOKUP(A28,'Mandato Smll'!$A$2:$C$215,2,0)</f>
        <v>1.8972620786440401E-2</v>
      </c>
      <c r="O28" s="59">
        <f t="shared" si="8"/>
        <v>-6.9726207864404012E-3</v>
      </c>
      <c r="P28" s="42">
        <f t="shared" si="9"/>
        <v>-6.9726207864404012E-3</v>
      </c>
      <c r="Q28" s="41">
        <f>VLOOKUP(A28,'Mandato Smll'!$A$2:$C$215,3,0)</f>
        <v>1.8464716696060101E-2</v>
      </c>
      <c r="R28" s="59">
        <f t="shared" si="10"/>
        <v>-6.4647166960601007E-3</v>
      </c>
      <c r="S28" s="15">
        <v>0.30299999999999999</v>
      </c>
      <c r="T28" s="15">
        <v>0.75</v>
      </c>
      <c r="U28" s="15">
        <v>0.35799999999999998</v>
      </c>
      <c r="V28" s="15">
        <v>0.35899999999999999</v>
      </c>
      <c r="W28" s="15">
        <v>0.72</v>
      </c>
      <c r="X28" s="15">
        <v>0.55600000000000005</v>
      </c>
      <c r="Y28" s="15">
        <v>0.69799999999999995</v>
      </c>
      <c r="Z28" s="15">
        <v>0.82499999999999996</v>
      </c>
      <c r="AA28" s="15">
        <v>0.88300000000000001</v>
      </c>
      <c r="AB28" s="15">
        <v>0.88800000000000001</v>
      </c>
      <c r="AC28" s="15">
        <v>0.78100000000000003</v>
      </c>
      <c r="AD28" s="15">
        <v>0.80400000000000005</v>
      </c>
      <c r="AE28" s="15">
        <v>0.78800000000000003</v>
      </c>
      <c r="AF28" s="14">
        <v>3.5999999999999997E-2</v>
      </c>
      <c r="AG28" s="15">
        <v>-0.32600000000000001</v>
      </c>
      <c r="AH28" s="15">
        <v>0.11700000000000001</v>
      </c>
      <c r="AI28" s="15">
        <v>-0.48799999999999999</v>
      </c>
      <c r="AJ28" s="15">
        <v>0.317</v>
      </c>
      <c r="AK28" s="9">
        <v>0.437</v>
      </c>
      <c r="AL28" s="4">
        <v>-0.13</v>
      </c>
      <c r="AM28" s="4">
        <v>0.26400000000000001</v>
      </c>
      <c r="AN28" s="4">
        <v>-0.79500000000000004</v>
      </c>
      <c r="AO28" s="4">
        <v>-8.8999999999999996E-2</v>
      </c>
      <c r="AP28" s="4">
        <v>0.503</v>
      </c>
      <c r="AQ28" s="4">
        <v>0.221</v>
      </c>
      <c r="AR28" s="4">
        <v>0.32300000000000001</v>
      </c>
      <c r="AS28" s="4">
        <v>0.151</v>
      </c>
      <c r="AT28" s="4">
        <v>-7.1999999999999995E-2</v>
      </c>
      <c r="AU28" s="4">
        <v>0.98899999999999999</v>
      </c>
      <c r="AV28" s="4">
        <v>-6.5000000000000002E-2</v>
      </c>
      <c r="AW28" s="4">
        <v>0.35699999999999998</v>
      </c>
      <c r="AX28" s="4">
        <v>0.66400000000000003</v>
      </c>
      <c r="AY28" s="4">
        <v>-5.7000000000000002E-2</v>
      </c>
      <c r="AZ28" s="4">
        <v>0.80400000000000005</v>
      </c>
      <c r="BA28" s="4">
        <v>1</v>
      </c>
      <c r="BB28" s="4">
        <v>0.4</v>
      </c>
      <c r="BC28" s="4">
        <v>-0.20300000000000001</v>
      </c>
      <c r="BD28" s="4">
        <v>-0.46500000000000002</v>
      </c>
      <c r="BE28" s="4">
        <v>-0.42099999999999999</v>
      </c>
      <c r="BF28" s="4">
        <v>0.114</v>
      </c>
      <c r="BG28" s="4">
        <v>-0.40300000000000002</v>
      </c>
      <c r="BH28" s="4">
        <v>0.80200000000000005</v>
      </c>
      <c r="BI28" s="4">
        <v>-0.60399999999999998</v>
      </c>
      <c r="BJ28" s="4">
        <v>-0.108</v>
      </c>
      <c r="BK28" s="4">
        <v>0.45100000000000001</v>
      </c>
      <c r="BL28" s="4">
        <v>-3.4000000000000002E-2</v>
      </c>
      <c r="BM28" s="4"/>
    </row>
    <row r="29" spans="1:65" hidden="1" x14ac:dyDescent="0.3">
      <c r="A29" s="19" t="s">
        <v>146</v>
      </c>
      <c r="B29" s="53">
        <f t="shared" si="4"/>
        <v>0</v>
      </c>
      <c r="C29" s="53">
        <f t="shared" si="5"/>
        <v>0</v>
      </c>
      <c r="D29" s="53">
        <f t="shared" si="6"/>
        <v>0</v>
      </c>
      <c r="E29" s="53">
        <f t="shared" si="7"/>
        <v>0</v>
      </c>
      <c r="F29" s="15">
        <v>2.6859999999999999</v>
      </c>
      <c r="G29" s="19">
        <v>2.8330000000000002</v>
      </c>
      <c r="H29" s="24" t="s">
        <v>71</v>
      </c>
      <c r="I29" t="str">
        <f>VLOOKUP(A29,Planilha6!$BL$9:$BN$222,2,0)</f>
        <v>crude_oil</v>
      </c>
      <c r="J29" t="str">
        <f>VLOOKUP(A29,Planilha6!$BL$9:$BN$222,3,0)</f>
        <v>very_low_beta</v>
      </c>
      <c r="K29" s="2">
        <v>0</v>
      </c>
      <c r="L29" s="2">
        <v>0</v>
      </c>
      <c r="M29" s="15">
        <v>4</v>
      </c>
      <c r="N29" s="41">
        <f>VLOOKUP(A29,'Mandato Smll'!$A$2:$C$215,2,0)</f>
        <v>0</v>
      </c>
      <c r="O29" s="59">
        <f t="shared" si="8"/>
        <v>0</v>
      </c>
      <c r="P29" s="42">
        <f t="shared" si="9"/>
        <v>0</v>
      </c>
      <c r="Q29" s="41">
        <f>VLOOKUP(A29,'Mandato Smll'!$A$2:$C$215,3,0)</f>
        <v>0</v>
      </c>
      <c r="R29" s="59">
        <f t="shared" si="10"/>
        <v>0</v>
      </c>
      <c r="S29" s="15">
        <v>5.0000000000000001E-3</v>
      </c>
      <c r="T29" s="15">
        <v>0.98099999999999998</v>
      </c>
      <c r="U29" s="15">
        <v>-0.56200000000000006</v>
      </c>
      <c r="V29" s="15">
        <v>0.58599999999999997</v>
      </c>
      <c r="W29" s="15">
        <v>0.67900000000000005</v>
      </c>
      <c r="X29" s="15">
        <v>0.73099999999999998</v>
      </c>
      <c r="Y29" s="15">
        <v>0.753</v>
      </c>
      <c r="Z29" s="15">
        <v>1</v>
      </c>
      <c r="AA29" s="15">
        <v>1</v>
      </c>
      <c r="AB29" s="15">
        <v>1</v>
      </c>
      <c r="AC29" s="15">
        <v>0.67900000000000005</v>
      </c>
      <c r="AD29" s="15">
        <v>0.79</v>
      </c>
      <c r="AE29" s="15">
        <v>0.89900000000000002</v>
      </c>
      <c r="AF29" s="14">
        <v>0.34799999999999998</v>
      </c>
      <c r="AG29" s="15">
        <v>-0.32500000000000001</v>
      </c>
      <c r="AH29" s="15">
        <v>1</v>
      </c>
      <c r="AI29" s="15">
        <v>-0.91600000000000004</v>
      </c>
      <c r="AJ29" s="15">
        <v>-0.56899999999999995</v>
      </c>
      <c r="AK29" s="9">
        <v>-0.91100000000000003</v>
      </c>
      <c r="AL29" s="4">
        <v>0.218</v>
      </c>
      <c r="AM29" s="4">
        <v>0.41299999999999998</v>
      </c>
      <c r="AN29" s="4">
        <v>-0.51400000000000001</v>
      </c>
      <c r="AO29" s="4">
        <v>-0.65800000000000003</v>
      </c>
      <c r="AP29" s="4">
        <v>0.98499999999999999</v>
      </c>
      <c r="AQ29" s="4">
        <v>1</v>
      </c>
      <c r="AR29" s="4">
        <v>-0.24099999999999999</v>
      </c>
      <c r="AS29" s="4">
        <v>0.66900000000000004</v>
      </c>
      <c r="AT29" s="4">
        <v>0.46500000000000002</v>
      </c>
      <c r="AU29" s="4">
        <v>0.46500000000000002</v>
      </c>
      <c r="AV29" s="4">
        <v>0.34399999999999997</v>
      </c>
      <c r="AW29" s="4">
        <v>0.36499999999999999</v>
      </c>
      <c r="AX29" s="4">
        <v>0.41099999999999998</v>
      </c>
      <c r="AY29" s="4">
        <v>-0.23100000000000001</v>
      </c>
      <c r="AZ29" s="4">
        <v>0.81399999999999995</v>
      </c>
      <c r="BA29" s="4">
        <v>0.65400000000000003</v>
      </c>
      <c r="BB29" s="4">
        <v>-0.157</v>
      </c>
      <c r="BC29" s="4">
        <v>-0.14799999999999999</v>
      </c>
      <c r="BD29" s="4">
        <v>-0.27300000000000002</v>
      </c>
      <c r="BE29" s="4">
        <v>0.35399999999999998</v>
      </c>
      <c r="BF29" s="4">
        <v>0.22500000000000001</v>
      </c>
      <c r="BG29" s="4">
        <v>0.997</v>
      </c>
      <c r="BH29" s="4">
        <v>0.69599999999999995</v>
      </c>
      <c r="BI29" s="4">
        <v>-0.93</v>
      </c>
      <c r="BJ29" s="4">
        <v>-0.997</v>
      </c>
      <c r="BK29" s="4">
        <v>-0.111</v>
      </c>
      <c r="BL29" s="4">
        <v>-0.89</v>
      </c>
      <c r="BM29" s="4"/>
    </row>
    <row r="30" spans="1:65" hidden="1" x14ac:dyDescent="0.3">
      <c r="A30" s="19" t="s">
        <v>97</v>
      </c>
      <c r="B30" s="53">
        <f t="shared" si="4"/>
        <v>1.7000000000000001E-2</v>
      </c>
      <c r="C30" s="53">
        <f t="shared" si="5"/>
        <v>1.0999999999999999E-2</v>
      </c>
      <c r="D30" s="53">
        <f t="shared" si="6"/>
        <v>0</v>
      </c>
      <c r="E30" s="53">
        <f t="shared" si="7"/>
        <v>6.0000000000000019E-3</v>
      </c>
      <c r="F30" s="15">
        <v>2.6669999999999998</v>
      </c>
      <c r="G30" s="19">
        <v>4.5030000000000001</v>
      </c>
      <c r="H30" s="24" t="s">
        <v>57</v>
      </c>
      <c r="I30" t="str">
        <f>VLOOKUP(A30,Planilha6!$BL$9:$BN$222,2,0)</f>
        <v>banks</v>
      </c>
      <c r="J30" t="str">
        <f>VLOOKUP(A30,Planilha6!$BL$9:$BN$222,3,0)</f>
        <v>neutral_beta</v>
      </c>
      <c r="K30" s="2">
        <v>1.7000000000000001E-2</v>
      </c>
      <c r="L30" s="2">
        <v>1.0999999999999999E-2</v>
      </c>
      <c r="M30" s="15">
        <v>84</v>
      </c>
      <c r="N30" s="41">
        <f>VLOOKUP(A30,'Mandato Smll'!$A$2:$C$215,2,0)</f>
        <v>2.0375717122738699E-2</v>
      </c>
      <c r="O30" s="59">
        <f t="shared" si="8"/>
        <v>-3.375717122738698E-3</v>
      </c>
      <c r="P30" s="42">
        <f t="shared" si="9"/>
        <v>-3.375717122738698E-3</v>
      </c>
      <c r="Q30" s="41">
        <f>VLOOKUP(A30,'Mandato Smll'!$A$2:$C$215,3,0)</f>
        <v>1.4535756252868501E-2</v>
      </c>
      <c r="R30" s="59">
        <f t="shared" si="10"/>
        <v>2.4642437471315004E-3</v>
      </c>
      <c r="S30" s="15">
        <v>0.36399999999999999</v>
      </c>
      <c r="T30" s="15">
        <v>0.748</v>
      </c>
      <c r="U30" s="15">
        <v>6.3E-2</v>
      </c>
      <c r="V30" s="15">
        <v>0.314</v>
      </c>
      <c r="W30" s="15">
        <v>0.53400000000000003</v>
      </c>
      <c r="X30" s="15">
        <v>0.51700000000000002</v>
      </c>
      <c r="Y30" s="15">
        <v>0.56100000000000005</v>
      </c>
      <c r="Z30" s="15">
        <v>0.61</v>
      </c>
      <c r="AA30" s="15">
        <v>1</v>
      </c>
      <c r="AB30" s="15">
        <v>1</v>
      </c>
      <c r="AC30" s="15">
        <v>0.90800000000000003</v>
      </c>
      <c r="AD30" s="15">
        <v>0.93</v>
      </c>
      <c r="AE30" s="15">
        <v>0.99399999999999999</v>
      </c>
      <c r="AF30" s="14">
        <v>-0.44600000000000001</v>
      </c>
      <c r="AG30" s="15">
        <v>0.49199999999999999</v>
      </c>
      <c r="AH30" s="15">
        <v>1</v>
      </c>
      <c r="AI30" s="15">
        <v>-0.26200000000000001</v>
      </c>
      <c r="AJ30" s="15">
        <v>0.59699999999999998</v>
      </c>
      <c r="AK30" s="9">
        <v>-0.72699999999999998</v>
      </c>
      <c r="AL30" s="4">
        <v>-5.1999999999999998E-2</v>
      </c>
      <c r="AM30" s="4">
        <v>0.23</v>
      </c>
      <c r="AN30" s="4">
        <v>-8.9999999999999993E-3</v>
      </c>
      <c r="AO30" s="4">
        <v>0.214</v>
      </c>
      <c r="AP30" s="4">
        <v>0.58499999999999996</v>
      </c>
      <c r="AQ30" s="4">
        <v>0.45800000000000002</v>
      </c>
      <c r="AR30" s="4">
        <v>0.10199999999999999</v>
      </c>
      <c r="AS30" s="4">
        <v>0.16900000000000001</v>
      </c>
      <c r="AT30" s="4">
        <v>-0.314</v>
      </c>
      <c r="AU30" s="4">
        <v>-6.0000000000000001E-3</v>
      </c>
      <c r="AV30" s="4">
        <v>-0.224</v>
      </c>
      <c r="AW30" s="4">
        <v>-0.28100000000000003</v>
      </c>
      <c r="AX30" s="4">
        <v>0.65400000000000003</v>
      </c>
      <c r="AY30" s="4">
        <v>-0.39600000000000002</v>
      </c>
      <c r="AZ30" s="4">
        <v>0.81799999999999995</v>
      </c>
      <c r="BA30" s="4">
        <v>0.432</v>
      </c>
      <c r="BB30" s="4">
        <v>0.57599999999999996</v>
      </c>
      <c r="BC30" s="4">
        <v>6.5000000000000002E-2</v>
      </c>
      <c r="BD30" s="4">
        <v>3.7999999999999999E-2</v>
      </c>
      <c r="BE30" s="4">
        <v>0.39200000000000002</v>
      </c>
      <c r="BF30" s="4">
        <v>0.122</v>
      </c>
      <c r="BG30" s="4">
        <v>-0.16700000000000001</v>
      </c>
      <c r="BH30" s="4">
        <v>0.875</v>
      </c>
      <c r="BI30" s="4">
        <v>-0.64100000000000001</v>
      </c>
      <c r="BJ30" s="4">
        <v>-9.5000000000000001E-2</v>
      </c>
      <c r="BK30" s="4">
        <v>0.43099999999999999</v>
      </c>
      <c r="BL30" s="4">
        <v>0.43</v>
      </c>
      <c r="BM30" s="4"/>
    </row>
    <row r="31" spans="1:65" hidden="1" x14ac:dyDescent="0.3">
      <c r="A31" s="19" t="s">
        <v>72</v>
      </c>
      <c r="B31" s="53">
        <f t="shared" si="4"/>
        <v>1.2E-2</v>
      </c>
      <c r="C31" s="53">
        <f t="shared" si="5"/>
        <v>8.0000000000000002E-3</v>
      </c>
      <c r="D31" s="53">
        <f t="shared" si="6"/>
        <v>0</v>
      </c>
      <c r="E31" s="53">
        <f t="shared" si="7"/>
        <v>4.0000000000000001E-3</v>
      </c>
      <c r="F31" s="15">
        <v>2.6120000000000001</v>
      </c>
      <c r="G31" s="19">
        <v>2.3660000000000001</v>
      </c>
      <c r="H31" s="24" t="s">
        <v>57</v>
      </c>
      <c r="I31" t="str">
        <f>VLOOKUP(A31,Planilha6!$BL$9:$BN$222,2,0)</f>
        <v>apparel</v>
      </c>
      <c r="J31" t="str">
        <f>VLOOKUP(A31,Planilha6!$BL$9:$BN$222,3,0)</f>
        <v>high_beta</v>
      </c>
      <c r="K31" s="2">
        <v>1.2E-2</v>
      </c>
      <c r="L31" s="2">
        <v>8.0000000000000002E-3</v>
      </c>
      <c r="M31" s="15">
        <v>84</v>
      </c>
      <c r="N31" s="41">
        <f>VLOOKUP(A31,'Mandato Smll'!$A$2:$C$215,2,0)</f>
        <v>1.66529776864222E-2</v>
      </c>
      <c r="O31" s="59">
        <f t="shared" si="8"/>
        <v>-4.6529776864221994E-3</v>
      </c>
      <c r="P31" s="42">
        <f t="shared" si="9"/>
        <v>-4.6529776864221994E-3</v>
      </c>
      <c r="Q31" s="41">
        <f>VLOOKUP(A31,'Mandato Smll'!$A$2:$C$215,3,0)</f>
        <v>1.0913832164059801E-2</v>
      </c>
      <c r="R31" s="59">
        <f t="shared" si="10"/>
        <v>1.0861678359401997E-3</v>
      </c>
      <c r="S31" s="15">
        <v>0.76900000000000002</v>
      </c>
      <c r="T31" s="15">
        <v>0.503</v>
      </c>
      <c r="U31" s="15">
        <v>0.53900000000000003</v>
      </c>
      <c r="V31" s="15">
        <v>0.85399999999999998</v>
      </c>
      <c r="W31" s="15">
        <v>0.76500000000000001</v>
      </c>
      <c r="X31" s="15">
        <v>0.622</v>
      </c>
      <c r="Y31" s="15">
        <v>0.52100000000000002</v>
      </c>
      <c r="Z31" s="15">
        <v>0.39200000000000002</v>
      </c>
      <c r="AA31" s="15">
        <v>0.46</v>
      </c>
      <c r="AB31" s="15">
        <v>0.46200000000000002</v>
      </c>
      <c r="AC31" s="15">
        <v>0.84599999999999997</v>
      </c>
      <c r="AD31" s="15">
        <v>0.81799999999999995</v>
      </c>
      <c r="AE31" s="15">
        <v>0.79400000000000004</v>
      </c>
      <c r="AF31" s="14">
        <v>1</v>
      </c>
      <c r="AG31" s="15">
        <v>0.94699999999999995</v>
      </c>
      <c r="AH31" s="15">
        <v>-0.19900000000000001</v>
      </c>
      <c r="AI31" s="15">
        <v>-0.51800000000000002</v>
      </c>
      <c r="AJ31" s="15">
        <v>-0.122</v>
      </c>
      <c r="AK31" s="9">
        <v>0.311</v>
      </c>
      <c r="AL31" s="4">
        <v>-0.40600000000000003</v>
      </c>
      <c r="AM31" s="4">
        <v>-8.3000000000000004E-2</v>
      </c>
      <c r="AN31" s="4">
        <v>-0.77100000000000002</v>
      </c>
      <c r="AO31" s="4">
        <v>0.57499999999999996</v>
      </c>
      <c r="AP31" s="4">
        <v>0.373</v>
      </c>
      <c r="AQ31" s="4">
        <v>-0.36599999999999999</v>
      </c>
      <c r="AR31" s="4">
        <v>0.71399999999999997</v>
      </c>
      <c r="AS31" s="4">
        <v>1</v>
      </c>
      <c r="AT31" s="4">
        <v>0.997</v>
      </c>
      <c r="AU31" s="4">
        <v>0.32500000000000001</v>
      </c>
      <c r="AV31" s="4">
        <v>-5.6000000000000001E-2</v>
      </c>
      <c r="AW31" s="4">
        <v>0.77800000000000002</v>
      </c>
      <c r="AX31" s="4">
        <v>1.4999999999999999E-2</v>
      </c>
      <c r="AY31" s="4">
        <v>-5.1999999999999998E-2</v>
      </c>
      <c r="AZ31" s="4">
        <v>0.26100000000000001</v>
      </c>
      <c r="BA31" s="4">
        <v>0.36199999999999999</v>
      </c>
      <c r="BB31" s="4">
        <v>0.47099999999999997</v>
      </c>
      <c r="BC31" s="4">
        <v>0.45700000000000002</v>
      </c>
      <c r="BD31" s="4">
        <v>-0.16</v>
      </c>
      <c r="BE31" s="4">
        <v>0.70299999999999996</v>
      </c>
      <c r="BF31" s="4">
        <v>6.2E-2</v>
      </c>
      <c r="BG31" s="4">
        <v>-0.29699999999999999</v>
      </c>
      <c r="BH31" s="4">
        <v>0.377</v>
      </c>
      <c r="BI31" s="4">
        <v>-0.188</v>
      </c>
      <c r="BJ31" s="4">
        <v>9.2999999999999999E-2</v>
      </c>
      <c r="BK31" s="4">
        <v>0.20100000000000001</v>
      </c>
      <c r="BL31" s="4">
        <v>-0.21099999999999999</v>
      </c>
      <c r="BM31" s="4"/>
    </row>
    <row r="32" spans="1:65" x14ac:dyDescent="0.3">
      <c r="A32" s="19" t="s">
        <v>62</v>
      </c>
      <c r="B32" s="53">
        <v>3.5000000000000003E-2</v>
      </c>
      <c r="C32" s="53">
        <f t="shared" si="5"/>
        <v>1.1000000000000003E-2</v>
      </c>
      <c r="D32" s="53">
        <f t="shared" si="6"/>
        <v>2.1000000000000005E-2</v>
      </c>
      <c r="E32" s="53">
        <f t="shared" si="7"/>
        <v>2.4E-2</v>
      </c>
      <c r="F32" s="15">
        <v>2.581</v>
      </c>
      <c r="G32" s="19">
        <v>5.1230000000000002</v>
      </c>
      <c r="H32" s="24" t="s">
        <v>55</v>
      </c>
      <c r="I32" t="str">
        <f>VLOOKUP(A32,Planilha6!$BL$9:$BN$222,2,0)</f>
        <v>utilities</v>
      </c>
      <c r="J32" t="str">
        <f>VLOOKUP(A32,Planilha6!$BL$9:$BN$222,3,0)</f>
        <v>neutral_beta</v>
      </c>
      <c r="K32" s="2">
        <v>1.4E-2</v>
      </c>
      <c r="L32" s="2">
        <v>-0.01</v>
      </c>
      <c r="M32" s="15">
        <v>84</v>
      </c>
      <c r="N32" s="41">
        <f>VLOOKUP(A32,'Mandato Smll'!$A$2:$C$215,2,0)</f>
        <v>5.7444843110723703E-2</v>
      </c>
      <c r="O32" s="59">
        <f t="shared" si="8"/>
        <v>-4.3444843110723705E-2</v>
      </c>
      <c r="P32" s="42">
        <f t="shared" si="9"/>
        <v>-2.24448431107237E-2</v>
      </c>
      <c r="Q32" s="41">
        <f>VLOOKUP(A32,'Mandato Smll'!$A$2:$C$215,3,0)</f>
        <v>4.5854787185248699E-2</v>
      </c>
      <c r="R32" s="59">
        <f t="shared" si="10"/>
        <v>-3.1854787185248701E-2</v>
      </c>
      <c r="S32" s="15">
        <v>0.34</v>
      </c>
      <c r="T32" s="15">
        <v>0.749</v>
      </c>
      <c r="U32" s="15">
        <v>-4.2999999999999997E-2</v>
      </c>
      <c r="V32" s="15">
        <v>0.70899999999999996</v>
      </c>
      <c r="W32" s="15">
        <v>0.73799999999999999</v>
      </c>
      <c r="X32" s="15">
        <v>0.64</v>
      </c>
      <c r="Y32" s="15">
        <v>0.76</v>
      </c>
      <c r="Z32" s="15">
        <v>0.67600000000000005</v>
      </c>
      <c r="AA32" s="15">
        <v>0.72399999999999998</v>
      </c>
      <c r="AB32" s="15">
        <v>0.73299999999999998</v>
      </c>
      <c r="AC32" s="15">
        <v>0.79300000000000004</v>
      </c>
      <c r="AD32" s="15">
        <v>0.82299999999999995</v>
      </c>
      <c r="AE32" s="15">
        <v>0.73</v>
      </c>
      <c r="AF32" s="14">
        <v>0.85299999999999998</v>
      </c>
      <c r="AG32" s="15">
        <v>0.42699999999999999</v>
      </c>
      <c r="AH32" s="15">
        <v>0.61199999999999999</v>
      </c>
      <c r="AI32" s="15">
        <v>-0.45700000000000002</v>
      </c>
      <c r="AJ32" s="15">
        <v>-0.55300000000000005</v>
      </c>
      <c r="AK32" s="9">
        <v>-0.14799999999999999</v>
      </c>
      <c r="AL32" s="4">
        <v>0.48399999999999999</v>
      </c>
      <c r="AM32" s="4">
        <v>-0.22800000000000001</v>
      </c>
      <c r="AN32" s="4">
        <v>-0.316</v>
      </c>
      <c r="AO32" s="4">
        <v>-7.4999999999999997E-2</v>
      </c>
      <c r="AP32" s="4">
        <v>0.21</v>
      </c>
      <c r="AQ32" s="4">
        <v>-0.219</v>
      </c>
      <c r="AR32" s="4">
        <v>0.27600000000000002</v>
      </c>
      <c r="AS32" s="4">
        <v>-0.09</v>
      </c>
      <c r="AT32" s="4">
        <v>-6.0999999999999999E-2</v>
      </c>
      <c r="AU32" s="4">
        <v>0.39500000000000002</v>
      </c>
      <c r="AV32" s="4">
        <v>0.42399999999999999</v>
      </c>
      <c r="AW32" s="4">
        <v>0.53</v>
      </c>
      <c r="AX32" s="4">
        <v>0.72599999999999998</v>
      </c>
      <c r="AY32" s="4">
        <v>-0.08</v>
      </c>
      <c r="AZ32" s="4">
        <v>0.14899999999999999</v>
      </c>
      <c r="BA32" s="4">
        <v>0.78</v>
      </c>
      <c r="BB32" s="4">
        <v>0.21199999999999999</v>
      </c>
      <c r="BC32" s="4">
        <v>-0.13300000000000001</v>
      </c>
      <c r="BD32" s="4">
        <v>0.17899999999999999</v>
      </c>
      <c r="BE32" s="4">
        <v>0.20899999999999999</v>
      </c>
      <c r="BF32" s="4">
        <v>0.13100000000000001</v>
      </c>
      <c r="BG32" s="4">
        <v>1</v>
      </c>
      <c r="BH32" s="4">
        <v>0.42299999999999999</v>
      </c>
      <c r="BI32" s="4">
        <v>-0.83299999999999996</v>
      </c>
      <c r="BJ32" s="4">
        <v>-6.0000000000000001E-3</v>
      </c>
      <c r="BK32" s="4">
        <v>-3.2000000000000001E-2</v>
      </c>
      <c r="BL32" s="4">
        <v>0.11799999999999999</v>
      </c>
      <c r="BM32" s="4"/>
    </row>
    <row r="33" spans="1:65" x14ac:dyDescent="0.3">
      <c r="A33" s="19" t="s">
        <v>90</v>
      </c>
      <c r="B33" s="53">
        <v>2.5000000000000001E-2</v>
      </c>
      <c r="C33" s="53">
        <f t="shared" si="5"/>
        <v>1.1000000000000001E-2</v>
      </c>
      <c r="D33" s="53">
        <f t="shared" si="6"/>
        <v>1.1000000000000001E-2</v>
      </c>
      <c r="E33" s="53">
        <f t="shared" si="7"/>
        <v>1.4E-2</v>
      </c>
      <c r="F33" s="15">
        <v>2.5640000000000001</v>
      </c>
      <c r="G33" s="19">
        <v>3.7229999999999999</v>
      </c>
      <c r="H33" s="24" t="s">
        <v>68</v>
      </c>
      <c r="I33" t="str">
        <f>VLOOKUP(A33,Planilha6!$BL$9:$BN$222,2,0)</f>
        <v>capital_goods</v>
      </c>
      <c r="J33" t="str">
        <f>VLOOKUP(A33,Planilha6!$BL$9:$BN$222,3,0)</f>
        <v>high_beta</v>
      </c>
      <c r="K33" s="2">
        <v>1.4E-2</v>
      </c>
      <c r="L33" s="2">
        <v>0</v>
      </c>
      <c r="M33" s="15">
        <v>64</v>
      </c>
      <c r="N33" s="41">
        <f>VLOOKUP(A33,'Mandato Smll'!$A$2:$C$215,2,0)</f>
        <v>3.7478796358646302E-2</v>
      </c>
      <c r="O33" s="59">
        <f t="shared" si="8"/>
        <v>-2.3478796358646303E-2</v>
      </c>
      <c r="P33" s="42">
        <f t="shared" si="9"/>
        <v>-1.24787963586463E-2</v>
      </c>
      <c r="Q33" s="41">
        <f>VLOOKUP(A33,'Mandato Smll'!$A$2:$C$215,3,0)</f>
        <v>0</v>
      </c>
      <c r="R33" s="59">
        <f t="shared" si="10"/>
        <v>1.4E-2</v>
      </c>
      <c r="S33" s="15">
        <v>0.55800000000000005</v>
      </c>
      <c r="T33" s="15">
        <v>0.60699999999999998</v>
      </c>
      <c r="U33" s="15">
        <v>0.20699999999999999</v>
      </c>
      <c r="V33" s="15">
        <v>0.68600000000000005</v>
      </c>
      <c r="W33" s="15">
        <v>0.68400000000000005</v>
      </c>
      <c r="X33" s="15">
        <v>0.80100000000000005</v>
      </c>
      <c r="Y33" s="15">
        <v>0.85199999999999998</v>
      </c>
      <c r="Z33" s="15">
        <v>0.79600000000000004</v>
      </c>
      <c r="AA33" s="15">
        <v>0.26900000000000002</v>
      </c>
      <c r="AB33" s="15">
        <v>0.27500000000000002</v>
      </c>
      <c r="AC33" s="15">
        <v>0.69799999999999995</v>
      </c>
      <c r="AD33" s="15">
        <v>0.64500000000000002</v>
      </c>
      <c r="AE33" s="15">
        <v>0.53600000000000003</v>
      </c>
      <c r="AF33" s="14">
        <v>0.97699999999999998</v>
      </c>
      <c r="AG33" s="15">
        <v>1</v>
      </c>
      <c r="AH33" s="15">
        <v>-0.373</v>
      </c>
      <c r="AI33" s="15">
        <v>-0.438</v>
      </c>
      <c r="AJ33" s="15">
        <v>-0.40400000000000003</v>
      </c>
      <c r="AK33" s="9">
        <v>0.40500000000000003</v>
      </c>
      <c r="AL33" s="4">
        <v>-3.0000000000000001E-3</v>
      </c>
      <c r="AM33" s="4">
        <v>0.38400000000000001</v>
      </c>
      <c r="AN33" s="4">
        <v>-0.61399999999999999</v>
      </c>
      <c r="AO33" s="4">
        <v>0.46800000000000003</v>
      </c>
      <c r="AP33" s="4">
        <v>-0.36399999999999999</v>
      </c>
      <c r="AQ33" s="4">
        <v>0.378</v>
      </c>
      <c r="AR33" s="4">
        <v>0.94099999999999995</v>
      </c>
      <c r="AS33" s="4">
        <v>0.126</v>
      </c>
      <c r="AT33" s="4">
        <v>-0.52700000000000002</v>
      </c>
      <c r="AU33" s="4">
        <v>0.71899999999999997</v>
      </c>
      <c r="AV33" s="4">
        <v>-2.9000000000000001E-2</v>
      </c>
      <c r="AW33" s="4">
        <v>0.53900000000000003</v>
      </c>
      <c r="AX33" s="4">
        <v>0.40899999999999997</v>
      </c>
      <c r="AY33" s="4">
        <v>0.16300000000000001</v>
      </c>
      <c r="AZ33" s="4">
        <v>0.91</v>
      </c>
      <c r="BA33" s="4">
        <v>1</v>
      </c>
      <c r="BB33" s="4">
        <v>0.83699999999999997</v>
      </c>
      <c r="BC33" s="4">
        <v>-4.5999999999999999E-2</v>
      </c>
      <c r="BD33" s="4">
        <v>-0.16700000000000001</v>
      </c>
      <c r="BE33" s="4">
        <v>8.4000000000000005E-2</v>
      </c>
      <c r="BF33" s="4">
        <v>-0.34499999999999997</v>
      </c>
      <c r="BG33" s="4">
        <v>-0.59799999999999998</v>
      </c>
      <c r="BH33" s="4">
        <v>0.55400000000000005</v>
      </c>
      <c r="BI33" s="4">
        <v>-0.92300000000000004</v>
      </c>
      <c r="BJ33" s="4">
        <v>0.35399999999999998</v>
      </c>
      <c r="BK33" s="4">
        <v>-0.49399999999999999</v>
      </c>
      <c r="BL33" s="4">
        <v>-0.20899999999999999</v>
      </c>
      <c r="BM33" s="4"/>
    </row>
    <row r="34" spans="1:65" hidden="1" x14ac:dyDescent="0.3">
      <c r="A34" s="19" t="s">
        <v>87</v>
      </c>
      <c r="B34" s="53">
        <f t="shared" si="4"/>
        <v>1.4E-2</v>
      </c>
      <c r="C34" s="53">
        <f t="shared" si="5"/>
        <v>0.01</v>
      </c>
      <c r="D34" s="53">
        <f t="shared" si="6"/>
        <v>0</v>
      </c>
      <c r="E34" s="53">
        <f t="shared" si="7"/>
        <v>4.0000000000000001E-3</v>
      </c>
      <c r="F34" s="15">
        <v>2.512</v>
      </c>
      <c r="G34" s="19">
        <v>3.1869999999999998</v>
      </c>
      <c r="H34" s="24" t="s">
        <v>55</v>
      </c>
      <c r="I34" t="str">
        <f>VLOOKUP(A34,Planilha6!$BL$9:$BN$222,2,0)</f>
        <v>real_estate</v>
      </c>
      <c r="J34" t="str">
        <f>VLOOKUP(A34,Planilha6!$BL$9:$BN$222,3,0)</f>
        <v>low_beta</v>
      </c>
      <c r="K34" s="2">
        <v>1.4E-2</v>
      </c>
      <c r="L34" s="2">
        <v>0.01</v>
      </c>
      <c r="M34" s="15">
        <v>84</v>
      </c>
      <c r="N34" s="41">
        <f>VLOOKUP(A34,'Mandato Smll'!$A$2:$C$215,2,0)</f>
        <v>1.4551403409403399E-2</v>
      </c>
      <c r="O34" s="59">
        <f t="shared" si="8"/>
        <v>-5.5140340940339899E-4</v>
      </c>
      <c r="P34" s="42">
        <f t="shared" si="9"/>
        <v>-5.5140340940339899E-4</v>
      </c>
      <c r="Q34" s="41">
        <f>VLOOKUP(A34,'Mandato Smll'!$A$2:$C$215,3,0)</f>
        <v>0</v>
      </c>
      <c r="R34" s="59">
        <f t="shared" si="10"/>
        <v>1.4E-2</v>
      </c>
      <c r="S34" s="15">
        <v>0.23400000000000001</v>
      </c>
      <c r="T34" s="15">
        <v>0.71099999999999997</v>
      </c>
      <c r="U34" s="15">
        <v>0.13500000000000001</v>
      </c>
      <c r="V34" s="15">
        <v>0.23499999999999999</v>
      </c>
      <c r="W34" s="15">
        <v>0.52500000000000002</v>
      </c>
      <c r="X34" s="15">
        <v>0.44</v>
      </c>
      <c r="Y34" s="15">
        <v>0.755</v>
      </c>
      <c r="Z34" s="15">
        <v>0.61699999999999999</v>
      </c>
      <c r="AA34" s="15">
        <v>0.75800000000000001</v>
      </c>
      <c r="AB34" s="15">
        <v>0.76400000000000001</v>
      </c>
      <c r="AC34" s="15">
        <v>0.92800000000000005</v>
      </c>
      <c r="AD34" s="15">
        <v>0.84899999999999998</v>
      </c>
      <c r="AE34" s="15">
        <v>0.89900000000000002</v>
      </c>
      <c r="AF34" s="14">
        <v>-0.115</v>
      </c>
      <c r="AG34" s="15">
        <v>-0.27500000000000002</v>
      </c>
      <c r="AH34" s="15">
        <v>1</v>
      </c>
      <c r="AI34" s="15">
        <v>0.248</v>
      </c>
      <c r="AJ34" s="15">
        <v>1</v>
      </c>
      <c r="AK34" s="9">
        <v>-0.23899999999999999</v>
      </c>
      <c r="AL34" s="4">
        <v>-0.30499999999999999</v>
      </c>
      <c r="AM34" s="4">
        <v>0.28299999999999997</v>
      </c>
      <c r="AN34" s="4">
        <v>-0.155</v>
      </c>
      <c r="AO34" s="4">
        <v>-8.1000000000000003E-2</v>
      </c>
      <c r="AP34" s="4">
        <v>0.747</v>
      </c>
      <c r="AQ34" s="4">
        <v>6.4000000000000001E-2</v>
      </c>
      <c r="AR34" s="4">
        <v>-0.126</v>
      </c>
      <c r="AS34" s="4">
        <v>-4.2999999999999997E-2</v>
      </c>
      <c r="AT34" s="4">
        <v>-3.9E-2</v>
      </c>
      <c r="AU34" s="4">
        <v>-7.6999999999999999E-2</v>
      </c>
      <c r="AV34" s="4">
        <v>0.68799999999999994</v>
      </c>
      <c r="AW34" s="4">
        <v>-0.158</v>
      </c>
      <c r="AX34" s="4">
        <v>0.34499999999999997</v>
      </c>
      <c r="AY34" s="4">
        <v>-0.78200000000000003</v>
      </c>
      <c r="AZ34" s="4">
        <v>0.314</v>
      </c>
      <c r="BA34" s="4">
        <v>-1.2E-2</v>
      </c>
      <c r="BB34" s="4">
        <v>-0.189</v>
      </c>
      <c r="BC34" s="4">
        <v>0.18099999999999999</v>
      </c>
      <c r="BD34" s="4">
        <v>0.23499999999999999</v>
      </c>
      <c r="BE34" s="4">
        <v>0.35599999999999998</v>
      </c>
      <c r="BF34" s="4">
        <v>8.4000000000000005E-2</v>
      </c>
      <c r="BG34" s="4">
        <v>-0.185</v>
      </c>
      <c r="BH34" s="4">
        <v>0.72099999999999997</v>
      </c>
      <c r="BI34" s="4">
        <v>-0.51200000000000001</v>
      </c>
      <c r="BJ34" s="4">
        <v>6.3E-2</v>
      </c>
      <c r="BK34" s="4">
        <v>0.33300000000000002</v>
      </c>
      <c r="BL34" s="4">
        <v>0.28299999999999997</v>
      </c>
      <c r="BM34" s="4"/>
    </row>
    <row r="35" spans="1:65" x14ac:dyDescent="0.3">
      <c r="A35" s="19" t="s">
        <v>103</v>
      </c>
      <c r="B35" s="53">
        <v>0.02</v>
      </c>
      <c r="C35" s="53">
        <f t="shared" si="5"/>
        <v>9.0000000000000011E-3</v>
      </c>
      <c r="D35" s="53">
        <f t="shared" si="6"/>
        <v>0.01</v>
      </c>
      <c r="E35" s="53">
        <f t="shared" si="7"/>
        <v>1.0999999999999999E-2</v>
      </c>
      <c r="F35" s="15">
        <v>2.4740000000000002</v>
      </c>
      <c r="G35" s="19">
        <v>3.3610000000000002</v>
      </c>
      <c r="H35" s="24" t="s">
        <v>53</v>
      </c>
      <c r="I35" t="str">
        <f>VLOOKUP(A35,Planilha6!$BL$9:$BN$222,2,0)</f>
        <v>healthcare</v>
      </c>
      <c r="J35" t="str">
        <f>VLOOKUP(A35,Planilha6!$BL$9:$BN$222,3,0)</f>
        <v>very_low_beta</v>
      </c>
      <c r="K35" s="2">
        <v>0.01</v>
      </c>
      <c r="L35" s="2">
        <v>-1E-3</v>
      </c>
      <c r="M35" s="15">
        <v>84</v>
      </c>
      <c r="N35" s="41">
        <f>VLOOKUP(A35,'Mandato Smll'!$A$2:$C$215,2,0)</f>
        <v>2.98818694693186E-2</v>
      </c>
      <c r="O35" s="59">
        <f t="shared" si="8"/>
        <v>-1.9881869469318601E-2</v>
      </c>
      <c r="P35" s="42">
        <f t="shared" si="9"/>
        <v>-9.8818694693185993E-3</v>
      </c>
      <c r="Q35" s="41">
        <f>VLOOKUP(A35,'Mandato Smll'!$A$2:$C$215,3,0)</f>
        <v>1.8867324364505299E-2</v>
      </c>
      <c r="R35" s="59">
        <f t="shared" si="10"/>
        <v>-8.8673243645052986E-3</v>
      </c>
      <c r="S35" s="15">
        <v>0.34100000000000003</v>
      </c>
      <c r="T35" s="15">
        <v>0.755</v>
      </c>
      <c r="U35" s="15">
        <v>4.2999999999999997E-2</v>
      </c>
      <c r="V35" s="15">
        <v>0.32600000000000001</v>
      </c>
      <c r="W35" s="15">
        <v>0.51600000000000001</v>
      </c>
      <c r="X35" s="15">
        <v>0.64200000000000002</v>
      </c>
      <c r="Y35" s="15">
        <v>0.92100000000000004</v>
      </c>
      <c r="Z35" s="15">
        <v>0.69899999999999995</v>
      </c>
      <c r="AA35" s="15">
        <v>0.54300000000000004</v>
      </c>
      <c r="AB35" s="15">
        <v>0.54900000000000004</v>
      </c>
      <c r="AC35" s="15">
        <v>0.69</v>
      </c>
      <c r="AD35" s="15">
        <v>0.70199999999999996</v>
      </c>
      <c r="AE35" s="15">
        <v>0.67900000000000005</v>
      </c>
      <c r="AF35" s="14">
        <v>0.54900000000000004</v>
      </c>
      <c r="AG35" s="15">
        <v>-0.60699999999999998</v>
      </c>
      <c r="AH35" s="15">
        <v>-0.312</v>
      </c>
      <c r="AI35" s="15">
        <v>-0.751</v>
      </c>
      <c r="AJ35" s="15">
        <v>-0.03</v>
      </c>
      <c r="AK35" s="9">
        <v>0.378</v>
      </c>
      <c r="AL35" s="4">
        <v>-0.315</v>
      </c>
      <c r="AM35" s="4">
        <v>-4.4999999999999998E-2</v>
      </c>
      <c r="AN35" s="4">
        <v>-0.93</v>
      </c>
      <c r="AO35" s="4">
        <v>-0.34499999999999997</v>
      </c>
      <c r="AP35" s="4">
        <v>0.12</v>
      </c>
      <c r="AQ35" s="4">
        <v>1</v>
      </c>
      <c r="AR35" s="4">
        <v>4.0000000000000001E-3</v>
      </c>
      <c r="AS35" s="4">
        <v>0.13400000000000001</v>
      </c>
      <c r="AT35" s="4">
        <v>-0.309</v>
      </c>
      <c r="AU35" s="4">
        <v>0.96899999999999997</v>
      </c>
      <c r="AV35" s="4">
        <v>0.42599999999999999</v>
      </c>
      <c r="AW35" s="4">
        <v>1</v>
      </c>
      <c r="AX35" s="4">
        <v>0.76400000000000001</v>
      </c>
      <c r="AY35" s="4">
        <v>0.42699999999999999</v>
      </c>
      <c r="AZ35" s="4">
        <v>0.745</v>
      </c>
      <c r="BA35" s="4">
        <v>0.64600000000000002</v>
      </c>
      <c r="BB35" s="4">
        <v>0.94799999999999995</v>
      </c>
      <c r="BC35" s="4">
        <v>0.186</v>
      </c>
      <c r="BD35" s="4">
        <v>-0.13</v>
      </c>
      <c r="BE35" s="4">
        <v>0.31</v>
      </c>
      <c r="BF35" s="4">
        <v>-0.50600000000000001</v>
      </c>
      <c r="BG35" s="4">
        <v>-0.221</v>
      </c>
      <c r="BH35" s="4">
        <v>0.68700000000000006</v>
      </c>
      <c r="BI35" s="4">
        <v>-0.48399999999999999</v>
      </c>
      <c r="BJ35" s="4">
        <v>-0.43099999999999999</v>
      </c>
      <c r="BK35" s="4">
        <v>-2.8000000000000001E-2</v>
      </c>
      <c r="BL35" s="4">
        <v>-0.122</v>
      </c>
      <c r="BM35" s="4"/>
    </row>
    <row r="36" spans="1:65" hidden="1" x14ac:dyDescent="0.3">
      <c r="A36" s="19" t="s">
        <v>99</v>
      </c>
      <c r="B36" s="53">
        <f t="shared" si="4"/>
        <v>1.7999999999999999E-2</v>
      </c>
      <c r="C36" s="53">
        <f t="shared" si="5"/>
        <v>1.4E-2</v>
      </c>
      <c r="D36" s="53">
        <f t="shared" si="6"/>
        <v>0</v>
      </c>
      <c r="E36" s="53">
        <f t="shared" si="7"/>
        <v>3.9999999999999983E-3</v>
      </c>
      <c r="F36" s="15">
        <v>2.3519999999999999</v>
      </c>
      <c r="G36" s="19">
        <v>2.766</v>
      </c>
      <c r="H36" s="24" t="s">
        <v>57</v>
      </c>
      <c r="I36" t="str">
        <f>VLOOKUP(A36,Planilha6!$BL$9:$BN$222,2,0)</f>
        <v>homebuilders</v>
      </c>
      <c r="J36" t="str">
        <f>VLOOKUP(A36,Planilha6!$BL$9:$BN$222,3,0)</f>
        <v>high_beta</v>
      </c>
      <c r="K36" s="2">
        <v>1.7999999999999999E-2</v>
      </c>
      <c r="L36" s="2">
        <v>1.4E-2</v>
      </c>
      <c r="M36" s="15">
        <v>84</v>
      </c>
      <c r="N36" s="41">
        <f>VLOOKUP(A36,'Mandato Smll'!$A$2:$C$215,2,0)</f>
        <v>1.3019416095419701E-2</v>
      </c>
      <c r="O36" s="59">
        <f t="shared" si="8"/>
        <v>4.9805839045802981E-3</v>
      </c>
      <c r="P36" s="42">
        <f t="shared" si="9"/>
        <v>4.9805839045802981E-3</v>
      </c>
      <c r="Q36" s="41">
        <f>VLOOKUP(A36,'Mandato Smll'!$A$2:$C$215,3,0)</f>
        <v>0</v>
      </c>
      <c r="R36" s="59">
        <f t="shared" si="10"/>
        <v>1.7999999999999999E-2</v>
      </c>
      <c r="S36" s="15">
        <v>0.59</v>
      </c>
      <c r="T36" s="15">
        <v>0.187</v>
      </c>
      <c r="U36" s="15">
        <v>0.70799999999999996</v>
      </c>
      <c r="V36" s="15">
        <v>0.43099999999999999</v>
      </c>
      <c r="W36" s="15">
        <v>0.50600000000000001</v>
      </c>
      <c r="X36" s="15">
        <v>0.45900000000000002</v>
      </c>
      <c r="Y36" s="15">
        <v>0.34</v>
      </c>
      <c r="Z36" s="15">
        <v>0.30099999999999999</v>
      </c>
      <c r="AA36" s="15">
        <v>0.55400000000000005</v>
      </c>
      <c r="AB36" s="15">
        <v>0.55600000000000005</v>
      </c>
      <c r="AC36" s="15">
        <v>0.84099999999999997</v>
      </c>
      <c r="AD36" s="15">
        <v>0.92400000000000004</v>
      </c>
      <c r="AE36" s="15">
        <v>0.77600000000000002</v>
      </c>
      <c r="AF36" s="14">
        <v>0.69099999999999995</v>
      </c>
      <c r="AG36" s="15">
        <v>0.63500000000000001</v>
      </c>
      <c r="AH36" s="15">
        <v>-0.16500000000000001</v>
      </c>
      <c r="AI36" s="15">
        <v>0.39500000000000002</v>
      </c>
      <c r="AJ36" s="15">
        <v>0.19600000000000001</v>
      </c>
      <c r="AK36" s="9">
        <v>-1.4999999999999999E-2</v>
      </c>
      <c r="AL36" s="4">
        <v>-0.20200000000000001</v>
      </c>
      <c r="AM36" s="4">
        <v>0.25700000000000001</v>
      </c>
      <c r="AN36" s="4">
        <v>-3.4000000000000002E-2</v>
      </c>
      <c r="AO36" s="4">
        <v>0.219</v>
      </c>
      <c r="AP36" s="4">
        <v>-0.191</v>
      </c>
      <c r="AQ36" s="4">
        <v>-0.15</v>
      </c>
      <c r="AR36" s="4">
        <v>0.40500000000000003</v>
      </c>
      <c r="AS36" s="4">
        <v>0.92</v>
      </c>
      <c r="AT36" s="4">
        <v>0.84</v>
      </c>
      <c r="AU36" s="4">
        <v>1.6E-2</v>
      </c>
      <c r="AV36" s="4">
        <v>-0.34200000000000003</v>
      </c>
      <c r="AW36" s="4">
        <v>0.313</v>
      </c>
      <c r="AX36" s="4">
        <v>6.0999999999999999E-2</v>
      </c>
      <c r="AY36" s="4">
        <v>2.7E-2</v>
      </c>
      <c r="AZ36" s="4">
        <v>0.75700000000000001</v>
      </c>
      <c r="BA36" s="4">
        <v>0.44800000000000001</v>
      </c>
      <c r="BB36" s="4">
        <v>0.16600000000000001</v>
      </c>
      <c r="BC36" s="4">
        <v>-2.1000000000000001E-2</v>
      </c>
      <c r="BD36" s="4">
        <v>-0.28899999999999998</v>
      </c>
      <c r="BE36" s="4">
        <v>-7.2999999999999995E-2</v>
      </c>
      <c r="BF36" s="4">
        <v>0.46600000000000003</v>
      </c>
      <c r="BG36" s="4">
        <v>-0.125</v>
      </c>
      <c r="BH36" s="4">
        <v>0.625</v>
      </c>
      <c r="BI36" s="4">
        <v>-0.39300000000000002</v>
      </c>
      <c r="BJ36" s="4">
        <v>0.35899999999999999</v>
      </c>
      <c r="BK36" s="4">
        <v>0.48499999999999999</v>
      </c>
      <c r="BL36" s="4">
        <v>0.41099999999999998</v>
      </c>
      <c r="BM36" s="4"/>
    </row>
    <row r="37" spans="1:65" x14ac:dyDescent="0.3">
      <c r="A37" s="19" t="s">
        <v>96</v>
      </c>
      <c r="B37" s="53">
        <v>0.02</v>
      </c>
      <c r="C37" s="53">
        <f t="shared" si="5"/>
        <v>4.0000000000000001E-3</v>
      </c>
      <c r="D37" s="53">
        <f t="shared" si="6"/>
        <v>4.0000000000000001E-3</v>
      </c>
      <c r="E37" s="53">
        <f t="shared" si="7"/>
        <v>1.6E-2</v>
      </c>
      <c r="F37" s="15">
        <v>2.3519999999999999</v>
      </c>
      <c r="G37" s="19">
        <v>3.91</v>
      </c>
      <c r="H37" s="24" t="s">
        <v>57</v>
      </c>
      <c r="I37" t="str">
        <f>VLOOKUP(A37,Planilha6!$BL$9:$BN$222,2,0)</f>
        <v>homebuilders</v>
      </c>
      <c r="J37" t="str">
        <f>VLOOKUP(A37,Planilha6!$BL$9:$BN$222,3,0)</f>
        <v>low_beta</v>
      </c>
      <c r="K37" s="2">
        <v>1.6E-2</v>
      </c>
      <c r="L37" s="2">
        <v>0</v>
      </c>
      <c r="M37" s="15">
        <v>63</v>
      </c>
      <c r="N37" s="41">
        <f>VLOOKUP(A37,'Mandato Smll'!$A$2:$C$215,2,0)</f>
        <v>3.90719055404396E-2</v>
      </c>
      <c r="O37" s="59">
        <f t="shared" si="8"/>
        <v>-2.30719055404396E-2</v>
      </c>
      <c r="P37" s="42">
        <f t="shared" si="9"/>
        <v>-1.9071905540439599E-2</v>
      </c>
      <c r="Q37" s="41">
        <f>VLOOKUP(A37,'Mandato Smll'!$A$2:$C$215,3,0)</f>
        <v>2.5954032312824001E-2</v>
      </c>
      <c r="R37" s="59">
        <f t="shared" si="10"/>
        <v>-9.9540323128240009E-3</v>
      </c>
      <c r="S37" s="15">
        <v>0.23100000000000001</v>
      </c>
      <c r="T37" s="15">
        <v>0.503</v>
      </c>
      <c r="U37" s="15">
        <v>-4.9000000000000002E-2</v>
      </c>
      <c r="V37" s="15">
        <v>0.50900000000000001</v>
      </c>
      <c r="W37" s="15">
        <v>0.56399999999999995</v>
      </c>
      <c r="X37" s="15">
        <v>0.49399999999999999</v>
      </c>
      <c r="Y37" s="15">
        <v>0.53700000000000003</v>
      </c>
      <c r="Z37" s="15">
        <v>0.72099999999999997</v>
      </c>
      <c r="AA37" s="15">
        <v>0.622</v>
      </c>
      <c r="AB37" s="15">
        <v>0.627</v>
      </c>
      <c r="AC37" s="15">
        <v>0.79400000000000004</v>
      </c>
      <c r="AD37" s="15">
        <v>0.79600000000000004</v>
      </c>
      <c r="AE37" s="15">
        <v>0.65600000000000003</v>
      </c>
      <c r="AF37" s="14">
        <v>0.71199999999999997</v>
      </c>
      <c r="AG37" s="15">
        <v>0.25700000000000001</v>
      </c>
      <c r="AH37" s="15">
        <v>-0.23799999999999999</v>
      </c>
      <c r="AI37" s="15">
        <v>-0.628</v>
      </c>
      <c r="AJ37" s="15">
        <v>-0.21</v>
      </c>
      <c r="AK37" s="9">
        <v>-3.4000000000000002E-2</v>
      </c>
      <c r="AL37" s="4">
        <v>-0.13700000000000001</v>
      </c>
      <c r="AM37" s="4">
        <v>0.38500000000000001</v>
      </c>
      <c r="AN37" s="4">
        <v>-0.85599999999999998</v>
      </c>
      <c r="AO37" s="4">
        <v>0.11899999999999999</v>
      </c>
      <c r="AP37" s="4">
        <v>0.17699999999999999</v>
      </c>
      <c r="AQ37" s="4">
        <v>0.46500000000000002</v>
      </c>
      <c r="AR37" s="4">
        <v>0.44900000000000001</v>
      </c>
      <c r="AS37" s="4">
        <v>0.193</v>
      </c>
      <c r="AT37" s="4">
        <v>0.38500000000000001</v>
      </c>
      <c r="AU37" s="4">
        <v>1</v>
      </c>
      <c r="AV37" s="4">
        <v>0.10199999999999999</v>
      </c>
      <c r="AW37" s="4">
        <v>0.54600000000000004</v>
      </c>
      <c r="AX37" s="4">
        <v>0.14399999999999999</v>
      </c>
      <c r="AY37" s="4">
        <v>0.31</v>
      </c>
      <c r="AZ37" s="4">
        <v>0.84099999999999997</v>
      </c>
      <c r="BA37" s="4">
        <v>0.96299999999999997</v>
      </c>
      <c r="BB37" s="4">
        <v>0.32600000000000001</v>
      </c>
      <c r="BC37" s="4">
        <v>-0.75900000000000001</v>
      </c>
      <c r="BD37" s="4">
        <v>-0.29499999999999998</v>
      </c>
      <c r="BE37" s="4">
        <v>-0.27400000000000002</v>
      </c>
      <c r="BF37" s="4">
        <v>0.57299999999999995</v>
      </c>
      <c r="BG37" s="4">
        <v>-4.2999999999999997E-2</v>
      </c>
      <c r="BH37" s="4">
        <v>0.33500000000000002</v>
      </c>
      <c r="BI37" s="4">
        <v>-0.98099999999999998</v>
      </c>
      <c r="BJ37" s="4">
        <v>0.17199999999999999</v>
      </c>
      <c r="BK37" s="4">
        <v>-0.42699999999999999</v>
      </c>
      <c r="BL37" s="4">
        <v>-0.33600000000000002</v>
      </c>
      <c r="BM37" s="4"/>
    </row>
    <row r="38" spans="1:65" x14ac:dyDescent="0.3">
      <c r="A38" s="19" t="s">
        <v>93</v>
      </c>
      <c r="B38" s="53">
        <v>0.04</v>
      </c>
      <c r="C38" s="53">
        <f t="shared" si="5"/>
        <v>-2.9999999999999957E-3</v>
      </c>
      <c r="D38" s="53">
        <f t="shared" si="6"/>
        <v>1.4999999999999999E-2</v>
      </c>
      <c r="E38" s="53">
        <f t="shared" si="7"/>
        <v>4.2999999999999997E-2</v>
      </c>
      <c r="F38" s="15">
        <v>2.3479999999999999</v>
      </c>
      <c r="G38" s="19">
        <v>5.0590000000000002</v>
      </c>
      <c r="H38" s="24" t="s">
        <v>55</v>
      </c>
      <c r="I38" t="str">
        <f>VLOOKUP(A38,Planilha6!$BL$9:$BN$222,2,0)</f>
        <v>real_estate</v>
      </c>
      <c r="J38" t="str">
        <f>VLOOKUP(A38,Planilha6!$BL$9:$BN$222,3,0)</f>
        <v>high_beta</v>
      </c>
      <c r="K38" s="2">
        <v>2.5000000000000001E-2</v>
      </c>
      <c r="L38" s="2">
        <v>-1.7999999999999999E-2</v>
      </c>
      <c r="M38" s="15">
        <v>38</v>
      </c>
      <c r="N38" s="41">
        <f>VLOOKUP(A38,'Mandato Smll'!$A$2:$C$215,2,0)</f>
        <v>5.2260976788654302E-2</v>
      </c>
      <c r="O38" s="59">
        <f t="shared" si="8"/>
        <v>-2.7260976788654301E-2</v>
      </c>
      <c r="P38" s="42">
        <f t="shared" si="9"/>
        <v>-1.2260976788654301E-2</v>
      </c>
      <c r="Q38" s="41">
        <f>VLOOKUP(A38,'Mandato Smll'!$A$2:$C$215,3,0)</f>
        <v>5.0045506657633097E-2</v>
      </c>
      <c r="R38" s="59">
        <f t="shared" si="10"/>
        <v>-2.5045506657633096E-2</v>
      </c>
      <c r="S38" s="15">
        <v>0.19</v>
      </c>
      <c r="T38" s="15">
        <v>0.83599999999999997</v>
      </c>
      <c r="U38" s="15">
        <v>-0.35</v>
      </c>
      <c r="V38" s="15">
        <v>0.44700000000000001</v>
      </c>
      <c r="W38" s="15">
        <v>0.505</v>
      </c>
      <c r="X38" s="15">
        <v>0.61299999999999999</v>
      </c>
      <c r="Y38" s="15">
        <v>0.90600000000000003</v>
      </c>
      <c r="Z38" s="15">
        <v>0.57999999999999996</v>
      </c>
      <c r="AA38" s="15">
        <v>0.67</v>
      </c>
      <c r="AB38" s="15">
        <v>0.67500000000000004</v>
      </c>
      <c r="AC38" s="15">
        <v>0.75700000000000001</v>
      </c>
      <c r="AD38" s="15">
        <v>0.72299999999999998</v>
      </c>
      <c r="AE38" s="15">
        <v>0.69299999999999995</v>
      </c>
      <c r="AF38" s="14">
        <v>0.628</v>
      </c>
      <c r="AG38" s="15">
        <v>-0.127</v>
      </c>
      <c r="AH38" s="15">
        <v>0.51800000000000002</v>
      </c>
      <c r="AI38" s="15">
        <v>-0.77200000000000002</v>
      </c>
      <c r="AJ38" s="15">
        <v>-0.114</v>
      </c>
      <c r="AK38" s="9">
        <v>-0.29299999999999998</v>
      </c>
      <c r="AL38" s="4">
        <v>-7.9000000000000001E-2</v>
      </c>
      <c r="AM38" s="4">
        <v>-0.193</v>
      </c>
      <c r="AN38" s="4">
        <v>-0.51300000000000001</v>
      </c>
      <c r="AO38" s="4">
        <v>1.7999999999999999E-2</v>
      </c>
      <c r="AP38" s="4">
        <v>0.59799999999999998</v>
      </c>
      <c r="AQ38" s="4">
        <v>0.47199999999999998</v>
      </c>
      <c r="AR38" s="4">
        <v>0.26500000000000001</v>
      </c>
      <c r="AS38" s="4">
        <v>0.28599999999999998</v>
      </c>
      <c r="AT38" s="4">
        <v>-0.13600000000000001</v>
      </c>
      <c r="AU38" s="4">
        <v>1.4999999999999999E-2</v>
      </c>
      <c r="AV38" s="4">
        <v>0.87</v>
      </c>
      <c r="AW38" s="4">
        <v>0.65600000000000003</v>
      </c>
      <c r="AX38" s="4">
        <v>0.31900000000000001</v>
      </c>
      <c r="AY38" s="4">
        <v>0.29299999999999998</v>
      </c>
      <c r="AZ38" s="4">
        <v>0.57699999999999996</v>
      </c>
      <c r="BA38" s="4">
        <v>0.41899999999999998</v>
      </c>
      <c r="BB38" s="4">
        <v>-0.7</v>
      </c>
      <c r="BC38" s="4">
        <v>-4.8000000000000001E-2</v>
      </c>
      <c r="BD38" s="4">
        <v>-0.14299999999999999</v>
      </c>
      <c r="BE38" s="4">
        <v>0.36299999999999999</v>
      </c>
      <c r="BF38" s="4">
        <v>-0.38800000000000001</v>
      </c>
      <c r="BG38" s="4">
        <v>0.155</v>
      </c>
      <c r="BH38" s="4">
        <v>0.749</v>
      </c>
      <c r="BI38" s="4">
        <v>-0.48899999999999999</v>
      </c>
      <c r="BJ38" s="4">
        <v>0.38100000000000001</v>
      </c>
      <c r="BK38" s="4">
        <v>-0.58699999999999997</v>
      </c>
      <c r="BL38" s="4">
        <v>-0.41599999999999998</v>
      </c>
      <c r="BM38" s="4"/>
    </row>
    <row r="39" spans="1:65" hidden="1" x14ac:dyDescent="0.3">
      <c r="A39" s="19" t="s">
        <v>109</v>
      </c>
      <c r="B39" s="53">
        <f t="shared" si="4"/>
        <v>0.02</v>
      </c>
      <c r="C39" s="53">
        <f t="shared" si="5"/>
        <v>0.02</v>
      </c>
      <c r="D39" s="53">
        <f t="shared" si="6"/>
        <v>0</v>
      </c>
      <c r="E39" s="53">
        <f t="shared" si="7"/>
        <v>0</v>
      </c>
      <c r="F39" s="15">
        <v>2.3340000000000001</v>
      </c>
      <c r="G39" s="19">
        <v>3.173</v>
      </c>
      <c r="H39" s="24" t="s">
        <v>57</v>
      </c>
      <c r="I39" t="str">
        <f>VLOOKUP(A39,Planilha6!$BL$9:$BN$222,2,0)</f>
        <v>banks</v>
      </c>
      <c r="J39" t="str">
        <f>VLOOKUP(A39,Planilha6!$BL$9:$BN$222,3,0)</f>
        <v>neutral_beta</v>
      </c>
      <c r="K39" s="2">
        <v>0.02</v>
      </c>
      <c r="L39" s="2">
        <v>0.02</v>
      </c>
      <c r="M39" s="15">
        <v>84</v>
      </c>
      <c r="N39" s="41">
        <f>VLOOKUP(A39,'Mandato Smll'!$A$2:$C$215,2,0)</f>
        <v>9.51379565721896E-3</v>
      </c>
      <c r="O39" s="59">
        <f t="shared" si="8"/>
        <v>1.048620434278104E-2</v>
      </c>
      <c r="P39" s="42">
        <f t="shared" si="9"/>
        <v>1.048620434278104E-2</v>
      </c>
      <c r="Q39" s="41">
        <f>VLOOKUP(A39,'Mandato Smll'!$A$2:$C$215,3,0)</f>
        <v>9.8111596493118403E-3</v>
      </c>
      <c r="R39" s="59">
        <f t="shared" si="10"/>
        <v>1.018884035068816E-2</v>
      </c>
      <c r="S39" s="15">
        <v>0.126</v>
      </c>
      <c r="T39" s="15">
        <v>0.66400000000000003</v>
      </c>
      <c r="U39" s="15">
        <v>-0.309</v>
      </c>
      <c r="V39" s="15">
        <v>0.27600000000000002</v>
      </c>
      <c r="W39" s="15">
        <v>0.38900000000000001</v>
      </c>
      <c r="X39" s="15">
        <v>0.442</v>
      </c>
      <c r="Y39" s="15">
        <v>0.61599999999999999</v>
      </c>
      <c r="Z39" s="15">
        <v>0.61</v>
      </c>
      <c r="AA39" s="15">
        <v>0.752</v>
      </c>
      <c r="AB39" s="15">
        <v>0.76</v>
      </c>
      <c r="AC39" s="15">
        <v>0.8</v>
      </c>
      <c r="AD39" s="15">
        <v>0.88600000000000001</v>
      </c>
      <c r="AE39" s="15">
        <v>0.873</v>
      </c>
      <c r="AF39" s="14">
        <v>0.106</v>
      </c>
      <c r="AG39" s="15">
        <v>-0.29699999999999999</v>
      </c>
      <c r="AH39" s="15">
        <v>0.55700000000000005</v>
      </c>
      <c r="AI39" s="15">
        <v>-0.96599999999999997</v>
      </c>
      <c r="AJ39" s="15">
        <v>-0.63600000000000001</v>
      </c>
      <c r="AK39" s="9">
        <v>-0.84499999999999997</v>
      </c>
      <c r="AL39" s="4">
        <v>-0.14899999999999999</v>
      </c>
      <c r="AM39" s="4">
        <v>0.186</v>
      </c>
      <c r="AN39" s="4">
        <v>-0.66500000000000004</v>
      </c>
      <c r="AO39" s="4">
        <v>-0.39900000000000002</v>
      </c>
      <c r="AP39" s="4">
        <v>0.67100000000000004</v>
      </c>
      <c r="AQ39" s="4">
        <v>0.68500000000000005</v>
      </c>
      <c r="AR39" s="4">
        <v>-0.01</v>
      </c>
      <c r="AS39" s="4">
        <v>0.17100000000000001</v>
      </c>
      <c r="AT39" s="4">
        <v>0.41</v>
      </c>
      <c r="AU39" s="4">
        <v>5.8000000000000003E-2</v>
      </c>
      <c r="AV39" s="4">
        <v>5.0999999999999997E-2</v>
      </c>
      <c r="AW39" s="4">
        <v>0.29399999999999998</v>
      </c>
      <c r="AX39" s="4">
        <v>0.502</v>
      </c>
      <c r="AY39" s="4">
        <v>-0.45100000000000001</v>
      </c>
      <c r="AZ39" s="4">
        <v>0.93600000000000005</v>
      </c>
      <c r="BA39" s="4">
        <v>0.252</v>
      </c>
      <c r="BB39" s="4">
        <v>0.91100000000000003</v>
      </c>
      <c r="BC39" s="4">
        <v>-2.3E-2</v>
      </c>
      <c r="BD39" s="4">
        <v>0.32100000000000001</v>
      </c>
      <c r="BE39" s="4">
        <v>0.52100000000000002</v>
      </c>
      <c r="BF39" s="4">
        <v>-0.23100000000000001</v>
      </c>
      <c r="BG39" s="4">
        <v>-0.27500000000000002</v>
      </c>
      <c r="BH39" s="4">
        <v>0.83199999999999996</v>
      </c>
      <c r="BI39" s="4">
        <v>-0.66800000000000004</v>
      </c>
      <c r="BJ39" s="4">
        <v>-1.7000000000000001E-2</v>
      </c>
      <c r="BK39" s="4">
        <v>0.88500000000000001</v>
      </c>
      <c r="BL39" s="4">
        <v>-0.68899999999999995</v>
      </c>
      <c r="BM39" s="4"/>
    </row>
    <row r="40" spans="1:65" hidden="1" x14ac:dyDescent="0.3">
      <c r="A40" s="19" t="s">
        <v>65</v>
      </c>
      <c r="B40" s="53">
        <f t="shared" si="4"/>
        <v>1.4E-2</v>
      </c>
      <c r="C40" s="53">
        <f t="shared" si="5"/>
        <v>1.4E-2</v>
      </c>
      <c r="D40" s="53">
        <f t="shared" si="6"/>
        <v>0</v>
      </c>
      <c r="E40" s="53">
        <f t="shared" si="7"/>
        <v>0</v>
      </c>
      <c r="F40" s="15">
        <v>2.3149999999999999</v>
      </c>
      <c r="G40" s="19">
        <v>2.504</v>
      </c>
      <c r="H40" s="24" t="s">
        <v>57</v>
      </c>
      <c r="I40" t="str">
        <f>VLOOKUP(A40,Planilha6!$BL$9:$BN$222,2,0)</f>
        <v>homebuilders</v>
      </c>
      <c r="J40" t="str">
        <f>VLOOKUP(A40,Planilha6!$BL$9:$BN$222,3,0)</f>
        <v>neutral_beta</v>
      </c>
      <c r="K40" s="2">
        <v>1.4E-2</v>
      </c>
      <c r="L40" s="2">
        <v>1.4E-2</v>
      </c>
      <c r="M40" s="15">
        <v>84</v>
      </c>
      <c r="N40" s="41">
        <f>VLOOKUP(A40,'Mandato Smll'!$A$2:$C$215,2,0)</f>
        <v>9.4367894764609897E-3</v>
      </c>
      <c r="O40" s="59">
        <f t="shared" si="8"/>
        <v>4.5632105235390106E-3</v>
      </c>
      <c r="P40" s="42">
        <f t="shared" si="9"/>
        <v>4.5632105235390106E-3</v>
      </c>
      <c r="Q40" s="41">
        <f>VLOOKUP(A40,'Mandato Smll'!$A$2:$C$215,3,0)</f>
        <v>0</v>
      </c>
      <c r="R40" s="59">
        <f t="shared" si="10"/>
        <v>1.4E-2</v>
      </c>
      <c r="S40" s="15">
        <v>0.20100000000000001</v>
      </c>
      <c r="T40" s="15">
        <v>0.158</v>
      </c>
      <c r="U40" s="15">
        <v>0.56999999999999995</v>
      </c>
      <c r="V40" s="15">
        <v>2.1000000000000001E-2</v>
      </c>
      <c r="W40" s="15">
        <v>0.36499999999999999</v>
      </c>
      <c r="X40" s="15">
        <v>0.36399999999999999</v>
      </c>
      <c r="Y40" s="15">
        <v>0.48599999999999999</v>
      </c>
      <c r="Z40" s="15">
        <v>0.73299999999999998</v>
      </c>
      <c r="AA40" s="15">
        <v>0.63600000000000001</v>
      </c>
      <c r="AB40" s="15">
        <v>0.63700000000000001</v>
      </c>
      <c r="AC40" s="15">
        <v>0.82499999999999996</v>
      </c>
      <c r="AD40" s="15">
        <v>0.69899999999999995</v>
      </c>
      <c r="AE40" s="15">
        <v>0.749</v>
      </c>
      <c r="AF40" s="14">
        <v>0.156</v>
      </c>
      <c r="AG40" s="15">
        <v>-0.11600000000000001</v>
      </c>
      <c r="AH40" s="15">
        <v>-0.124</v>
      </c>
      <c r="AI40" s="15">
        <v>0.97799999999999998</v>
      </c>
      <c r="AJ40" s="15">
        <v>0.64900000000000002</v>
      </c>
      <c r="AK40" s="9">
        <v>-7.6999999999999999E-2</v>
      </c>
      <c r="AL40" s="4">
        <v>-0.16500000000000001</v>
      </c>
      <c r="AM40" s="4">
        <v>0.98599999999999999</v>
      </c>
      <c r="AN40" s="4">
        <v>-3.1E-2</v>
      </c>
      <c r="AO40" s="4">
        <v>-4.9000000000000002E-2</v>
      </c>
      <c r="AP40" s="4">
        <v>-0.128</v>
      </c>
      <c r="AQ40" s="4">
        <v>-2.1999999999999999E-2</v>
      </c>
      <c r="AR40" s="4">
        <v>2.1000000000000001E-2</v>
      </c>
      <c r="AS40" s="4">
        <v>-0.13</v>
      </c>
      <c r="AT40" s="4">
        <v>-0.125</v>
      </c>
      <c r="AU40" s="4">
        <v>1.6E-2</v>
      </c>
      <c r="AV40" s="4">
        <v>-0.41199999999999998</v>
      </c>
      <c r="AW40" s="4">
        <v>-6.4000000000000001E-2</v>
      </c>
      <c r="AX40" s="4">
        <v>0.59799999999999998</v>
      </c>
      <c r="AY40" s="4">
        <v>-0.36699999999999999</v>
      </c>
      <c r="AZ40" s="4">
        <v>0.67800000000000005</v>
      </c>
      <c r="BA40" s="4">
        <v>0.41099999999999998</v>
      </c>
      <c r="BB40" s="4">
        <v>0.23100000000000001</v>
      </c>
      <c r="BC40" s="4">
        <v>-2.9000000000000001E-2</v>
      </c>
      <c r="BD40" s="4">
        <v>-0.434</v>
      </c>
      <c r="BE40" s="4">
        <v>-0.499</v>
      </c>
      <c r="BF40" s="4">
        <v>0.43</v>
      </c>
      <c r="BG40" s="4">
        <v>0.67100000000000004</v>
      </c>
      <c r="BH40" s="4">
        <v>0.88100000000000001</v>
      </c>
      <c r="BI40" s="4">
        <v>-0.40400000000000003</v>
      </c>
      <c r="BJ40" s="4">
        <v>0.26500000000000001</v>
      </c>
      <c r="BK40" s="4">
        <v>0.72899999999999998</v>
      </c>
      <c r="BL40" s="4">
        <v>0.63800000000000001</v>
      </c>
      <c r="BM40" s="4"/>
    </row>
    <row r="41" spans="1:65" hidden="1" x14ac:dyDescent="0.3">
      <c r="A41" s="19" t="s">
        <v>80</v>
      </c>
      <c r="B41" s="53">
        <f t="shared" si="4"/>
        <v>1.7000000000000001E-2</v>
      </c>
      <c r="C41" s="53">
        <f t="shared" si="5"/>
        <v>1.2E-2</v>
      </c>
      <c r="D41" s="53">
        <f t="shared" si="6"/>
        <v>0</v>
      </c>
      <c r="E41" s="53">
        <f t="shared" si="7"/>
        <v>5.000000000000001E-3</v>
      </c>
      <c r="F41" s="15">
        <v>2.2770000000000001</v>
      </c>
      <c r="G41" s="19">
        <v>2.73</v>
      </c>
      <c r="H41" s="24" t="s">
        <v>57</v>
      </c>
      <c r="I41" t="str">
        <f>VLOOKUP(A41,Planilha6!$BL$9:$BN$222,2,0)</f>
        <v>tech</v>
      </c>
      <c r="J41" t="str">
        <f>VLOOKUP(A41,Planilha6!$BL$9:$BN$222,3,0)</f>
        <v>low_beta</v>
      </c>
      <c r="K41" s="2">
        <v>1.7000000000000001E-2</v>
      </c>
      <c r="L41" s="2">
        <v>1.2E-2</v>
      </c>
      <c r="M41" s="15">
        <v>84</v>
      </c>
      <c r="N41" s="41">
        <f>VLOOKUP(A41,'Mandato Smll'!$A$2:$C$215,2,0)</f>
        <v>1.3954818695169201E-2</v>
      </c>
      <c r="O41" s="59">
        <f t="shared" si="8"/>
        <v>3.0451813048308005E-3</v>
      </c>
      <c r="P41" s="42">
        <f t="shared" si="9"/>
        <v>3.0451813048308005E-3</v>
      </c>
      <c r="Q41" s="41">
        <f>VLOOKUP(A41,'Mandato Smll'!$A$2:$C$215,3,0)</f>
        <v>1.16571934085163E-2</v>
      </c>
      <c r="R41" s="59">
        <f t="shared" si="10"/>
        <v>5.3428065914837009E-3</v>
      </c>
      <c r="S41" s="15">
        <v>0.45900000000000002</v>
      </c>
      <c r="T41" s="15">
        <v>0.32900000000000001</v>
      </c>
      <c r="U41" s="15">
        <v>0.60899999999999999</v>
      </c>
      <c r="V41" s="15">
        <v>0.23100000000000001</v>
      </c>
      <c r="W41" s="15">
        <v>0.442</v>
      </c>
      <c r="X41" s="15">
        <v>0.45900000000000002</v>
      </c>
      <c r="Y41" s="15">
        <v>0.496</v>
      </c>
      <c r="Z41" s="15">
        <v>0.317</v>
      </c>
      <c r="AA41" s="15">
        <v>0.58499999999999996</v>
      </c>
      <c r="AB41" s="15">
        <v>0.59199999999999997</v>
      </c>
      <c r="AC41" s="15">
        <v>0.82399999999999995</v>
      </c>
      <c r="AD41" s="15">
        <v>0.79500000000000004</v>
      </c>
      <c r="AE41" s="15">
        <v>0.74199999999999999</v>
      </c>
      <c r="AF41" s="14">
        <v>0.20799999999999999</v>
      </c>
      <c r="AG41" s="15">
        <v>0.34</v>
      </c>
      <c r="AH41" s="15">
        <v>-0.36499999999999999</v>
      </c>
      <c r="AI41" s="15">
        <v>0.246</v>
      </c>
      <c r="AJ41" s="15">
        <v>-0.13900000000000001</v>
      </c>
      <c r="AK41" s="9">
        <v>1</v>
      </c>
      <c r="AL41" s="4">
        <v>0.245</v>
      </c>
      <c r="AM41" s="4">
        <v>8.8999999999999996E-2</v>
      </c>
      <c r="AN41" s="4">
        <v>-0.32600000000000001</v>
      </c>
      <c r="AO41" s="4">
        <v>-3.7999999999999999E-2</v>
      </c>
      <c r="AP41" s="4">
        <v>-0.13700000000000001</v>
      </c>
      <c r="AQ41" s="4">
        <v>-8.7999999999999995E-2</v>
      </c>
      <c r="AR41" s="4">
        <v>0.47</v>
      </c>
      <c r="AS41" s="4">
        <v>0.27500000000000002</v>
      </c>
      <c r="AT41" s="4">
        <v>0.1</v>
      </c>
      <c r="AU41" s="4">
        <v>0.42799999999999999</v>
      </c>
      <c r="AV41" s="4">
        <v>-3.5999999999999997E-2</v>
      </c>
      <c r="AW41" s="4">
        <v>-4.1000000000000002E-2</v>
      </c>
      <c r="AX41" s="4">
        <v>0.442</v>
      </c>
      <c r="AY41" s="4">
        <v>0.223</v>
      </c>
      <c r="AZ41" s="4">
        <v>0.73299999999999998</v>
      </c>
      <c r="BA41" s="4">
        <v>0.46899999999999997</v>
      </c>
      <c r="BB41" s="4">
        <v>0.79700000000000004</v>
      </c>
      <c r="BC41" s="4">
        <v>-8.3000000000000004E-2</v>
      </c>
      <c r="BD41" s="4">
        <v>-5.6000000000000001E-2</v>
      </c>
      <c r="BE41" s="4">
        <v>-2.1000000000000001E-2</v>
      </c>
      <c r="BF41" s="4">
        <v>0.3</v>
      </c>
      <c r="BG41" s="4">
        <v>-9.1999999999999998E-2</v>
      </c>
      <c r="BH41" s="4">
        <v>0.75</v>
      </c>
      <c r="BI41" s="4">
        <v>-0.78500000000000003</v>
      </c>
      <c r="BJ41" s="4">
        <v>-0.16400000000000001</v>
      </c>
      <c r="BK41" s="4">
        <v>0.5</v>
      </c>
      <c r="BL41" s="4">
        <v>0.34899999999999998</v>
      </c>
      <c r="BM41" s="4"/>
    </row>
    <row r="42" spans="1:65" hidden="1" x14ac:dyDescent="0.3">
      <c r="A42" s="19" t="s">
        <v>76</v>
      </c>
      <c r="B42" s="53">
        <f t="shared" si="4"/>
        <v>7.0000000000000001E-3</v>
      </c>
      <c r="C42" s="53">
        <f t="shared" si="5"/>
        <v>7.0000000000000001E-3</v>
      </c>
      <c r="D42" s="53">
        <f t="shared" si="6"/>
        <v>0</v>
      </c>
      <c r="E42" s="53">
        <f t="shared" si="7"/>
        <v>0</v>
      </c>
      <c r="F42" s="15">
        <v>2.2280000000000002</v>
      </c>
      <c r="G42" s="19">
        <v>1.6020000000000001</v>
      </c>
      <c r="H42" s="24" t="s">
        <v>57</v>
      </c>
      <c r="I42" t="str">
        <f>VLOOKUP(A42,Planilha6!$BL$9:$BN$222,2,0)</f>
        <v>homebuilders</v>
      </c>
      <c r="J42" t="str">
        <f>VLOOKUP(A42,Planilha6!$BL$9:$BN$222,3,0)</f>
        <v>high_beta</v>
      </c>
      <c r="K42" s="2">
        <v>7.0000000000000001E-3</v>
      </c>
      <c r="L42" s="2">
        <v>7.0000000000000001E-3</v>
      </c>
      <c r="M42" s="15">
        <v>84</v>
      </c>
      <c r="N42" s="41">
        <f>VLOOKUP(A42,'Mandato Smll'!$A$2:$C$215,2,0)</f>
        <v>9.0793781204308206E-3</v>
      </c>
      <c r="O42" s="59">
        <f t="shared" si="8"/>
        <v>-2.0793781204308205E-3</v>
      </c>
      <c r="P42" s="42">
        <f t="shared" si="9"/>
        <v>-2.0793781204308205E-3</v>
      </c>
      <c r="Q42" s="41">
        <f>VLOOKUP(A42,'Mandato Smll'!$A$2:$C$215,3,0)</f>
        <v>0</v>
      </c>
      <c r="R42" s="59">
        <f t="shared" si="10"/>
        <v>7.0000000000000001E-3</v>
      </c>
      <c r="S42" s="15">
        <v>0.57599999999999996</v>
      </c>
      <c r="T42" s="15">
        <v>0.22500000000000001</v>
      </c>
      <c r="U42" s="15">
        <v>0.71</v>
      </c>
      <c r="V42" s="15">
        <v>0.35699999999999998</v>
      </c>
      <c r="W42" s="15">
        <v>0.48299999999999998</v>
      </c>
      <c r="X42" s="15">
        <v>0.40400000000000003</v>
      </c>
      <c r="Y42" s="15">
        <v>0.29199999999999998</v>
      </c>
      <c r="Z42" s="15">
        <v>0.30399999999999999</v>
      </c>
      <c r="AA42" s="15">
        <v>0.36899999999999999</v>
      </c>
      <c r="AB42" s="15">
        <v>0.36699999999999999</v>
      </c>
      <c r="AC42" s="15">
        <v>0.876</v>
      </c>
      <c r="AD42" s="15">
        <v>0.73699999999999999</v>
      </c>
      <c r="AE42" s="15">
        <v>0.71799999999999997</v>
      </c>
      <c r="AF42" s="14">
        <v>0.57899999999999996</v>
      </c>
      <c r="AG42" s="15">
        <v>0.80600000000000005</v>
      </c>
      <c r="AH42" s="15">
        <v>-0.35599999999999998</v>
      </c>
      <c r="AI42" s="15">
        <v>0.40600000000000003</v>
      </c>
      <c r="AJ42" s="15">
        <v>0.33800000000000002</v>
      </c>
      <c r="AK42" s="9">
        <v>0.34799999999999998</v>
      </c>
      <c r="AL42" s="4">
        <v>-0.186</v>
      </c>
      <c r="AM42" s="4">
        <v>0.315</v>
      </c>
      <c r="AN42" s="4">
        <v>-0.30599999999999999</v>
      </c>
      <c r="AO42" s="4">
        <v>0.58799999999999997</v>
      </c>
      <c r="AP42" s="4">
        <v>0.13700000000000001</v>
      </c>
      <c r="AQ42" s="4">
        <v>-0.187</v>
      </c>
      <c r="AR42" s="4">
        <v>0.60399999999999998</v>
      </c>
      <c r="AS42" s="4">
        <v>-8.9999999999999993E-3</v>
      </c>
      <c r="AT42" s="4">
        <v>-0.33900000000000002</v>
      </c>
      <c r="AU42" s="4">
        <v>9.1999999999999998E-2</v>
      </c>
      <c r="AV42" s="4">
        <v>-0.106</v>
      </c>
      <c r="AW42" s="4">
        <v>0.251</v>
      </c>
      <c r="AX42" s="4">
        <v>-0.26</v>
      </c>
      <c r="AY42" s="4">
        <v>3.4000000000000002E-2</v>
      </c>
      <c r="AZ42" s="4">
        <v>0.67100000000000004</v>
      </c>
      <c r="BA42" s="4">
        <v>0.61199999999999999</v>
      </c>
      <c r="BB42" s="4">
        <v>0.80400000000000005</v>
      </c>
      <c r="BC42" s="4">
        <v>-4.0000000000000001E-3</v>
      </c>
      <c r="BD42" s="4">
        <v>-0.32500000000000001</v>
      </c>
      <c r="BE42" s="4">
        <v>9.9000000000000005E-2</v>
      </c>
      <c r="BF42" s="4">
        <v>0.64100000000000001</v>
      </c>
      <c r="BG42" s="4">
        <v>-0.54100000000000004</v>
      </c>
      <c r="BH42" s="4">
        <v>0.375</v>
      </c>
      <c r="BI42" s="4">
        <v>-0.55900000000000005</v>
      </c>
      <c r="BJ42" s="4">
        <v>0.60299999999999998</v>
      </c>
      <c r="BK42" s="4">
        <v>0.75700000000000001</v>
      </c>
      <c r="BL42" s="4">
        <v>0.41299999999999998</v>
      </c>
      <c r="BM42" s="4"/>
    </row>
    <row r="43" spans="1:65" hidden="1" x14ac:dyDescent="0.3">
      <c r="A43" s="19" t="s">
        <v>63</v>
      </c>
      <c r="B43" s="53">
        <f t="shared" si="4"/>
        <v>1.9E-2</v>
      </c>
      <c r="C43" s="53">
        <f t="shared" si="5"/>
        <v>1.2999999999999999E-2</v>
      </c>
      <c r="D43" s="53">
        <f t="shared" si="6"/>
        <v>0</v>
      </c>
      <c r="E43" s="53">
        <f t="shared" si="7"/>
        <v>6.0000000000000001E-3</v>
      </c>
      <c r="F43" s="15">
        <v>2.2240000000000002</v>
      </c>
      <c r="G43" s="19">
        <v>3.0830000000000002</v>
      </c>
      <c r="H43" s="24" t="s">
        <v>57</v>
      </c>
      <c r="I43" t="str">
        <f>VLOOKUP(A43,Planilha6!$BL$9:$BN$222,2,0)</f>
        <v>apparel</v>
      </c>
      <c r="J43" t="str">
        <f>VLOOKUP(A43,Planilha6!$BL$9:$BN$222,3,0)</f>
        <v>low_beta</v>
      </c>
      <c r="K43" s="2">
        <v>1.9E-2</v>
      </c>
      <c r="L43" s="2">
        <v>1.2999999999999999E-2</v>
      </c>
      <c r="M43" s="15">
        <v>84</v>
      </c>
      <c r="N43" s="41">
        <f>VLOOKUP(A43,'Mandato Smll'!$A$2:$C$215,2,0)</f>
        <v>1.53898211818661E-2</v>
      </c>
      <c r="O43" s="59">
        <f t="shared" si="8"/>
        <v>3.6101788181338995E-3</v>
      </c>
      <c r="P43" s="42">
        <f t="shared" si="9"/>
        <v>3.6101788181338995E-3</v>
      </c>
      <c r="Q43" s="41">
        <f>VLOOKUP(A43,'Mandato Smll'!$A$2:$C$215,3,0)</f>
        <v>0</v>
      </c>
      <c r="R43" s="59">
        <f t="shared" si="10"/>
        <v>1.9E-2</v>
      </c>
      <c r="S43" s="15">
        <v>-0.10100000000000001</v>
      </c>
      <c r="T43" s="15">
        <v>0.22900000000000001</v>
      </c>
      <c r="U43" s="15">
        <v>3.7999999999999999E-2</v>
      </c>
      <c r="V43" s="15">
        <v>0.215</v>
      </c>
      <c r="W43" s="15">
        <v>0.45400000000000001</v>
      </c>
      <c r="X43" s="15">
        <v>0.48699999999999999</v>
      </c>
      <c r="Y43" s="15">
        <v>0.82299999999999995</v>
      </c>
      <c r="Z43" s="15">
        <v>1</v>
      </c>
      <c r="AA43" s="15">
        <v>0.61299999999999999</v>
      </c>
      <c r="AB43" s="15">
        <v>0.61899999999999999</v>
      </c>
      <c r="AC43" s="15">
        <v>0.748</v>
      </c>
      <c r="AD43" s="15">
        <v>0.64300000000000002</v>
      </c>
      <c r="AE43" s="15">
        <v>0.47399999999999998</v>
      </c>
      <c r="AF43" s="14">
        <v>0.75800000000000001</v>
      </c>
      <c r="AG43" s="15">
        <v>0.219</v>
      </c>
      <c r="AH43" s="15">
        <v>-0.64200000000000002</v>
      </c>
      <c r="AI43" s="15">
        <v>-0.23599999999999999</v>
      </c>
      <c r="AJ43" s="15">
        <v>-0.57499999999999996</v>
      </c>
      <c r="AK43" s="9">
        <v>0.38100000000000001</v>
      </c>
      <c r="AL43" s="4">
        <v>-0.27300000000000002</v>
      </c>
      <c r="AM43" s="4">
        <v>1</v>
      </c>
      <c r="AN43" s="4">
        <v>-0.745</v>
      </c>
      <c r="AO43" s="4">
        <v>0.55200000000000005</v>
      </c>
      <c r="AP43" s="4">
        <v>-0.27500000000000002</v>
      </c>
      <c r="AQ43" s="4">
        <v>-0.51400000000000001</v>
      </c>
      <c r="AR43" s="4">
        <v>0.28799999999999998</v>
      </c>
      <c r="AS43" s="4">
        <v>-5.7000000000000002E-2</v>
      </c>
      <c r="AT43" s="4">
        <v>-0.39700000000000002</v>
      </c>
      <c r="AU43" s="4">
        <v>0.83099999999999996</v>
      </c>
      <c r="AV43" s="4">
        <v>0.13800000000000001</v>
      </c>
      <c r="AW43" s="4">
        <v>0.36599999999999999</v>
      </c>
      <c r="AX43" s="4">
        <v>0.373</v>
      </c>
      <c r="AY43" s="4">
        <v>-5.8000000000000003E-2</v>
      </c>
      <c r="AZ43" s="4">
        <v>0.72399999999999998</v>
      </c>
      <c r="BA43" s="4">
        <v>1</v>
      </c>
      <c r="BB43" s="4">
        <v>7.2999999999999995E-2</v>
      </c>
      <c r="BC43" s="4">
        <v>-0.70899999999999996</v>
      </c>
      <c r="BD43" s="4">
        <v>-0.76700000000000002</v>
      </c>
      <c r="BE43" s="4">
        <v>-0.52500000000000002</v>
      </c>
      <c r="BF43" s="4">
        <v>0.109</v>
      </c>
      <c r="BG43" s="4">
        <v>-5.6000000000000001E-2</v>
      </c>
      <c r="BH43" s="4">
        <v>0.79700000000000004</v>
      </c>
      <c r="BI43" s="4">
        <v>-0.746</v>
      </c>
      <c r="BJ43" s="4">
        <v>-0.25</v>
      </c>
      <c r="BK43" s="4">
        <v>0.17100000000000001</v>
      </c>
      <c r="BL43" s="4">
        <v>8.8999999999999996E-2</v>
      </c>
      <c r="BM43" s="4"/>
    </row>
    <row r="44" spans="1:65" hidden="1" x14ac:dyDescent="0.3">
      <c r="A44" s="19" t="s">
        <v>167</v>
      </c>
      <c r="B44" s="53">
        <f t="shared" si="4"/>
        <v>1.7000000000000001E-2</v>
      </c>
      <c r="C44" s="53">
        <f t="shared" si="5"/>
        <v>1.2E-2</v>
      </c>
      <c r="D44" s="53">
        <f t="shared" si="6"/>
        <v>0</v>
      </c>
      <c r="E44" s="53">
        <f t="shared" si="7"/>
        <v>5.000000000000001E-3</v>
      </c>
      <c r="F44" s="15">
        <v>2.2210000000000001</v>
      </c>
      <c r="G44" s="19">
        <v>2.5089999999999999</v>
      </c>
      <c r="H44" s="24" t="s">
        <v>57</v>
      </c>
      <c r="I44" t="str">
        <f>VLOOKUP(A44,Planilha6!$BL$9:$BN$222,2,0)</f>
        <v>tech</v>
      </c>
      <c r="J44" t="str">
        <f>VLOOKUP(A44,Planilha6!$BL$9:$BN$222,3,0)</f>
        <v>high_beta</v>
      </c>
      <c r="K44" s="2">
        <v>1.7000000000000001E-2</v>
      </c>
      <c r="L44" s="2">
        <v>1.2E-2</v>
      </c>
      <c r="M44" s="15">
        <v>84</v>
      </c>
      <c r="N44" s="41">
        <f>VLOOKUP(A44,'Mandato Smll'!$A$2:$C$215,2,0)</f>
        <v>1.3831219675731201E-2</v>
      </c>
      <c r="O44" s="59">
        <f t="shared" si="8"/>
        <v>3.1687803242688006E-3</v>
      </c>
      <c r="P44" s="42">
        <f t="shared" si="9"/>
        <v>3.1687803242688006E-3</v>
      </c>
      <c r="Q44" s="41">
        <f>VLOOKUP(A44,'Mandato Smll'!$A$2:$C$215,3,0)</f>
        <v>9.8315963933172709E-3</v>
      </c>
      <c r="R44" s="59">
        <f t="shared" si="10"/>
        <v>7.1684036066827304E-3</v>
      </c>
      <c r="S44" s="15">
        <v>0.56299999999999994</v>
      </c>
      <c r="T44" s="15">
        <v>0.54400000000000004</v>
      </c>
      <c r="U44" s="15">
        <v>0.25600000000000001</v>
      </c>
      <c r="V44" s="15">
        <v>0.33400000000000002</v>
      </c>
      <c r="W44" s="15">
        <v>0.40400000000000003</v>
      </c>
      <c r="X44" s="15">
        <v>0.39300000000000002</v>
      </c>
      <c r="Y44" s="15">
        <v>0.308</v>
      </c>
      <c r="Z44" s="15">
        <v>0.17399999999999999</v>
      </c>
      <c r="AA44" s="15">
        <v>0.53300000000000003</v>
      </c>
      <c r="AB44" s="15">
        <v>0.53700000000000003</v>
      </c>
      <c r="AC44" s="15">
        <v>0.83299999999999996</v>
      </c>
      <c r="AD44" s="15">
        <v>0.85199999999999998</v>
      </c>
      <c r="AE44" s="15">
        <v>0.82099999999999995</v>
      </c>
      <c r="AF44" s="14">
        <v>0.28499999999999998</v>
      </c>
      <c r="AG44" s="15">
        <v>-0.33900000000000002</v>
      </c>
      <c r="AH44" s="15">
        <v>0.34799999999999998</v>
      </c>
      <c r="AI44" s="15">
        <v>-0.32700000000000001</v>
      </c>
      <c r="AJ44" s="15">
        <v>0.58899999999999997</v>
      </c>
      <c r="AK44" s="9">
        <v>7.8E-2</v>
      </c>
      <c r="AL44" s="4">
        <v>9.5000000000000001E-2</v>
      </c>
      <c r="AM44" s="4">
        <v>-0.24199999999999999</v>
      </c>
      <c r="AN44" s="4">
        <v>-0.64500000000000002</v>
      </c>
      <c r="AO44" s="4">
        <v>0.76600000000000001</v>
      </c>
      <c r="AP44" s="4">
        <v>0.35899999999999999</v>
      </c>
      <c r="AQ44" s="4">
        <v>0.78900000000000003</v>
      </c>
      <c r="AR44" s="4">
        <v>7.4999999999999997E-2</v>
      </c>
      <c r="AS44" s="4">
        <v>0.13500000000000001</v>
      </c>
      <c r="AT44" s="4">
        <v>0.17299999999999999</v>
      </c>
      <c r="AU44" s="4">
        <v>0.53200000000000003</v>
      </c>
      <c r="AV44" s="4">
        <v>-9.2999999999999999E-2</v>
      </c>
      <c r="AW44" s="4">
        <v>0.35299999999999998</v>
      </c>
      <c r="AX44" s="4">
        <v>0.20799999999999999</v>
      </c>
      <c r="AY44" s="4">
        <v>0.38</v>
      </c>
      <c r="AZ44" s="4">
        <v>0.81699999999999995</v>
      </c>
      <c r="BA44" s="4">
        <v>0.29299999999999998</v>
      </c>
      <c r="BB44" s="4">
        <v>0.16400000000000001</v>
      </c>
      <c r="BC44" s="4">
        <v>0.12</v>
      </c>
      <c r="BD44" s="4">
        <v>0.09</v>
      </c>
      <c r="BE44" s="4">
        <v>0.38600000000000001</v>
      </c>
      <c r="BF44" s="4">
        <v>0.30399999999999999</v>
      </c>
      <c r="BG44" s="4">
        <v>0.443</v>
      </c>
      <c r="BH44" s="4">
        <v>0.46400000000000002</v>
      </c>
      <c r="BI44" s="4">
        <v>0.03</v>
      </c>
      <c r="BJ44" s="4">
        <v>0.09</v>
      </c>
      <c r="BK44" s="4">
        <v>2E-3</v>
      </c>
      <c r="BL44" s="4">
        <v>-0.111</v>
      </c>
      <c r="BM44" s="4"/>
    </row>
    <row r="45" spans="1:65" hidden="1" x14ac:dyDescent="0.3">
      <c r="A45" s="19" t="s">
        <v>145</v>
      </c>
      <c r="B45" s="53">
        <f t="shared" si="4"/>
        <v>7.0000000000000001E-3</v>
      </c>
      <c r="C45" s="53">
        <f t="shared" si="5"/>
        <v>7.0000000000000001E-3</v>
      </c>
      <c r="D45" s="53">
        <f t="shared" si="6"/>
        <v>0</v>
      </c>
      <c r="E45" s="53">
        <f t="shared" si="7"/>
        <v>0</v>
      </c>
      <c r="F45" s="15">
        <v>2.1819999999999999</v>
      </c>
      <c r="G45" s="19">
        <v>1.577</v>
      </c>
      <c r="H45" s="24" t="s">
        <v>57</v>
      </c>
      <c r="I45" t="str">
        <f>VLOOKUP(A45,Planilha6!$BL$9:$BN$222,2,0)</f>
        <v>banks</v>
      </c>
      <c r="J45" t="str">
        <f>VLOOKUP(A45,Planilha6!$BL$9:$BN$222,3,0)</f>
        <v>high_beta</v>
      </c>
      <c r="K45" s="2">
        <v>7.0000000000000001E-3</v>
      </c>
      <c r="L45" s="2">
        <v>7.0000000000000001E-3</v>
      </c>
      <c r="M45" s="15">
        <v>84</v>
      </c>
      <c r="N45" s="41">
        <f>VLOOKUP(A45,'Mandato Smll'!$A$2:$C$215,2,0)</f>
        <v>8.8927911614837003E-3</v>
      </c>
      <c r="O45" s="59">
        <f t="shared" si="8"/>
        <v>-1.8927911614837001E-3</v>
      </c>
      <c r="P45" s="42">
        <f t="shared" si="9"/>
        <v>-1.8927911614837001E-3</v>
      </c>
      <c r="Q45" s="41">
        <f>VLOOKUP(A45,'Mandato Smll'!$A$2:$C$215,3,0)</f>
        <v>7.7057477985124001E-3</v>
      </c>
      <c r="R45" s="59">
        <f t="shared" si="10"/>
        <v>-7.0574779851239992E-4</v>
      </c>
      <c r="S45" s="15">
        <v>0.311</v>
      </c>
      <c r="T45" s="15">
        <v>0.54900000000000004</v>
      </c>
      <c r="U45" s="15">
        <v>0.41399999999999998</v>
      </c>
      <c r="V45" s="15">
        <v>0.17699999999999999</v>
      </c>
      <c r="W45" s="15">
        <v>0.504</v>
      </c>
      <c r="X45" s="15">
        <v>0.17199999999999999</v>
      </c>
      <c r="Y45" s="15">
        <v>7.0000000000000001E-3</v>
      </c>
      <c r="Z45" s="15">
        <v>0.13900000000000001</v>
      </c>
      <c r="AA45" s="15">
        <v>0.88800000000000001</v>
      </c>
      <c r="AB45" s="15">
        <v>0.88900000000000001</v>
      </c>
      <c r="AC45" s="15">
        <v>0.96199999999999997</v>
      </c>
      <c r="AD45" s="15">
        <v>0.93200000000000005</v>
      </c>
      <c r="AE45" s="15">
        <v>0.96799999999999997</v>
      </c>
      <c r="AF45" s="14">
        <v>-0.51700000000000002</v>
      </c>
      <c r="AG45" s="15">
        <v>5.0999999999999997E-2</v>
      </c>
      <c r="AH45" s="15">
        <v>0.46600000000000003</v>
      </c>
      <c r="AI45" s="15">
        <v>-0.71799999999999997</v>
      </c>
      <c r="AJ45" s="15">
        <v>0.61499999999999999</v>
      </c>
      <c r="AK45" s="9">
        <v>-5.5E-2</v>
      </c>
      <c r="AL45" s="4">
        <v>-9.7000000000000003E-2</v>
      </c>
      <c r="AM45" s="4">
        <v>-0.40600000000000003</v>
      </c>
      <c r="AN45" s="4">
        <v>-0.58699999999999997</v>
      </c>
      <c r="AO45" s="4">
        <v>-0.61299999999999999</v>
      </c>
      <c r="AP45" s="4">
        <v>0.71299999999999997</v>
      </c>
      <c r="AQ45" s="4">
        <v>0.80500000000000005</v>
      </c>
      <c r="AR45" s="4">
        <v>0.32400000000000001</v>
      </c>
      <c r="AS45" s="4">
        <v>1</v>
      </c>
      <c r="AT45" s="4">
        <v>0.68100000000000005</v>
      </c>
      <c r="AU45" s="4">
        <v>0.36299999999999999</v>
      </c>
      <c r="AV45" s="4">
        <v>-8.4000000000000005E-2</v>
      </c>
      <c r="AW45" s="4">
        <v>-5.2999999999999999E-2</v>
      </c>
      <c r="AX45" s="4">
        <v>0.38200000000000001</v>
      </c>
      <c r="AY45" s="4">
        <v>8.8999999999999996E-2</v>
      </c>
      <c r="AZ45" s="4">
        <v>0.62</v>
      </c>
      <c r="BA45" s="4">
        <v>1</v>
      </c>
      <c r="BB45" s="4">
        <v>0.23300000000000001</v>
      </c>
      <c r="BC45" s="4">
        <v>-0.53500000000000003</v>
      </c>
      <c r="BD45" s="4">
        <v>-0.20799999999999999</v>
      </c>
      <c r="BE45" s="4">
        <v>-0.46100000000000002</v>
      </c>
      <c r="BF45" s="4">
        <v>0.47699999999999998</v>
      </c>
      <c r="BG45" s="4">
        <v>0.17399999999999999</v>
      </c>
      <c r="BH45" s="4">
        <v>0.32800000000000001</v>
      </c>
      <c r="BI45" s="4">
        <v>-1</v>
      </c>
      <c r="BJ45" s="4">
        <v>0.30599999999999999</v>
      </c>
      <c r="BK45" s="4">
        <v>0.90600000000000003</v>
      </c>
      <c r="BL45" s="4">
        <v>0.39900000000000002</v>
      </c>
      <c r="BM45" s="4"/>
    </row>
    <row r="46" spans="1:65" hidden="1" x14ac:dyDescent="0.3">
      <c r="A46" s="19" t="s">
        <v>126</v>
      </c>
      <c r="B46" s="53">
        <f t="shared" si="4"/>
        <v>1.2E-2</v>
      </c>
      <c r="C46" s="53">
        <f t="shared" si="5"/>
        <v>1.2E-2</v>
      </c>
      <c r="D46" s="53">
        <f t="shared" si="6"/>
        <v>0</v>
      </c>
      <c r="E46" s="53">
        <f t="shared" si="7"/>
        <v>0</v>
      </c>
      <c r="F46" s="15">
        <v>2.15</v>
      </c>
      <c r="G46" s="19">
        <v>1.579</v>
      </c>
      <c r="H46" s="24" t="s">
        <v>57</v>
      </c>
      <c r="I46" t="str">
        <f>VLOOKUP(A46,Planilha6!$BL$9:$BN$222,2,0)</f>
        <v>tech</v>
      </c>
      <c r="J46" t="str">
        <f>VLOOKUP(A46,Planilha6!$BL$9:$BN$222,3,0)</f>
        <v>neutral_beta</v>
      </c>
      <c r="K46" s="2">
        <v>1.2E-2</v>
      </c>
      <c r="L46" s="2">
        <v>1.2E-2</v>
      </c>
      <c r="M46" s="15">
        <v>84</v>
      </c>
      <c r="N46" s="41">
        <f>VLOOKUP(A46,'Mandato Smll'!$A$2:$C$215,2,0)</f>
        <v>8.7606885042103098E-3</v>
      </c>
      <c r="O46" s="59">
        <f t="shared" si="8"/>
        <v>3.2393114957896905E-3</v>
      </c>
      <c r="P46" s="42">
        <f t="shared" si="9"/>
        <v>3.2393114957896905E-3</v>
      </c>
      <c r="Q46" s="41">
        <f>VLOOKUP(A46,'Mandato Smll'!$A$2:$C$215,3,0)</f>
        <v>0</v>
      </c>
      <c r="R46" s="59">
        <f t="shared" si="10"/>
        <v>1.2E-2</v>
      </c>
      <c r="S46" s="15">
        <v>0.94599999999999995</v>
      </c>
      <c r="T46" s="15">
        <v>0.20899999999999999</v>
      </c>
      <c r="U46" s="15">
        <v>0.95599999999999996</v>
      </c>
      <c r="V46" s="15">
        <v>0.49099999999999999</v>
      </c>
      <c r="W46" s="15">
        <v>0.44800000000000001</v>
      </c>
      <c r="X46" s="15">
        <v>0.17699999999999999</v>
      </c>
      <c r="Y46" s="15">
        <v>-0.253</v>
      </c>
      <c r="Z46" s="15">
        <v>-0.45900000000000002</v>
      </c>
      <c r="AA46" s="15">
        <v>0.71899999999999997</v>
      </c>
      <c r="AB46" s="15">
        <v>0.72099999999999997</v>
      </c>
      <c r="AC46" s="15">
        <v>0.98299999999999998</v>
      </c>
      <c r="AD46" s="15">
        <v>1</v>
      </c>
      <c r="AE46" s="15">
        <v>1</v>
      </c>
      <c r="AF46" s="14">
        <v>0.59199999999999997</v>
      </c>
      <c r="AG46" s="15">
        <v>0.40200000000000002</v>
      </c>
      <c r="AH46" s="15">
        <v>0.47399999999999998</v>
      </c>
      <c r="AI46" s="15">
        <v>0.26600000000000001</v>
      </c>
      <c r="AJ46" s="15">
        <v>0.38100000000000001</v>
      </c>
      <c r="AK46" s="9">
        <v>0.307</v>
      </c>
      <c r="AL46" s="4">
        <v>-0.221</v>
      </c>
      <c r="AM46" s="4">
        <v>-0.79100000000000004</v>
      </c>
      <c r="AN46" s="4">
        <v>0.55800000000000005</v>
      </c>
      <c r="AO46" s="4">
        <v>0.31</v>
      </c>
      <c r="AP46" s="4">
        <v>0.41199999999999998</v>
      </c>
      <c r="AQ46" s="4">
        <v>-0.161</v>
      </c>
      <c r="AR46" s="4">
        <v>0.28499999999999998</v>
      </c>
      <c r="AS46" s="4">
        <v>1</v>
      </c>
      <c r="AT46" s="4">
        <v>0.80300000000000005</v>
      </c>
      <c r="AU46" s="4">
        <v>1E-3</v>
      </c>
      <c r="AV46" s="4">
        <v>-0.315</v>
      </c>
      <c r="AW46" s="4">
        <v>0.38300000000000001</v>
      </c>
      <c r="AX46" s="4">
        <v>-0.45700000000000002</v>
      </c>
      <c r="AY46" s="4">
        <v>0.371</v>
      </c>
      <c r="AZ46" s="4">
        <v>0.61399999999999999</v>
      </c>
      <c r="BA46" s="4">
        <v>-4.0000000000000001E-3</v>
      </c>
      <c r="BB46" s="4">
        <v>0.88500000000000001</v>
      </c>
      <c r="BC46" s="4">
        <v>0.308</v>
      </c>
      <c r="BD46" s="4">
        <v>-0.192</v>
      </c>
      <c r="BE46" s="4">
        <v>0.66400000000000003</v>
      </c>
      <c r="BF46" s="4">
        <v>-0.495</v>
      </c>
      <c r="BG46" s="4">
        <v>0.13100000000000001</v>
      </c>
      <c r="BH46" s="4">
        <v>0.217</v>
      </c>
      <c r="BI46" s="4">
        <v>0.498</v>
      </c>
      <c r="BJ46" s="4">
        <v>-0.127</v>
      </c>
      <c r="BK46" s="4">
        <v>0.88700000000000001</v>
      </c>
      <c r="BL46" s="4">
        <v>0.48199999999999998</v>
      </c>
      <c r="BM46" s="4"/>
    </row>
    <row r="47" spans="1:65" hidden="1" x14ac:dyDescent="0.3">
      <c r="A47" s="19" t="s">
        <v>114</v>
      </c>
      <c r="B47" s="53">
        <f t="shared" si="4"/>
        <v>1.6E-2</v>
      </c>
      <c r="C47" s="53">
        <f t="shared" si="5"/>
        <v>0</v>
      </c>
      <c r="D47" s="53">
        <f t="shared" si="6"/>
        <v>0</v>
      </c>
      <c r="E47" s="53">
        <f t="shared" si="7"/>
        <v>1.6E-2</v>
      </c>
      <c r="F47" s="15">
        <v>2.081</v>
      </c>
      <c r="G47" s="19">
        <v>4.4820000000000002</v>
      </c>
      <c r="H47" s="24" t="s">
        <v>55</v>
      </c>
      <c r="I47" t="str">
        <f>VLOOKUP(A47,Planilha6!$BL$9:$BN$222,2,0)</f>
        <v>utilities</v>
      </c>
      <c r="J47" t="str">
        <f>VLOOKUP(A47,Planilha6!$BL$9:$BN$222,3,0)</f>
        <v>very_low_beta</v>
      </c>
      <c r="K47" s="2">
        <v>1.6E-2</v>
      </c>
      <c r="L47" s="2">
        <v>0</v>
      </c>
      <c r="M47" s="15">
        <v>84</v>
      </c>
      <c r="N47" s="41">
        <f>VLOOKUP(A47,'Mandato Smll'!$A$2:$C$215,2,0)</f>
        <v>3.4045298905355202E-2</v>
      </c>
      <c r="O47" s="59">
        <f t="shared" si="8"/>
        <v>-1.8045298905355202E-2</v>
      </c>
      <c r="P47" s="42">
        <f t="shared" si="9"/>
        <v>-1.8045298905355202E-2</v>
      </c>
      <c r="Q47" s="41">
        <f>VLOOKUP(A47,'Mandato Smll'!$A$2:$C$215,3,0)</f>
        <v>3.0900745920330399E-2</v>
      </c>
      <c r="R47" s="59">
        <f t="shared" si="10"/>
        <v>-1.4900745920330399E-2</v>
      </c>
      <c r="S47" s="15">
        <v>-0.121</v>
      </c>
      <c r="T47" s="15">
        <v>0.68</v>
      </c>
      <c r="U47" s="15">
        <v>-0.33</v>
      </c>
      <c r="V47" s="15">
        <v>1.9E-2</v>
      </c>
      <c r="W47" s="15">
        <v>0.33700000000000002</v>
      </c>
      <c r="X47" s="15">
        <v>0.38300000000000001</v>
      </c>
      <c r="Y47" s="15">
        <v>0.72499999999999998</v>
      </c>
      <c r="Z47" s="15">
        <v>0.47899999999999998</v>
      </c>
      <c r="AA47" s="15">
        <v>0.88</v>
      </c>
      <c r="AB47" s="15">
        <v>0.88600000000000001</v>
      </c>
      <c r="AC47" s="15">
        <v>0.70399999999999996</v>
      </c>
      <c r="AD47" s="15">
        <v>0.90200000000000002</v>
      </c>
      <c r="AE47" s="15">
        <v>0.74399999999999999</v>
      </c>
      <c r="AF47" s="14">
        <v>0.10100000000000001</v>
      </c>
      <c r="AG47" s="15">
        <v>-0.58099999999999996</v>
      </c>
      <c r="AH47" s="15">
        <v>0.371</v>
      </c>
      <c r="AI47" s="15">
        <v>-0.70499999999999996</v>
      </c>
      <c r="AJ47" s="15">
        <v>-0.30599999999999999</v>
      </c>
      <c r="AK47" s="9">
        <v>-0.75600000000000001</v>
      </c>
      <c r="AL47" s="4">
        <v>-4.9000000000000002E-2</v>
      </c>
      <c r="AM47" s="4">
        <v>-0.42799999999999999</v>
      </c>
      <c r="AN47" s="4">
        <v>-0.28699999999999998</v>
      </c>
      <c r="AO47" s="4">
        <v>-0.36799999999999999</v>
      </c>
      <c r="AP47" s="4">
        <v>0.34699999999999998</v>
      </c>
      <c r="AQ47" s="4">
        <v>0.40300000000000002</v>
      </c>
      <c r="AR47" s="4">
        <v>-0.109</v>
      </c>
      <c r="AS47" s="4">
        <v>7.0000000000000007E-2</v>
      </c>
      <c r="AT47" s="4">
        <v>0.307</v>
      </c>
      <c r="AU47" s="4">
        <v>0.06</v>
      </c>
      <c r="AV47" s="4">
        <v>0.70799999999999996</v>
      </c>
      <c r="AW47" s="4">
        <v>0.27800000000000002</v>
      </c>
      <c r="AX47" s="4">
        <v>0.79100000000000004</v>
      </c>
      <c r="AY47" s="4">
        <v>-0.504</v>
      </c>
      <c r="AZ47" s="4">
        <v>0.81799999999999995</v>
      </c>
      <c r="BA47" s="4">
        <v>1</v>
      </c>
      <c r="BB47" s="4">
        <v>2.1000000000000001E-2</v>
      </c>
      <c r="BC47" s="4">
        <v>0.03</v>
      </c>
      <c r="BD47" s="4">
        <v>-0.223</v>
      </c>
      <c r="BE47" s="4">
        <v>0.28399999999999997</v>
      </c>
      <c r="BF47" s="4">
        <v>0.14699999999999999</v>
      </c>
      <c r="BG47" s="4">
        <v>-0.23300000000000001</v>
      </c>
      <c r="BH47" s="4">
        <v>0.93700000000000006</v>
      </c>
      <c r="BI47" s="4">
        <v>-0.49399999999999999</v>
      </c>
      <c r="BJ47" s="4">
        <v>-0.40300000000000002</v>
      </c>
      <c r="BK47" s="4">
        <v>0.29799999999999999</v>
      </c>
      <c r="BL47" s="4">
        <v>0.11799999999999999</v>
      </c>
      <c r="BM47" s="4"/>
    </row>
    <row r="48" spans="1:65" hidden="1" x14ac:dyDescent="0.3">
      <c r="A48" s="19" t="s">
        <v>116</v>
      </c>
      <c r="B48" s="53">
        <f t="shared" si="4"/>
        <v>1.9E-2</v>
      </c>
      <c r="C48" s="53">
        <f t="shared" si="5"/>
        <v>1.6E-2</v>
      </c>
      <c r="D48" s="53">
        <f t="shared" si="6"/>
        <v>0</v>
      </c>
      <c r="E48" s="53">
        <f t="shared" si="7"/>
        <v>2.9999999999999992E-3</v>
      </c>
      <c r="F48" s="15">
        <v>2.0649999999999999</v>
      </c>
      <c r="G48" s="19">
        <v>2.5019999999999998</v>
      </c>
      <c r="H48" s="24" t="s">
        <v>53</v>
      </c>
      <c r="I48" t="str">
        <f>VLOOKUP(A48,Planilha6!$BL$9:$BN$222,2,0)</f>
        <v>healthcare</v>
      </c>
      <c r="J48" t="str">
        <f>VLOOKUP(A48,Planilha6!$BL$9:$BN$222,3,0)</f>
        <v>neutral_beta</v>
      </c>
      <c r="K48" s="2">
        <v>1.9E-2</v>
      </c>
      <c r="L48" s="2">
        <v>1.6E-2</v>
      </c>
      <c r="M48" s="15">
        <v>84</v>
      </c>
      <c r="N48" s="41">
        <f>VLOOKUP(A48,'Mandato Smll'!$A$2:$C$215,2,0)</f>
        <v>1.05149880485819E-2</v>
      </c>
      <c r="O48" s="59">
        <f t="shared" si="8"/>
        <v>8.4850119514180995E-3</v>
      </c>
      <c r="P48" s="42">
        <f t="shared" si="9"/>
        <v>8.4850119514180995E-3</v>
      </c>
      <c r="Q48" s="41">
        <f>VLOOKUP(A48,'Mandato Smll'!$A$2:$C$215,3,0)</f>
        <v>1.18599456608221E-2</v>
      </c>
      <c r="R48" s="59">
        <f t="shared" si="10"/>
        <v>7.1400543391778992E-3</v>
      </c>
      <c r="S48" s="15">
        <v>0.45100000000000001</v>
      </c>
      <c r="T48" s="15">
        <v>0.49099999999999999</v>
      </c>
      <c r="U48" s="15">
        <v>0.28499999999999998</v>
      </c>
      <c r="V48" s="15">
        <v>0.33600000000000002</v>
      </c>
      <c r="W48" s="15">
        <v>0.41</v>
      </c>
      <c r="X48" s="15">
        <v>0.27600000000000002</v>
      </c>
      <c r="Y48" s="15">
        <v>0.27400000000000002</v>
      </c>
      <c r="Z48" s="15">
        <v>-8.6999999999999994E-2</v>
      </c>
      <c r="AA48" s="15">
        <v>0.55600000000000005</v>
      </c>
      <c r="AB48" s="15">
        <v>0.56000000000000005</v>
      </c>
      <c r="AC48" s="15">
        <v>0.89800000000000002</v>
      </c>
      <c r="AD48" s="15">
        <v>1</v>
      </c>
      <c r="AE48" s="15">
        <v>0.91500000000000004</v>
      </c>
      <c r="AF48" s="14">
        <v>-0.14499999999999999</v>
      </c>
      <c r="AG48" s="15">
        <v>-0.35199999999999998</v>
      </c>
      <c r="AH48" s="15">
        <v>0.78200000000000003</v>
      </c>
      <c r="AI48" s="15">
        <v>-0.374</v>
      </c>
      <c r="AJ48" s="15">
        <v>1</v>
      </c>
      <c r="AK48" s="9">
        <v>0.35199999999999998</v>
      </c>
      <c r="AL48" s="4">
        <v>-0.17299999999999999</v>
      </c>
      <c r="AM48" s="4">
        <v>-0.6</v>
      </c>
      <c r="AN48" s="4">
        <v>-0.58099999999999996</v>
      </c>
      <c r="AO48" s="4">
        <v>9.5000000000000001E-2</v>
      </c>
      <c r="AP48" s="4">
        <v>0.71899999999999997</v>
      </c>
      <c r="AQ48" s="4">
        <v>0.66500000000000004</v>
      </c>
      <c r="AR48" s="4">
        <v>0.33200000000000002</v>
      </c>
      <c r="AS48" s="4">
        <v>0.214</v>
      </c>
      <c r="AT48" s="4">
        <v>0.47499999999999998</v>
      </c>
      <c r="AU48" s="4">
        <v>0.52600000000000002</v>
      </c>
      <c r="AV48" s="4">
        <v>-0.32100000000000001</v>
      </c>
      <c r="AW48" s="4">
        <v>0.46700000000000003</v>
      </c>
      <c r="AX48" s="4">
        <v>0.39800000000000002</v>
      </c>
      <c r="AY48" s="4">
        <v>-0.129</v>
      </c>
      <c r="AZ48" s="4">
        <v>0.999</v>
      </c>
      <c r="BA48" s="4">
        <v>-0.28000000000000003</v>
      </c>
      <c r="BB48" s="4">
        <v>0.77900000000000003</v>
      </c>
      <c r="BC48" s="4">
        <v>-0.28499999999999998</v>
      </c>
      <c r="BD48" s="4">
        <v>-0.27600000000000002</v>
      </c>
      <c r="BE48" s="4">
        <v>0.16600000000000001</v>
      </c>
      <c r="BF48" s="4">
        <v>0.29899999999999999</v>
      </c>
      <c r="BG48" s="4">
        <v>-0.69199999999999995</v>
      </c>
      <c r="BH48" s="4">
        <v>0.67200000000000004</v>
      </c>
      <c r="BI48" s="4">
        <v>-0.30599999999999999</v>
      </c>
      <c r="BJ48" s="4">
        <v>-3.4000000000000002E-2</v>
      </c>
      <c r="BK48" s="4">
        <v>0.26900000000000002</v>
      </c>
      <c r="BL48" s="4">
        <v>0.40200000000000002</v>
      </c>
      <c r="BM48" s="4"/>
    </row>
    <row r="49" spans="1:65" x14ac:dyDescent="0.3">
      <c r="A49" s="19" t="s">
        <v>131</v>
      </c>
      <c r="B49" s="53">
        <v>0.02</v>
      </c>
      <c r="C49" s="53">
        <f t="shared" si="5"/>
        <v>9.0000000000000011E-3</v>
      </c>
      <c r="D49" s="53">
        <f t="shared" si="6"/>
        <v>8.0000000000000002E-3</v>
      </c>
      <c r="E49" s="53">
        <f t="shared" si="7"/>
        <v>1.0999999999999999E-2</v>
      </c>
      <c r="F49" s="15">
        <v>2.0209999999999999</v>
      </c>
      <c r="G49" s="19">
        <v>2.867</v>
      </c>
      <c r="H49" s="24" t="s">
        <v>71</v>
      </c>
      <c r="I49" t="str">
        <f>VLOOKUP(A49,Planilha6!$BL$9:$BN$222,2,0)</f>
        <v>crude_oil</v>
      </c>
      <c r="J49" t="str">
        <f>VLOOKUP(A49,Planilha6!$BL$9:$BN$222,3,0)</f>
        <v>very_low_beta</v>
      </c>
      <c r="K49" s="2">
        <v>1.2E-2</v>
      </c>
      <c r="L49" s="2">
        <v>1E-3</v>
      </c>
      <c r="M49" s="15">
        <v>70</v>
      </c>
      <c r="N49" s="41">
        <f>VLOOKUP(A49,'Mandato Smll'!$A$2:$C$215,2,0)</f>
        <v>2.30893773710566E-2</v>
      </c>
      <c r="O49" s="59">
        <f t="shared" si="8"/>
        <v>-1.10893773710566E-2</v>
      </c>
      <c r="P49" s="42">
        <f t="shared" si="9"/>
        <v>-3.0893773710565994E-3</v>
      </c>
      <c r="Q49" s="41">
        <f>VLOOKUP(A49,'Mandato Smll'!$A$2:$C$215,3,0)</f>
        <v>2.07360119686908E-2</v>
      </c>
      <c r="R49" s="59">
        <f t="shared" si="10"/>
        <v>-8.7360119686907996E-3</v>
      </c>
      <c r="S49" s="15">
        <v>-0.17599999999999999</v>
      </c>
      <c r="T49" s="15">
        <v>0.311</v>
      </c>
      <c r="U49" s="15">
        <v>-0.40400000000000003</v>
      </c>
      <c r="V49" s="15">
        <v>2E-3</v>
      </c>
      <c r="W49" s="15">
        <v>0.17100000000000001</v>
      </c>
      <c r="X49" s="15">
        <v>0.36099999999999999</v>
      </c>
      <c r="Y49" s="15">
        <v>0.40600000000000003</v>
      </c>
      <c r="Z49" s="15">
        <v>0.65700000000000003</v>
      </c>
      <c r="AA49" s="15">
        <v>0.90500000000000003</v>
      </c>
      <c r="AB49" s="15">
        <v>0.90700000000000003</v>
      </c>
      <c r="AC49" s="15">
        <v>0.77800000000000002</v>
      </c>
      <c r="AD49" s="15">
        <v>0.82799999999999996</v>
      </c>
      <c r="AE49" s="15">
        <v>0.73599999999999999</v>
      </c>
      <c r="AF49" s="14">
        <v>-0.25600000000000001</v>
      </c>
      <c r="AG49" s="15">
        <v>-0.34100000000000003</v>
      </c>
      <c r="AH49" s="15">
        <v>0.95499999999999996</v>
      </c>
      <c r="AI49" s="15">
        <v>5.0999999999999997E-2</v>
      </c>
      <c r="AJ49" s="15">
        <v>0.52200000000000002</v>
      </c>
      <c r="AK49" s="9">
        <v>-0.66600000000000004</v>
      </c>
      <c r="AL49" s="4">
        <v>-0.24299999999999999</v>
      </c>
      <c r="AM49" s="4">
        <v>0.77</v>
      </c>
      <c r="AN49" s="4">
        <v>-0.06</v>
      </c>
      <c r="AO49" s="4">
        <v>0.33100000000000002</v>
      </c>
      <c r="AP49" s="4">
        <v>0.36699999999999999</v>
      </c>
      <c r="AQ49" s="4">
        <v>0.89600000000000002</v>
      </c>
      <c r="AR49" s="4">
        <v>-0.42699999999999999</v>
      </c>
      <c r="AS49" s="4">
        <v>0.28000000000000003</v>
      </c>
      <c r="AT49" s="4">
        <v>4.4999999999999998E-2</v>
      </c>
      <c r="AU49" s="4">
        <v>0.16300000000000001</v>
      </c>
      <c r="AV49" s="4">
        <v>0.17</v>
      </c>
      <c r="AW49" s="4">
        <v>-0.17499999999999999</v>
      </c>
      <c r="AX49" s="4">
        <v>0.312</v>
      </c>
      <c r="AY49" s="4">
        <v>0.16600000000000001</v>
      </c>
      <c r="AZ49" s="4">
        <v>0.82199999999999995</v>
      </c>
      <c r="BA49" s="4">
        <v>0.111</v>
      </c>
      <c r="BB49" s="4">
        <v>-0.317</v>
      </c>
      <c r="BC49" s="4">
        <v>-0.42199999999999999</v>
      </c>
      <c r="BD49" s="4">
        <v>-0.65600000000000003</v>
      </c>
      <c r="BE49" s="4">
        <v>-0.67400000000000004</v>
      </c>
      <c r="BF49" s="4">
        <v>0.17899999999999999</v>
      </c>
      <c r="BG49" s="4">
        <v>0.78700000000000003</v>
      </c>
      <c r="BH49" s="4">
        <v>0.624</v>
      </c>
      <c r="BI49" s="4">
        <v>-0.20200000000000001</v>
      </c>
      <c r="BJ49" s="4">
        <v>-0.78500000000000003</v>
      </c>
      <c r="BK49" s="4">
        <v>-0.54300000000000004</v>
      </c>
      <c r="BL49" s="4">
        <v>0.437</v>
      </c>
      <c r="BM49" s="4"/>
    </row>
    <row r="50" spans="1:65" hidden="1" x14ac:dyDescent="0.3">
      <c r="A50" s="19" t="s">
        <v>101</v>
      </c>
      <c r="B50" s="53">
        <f t="shared" si="4"/>
        <v>1.2999999999999999E-2</v>
      </c>
      <c r="C50" s="53">
        <f t="shared" si="5"/>
        <v>1.2999999999999999E-2</v>
      </c>
      <c r="D50" s="53">
        <f t="shared" si="6"/>
        <v>0</v>
      </c>
      <c r="E50" s="53">
        <f t="shared" si="7"/>
        <v>0</v>
      </c>
      <c r="F50" s="15">
        <v>1.992</v>
      </c>
      <c r="G50" s="19">
        <v>2.1150000000000002</v>
      </c>
      <c r="H50" s="24" t="s">
        <v>71</v>
      </c>
      <c r="I50" t="str">
        <f>VLOOKUP(A50,Planilha6!$BL$9:$BN$222,2,0)</f>
        <v>crude_oil</v>
      </c>
      <c r="J50" t="str">
        <f>VLOOKUP(A50,Planilha6!$BL$9:$BN$222,3,0)</f>
        <v>very_low_beta</v>
      </c>
      <c r="K50" s="2">
        <v>1.2999999999999999E-2</v>
      </c>
      <c r="L50" s="2">
        <v>1.2999999999999999E-2</v>
      </c>
      <c r="M50" s="15">
        <v>84</v>
      </c>
      <c r="N50" s="41">
        <f>VLOOKUP(A50,'Mandato Smll'!$A$2:$C$215,2,0)</f>
        <v>8.1206638811296694E-3</v>
      </c>
      <c r="O50" s="59">
        <f t="shared" si="8"/>
        <v>4.87933611887033E-3</v>
      </c>
      <c r="P50" s="42">
        <f t="shared" si="9"/>
        <v>4.87933611887033E-3</v>
      </c>
      <c r="Q50" s="41">
        <f>VLOOKUP(A50,'Mandato Smll'!$A$2:$C$215,3,0)</f>
        <v>7.23488372806566E-3</v>
      </c>
      <c r="R50" s="59">
        <f t="shared" si="10"/>
        <v>5.7651162719343394E-3</v>
      </c>
      <c r="S50" s="15">
        <v>0.46500000000000002</v>
      </c>
      <c r="T50" s="15">
        <v>0.36099999999999999</v>
      </c>
      <c r="U50" s="15">
        <v>0.45700000000000002</v>
      </c>
      <c r="V50" s="15">
        <v>0.25800000000000001</v>
      </c>
      <c r="W50" s="15">
        <v>0.377</v>
      </c>
      <c r="X50" s="15">
        <v>0.42399999999999999</v>
      </c>
      <c r="Y50" s="15">
        <v>0.193</v>
      </c>
      <c r="Z50" s="15">
        <v>-0.24099999999999999</v>
      </c>
      <c r="AA50" s="15">
        <v>0.73399999999999999</v>
      </c>
      <c r="AB50" s="15">
        <v>0.73099999999999998</v>
      </c>
      <c r="AC50" s="15">
        <v>0.83899999999999997</v>
      </c>
      <c r="AD50" s="15">
        <v>0.86799999999999999</v>
      </c>
      <c r="AE50" s="15">
        <v>0.871</v>
      </c>
      <c r="AF50" s="14">
        <v>-0.24299999999999999</v>
      </c>
      <c r="AG50" s="15">
        <v>0.14499999999999999</v>
      </c>
      <c r="AH50" s="15">
        <v>0.13900000000000001</v>
      </c>
      <c r="AI50" s="15">
        <v>-0.43099999999999999</v>
      </c>
      <c r="AJ50" s="15">
        <v>1</v>
      </c>
      <c r="AK50" s="9">
        <v>0.46899999999999997</v>
      </c>
      <c r="AL50" s="4">
        <v>-0.29699999999999999</v>
      </c>
      <c r="AM50" s="4">
        <v>-0.94</v>
      </c>
      <c r="AN50" s="4">
        <v>-0.67100000000000004</v>
      </c>
      <c r="AO50" s="4">
        <v>0.63700000000000001</v>
      </c>
      <c r="AP50" s="4">
        <v>0.48199999999999998</v>
      </c>
      <c r="AQ50" s="4">
        <v>0.309</v>
      </c>
      <c r="AR50" s="4">
        <v>0.91700000000000004</v>
      </c>
      <c r="AS50" s="4">
        <v>0.70499999999999996</v>
      </c>
      <c r="AT50" s="4">
        <v>0.38800000000000001</v>
      </c>
      <c r="AU50" s="4">
        <v>0.25900000000000001</v>
      </c>
      <c r="AV50" s="4">
        <v>-0.13900000000000001</v>
      </c>
      <c r="AW50" s="4">
        <v>0.48699999999999999</v>
      </c>
      <c r="AX50" s="4">
        <v>0.48399999999999999</v>
      </c>
      <c r="AY50" s="4">
        <v>-6.7000000000000004E-2</v>
      </c>
      <c r="AZ50" s="4">
        <v>0.77700000000000002</v>
      </c>
      <c r="BA50" s="4">
        <v>0.28000000000000003</v>
      </c>
      <c r="BB50" s="4">
        <v>0.93</v>
      </c>
      <c r="BC50" s="4">
        <v>-0.27200000000000002</v>
      </c>
      <c r="BD50" s="4">
        <v>-0.54700000000000004</v>
      </c>
      <c r="BE50" s="4">
        <v>0.254</v>
      </c>
      <c r="BF50" s="4">
        <v>-0.215</v>
      </c>
      <c r="BG50" s="4">
        <v>-4.8000000000000001E-2</v>
      </c>
      <c r="BH50" s="4">
        <v>0.55400000000000005</v>
      </c>
      <c r="BI50" s="4">
        <v>-0.56499999999999995</v>
      </c>
      <c r="BJ50" s="4">
        <v>-0.74299999999999999</v>
      </c>
      <c r="BK50" s="4">
        <v>0.626</v>
      </c>
      <c r="BL50" s="4">
        <v>0.63500000000000001</v>
      </c>
      <c r="BM50" s="4"/>
    </row>
    <row r="51" spans="1:65" hidden="1" x14ac:dyDescent="0.3">
      <c r="A51" s="19" t="s">
        <v>61</v>
      </c>
      <c r="B51" s="53">
        <f t="shared" si="4"/>
        <v>0.02</v>
      </c>
      <c r="C51" s="53">
        <f t="shared" si="5"/>
        <v>1.6E-2</v>
      </c>
      <c r="D51" s="53">
        <f t="shared" si="6"/>
        <v>0</v>
      </c>
      <c r="E51" s="53">
        <f t="shared" si="7"/>
        <v>4.0000000000000001E-3</v>
      </c>
      <c r="F51" s="15">
        <v>1.9830000000000001</v>
      </c>
      <c r="G51" s="19">
        <v>2.58</v>
      </c>
      <c r="H51" s="24" t="s">
        <v>57</v>
      </c>
      <c r="I51" t="str">
        <f>VLOOKUP(A51,Planilha6!$BL$9:$BN$222,2,0)</f>
        <v>homebuilders</v>
      </c>
      <c r="J51" t="str">
        <f>VLOOKUP(A51,Planilha6!$BL$9:$BN$222,3,0)</f>
        <v>high_beta</v>
      </c>
      <c r="K51" s="2">
        <v>0.02</v>
      </c>
      <c r="L51" s="2">
        <v>1.6E-2</v>
      </c>
      <c r="M51" s="15">
        <v>84</v>
      </c>
      <c r="N51" s="41">
        <f>VLOOKUP(A51,'Mandato Smll'!$A$2:$C$215,2,0)</f>
        <v>1.03465212680326E-2</v>
      </c>
      <c r="O51" s="59">
        <f t="shared" si="8"/>
        <v>9.6534787319673999E-3</v>
      </c>
      <c r="P51" s="42">
        <f t="shared" si="9"/>
        <v>9.6534787319673999E-3</v>
      </c>
      <c r="Q51" s="41">
        <f>VLOOKUP(A51,'Mandato Smll'!$A$2:$C$215,3,0)</f>
        <v>8.6339202643376696E-3</v>
      </c>
      <c r="R51" s="59">
        <f t="shared" si="10"/>
        <v>1.1366079735662331E-2</v>
      </c>
      <c r="S51" s="15">
        <v>3.4000000000000002E-2</v>
      </c>
      <c r="T51" s="15">
        <v>0.27100000000000002</v>
      </c>
      <c r="U51" s="15">
        <v>0.19500000000000001</v>
      </c>
      <c r="V51" s="15">
        <v>-6.2E-2</v>
      </c>
      <c r="W51" s="15">
        <v>0.30499999999999999</v>
      </c>
      <c r="X51" s="15">
        <v>0.23499999999999999</v>
      </c>
      <c r="Y51" s="15">
        <v>0.307</v>
      </c>
      <c r="Z51" s="15">
        <v>0.58399999999999996</v>
      </c>
      <c r="AA51" s="15">
        <v>0.495</v>
      </c>
      <c r="AB51" s="15">
        <v>0.49199999999999999</v>
      </c>
      <c r="AC51" s="15">
        <v>0.70799999999999996</v>
      </c>
      <c r="AD51" s="15">
        <v>0.79700000000000004</v>
      </c>
      <c r="AE51" s="15">
        <v>0.7</v>
      </c>
      <c r="AF51" s="14">
        <v>-0.33200000000000002</v>
      </c>
      <c r="AG51" s="15">
        <v>0.32</v>
      </c>
      <c r="AH51" s="15">
        <v>0.09</v>
      </c>
      <c r="AI51" s="15">
        <v>-7.3999999999999996E-2</v>
      </c>
      <c r="AJ51" s="15">
        <v>0.88500000000000001</v>
      </c>
      <c r="AK51" s="9">
        <v>-0.17799999999999999</v>
      </c>
      <c r="AL51" s="4">
        <v>-0.29099999999999998</v>
      </c>
      <c r="AM51" s="4">
        <v>0.66100000000000003</v>
      </c>
      <c r="AN51" s="4">
        <v>-0.57199999999999995</v>
      </c>
      <c r="AO51" s="4">
        <v>0.11799999999999999</v>
      </c>
      <c r="AP51" s="4">
        <v>0.26100000000000001</v>
      </c>
      <c r="AQ51" s="4">
        <v>-0.223</v>
      </c>
      <c r="AR51" s="4">
        <v>0.40600000000000003</v>
      </c>
      <c r="AS51" s="4">
        <v>-0.122</v>
      </c>
      <c r="AT51" s="4">
        <v>-0.752</v>
      </c>
      <c r="AU51" s="4">
        <v>0.217</v>
      </c>
      <c r="AV51" s="4">
        <v>-0.14000000000000001</v>
      </c>
      <c r="AW51" s="4">
        <v>-0.27300000000000002</v>
      </c>
      <c r="AX51" s="4">
        <v>0.19900000000000001</v>
      </c>
      <c r="AY51" s="4">
        <v>0.17799999999999999</v>
      </c>
      <c r="AZ51" s="4">
        <v>0.53800000000000003</v>
      </c>
      <c r="BA51" s="4">
        <v>1</v>
      </c>
      <c r="BB51" s="4">
        <v>0.69499999999999995</v>
      </c>
      <c r="BC51" s="4">
        <v>-0.38200000000000001</v>
      </c>
      <c r="BD51" s="4">
        <v>-0.54800000000000004</v>
      </c>
      <c r="BE51" s="4">
        <v>-0.54600000000000004</v>
      </c>
      <c r="BF51" s="4">
        <v>0.441</v>
      </c>
      <c r="BG51" s="4">
        <v>3.6999999999999998E-2</v>
      </c>
      <c r="BH51" s="4">
        <v>0.60399999999999998</v>
      </c>
      <c r="BI51" s="4">
        <v>-0.89200000000000002</v>
      </c>
      <c r="BJ51" s="4">
        <v>0.61399999999999999</v>
      </c>
      <c r="BK51" s="4">
        <v>0.42499999999999999</v>
      </c>
      <c r="BL51" s="4">
        <v>0.13200000000000001</v>
      </c>
      <c r="BM51" s="4"/>
    </row>
    <row r="52" spans="1:65" hidden="1" x14ac:dyDescent="0.3">
      <c r="A52" s="19" t="s">
        <v>123</v>
      </c>
      <c r="B52" s="53">
        <f t="shared" si="4"/>
        <v>1.4E-2</v>
      </c>
      <c r="C52" s="53">
        <f t="shared" si="5"/>
        <v>1.4E-2</v>
      </c>
      <c r="D52" s="53">
        <f t="shared" si="6"/>
        <v>0</v>
      </c>
      <c r="E52" s="53">
        <f t="shared" si="7"/>
        <v>0</v>
      </c>
      <c r="F52" s="15">
        <v>1.978</v>
      </c>
      <c r="G52" s="19">
        <v>2.4569999999999999</v>
      </c>
      <c r="H52" s="24" t="s">
        <v>55</v>
      </c>
      <c r="I52" t="str">
        <f>VLOOKUP(A52,Planilha6!$BL$9:$BN$222,2,0)</f>
        <v>telecom</v>
      </c>
      <c r="J52" t="str">
        <f>VLOOKUP(A52,Planilha6!$BL$9:$BN$222,3,0)</f>
        <v>very_low_beta</v>
      </c>
      <c r="K52" s="2">
        <v>1.4E-2</v>
      </c>
      <c r="L52" s="2">
        <v>1.4E-2</v>
      </c>
      <c r="M52" s="15">
        <v>24</v>
      </c>
      <c r="N52" s="41">
        <f>VLOOKUP(A52,'Mandato Smll'!$A$2:$C$215,2,0)</f>
        <v>8.0632015108695002E-3</v>
      </c>
      <c r="O52" s="59">
        <f t="shared" si="8"/>
        <v>5.9367984891305001E-3</v>
      </c>
      <c r="P52" s="42">
        <f t="shared" si="9"/>
        <v>5.9367984891305001E-3</v>
      </c>
      <c r="Q52" s="41">
        <f>VLOOKUP(A52,'Mandato Smll'!$A$2:$C$215,3,0)</f>
        <v>1.0006746530903899E-2</v>
      </c>
      <c r="R52" s="59">
        <f t="shared" si="10"/>
        <v>3.9932534690961009E-3</v>
      </c>
      <c r="S52" s="15">
        <v>-6.4000000000000001E-2</v>
      </c>
      <c r="T52" s="15">
        <v>0.59</v>
      </c>
      <c r="U52" s="15">
        <v>-0.58899999999999997</v>
      </c>
      <c r="V52" s="15">
        <v>0.26500000000000001</v>
      </c>
      <c r="W52" s="15">
        <v>0.27300000000000002</v>
      </c>
      <c r="X52" s="15">
        <v>0.41</v>
      </c>
      <c r="Y52" s="15">
        <v>0.61</v>
      </c>
      <c r="Z52" s="15">
        <v>0.34</v>
      </c>
      <c r="AA52" s="15">
        <v>0.79600000000000004</v>
      </c>
      <c r="AB52" s="15">
        <v>0.80300000000000005</v>
      </c>
      <c r="AC52" s="15">
        <v>0.754</v>
      </c>
      <c r="AD52" s="15">
        <v>0.84699999999999998</v>
      </c>
      <c r="AE52" s="15">
        <v>0.76600000000000001</v>
      </c>
      <c r="AF52" s="14">
        <v>0.16200000000000001</v>
      </c>
      <c r="AG52" s="15">
        <v>-0.28599999999999998</v>
      </c>
      <c r="AH52" s="15">
        <v>0.48899999999999999</v>
      </c>
      <c r="AI52" s="15">
        <v>-1</v>
      </c>
      <c r="AJ52" s="15">
        <v>-0.54500000000000004</v>
      </c>
      <c r="AK52" s="9">
        <v>-0.72299999999999998</v>
      </c>
      <c r="AL52" s="4">
        <v>-0.24099999999999999</v>
      </c>
      <c r="AM52" s="4">
        <v>-0.41299999999999998</v>
      </c>
      <c r="AN52" s="4">
        <v>-0.54900000000000004</v>
      </c>
      <c r="AO52" s="4">
        <v>-0.79400000000000004</v>
      </c>
      <c r="AP52" s="4">
        <v>0.49399999999999999</v>
      </c>
      <c r="AQ52" s="4">
        <v>0.996</v>
      </c>
      <c r="AR52" s="4">
        <v>0.38900000000000001</v>
      </c>
      <c r="AS52" s="4">
        <v>0.12</v>
      </c>
      <c r="AT52" s="4">
        <v>0.35</v>
      </c>
      <c r="AU52" s="4">
        <v>0.248</v>
      </c>
      <c r="AV52" s="4">
        <v>6.7000000000000004E-2</v>
      </c>
      <c r="AW52" s="4">
        <v>0.748</v>
      </c>
      <c r="AX52" s="4">
        <v>0.86199999999999999</v>
      </c>
      <c r="AY52" s="4">
        <v>-0.16600000000000001</v>
      </c>
      <c r="AZ52" s="4">
        <v>0.79700000000000004</v>
      </c>
      <c r="BA52" s="4">
        <v>0.13</v>
      </c>
      <c r="BB52" s="4">
        <v>0.48</v>
      </c>
      <c r="BC52" s="4">
        <v>0.14199999999999999</v>
      </c>
      <c r="BD52" s="4">
        <v>-8.6999999999999994E-2</v>
      </c>
      <c r="BE52" s="4">
        <v>0.45300000000000001</v>
      </c>
      <c r="BF52" s="4">
        <v>0.29099999999999998</v>
      </c>
      <c r="BG52" s="4">
        <v>0.09</v>
      </c>
      <c r="BH52" s="4">
        <v>0.92</v>
      </c>
      <c r="BI52" s="4">
        <v>-0.69</v>
      </c>
      <c r="BJ52" s="4">
        <v>-0.33200000000000002</v>
      </c>
      <c r="BK52" s="4">
        <v>3.9E-2</v>
      </c>
      <c r="BL52" s="4">
        <v>-0.78100000000000003</v>
      </c>
      <c r="BM52" s="4"/>
    </row>
    <row r="53" spans="1:65" hidden="1" x14ac:dyDescent="0.3">
      <c r="A53" s="19" t="s">
        <v>84</v>
      </c>
      <c r="B53" s="53">
        <f t="shared" si="4"/>
        <v>1.2E-2</v>
      </c>
      <c r="C53" s="53">
        <f t="shared" si="5"/>
        <v>1.2E-2</v>
      </c>
      <c r="D53" s="53">
        <f t="shared" si="6"/>
        <v>0</v>
      </c>
      <c r="E53" s="53">
        <f t="shared" si="7"/>
        <v>0</v>
      </c>
      <c r="F53" s="15">
        <v>1.9630000000000001</v>
      </c>
      <c r="G53" s="19">
        <v>1.482</v>
      </c>
      <c r="H53" s="24" t="s">
        <v>57</v>
      </c>
      <c r="I53" t="str">
        <f>VLOOKUP(A53,Planilha6!$BL$9:$BN$222,2,0)</f>
        <v>banks</v>
      </c>
      <c r="J53" t="str">
        <f>VLOOKUP(A53,Planilha6!$BL$9:$BN$222,3,0)</f>
        <v>neutral_beta</v>
      </c>
      <c r="K53" s="2">
        <v>1.2E-2</v>
      </c>
      <c r="L53" s="2">
        <v>1.2E-2</v>
      </c>
      <c r="M53" s="15">
        <v>84</v>
      </c>
      <c r="N53" s="41">
        <f>VLOOKUP(A53,'Mandato Smll'!$A$2:$C$215,2,0)</f>
        <v>7.99887371193061E-3</v>
      </c>
      <c r="O53" s="59">
        <f t="shared" si="8"/>
        <v>4.0011262880693902E-3</v>
      </c>
      <c r="P53" s="42">
        <f t="shared" si="9"/>
        <v>4.0011262880693902E-3</v>
      </c>
      <c r="Q53" s="41">
        <f>VLOOKUP(A53,'Mandato Smll'!$A$2:$C$215,3,0)</f>
        <v>1.17105505215326E-2</v>
      </c>
      <c r="R53" s="59">
        <f t="shared" si="10"/>
        <v>2.8944947846740003E-4</v>
      </c>
      <c r="S53" s="15">
        <v>0.19</v>
      </c>
      <c r="T53" s="15">
        <v>0.26800000000000002</v>
      </c>
      <c r="U53" s="15">
        <v>0.32600000000000001</v>
      </c>
      <c r="V53" s="15">
        <v>0.308</v>
      </c>
      <c r="W53" s="15">
        <v>0.47</v>
      </c>
      <c r="X53" s="15">
        <v>5.6000000000000001E-2</v>
      </c>
      <c r="Y53" s="15">
        <v>-3.3000000000000002E-2</v>
      </c>
      <c r="Z53" s="15">
        <v>0.159</v>
      </c>
      <c r="AA53" s="15">
        <v>0.71099999999999997</v>
      </c>
      <c r="AB53" s="15">
        <v>0.71</v>
      </c>
      <c r="AC53" s="15">
        <v>0.86799999999999999</v>
      </c>
      <c r="AD53" s="15">
        <v>0.86799999999999999</v>
      </c>
      <c r="AE53" s="15">
        <v>0.87</v>
      </c>
      <c r="AF53" s="14">
        <v>-0.18099999999999999</v>
      </c>
      <c r="AG53" s="15">
        <v>0.43099999999999999</v>
      </c>
      <c r="AH53" s="15">
        <v>0.44600000000000001</v>
      </c>
      <c r="AI53" s="15">
        <v>-0.42599999999999999</v>
      </c>
      <c r="AJ53" s="15">
        <v>0.67900000000000005</v>
      </c>
      <c r="AK53" s="9">
        <v>0.79300000000000004</v>
      </c>
      <c r="AL53" s="4">
        <v>-4.9000000000000002E-2</v>
      </c>
      <c r="AM53" s="4">
        <v>-0.159</v>
      </c>
      <c r="AN53" s="4">
        <v>-0.40300000000000002</v>
      </c>
      <c r="AO53" s="4">
        <v>-9.7000000000000003E-2</v>
      </c>
      <c r="AP53" s="4">
        <v>0.73599999999999999</v>
      </c>
      <c r="AQ53" s="4">
        <v>-0.17100000000000001</v>
      </c>
      <c r="AR53" s="4">
        <v>0.86799999999999999</v>
      </c>
      <c r="AS53" s="4">
        <v>-4.3999999999999997E-2</v>
      </c>
      <c r="AT53" s="4">
        <v>-0.317</v>
      </c>
      <c r="AU53" s="4">
        <v>0.23599999999999999</v>
      </c>
      <c r="AV53" s="4">
        <v>-0.21</v>
      </c>
      <c r="AW53" s="4">
        <v>0.23699999999999999</v>
      </c>
      <c r="AX53" s="4">
        <v>0.4</v>
      </c>
      <c r="AY53" s="4">
        <v>-0.16600000000000001</v>
      </c>
      <c r="AZ53" s="4">
        <v>-0.13500000000000001</v>
      </c>
      <c r="BA53" s="4">
        <v>0.45800000000000002</v>
      </c>
      <c r="BB53" s="4">
        <v>0.48</v>
      </c>
      <c r="BC53" s="4">
        <v>-0.189</v>
      </c>
      <c r="BD53" s="4">
        <v>-0.113</v>
      </c>
      <c r="BE53" s="4">
        <v>-0.46100000000000002</v>
      </c>
      <c r="BF53" s="4">
        <v>-1</v>
      </c>
      <c r="BG53" s="4">
        <v>-0.72799999999999998</v>
      </c>
      <c r="BH53" s="4">
        <v>0.214</v>
      </c>
      <c r="BI53" s="4">
        <v>-1</v>
      </c>
      <c r="BJ53" s="4">
        <v>-0.01</v>
      </c>
      <c r="BK53" s="4">
        <v>0.53300000000000003</v>
      </c>
      <c r="BL53" s="4">
        <v>0.65600000000000003</v>
      </c>
      <c r="BM53" s="4"/>
    </row>
    <row r="54" spans="1:65" hidden="1" x14ac:dyDescent="0.3">
      <c r="A54" s="19" t="s">
        <v>92</v>
      </c>
      <c r="B54" s="53">
        <f t="shared" si="4"/>
        <v>1.6E-2</v>
      </c>
      <c r="C54" s="53">
        <f t="shared" si="5"/>
        <v>0.01</v>
      </c>
      <c r="D54" s="53">
        <f t="shared" si="6"/>
        <v>0</v>
      </c>
      <c r="E54" s="53">
        <f t="shared" si="7"/>
        <v>6.0000000000000001E-3</v>
      </c>
      <c r="F54" s="15">
        <v>1.913</v>
      </c>
      <c r="G54" s="19">
        <v>2.4209999999999998</v>
      </c>
      <c r="H54" s="24" t="s">
        <v>57</v>
      </c>
      <c r="I54" t="str">
        <f>VLOOKUP(A54,Planilha6!$BL$9:$BN$222,2,0)</f>
        <v>tech</v>
      </c>
      <c r="J54" t="str">
        <f>VLOOKUP(A54,Planilha6!$BL$9:$BN$222,3,0)</f>
        <v>high_beta</v>
      </c>
      <c r="K54" s="2">
        <v>1.6E-2</v>
      </c>
      <c r="L54" s="2">
        <v>0.01</v>
      </c>
      <c r="M54" s="15">
        <v>84</v>
      </c>
      <c r="N54" s="41">
        <f>VLOOKUP(A54,'Mandato Smll'!$A$2:$C$215,2,0)</f>
        <v>1.4612549080837801E-2</v>
      </c>
      <c r="O54" s="59">
        <f t="shared" si="8"/>
        <v>1.3874509191621996E-3</v>
      </c>
      <c r="P54" s="42">
        <f t="shared" si="9"/>
        <v>1.3874509191621996E-3</v>
      </c>
      <c r="Q54" s="41">
        <f>VLOOKUP(A54,'Mandato Smll'!$A$2:$C$215,3,0)</f>
        <v>1.30072227656196E-2</v>
      </c>
      <c r="R54" s="59">
        <f t="shared" si="10"/>
        <v>2.9927772343804008E-3</v>
      </c>
      <c r="S54" s="15">
        <v>0.43</v>
      </c>
      <c r="T54" s="15">
        <v>0.13800000000000001</v>
      </c>
      <c r="U54" s="15">
        <v>0.57399999999999995</v>
      </c>
      <c r="V54" s="15">
        <v>0.186</v>
      </c>
      <c r="W54" s="15">
        <v>0.33900000000000002</v>
      </c>
      <c r="X54" s="15">
        <v>0.20899999999999999</v>
      </c>
      <c r="Y54" s="15">
        <v>7.1999999999999995E-2</v>
      </c>
      <c r="Z54" s="15">
        <v>8.7999999999999995E-2</v>
      </c>
      <c r="AA54" s="15">
        <v>0.27300000000000002</v>
      </c>
      <c r="AB54" s="15">
        <v>0.27400000000000002</v>
      </c>
      <c r="AC54" s="15">
        <v>0.72199999999999998</v>
      </c>
      <c r="AD54" s="15">
        <v>0.93400000000000005</v>
      </c>
      <c r="AE54" s="15">
        <v>0.78800000000000003</v>
      </c>
      <c r="AF54" s="14">
        <v>0.29799999999999999</v>
      </c>
      <c r="AG54" s="15">
        <v>-0.21199999999999999</v>
      </c>
      <c r="AH54" s="15">
        <v>-0.185</v>
      </c>
      <c r="AI54" s="15">
        <v>-0.252</v>
      </c>
      <c r="AJ54" s="15">
        <v>0.92800000000000005</v>
      </c>
      <c r="AK54" s="9">
        <v>0.87</v>
      </c>
      <c r="AL54" s="4">
        <v>-0.28599999999999998</v>
      </c>
      <c r="AM54" s="4">
        <v>-0.06</v>
      </c>
      <c r="AN54" s="4">
        <v>-0.86</v>
      </c>
      <c r="AO54" s="4">
        <v>7.0999999999999994E-2</v>
      </c>
      <c r="AP54" s="4">
        <v>0.20699999999999999</v>
      </c>
      <c r="AQ54" s="4">
        <v>0.53500000000000003</v>
      </c>
      <c r="AR54" s="4">
        <v>0.28399999999999997</v>
      </c>
      <c r="AS54" s="4">
        <v>0.221</v>
      </c>
      <c r="AT54" s="4">
        <v>0.38600000000000001</v>
      </c>
      <c r="AU54" s="4">
        <v>0.51700000000000002</v>
      </c>
      <c r="AV54" s="4">
        <v>-0.27600000000000002</v>
      </c>
      <c r="AW54" s="4">
        <v>0.47899999999999998</v>
      </c>
      <c r="AX54" s="4">
        <v>0.23499999999999999</v>
      </c>
      <c r="AY54" s="4">
        <v>0.751</v>
      </c>
      <c r="AZ54" s="4">
        <v>0.96199999999999997</v>
      </c>
      <c r="BA54" s="4">
        <v>0.23300000000000001</v>
      </c>
      <c r="BB54" s="4">
        <v>0.86099999999999999</v>
      </c>
      <c r="BC54" s="4">
        <v>8.4000000000000005E-2</v>
      </c>
      <c r="BD54" s="4">
        <v>-4.8000000000000001E-2</v>
      </c>
      <c r="BE54" s="4">
        <v>-0.63800000000000001</v>
      </c>
      <c r="BF54" s="4">
        <v>-0.72599999999999998</v>
      </c>
      <c r="BG54" s="4">
        <v>-0.67500000000000004</v>
      </c>
      <c r="BH54" s="4">
        <v>0.32700000000000001</v>
      </c>
      <c r="BI54" s="4">
        <v>-0.59099999999999997</v>
      </c>
      <c r="BJ54" s="4">
        <v>9.8000000000000004E-2</v>
      </c>
      <c r="BK54" s="4">
        <v>0.316</v>
      </c>
      <c r="BL54" s="4">
        <v>0.191</v>
      </c>
      <c r="BM54" s="4"/>
    </row>
    <row r="55" spans="1:65" hidden="1" x14ac:dyDescent="0.3">
      <c r="A55" s="19" t="s">
        <v>106</v>
      </c>
      <c r="B55" s="53">
        <f t="shared" si="4"/>
        <v>1.4999999999999999E-2</v>
      </c>
      <c r="C55" s="53">
        <f t="shared" si="5"/>
        <v>1.4E-2</v>
      </c>
      <c r="D55" s="53">
        <f t="shared" si="6"/>
        <v>0</v>
      </c>
      <c r="E55" s="53">
        <f t="shared" si="7"/>
        <v>9.9999999999999915E-4</v>
      </c>
      <c r="F55" s="15">
        <v>1.847</v>
      </c>
      <c r="G55" s="19">
        <v>1.548</v>
      </c>
      <c r="H55" s="24" t="s">
        <v>57</v>
      </c>
      <c r="I55" t="str">
        <f>VLOOKUP(A55,Planilha6!$BL$9:$BN$222,2,0)</f>
        <v>tech</v>
      </c>
      <c r="J55" t="str">
        <f>VLOOKUP(A55,Planilha6!$BL$9:$BN$222,3,0)</f>
        <v>low_beta</v>
      </c>
      <c r="K55" s="2">
        <v>1.4999999999999999E-2</v>
      </c>
      <c r="L55" s="2">
        <v>1.4E-2</v>
      </c>
      <c r="M55" s="15">
        <v>84</v>
      </c>
      <c r="N55" s="41">
        <f>VLOOKUP(A55,'Mandato Smll'!$A$2:$C$215,2,0)</f>
        <v>7.8766722845027195E-3</v>
      </c>
      <c r="O55" s="59">
        <f t="shared" si="8"/>
        <v>7.12332771549728E-3</v>
      </c>
      <c r="P55" s="42">
        <f t="shared" si="9"/>
        <v>7.12332771549728E-3</v>
      </c>
      <c r="Q55" s="41">
        <f>VLOOKUP(A55,'Mandato Smll'!$A$2:$C$215,3,0)</f>
        <v>0</v>
      </c>
      <c r="R55" s="59">
        <f t="shared" si="10"/>
        <v>1.4999999999999999E-2</v>
      </c>
      <c r="S55" s="15">
        <v>0.32100000000000001</v>
      </c>
      <c r="T55" s="15">
        <v>0</v>
      </c>
      <c r="U55" s="15">
        <v>0.34300000000000003</v>
      </c>
      <c r="V55" s="15">
        <v>4.8000000000000001E-2</v>
      </c>
      <c r="W55" s="15">
        <v>9.7000000000000003E-2</v>
      </c>
      <c r="X55" s="15">
        <v>-8.0000000000000002E-3</v>
      </c>
      <c r="Y55" s="15">
        <v>-0.16800000000000001</v>
      </c>
      <c r="Z55" s="15">
        <v>-0.125</v>
      </c>
      <c r="AA55" s="15">
        <v>0.92500000000000004</v>
      </c>
      <c r="AB55" s="15">
        <v>0.92400000000000004</v>
      </c>
      <c r="AC55" s="15">
        <v>0.94299999999999995</v>
      </c>
      <c r="AD55" s="15">
        <v>1</v>
      </c>
      <c r="AE55" s="15">
        <v>0.93200000000000005</v>
      </c>
      <c r="AF55" s="14">
        <v>-0.13900000000000001</v>
      </c>
      <c r="AG55" s="15">
        <v>0.19</v>
      </c>
      <c r="AH55" s="15">
        <v>0.80300000000000005</v>
      </c>
      <c r="AI55" s="15">
        <v>1</v>
      </c>
      <c r="AJ55" s="15">
        <v>0.998</v>
      </c>
      <c r="AK55" s="9">
        <v>-0.46899999999999997</v>
      </c>
      <c r="AL55" s="4">
        <v>0.44900000000000001</v>
      </c>
      <c r="AM55" s="4">
        <v>0.191</v>
      </c>
      <c r="AN55" s="4">
        <v>0.68200000000000005</v>
      </c>
      <c r="AO55" s="4">
        <v>6.6000000000000003E-2</v>
      </c>
      <c r="AP55" s="4">
        <v>-3.9E-2</v>
      </c>
      <c r="AQ55" s="4">
        <v>0.40300000000000002</v>
      </c>
      <c r="AR55" s="4">
        <v>-0.502</v>
      </c>
      <c r="AS55" s="4">
        <v>0.32600000000000001</v>
      </c>
      <c r="AT55" s="4">
        <v>0.13600000000000001</v>
      </c>
      <c r="AU55" s="4">
        <v>0.1</v>
      </c>
      <c r="AV55" s="4">
        <v>-0.434</v>
      </c>
      <c r="AW55" s="4">
        <v>-0.28999999999999998</v>
      </c>
      <c r="AX55" s="4">
        <v>-0.111</v>
      </c>
      <c r="AY55" s="4">
        <v>-0.13900000000000001</v>
      </c>
      <c r="AZ55" s="4">
        <v>0.69399999999999995</v>
      </c>
      <c r="BA55" s="4">
        <v>-0.36899999999999999</v>
      </c>
      <c r="BB55" s="4">
        <v>-0.55500000000000005</v>
      </c>
      <c r="BC55" s="4">
        <v>0.21099999999999999</v>
      </c>
      <c r="BD55" s="4">
        <v>0.223</v>
      </c>
      <c r="BE55" s="4">
        <v>0.23899999999999999</v>
      </c>
      <c r="BF55" s="4">
        <v>0.44400000000000001</v>
      </c>
      <c r="BG55" s="4">
        <v>0.314</v>
      </c>
      <c r="BH55" s="4">
        <v>0.59199999999999997</v>
      </c>
      <c r="BI55" s="4">
        <v>0.13500000000000001</v>
      </c>
      <c r="BJ55" s="4">
        <v>-0.17399999999999999</v>
      </c>
      <c r="BK55" s="4">
        <v>0.21</v>
      </c>
      <c r="BL55" s="4">
        <v>0.78</v>
      </c>
      <c r="BM55" s="4"/>
    </row>
    <row r="56" spans="1:65" hidden="1" x14ac:dyDescent="0.3">
      <c r="A56" s="19" t="s">
        <v>121</v>
      </c>
      <c r="B56" s="53">
        <f t="shared" si="4"/>
        <v>0</v>
      </c>
      <c r="C56" s="53">
        <f t="shared" si="5"/>
        <v>0</v>
      </c>
      <c r="D56" s="53">
        <f t="shared" si="6"/>
        <v>0</v>
      </c>
      <c r="E56" s="53">
        <f t="shared" si="7"/>
        <v>0</v>
      </c>
      <c r="F56" s="15">
        <v>1.845</v>
      </c>
      <c r="G56" s="19">
        <v>2.5089999999999999</v>
      </c>
      <c r="H56" s="24" t="s">
        <v>57</v>
      </c>
      <c r="I56" t="str">
        <f>VLOOKUP(A56,Planilha6!$BL$9:$BN$222,2,0)</f>
        <v>banks</v>
      </c>
      <c r="J56" t="str">
        <f>VLOOKUP(A56,Planilha6!$BL$9:$BN$222,3,0)</f>
        <v>neutral_beta</v>
      </c>
      <c r="K56" s="2">
        <v>0</v>
      </c>
      <c r="L56" s="2">
        <v>0</v>
      </c>
      <c r="M56" s="15">
        <v>10</v>
      </c>
      <c r="N56" s="41">
        <f>VLOOKUP(A56,'Mandato Smll'!$A$2:$C$215,2,0)</f>
        <v>0</v>
      </c>
      <c r="O56" s="59">
        <f t="shared" si="8"/>
        <v>0</v>
      </c>
      <c r="P56" s="42">
        <f t="shared" si="9"/>
        <v>0</v>
      </c>
      <c r="Q56" s="41">
        <f>VLOOKUP(A56,'Mandato Smll'!$A$2:$C$215,3,0)</f>
        <v>0</v>
      </c>
      <c r="R56" s="59">
        <f t="shared" si="10"/>
        <v>0</v>
      </c>
      <c r="S56" s="15">
        <v>-0.153</v>
      </c>
      <c r="T56" s="15">
        <v>0.496</v>
      </c>
      <c r="U56" s="15">
        <v>-0.69499999999999995</v>
      </c>
      <c r="V56" s="15">
        <v>0.13100000000000001</v>
      </c>
      <c r="W56" s="15">
        <v>0.16900000000000001</v>
      </c>
      <c r="X56" s="15">
        <v>0.23400000000000001</v>
      </c>
      <c r="Y56" s="15">
        <v>0.43</v>
      </c>
      <c r="Z56" s="15">
        <v>0.49099999999999999</v>
      </c>
      <c r="AA56" s="15">
        <v>0.58799999999999997</v>
      </c>
      <c r="AB56" s="15">
        <v>0.59599999999999997</v>
      </c>
      <c r="AC56" s="15">
        <v>0.72399999999999998</v>
      </c>
      <c r="AD56" s="15">
        <v>0.83899999999999997</v>
      </c>
      <c r="AE56" s="15">
        <v>0.76</v>
      </c>
      <c r="AF56" s="14">
        <v>7.0000000000000007E-2</v>
      </c>
      <c r="AG56" s="15">
        <v>-0.3</v>
      </c>
      <c r="AH56" s="15">
        <v>0.53400000000000003</v>
      </c>
      <c r="AI56" s="15">
        <v>-0.96699999999999997</v>
      </c>
      <c r="AJ56" s="15">
        <v>-0.64500000000000002</v>
      </c>
      <c r="AK56" s="9">
        <v>-0.86</v>
      </c>
      <c r="AL56" s="4">
        <v>-0.14899999999999999</v>
      </c>
      <c r="AM56" s="4">
        <v>0.17699999999999999</v>
      </c>
      <c r="AN56" s="4">
        <v>-0.66500000000000004</v>
      </c>
      <c r="AO56" s="4">
        <v>-0.40600000000000003</v>
      </c>
      <c r="AP56" s="4">
        <v>0.61799999999999999</v>
      </c>
      <c r="AQ56" s="4">
        <v>0.68899999999999995</v>
      </c>
      <c r="AR56" s="4">
        <v>-0.01</v>
      </c>
      <c r="AS56" s="4">
        <v>0.17100000000000001</v>
      </c>
      <c r="AT56" s="4">
        <v>0.41</v>
      </c>
      <c r="AU56" s="4">
        <v>5.8000000000000003E-2</v>
      </c>
      <c r="AV56" s="4">
        <v>5.0999999999999997E-2</v>
      </c>
      <c r="AW56" s="4">
        <v>0.27300000000000002</v>
      </c>
      <c r="AX56" s="4">
        <v>0.44</v>
      </c>
      <c r="AY56" s="4">
        <v>-0.45100000000000001</v>
      </c>
      <c r="AZ56" s="4">
        <v>0.93600000000000005</v>
      </c>
      <c r="BA56" s="4">
        <v>0.29199999999999998</v>
      </c>
      <c r="BB56" s="4">
        <v>0.47399999999999998</v>
      </c>
      <c r="BC56" s="4">
        <v>-2.3E-2</v>
      </c>
      <c r="BD56" s="4">
        <v>0.32100000000000001</v>
      </c>
      <c r="BE56" s="4">
        <v>0.53200000000000003</v>
      </c>
      <c r="BF56" s="4">
        <v>-0.28499999999999998</v>
      </c>
      <c r="BG56" s="4">
        <v>-0.42799999999999999</v>
      </c>
      <c r="BH56" s="4">
        <v>0.76300000000000001</v>
      </c>
      <c r="BI56" s="4">
        <v>-0.69299999999999995</v>
      </c>
      <c r="BJ56" s="4">
        <v>3.9E-2</v>
      </c>
      <c r="BK56" s="4">
        <v>-0.2</v>
      </c>
      <c r="BL56" s="4">
        <v>-0.68899999999999995</v>
      </c>
      <c r="BM56" s="4"/>
    </row>
    <row r="57" spans="1:65" hidden="1" x14ac:dyDescent="0.3">
      <c r="A57" s="19" t="s">
        <v>83</v>
      </c>
      <c r="B57" s="53">
        <f t="shared" si="4"/>
        <v>0</v>
      </c>
      <c r="C57" s="53">
        <f t="shared" si="5"/>
        <v>0</v>
      </c>
      <c r="D57" s="53">
        <f t="shared" si="6"/>
        <v>0</v>
      </c>
      <c r="E57" s="53">
        <f t="shared" si="7"/>
        <v>0</v>
      </c>
      <c r="F57" s="15">
        <v>1.8420000000000001</v>
      </c>
      <c r="G57" s="19">
        <v>2.395</v>
      </c>
      <c r="H57" s="24" t="s">
        <v>53</v>
      </c>
      <c r="I57" t="str">
        <f>VLOOKUP(A57,Planilha6!$BL$9:$BN$222,2,0)</f>
        <v>consumer_staples</v>
      </c>
      <c r="J57" t="str">
        <f>VLOOKUP(A57,Planilha6!$BL$9:$BN$222,3,0)</f>
        <v>very_low_beta</v>
      </c>
      <c r="K57" s="2">
        <v>0</v>
      </c>
      <c r="L57" s="2">
        <v>0</v>
      </c>
      <c r="M57" s="15">
        <v>13</v>
      </c>
      <c r="N57" s="41">
        <f>VLOOKUP(A57,'Mandato Smll'!$A$2:$C$215,2,0)</f>
        <v>0</v>
      </c>
      <c r="O57" s="59">
        <f t="shared" si="8"/>
        <v>0</v>
      </c>
      <c r="P57" s="42">
        <f t="shared" si="9"/>
        <v>0</v>
      </c>
      <c r="Q57" s="41">
        <f>VLOOKUP(A57,'Mandato Smll'!$A$2:$C$215,3,0)</f>
        <v>0</v>
      </c>
      <c r="R57" s="59">
        <f t="shared" si="10"/>
        <v>0</v>
      </c>
      <c r="S57" s="15">
        <v>-0.22800000000000001</v>
      </c>
      <c r="T57" s="15">
        <v>0.50800000000000001</v>
      </c>
      <c r="U57" s="15">
        <v>-0.76900000000000002</v>
      </c>
      <c r="V57" s="15">
        <v>0.14699999999999999</v>
      </c>
      <c r="W57" s="15">
        <v>0.13600000000000001</v>
      </c>
      <c r="X57" s="15">
        <v>0.34100000000000003</v>
      </c>
      <c r="Y57" s="15">
        <v>0.80200000000000005</v>
      </c>
      <c r="Z57" s="15">
        <v>0.47899999999999998</v>
      </c>
      <c r="AA57" s="15">
        <v>0.70699999999999996</v>
      </c>
      <c r="AB57" s="15">
        <v>0.71599999999999997</v>
      </c>
      <c r="AC57" s="15">
        <v>0.73099999999999998</v>
      </c>
      <c r="AD57" s="15">
        <v>0.78</v>
      </c>
      <c r="AE57" s="15">
        <v>0.621</v>
      </c>
      <c r="AF57" s="14">
        <v>0.34200000000000003</v>
      </c>
      <c r="AG57" s="15">
        <v>-0.53300000000000003</v>
      </c>
      <c r="AH57" s="15">
        <v>0.185</v>
      </c>
      <c r="AI57" s="15">
        <v>-0.999</v>
      </c>
      <c r="AJ57" s="15">
        <v>-0.78700000000000003</v>
      </c>
      <c r="AK57" s="9">
        <v>-0.58399999999999996</v>
      </c>
      <c r="AL57" s="4">
        <v>-0.30199999999999999</v>
      </c>
      <c r="AM57" s="4">
        <v>-0.121</v>
      </c>
      <c r="AN57" s="4">
        <v>-0.91200000000000003</v>
      </c>
      <c r="AO57" s="4">
        <v>-8.3000000000000004E-2</v>
      </c>
      <c r="AP57" s="4">
        <v>0.63</v>
      </c>
      <c r="AQ57" s="4">
        <v>0.40400000000000003</v>
      </c>
      <c r="AR57" s="4">
        <v>0.20899999999999999</v>
      </c>
      <c r="AS57" s="4">
        <v>0.09</v>
      </c>
      <c r="AT57" s="4">
        <v>-0.41799999999999998</v>
      </c>
      <c r="AU57" s="4">
        <v>0.498</v>
      </c>
      <c r="AV57" s="4">
        <v>0.374</v>
      </c>
      <c r="AW57" s="4">
        <v>0.69299999999999995</v>
      </c>
      <c r="AX57" s="4">
        <v>0.81799999999999995</v>
      </c>
      <c r="AY57" s="4">
        <v>0.48199999999999998</v>
      </c>
      <c r="AZ57" s="4">
        <v>0.74399999999999999</v>
      </c>
      <c r="BA57" s="4">
        <v>-0.19500000000000001</v>
      </c>
      <c r="BB57" s="4">
        <v>-0.19600000000000001</v>
      </c>
      <c r="BC57" s="4">
        <v>0.26300000000000001</v>
      </c>
      <c r="BD57" s="4">
        <v>-7.0000000000000001E-3</v>
      </c>
      <c r="BE57" s="4">
        <v>0.32300000000000001</v>
      </c>
      <c r="BF57" s="4">
        <v>0.16300000000000001</v>
      </c>
      <c r="BG57" s="4">
        <v>8.9999999999999993E-3</v>
      </c>
      <c r="BH57" s="4">
        <v>1</v>
      </c>
      <c r="BI57" s="4">
        <v>-0.30099999999999999</v>
      </c>
      <c r="BJ57" s="4">
        <v>-0.36199999999999999</v>
      </c>
      <c r="BK57" s="4">
        <v>-0.15</v>
      </c>
      <c r="BL57" s="4">
        <v>-1</v>
      </c>
      <c r="BM57" s="4"/>
    </row>
    <row r="58" spans="1:65" hidden="1" x14ac:dyDescent="0.3">
      <c r="A58" s="19" t="s">
        <v>237</v>
      </c>
      <c r="B58" s="53">
        <f t="shared" si="4"/>
        <v>6.0000000000000001E-3</v>
      </c>
      <c r="C58" s="53">
        <f t="shared" si="5"/>
        <v>6.0000000000000001E-3</v>
      </c>
      <c r="D58" s="53">
        <f t="shared" si="6"/>
        <v>0</v>
      </c>
      <c r="E58" s="53">
        <f t="shared" si="7"/>
        <v>0</v>
      </c>
      <c r="F58" s="15">
        <v>1.84</v>
      </c>
      <c r="G58" s="19">
        <v>1.2609999999999999</v>
      </c>
      <c r="H58" s="24" t="s">
        <v>53</v>
      </c>
      <c r="I58" t="str">
        <f>VLOOKUP(A58,Planilha6!$BL$9:$BN$222,2,0)</f>
        <v>healthcare</v>
      </c>
      <c r="J58" t="str">
        <f>VLOOKUP(A58,Planilha6!$BL$9:$BN$222,3,0)</f>
        <v>high_beta</v>
      </c>
      <c r="K58" s="2">
        <v>6.0000000000000001E-3</v>
      </c>
      <c r="L58" s="2">
        <v>6.0000000000000001E-3</v>
      </c>
      <c r="M58" s="15">
        <v>84</v>
      </c>
      <c r="N58" s="41">
        <f>VLOOKUP(A58,'Mandato Smll'!$A$2:$C$215,2,0)</f>
        <v>7.5005401518103004E-3</v>
      </c>
      <c r="O58" s="59">
        <f t="shared" si="8"/>
        <v>-1.5005401518103003E-3</v>
      </c>
      <c r="P58" s="42">
        <f t="shared" si="9"/>
        <v>-1.5005401518103003E-3</v>
      </c>
      <c r="Q58" s="41">
        <f>VLOOKUP(A58,'Mandato Smll'!$A$2:$C$215,3,0)</f>
        <v>0</v>
      </c>
      <c r="R58" s="59">
        <f t="shared" si="10"/>
        <v>6.0000000000000001E-3</v>
      </c>
      <c r="S58" s="15">
        <v>0.96</v>
      </c>
      <c r="T58" s="15">
        <v>4.9000000000000002E-2</v>
      </c>
      <c r="U58" s="15">
        <v>0.85899999999999999</v>
      </c>
      <c r="V58" s="15">
        <v>0.61499999999999999</v>
      </c>
      <c r="W58" s="15">
        <v>0.39100000000000001</v>
      </c>
      <c r="X58" s="15">
        <v>0.05</v>
      </c>
      <c r="Y58" s="15">
        <v>-0.40400000000000003</v>
      </c>
      <c r="Z58" s="15">
        <v>-0.60899999999999999</v>
      </c>
      <c r="AA58" s="15">
        <v>0.46800000000000003</v>
      </c>
      <c r="AB58" s="15">
        <v>0.47099999999999997</v>
      </c>
      <c r="AC58" s="15">
        <v>0.32100000000000001</v>
      </c>
      <c r="AD58" s="15">
        <v>0.879</v>
      </c>
      <c r="AE58" s="15">
        <v>0.995</v>
      </c>
      <c r="AF58" s="14">
        <v>1</v>
      </c>
      <c r="AG58" s="15">
        <v>0.67600000000000005</v>
      </c>
      <c r="AH58" s="15">
        <v>1</v>
      </c>
      <c r="AI58" s="15">
        <v>1</v>
      </c>
      <c r="AJ58" s="15">
        <v>1</v>
      </c>
      <c r="AK58" s="9">
        <v>-0.53800000000000003</v>
      </c>
      <c r="AL58" s="4">
        <v>0.86</v>
      </c>
      <c r="AM58" s="4">
        <v>-0.878</v>
      </c>
      <c r="AN58" s="4">
        <v>0.79600000000000004</v>
      </c>
      <c r="AO58" s="4">
        <v>0.23100000000000001</v>
      </c>
      <c r="AP58" s="4">
        <v>0.42699999999999999</v>
      </c>
      <c r="AQ58" s="4">
        <v>0.224</v>
      </c>
      <c r="AR58" s="4">
        <v>-0.58799999999999997</v>
      </c>
      <c r="AS58" s="4">
        <v>1</v>
      </c>
      <c r="AT58" s="4">
        <v>0.44500000000000001</v>
      </c>
      <c r="AU58" s="4">
        <v>0.184</v>
      </c>
      <c r="AV58" s="4">
        <v>-0.46600000000000003</v>
      </c>
      <c r="AW58" s="4">
        <v>7.4999999999999997E-2</v>
      </c>
      <c r="AX58" s="4">
        <v>-0.54600000000000004</v>
      </c>
      <c r="AY58" s="4">
        <v>-0.57899999999999996</v>
      </c>
      <c r="AZ58" s="4">
        <v>8.3000000000000004E-2</v>
      </c>
      <c r="BA58" s="4">
        <v>-0.70699999999999996</v>
      </c>
      <c r="BB58" s="4">
        <v>0.94199999999999995</v>
      </c>
      <c r="BC58" s="4">
        <v>0.25600000000000001</v>
      </c>
      <c r="BD58" s="4">
        <v>-0.23799999999999999</v>
      </c>
      <c r="BE58" s="4">
        <v>0.36099999999999999</v>
      </c>
      <c r="BF58" s="4">
        <v>-0.47</v>
      </c>
      <c r="BG58" s="4">
        <v>0.74099999999999999</v>
      </c>
      <c r="BH58" s="4">
        <v>0.06</v>
      </c>
      <c r="BI58" s="4">
        <v>1</v>
      </c>
      <c r="BJ58" s="4">
        <v>0.16400000000000001</v>
      </c>
      <c r="BK58" s="4">
        <v>0.60599999999999998</v>
      </c>
      <c r="BL58" s="4">
        <v>0.96599999999999997</v>
      </c>
      <c r="BM58" s="4"/>
    </row>
    <row r="59" spans="1:65" hidden="1" x14ac:dyDescent="0.3">
      <c r="A59" s="19" t="s">
        <v>70</v>
      </c>
      <c r="B59" s="53">
        <f t="shared" si="4"/>
        <v>1.4E-2</v>
      </c>
      <c r="C59" s="53">
        <f t="shared" si="5"/>
        <v>1.4E-2</v>
      </c>
      <c r="D59" s="53">
        <f t="shared" si="6"/>
        <v>0</v>
      </c>
      <c r="E59" s="53">
        <f t="shared" si="7"/>
        <v>0</v>
      </c>
      <c r="F59" s="15">
        <v>1.794</v>
      </c>
      <c r="G59" s="19">
        <v>2.2989999999999999</v>
      </c>
      <c r="H59" s="24" t="s">
        <v>71</v>
      </c>
      <c r="I59" t="str">
        <f>VLOOKUP(A59,Planilha6!$BL$9:$BN$222,2,0)</f>
        <v>basic_materials</v>
      </c>
      <c r="J59" t="str">
        <f>VLOOKUP(A59,Planilha6!$BL$9:$BN$222,3,0)</f>
        <v>low_beta</v>
      </c>
      <c r="K59" s="2">
        <v>1.4E-2</v>
      </c>
      <c r="L59" s="2">
        <v>1.4E-2</v>
      </c>
      <c r="M59" s="15">
        <v>84</v>
      </c>
      <c r="N59" s="41">
        <f>VLOOKUP(A59,'Mandato Smll'!$A$2:$C$215,2,0)</f>
        <v>7.3117884258815501E-3</v>
      </c>
      <c r="O59" s="59">
        <f t="shared" si="8"/>
        <v>6.6882115741184502E-3</v>
      </c>
      <c r="P59" s="42">
        <f t="shared" si="9"/>
        <v>6.6882115741184502E-3</v>
      </c>
      <c r="Q59" s="41">
        <f>VLOOKUP(A59,'Mandato Smll'!$A$2:$C$215,3,0)</f>
        <v>0</v>
      </c>
      <c r="R59" s="59">
        <f t="shared" si="10"/>
        <v>1.4E-2</v>
      </c>
      <c r="S59" s="15">
        <v>-0.40200000000000002</v>
      </c>
      <c r="T59" s="15">
        <v>0.16500000000000001</v>
      </c>
      <c r="U59" s="15">
        <v>-0.57899999999999996</v>
      </c>
      <c r="V59" s="15">
        <v>-0.34799999999999998</v>
      </c>
      <c r="W59" s="15">
        <v>-0.11600000000000001</v>
      </c>
      <c r="X59" s="15">
        <v>0.28299999999999997</v>
      </c>
      <c r="Y59" s="15">
        <v>0.61099999999999999</v>
      </c>
      <c r="Z59" s="15">
        <v>0.66300000000000003</v>
      </c>
      <c r="AA59" s="15">
        <v>0.77300000000000002</v>
      </c>
      <c r="AB59" s="15">
        <v>0.77400000000000002</v>
      </c>
      <c r="AC59" s="15">
        <v>0.626</v>
      </c>
      <c r="AD59" s="15">
        <v>0.65700000000000003</v>
      </c>
      <c r="AE59" s="15">
        <v>0.81</v>
      </c>
      <c r="AF59" s="14">
        <v>-0.223</v>
      </c>
      <c r="AG59" s="15">
        <v>-0.92</v>
      </c>
      <c r="AH59" s="15">
        <v>0.36</v>
      </c>
      <c r="AI59" s="15">
        <v>-0.55300000000000005</v>
      </c>
      <c r="AJ59" s="15">
        <v>8.5000000000000006E-2</v>
      </c>
      <c r="AK59" s="9">
        <v>-0.51800000000000002</v>
      </c>
      <c r="AL59" s="4">
        <v>-0.34</v>
      </c>
      <c r="AM59" s="4">
        <v>0.89900000000000002</v>
      </c>
      <c r="AN59" s="4">
        <v>-0.42699999999999999</v>
      </c>
      <c r="AO59" s="4">
        <v>-0.52600000000000002</v>
      </c>
      <c r="AP59" s="4">
        <v>0.76700000000000002</v>
      </c>
      <c r="AQ59" s="4">
        <v>0.14000000000000001</v>
      </c>
      <c r="AR59" s="4">
        <v>-0.93600000000000005</v>
      </c>
      <c r="AS59" s="4">
        <v>-1</v>
      </c>
      <c r="AT59" s="4">
        <v>-0.67100000000000004</v>
      </c>
      <c r="AU59" s="4">
        <v>-0.26900000000000002</v>
      </c>
      <c r="AV59" s="4">
        <v>0.309</v>
      </c>
      <c r="AW59" s="4">
        <v>-8.2000000000000003E-2</v>
      </c>
      <c r="AX59" s="4">
        <v>0.67800000000000005</v>
      </c>
      <c r="AY59" s="4">
        <v>0.04</v>
      </c>
      <c r="AZ59" s="4">
        <v>0.70099999999999996</v>
      </c>
      <c r="BA59" s="4">
        <v>-0.90700000000000003</v>
      </c>
      <c r="BB59" s="4">
        <v>0.98299999999999998</v>
      </c>
      <c r="BC59" s="4">
        <v>-0.14799999999999999</v>
      </c>
      <c r="BD59" s="4">
        <v>0.46800000000000003</v>
      </c>
      <c r="BE59" s="4">
        <v>0.35099999999999998</v>
      </c>
      <c r="BF59" s="4">
        <v>7.0000000000000001E-3</v>
      </c>
      <c r="BG59" s="4">
        <v>5.8000000000000003E-2</v>
      </c>
      <c r="BH59" s="4">
        <v>0.998</v>
      </c>
      <c r="BI59" s="4">
        <v>-0.35199999999999998</v>
      </c>
      <c r="BJ59" s="4">
        <v>-0.34699999999999998</v>
      </c>
      <c r="BK59" s="4">
        <v>1</v>
      </c>
      <c r="BL59" s="4">
        <v>8.5000000000000006E-2</v>
      </c>
      <c r="BM59" s="4"/>
    </row>
    <row r="60" spans="1:65" hidden="1" x14ac:dyDescent="0.3">
      <c r="A60" s="19" t="s">
        <v>118</v>
      </c>
      <c r="B60" s="53">
        <f t="shared" si="4"/>
        <v>1.7000000000000001E-2</v>
      </c>
      <c r="C60" s="53">
        <f t="shared" si="5"/>
        <v>1.0999999999999999E-2</v>
      </c>
      <c r="D60" s="53">
        <f t="shared" si="6"/>
        <v>0</v>
      </c>
      <c r="E60" s="53">
        <f t="shared" si="7"/>
        <v>6.0000000000000019E-3</v>
      </c>
      <c r="F60" s="15">
        <v>1.792</v>
      </c>
      <c r="G60" s="19">
        <v>1.504</v>
      </c>
      <c r="H60" s="24" t="s">
        <v>57</v>
      </c>
      <c r="I60" t="str">
        <f>VLOOKUP(A60,Planilha6!$BL$9:$BN$222,2,0)</f>
        <v>homebuilders</v>
      </c>
      <c r="J60" t="str">
        <f>VLOOKUP(A60,Planilha6!$BL$9:$BN$222,3,0)</f>
        <v>very_high_beta</v>
      </c>
      <c r="K60" s="2">
        <v>1.7000000000000001E-2</v>
      </c>
      <c r="L60" s="2">
        <v>1.0999999999999999E-2</v>
      </c>
      <c r="M60" s="15">
        <v>84</v>
      </c>
      <c r="N60" s="41">
        <f>VLOOKUP(A60,'Mandato Smll'!$A$2:$C$215,2,0)</f>
        <v>1.31078570053134E-2</v>
      </c>
      <c r="O60" s="59">
        <f t="shared" si="8"/>
        <v>3.8921429946866017E-3</v>
      </c>
      <c r="P60" s="42">
        <f t="shared" si="9"/>
        <v>3.8921429946866017E-3</v>
      </c>
      <c r="Q60" s="41">
        <f>VLOOKUP(A60,'Mandato Smll'!$A$2:$C$215,3,0)</f>
        <v>0</v>
      </c>
      <c r="R60" s="59">
        <f t="shared" si="10"/>
        <v>1.7000000000000001E-2</v>
      </c>
      <c r="S60" s="15">
        <v>0.34599999999999997</v>
      </c>
      <c r="T60" s="15">
        <v>0.23</v>
      </c>
      <c r="U60" s="15">
        <v>0.22800000000000001</v>
      </c>
      <c r="V60" s="15">
        <v>0.28899999999999998</v>
      </c>
      <c r="W60" s="15">
        <v>0.33700000000000002</v>
      </c>
      <c r="X60" s="15">
        <v>0.14299999999999999</v>
      </c>
      <c r="Y60" s="15">
        <v>-0.03</v>
      </c>
      <c r="Z60" s="15">
        <v>1.7000000000000001E-2</v>
      </c>
      <c r="AA60" s="15">
        <v>0.26600000000000001</v>
      </c>
      <c r="AB60" s="15">
        <v>0.26400000000000001</v>
      </c>
      <c r="AC60" s="15">
        <v>0.85899999999999999</v>
      </c>
      <c r="AD60" s="15">
        <v>0.92700000000000005</v>
      </c>
      <c r="AE60" s="15">
        <v>0.78800000000000003</v>
      </c>
      <c r="AF60" s="14">
        <v>-1.7999999999999999E-2</v>
      </c>
      <c r="AG60" s="15">
        <v>0.70199999999999996</v>
      </c>
      <c r="AH60" s="15">
        <v>0.26800000000000002</v>
      </c>
      <c r="AI60" s="15">
        <v>-0.06</v>
      </c>
      <c r="AJ60" s="15">
        <v>1</v>
      </c>
      <c r="AK60" s="9">
        <v>-0.125</v>
      </c>
      <c r="AL60" s="4">
        <v>-0.309</v>
      </c>
      <c r="AM60" s="4">
        <v>-1.0999999999999999E-2</v>
      </c>
      <c r="AN60" s="4">
        <v>-0.57999999999999996</v>
      </c>
      <c r="AO60" s="4">
        <v>0.25900000000000001</v>
      </c>
      <c r="AP60" s="4">
        <v>0.34100000000000003</v>
      </c>
      <c r="AQ60" s="4">
        <v>0.76100000000000001</v>
      </c>
      <c r="AR60" s="4">
        <v>0.51500000000000001</v>
      </c>
      <c r="AS60" s="4">
        <v>0.51100000000000001</v>
      </c>
      <c r="AT60" s="4">
        <v>0.97</v>
      </c>
      <c r="AU60" s="4">
        <v>0.16</v>
      </c>
      <c r="AV60" s="4">
        <v>-0.10100000000000001</v>
      </c>
      <c r="AW60" s="4">
        <v>4.2999999999999997E-2</v>
      </c>
      <c r="AX60" s="4">
        <v>-0.251</v>
      </c>
      <c r="AY60" s="4">
        <v>-0.123</v>
      </c>
      <c r="AZ60" s="4">
        <v>0.85699999999999998</v>
      </c>
      <c r="BA60" s="4">
        <v>0.53</v>
      </c>
      <c r="BB60" s="4">
        <v>0.375</v>
      </c>
      <c r="BC60" s="4">
        <v>-0.56399999999999995</v>
      </c>
      <c r="BD60" s="4">
        <v>-0.35399999999999998</v>
      </c>
      <c r="BE60" s="4">
        <v>-0.27300000000000002</v>
      </c>
      <c r="BF60" s="4">
        <v>-0.05</v>
      </c>
      <c r="BG60" s="4">
        <v>-1.7999999999999999E-2</v>
      </c>
      <c r="BH60" s="4">
        <v>0.122</v>
      </c>
      <c r="BI60" s="4">
        <v>-0.999</v>
      </c>
      <c r="BJ60" s="4">
        <v>0.84299999999999997</v>
      </c>
      <c r="BK60" s="4">
        <v>-0.51500000000000001</v>
      </c>
      <c r="BL60" s="4">
        <v>0.16</v>
      </c>
      <c r="BM60" s="4"/>
    </row>
    <row r="61" spans="1:65" hidden="1" x14ac:dyDescent="0.3">
      <c r="A61" s="19" t="s">
        <v>127</v>
      </c>
      <c r="B61" s="53">
        <f t="shared" si="4"/>
        <v>1.2E-2</v>
      </c>
      <c r="C61" s="53">
        <f t="shared" si="5"/>
        <v>1.2E-2</v>
      </c>
      <c r="D61" s="53">
        <f t="shared" si="6"/>
        <v>0</v>
      </c>
      <c r="E61" s="53">
        <f t="shared" si="7"/>
        <v>0</v>
      </c>
      <c r="F61" s="15">
        <v>1.7889999999999999</v>
      </c>
      <c r="G61" s="19">
        <v>2.0099999999999998</v>
      </c>
      <c r="H61" s="24" t="s">
        <v>53</v>
      </c>
      <c r="I61" t="str">
        <f>VLOOKUP(A61,Planilha6!$BL$9:$BN$222,2,0)</f>
        <v>float_financials</v>
      </c>
      <c r="J61" t="str">
        <f>VLOOKUP(A61,Planilha6!$BL$9:$BN$222,3,0)</f>
        <v>very_low_beta</v>
      </c>
      <c r="K61" s="2">
        <v>1.2E-2</v>
      </c>
      <c r="L61" s="2">
        <v>1.2E-2</v>
      </c>
      <c r="M61" s="15">
        <v>52</v>
      </c>
      <c r="N61" s="41">
        <f>VLOOKUP(A61,'Mandato Smll'!$A$2:$C$215,2,0)</f>
        <v>7.2914323263972604E-3</v>
      </c>
      <c r="O61" s="59">
        <f t="shared" si="8"/>
        <v>4.7085676736027399E-3</v>
      </c>
      <c r="P61" s="42">
        <f t="shared" si="9"/>
        <v>4.7085676736027399E-3</v>
      </c>
      <c r="Q61" s="41">
        <f>VLOOKUP(A61,'Mandato Smll'!$A$2:$C$215,3,0)</f>
        <v>8.2330390417265399E-3</v>
      </c>
      <c r="R61" s="59">
        <f t="shared" si="10"/>
        <v>3.7669609582734603E-3</v>
      </c>
      <c r="S61" s="15">
        <v>-8.2000000000000003E-2</v>
      </c>
      <c r="T61" s="15">
        <v>0.312</v>
      </c>
      <c r="U61" s="15">
        <v>-0.34</v>
      </c>
      <c r="V61" s="15">
        <v>0.123</v>
      </c>
      <c r="W61" s="15">
        <v>0.246</v>
      </c>
      <c r="X61" s="15">
        <v>0.33300000000000002</v>
      </c>
      <c r="Y61" s="15">
        <v>0.56799999999999995</v>
      </c>
      <c r="Z61" s="15">
        <v>0.32800000000000001</v>
      </c>
      <c r="AA61" s="15">
        <v>0.59599999999999997</v>
      </c>
      <c r="AB61" s="15">
        <v>0.6</v>
      </c>
      <c r="AC61" s="15">
        <v>0.69599999999999995</v>
      </c>
      <c r="AD61" s="15">
        <v>0.82199999999999995</v>
      </c>
      <c r="AE61" s="15">
        <v>0.61299999999999999</v>
      </c>
      <c r="AF61" s="14">
        <v>6.6000000000000003E-2</v>
      </c>
      <c r="AG61" s="15">
        <v>0.186</v>
      </c>
      <c r="AH61" s="15">
        <v>-0.17499999999999999</v>
      </c>
      <c r="AI61" s="15">
        <v>-0.88100000000000001</v>
      </c>
      <c r="AJ61" s="15">
        <v>-0.72799999999999998</v>
      </c>
      <c r="AK61" s="9">
        <v>-0.28199999999999997</v>
      </c>
      <c r="AL61" s="4">
        <v>-0.23</v>
      </c>
      <c r="AM61" s="4">
        <v>-0.27600000000000002</v>
      </c>
      <c r="AN61" s="4">
        <v>-0.71699999999999997</v>
      </c>
      <c r="AO61" s="4">
        <v>0.03</v>
      </c>
      <c r="AP61" s="4">
        <v>0.155</v>
      </c>
      <c r="AQ61" s="4">
        <v>0.375</v>
      </c>
      <c r="AR61" s="4">
        <v>0.55800000000000005</v>
      </c>
      <c r="AS61" s="4">
        <v>0.127</v>
      </c>
      <c r="AT61" s="4">
        <v>0.495</v>
      </c>
      <c r="AU61" s="4">
        <v>0.45700000000000002</v>
      </c>
      <c r="AV61" s="4">
        <v>0.24199999999999999</v>
      </c>
      <c r="AW61" s="4">
        <v>0.38600000000000001</v>
      </c>
      <c r="AX61" s="4">
        <v>0.78400000000000003</v>
      </c>
      <c r="AY61" s="4">
        <v>0.66800000000000004</v>
      </c>
      <c r="AZ61" s="4">
        <v>0.91300000000000003</v>
      </c>
      <c r="BA61" s="4">
        <v>0.70899999999999996</v>
      </c>
      <c r="BB61" s="4">
        <v>0.35899999999999999</v>
      </c>
      <c r="BC61" s="4">
        <v>-9.8000000000000004E-2</v>
      </c>
      <c r="BD61" s="4">
        <v>-6.5000000000000002E-2</v>
      </c>
      <c r="BE61" s="4">
        <v>-0.82</v>
      </c>
      <c r="BF61" s="4">
        <v>-0.159</v>
      </c>
      <c r="BG61" s="4">
        <v>0.61699999999999999</v>
      </c>
      <c r="BH61" s="4">
        <v>0.73199999999999998</v>
      </c>
      <c r="BI61" s="4">
        <v>-0.71699999999999997</v>
      </c>
      <c r="BJ61" s="4">
        <v>-0.48899999999999999</v>
      </c>
      <c r="BK61" s="4">
        <v>5.5E-2</v>
      </c>
      <c r="BL61" s="4">
        <v>-0.26700000000000002</v>
      </c>
      <c r="BM61" s="4"/>
    </row>
    <row r="62" spans="1:65" x14ac:dyDescent="0.3">
      <c r="A62" s="19" t="s">
        <v>115</v>
      </c>
      <c r="B62" s="53">
        <v>0</v>
      </c>
      <c r="C62" s="53">
        <f t="shared" si="5"/>
        <v>0</v>
      </c>
      <c r="D62" s="53">
        <f t="shared" si="6"/>
        <v>-0.01</v>
      </c>
      <c r="E62" s="53">
        <f t="shared" si="7"/>
        <v>0</v>
      </c>
      <c r="F62" s="15">
        <v>1.7529999999999999</v>
      </c>
      <c r="G62" s="19">
        <v>2.1240000000000001</v>
      </c>
      <c r="H62" s="24" t="s">
        <v>55</v>
      </c>
      <c r="I62" t="str">
        <f>VLOOKUP(A62,Planilha6!$BL$9:$BN$222,2,0)</f>
        <v>utilities</v>
      </c>
      <c r="J62" t="str">
        <f>VLOOKUP(A62,Planilha6!$BL$9:$BN$222,3,0)</f>
        <v>very_low_beta</v>
      </c>
      <c r="K62" s="2">
        <v>0.01</v>
      </c>
      <c r="L62" s="2">
        <v>0.01</v>
      </c>
      <c r="M62" s="15">
        <v>84</v>
      </c>
      <c r="N62" s="41">
        <f>VLOOKUP(A62,'Mandato Smll'!$A$2:$C$215,2,0)</f>
        <v>7.1446106538856496E-3</v>
      </c>
      <c r="O62" s="59">
        <f t="shared" si="8"/>
        <v>2.8553893461143506E-3</v>
      </c>
      <c r="P62" s="42">
        <f t="shared" si="9"/>
        <v>-7.1446106538856496E-3</v>
      </c>
      <c r="Q62" s="41">
        <f>VLOOKUP(A62,'Mandato Smll'!$A$2:$C$215,3,0)</f>
        <v>9.3016251727252395E-3</v>
      </c>
      <c r="R62" s="59">
        <f t="shared" si="10"/>
        <v>6.9837482727476072E-4</v>
      </c>
      <c r="S62" s="15">
        <v>-0.311</v>
      </c>
      <c r="T62" s="15">
        <v>0.57199999999999995</v>
      </c>
      <c r="U62" s="15">
        <v>-0.626</v>
      </c>
      <c r="V62" s="15">
        <v>-0.107</v>
      </c>
      <c r="W62" s="15">
        <v>0.17799999999999999</v>
      </c>
      <c r="X62" s="15">
        <v>0.183</v>
      </c>
      <c r="Y62" s="15">
        <v>0.33900000000000002</v>
      </c>
      <c r="Z62" s="15">
        <v>0.35</v>
      </c>
      <c r="AA62" s="15">
        <v>0.876</v>
      </c>
      <c r="AB62" s="15">
        <v>0.88500000000000001</v>
      </c>
      <c r="AC62" s="15">
        <v>0.67600000000000005</v>
      </c>
      <c r="AD62" s="15">
        <v>0.74</v>
      </c>
      <c r="AE62" s="15">
        <v>0.84499999999999997</v>
      </c>
      <c r="AF62" s="14">
        <v>-0.45800000000000002</v>
      </c>
      <c r="AG62" s="15">
        <v>-0.63</v>
      </c>
      <c r="AH62" s="15">
        <v>1</v>
      </c>
      <c r="AI62" s="15">
        <v>-0.92800000000000005</v>
      </c>
      <c r="AJ62" s="15">
        <v>-0.13900000000000001</v>
      </c>
      <c r="AK62" s="9">
        <v>-0.98599999999999999</v>
      </c>
      <c r="AL62" s="4">
        <v>-0.42899999999999999</v>
      </c>
      <c r="AM62" s="4">
        <v>-0.35899999999999999</v>
      </c>
      <c r="AN62" s="4">
        <v>-0.308</v>
      </c>
      <c r="AO62" s="4">
        <v>-0.45</v>
      </c>
      <c r="AP62" s="4">
        <v>0.86299999999999999</v>
      </c>
      <c r="AQ62" s="4">
        <v>0.64100000000000001</v>
      </c>
      <c r="AR62" s="4">
        <v>-0.128</v>
      </c>
      <c r="AS62" s="4">
        <v>0.34699999999999998</v>
      </c>
      <c r="AT62" s="4">
        <v>0.38500000000000001</v>
      </c>
      <c r="AU62" s="4">
        <v>0.11799999999999999</v>
      </c>
      <c r="AV62" s="4">
        <v>-0.17100000000000001</v>
      </c>
      <c r="AW62" s="4">
        <v>-7.9000000000000001E-2</v>
      </c>
      <c r="AX62" s="4">
        <v>0.82699999999999996</v>
      </c>
      <c r="AY62" s="4">
        <v>-0.71299999999999997</v>
      </c>
      <c r="AZ62" s="4">
        <v>0.98899999999999999</v>
      </c>
      <c r="BA62" s="4">
        <v>0.76300000000000001</v>
      </c>
      <c r="BB62" s="4">
        <v>1</v>
      </c>
      <c r="BC62" s="4">
        <v>-0.23300000000000001</v>
      </c>
      <c r="BD62" s="4">
        <v>-0.53200000000000003</v>
      </c>
      <c r="BE62" s="4">
        <v>0.312</v>
      </c>
      <c r="BF62" s="4">
        <v>0.36599999999999999</v>
      </c>
      <c r="BG62" s="4">
        <v>-0.29799999999999999</v>
      </c>
      <c r="BH62" s="4">
        <v>1</v>
      </c>
      <c r="BI62" s="4">
        <v>-0.752</v>
      </c>
      <c r="BJ62" s="4">
        <v>-0.70099999999999996</v>
      </c>
      <c r="BK62" s="4">
        <v>8.6999999999999994E-2</v>
      </c>
      <c r="BL62" s="4">
        <v>-0.35099999999999998</v>
      </c>
      <c r="BM62" s="4"/>
    </row>
    <row r="63" spans="1:65" hidden="1" x14ac:dyDescent="0.3">
      <c r="A63" s="19" t="s">
        <v>137</v>
      </c>
      <c r="B63" s="53">
        <f t="shared" si="4"/>
        <v>1.2E-2</v>
      </c>
      <c r="C63" s="53">
        <f t="shared" si="5"/>
        <v>0.01</v>
      </c>
      <c r="D63" s="53">
        <f t="shared" si="6"/>
        <v>0</v>
      </c>
      <c r="E63" s="53">
        <f t="shared" si="7"/>
        <v>2E-3</v>
      </c>
      <c r="F63" s="15">
        <v>1.7250000000000001</v>
      </c>
      <c r="G63" s="19">
        <v>1.2290000000000001</v>
      </c>
      <c r="H63" s="24" t="s">
        <v>57</v>
      </c>
      <c r="I63" t="str">
        <f>VLOOKUP(A63,Planilha6!$BL$9:$BN$222,2,0)</f>
        <v>education</v>
      </c>
      <c r="J63" t="str">
        <f>VLOOKUP(A63,Planilha6!$BL$9:$BN$222,3,0)</f>
        <v>neutral_beta</v>
      </c>
      <c r="K63" s="2">
        <v>1.2E-2</v>
      </c>
      <c r="L63" s="2">
        <v>0.01</v>
      </c>
      <c r="M63" s="15">
        <v>84</v>
      </c>
      <c r="N63" s="41">
        <f>VLOOKUP(A63,'Mandato Smll'!$A$2:$C$215,2,0)</f>
        <v>7.8636330091286701E-3</v>
      </c>
      <c r="O63" s="59">
        <f t="shared" si="8"/>
        <v>4.1363669908713301E-3</v>
      </c>
      <c r="P63" s="42">
        <f t="shared" si="9"/>
        <v>4.1363669908713301E-3</v>
      </c>
      <c r="Q63" s="41">
        <f>VLOOKUP(A63,'Mandato Smll'!$A$2:$C$215,3,0)</f>
        <v>0</v>
      </c>
      <c r="R63" s="59">
        <f t="shared" si="10"/>
        <v>1.2E-2</v>
      </c>
      <c r="S63" s="15">
        <v>0.72699999999999998</v>
      </c>
      <c r="T63" s="15">
        <v>0.111</v>
      </c>
      <c r="U63" s="15">
        <v>0.68300000000000005</v>
      </c>
      <c r="V63" s="15">
        <v>0.61399999999999999</v>
      </c>
      <c r="W63" s="15">
        <v>0.44800000000000001</v>
      </c>
      <c r="X63" s="15">
        <v>-2.5999999999999999E-2</v>
      </c>
      <c r="Y63" s="15">
        <v>-0.40200000000000002</v>
      </c>
      <c r="Z63" s="15">
        <v>-0.39700000000000002</v>
      </c>
      <c r="AA63" s="15">
        <v>0.24299999999999999</v>
      </c>
      <c r="AB63" s="15">
        <v>0.24399999999999999</v>
      </c>
      <c r="AC63" s="15">
        <v>0.93100000000000005</v>
      </c>
      <c r="AD63" s="15">
        <v>0.77700000000000002</v>
      </c>
      <c r="AE63" s="15">
        <v>0.78700000000000003</v>
      </c>
      <c r="AF63" s="14">
        <v>0.86499999999999999</v>
      </c>
      <c r="AG63" s="15">
        <v>0.57199999999999995</v>
      </c>
      <c r="AH63" s="15">
        <v>7.0000000000000001E-3</v>
      </c>
      <c r="AI63" s="15">
        <v>-2.8000000000000001E-2</v>
      </c>
      <c r="AJ63" s="15">
        <v>0.75800000000000001</v>
      </c>
      <c r="AK63" s="9">
        <v>1</v>
      </c>
      <c r="AL63" s="4">
        <v>0.108</v>
      </c>
      <c r="AM63" s="4">
        <v>-0.69899999999999995</v>
      </c>
      <c r="AN63" s="4">
        <v>-0.54200000000000004</v>
      </c>
      <c r="AO63" s="4">
        <v>0.53</v>
      </c>
      <c r="AP63" s="4">
        <v>0.125</v>
      </c>
      <c r="AQ63" s="4">
        <v>0.122</v>
      </c>
      <c r="AR63" s="4">
        <v>0.49</v>
      </c>
      <c r="AS63" s="4">
        <v>0.93400000000000005</v>
      </c>
      <c r="AT63" s="4">
        <v>0.441</v>
      </c>
      <c r="AU63" s="4">
        <v>0.50900000000000001</v>
      </c>
      <c r="AV63" s="4">
        <v>7.9000000000000001E-2</v>
      </c>
      <c r="AW63" s="4">
        <v>0.88700000000000001</v>
      </c>
      <c r="AX63" s="4">
        <v>-0.57099999999999995</v>
      </c>
      <c r="AY63" s="4">
        <v>-0.16400000000000001</v>
      </c>
      <c r="AZ63" s="4">
        <v>0.78100000000000003</v>
      </c>
      <c r="BA63" s="4">
        <v>0.44500000000000001</v>
      </c>
      <c r="BB63" s="4">
        <v>0.61099999999999999</v>
      </c>
      <c r="BC63" s="4">
        <v>8.5999999999999993E-2</v>
      </c>
      <c r="BD63" s="4">
        <v>-9.4E-2</v>
      </c>
      <c r="BE63" s="4">
        <v>0.93400000000000005</v>
      </c>
      <c r="BF63" s="4">
        <v>-1</v>
      </c>
      <c r="BG63" s="4">
        <v>-1</v>
      </c>
      <c r="BH63" s="4">
        <v>-0.61</v>
      </c>
      <c r="BI63" s="4">
        <v>-0.64200000000000002</v>
      </c>
      <c r="BJ63" s="4">
        <v>-0.01</v>
      </c>
      <c r="BK63" s="4">
        <v>-1E-3</v>
      </c>
      <c r="BL63" s="4">
        <v>0.55400000000000005</v>
      </c>
      <c r="BM63" s="4"/>
    </row>
    <row r="64" spans="1:65" hidden="1" x14ac:dyDescent="0.3">
      <c r="A64" s="19" t="s">
        <v>111</v>
      </c>
      <c r="B64" s="53">
        <f t="shared" si="4"/>
        <v>1.7000000000000001E-2</v>
      </c>
      <c r="C64" s="53">
        <f t="shared" si="5"/>
        <v>1.4999999999999999E-2</v>
      </c>
      <c r="D64" s="53">
        <f t="shared" si="6"/>
        <v>0</v>
      </c>
      <c r="E64" s="53">
        <f t="shared" si="7"/>
        <v>2.0000000000000018E-3</v>
      </c>
      <c r="F64" s="15">
        <v>1.641</v>
      </c>
      <c r="G64" s="19">
        <v>1.6140000000000001</v>
      </c>
      <c r="H64" s="24" t="s">
        <v>53</v>
      </c>
      <c r="I64" t="str">
        <f>VLOOKUP(A64,Planilha6!$BL$9:$BN$222,2,0)</f>
        <v>consumer_staples</v>
      </c>
      <c r="J64" t="str">
        <f>VLOOKUP(A64,Planilha6!$BL$9:$BN$222,3,0)</f>
        <v>very_high_beta</v>
      </c>
      <c r="K64" s="2">
        <v>1.7000000000000001E-2</v>
      </c>
      <c r="L64" s="2">
        <v>1.4999999999999999E-2</v>
      </c>
      <c r="M64" s="15">
        <v>84</v>
      </c>
      <c r="N64" s="41">
        <f>VLOOKUP(A64,'Mandato Smll'!$A$2:$C$215,2,0)</f>
        <v>7.4959301045983504E-3</v>
      </c>
      <c r="O64" s="59">
        <f t="shared" si="8"/>
        <v>9.5040698954016508E-3</v>
      </c>
      <c r="P64" s="42">
        <f t="shared" si="9"/>
        <v>9.5040698954016508E-3</v>
      </c>
      <c r="Q64" s="41">
        <f>VLOOKUP(A64,'Mandato Smll'!$A$2:$C$215,3,0)</f>
        <v>0</v>
      </c>
      <c r="R64" s="59">
        <f t="shared" si="10"/>
        <v>1.7000000000000001E-2</v>
      </c>
      <c r="S64" s="15">
        <v>0.30599999999999999</v>
      </c>
      <c r="T64" s="15">
        <v>0.20100000000000001</v>
      </c>
      <c r="U64" s="15">
        <v>0.23300000000000001</v>
      </c>
      <c r="V64" s="15">
        <v>0.14000000000000001</v>
      </c>
      <c r="W64" s="15">
        <v>0.223</v>
      </c>
      <c r="X64" s="15">
        <v>-6.9000000000000006E-2</v>
      </c>
      <c r="Y64" s="15">
        <v>-0.26200000000000001</v>
      </c>
      <c r="Z64" s="15">
        <v>-0.154</v>
      </c>
      <c r="AA64" s="15">
        <v>0.47299999999999998</v>
      </c>
      <c r="AB64" s="15">
        <v>0.47699999999999998</v>
      </c>
      <c r="AC64" s="15">
        <v>0.88200000000000001</v>
      </c>
      <c r="AD64" s="15">
        <v>0.91500000000000004</v>
      </c>
      <c r="AE64" s="15">
        <v>0.82299999999999995</v>
      </c>
      <c r="AF64" s="14">
        <v>-8.8999999999999996E-2</v>
      </c>
      <c r="AG64" s="15">
        <v>2.4E-2</v>
      </c>
      <c r="AH64" s="15">
        <v>1</v>
      </c>
      <c r="AI64" s="15">
        <v>0.19</v>
      </c>
      <c r="AJ64" s="15">
        <v>0.747</v>
      </c>
      <c r="AK64" s="9">
        <v>-0.51300000000000001</v>
      </c>
      <c r="AL64" s="4">
        <v>0.16200000000000001</v>
      </c>
      <c r="AM64" s="4">
        <v>-0.39700000000000002</v>
      </c>
      <c r="AN64" s="4">
        <v>0.09</v>
      </c>
      <c r="AO64" s="4">
        <v>-6.0999999999999999E-2</v>
      </c>
      <c r="AP64" s="4">
        <v>0.311</v>
      </c>
      <c r="AQ64" s="4">
        <v>0.312</v>
      </c>
      <c r="AR64" s="4">
        <v>-2.5999999999999999E-2</v>
      </c>
      <c r="AS64" s="4">
        <v>7.9000000000000001E-2</v>
      </c>
      <c r="AT64" s="4">
        <v>-0.33700000000000002</v>
      </c>
      <c r="AU64" s="4">
        <v>0.24199999999999999</v>
      </c>
      <c r="AV64" s="4">
        <v>-0.45800000000000002</v>
      </c>
      <c r="AW64" s="4">
        <v>2.1999999999999999E-2</v>
      </c>
      <c r="AX64" s="4">
        <v>0.34599999999999997</v>
      </c>
      <c r="AY64" s="4">
        <v>-0.26500000000000001</v>
      </c>
      <c r="AZ64" s="4">
        <v>0.72199999999999998</v>
      </c>
      <c r="BA64" s="4">
        <v>0.308</v>
      </c>
      <c r="BB64" s="4">
        <v>0.245</v>
      </c>
      <c r="BC64" s="4">
        <v>7.0000000000000001E-3</v>
      </c>
      <c r="BD64" s="4">
        <v>9.5000000000000001E-2</v>
      </c>
      <c r="BE64" s="4">
        <v>0.28599999999999998</v>
      </c>
      <c r="BF64" s="4">
        <v>-0.46800000000000003</v>
      </c>
      <c r="BG64" s="4">
        <v>-0.23899999999999999</v>
      </c>
      <c r="BH64" s="4">
        <v>5.2999999999999999E-2</v>
      </c>
      <c r="BI64" s="4">
        <v>-5.2999999999999999E-2</v>
      </c>
      <c r="BJ64" s="4">
        <v>0.55000000000000004</v>
      </c>
      <c r="BK64" s="4">
        <v>0.56499999999999995</v>
      </c>
      <c r="BL64" s="4">
        <v>0.47599999999999998</v>
      </c>
      <c r="BM64" s="4"/>
    </row>
    <row r="65" spans="1:65" hidden="1" x14ac:dyDescent="0.3">
      <c r="A65" s="19" t="s">
        <v>75</v>
      </c>
      <c r="B65" s="53">
        <f t="shared" si="4"/>
        <v>1.4E-2</v>
      </c>
      <c r="C65" s="53">
        <f t="shared" si="5"/>
        <v>1.4E-2</v>
      </c>
      <c r="D65" s="53">
        <f t="shared" si="6"/>
        <v>0</v>
      </c>
      <c r="E65" s="53">
        <f t="shared" si="7"/>
        <v>0</v>
      </c>
      <c r="F65" s="15">
        <v>1.6180000000000001</v>
      </c>
      <c r="G65" s="19">
        <v>1.2170000000000001</v>
      </c>
      <c r="H65" s="24" t="s">
        <v>55</v>
      </c>
      <c r="I65" t="str">
        <f>VLOOKUP(A65,Planilha6!$BL$9:$BN$222,2,0)</f>
        <v>real_estate</v>
      </c>
      <c r="J65" t="str">
        <f>VLOOKUP(A65,Planilha6!$BL$9:$BN$222,3,0)</f>
        <v>very_high_beta</v>
      </c>
      <c r="K65" s="2">
        <v>1.4E-2</v>
      </c>
      <c r="L65" s="2">
        <v>1.4E-2</v>
      </c>
      <c r="M65" s="15">
        <v>84</v>
      </c>
      <c r="N65" s="41">
        <f>VLOOKUP(A65,'Mandato Smll'!$A$2:$C$215,2,0)</f>
        <v>6.5926573871166001E-3</v>
      </c>
      <c r="O65" s="59">
        <f t="shared" si="8"/>
        <v>7.4073426128834002E-3</v>
      </c>
      <c r="P65" s="42">
        <f t="shared" si="9"/>
        <v>7.4073426128834002E-3</v>
      </c>
      <c r="Q65" s="41">
        <f>VLOOKUP(A65,'Mandato Smll'!$A$2:$C$215,3,0)</f>
        <v>0</v>
      </c>
      <c r="R65" s="59">
        <f t="shared" si="10"/>
        <v>1.4E-2</v>
      </c>
      <c r="S65" s="15">
        <v>0.375</v>
      </c>
      <c r="T65" s="15">
        <v>-0.26</v>
      </c>
      <c r="U65" s="15">
        <v>0.44</v>
      </c>
      <c r="V65" s="15">
        <v>3.5000000000000003E-2</v>
      </c>
      <c r="W65" s="15">
        <v>1.4999999999999999E-2</v>
      </c>
      <c r="X65" s="15">
        <v>6.3E-2</v>
      </c>
      <c r="Y65" s="15">
        <v>4.2000000000000003E-2</v>
      </c>
      <c r="Z65" s="15">
        <v>-0.22900000000000001</v>
      </c>
      <c r="AA65" s="15">
        <v>0.59399999999999997</v>
      </c>
      <c r="AB65" s="15">
        <v>0.59399999999999997</v>
      </c>
      <c r="AC65" s="15">
        <v>0.70899999999999996</v>
      </c>
      <c r="AD65" s="15">
        <v>0.95399999999999996</v>
      </c>
      <c r="AE65" s="15">
        <v>0.71</v>
      </c>
      <c r="AF65" s="14">
        <v>0.33300000000000002</v>
      </c>
      <c r="AG65" s="15">
        <v>0.59299999999999997</v>
      </c>
      <c r="AH65" s="15">
        <v>-8.0000000000000002E-3</v>
      </c>
      <c r="AI65" s="15">
        <v>1</v>
      </c>
      <c r="AJ65" s="15">
        <v>-4.2999999999999997E-2</v>
      </c>
      <c r="AK65" s="9">
        <v>-0.32500000000000001</v>
      </c>
      <c r="AL65" s="4">
        <v>0.23100000000000001</v>
      </c>
      <c r="AM65" s="4">
        <v>-1.0999999999999999E-2</v>
      </c>
      <c r="AN65" s="4">
        <v>1</v>
      </c>
      <c r="AO65" s="4">
        <v>0.497</v>
      </c>
      <c r="AP65" s="4">
        <v>-0.19400000000000001</v>
      </c>
      <c r="AQ65" s="4">
        <v>-0.72599999999999998</v>
      </c>
      <c r="AR65" s="4">
        <v>-0.39900000000000002</v>
      </c>
      <c r="AS65" s="4">
        <v>0.121</v>
      </c>
      <c r="AT65" s="4">
        <v>0.38200000000000001</v>
      </c>
      <c r="AU65" s="4">
        <v>-6.5000000000000002E-2</v>
      </c>
      <c r="AV65" s="4">
        <v>8.2000000000000003E-2</v>
      </c>
      <c r="AW65" s="4">
        <v>-0.22900000000000001</v>
      </c>
      <c r="AX65" s="4">
        <v>2E-3</v>
      </c>
      <c r="AY65" s="4">
        <v>-0.79400000000000004</v>
      </c>
      <c r="AZ65" s="4">
        <v>-0.11700000000000001</v>
      </c>
      <c r="BA65" s="4">
        <v>-0.38100000000000001</v>
      </c>
      <c r="BB65" s="4">
        <v>0.85499999999999998</v>
      </c>
      <c r="BC65" s="4">
        <v>-8.4000000000000005E-2</v>
      </c>
      <c r="BD65" s="4">
        <v>0.122</v>
      </c>
      <c r="BE65" s="4">
        <v>9.9000000000000005E-2</v>
      </c>
      <c r="BF65" s="4">
        <v>-0.36699999999999999</v>
      </c>
      <c r="BG65" s="4">
        <v>0.28799999999999998</v>
      </c>
      <c r="BH65" s="4">
        <v>0.14199999999999999</v>
      </c>
      <c r="BI65" s="4">
        <v>0.16400000000000001</v>
      </c>
      <c r="BJ65" s="4">
        <v>0.8</v>
      </c>
      <c r="BK65" s="4">
        <v>0.61299999999999999</v>
      </c>
      <c r="BL65" s="4">
        <v>0.96</v>
      </c>
      <c r="BM65" s="4"/>
    </row>
    <row r="66" spans="1:65" x14ac:dyDescent="0.3">
      <c r="A66" s="19" t="s">
        <v>110</v>
      </c>
      <c r="B66" s="53">
        <v>0</v>
      </c>
      <c r="C66" s="53">
        <f t="shared" si="5"/>
        <v>0</v>
      </c>
      <c r="D66" s="53">
        <f t="shared" si="6"/>
        <v>-2.1000000000000001E-2</v>
      </c>
      <c r="E66" s="53">
        <f t="shared" si="7"/>
        <v>0</v>
      </c>
      <c r="F66" s="15">
        <v>1.5840000000000001</v>
      </c>
      <c r="G66" s="19">
        <v>2.153</v>
      </c>
      <c r="H66" s="24" t="s">
        <v>57</v>
      </c>
      <c r="I66" t="str">
        <f>VLOOKUP(A66,Planilha6!$BL$9:$BN$222,2,0)</f>
        <v>banks</v>
      </c>
      <c r="J66" t="str">
        <f>VLOOKUP(A66,Planilha6!$BL$9:$BN$222,3,0)</f>
        <v>neutral_beta</v>
      </c>
      <c r="K66" s="2">
        <v>2.1000000000000001E-2</v>
      </c>
      <c r="L66" s="2">
        <v>2.1000000000000001E-2</v>
      </c>
      <c r="M66" s="15">
        <v>84</v>
      </c>
      <c r="N66" s="41">
        <f>VLOOKUP(A66,'Mandato Smll'!$A$2:$C$215,2,0)</f>
        <v>6.4548488840010503E-3</v>
      </c>
      <c r="O66" s="59">
        <f t="shared" si="8"/>
        <v>1.4545151115998951E-2</v>
      </c>
      <c r="P66" s="42">
        <f t="shared" si="9"/>
        <v>-6.4548488840010503E-3</v>
      </c>
      <c r="Q66" s="41">
        <f>VLOOKUP(A66,'Mandato Smll'!$A$2:$C$215,3,0)</f>
        <v>1.12899499827197E-2</v>
      </c>
      <c r="R66" s="59">
        <f t="shared" si="10"/>
        <v>9.7100500172803018E-3</v>
      </c>
      <c r="S66" s="15">
        <v>-0.40500000000000003</v>
      </c>
      <c r="T66" s="15">
        <v>0.42399999999999999</v>
      </c>
      <c r="U66" s="15">
        <v>-0.73399999999999999</v>
      </c>
      <c r="V66" s="15">
        <v>-3.4000000000000002E-2</v>
      </c>
      <c r="W66" s="15">
        <v>0.09</v>
      </c>
      <c r="X66" s="15">
        <v>2.7E-2</v>
      </c>
      <c r="Y66" s="15">
        <v>0.19</v>
      </c>
      <c r="Z66" s="15">
        <v>0.33500000000000002</v>
      </c>
      <c r="AA66" s="15">
        <v>0.86699999999999999</v>
      </c>
      <c r="AB66" s="15">
        <v>0.875</v>
      </c>
      <c r="AC66" s="15">
        <v>0.68200000000000005</v>
      </c>
      <c r="AD66" s="15">
        <v>0.77500000000000002</v>
      </c>
      <c r="AE66" s="15">
        <v>0.77700000000000002</v>
      </c>
      <c r="AF66" s="14">
        <v>-0.58299999999999996</v>
      </c>
      <c r="AG66" s="15">
        <v>4.2000000000000003E-2</v>
      </c>
      <c r="AH66" s="15">
        <v>0.94399999999999995</v>
      </c>
      <c r="AI66" s="15">
        <v>-0.96299999999999997</v>
      </c>
      <c r="AJ66" s="15">
        <v>-0.60299999999999998</v>
      </c>
      <c r="AK66" s="9">
        <v>-0.96699999999999997</v>
      </c>
      <c r="AL66" s="4">
        <v>-0.19400000000000001</v>
      </c>
      <c r="AM66" s="4">
        <v>9.8000000000000004E-2</v>
      </c>
      <c r="AN66" s="4">
        <v>-0.54800000000000004</v>
      </c>
      <c r="AO66" s="4">
        <v>-0.309</v>
      </c>
      <c r="AP66" s="4">
        <v>0.753</v>
      </c>
      <c r="AQ66" s="4">
        <v>0.80700000000000005</v>
      </c>
      <c r="AR66" s="4">
        <v>0.27400000000000002</v>
      </c>
      <c r="AS66" s="4">
        <v>0.11899999999999999</v>
      </c>
      <c r="AT66" s="4">
        <v>-6.3E-2</v>
      </c>
      <c r="AU66" s="4">
        <v>5.1999999999999998E-2</v>
      </c>
      <c r="AV66" s="4">
        <v>-0.185</v>
      </c>
      <c r="AW66" s="4">
        <v>-0.18099999999999999</v>
      </c>
      <c r="AX66" s="4">
        <v>0.48099999999999998</v>
      </c>
      <c r="AY66" s="4">
        <v>-0.53500000000000003</v>
      </c>
      <c r="AZ66" s="4">
        <v>0.89300000000000002</v>
      </c>
      <c r="BA66" s="4">
        <v>0.36</v>
      </c>
      <c r="BB66" s="4">
        <v>-0.26700000000000002</v>
      </c>
      <c r="BC66" s="4">
        <v>-0.24199999999999999</v>
      </c>
      <c r="BD66" s="4">
        <v>-0.24199999999999999</v>
      </c>
      <c r="BE66" s="4">
        <v>0.39700000000000002</v>
      </c>
      <c r="BF66" s="4">
        <v>-0.28399999999999997</v>
      </c>
      <c r="BG66" s="4">
        <v>0.13100000000000001</v>
      </c>
      <c r="BH66" s="4">
        <v>0.83399999999999996</v>
      </c>
      <c r="BI66" s="4">
        <v>-0.82399999999999995</v>
      </c>
      <c r="BJ66" s="4">
        <v>-5.7000000000000002E-2</v>
      </c>
      <c r="BK66" s="4">
        <v>0.35099999999999998</v>
      </c>
      <c r="BL66" s="4">
        <v>-0.92300000000000004</v>
      </c>
      <c r="BM66" s="4"/>
    </row>
    <row r="67" spans="1:65" hidden="1" x14ac:dyDescent="0.3">
      <c r="A67" s="19" t="s">
        <v>95</v>
      </c>
      <c r="B67" s="53">
        <f t="shared" si="4"/>
        <v>1.2E-2</v>
      </c>
      <c r="C67" s="53">
        <f t="shared" si="5"/>
        <v>1.2E-2</v>
      </c>
      <c r="D67" s="53">
        <f t="shared" si="6"/>
        <v>0</v>
      </c>
      <c r="E67" s="53">
        <f t="shared" si="7"/>
        <v>0</v>
      </c>
      <c r="F67" s="15">
        <v>1.5409999999999999</v>
      </c>
      <c r="G67" s="19">
        <v>1.9890000000000001</v>
      </c>
      <c r="H67" s="24" t="s">
        <v>53</v>
      </c>
      <c r="I67" t="str">
        <f>VLOOKUP(A67,Planilha6!$BL$9:$BN$222,2,0)</f>
        <v>float_financials</v>
      </c>
      <c r="J67" t="str">
        <f>VLOOKUP(A67,Planilha6!$BL$9:$BN$222,3,0)</f>
        <v>very_low_beta</v>
      </c>
      <c r="K67" s="2">
        <v>1.2E-2</v>
      </c>
      <c r="L67" s="2">
        <v>1.2E-2</v>
      </c>
      <c r="M67" s="15">
        <v>30</v>
      </c>
      <c r="N67" s="41">
        <f>VLOOKUP(A67,'Mandato Smll'!$A$2:$C$215,2,0)</f>
        <v>6.2813208431310302E-3</v>
      </c>
      <c r="O67" s="59">
        <f t="shared" si="8"/>
        <v>5.71867915686897E-3</v>
      </c>
      <c r="P67" s="42">
        <f t="shared" si="9"/>
        <v>5.71867915686897E-3</v>
      </c>
      <c r="Q67" s="41">
        <f>VLOOKUP(A67,'Mandato Smll'!$A$2:$C$215,3,0)</f>
        <v>7.9390295750858802E-3</v>
      </c>
      <c r="R67" s="59">
        <f t="shared" si="10"/>
        <v>4.0609704249141201E-3</v>
      </c>
      <c r="S67" s="15">
        <v>-0.54</v>
      </c>
      <c r="T67" s="15">
        <v>-1.2999999999999999E-2</v>
      </c>
      <c r="U67" s="15">
        <v>-0.81799999999999995</v>
      </c>
      <c r="V67" s="15">
        <v>4.2000000000000003E-2</v>
      </c>
      <c r="W67" s="15">
        <v>-0.03</v>
      </c>
      <c r="X67" s="15">
        <v>0.25600000000000001</v>
      </c>
      <c r="Y67" s="15">
        <v>0.85399999999999998</v>
      </c>
      <c r="Z67" s="15">
        <v>0.57999999999999996</v>
      </c>
      <c r="AA67" s="15">
        <v>0.57299999999999995</v>
      </c>
      <c r="AB67" s="15">
        <v>0.58199999999999996</v>
      </c>
      <c r="AC67" s="15">
        <v>0.71099999999999997</v>
      </c>
      <c r="AD67" s="15">
        <v>0.76700000000000002</v>
      </c>
      <c r="AE67" s="15">
        <v>0.48</v>
      </c>
      <c r="AF67" s="14">
        <v>0.155</v>
      </c>
      <c r="AG67" s="15">
        <v>0.75</v>
      </c>
      <c r="AH67" s="15">
        <v>-0.14099999999999999</v>
      </c>
      <c r="AI67" s="15">
        <v>-0.80600000000000005</v>
      </c>
      <c r="AJ67" s="15">
        <v>-0.84699999999999998</v>
      </c>
      <c r="AK67" s="9">
        <v>-0.61199999999999999</v>
      </c>
      <c r="AL67" s="4">
        <v>-0.27700000000000002</v>
      </c>
      <c r="AM67" s="4">
        <v>0.61599999999999999</v>
      </c>
      <c r="AN67" s="4">
        <v>-0.94799999999999995</v>
      </c>
      <c r="AO67" s="4">
        <v>0.374</v>
      </c>
      <c r="AP67" s="4">
        <v>0.22900000000000001</v>
      </c>
      <c r="AQ67" s="4">
        <v>0.35599999999999998</v>
      </c>
      <c r="AR67" s="4">
        <v>0.17199999999999999</v>
      </c>
      <c r="AS67" s="4">
        <v>5.1999999999999998E-2</v>
      </c>
      <c r="AT67" s="4">
        <v>-0.33100000000000002</v>
      </c>
      <c r="AU67" s="4">
        <v>0.66900000000000004</v>
      </c>
      <c r="AV67" s="4">
        <v>0.36499999999999999</v>
      </c>
      <c r="AW67" s="4">
        <v>-0.27900000000000003</v>
      </c>
      <c r="AX67" s="4">
        <v>0.93</v>
      </c>
      <c r="AY67" s="4">
        <v>0.371</v>
      </c>
      <c r="AZ67" s="4">
        <v>0.83399999999999996</v>
      </c>
      <c r="BA67" s="4">
        <v>-0.92700000000000005</v>
      </c>
      <c r="BB67" s="4">
        <v>-0.53200000000000003</v>
      </c>
      <c r="BC67" s="4">
        <v>-6.6000000000000003E-2</v>
      </c>
      <c r="BD67" s="4">
        <v>-6.6000000000000003E-2</v>
      </c>
      <c r="BE67" s="4">
        <v>-0.99299999999999999</v>
      </c>
      <c r="BF67" s="4">
        <v>0.44400000000000001</v>
      </c>
      <c r="BG67" s="4">
        <v>0.20799999999999999</v>
      </c>
      <c r="BH67" s="4">
        <v>1</v>
      </c>
      <c r="BI67" s="4">
        <v>-0.45900000000000002</v>
      </c>
      <c r="BJ67" s="4">
        <v>-0.59199999999999997</v>
      </c>
      <c r="BK67" s="4">
        <v>-9.7000000000000003E-2</v>
      </c>
      <c r="BL67" s="4">
        <v>-0.57499999999999996</v>
      </c>
      <c r="BM67" s="4"/>
    </row>
    <row r="68" spans="1:65" hidden="1" x14ac:dyDescent="0.3">
      <c r="A68" s="19" t="s">
        <v>108</v>
      </c>
      <c r="B68" s="53">
        <f t="shared" si="4"/>
        <v>1.6E-2</v>
      </c>
      <c r="C68" s="53">
        <f t="shared" si="5"/>
        <v>1.6E-2</v>
      </c>
      <c r="D68" s="53">
        <f t="shared" si="6"/>
        <v>0</v>
      </c>
      <c r="E68" s="53">
        <f t="shared" si="7"/>
        <v>0</v>
      </c>
      <c r="F68" s="15">
        <v>1.478</v>
      </c>
      <c r="G68" s="19">
        <v>1.988</v>
      </c>
      <c r="H68" s="24" t="s">
        <v>55</v>
      </c>
      <c r="I68" t="str">
        <f>VLOOKUP(A68,Planilha6!$BL$9:$BN$222,2,0)</f>
        <v>utilities</v>
      </c>
      <c r="J68" t="str">
        <f>VLOOKUP(A68,Planilha6!$BL$9:$BN$222,3,0)</f>
        <v>low_beta</v>
      </c>
      <c r="K68" s="2">
        <v>1.6E-2</v>
      </c>
      <c r="L68" s="2">
        <v>1.6E-2</v>
      </c>
      <c r="M68" s="15">
        <v>84</v>
      </c>
      <c r="N68" s="41">
        <f>VLOOKUP(A68,'Mandato Smll'!$A$2:$C$215,2,0)</f>
        <v>6.0246696210989803E-3</v>
      </c>
      <c r="O68" s="59">
        <f t="shared" si="8"/>
        <v>9.9753303789010192E-3</v>
      </c>
      <c r="P68" s="42">
        <f t="shared" si="9"/>
        <v>9.9753303789010192E-3</v>
      </c>
      <c r="Q68" s="41">
        <f>VLOOKUP(A68,'Mandato Smll'!$A$2:$C$215,3,0)</f>
        <v>8.9020624436739002E-3</v>
      </c>
      <c r="R68" s="59">
        <f t="shared" si="10"/>
        <v>7.0979375563261001E-3</v>
      </c>
      <c r="S68" s="15">
        <v>-0.58399999999999996</v>
      </c>
      <c r="T68" s="15">
        <v>0.21099999999999999</v>
      </c>
      <c r="U68" s="15">
        <v>-0.62</v>
      </c>
      <c r="V68" s="15">
        <v>-0.39100000000000001</v>
      </c>
      <c r="W68" s="15">
        <v>-8.7999999999999995E-2</v>
      </c>
      <c r="X68" s="15">
        <v>5.6000000000000001E-2</v>
      </c>
      <c r="Y68" s="15">
        <v>0.58199999999999996</v>
      </c>
      <c r="Z68" s="15">
        <v>0.39100000000000001</v>
      </c>
      <c r="AA68" s="15">
        <v>0.90400000000000003</v>
      </c>
      <c r="AB68" s="15">
        <v>0.90800000000000003</v>
      </c>
      <c r="AC68" s="15">
        <v>0.65100000000000002</v>
      </c>
      <c r="AD68" s="15">
        <v>0.71099999999999997</v>
      </c>
      <c r="AE68" s="15">
        <v>0.64900000000000002</v>
      </c>
      <c r="AF68" s="14">
        <v>-0.54300000000000004</v>
      </c>
      <c r="AG68" s="15">
        <v>-0.67500000000000004</v>
      </c>
      <c r="AH68" s="15">
        <v>2E-3</v>
      </c>
      <c r="AI68" s="15">
        <v>-0.79</v>
      </c>
      <c r="AJ68" s="15">
        <v>-0.34200000000000003</v>
      </c>
      <c r="AK68" s="9">
        <v>-0.88800000000000001</v>
      </c>
      <c r="AL68" s="4">
        <v>-0.26900000000000002</v>
      </c>
      <c r="AM68" s="4">
        <v>0.155</v>
      </c>
      <c r="AN68" s="4">
        <v>-0.59299999999999997</v>
      </c>
      <c r="AO68" s="4">
        <v>-0.435</v>
      </c>
      <c r="AP68" s="4">
        <v>0.373</v>
      </c>
      <c r="AQ68" s="4">
        <v>0.45200000000000001</v>
      </c>
      <c r="AR68" s="4">
        <v>-0.16600000000000001</v>
      </c>
      <c r="AS68" s="4">
        <v>-0.14199999999999999</v>
      </c>
      <c r="AT68" s="4">
        <v>0.17499999999999999</v>
      </c>
      <c r="AU68" s="4">
        <v>0.191</v>
      </c>
      <c r="AV68" s="4">
        <v>0.503</v>
      </c>
      <c r="AW68" s="4">
        <v>-0.157</v>
      </c>
      <c r="AX68" s="4">
        <v>0.92500000000000004</v>
      </c>
      <c r="AY68" s="4">
        <v>-0.92800000000000005</v>
      </c>
      <c r="AZ68" s="4">
        <v>0.495</v>
      </c>
      <c r="BA68" s="4">
        <v>7.2999999999999995E-2</v>
      </c>
      <c r="BB68" s="4">
        <v>-2E-3</v>
      </c>
      <c r="BC68" s="4">
        <v>-0.41599999999999998</v>
      </c>
      <c r="BD68" s="4">
        <v>-0.52100000000000002</v>
      </c>
      <c r="BE68" s="4">
        <v>0.18</v>
      </c>
      <c r="BF68" s="4">
        <v>7.0000000000000007E-2</v>
      </c>
      <c r="BG68" s="4">
        <v>-0.189</v>
      </c>
      <c r="BH68" s="4">
        <v>0.93100000000000005</v>
      </c>
      <c r="BI68" s="4">
        <v>-0.435</v>
      </c>
      <c r="BJ68" s="4">
        <v>-0.27400000000000002</v>
      </c>
      <c r="BK68" s="4">
        <v>1</v>
      </c>
      <c r="BL68" s="4">
        <v>4.3999999999999997E-2</v>
      </c>
      <c r="BM68" s="4"/>
    </row>
    <row r="69" spans="1:65" hidden="1" x14ac:dyDescent="0.3">
      <c r="A69" s="19" t="s">
        <v>104</v>
      </c>
      <c r="B69" s="53">
        <f t="shared" si="4"/>
        <v>1.6E-2</v>
      </c>
      <c r="C69" s="53">
        <f t="shared" si="5"/>
        <v>1.6E-2</v>
      </c>
      <c r="D69" s="53">
        <f t="shared" si="6"/>
        <v>0</v>
      </c>
      <c r="E69" s="53">
        <f t="shared" si="7"/>
        <v>0</v>
      </c>
      <c r="F69" s="15">
        <v>1.4590000000000001</v>
      </c>
      <c r="G69" s="19">
        <v>1.984</v>
      </c>
      <c r="H69" s="24" t="s">
        <v>55</v>
      </c>
      <c r="I69" t="str">
        <f>VLOOKUP(A69,Planilha6!$BL$9:$BN$222,2,0)</f>
        <v>utilities</v>
      </c>
      <c r="J69" t="str">
        <f>VLOOKUP(A69,Planilha6!$BL$9:$BN$222,3,0)</f>
        <v>low_beta</v>
      </c>
      <c r="K69" s="2">
        <v>1.6E-2</v>
      </c>
      <c r="L69" s="2">
        <v>1.6E-2</v>
      </c>
      <c r="M69" s="15">
        <v>84</v>
      </c>
      <c r="N69" s="41">
        <f>VLOOKUP(A69,'Mandato Smll'!$A$2:$C$215,2,0)</f>
        <v>5.9479943257425699E-3</v>
      </c>
      <c r="O69" s="59">
        <f t="shared" si="8"/>
        <v>1.005200567425743E-2</v>
      </c>
      <c r="P69" s="42">
        <f t="shared" si="9"/>
        <v>1.005200567425743E-2</v>
      </c>
      <c r="Q69" s="41">
        <f>VLOOKUP(A69,'Mandato Smll'!$A$2:$C$215,3,0)</f>
        <v>9.3259146942408899E-3</v>
      </c>
      <c r="R69" s="59">
        <f t="shared" si="10"/>
        <v>6.6740853057591105E-3</v>
      </c>
      <c r="S69" s="15">
        <v>-0.55600000000000005</v>
      </c>
      <c r="T69" s="15">
        <v>0.219</v>
      </c>
      <c r="U69" s="15">
        <v>-0.63600000000000001</v>
      </c>
      <c r="V69" s="15">
        <v>-0.36</v>
      </c>
      <c r="W69" s="15">
        <v>-8.7999999999999995E-2</v>
      </c>
      <c r="X69" s="15">
        <v>4.2999999999999997E-2</v>
      </c>
      <c r="Y69" s="15">
        <v>0.54500000000000004</v>
      </c>
      <c r="Z69" s="15">
        <v>0.374</v>
      </c>
      <c r="AA69" s="15">
        <v>0.85199999999999998</v>
      </c>
      <c r="AB69" s="15">
        <v>0.85599999999999998</v>
      </c>
      <c r="AC69" s="15">
        <v>0.64200000000000002</v>
      </c>
      <c r="AD69" s="15">
        <v>0.65200000000000002</v>
      </c>
      <c r="AE69" s="15">
        <v>0.66100000000000003</v>
      </c>
      <c r="AF69" s="14">
        <v>-0.54800000000000004</v>
      </c>
      <c r="AG69" s="15">
        <v>-0.68</v>
      </c>
      <c r="AH69" s="15">
        <v>9.5000000000000001E-2</v>
      </c>
      <c r="AI69" s="15">
        <v>-0.79300000000000004</v>
      </c>
      <c r="AJ69" s="15">
        <v>-0.28199999999999997</v>
      </c>
      <c r="AK69" s="9">
        <v>-0.88800000000000001</v>
      </c>
      <c r="AL69" s="4">
        <v>-0.26900000000000002</v>
      </c>
      <c r="AM69" s="4">
        <v>0.14499999999999999</v>
      </c>
      <c r="AN69" s="4">
        <v>-0.59299999999999997</v>
      </c>
      <c r="AO69" s="4">
        <v>-0.44</v>
      </c>
      <c r="AP69" s="4">
        <v>0.41699999999999998</v>
      </c>
      <c r="AQ69" s="4">
        <v>0.49199999999999999</v>
      </c>
      <c r="AR69" s="4">
        <v>-0.16600000000000001</v>
      </c>
      <c r="AS69" s="4">
        <v>-0.14199999999999999</v>
      </c>
      <c r="AT69" s="4">
        <v>0.17499999999999999</v>
      </c>
      <c r="AU69" s="4">
        <v>0.191</v>
      </c>
      <c r="AV69" s="4">
        <v>0.503</v>
      </c>
      <c r="AW69" s="4">
        <v>-0.157</v>
      </c>
      <c r="AX69" s="4">
        <v>0.91700000000000004</v>
      </c>
      <c r="AY69" s="4">
        <v>-0.92800000000000005</v>
      </c>
      <c r="AZ69" s="4">
        <v>0.495</v>
      </c>
      <c r="BA69" s="4">
        <v>4.0000000000000001E-3</v>
      </c>
      <c r="BB69" s="4">
        <v>0.26100000000000001</v>
      </c>
      <c r="BC69" s="4">
        <v>-0.41599999999999998</v>
      </c>
      <c r="BD69" s="4">
        <v>-0.52100000000000002</v>
      </c>
      <c r="BE69" s="4">
        <v>0.188</v>
      </c>
      <c r="BF69" s="4">
        <v>7.4999999999999997E-2</v>
      </c>
      <c r="BG69" s="4">
        <v>-0.58799999999999997</v>
      </c>
      <c r="BH69" s="4">
        <v>0.82299999999999995</v>
      </c>
      <c r="BI69" s="4">
        <v>-0.44400000000000001</v>
      </c>
      <c r="BJ69" s="4">
        <v>-0.247</v>
      </c>
      <c r="BK69" s="4">
        <v>0.90300000000000002</v>
      </c>
      <c r="BL69" s="4">
        <v>4.3999999999999997E-2</v>
      </c>
      <c r="BM69" s="4"/>
    </row>
    <row r="70" spans="1:65" hidden="1" x14ac:dyDescent="0.3">
      <c r="A70" s="19" t="s">
        <v>232</v>
      </c>
      <c r="B70" s="53">
        <f t="shared" si="4"/>
        <v>1.4999999999999999E-2</v>
      </c>
      <c r="C70" s="53">
        <f t="shared" si="5"/>
        <v>6.9999999999999993E-3</v>
      </c>
      <c r="D70" s="53">
        <f t="shared" si="6"/>
        <v>0</v>
      </c>
      <c r="E70" s="53">
        <f t="shared" si="7"/>
        <v>8.0000000000000002E-3</v>
      </c>
      <c r="F70" s="15">
        <v>1.4379999999999999</v>
      </c>
      <c r="G70" s="19">
        <v>1.218</v>
      </c>
      <c r="H70" s="24" t="s">
        <v>57</v>
      </c>
      <c r="I70" t="str">
        <f>VLOOKUP(A70,Planilha6!$BL$9:$BN$222,2,0)</f>
        <v>apparel</v>
      </c>
      <c r="J70" t="str">
        <f>VLOOKUP(A70,Planilha6!$BL$9:$BN$222,3,0)</f>
        <v>neutral_beta</v>
      </c>
      <c r="K70" s="2">
        <v>1.4999999999999999E-2</v>
      </c>
      <c r="L70" s="2">
        <v>7.0000000000000001E-3</v>
      </c>
      <c r="M70" s="15">
        <v>77</v>
      </c>
      <c r="N70" s="41">
        <f>VLOOKUP(A70,'Mandato Smll'!$A$2:$C$215,2,0)</f>
        <v>1.3524977395769E-2</v>
      </c>
      <c r="O70" s="59">
        <f t="shared" si="8"/>
        <v>1.4750226042309997E-3</v>
      </c>
      <c r="P70" s="42">
        <f t="shared" si="9"/>
        <v>1.4750226042309997E-3</v>
      </c>
      <c r="Q70" s="41">
        <f>VLOOKUP(A70,'Mandato Smll'!$A$2:$C$215,3,0)</f>
        <v>0</v>
      </c>
      <c r="R70" s="59">
        <f t="shared" si="10"/>
        <v>1.4999999999999999E-2</v>
      </c>
      <c r="S70" s="15">
        <v>9.0999999999999998E-2</v>
      </c>
      <c r="T70" s="15">
        <v>-6.8000000000000005E-2</v>
      </c>
      <c r="U70" s="15">
        <v>-6.9000000000000006E-2</v>
      </c>
      <c r="V70" s="15">
        <v>7.6999999999999999E-2</v>
      </c>
      <c r="W70" s="15">
        <v>5.8000000000000003E-2</v>
      </c>
      <c r="X70" s="15">
        <v>1.4999999999999999E-2</v>
      </c>
      <c r="Y70" s="15">
        <v>-2.1999999999999999E-2</v>
      </c>
      <c r="Z70" s="15">
        <v>-8.1000000000000003E-2</v>
      </c>
      <c r="AA70" s="15">
        <v>0.52</v>
      </c>
      <c r="AB70" s="15">
        <v>0.52200000000000002</v>
      </c>
      <c r="AC70" s="15">
        <v>0.78300000000000003</v>
      </c>
      <c r="AD70" s="15">
        <v>0.91100000000000003</v>
      </c>
      <c r="AE70" s="15">
        <v>0.59499999999999997</v>
      </c>
      <c r="AF70" s="14">
        <v>0.29599999999999999</v>
      </c>
      <c r="AG70" s="15">
        <v>0.434</v>
      </c>
      <c r="AH70" s="15">
        <v>0.38200000000000001</v>
      </c>
      <c r="AI70" s="15">
        <v>8.9999999999999993E-3</v>
      </c>
      <c r="AJ70" s="15">
        <v>3.0000000000000001E-3</v>
      </c>
      <c r="AK70" s="9">
        <v>-0.255</v>
      </c>
      <c r="AL70" s="4">
        <v>0.17799999999999999</v>
      </c>
      <c r="AM70" s="4">
        <v>-4.4999999999999998E-2</v>
      </c>
      <c r="AN70" s="4">
        <v>0.33500000000000002</v>
      </c>
      <c r="AO70" s="4">
        <v>1</v>
      </c>
      <c r="AP70" s="4">
        <v>-0.26500000000000001</v>
      </c>
      <c r="AQ70" s="4">
        <v>0.17199999999999999</v>
      </c>
      <c r="AR70" s="4">
        <v>-5.0000000000000001E-3</v>
      </c>
      <c r="AS70" s="4">
        <v>0.76100000000000001</v>
      </c>
      <c r="AT70" s="4">
        <v>0.312</v>
      </c>
      <c r="AU70" s="4">
        <v>0.21199999999999999</v>
      </c>
      <c r="AV70" s="4">
        <v>3.1E-2</v>
      </c>
      <c r="AW70" s="4">
        <v>6.8000000000000005E-2</v>
      </c>
      <c r="AX70" s="4">
        <v>-0.27600000000000002</v>
      </c>
      <c r="AY70" s="4">
        <v>-0.186</v>
      </c>
      <c r="AZ70" s="4">
        <v>0.86599999999999999</v>
      </c>
      <c r="BA70" s="4">
        <v>0.49199999999999999</v>
      </c>
      <c r="BB70" s="4">
        <v>-0.66700000000000004</v>
      </c>
      <c r="BC70" s="4">
        <v>-0.47399999999999998</v>
      </c>
      <c r="BD70" s="4">
        <v>-0.30499999999999999</v>
      </c>
      <c r="BE70" s="4">
        <v>-0.58699999999999997</v>
      </c>
      <c r="BF70" s="4">
        <v>1</v>
      </c>
      <c r="BG70" s="4">
        <v>1</v>
      </c>
      <c r="BH70" s="4">
        <v>0.43</v>
      </c>
      <c r="BI70" s="4">
        <v>0.33600000000000002</v>
      </c>
      <c r="BJ70" s="4">
        <v>-3.3000000000000002E-2</v>
      </c>
      <c r="BK70" s="4">
        <v>-0.74299999999999999</v>
      </c>
      <c r="BL70" s="4">
        <v>0.22500000000000001</v>
      </c>
      <c r="BM70" s="4"/>
    </row>
    <row r="71" spans="1:65" x14ac:dyDescent="0.3">
      <c r="A71" s="19" t="s">
        <v>188</v>
      </c>
      <c r="B71" s="53">
        <v>0</v>
      </c>
      <c r="C71" s="53">
        <f t="shared" si="5"/>
        <v>0</v>
      </c>
      <c r="D71" s="53">
        <f t="shared" si="6"/>
        <v>-2.5000000000000001E-2</v>
      </c>
      <c r="E71" s="53">
        <f t="shared" si="7"/>
        <v>0</v>
      </c>
      <c r="F71" s="15">
        <v>1.4339999999999999</v>
      </c>
      <c r="G71" s="19">
        <v>1.806</v>
      </c>
      <c r="H71" s="24" t="s">
        <v>55</v>
      </c>
      <c r="I71" t="str">
        <f>VLOOKUP(A71,Planilha6!$BL$9:$BN$222,2,0)</f>
        <v>utilities</v>
      </c>
      <c r="J71" t="str">
        <f>VLOOKUP(A71,Planilha6!$BL$9:$BN$222,3,0)</f>
        <v>high_beta</v>
      </c>
      <c r="K71" s="2">
        <v>2.5000000000000001E-2</v>
      </c>
      <c r="L71" s="2">
        <v>2.5000000000000001E-2</v>
      </c>
      <c r="M71" s="15">
        <v>34</v>
      </c>
      <c r="N71" s="41">
        <f>VLOOKUP(A71,'Mandato Smll'!$A$2:$C$215,2,0)</f>
        <v>5.8436853215289497E-3</v>
      </c>
      <c r="O71" s="59">
        <f t="shared" si="8"/>
        <v>1.9156314678471051E-2</v>
      </c>
      <c r="P71" s="42">
        <f t="shared" si="9"/>
        <v>-5.8436853215289497E-3</v>
      </c>
      <c r="Q71" s="41">
        <f>VLOOKUP(A71,'Mandato Smll'!$A$2:$C$215,3,0)</f>
        <v>1.1635979096034201E-2</v>
      </c>
      <c r="R71" s="59">
        <f t="shared" si="10"/>
        <v>1.3364020903965801E-2</v>
      </c>
      <c r="S71" s="15">
        <v>-0.26400000000000001</v>
      </c>
      <c r="T71" s="15">
        <v>0.48</v>
      </c>
      <c r="U71" s="15">
        <v>-0.64900000000000002</v>
      </c>
      <c r="V71" s="15">
        <v>-0.22800000000000001</v>
      </c>
      <c r="W71" s="15">
        <v>-7.0000000000000001E-3</v>
      </c>
      <c r="X71" s="15">
        <v>8.4000000000000005E-2</v>
      </c>
      <c r="Y71" s="15">
        <v>0.158</v>
      </c>
      <c r="Z71" s="15">
        <v>0.112</v>
      </c>
      <c r="AA71" s="15">
        <v>0.63</v>
      </c>
      <c r="AB71" s="15">
        <v>0.63800000000000001</v>
      </c>
      <c r="AC71" s="15">
        <v>0.72</v>
      </c>
      <c r="AD71" s="15">
        <v>0.82299999999999995</v>
      </c>
      <c r="AE71" s="15">
        <v>0.71</v>
      </c>
      <c r="AF71" s="14">
        <v>-0.65700000000000003</v>
      </c>
      <c r="AG71" s="15">
        <v>-0.442</v>
      </c>
      <c r="AH71" s="15">
        <v>0.55700000000000005</v>
      </c>
      <c r="AI71" s="15">
        <v>-1</v>
      </c>
      <c r="AJ71" s="15">
        <v>-0.57999999999999996</v>
      </c>
      <c r="AK71" s="9">
        <v>-0.998</v>
      </c>
      <c r="AL71" s="4">
        <v>-0.371</v>
      </c>
      <c r="AM71" s="4">
        <v>-0.36399999999999999</v>
      </c>
      <c r="AN71" s="4">
        <v>-0.56399999999999995</v>
      </c>
      <c r="AO71" s="4">
        <v>-0.52700000000000002</v>
      </c>
      <c r="AP71" s="4">
        <v>0.82599999999999996</v>
      </c>
      <c r="AQ71" s="4">
        <v>0.90900000000000003</v>
      </c>
      <c r="AR71" s="4">
        <v>0.13900000000000001</v>
      </c>
      <c r="AS71" s="4">
        <v>1</v>
      </c>
      <c r="AT71" s="4">
        <v>0.31</v>
      </c>
      <c r="AU71" s="4">
        <v>-4.8000000000000001E-2</v>
      </c>
      <c r="AV71" s="4">
        <v>-3.0000000000000001E-3</v>
      </c>
      <c r="AW71" s="4">
        <v>-9.8000000000000004E-2</v>
      </c>
      <c r="AX71" s="4">
        <v>0.35799999999999998</v>
      </c>
      <c r="AY71" s="4">
        <v>-0.68400000000000005</v>
      </c>
      <c r="AZ71" s="4">
        <v>0.74399999999999999</v>
      </c>
      <c r="BA71" s="4">
        <v>0.92600000000000005</v>
      </c>
      <c r="BB71" s="4">
        <v>0.61599999999999999</v>
      </c>
      <c r="BC71" s="4">
        <v>0.12</v>
      </c>
      <c r="BD71" s="4">
        <v>-0.26100000000000001</v>
      </c>
      <c r="BE71" s="4">
        <v>0.63</v>
      </c>
      <c r="BF71" s="4">
        <v>-0.32100000000000001</v>
      </c>
      <c r="BG71" s="4">
        <v>5.0999999999999997E-2</v>
      </c>
      <c r="BH71" s="4">
        <v>0.69499999999999995</v>
      </c>
      <c r="BI71" s="4">
        <v>-0.73899999999999999</v>
      </c>
      <c r="BJ71" s="4">
        <v>6.5000000000000002E-2</v>
      </c>
      <c r="BK71" s="4">
        <v>0.182</v>
      </c>
      <c r="BL71" s="4">
        <v>-1</v>
      </c>
      <c r="BM71" s="4"/>
    </row>
    <row r="72" spans="1:65" x14ac:dyDescent="0.3">
      <c r="A72" s="19" t="s">
        <v>113</v>
      </c>
      <c r="B72" s="53">
        <v>0</v>
      </c>
      <c r="C72" s="53">
        <f t="shared" si="5"/>
        <v>0</v>
      </c>
      <c r="D72" s="53">
        <f t="shared" si="6"/>
        <v>-2.1000000000000001E-2</v>
      </c>
      <c r="E72" s="53">
        <f t="shared" si="7"/>
        <v>0</v>
      </c>
      <c r="F72" s="15">
        <v>1.429</v>
      </c>
      <c r="G72" s="19">
        <v>1.873</v>
      </c>
      <c r="H72" s="24" t="s">
        <v>57</v>
      </c>
      <c r="I72" t="str">
        <f>VLOOKUP(A72,Planilha6!$BL$9:$BN$222,2,0)</f>
        <v>banks</v>
      </c>
      <c r="J72" t="str">
        <f>VLOOKUP(A72,Planilha6!$BL$9:$BN$222,3,0)</f>
        <v>neutral_beta</v>
      </c>
      <c r="K72" s="2">
        <v>2.1000000000000001E-2</v>
      </c>
      <c r="L72" s="2">
        <v>2.1000000000000001E-2</v>
      </c>
      <c r="M72" s="15">
        <v>28</v>
      </c>
      <c r="N72" s="41">
        <f>VLOOKUP(A72,'Mandato Smll'!$A$2:$C$215,2,0)</f>
        <v>5.8256116403234397E-3</v>
      </c>
      <c r="O72" s="59">
        <f t="shared" si="8"/>
        <v>1.5174388359676562E-2</v>
      </c>
      <c r="P72" s="42">
        <f t="shared" si="9"/>
        <v>-5.8256116403234397E-3</v>
      </c>
      <c r="Q72" s="41">
        <f>VLOOKUP(A72,'Mandato Smll'!$A$2:$C$215,3,0)</f>
        <v>9.0223402721789393E-3</v>
      </c>
      <c r="R72" s="59">
        <f t="shared" si="10"/>
        <v>1.1977659727821062E-2</v>
      </c>
      <c r="S72" s="15">
        <v>-0.34799999999999998</v>
      </c>
      <c r="T72" s="15">
        <v>0.16900000000000001</v>
      </c>
      <c r="U72" s="15">
        <v>-0.67500000000000004</v>
      </c>
      <c r="V72" s="15">
        <v>-0.22500000000000001</v>
      </c>
      <c r="W72" s="15">
        <v>-0.11700000000000001</v>
      </c>
      <c r="X72" s="15">
        <v>-7.0000000000000001E-3</v>
      </c>
      <c r="Y72" s="15">
        <v>0.156</v>
      </c>
      <c r="Z72" s="15">
        <v>0.154</v>
      </c>
      <c r="AA72" s="15">
        <v>0.84799999999999998</v>
      </c>
      <c r="AB72" s="15">
        <v>0.85399999999999998</v>
      </c>
      <c r="AC72" s="15">
        <v>0.73399999999999999</v>
      </c>
      <c r="AD72" s="15">
        <v>0.96899999999999997</v>
      </c>
      <c r="AE72" s="15">
        <v>0.71499999999999997</v>
      </c>
      <c r="AF72" s="14">
        <v>-0.59699999999999998</v>
      </c>
      <c r="AG72" s="15">
        <v>-0.151</v>
      </c>
      <c r="AH72" s="15">
        <v>0.53700000000000003</v>
      </c>
      <c r="AI72" s="15">
        <v>-0.92700000000000005</v>
      </c>
      <c r="AJ72" s="15">
        <v>-0.84399999999999997</v>
      </c>
      <c r="AK72" s="9">
        <v>-1</v>
      </c>
      <c r="AL72" s="4">
        <v>-0.11799999999999999</v>
      </c>
      <c r="AM72" s="4">
        <v>0.155</v>
      </c>
      <c r="AN72" s="4">
        <v>-7.9000000000000001E-2</v>
      </c>
      <c r="AO72" s="4">
        <v>-3.0000000000000001E-3</v>
      </c>
      <c r="AP72" s="4">
        <v>0.22700000000000001</v>
      </c>
      <c r="AQ72" s="4">
        <v>0.38400000000000001</v>
      </c>
      <c r="AR72" s="4">
        <v>5.7000000000000002E-2</v>
      </c>
      <c r="AS72" s="4">
        <v>0.27600000000000002</v>
      </c>
      <c r="AT72" s="4">
        <v>0.77500000000000002</v>
      </c>
      <c r="AU72" s="4">
        <v>-4.2000000000000003E-2</v>
      </c>
      <c r="AV72" s="4">
        <v>-0.115</v>
      </c>
      <c r="AW72" s="4">
        <v>-0.317</v>
      </c>
      <c r="AX72" s="4">
        <v>0.316</v>
      </c>
      <c r="AY72" s="4">
        <v>-0.374</v>
      </c>
      <c r="AZ72" s="4">
        <v>0.84</v>
      </c>
      <c r="BA72" s="4">
        <v>0.39800000000000002</v>
      </c>
      <c r="BB72" s="4">
        <v>1E-3</v>
      </c>
      <c r="BC72" s="4">
        <v>-0.20699999999999999</v>
      </c>
      <c r="BD72" s="4">
        <v>-0.08</v>
      </c>
      <c r="BE72" s="4">
        <v>0.34599999999999997</v>
      </c>
      <c r="BF72" s="4">
        <v>-0.122</v>
      </c>
      <c r="BG72" s="4">
        <v>-0.45400000000000001</v>
      </c>
      <c r="BH72" s="4">
        <v>0.81699999999999995</v>
      </c>
      <c r="BI72" s="4">
        <v>-0.42199999999999999</v>
      </c>
      <c r="BJ72" s="4">
        <v>-0.03</v>
      </c>
      <c r="BK72" s="4">
        <v>0.16200000000000001</v>
      </c>
      <c r="BL72" s="4">
        <v>-0.754</v>
      </c>
      <c r="BM72" s="4"/>
    </row>
    <row r="73" spans="1:65" hidden="1" x14ac:dyDescent="0.3">
      <c r="A73" s="19" t="s">
        <v>122</v>
      </c>
      <c r="B73" s="53">
        <f t="shared" si="4"/>
        <v>1.2999999999999999E-2</v>
      </c>
      <c r="C73" s="53">
        <f t="shared" si="5"/>
        <v>0.01</v>
      </c>
      <c r="D73" s="53">
        <f t="shared" si="6"/>
        <v>0</v>
      </c>
      <c r="E73" s="53">
        <f t="shared" si="7"/>
        <v>2.9999999999999992E-3</v>
      </c>
      <c r="F73" s="15">
        <v>1.37</v>
      </c>
      <c r="G73" s="19">
        <v>1.456</v>
      </c>
      <c r="H73" s="24" t="s">
        <v>57</v>
      </c>
      <c r="I73" t="str">
        <f>VLOOKUP(A73,Planilha6!$BL$9:$BN$222,2,0)</f>
        <v>banks</v>
      </c>
      <c r="J73" t="str">
        <f>VLOOKUP(A73,Planilha6!$BL$9:$BN$222,3,0)</f>
        <v>very_low_beta</v>
      </c>
      <c r="K73" s="2">
        <v>1.2999999999999999E-2</v>
      </c>
      <c r="L73" s="2">
        <v>0.01</v>
      </c>
      <c r="M73" s="15">
        <v>84</v>
      </c>
      <c r="N73" s="41">
        <f>VLOOKUP(A73,'Mandato Smll'!$A$2:$C$215,2,0)</f>
        <v>6.7723638830977E-3</v>
      </c>
      <c r="O73" s="59">
        <f t="shared" si="8"/>
        <v>6.2276361169022994E-3</v>
      </c>
      <c r="P73" s="42">
        <f t="shared" si="9"/>
        <v>6.2276361169022994E-3</v>
      </c>
      <c r="Q73" s="41">
        <f>VLOOKUP(A73,'Mandato Smll'!$A$2:$C$215,3,0)</f>
        <v>0</v>
      </c>
      <c r="R73" s="59">
        <f t="shared" si="10"/>
        <v>1.2999999999999999E-2</v>
      </c>
      <c r="S73" s="15">
        <v>-0.14199999999999999</v>
      </c>
      <c r="T73" s="15">
        <v>-0.08</v>
      </c>
      <c r="U73" s="15">
        <v>0.14099999999999999</v>
      </c>
      <c r="V73" s="15">
        <v>-0.56499999999999995</v>
      </c>
      <c r="W73" s="15">
        <v>-0.155</v>
      </c>
      <c r="X73" s="15">
        <v>-7.5999999999999998E-2</v>
      </c>
      <c r="Y73" s="15">
        <v>8.1000000000000003E-2</v>
      </c>
      <c r="Z73" s="15">
        <v>0.182</v>
      </c>
      <c r="AA73" s="15">
        <v>0.36199999999999999</v>
      </c>
      <c r="AB73" s="15">
        <v>0.36299999999999999</v>
      </c>
      <c r="AC73" s="15">
        <v>0.64500000000000002</v>
      </c>
      <c r="AD73" s="15">
        <v>0.622</v>
      </c>
      <c r="AE73" s="15">
        <v>0.70899999999999996</v>
      </c>
      <c r="AF73" s="14">
        <v>-0.43099999999999999</v>
      </c>
      <c r="AG73" s="15">
        <v>-0.74</v>
      </c>
      <c r="AH73" s="15">
        <v>-0.66800000000000004</v>
      </c>
      <c r="AI73" s="15">
        <v>-0.35599999999999998</v>
      </c>
      <c r="AJ73" s="15">
        <v>0.26200000000000001</v>
      </c>
      <c r="AK73" s="9">
        <v>0.68100000000000005</v>
      </c>
      <c r="AL73" s="4">
        <v>-0.79900000000000004</v>
      </c>
      <c r="AM73" s="4">
        <v>0.33800000000000002</v>
      </c>
      <c r="AN73" s="4">
        <v>-0.64800000000000002</v>
      </c>
      <c r="AO73" s="4">
        <v>-9.6000000000000002E-2</v>
      </c>
      <c r="AP73" s="4">
        <v>0.112</v>
      </c>
      <c r="AQ73" s="4">
        <v>6.9000000000000006E-2</v>
      </c>
      <c r="AR73" s="4">
        <v>-0.23799999999999999</v>
      </c>
      <c r="AS73" s="4">
        <v>0.08</v>
      </c>
      <c r="AT73" s="4">
        <v>0.34699999999999998</v>
      </c>
      <c r="AU73" s="4">
        <v>-0.23499999999999999</v>
      </c>
      <c r="AV73" s="4">
        <v>0.21299999999999999</v>
      </c>
      <c r="AW73" s="4">
        <v>-0.217</v>
      </c>
      <c r="AX73" s="4">
        <v>0.55700000000000005</v>
      </c>
      <c r="AY73" s="4">
        <v>1</v>
      </c>
      <c r="AZ73" s="4">
        <v>2.8000000000000001E-2</v>
      </c>
      <c r="BA73" s="4">
        <v>0.46400000000000002</v>
      </c>
      <c r="BB73" s="4">
        <v>0.61399999999999999</v>
      </c>
      <c r="BC73" s="4">
        <v>0.20499999999999999</v>
      </c>
      <c r="BD73" s="4">
        <v>0.253</v>
      </c>
      <c r="BE73" s="4">
        <v>4.0000000000000001E-3</v>
      </c>
      <c r="BF73" s="4">
        <v>0.156</v>
      </c>
      <c r="BG73" s="4">
        <v>-0.20200000000000001</v>
      </c>
      <c r="BH73" s="4">
        <v>0.51900000000000002</v>
      </c>
      <c r="BI73" s="4">
        <v>-0.65200000000000002</v>
      </c>
      <c r="BJ73" s="4">
        <v>-0.38100000000000001</v>
      </c>
      <c r="BK73" s="4">
        <v>0.58599999999999997</v>
      </c>
      <c r="BL73" s="4">
        <v>0.746</v>
      </c>
      <c r="BM73" s="4"/>
    </row>
    <row r="74" spans="1:65" hidden="1" x14ac:dyDescent="0.3">
      <c r="A74" s="19" t="s">
        <v>185</v>
      </c>
      <c r="B74" s="53">
        <f t="shared" ref="B74:B137" si="11">K74</f>
        <v>2.1000000000000001E-2</v>
      </c>
      <c r="C74" s="53">
        <f t="shared" ref="C74:C137" si="12">B74-E74</f>
        <v>2.1000000000000001E-2</v>
      </c>
      <c r="D74" s="53">
        <f t="shared" ref="D74:D137" si="13">B74-K74</f>
        <v>0</v>
      </c>
      <c r="E74" s="53">
        <f t="shared" ref="E74:E137" si="14">K74-L74</f>
        <v>0</v>
      </c>
      <c r="F74" s="15">
        <v>1.355</v>
      </c>
      <c r="G74" s="19">
        <v>1.806</v>
      </c>
      <c r="H74" s="24" t="s">
        <v>55</v>
      </c>
      <c r="I74" t="str">
        <f>VLOOKUP(A74,Planilha6!$BL$9:$BN$222,2,0)</f>
        <v>utilities</v>
      </c>
      <c r="J74" t="str">
        <f>VLOOKUP(A74,Planilha6!$BL$9:$BN$222,3,0)</f>
        <v>neutral_beta</v>
      </c>
      <c r="K74" s="2">
        <v>2.1000000000000001E-2</v>
      </c>
      <c r="L74" s="2">
        <v>2.1000000000000001E-2</v>
      </c>
      <c r="M74" s="15">
        <v>26</v>
      </c>
      <c r="N74" s="41">
        <f>VLOOKUP(A74,'Mandato Smll'!$A$2:$C$215,2,0)</f>
        <v>5.5243691860086298E-3</v>
      </c>
      <c r="O74" s="59">
        <f t="shared" ref="O74:O137" si="15">K74-N74</f>
        <v>1.5475630813991371E-2</v>
      </c>
      <c r="P74" s="42">
        <f t="shared" ref="P74:P137" si="16">B74-N74</f>
        <v>1.5475630813991371E-2</v>
      </c>
      <c r="Q74" s="41">
        <f>VLOOKUP(A74,'Mandato Smll'!$A$2:$C$215,3,0)</f>
        <v>1.18077870820744E-2</v>
      </c>
      <c r="R74" s="59">
        <f t="shared" ref="R74:R137" si="17">K74-Q74</f>
        <v>9.1922129179256018E-3</v>
      </c>
      <c r="S74" s="15">
        <v>-0.36499999999999999</v>
      </c>
      <c r="T74" s="15">
        <v>0.28999999999999998</v>
      </c>
      <c r="U74" s="15">
        <v>-0.71299999999999997</v>
      </c>
      <c r="V74" s="15">
        <v>-0.13800000000000001</v>
      </c>
      <c r="W74" s="15">
        <v>-2.1999999999999999E-2</v>
      </c>
      <c r="X74" s="15">
        <v>2.9000000000000001E-2</v>
      </c>
      <c r="Y74" s="15">
        <v>0.109</v>
      </c>
      <c r="Z74" s="15">
        <v>0.14899999999999999</v>
      </c>
      <c r="AA74" s="15">
        <v>0.60199999999999998</v>
      </c>
      <c r="AB74" s="15">
        <v>0.60799999999999998</v>
      </c>
      <c r="AC74" s="15">
        <v>0.70899999999999996</v>
      </c>
      <c r="AD74" s="15">
        <v>0.871</v>
      </c>
      <c r="AE74" s="15">
        <v>0.7</v>
      </c>
      <c r="AF74" s="14">
        <v>-0.54600000000000004</v>
      </c>
      <c r="AG74" s="15">
        <v>-0.32900000000000001</v>
      </c>
      <c r="AH74" s="15">
        <v>0.39100000000000001</v>
      </c>
      <c r="AI74" s="15">
        <v>-0.93799999999999994</v>
      </c>
      <c r="AJ74" s="15">
        <v>-0.39700000000000002</v>
      </c>
      <c r="AK74" s="9">
        <v>-0.92500000000000004</v>
      </c>
      <c r="AL74" s="4">
        <v>-0.34200000000000003</v>
      </c>
      <c r="AM74" s="4">
        <v>-0.188</v>
      </c>
      <c r="AN74" s="4">
        <v>-0.64500000000000002</v>
      </c>
      <c r="AO74" s="4">
        <v>-0.56699999999999995</v>
      </c>
      <c r="AP74" s="4">
        <v>0.69599999999999995</v>
      </c>
      <c r="AQ74" s="4">
        <v>0.86899999999999999</v>
      </c>
      <c r="AR74" s="4">
        <v>0.34399999999999997</v>
      </c>
      <c r="AS74" s="4">
        <v>0.439</v>
      </c>
      <c r="AT74" s="4">
        <v>0.92300000000000004</v>
      </c>
      <c r="AU74" s="4">
        <v>0.121</v>
      </c>
      <c r="AV74" s="4">
        <v>-0.22</v>
      </c>
      <c r="AW74" s="4">
        <v>-6.3E-2</v>
      </c>
      <c r="AX74" s="4">
        <v>0.66300000000000003</v>
      </c>
      <c r="AY74" s="4">
        <v>-0.59299999999999997</v>
      </c>
      <c r="AZ74" s="4">
        <v>0.96699999999999997</v>
      </c>
      <c r="BA74" s="4">
        <v>0.56299999999999994</v>
      </c>
      <c r="BB74" s="4">
        <v>0.6</v>
      </c>
      <c r="BC74" s="4">
        <v>0.17299999999999999</v>
      </c>
      <c r="BD74" s="4">
        <v>-0.29799999999999999</v>
      </c>
      <c r="BE74" s="4">
        <v>0.28699999999999998</v>
      </c>
      <c r="BF74" s="4">
        <v>-0.48499999999999999</v>
      </c>
      <c r="BG74" s="4">
        <v>0.16600000000000001</v>
      </c>
      <c r="BH74" s="4">
        <v>0.57299999999999995</v>
      </c>
      <c r="BI74" s="4">
        <v>-0.82599999999999996</v>
      </c>
      <c r="BJ74" s="4">
        <v>-8.3000000000000004E-2</v>
      </c>
      <c r="BK74" s="4">
        <v>-0.26600000000000001</v>
      </c>
      <c r="BL74" s="4">
        <v>-0.436</v>
      </c>
      <c r="BM74" s="4"/>
    </row>
    <row r="75" spans="1:65" hidden="1" x14ac:dyDescent="0.3">
      <c r="A75" s="19" t="s">
        <v>82</v>
      </c>
      <c r="B75" s="53">
        <f t="shared" si="11"/>
        <v>1.4999999999999999E-2</v>
      </c>
      <c r="C75" s="53">
        <f t="shared" si="12"/>
        <v>-2.9999999999999992E-3</v>
      </c>
      <c r="D75" s="53">
        <f t="shared" si="13"/>
        <v>0</v>
      </c>
      <c r="E75" s="53">
        <f t="shared" si="14"/>
        <v>1.7999999999999999E-2</v>
      </c>
      <c r="F75" s="15">
        <v>1.349</v>
      </c>
      <c r="G75" s="19">
        <v>2.9060000000000001</v>
      </c>
      <c r="H75" s="24" t="s">
        <v>71</v>
      </c>
      <c r="I75" t="str">
        <f>VLOOKUP(A75,Planilha6!$BL$9:$BN$222,2,0)</f>
        <v>basic_materials</v>
      </c>
      <c r="J75" t="str">
        <f>VLOOKUP(A75,Planilha6!$BL$9:$BN$222,3,0)</f>
        <v>high_beta</v>
      </c>
      <c r="K75" s="2">
        <v>1.4999999999999999E-2</v>
      </c>
      <c r="L75" s="2">
        <v>-3.0000000000000001E-3</v>
      </c>
      <c r="M75" s="15">
        <v>60</v>
      </c>
      <c r="N75" s="41">
        <f>VLOOKUP(A75,'Mandato Smll'!$A$2:$C$215,2,0)</f>
        <v>2.4113421788551699E-2</v>
      </c>
      <c r="O75" s="59">
        <f t="shared" si="15"/>
        <v>-9.1134217885516997E-3</v>
      </c>
      <c r="P75" s="42">
        <f t="shared" si="16"/>
        <v>-9.1134217885516997E-3</v>
      </c>
      <c r="Q75" s="41">
        <f>VLOOKUP(A75,'Mandato Smll'!$A$2:$C$215,3,0)</f>
        <v>0</v>
      </c>
      <c r="R75" s="59">
        <f t="shared" si="17"/>
        <v>1.4999999999999999E-2</v>
      </c>
      <c r="S75" s="15">
        <v>-0.65500000000000003</v>
      </c>
      <c r="T75" s="15">
        <v>2.1000000000000001E-2</v>
      </c>
      <c r="U75" s="15">
        <v>-0.84299999999999997</v>
      </c>
      <c r="V75" s="15">
        <v>-0.44900000000000001</v>
      </c>
      <c r="W75" s="15">
        <v>-0.30199999999999999</v>
      </c>
      <c r="X75" s="15">
        <v>1.2999999999999999E-2</v>
      </c>
      <c r="Y75" s="15">
        <v>0.26900000000000002</v>
      </c>
      <c r="Z75" s="15">
        <v>0.496</v>
      </c>
      <c r="AA75" s="15">
        <v>0.628</v>
      </c>
      <c r="AB75" s="15">
        <v>0.628</v>
      </c>
      <c r="AC75" s="15">
        <v>0.75600000000000001</v>
      </c>
      <c r="AD75" s="15">
        <v>0.84299999999999997</v>
      </c>
      <c r="AE75" s="15">
        <v>0.73399999999999999</v>
      </c>
      <c r="AF75" s="14">
        <v>-0.26300000000000001</v>
      </c>
      <c r="AG75" s="15">
        <v>-0.93500000000000005</v>
      </c>
      <c r="AH75" s="15">
        <v>0.60099999999999998</v>
      </c>
      <c r="AI75" s="15">
        <v>-0.57599999999999996</v>
      </c>
      <c r="AJ75" s="15">
        <v>0.32700000000000001</v>
      </c>
      <c r="AK75" s="9">
        <v>-0.51800000000000002</v>
      </c>
      <c r="AL75" s="4">
        <v>-0.34</v>
      </c>
      <c r="AM75" s="4">
        <v>0.82699999999999996</v>
      </c>
      <c r="AN75" s="4">
        <v>-0.42699999999999999</v>
      </c>
      <c r="AO75" s="4">
        <v>-0.52900000000000003</v>
      </c>
      <c r="AP75" s="4">
        <v>0.89</v>
      </c>
      <c r="AQ75" s="4">
        <v>0.25700000000000001</v>
      </c>
      <c r="AR75" s="4">
        <v>-0.93600000000000005</v>
      </c>
      <c r="AS75" s="4">
        <v>-1</v>
      </c>
      <c r="AT75" s="4">
        <v>-0.66</v>
      </c>
      <c r="AU75" s="4">
        <v>-0.26900000000000002</v>
      </c>
      <c r="AV75" s="4">
        <v>6.3E-2</v>
      </c>
      <c r="AW75" s="4">
        <v>-8.2000000000000003E-2</v>
      </c>
      <c r="AX75" s="4">
        <v>0.56899999999999995</v>
      </c>
      <c r="AY75" s="4">
        <v>4.1000000000000002E-2</v>
      </c>
      <c r="AZ75" s="4">
        <v>0.70799999999999996</v>
      </c>
      <c r="BA75" s="4">
        <v>-0.82599999999999996</v>
      </c>
      <c r="BB75" s="4">
        <v>0.02</v>
      </c>
      <c r="BC75" s="4">
        <v>-0.14799999999999999</v>
      </c>
      <c r="BD75" s="4">
        <v>0.46800000000000003</v>
      </c>
      <c r="BE75" s="4">
        <v>0.433</v>
      </c>
      <c r="BF75" s="4">
        <v>-0.26200000000000001</v>
      </c>
      <c r="BG75" s="4">
        <v>0.2</v>
      </c>
      <c r="BH75" s="4">
        <v>0.92100000000000004</v>
      </c>
      <c r="BI75" s="4">
        <v>-0.35899999999999999</v>
      </c>
      <c r="BJ75" s="4">
        <v>-0.182</v>
      </c>
      <c r="BK75" s="4">
        <v>-0.35299999999999998</v>
      </c>
      <c r="BL75" s="4">
        <v>8.5000000000000006E-2</v>
      </c>
      <c r="BM75" s="4"/>
    </row>
    <row r="76" spans="1:65" hidden="1" x14ac:dyDescent="0.3">
      <c r="A76" s="19" t="s">
        <v>151</v>
      </c>
      <c r="B76" s="53">
        <f t="shared" si="11"/>
        <v>1.7999999999999999E-2</v>
      </c>
      <c r="C76" s="53">
        <f t="shared" si="12"/>
        <v>4.0000000000000001E-3</v>
      </c>
      <c r="D76" s="53">
        <f t="shared" si="13"/>
        <v>0</v>
      </c>
      <c r="E76" s="53">
        <f t="shared" si="14"/>
        <v>1.3999999999999999E-2</v>
      </c>
      <c r="F76" s="15">
        <v>1.3340000000000001</v>
      </c>
      <c r="G76" s="19">
        <v>2.0670000000000002</v>
      </c>
      <c r="H76" s="24" t="s">
        <v>57</v>
      </c>
      <c r="I76" t="str">
        <f>VLOOKUP(A76,Planilha6!$BL$9:$BN$222,2,0)</f>
        <v>homebuilders</v>
      </c>
      <c r="J76" t="str">
        <f>VLOOKUP(A76,Planilha6!$BL$9:$BN$222,3,0)</f>
        <v>high_beta</v>
      </c>
      <c r="K76" s="2">
        <v>1.7999999999999999E-2</v>
      </c>
      <c r="L76" s="2">
        <v>4.0000000000000001E-3</v>
      </c>
      <c r="M76" s="15">
        <v>66</v>
      </c>
      <c r="N76" s="41">
        <f>VLOOKUP(A76,'Mandato Smll'!$A$2:$C$215,2,0)</f>
        <v>1.8643580541980401E-2</v>
      </c>
      <c r="O76" s="59">
        <f t="shared" si="15"/>
        <v>-6.4358054198040276E-4</v>
      </c>
      <c r="P76" s="42">
        <f t="shared" si="16"/>
        <v>-6.4358054198040276E-4</v>
      </c>
      <c r="Q76" s="41">
        <f>VLOOKUP(A76,'Mandato Smll'!$A$2:$C$215,3,0)</f>
        <v>0</v>
      </c>
      <c r="R76" s="59">
        <f t="shared" si="17"/>
        <v>1.7999999999999999E-2</v>
      </c>
      <c r="S76" s="15">
        <v>-0.24299999999999999</v>
      </c>
      <c r="T76" s="15">
        <v>-4.5999999999999999E-2</v>
      </c>
      <c r="U76" s="15">
        <v>-0.50700000000000001</v>
      </c>
      <c r="V76" s="15">
        <v>-6.6000000000000003E-2</v>
      </c>
      <c r="W76" s="15">
        <v>-3.3000000000000002E-2</v>
      </c>
      <c r="X76" s="15">
        <v>8.8999999999999996E-2</v>
      </c>
      <c r="Y76" s="15">
        <v>0.21</v>
      </c>
      <c r="Z76" s="15">
        <v>0.39</v>
      </c>
      <c r="AA76" s="15">
        <v>0.251</v>
      </c>
      <c r="AB76" s="15">
        <v>0.25</v>
      </c>
      <c r="AC76" s="15">
        <v>0.68799999999999994</v>
      </c>
      <c r="AD76" s="15">
        <v>0.70199999999999996</v>
      </c>
      <c r="AE76" s="15">
        <v>0.43099999999999999</v>
      </c>
      <c r="AF76" s="14">
        <v>0.21299999999999999</v>
      </c>
      <c r="AG76" s="15">
        <v>0.42099999999999999</v>
      </c>
      <c r="AH76" s="15">
        <v>-0.59899999999999998</v>
      </c>
      <c r="AI76" s="15">
        <v>-0.44900000000000001</v>
      </c>
      <c r="AJ76" s="15">
        <v>-0.46100000000000002</v>
      </c>
      <c r="AK76" s="9">
        <v>-0.55800000000000005</v>
      </c>
      <c r="AL76" s="4">
        <v>-0.16</v>
      </c>
      <c r="AM76" s="4">
        <v>0.57699999999999996</v>
      </c>
      <c r="AN76" s="4">
        <v>-0.71199999999999997</v>
      </c>
      <c r="AO76" s="4">
        <v>0.51500000000000001</v>
      </c>
      <c r="AP76" s="4">
        <v>-0.20200000000000001</v>
      </c>
      <c r="AQ76" s="4">
        <v>0.158</v>
      </c>
      <c r="AR76" s="4">
        <v>0.49399999999999999</v>
      </c>
      <c r="AS76" s="4">
        <v>0.17799999999999999</v>
      </c>
      <c r="AT76" s="4">
        <v>0.111</v>
      </c>
      <c r="AU76" s="4">
        <v>0.28999999999999998</v>
      </c>
      <c r="AV76" s="4">
        <v>3.9E-2</v>
      </c>
      <c r="AW76" s="4">
        <v>0.16400000000000001</v>
      </c>
      <c r="AX76" s="4">
        <v>4.2999999999999997E-2</v>
      </c>
      <c r="AY76" s="4">
        <v>-7.1999999999999995E-2</v>
      </c>
      <c r="AZ76" s="4">
        <v>0.76300000000000001</v>
      </c>
      <c r="BA76" s="4">
        <v>1</v>
      </c>
      <c r="BB76" s="4">
        <v>0.26</v>
      </c>
      <c r="BC76" s="4">
        <v>-0.44700000000000001</v>
      </c>
      <c r="BD76" s="4">
        <v>-0.248</v>
      </c>
      <c r="BE76" s="4">
        <v>-0.247</v>
      </c>
      <c r="BF76" s="4">
        <v>0.122</v>
      </c>
      <c r="BG76" s="4">
        <v>-0.14599999999999999</v>
      </c>
      <c r="BH76" s="4">
        <v>0.28699999999999998</v>
      </c>
      <c r="BI76" s="4">
        <v>-0.92600000000000005</v>
      </c>
      <c r="BJ76" s="4">
        <v>0.54300000000000004</v>
      </c>
      <c r="BK76" s="4">
        <v>-0.66100000000000003</v>
      </c>
      <c r="BL76" s="4">
        <v>-0.20200000000000001</v>
      </c>
      <c r="BM76" s="4"/>
    </row>
    <row r="77" spans="1:65" hidden="1" x14ac:dyDescent="0.3">
      <c r="A77" s="19" t="s">
        <v>154</v>
      </c>
      <c r="B77" s="53">
        <f t="shared" si="11"/>
        <v>1.6E-2</v>
      </c>
      <c r="C77" s="53">
        <f t="shared" si="12"/>
        <v>1.6E-2</v>
      </c>
      <c r="D77" s="53">
        <f t="shared" si="13"/>
        <v>0</v>
      </c>
      <c r="E77" s="53">
        <f t="shared" si="14"/>
        <v>0</v>
      </c>
      <c r="F77" s="15">
        <v>1.3129999999999999</v>
      </c>
      <c r="G77" s="19">
        <v>1.7470000000000001</v>
      </c>
      <c r="H77" s="24" t="s">
        <v>55</v>
      </c>
      <c r="I77" t="str">
        <f>VLOOKUP(A77,Planilha6!$BL$9:$BN$222,2,0)</f>
        <v>utilities</v>
      </c>
      <c r="J77" t="str">
        <f>VLOOKUP(A77,Planilha6!$BL$9:$BN$222,3,0)</f>
        <v>low_beta</v>
      </c>
      <c r="K77" s="2">
        <v>1.6E-2</v>
      </c>
      <c r="L77" s="2">
        <v>1.6E-2</v>
      </c>
      <c r="M77" s="15">
        <v>29</v>
      </c>
      <c r="N77" s="41">
        <f>VLOOKUP(A77,'Mandato Smll'!$A$2:$C$215,2,0)</f>
        <v>5.3520670750930102E-3</v>
      </c>
      <c r="O77" s="59">
        <f t="shared" si="15"/>
        <v>1.064793292490699E-2</v>
      </c>
      <c r="P77" s="42">
        <f t="shared" si="16"/>
        <v>1.064793292490699E-2</v>
      </c>
      <c r="Q77" s="41">
        <f>VLOOKUP(A77,'Mandato Smll'!$A$2:$C$215,3,0)</f>
        <v>9.8033024403716609E-3</v>
      </c>
      <c r="R77" s="59">
        <f t="shared" si="17"/>
        <v>6.1966975596283395E-3</v>
      </c>
      <c r="S77" s="15">
        <v>-0.71699999999999997</v>
      </c>
      <c r="T77" s="15">
        <v>0.121</v>
      </c>
      <c r="U77" s="15">
        <v>-0.81299999999999994</v>
      </c>
      <c r="V77" s="15">
        <v>-0.41</v>
      </c>
      <c r="W77" s="15">
        <v>-0.14199999999999999</v>
      </c>
      <c r="X77" s="15">
        <v>-4.2999999999999997E-2</v>
      </c>
      <c r="Y77" s="15">
        <v>0.20699999999999999</v>
      </c>
      <c r="Z77" s="15">
        <v>0.58199999999999996</v>
      </c>
      <c r="AA77" s="15">
        <v>0.80700000000000005</v>
      </c>
      <c r="AB77" s="15">
        <v>0.81299999999999994</v>
      </c>
      <c r="AC77" s="15">
        <v>0.64800000000000002</v>
      </c>
      <c r="AD77" s="15">
        <v>0.71</v>
      </c>
      <c r="AE77" s="15">
        <v>0.54100000000000004</v>
      </c>
      <c r="AF77" s="14">
        <v>-0.6</v>
      </c>
      <c r="AG77" s="15">
        <v>-0.42799999999999999</v>
      </c>
      <c r="AH77" s="15">
        <v>0.33500000000000002</v>
      </c>
      <c r="AI77" s="15">
        <v>-0.86399999999999999</v>
      </c>
      <c r="AJ77" s="15">
        <v>-0.55600000000000005</v>
      </c>
      <c r="AK77" s="9">
        <v>-0.95799999999999996</v>
      </c>
      <c r="AL77" s="4">
        <v>-0.38400000000000001</v>
      </c>
      <c r="AM77" s="4">
        <v>0.70499999999999996</v>
      </c>
      <c r="AN77" s="4">
        <v>-0.51900000000000002</v>
      </c>
      <c r="AO77" s="4">
        <v>-0.59099999999999997</v>
      </c>
      <c r="AP77" s="4">
        <v>0.439</v>
      </c>
      <c r="AQ77" s="4">
        <v>0.79</v>
      </c>
      <c r="AR77" s="4">
        <v>-0.106</v>
      </c>
      <c r="AS77" s="4">
        <v>0.38800000000000001</v>
      </c>
      <c r="AT77" s="4">
        <v>-0.15</v>
      </c>
      <c r="AU77" s="4">
        <v>0.33600000000000002</v>
      </c>
      <c r="AV77" s="4">
        <v>-0.27300000000000002</v>
      </c>
      <c r="AW77" s="4">
        <v>-0.29699999999999999</v>
      </c>
      <c r="AX77" s="4">
        <v>0.55900000000000005</v>
      </c>
      <c r="AY77" s="4">
        <v>-0.55800000000000005</v>
      </c>
      <c r="AZ77" s="4">
        <v>0.90800000000000003</v>
      </c>
      <c r="BA77" s="4">
        <v>0.745</v>
      </c>
      <c r="BB77" s="4">
        <v>-0.57799999999999996</v>
      </c>
      <c r="BC77" s="4">
        <v>-0.46899999999999997</v>
      </c>
      <c r="BD77" s="4">
        <v>-0.66100000000000003</v>
      </c>
      <c r="BE77" s="4">
        <v>-0.127</v>
      </c>
      <c r="BF77" s="4">
        <v>-0.44700000000000001</v>
      </c>
      <c r="BG77" s="4">
        <v>-0.13600000000000001</v>
      </c>
      <c r="BH77" s="4">
        <v>0.85</v>
      </c>
      <c r="BI77" s="4">
        <v>-0.68600000000000005</v>
      </c>
      <c r="BJ77" s="4">
        <v>-0.247</v>
      </c>
      <c r="BK77" s="4">
        <v>-9.7000000000000003E-2</v>
      </c>
      <c r="BL77" s="4">
        <v>-0.38600000000000001</v>
      </c>
      <c r="BM77" s="4"/>
    </row>
    <row r="78" spans="1:65" hidden="1" x14ac:dyDescent="0.3">
      <c r="A78" s="19" t="s">
        <v>138</v>
      </c>
      <c r="B78" s="53">
        <f t="shared" si="11"/>
        <v>1.6E-2</v>
      </c>
      <c r="C78" s="53">
        <f t="shared" si="12"/>
        <v>1.2E-2</v>
      </c>
      <c r="D78" s="53">
        <f t="shared" si="13"/>
        <v>0</v>
      </c>
      <c r="E78" s="53">
        <f t="shared" si="14"/>
        <v>4.0000000000000001E-3</v>
      </c>
      <c r="F78" s="15">
        <v>1.292</v>
      </c>
      <c r="G78" s="19">
        <v>1.5049999999999999</v>
      </c>
      <c r="H78" s="24" t="s">
        <v>71</v>
      </c>
      <c r="I78" t="str">
        <f>VLOOKUP(A78,Planilha6!$BL$9:$BN$222,2,0)</f>
        <v>basic_materials</v>
      </c>
      <c r="J78" t="str">
        <f>VLOOKUP(A78,Planilha6!$BL$9:$BN$222,3,0)</f>
        <v>low_beta</v>
      </c>
      <c r="K78" s="2">
        <v>1.6E-2</v>
      </c>
      <c r="L78" s="2">
        <v>1.2E-2</v>
      </c>
      <c r="M78" s="15">
        <v>84</v>
      </c>
      <c r="N78" s="41">
        <f>VLOOKUP(A78,'Mandato Smll'!$A$2:$C$215,2,0)</f>
        <v>6.9467780615663898E-3</v>
      </c>
      <c r="O78" s="59">
        <f t="shared" si="15"/>
        <v>9.0532219384336105E-3</v>
      </c>
      <c r="P78" s="42">
        <f t="shared" si="16"/>
        <v>9.0532219384336105E-3</v>
      </c>
      <c r="Q78" s="41">
        <f>VLOOKUP(A78,'Mandato Smll'!$A$2:$C$215,3,0)</f>
        <v>0</v>
      </c>
      <c r="R78" s="59">
        <f t="shared" si="17"/>
        <v>1.6E-2</v>
      </c>
      <c r="S78" s="15">
        <v>-0.22500000000000001</v>
      </c>
      <c r="T78" s="15">
        <v>-0.14199999999999999</v>
      </c>
      <c r="U78" s="15">
        <v>-0.19700000000000001</v>
      </c>
      <c r="V78" s="15">
        <v>-0.505</v>
      </c>
      <c r="W78" s="15">
        <v>-0.26800000000000002</v>
      </c>
      <c r="X78" s="15">
        <v>2E-3</v>
      </c>
      <c r="Y78" s="15">
        <v>-0.127</v>
      </c>
      <c r="Z78" s="15">
        <v>3.1E-2</v>
      </c>
      <c r="AA78" s="15">
        <v>0.73</v>
      </c>
      <c r="AB78" s="15">
        <v>0.72699999999999998</v>
      </c>
      <c r="AC78" s="15">
        <v>0.68</v>
      </c>
      <c r="AD78" s="15">
        <v>0.66600000000000004</v>
      </c>
      <c r="AE78" s="15">
        <v>0.75900000000000001</v>
      </c>
      <c r="AF78" s="14">
        <v>-0.33400000000000002</v>
      </c>
      <c r="AG78" s="15">
        <v>-0.90700000000000003</v>
      </c>
      <c r="AH78" s="15">
        <v>-0.16</v>
      </c>
      <c r="AI78" s="15">
        <v>-0.28299999999999997</v>
      </c>
      <c r="AJ78" s="15">
        <v>0.184</v>
      </c>
      <c r="AK78" s="9">
        <v>-0.35099999999999998</v>
      </c>
      <c r="AL78" s="4">
        <v>-0.22500000000000001</v>
      </c>
      <c r="AM78" s="4">
        <v>0.17699999999999999</v>
      </c>
      <c r="AN78" s="4">
        <v>-0.308</v>
      </c>
      <c r="AO78" s="4">
        <v>-0.22700000000000001</v>
      </c>
      <c r="AP78" s="4">
        <v>0.35499999999999998</v>
      </c>
      <c r="AQ78" s="4">
        <v>0.313</v>
      </c>
      <c r="AR78" s="4">
        <v>-0.92800000000000005</v>
      </c>
      <c r="AS78" s="4">
        <v>-4.2000000000000003E-2</v>
      </c>
      <c r="AT78" s="4">
        <v>0.14499999999999999</v>
      </c>
      <c r="AU78" s="4">
        <v>0.13800000000000001</v>
      </c>
      <c r="AV78" s="4">
        <v>-0.32700000000000001</v>
      </c>
      <c r="AW78" s="4">
        <v>-1.2E-2</v>
      </c>
      <c r="AX78" s="4">
        <v>0.48699999999999999</v>
      </c>
      <c r="AY78" s="4">
        <v>0.45900000000000002</v>
      </c>
      <c r="AZ78" s="4">
        <v>0.85299999999999998</v>
      </c>
      <c r="BA78" s="4">
        <v>2.8000000000000001E-2</v>
      </c>
      <c r="BB78" s="4">
        <v>0.83199999999999996</v>
      </c>
      <c r="BC78" s="4">
        <v>0.14899999999999999</v>
      </c>
      <c r="BD78" s="4">
        <v>8.3000000000000004E-2</v>
      </c>
      <c r="BE78" s="4">
        <v>0.36099999999999999</v>
      </c>
      <c r="BF78" s="4">
        <v>-5.8999999999999997E-2</v>
      </c>
      <c r="BG78" s="4">
        <v>-4.9000000000000002E-2</v>
      </c>
      <c r="BH78" s="4">
        <v>0.53500000000000003</v>
      </c>
      <c r="BI78" s="4">
        <v>-0.108</v>
      </c>
      <c r="BJ78" s="4">
        <v>-0.39600000000000002</v>
      </c>
      <c r="BK78" s="4">
        <v>0.625</v>
      </c>
      <c r="BL78" s="4">
        <v>0.505</v>
      </c>
      <c r="BM78" s="4"/>
    </row>
    <row r="79" spans="1:65" hidden="1" x14ac:dyDescent="0.3">
      <c r="A79" s="19" t="s">
        <v>147</v>
      </c>
      <c r="B79" s="53">
        <f t="shared" si="11"/>
        <v>2.7E-2</v>
      </c>
      <c r="C79" s="53">
        <f t="shared" si="12"/>
        <v>-1.5999999999999997E-2</v>
      </c>
      <c r="D79" s="53">
        <f t="shared" si="13"/>
        <v>0</v>
      </c>
      <c r="E79" s="53">
        <f t="shared" si="14"/>
        <v>4.2999999999999997E-2</v>
      </c>
      <c r="F79" s="15">
        <v>1.278</v>
      </c>
      <c r="G79" s="19">
        <v>2.3660000000000001</v>
      </c>
      <c r="H79" s="24" t="s">
        <v>57</v>
      </c>
      <c r="I79" t="str">
        <f>VLOOKUP(A79,Planilha6!$BL$9:$BN$222,2,0)</f>
        <v>apparel</v>
      </c>
      <c r="J79" t="str">
        <f>VLOOKUP(A79,Planilha6!$BL$9:$BN$222,3,0)</f>
        <v>neutral_beta</v>
      </c>
      <c r="K79" s="2">
        <v>2.7E-2</v>
      </c>
      <c r="L79" s="2">
        <v>-1.6E-2</v>
      </c>
      <c r="M79" s="15">
        <v>40</v>
      </c>
      <c r="N79" s="41">
        <f>VLOOKUP(A79,'Mandato Smll'!$A$2:$C$215,2,0)</f>
        <v>2.84495386833916E-2</v>
      </c>
      <c r="O79" s="59">
        <f t="shared" si="15"/>
        <v>-1.4495386833916005E-3</v>
      </c>
      <c r="P79" s="42">
        <f t="shared" si="16"/>
        <v>-1.4495386833916005E-3</v>
      </c>
      <c r="Q79" s="41">
        <f>VLOOKUP(A79,'Mandato Smll'!$A$2:$C$215,3,0)</f>
        <v>0</v>
      </c>
      <c r="R79" s="59">
        <f t="shared" si="17"/>
        <v>2.7E-2</v>
      </c>
      <c r="S79" s="15">
        <v>1.4999999999999999E-2</v>
      </c>
      <c r="T79" s="15">
        <v>2.3E-2</v>
      </c>
      <c r="U79" s="15">
        <v>-0.495</v>
      </c>
      <c r="V79" s="15">
        <v>0.14899999999999999</v>
      </c>
      <c r="W79" s="15">
        <v>-5.6000000000000001E-2</v>
      </c>
      <c r="X79" s="15">
        <v>0.11600000000000001</v>
      </c>
      <c r="Y79" s="15">
        <v>0.14899999999999999</v>
      </c>
      <c r="Z79" s="15">
        <v>-6.8000000000000005E-2</v>
      </c>
      <c r="AA79" s="15">
        <v>0.29899999999999999</v>
      </c>
      <c r="AB79" s="15">
        <v>0.30199999999999999</v>
      </c>
      <c r="AC79" s="15">
        <v>0.73399999999999999</v>
      </c>
      <c r="AD79" s="15">
        <v>0.69599999999999995</v>
      </c>
      <c r="AE79" s="15">
        <v>0.501</v>
      </c>
      <c r="AF79" s="14">
        <v>0.94099999999999995</v>
      </c>
      <c r="AG79" s="15">
        <v>-0.11</v>
      </c>
      <c r="AH79" s="15">
        <v>-0.41499999999999998</v>
      </c>
      <c r="AI79" s="15">
        <v>-0.76900000000000002</v>
      </c>
      <c r="AJ79" s="15">
        <v>-0.67300000000000004</v>
      </c>
      <c r="AK79" s="9">
        <v>1E-3</v>
      </c>
      <c r="AL79" s="4">
        <v>5.0999999999999997E-2</v>
      </c>
      <c r="AM79" s="4">
        <v>-0.24399999999999999</v>
      </c>
      <c r="AN79" s="4">
        <v>-0.54600000000000004</v>
      </c>
      <c r="AO79" s="4">
        <v>0.49199999999999999</v>
      </c>
      <c r="AP79" s="4">
        <v>-0.22800000000000001</v>
      </c>
      <c r="AQ79" s="4">
        <v>0.48899999999999999</v>
      </c>
      <c r="AR79" s="4">
        <v>0.251</v>
      </c>
      <c r="AS79" s="4">
        <v>0.17100000000000001</v>
      </c>
      <c r="AT79" s="4">
        <v>0.16</v>
      </c>
      <c r="AU79" s="4">
        <v>0.45200000000000001</v>
      </c>
      <c r="AV79" s="4">
        <v>0.04</v>
      </c>
      <c r="AW79" s="4">
        <v>1</v>
      </c>
      <c r="AX79" s="4">
        <v>-0.192</v>
      </c>
      <c r="AY79" s="4">
        <v>0.48599999999999999</v>
      </c>
      <c r="AZ79" s="4">
        <v>0.91700000000000004</v>
      </c>
      <c r="BA79" s="4">
        <v>0.28499999999999998</v>
      </c>
      <c r="BB79" s="4">
        <v>-9.9000000000000005E-2</v>
      </c>
      <c r="BC79" s="4">
        <v>0.189</v>
      </c>
      <c r="BD79" s="4">
        <v>8.0000000000000002E-3</v>
      </c>
      <c r="BE79" s="4">
        <v>0.66700000000000004</v>
      </c>
      <c r="BF79" s="4">
        <v>0.186</v>
      </c>
      <c r="BG79" s="4">
        <v>-0.53300000000000003</v>
      </c>
      <c r="BH79" s="4">
        <v>0.51600000000000001</v>
      </c>
      <c r="BI79" s="4">
        <v>-0.10100000000000001</v>
      </c>
      <c r="BJ79" s="4">
        <v>-0.06</v>
      </c>
      <c r="BK79" s="4">
        <v>-0.95399999999999996</v>
      </c>
      <c r="BL79" s="4">
        <v>-0.58099999999999996</v>
      </c>
      <c r="BM79" s="4"/>
    </row>
    <row r="80" spans="1:65" hidden="1" x14ac:dyDescent="0.3">
      <c r="A80" s="19" t="s">
        <v>88</v>
      </c>
      <c r="B80" s="53">
        <f t="shared" si="11"/>
        <v>0</v>
      </c>
      <c r="C80" s="53">
        <f t="shared" si="12"/>
        <v>-3.0000000000000001E-3</v>
      </c>
      <c r="D80" s="53">
        <f t="shared" si="13"/>
        <v>0</v>
      </c>
      <c r="E80" s="53">
        <f t="shared" si="14"/>
        <v>3.0000000000000001E-3</v>
      </c>
      <c r="F80" s="15">
        <v>1.268</v>
      </c>
      <c r="G80" s="19">
        <v>1.6479999999999999</v>
      </c>
      <c r="H80" s="24" t="s">
        <v>53</v>
      </c>
      <c r="I80" t="str">
        <f>VLOOKUP(A80,Planilha6!$BL$9:$BN$222,2,0)</f>
        <v>consumer_staples</v>
      </c>
      <c r="J80" t="str">
        <f>VLOOKUP(A80,Planilha6!$BL$9:$BN$222,3,0)</f>
        <v>low_beta</v>
      </c>
      <c r="K80" s="2">
        <v>0</v>
      </c>
      <c r="L80" s="2">
        <v>-3.0000000000000001E-3</v>
      </c>
      <c r="M80" s="15">
        <v>84</v>
      </c>
      <c r="N80" s="41">
        <f>VLOOKUP(A80,'Mandato Smll'!$A$2:$C$215,2,0)</f>
        <v>0</v>
      </c>
      <c r="O80" s="59">
        <f t="shared" si="15"/>
        <v>0</v>
      </c>
      <c r="P80" s="42">
        <f t="shared" si="16"/>
        <v>0</v>
      </c>
      <c r="Q80" s="41">
        <f>VLOOKUP(A80,'Mandato Smll'!$A$2:$C$215,3,0)</f>
        <v>0</v>
      </c>
      <c r="R80" s="59">
        <f t="shared" si="17"/>
        <v>0</v>
      </c>
      <c r="S80" s="15">
        <v>-0.32500000000000001</v>
      </c>
      <c r="T80" s="15">
        <v>6.8000000000000005E-2</v>
      </c>
      <c r="U80" s="15">
        <v>-0.25900000000000001</v>
      </c>
      <c r="V80" s="15">
        <v>-0.495</v>
      </c>
      <c r="W80" s="15">
        <v>-0.14799999999999999</v>
      </c>
      <c r="X80" s="15">
        <v>-2.5000000000000001E-2</v>
      </c>
      <c r="Y80" s="15">
        <v>0.29099999999999998</v>
      </c>
      <c r="Z80" s="15">
        <v>0.20699999999999999</v>
      </c>
      <c r="AA80" s="15">
        <v>0.41</v>
      </c>
      <c r="AB80" s="15">
        <v>0.41099999999999998</v>
      </c>
      <c r="AC80" s="15">
        <v>0.625</v>
      </c>
      <c r="AD80" s="15">
        <v>0.59799999999999998</v>
      </c>
      <c r="AE80" s="15">
        <v>0.58499999999999996</v>
      </c>
      <c r="AF80" s="14">
        <v>-0.28000000000000003</v>
      </c>
      <c r="AG80" s="15">
        <v>-0.77700000000000002</v>
      </c>
      <c r="AH80" s="15">
        <v>-0.311</v>
      </c>
      <c r="AI80" s="15">
        <v>-0.1</v>
      </c>
      <c r="AJ80" s="15">
        <v>0.27100000000000002</v>
      </c>
      <c r="AK80" s="9">
        <v>-0.495</v>
      </c>
      <c r="AL80" s="4">
        <v>-0.109</v>
      </c>
      <c r="AM80" s="4">
        <v>7.1999999999999995E-2</v>
      </c>
      <c r="AN80" s="4">
        <v>-0.54200000000000004</v>
      </c>
      <c r="AO80" s="4">
        <v>-0.12</v>
      </c>
      <c r="AP80" s="4">
        <v>-0.13200000000000001</v>
      </c>
      <c r="AQ80" s="4">
        <v>0.19</v>
      </c>
      <c r="AR80" s="4">
        <v>-0.159</v>
      </c>
      <c r="AS80" s="4">
        <v>-0.752</v>
      </c>
      <c r="AT80" s="4">
        <v>-0.495</v>
      </c>
      <c r="AU80" s="4">
        <v>0.25700000000000001</v>
      </c>
      <c r="AV80" s="4">
        <v>0.153</v>
      </c>
      <c r="AW80" s="4">
        <v>1.4E-2</v>
      </c>
      <c r="AX80" s="4">
        <v>0.66400000000000003</v>
      </c>
      <c r="AY80" s="4">
        <v>2.1000000000000001E-2</v>
      </c>
      <c r="AZ80" s="4">
        <v>0.67100000000000004</v>
      </c>
      <c r="BA80" s="4">
        <v>0.73</v>
      </c>
      <c r="BB80" s="4">
        <v>0.81899999999999995</v>
      </c>
      <c r="BC80" s="4">
        <v>-0.14599999999999999</v>
      </c>
      <c r="BD80" s="4">
        <v>-0.223</v>
      </c>
      <c r="BE80" s="4">
        <v>0.245</v>
      </c>
      <c r="BF80" s="4">
        <v>0.29199999999999998</v>
      </c>
      <c r="BG80" s="4">
        <v>-0.60199999999999998</v>
      </c>
      <c r="BH80" s="4">
        <v>0.72699999999999998</v>
      </c>
      <c r="BI80" s="4">
        <v>-0.51800000000000002</v>
      </c>
      <c r="BJ80" s="4">
        <v>-0.21199999999999999</v>
      </c>
      <c r="BK80" s="4">
        <v>0.55500000000000005</v>
      </c>
      <c r="BL80" s="4">
        <v>0.52500000000000002</v>
      </c>
      <c r="BM80" s="4"/>
    </row>
    <row r="81" spans="1:65" x14ac:dyDescent="0.3">
      <c r="A81" s="19" t="s">
        <v>112</v>
      </c>
      <c r="B81" s="53">
        <v>0.01</v>
      </c>
      <c r="C81" s="53">
        <f t="shared" si="12"/>
        <v>-1.9999999999999997E-2</v>
      </c>
      <c r="D81" s="53">
        <f t="shared" si="13"/>
        <v>0.01</v>
      </c>
      <c r="E81" s="53">
        <f t="shared" si="14"/>
        <v>0.03</v>
      </c>
      <c r="F81" s="15">
        <v>1.2310000000000001</v>
      </c>
      <c r="G81" s="19">
        <v>2.48</v>
      </c>
      <c r="H81" s="24" t="s">
        <v>55</v>
      </c>
      <c r="I81" t="str">
        <f>VLOOKUP(A81,Planilha6!$BL$9:$BN$222,2,0)</f>
        <v>utilities</v>
      </c>
      <c r="J81" t="str">
        <f>VLOOKUP(A81,Planilha6!$BL$9:$BN$222,3,0)</f>
        <v>low_beta</v>
      </c>
      <c r="K81" s="2">
        <v>0</v>
      </c>
      <c r="L81" s="2">
        <v>-0.03</v>
      </c>
      <c r="M81" s="15">
        <v>47</v>
      </c>
      <c r="N81" s="41">
        <f>VLOOKUP(A81,'Mandato Smll'!$A$2:$C$215,2,0)</f>
        <v>0</v>
      </c>
      <c r="O81" s="59">
        <f t="shared" si="15"/>
        <v>0</v>
      </c>
      <c r="P81" s="42">
        <f t="shared" si="16"/>
        <v>0.01</v>
      </c>
      <c r="Q81" s="41">
        <f>VLOOKUP(A81,'Mandato Smll'!$A$2:$C$215,3,0)</f>
        <v>6.15297084127477E-2</v>
      </c>
      <c r="R81" s="59">
        <f t="shared" si="17"/>
        <v>-6.15297084127477E-2</v>
      </c>
      <c r="S81" s="15">
        <v>-0.68300000000000005</v>
      </c>
      <c r="T81" s="15">
        <v>0.35199999999999998</v>
      </c>
      <c r="U81" s="15">
        <v>-0.82899999999999996</v>
      </c>
      <c r="V81" s="15">
        <v>-0.246</v>
      </c>
      <c r="W81" s="15">
        <v>-3.5999999999999997E-2</v>
      </c>
      <c r="X81" s="15">
        <v>-0.16900000000000001</v>
      </c>
      <c r="Y81" s="15">
        <v>9.8000000000000004E-2</v>
      </c>
      <c r="Z81" s="15">
        <v>0.25800000000000001</v>
      </c>
      <c r="AA81" s="15">
        <v>0.875</v>
      </c>
      <c r="AB81" s="15">
        <v>0.88200000000000001</v>
      </c>
      <c r="AC81" s="15">
        <v>0.58899999999999997</v>
      </c>
      <c r="AD81" s="15">
        <v>0.62</v>
      </c>
      <c r="AE81" s="15">
        <v>0.69099999999999995</v>
      </c>
      <c r="AF81" s="14">
        <v>-0.73299999999999998</v>
      </c>
      <c r="AG81" s="15">
        <v>-0.48099999999999998</v>
      </c>
      <c r="AH81" s="15">
        <v>0.80900000000000005</v>
      </c>
      <c r="AI81" s="15">
        <v>-0.91100000000000003</v>
      </c>
      <c r="AJ81" s="15">
        <v>0.13</v>
      </c>
      <c r="AK81" s="9">
        <v>-0.73099999999999998</v>
      </c>
      <c r="AL81" s="4">
        <v>-0.38</v>
      </c>
      <c r="AM81" s="4">
        <v>-3.2000000000000001E-2</v>
      </c>
      <c r="AN81" s="4">
        <v>-0.70399999999999996</v>
      </c>
      <c r="AO81" s="4">
        <v>-0.88500000000000001</v>
      </c>
      <c r="AP81" s="4">
        <v>0.91400000000000003</v>
      </c>
      <c r="AQ81" s="4">
        <v>0.93400000000000005</v>
      </c>
      <c r="AR81" s="4">
        <v>0.37</v>
      </c>
      <c r="AS81" s="4">
        <v>0.14599999999999999</v>
      </c>
      <c r="AT81" s="4">
        <v>-8.2000000000000003E-2</v>
      </c>
      <c r="AU81" s="4">
        <v>0.35199999999999998</v>
      </c>
      <c r="AV81" s="4">
        <v>0.10199999999999999</v>
      </c>
      <c r="AW81" s="4">
        <v>-0.252</v>
      </c>
      <c r="AX81" s="4">
        <v>0.61599999999999999</v>
      </c>
      <c r="AY81" s="4">
        <v>-0.61899999999999999</v>
      </c>
      <c r="AZ81" s="4">
        <v>1</v>
      </c>
      <c r="BA81" s="4">
        <v>0.379</v>
      </c>
      <c r="BB81" s="4">
        <v>-0.90100000000000002</v>
      </c>
      <c r="BC81" s="4">
        <v>-0.26200000000000001</v>
      </c>
      <c r="BD81" s="4">
        <v>-0.64100000000000001</v>
      </c>
      <c r="BE81" s="4">
        <v>0.35699999999999998</v>
      </c>
      <c r="BF81" s="4">
        <v>-0.13300000000000001</v>
      </c>
      <c r="BG81" s="4">
        <v>0.442</v>
      </c>
      <c r="BH81" s="4">
        <v>0.67800000000000005</v>
      </c>
      <c r="BI81" s="4">
        <v>-1</v>
      </c>
      <c r="BJ81" s="4">
        <v>-0.247</v>
      </c>
      <c r="BK81" s="4">
        <v>-0.316</v>
      </c>
      <c r="BL81" s="4">
        <v>-9.8000000000000004E-2</v>
      </c>
      <c r="BM81" s="4"/>
    </row>
    <row r="82" spans="1:65" hidden="1" x14ac:dyDescent="0.3">
      <c r="A82" s="19" t="s">
        <v>94</v>
      </c>
      <c r="B82" s="53">
        <f t="shared" si="11"/>
        <v>0</v>
      </c>
      <c r="C82" s="53">
        <f t="shared" si="12"/>
        <v>-1.7000000000000001E-2</v>
      </c>
      <c r="D82" s="53">
        <f t="shared" si="13"/>
        <v>0</v>
      </c>
      <c r="E82" s="53">
        <f t="shared" si="14"/>
        <v>1.7000000000000001E-2</v>
      </c>
      <c r="F82" s="15">
        <v>1.1499999999999999</v>
      </c>
      <c r="G82" s="19">
        <v>2.476</v>
      </c>
      <c r="H82" s="24" t="s">
        <v>55</v>
      </c>
      <c r="I82" t="str">
        <f>VLOOKUP(A82,Planilha6!$BL$9:$BN$222,2,0)</f>
        <v>real_estate</v>
      </c>
      <c r="J82" t="str">
        <f>VLOOKUP(A82,Planilha6!$BL$9:$BN$222,3,0)</f>
        <v>high_beta</v>
      </c>
      <c r="K82" s="2">
        <v>0</v>
      </c>
      <c r="L82" s="2">
        <v>-1.7000000000000001E-2</v>
      </c>
      <c r="M82" s="15">
        <v>62</v>
      </c>
      <c r="N82" s="41">
        <f>VLOOKUP(A82,'Mandato Smll'!$A$2:$C$215,2,0)</f>
        <v>0</v>
      </c>
      <c r="O82" s="59">
        <f t="shared" si="15"/>
        <v>0</v>
      </c>
      <c r="P82" s="42">
        <f t="shared" si="16"/>
        <v>0</v>
      </c>
      <c r="Q82" s="41">
        <f>VLOOKUP(A82,'Mandato Smll'!$A$2:$C$215,3,0)</f>
        <v>3.8726730408163497E-2</v>
      </c>
      <c r="R82" s="59">
        <f t="shared" si="17"/>
        <v>-3.8726730408163497E-2</v>
      </c>
      <c r="S82" s="15">
        <v>-0.19800000000000001</v>
      </c>
      <c r="T82" s="15">
        <v>0.21299999999999999</v>
      </c>
      <c r="U82" s="15">
        <v>-0.47199999999999998</v>
      </c>
      <c r="V82" s="15">
        <v>-0.126</v>
      </c>
      <c r="W82" s="15">
        <v>-0.05</v>
      </c>
      <c r="X82" s="15">
        <v>4.0000000000000001E-3</v>
      </c>
      <c r="Y82" s="15">
        <v>0.224</v>
      </c>
      <c r="Z82" s="15">
        <v>-0.16600000000000001</v>
      </c>
      <c r="AA82" s="15">
        <v>0.35</v>
      </c>
      <c r="AB82" s="15">
        <v>0.35199999999999998</v>
      </c>
      <c r="AC82" s="15">
        <v>0.70699999999999996</v>
      </c>
      <c r="AD82" s="15">
        <v>0.73299999999999998</v>
      </c>
      <c r="AE82" s="15">
        <v>0.55700000000000005</v>
      </c>
      <c r="AF82" s="14">
        <v>-0.19400000000000001</v>
      </c>
      <c r="AG82" s="15">
        <v>-0.23699999999999999</v>
      </c>
      <c r="AH82" s="15">
        <v>5.0000000000000001E-3</v>
      </c>
      <c r="AI82" s="15">
        <v>-0.78800000000000003</v>
      </c>
      <c r="AJ82" s="15">
        <v>7.6999999999999999E-2</v>
      </c>
      <c r="AK82" s="9">
        <v>-7.9000000000000001E-2</v>
      </c>
      <c r="AL82" s="4">
        <v>-0.439</v>
      </c>
      <c r="AM82" s="4">
        <v>-0.59299999999999997</v>
      </c>
      <c r="AN82" s="4">
        <v>-0.64300000000000002</v>
      </c>
      <c r="AO82" s="4">
        <v>-0.128</v>
      </c>
      <c r="AP82" s="4">
        <v>0.39600000000000002</v>
      </c>
      <c r="AQ82" s="4">
        <v>0.45900000000000002</v>
      </c>
      <c r="AR82" s="4">
        <v>0.82699999999999996</v>
      </c>
      <c r="AS82" s="4">
        <v>4.8000000000000001E-2</v>
      </c>
      <c r="AT82" s="4">
        <v>-2.8000000000000001E-2</v>
      </c>
      <c r="AU82" s="4">
        <v>0.16200000000000001</v>
      </c>
      <c r="AV82" s="4">
        <v>0.53400000000000003</v>
      </c>
      <c r="AW82" s="4">
        <v>0.438</v>
      </c>
      <c r="AX82" s="4">
        <v>0.22600000000000001</v>
      </c>
      <c r="AY82" s="4">
        <v>-0.28399999999999997</v>
      </c>
      <c r="AZ82" s="4">
        <v>0.65800000000000003</v>
      </c>
      <c r="BA82" s="4">
        <v>0.33800000000000002</v>
      </c>
      <c r="BB82" s="4">
        <v>-0.26300000000000001</v>
      </c>
      <c r="BC82" s="4">
        <v>-0.51500000000000001</v>
      </c>
      <c r="BD82" s="4">
        <v>-3.2000000000000001E-2</v>
      </c>
      <c r="BE82" s="4">
        <v>0.27800000000000002</v>
      </c>
      <c r="BF82" s="4">
        <v>-0.30299999999999999</v>
      </c>
      <c r="BG82" s="4">
        <v>0.113</v>
      </c>
      <c r="BH82" s="4">
        <v>0.48</v>
      </c>
      <c r="BI82" s="4">
        <v>-0.432</v>
      </c>
      <c r="BJ82" s="4">
        <v>0.47099999999999997</v>
      </c>
      <c r="BK82" s="4">
        <v>-0.314</v>
      </c>
      <c r="BL82" s="4">
        <v>-0.16</v>
      </c>
      <c r="BM82" s="4"/>
    </row>
    <row r="83" spans="1:65" hidden="1" x14ac:dyDescent="0.3">
      <c r="A83" s="19" t="s">
        <v>166</v>
      </c>
      <c r="B83" s="53">
        <f t="shared" si="11"/>
        <v>0</v>
      </c>
      <c r="C83" s="53">
        <f t="shared" si="12"/>
        <v>0</v>
      </c>
      <c r="D83" s="53">
        <f t="shared" si="13"/>
        <v>0</v>
      </c>
      <c r="E83" s="53">
        <f t="shared" si="14"/>
        <v>0</v>
      </c>
      <c r="F83" s="15">
        <v>1.105</v>
      </c>
      <c r="G83" s="19">
        <v>1.175</v>
      </c>
      <c r="H83" s="24" t="s">
        <v>55</v>
      </c>
      <c r="I83" t="str">
        <f>VLOOKUP(A83,Planilha6!$BL$9:$BN$222,2,0)</f>
        <v>utilities</v>
      </c>
      <c r="J83" t="str">
        <f>VLOOKUP(A83,Planilha6!$BL$9:$BN$222,3,0)</f>
        <v>very_low_beta</v>
      </c>
      <c r="K83" s="2">
        <v>0</v>
      </c>
      <c r="L83" s="2">
        <v>0</v>
      </c>
      <c r="M83" s="15">
        <v>84</v>
      </c>
      <c r="N83" s="41">
        <f>VLOOKUP(A83,'Mandato Smll'!$A$2:$C$215,2,0)</f>
        <v>0</v>
      </c>
      <c r="O83" s="59">
        <f t="shared" si="15"/>
        <v>0</v>
      </c>
      <c r="P83" s="42">
        <f t="shared" si="16"/>
        <v>0</v>
      </c>
      <c r="Q83" s="41">
        <f>VLOOKUP(A83,'Mandato Smll'!$A$2:$C$215,3,0)</f>
        <v>9.9575257526368696E-3</v>
      </c>
      <c r="R83" s="59">
        <f t="shared" si="17"/>
        <v>-9.9575257526368696E-3</v>
      </c>
      <c r="S83" s="15">
        <v>-0.67400000000000004</v>
      </c>
      <c r="T83" s="15">
        <v>-0.02</v>
      </c>
      <c r="U83" s="15">
        <v>-0.7</v>
      </c>
      <c r="V83" s="15">
        <v>-0.47</v>
      </c>
      <c r="W83" s="15">
        <v>-0.20899999999999999</v>
      </c>
      <c r="X83" s="15">
        <v>-0.22600000000000001</v>
      </c>
      <c r="Y83" s="15">
        <v>-7.8E-2</v>
      </c>
      <c r="Z83" s="15">
        <v>0.26600000000000001</v>
      </c>
      <c r="AA83" s="15">
        <v>0.82799999999999996</v>
      </c>
      <c r="AB83" s="15">
        <v>0.83399999999999996</v>
      </c>
      <c r="AC83" s="15">
        <v>0.69099999999999995</v>
      </c>
      <c r="AD83" s="15">
        <v>0.77300000000000002</v>
      </c>
      <c r="AE83" s="15">
        <v>0.60599999999999998</v>
      </c>
      <c r="AF83" s="14">
        <v>-0.67600000000000005</v>
      </c>
      <c r="AG83" s="15">
        <v>-0.53800000000000003</v>
      </c>
      <c r="AH83" s="15">
        <v>0.27700000000000002</v>
      </c>
      <c r="AI83" s="15">
        <v>-0.90100000000000002</v>
      </c>
      <c r="AJ83" s="15">
        <v>-0.64800000000000002</v>
      </c>
      <c r="AK83" s="9">
        <v>-0.95399999999999996</v>
      </c>
      <c r="AL83" s="4">
        <v>-0.38400000000000001</v>
      </c>
      <c r="AM83" s="4">
        <v>0.29899999999999999</v>
      </c>
      <c r="AN83" s="4">
        <v>-0.51900000000000002</v>
      </c>
      <c r="AO83" s="4">
        <v>-0.621</v>
      </c>
      <c r="AP83" s="4">
        <v>0.54200000000000004</v>
      </c>
      <c r="AQ83" s="4">
        <v>0.78400000000000003</v>
      </c>
      <c r="AR83" s="4">
        <v>-0.106</v>
      </c>
      <c r="AS83" s="4">
        <v>0.38800000000000001</v>
      </c>
      <c r="AT83" s="4">
        <v>-0.15</v>
      </c>
      <c r="AU83" s="4">
        <v>0.33600000000000002</v>
      </c>
      <c r="AV83" s="4">
        <v>-0.27300000000000002</v>
      </c>
      <c r="AW83" s="4">
        <v>-0.28499999999999998</v>
      </c>
      <c r="AX83" s="4">
        <v>0.61899999999999999</v>
      </c>
      <c r="AY83" s="4">
        <v>-0.55800000000000005</v>
      </c>
      <c r="AZ83" s="4">
        <v>0.90800000000000003</v>
      </c>
      <c r="BA83" s="4">
        <v>0.58299999999999996</v>
      </c>
      <c r="BB83" s="4">
        <v>9.8000000000000004E-2</v>
      </c>
      <c r="BC83" s="4">
        <v>-0.46899999999999997</v>
      </c>
      <c r="BD83" s="4">
        <v>-0.66100000000000003</v>
      </c>
      <c r="BE83" s="4">
        <v>-0.14799999999999999</v>
      </c>
      <c r="BF83" s="4">
        <v>-0.751</v>
      </c>
      <c r="BG83" s="4">
        <v>-0.58199999999999996</v>
      </c>
      <c r="BH83" s="4">
        <v>0.502</v>
      </c>
      <c r="BI83" s="4">
        <v>-0.59799999999999998</v>
      </c>
      <c r="BJ83" s="4">
        <v>-0.35699999999999998</v>
      </c>
      <c r="BK83" s="4">
        <v>0.91500000000000004</v>
      </c>
      <c r="BL83" s="4">
        <v>-0.38600000000000001</v>
      </c>
      <c r="BM83" s="4"/>
    </row>
    <row r="84" spans="1:65" hidden="1" x14ac:dyDescent="0.3">
      <c r="A84" s="19" t="s">
        <v>124</v>
      </c>
      <c r="B84" s="53">
        <f t="shared" si="11"/>
        <v>0</v>
      </c>
      <c r="C84" s="53">
        <f t="shared" si="12"/>
        <v>-2.8000000000000001E-2</v>
      </c>
      <c r="D84" s="53">
        <f t="shared" si="13"/>
        <v>0</v>
      </c>
      <c r="E84" s="53">
        <f t="shared" si="14"/>
        <v>2.8000000000000001E-2</v>
      </c>
      <c r="F84" s="15">
        <v>1.101</v>
      </c>
      <c r="G84" s="19">
        <v>2.371</v>
      </c>
      <c r="H84" s="24" t="s">
        <v>55</v>
      </c>
      <c r="I84" t="str">
        <f>VLOOKUP(A84,Planilha6!$BL$9:$BN$222,2,0)</f>
        <v>utilities</v>
      </c>
      <c r="J84" t="str">
        <f>VLOOKUP(A84,Planilha6!$BL$9:$BN$222,3,0)</f>
        <v>low_beta</v>
      </c>
      <c r="K84" s="2">
        <v>0</v>
      </c>
      <c r="L84" s="2">
        <v>-2.8000000000000001E-2</v>
      </c>
      <c r="M84" s="15">
        <v>49</v>
      </c>
      <c r="N84" s="41">
        <f>VLOOKUP(A84,'Mandato Smll'!$A$2:$C$215,2,0)</f>
        <v>0</v>
      </c>
      <c r="O84" s="59">
        <f t="shared" si="15"/>
        <v>0</v>
      </c>
      <c r="P84" s="42">
        <f t="shared" si="16"/>
        <v>0</v>
      </c>
      <c r="Q84" s="41">
        <f>VLOOKUP(A84,'Mandato Smll'!$A$2:$C$215,3,0)</f>
        <v>5.0382925660308303E-2</v>
      </c>
      <c r="R84" s="59">
        <f t="shared" si="17"/>
        <v>-5.0382925660308303E-2</v>
      </c>
      <c r="S84" s="15">
        <v>-0.73799999999999999</v>
      </c>
      <c r="T84" s="15">
        <v>7.5999999999999998E-2</v>
      </c>
      <c r="U84" s="15">
        <v>-0.85099999999999998</v>
      </c>
      <c r="V84" s="15">
        <v>-0.495</v>
      </c>
      <c r="W84" s="15">
        <v>-0.27500000000000002</v>
      </c>
      <c r="X84" s="15">
        <v>-0.13500000000000001</v>
      </c>
      <c r="Y84" s="15">
        <v>0.40799999999999997</v>
      </c>
      <c r="Z84" s="15">
        <v>0.29599999999999999</v>
      </c>
      <c r="AA84" s="15">
        <v>0.73699999999999999</v>
      </c>
      <c r="AB84" s="15">
        <v>0.74099999999999999</v>
      </c>
      <c r="AC84" s="15">
        <v>0.60399999999999998</v>
      </c>
      <c r="AD84" s="15">
        <v>0.6</v>
      </c>
      <c r="AE84" s="15">
        <v>0.54900000000000004</v>
      </c>
      <c r="AF84" s="14">
        <v>-0.54800000000000004</v>
      </c>
      <c r="AG84" s="15">
        <v>-0.67900000000000005</v>
      </c>
      <c r="AH84" s="15">
        <v>5.8000000000000003E-2</v>
      </c>
      <c r="AI84" s="15">
        <v>-0.79300000000000004</v>
      </c>
      <c r="AJ84" s="15">
        <v>-0.317</v>
      </c>
      <c r="AK84" s="9">
        <v>-0.88800000000000001</v>
      </c>
      <c r="AL84" s="4">
        <v>-0.26900000000000002</v>
      </c>
      <c r="AM84" s="4">
        <v>0.14499999999999999</v>
      </c>
      <c r="AN84" s="4">
        <v>-0.59299999999999997</v>
      </c>
      <c r="AO84" s="4">
        <v>-0.44</v>
      </c>
      <c r="AP84" s="4">
        <v>0.36899999999999999</v>
      </c>
      <c r="AQ84" s="4">
        <v>0.443</v>
      </c>
      <c r="AR84" s="4">
        <v>-0.16600000000000001</v>
      </c>
      <c r="AS84" s="4">
        <v>-0.14199999999999999</v>
      </c>
      <c r="AT84" s="4">
        <v>0.17499999999999999</v>
      </c>
      <c r="AU84" s="4">
        <v>0.191</v>
      </c>
      <c r="AV84" s="4">
        <v>0.503</v>
      </c>
      <c r="AW84" s="4">
        <v>-0.157</v>
      </c>
      <c r="AX84" s="4">
        <v>0.85699999999999998</v>
      </c>
      <c r="AY84" s="4">
        <v>-0.92800000000000005</v>
      </c>
      <c r="AZ84" s="4">
        <v>0.495</v>
      </c>
      <c r="BA84" s="4">
        <v>0.1</v>
      </c>
      <c r="BB84" s="4">
        <v>-0.41299999999999998</v>
      </c>
      <c r="BC84" s="4">
        <v>-0.41599999999999998</v>
      </c>
      <c r="BD84" s="4">
        <v>-0.52100000000000002</v>
      </c>
      <c r="BE84" s="4">
        <v>0.186</v>
      </c>
      <c r="BF84" s="4">
        <v>4.2999999999999997E-2</v>
      </c>
      <c r="BG84" s="4">
        <v>-7.3999999999999996E-2</v>
      </c>
      <c r="BH84" s="4">
        <v>0.86099999999999999</v>
      </c>
      <c r="BI84" s="4">
        <v>-0.437</v>
      </c>
      <c r="BJ84" s="4">
        <v>-0.253</v>
      </c>
      <c r="BK84" s="4">
        <v>-0.155</v>
      </c>
      <c r="BL84" s="4">
        <v>4.3999999999999997E-2</v>
      </c>
      <c r="BM84" s="4"/>
    </row>
    <row r="85" spans="1:65" hidden="1" x14ac:dyDescent="0.3">
      <c r="A85" s="19" t="s">
        <v>163</v>
      </c>
      <c r="B85" s="53">
        <f t="shared" si="11"/>
        <v>0</v>
      </c>
      <c r="C85" s="53">
        <f t="shared" si="12"/>
        <v>-4.0000000000000001E-3</v>
      </c>
      <c r="D85" s="53">
        <f t="shared" si="13"/>
        <v>0</v>
      </c>
      <c r="E85" s="53">
        <f t="shared" si="14"/>
        <v>4.0000000000000001E-3</v>
      </c>
      <c r="F85" s="15">
        <v>1.0900000000000001</v>
      </c>
      <c r="G85" s="19">
        <v>1.6479999999999999</v>
      </c>
      <c r="H85" s="24" t="s">
        <v>68</v>
      </c>
      <c r="I85" t="str">
        <f>VLOOKUP(A85,Planilha6!$BL$9:$BN$222,2,0)</f>
        <v>building_materials</v>
      </c>
      <c r="J85" t="str">
        <f>VLOOKUP(A85,Planilha6!$BL$9:$BN$222,3,0)</f>
        <v>neutral_beta</v>
      </c>
      <c r="K85" s="2">
        <v>0</v>
      </c>
      <c r="L85" s="2">
        <v>-4.0000000000000001E-3</v>
      </c>
      <c r="M85" s="15">
        <v>84</v>
      </c>
      <c r="N85" s="41">
        <f>VLOOKUP(A85,'Mandato Smll'!$A$2:$C$215,2,0)</f>
        <v>0</v>
      </c>
      <c r="O85" s="59">
        <f t="shared" si="15"/>
        <v>0</v>
      </c>
      <c r="P85" s="42">
        <f t="shared" si="16"/>
        <v>0</v>
      </c>
      <c r="Q85" s="41">
        <f>VLOOKUP(A85,'Mandato Smll'!$A$2:$C$215,3,0)</f>
        <v>0</v>
      </c>
      <c r="R85" s="59">
        <f t="shared" si="17"/>
        <v>0</v>
      </c>
      <c r="S85" s="15">
        <v>-0.29599999999999999</v>
      </c>
      <c r="T85" s="15">
        <v>0.157</v>
      </c>
      <c r="U85" s="15">
        <v>-0.4</v>
      </c>
      <c r="V85" s="15">
        <v>-0.52</v>
      </c>
      <c r="W85" s="15">
        <v>-0.23499999999999999</v>
      </c>
      <c r="X85" s="15">
        <v>-0.125</v>
      </c>
      <c r="Y85" s="15">
        <v>0.25800000000000001</v>
      </c>
      <c r="Z85" s="15">
        <v>-0.22800000000000001</v>
      </c>
      <c r="AA85" s="15">
        <v>0.61</v>
      </c>
      <c r="AB85" s="15">
        <v>0.60899999999999999</v>
      </c>
      <c r="AC85" s="15">
        <v>0.69</v>
      </c>
      <c r="AD85" s="15">
        <v>0.63400000000000001</v>
      </c>
      <c r="AE85" s="15">
        <v>0.64600000000000002</v>
      </c>
      <c r="AF85" s="14">
        <v>-0.77200000000000002</v>
      </c>
      <c r="AG85" s="15">
        <v>-0.57199999999999995</v>
      </c>
      <c r="AH85" s="15">
        <v>-0.11899999999999999</v>
      </c>
      <c r="AI85" s="15">
        <v>-0.52900000000000003</v>
      </c>
      <c r="AJ85" s="15">
        <v>0.63400000000000001</v>
      </c>
      <c r="AK85" s="9">
        <v>-0.52500000000000002</v>
      </c>
      <c r="AL85" s="4">
        <v>-0.14899999999999999</v>
      </c>
      <c r="AM85" s="4">
        <v>-0.54900000000000004</v>
      </c>
      <c r="AN85" s="4">
        <v>-0.65600000000000003</v>
      </c>
      <c r="AO85" s="4">
        <v>0.17599999999999999</v>
      </c>
      <c r="AP85" s="4">
        <v>0.17799999999999999</v>
      </c>
      <c r="AQ85" s="4">
        <v>-1.4999999999999999E-2</v>
      </c>
      <c r="AR85" s="4">
        <v>0.25600000000000001</v>
      </c>
      <c r="AS85" s="4">
        <v>6.5000000000000002E-2</v>
      </c>
      <c r="AT85" s="4">
        <v>-0.24099999999999999</v>
      </c>
      <c r="AU85" s="4">
        <v>0.379</v>
      </c>
      <c r="AV85" s="4">
        <v>0.54400000000000004</v>
      </c>
      <c r="AW85" s="4">
        <v>-0.247</v>
      </c>
      <c r="AX85" s="4">
        <v>0.40600000000000003</v>
      </c>
      <c r="AY85" s="4">
        <v>-4.7E-2</v>
      </c>
      <c r="AZ85" s="4">
        <v>0.64900000000000002</v>
      </c>
      <c r="BA85" s="4">
        <v>0.33200000000000002</v>
      </c>
      <c r="BB85" s="4">
        <v>0.442</v>
      </c>
      <c r="BC85" s="4">
        <v>-0.23100000000000001</v>
      </c>
      <c r="BD85" s="4">
        <v>-0.46700000000000003</v>
      </c>
      <c r="BE85" s="4">
        <v>0.22600000000000001</v>
      </c>
      <c r="BF85" s="4">
        <v>0.25700000000000001</v>
      </c>
      <c r="BG85" s="4">
        <v>-5.8000000000000003E-2</v>
      </c>
      <c r="BH85" s="4">
        <v>0.871</v>
      </c>
      <c r="BI85" s="4">
        <v>-0.52800000000000002</v>
      </c>
      <c r="BJ85" s="4">
        <v>0.33</v>
      </c>
      <c r="BK85" s="4">
        <v>0.249</v>
      </c>
      <c r="BL85" s="4">
        <v>-6.4000000000000001E-2</v>
      </c>
      <c r="BM85" s="4"/>
    </row>
    <row r="86" spans="1:65" hidden="1" x14ac:dyDescent="0.3">
      <c r="A86" s="19" t="s">
        <v>135</v>
      </c>
      <c r="B86" s="53">
        <f t="shared" si="11"/>
        <v>0</v>
      </c>
      <c r="C86" s="53">
        <f t="shared" si="12"/>
        <v>0</v>
      </c>
      <c r="D86" s="53">
        <f t="shared" si="13"/>
        <v>0</v>
      </c>
      <c r="E86" s="53">
        <f t="shared" si="14"/>
        <v>0</v>
      </c>
      <c r="F86" s="15">
        <v>1.046</v>
      </c>
      <c r="G86" s="19">
        <v>1.4219999999999999</v>
      </c>
      <c r="H86" s="24" t="s">
        <v>57</v>
      </c>
      <c r="I86" t="str">
        <f>VLOOKUP(A86,Planilha6!$BL$9:$BN$222,2,0)</f>
        <v>banks</v>
      </c>
      <c r="J86" t="str">
        <f>VLOOKUP(A86,Planilha6!$BL$9:$BN$222,3,0)</f>
        <v>neutral_beta</v>
      </c>
      <c r="K86" s="2">
        <v>0</v>
      </c>
      <c r="L86" s="2">
        <v>0</v>
      </c>
      <c r="M86" s="15">
        <v>2</v>
      </c>
      <c r="N86" s="41">
        <f>VLOOKUP(A86,'Mandato Smll'!$A$2:$C$215,2,0)</f>
        <v>0</v>
      </c>
      <c r="O86" s="59">
        <f t="shared" si="15"/>
        <v>0</v>
      </c>
      <c r="P86" s="42">
        <f t="shared" si="16"/>
        <v>0</v>
      </c>
      <c r="Q86" s="41">
        <f>VLOOKUP(A86,'Mandato Smll'!$A$2:$C$215,3,0)</f>
        <v>0</v>
      </c>
      <c r="R86" s="59">
        <f t="shared" si="17"/>
        <v>0</v>
      </c>
      <c r="S86" s="15">
        <v>-0.56100000000000005</v>
      </c>
      <c r="T86" s="15">
        <v>8.5000000000000006E-2</v>
      </c>
      <c r="U86" s="15">
        <v>-0.84799999999999998</v>
      </c>
      <c r="V86" s="15">
        <v>-0.30099999999999999</v>
      </c>
      <c r="W86" s="15">
        <v>-0.255</v>
      </c>
      <c r="X86" s="15">
        <v>-0.13800000000000001</v>
      </c>
      <c r="Y86" s="15">
        <v>7.0000000000000007E-2</v>
      </c>
      <c r="Z86" s="15">
        <v>7.8E-2</v>
      </c>
      <c r="AA86" s="15">
        <v>0.56200000000000006</v>
      </c>
      <c r="AB86" s="15">
        <v>0.56699999999999995</v>
      </c>
      <c r="AC86" s="15">
        <v>0.69499999999999995</v>
      </c>
      <c r="AD86" s="15">
        <v>0.79200000000000004</v>
      </c>
      <c r="AE86" s="15">
        <v>0.627</v>
      </c>
      <c r="AF86" s="14">
        <v>-0.61</v>
      </c>
      <c r="AG86" s="15">
        <v>3.9E-2</v>
      </c>
      <c r="AH86" s="15">
        <v>0.44900000000000001</v>
      </c>
      <c r="AI86" s="15">
        <v>-0.96399999999999997</v>
      </c>
      <c r="AJ86" s="15">
        <v>-0.751</v>
      </c>
      <c r="AK86" s="9">
        <v>-0.97899999999999998</v>
      </c>
      <c r="AL86" s="4">
        <v>-0.183</v>
      </c>
      <c r="AM86" s="4">
        <v>2.8000000000000001E-2</v>
      </c>
      <c r="AN86" s="4">
        <v>-0.53600000000000003</v>
      </c>
      <c r="AO86" s="4">
        <v>-0.16500000000000001</v>
      </c>
      <c r="AP86" s="4">
        <v>0.40699999999999997</v>
      </c>
      <c r="AQ86" s="4">
        <v>0.53700000000000003</v>
      </c>
      <c r="AR86" s="4">
        <v>0.27900000000000003</v>
      </c>
      <c r="AS86" s="4">
        <v>0.11899999999999999</v>
      </c>
      <c r="AT86" s="4">
        <v>-6.3E-2</v>
      </c>
      <c r="AU86" s="4">
        <v>4.1000000000000002E-2</v>
      </c>
      <c r="AV86" s="4">
        <v>-0.16900000000000001</v>
      </c>
      <c r="AW86" s="4">
        <v>-0.20599999999999999</v>
      </c>
      <c r="AX86" s="4">
        <v>0.44400000000000001</v>
      </c>
      <c r="AY86" s="4">
        <v>-0.47099999999999997</v>
      </c>
      <c r="AZ86" s="4">
        <v>0.85599999999999998</v>
      </c>
      <c r="BA86" s="4">
        <v>0.251</v>
      </c>
      <c r="BB86" s="4">
        <v>0.34200000000000003</v>
      </c>
      <c r="BC86" s="4">
        <v>-0.159</v>
      </c>
      <c r="BD86" s="4">
        <v>-5.1999999999999998E-2</v>
      </c>
      <c r="BE86" s="4">
        <v>0.30299999999999999</v>
      </c>
      <c r="BF86" s="4">
        <v>-0.14299999999999999</v>
      </c>
      <c r="BG86" s="4">
        <v>-0.26500000000000001</v>
      </c>
      <c r="BH86" s="4">
        <v>0.80100000000000005</v>
      </c>
      <c r="BI86" s="4">
        <v>-0.72499999999999998</v>
      </c>
      <c r="BJ86" s="4">
        <v>8.0000000000000002E-3</v>
      </c>
      <c r="BK86" s="4">
        <v>-0.19900000000000001</v>
      </c>
      <c r="BL86" s="4">
        <v>-0.92300000000000004</v>
      </c>
      <c r="BM86" s="4"/>
    </row>
    <row r="87" spans="1:65" hidden="1" x14ac:dyDescent="0.3">
      <c r="A87" s="19" t="s">
        <v>143</v>
      </c>
      <c r="B87" s="53">
        <f t="shared" si="11"/>
        <v>0</v>
      </c>
      <c r="C87" s="53">
        <f t="shared" si="12"/>
        <v>-2.1999999999999999E-2</v>
      </c>
      <c r="D87" s="53">
        <f t="shared" si="13"/>
        <v>0</v>
      </c>
      <c r="E87" s="53">
        <f t="shared" si="14"/>
        <v>2.1999999999999999E-2</v>
      </c>
      <c r="F87" s="15">
        <v>1.0289999999999999</v>
      </c>
      <c r="G87" s="19">
        <v>2.09</v>
      </c>
      <c r="H87" s="24" t="s">
        <v>53</v>
      </c>
      <c r="I87" t="str">
        <f>VLOOKUP(A87,Planilha6!$BL$9:$BN$222,2,0)</f>
        <v>healthcare</v>
      </c>
      <c r="J87" t="str">
        <f>VLOOKUP(A87,Planilha6!$BL$9:$BN$222,3,0)</f>
        <v>low_beta</v>
      </c>
      <c r="K87" s="2">
        <v>0</v>
      </c>
      <c r="L87" s="2">
        <v>-2.1999999999999999E-2</v>
      </c>
      <c r="M87" s="15">
        <v>57</v>
      </c>
      <c r="N87" s="41">
        <f>VLOOKUP(A87,'Mandato Smll'!$A$2:$C$215,2,0)</f>
        <v>0</v>
      </c>
      <c r="O87" s="59">
        <f t="shared" si="15"/>
        <v>0</v>
      </c>
      <c r="P87" s="42">
        <f t="shared" si="16"/>
        <v>0</v>
      </c>
      <c r="Q87" s="41">
        <f>VLOOKUP(A87,'Mandato Smll'!$A$2:$C$215,3,0)</f>
        <v>0</v>
      </c>
      <c r="R87" s="59">
        <f t="shared" si="17"/>
        <v>0</v>
      </c>
      <c r="S87" s="15">
        <v>-0.36299999999999999</v>
      </c>
      <c r="T87" s="15">
        <v>-5.7000000000000002E-2</v>
      </c>
      <c r="U87" s="15">
        <v>-0.60499999999999998</v>
      </c>
      <c r="V87" s="15">
        <v>-0.35299999999999998</v>
      </c>
      <c r="W87" s="15">
        <v>-0.254</v>
      </c>
      <c r="X87" s="15">
        <v>-6.0999999999999999E-2</v>
      </c>
      <c r="Y87" s="15">
        <v>0.17100000000000001</v>
      </c>
      <c r="Z87" s="15">
        <v>-0.02</v>
      </c>
      <c r="AA87" s="15">
        <v>0.38500000000000001</v>
      </c>
      <c r="AB87" s="15">
        <v>0.38800000000000001</v>
      </c>
      <c r="AC87" s="15">
        <v>0.71499999999999997</v>
      </c>
      <c r="AD87" s="15">
        <v>0.77600000000000002</v>
      </c>
      <c r="AE87" s="15">
        <v>0.50900000000000001</v>
      </c>
      <c r="AF87" s="14">
        <v>-0.20599999999999999</v>
      </c>
      <c r="AG87" s="15">
        <v>-0.378</v>
      </c>
      <c r="AH87" s="15">
        <v>-0.29399999999999998</v>
      </c>
      <c r="AI87" s="15">
        <v>-0.60899999999999999</v>
      </c>
      <c r="AJ87" s="15">
        <v>-0.43</v>
      </c>
      <c r="AK87" s="9">
        <v>-0.74</v>
      </c>
      <c r="AL87" s="4">
        <v>-1.6E-2</v>
      </c>
      <c r="AM87" s="4">
        <v>-0.10100000000000001</v>
      </c>
      <c r="AN87" s="4">
        <v>-0.61699999999999999</v>
      </c>
      <c r="AO87" s="4">
        <v>0.20799999999999999</v>
      </c>
      <c r="AP87" s="4">
        <v>-2.3E-2</v>
      </c>
      <c r="AQ87" s="4">
        <v>0.17199999999999999</v>
      </c>
      <c r="AR87" s="4">
        <v>9.4E-2</v>
      </c>
      <c r="AS87" s="4">
        <v>0.20699999999999999</v>
      </c>
      <c r="AT87" s="4">
        <v>0.20399999999999999</v>
      </c>
      <c r="AU87" s="4">
        <v>0.28000000000000003</v>
      </c>
      <c r="AV87" s="4">
        <v>-0.106</v>
      </c>
      <c r="AW87" s="4">
        <v>8.5000000000000006E-2</v>
      </c>
      <c r="AX87" s="4">
        <v>0.45600000000000002</v>
      </c>
      <c r="AY87" s="4">
        <v>-0.17799999999999999</v>
      </c>
      <c r="AZ87" s="4">
        <v>0.95899999999999996</v>
      </c>
      <c r="BA87" s="4">
        <v>0.47799999999999998</v>
      </c>
      <c r="BB87" s="4">
        <v>0.13800000000000001</v>
      </c>
      <c r="BC87" s="4">
        <v>-2.3E-2</v>
      </c>
      <c r="BD87" s="4">
        <v>7.0000000000000001E-3</v>
      </c>
      <c r="BE87" s="4">
        <v>0.27900000000000003</v>
      </c>
      <c r="BF87" s="4">
        <v>-0.09</v>
      </c>
      <c r="BG87" s="4">
        <v>0.16900000000000001</v>
      </c>
      <c r="BH87" s="4">
        <v>0.73799999999999999</v>
      </c>
      <c r="BI87" s="4">
        <v>-0.21199999999999999</v>
      </c>
      <c r="BJ87" s="4">
        <v>-0.13400000000000001</v>
      </c>
      <c r="BK87" s="4">
        <v>-4.7E-2</v>
      </c>
      <c r="BL87" s="4">
        <v>-0.152</v>
      </c>
      <c r="BM87" s="4"/>
    </row>
    <row r="88" spans="1:65" hidden="1" x14ac:dyDescent="0.3">
      <c r="A88" s="19" t="s">
        <v>119</v>
      </c>
      <c r="B88" s="53">
        <f t="shared" si="11"/>
        <v>0</v>
      </c>
      <c r="C88" s="53">
        <f t="shared" si="12"/>
        <v>-5.0000000000000001E-3</v>
      </c>
      <c r="D88" s="53">
        <f t="shared" si="13"/>
        <v>0</v>
      </c>
      <c r="E88" s="53">
        <f t="shared" si="14"/>
        <v>5.0000000000000001E-3</v>
      </c>
      <c r="F88" s="15">
        <v>1.018</v>
      </c>
      <c r="G88" s="19">
        <v>1.2270000000000001</v>
      </c>
      <c r="H88" s="24" t="s">
        <v>57</v>
      </c>
      <c r="I88" t="str">
        <f>VLOOKUP(A88,Planilha6!$BL$9:$BN$222,2,0)</f>
        <v>homebuilders</v>
      </c>
      <c r="J88" t="str">
        <f>VLOOKUP(A88,Planilha6!$BL$9:$BN$222,3,0)</f>
        <v>high_beta</v>
      </c>
      <c r="K88" s="2">
        <v>0</v>
      </c>
      <c r="L88" s="2">
        <v>-5.0000000000000001E-3</v>
      </c>
      <c r="M88" s="15">
        <v>84</v>
      </c>
      <c r="N88" s="41">
        <f>VLOOKUP(A88,'Mandato Smll'!$A$2:$C$215,2,0)</f>
        <v>0</v>
      </c>
      <c r="O88" s="59">
        <f t="shared" si="15"/>
        <v>0</v>
      </c>
      <c r="P88" s="42">
        <f t="shared" si="16"/>
        <v>0</v>
      </c>
      <c r="Q88" s="41">
        <f>VLOOKUP(A88,'Mandato Smll'!$A$2:$C$215,3,0)</f>
        <v>0</v>
      </c>
      <c r="R88" s="59">
        <f t="shared" si="17"/>
        <v>0</v>
      </c>
      <c r="S88" s="15">
        <v>-0.21099999999999999</v>
      </c>
      <c r="T88" s="15">
        <v>-8.8999999999999996E-2</v>
      </c>
      <c r="U88" s="15">
        <v>-0.39400000000000002</v>
      </c>
      <c r="V88" s="15">
        <v>-0.23200000000000001</v>
      </c>
      <c r="W88" s="15">
        <v>-0.189</v>
      </c>
      <c r="X88" s="15">
        <v>-0.16500000000000001</v>
      </c>
      <c r="Y88" s="15">
        <v>0.04</v>
      </c>
      <c r="Z88" s="15">
        <v>-0.24399999999999999</v>
      </c>
      <c r="AA88" s="15">
        <v>0.41199999999999998</v>
      </c>
      <c r="AB88" s="15">
        <v>0.41299999999999998</v>
      </c>
      <c r="AC88" s="15">
        <v>0.72699999999999998</v>
      </c>
      <c r="AD88" s="15">
        <v>0.76400000000000001</v>
      </c>
      <c r="AE88" s="15">
        <v>0.57599999999999996</v>
      </c>
      <c r="AF88" s="14">
        <v>-0.02</v>
      </c>
      <c r="AG88" s="15">
        <v>-0.06</v>
      </c>
      <c r="AH88" s="15">
        <v>-5.1999999999999998E-2</v>
      </c>
      <c r="AI88" s="15">
        <v>-0.38300000000000001</v>
      </c>
      <c r="AJ88" s="15">
        <v>-0.158</v>
      </c>
      <c r="AK88" s="9">
        <v>-0.30199999999999999</v>
      </c>
      <c r="AL88" s="4">
        <v>-0.26900000000000002</v>
      </c>
      <c r="AM88" s="4">
        <v>-0.33900000000000002</v>
      </c>
      <c r="AN88" s="4">
        <v>-0.28399999999999997</v>
      </c>
      <c r="AO88" s="4">
        <v>0.56299999999999994</v>
      </c>
      <c r="AP88" s="4">
        <v>0.20699999999999999</v>
      </c>
      <c r="AQ88" s="4">
        <v>1.0999999999999999E-2</v>
      </c>
      <c r="AR88" s="4">
        <v>0.39300000000000002</v>
      </c>
      <c r="AS88" s="4">
        <v>-5.0000000000000001E-3</v>
      </c>
      <c r="AT88" s="4">
        <v>-6.6000000000000003E-2</v>
      </c>
      <c r="AU88" s="4">
        <v>2E-3</v>
      </c>
      <c r="AV88" s="4">
        <v>0.51600000000000001</v>
      </c>
      <c r="AW88" s="4">
        <v>0.19500000000000001</v>
      </c>
      <c r="AX88" s="4">
        <v>-0.09</v>
      </c>
      <c r="AY88" s="4">
        <v>9.9000000000000005E-2</v>
      </c>
      <c r="AZ88" s="4">
        <v>0.60299999999999998</v>
      </c>
      <c r="BA88" s="4">
        <v>0.15</v>
      </c>
      <c r="BB88" s="4">
        <v>5.5E-2</v>
      </c>
      <c r="BC88" s="4">
        <v>-0.20899999999999999</v>
      </c>
      <c r="BD88" s="4">
        <v>-0.30599999999999999</v>
      </c>
      <c r="BE88" s="4">
        <v>-0.3</v>
      </c>
      <c r="BF88" s="4">
        <v>-0.376</v>
      </c>
      <c r="BG88" s="4">
        <v>0.27300000000000002</v>
      </c>
      <c r="BH88" s="4">
        <v>0.44</v>
      </c>
      <c r="BI88" s="4">
        <v>-0.18</v>
      </c>
      <c r="BJ88" s="4">
        <v>0.41299999999999998</v>
      </c>
      <c r="BK88" s="4">
        <v>-2.8000000000000001E-2</v>
      </c>
      <c r="BL88" s="4">
        <v>-1.0999999999999999E-2</v>
      </c>
      <c r="BM88" s="4"/>
    </row>
    <row r="89" spans="1:65" hidden="1" x14ac:dyDescent="0.3">
      <c r="A89" s="19" t="s">
        <v>125</v>
      </c>
      <c r="B89" s="53">
        <f t="shared" si="11"/>
        <v>0</v>
      </c>
      <c r="C89" s="53">
        <f t="shared" si="12"/>
        <v>-3.1E-2</v>
      </c>
      <c r="D89" s="53">
        <f t="shared" si="13"/>
        <v>0</v>
      </c>
      <c r="E89" s="53">
        <f t="shared" si="14"/>
        <v>3.1E-2</v>
      </c>
      <c r="F89" s="15">
        <v>1.0149999999999999</v>
      </c>
      <c r="G89" s="19">
        <v>2.1869999999999998</v>
      </c>
      <c r="H89" s="24" t="s">
        <v>55</v>
      </c>
      <c r="I89" t="str">
        <f>VLOOKUP(A89,Planilha6!$BL$9:$BN$222,2,0)</f>
        <v>real_estate</v>
      </c>
      <c r="J89" t="str">
        <f>VLOOKUP(A89,Planilha6!$BL$9:$BN$222,3,0)</f>
        <v>high_beta</v>
      </c>
      <c r="K89" s="2">
        <v>0</v>
      </c>
      <c r="L89" s="2">
        <v>-3.1E-2</v>
      </c>
      <c r="M89" s="15">
        <v>46</v>
      </c>
      <c r="N89" s="41">
        <f>VLOOKUP(A89,'Mandato Smll'!$A$2:$C$215,2,0)</f>
        <v>0</v>
      </c>
      <c r="O89" s="59">
        <f t="shared" si="15"/>
        <v>0</v>
      </c>
      <c r="P89" s="42">
        <f t="shared" si="16"/>
        <v>0</v>
      </c>
      <c r="Q89" s="41">
        <f>VLOOKUP(A89,'Mandato Smll'!$A$2:$C$215,3,0)</f>
        <v>4.0261867185247699E-2</v>
      </c>
      <c r="R89" s="59">
        <f t="shared" si="17"/>
        <v>-4.0261867185247699E-2</v>
      </c>
      <c r="S89" s="15">
        <v>-0.47399999999999998</v>
      </c>
      <c r="T89" s="15">
        <v>0.20599999999999999</v>
      </c>
      <c r="U89" s="15">
        <v>-0.78100000000000003</v>
      </c>
      <c r="V89" s="15">
        <v>-0.36</v>
      </c>
      <c r="W89" s="15">
        <v>-0.23100000000000001</v>
      </c>
      <c r="X89" s="15">
        <v>5.0000000000000001E-3</v>
      </c>
      <c r="Y89" s="15">
        <v>0.499</v>
      </c>
      <c r="Z89" s="15">
        <v>5.0000000000000001E-3</v>
      </c>
      <c r="AA89" s="15">
        <v>0.40200000000000002</v>
      </c>
      <c r="AB89" s="15">
        <v>0.40699999999999997</v>
      </c>
      <c r="AC89" s="15">
        <v>0.59799999999999998</v>
      </c>
      <c r="AD89" s="15">
        <v>0.63700000000000001</v>
      </c>
      <c r="AE89" s="15">
        <v>0.44</v>
      </c>
      <c r="AF89" s="14">
        <v>-0.20200000000000001</v>
      </c>
      <c r="AG89" s="15">
        <v>-0.57199999999999995</v>
      </c>
      <c r="AH89" s="15">
        <v>-0.20399999999999999</v>
      </c>
      <c r="AI89" s="15">
        <v>-0.874</v>
      </c>
      <c r="AJ89" s="15">
        <v>-0.45</v>
      </c>
      <c r="AK89" s="9">
        <v>-0.51800000000000002</v>
      </c>
      <c r="AL89" s="4">
        <v>-0.3</v>
      </c>
      <c r="AM89" s="4">
        <v>-0.42099999999999999</v>
      </c>
      <c r="AN89" s="4">
        <v>-0.76200000000000001</v>
      </c>
      <c r="AO89" s="4">
        <v>1.4999999999999999E-2</v>
      </c>
      <c r="AP89" s="4">
        <v>0.214</v>
      </c>
      <c r="AQ89" s="4">
        <v>0.54</v>
      </c>
      <c r="AR89" s="4">
        <v>0.16200000000000001</v>
      </c>
      <c r="AS89" s="4">
        <v>-6.2E-2</v>
      </c>
      <c r="AT89" s="4">
        <v>-0.42299999999999999</v>
      </c>
      <c r="AU89" s="4">
        <v>0.5</v>
      </c>
      <c r="AV89" s="4">
        <v>0.98599999999999999</v>
      </c>
      <c r="AW89" s="4">
        <v>0.34399999999999997</v>
      </c>
      <c r="AX89" s="4">
        <v>0.315</v>
      </c>
      <c r="AY89" s="4">
        <v>-0.63100000000000001</v>
      </c>
      <c r="AZ89" s="4">
        <v>0.874</v>
      </c>
      <c r="BA89" s="4">
        <v>0.318</v>
      </c>
      <c r="BB89" s="4">
        <v>-0.36799999999999999</v>
      </c>
      <c r="BC89" s="4">
        <v>-0.28399999999999997</v>
      </c>
      <c r="BD89" s="4">
        <v>0.28399999999999997</v>
      </c>
      <c r="BE89" s="4">
        <v>0.184</v>
      </c>
      <c r="BF89" s="4">
        <v>-0.36599999999999999</v>
      </c>
      <c r="BG89" s="4">
        <v>-0.17499999999999999</v>
      </c>
      <c r="BH89" s="4">
        <v>0.64800000000000002</v>
      </c>
      <c r="BI89" s="4">
        <v>-0.39800000000000002</v>
      </c>
      <c r="BJ89" s="4">
        <v>0.52500000000000002</v>
      </c>
      <c r="BK89" s="4">
        <v>-0.28999999999999998</v>
      </c>
      <c r="BL89" s="4">
        <v>-0.434</v>
      </c>
      <c r="BM89" s="4"/>
    </row>
    <row r="90" spans="1:65" hidden="1" x14ac:dyDescent="0.3">
      <c r="A90" s="19" t="s">
        <v>177</v>
      </c>
      <c r="B90" s="53">
        <f t="shared" si="11"/>
        <v>0</v>
      </c>
      <c r="C90" s="53">
        <f t="shared" si="12"/>
        <v>0</v>
      </c>
      <c r="D90" s="53">
        <f t="shared" si="13"/>
        <v>0</v>
      </c>
      <c r="E90" s="53">
        <f t="shared" si="14"/>
        <v>0</v>
      </c>
      <c r="F90" s="15">
        <v>1.0069999999999999</v>
      </c>
      <c r="G90" s="19">
        <v>1.2290000000000001</v>
      </c>
      <c r="H90" s="24" t="s">
        <v>71</v>
      </c>
      <c r="I90" t="str">
        <f>VLOOKUP(A90,Planilha6!$BL$9:$BN$222,2,0)</f>
        <v>basic_materials</v>
      </c>
      <c r="J90" t="str">
        <f>VLOOKUP(A90,Planilha6!$BL$9:$BN$222,3,0)</f>
        <v>very_low_beta</v>
      </c>
      <c r="K90" s="2">
        <v>0</v>
      </c>
      <c r="L90" s="2">
        <v>0</v>
      </c>
      <c r="M90" s="15">
        <v>84</v>
      </c>
      <c r="N90" s="41">
        <f>VLOOKUP(A90,'Mandato Smll'!$A$2:$C$215,2,0)</f>
        <v>0</v>
      </c>
      <c r="O90" s="59">
        <f t="shared" si="15"/>
        <v>0</v>
      </c>
      <c r="P90" s="42">
        <f t="shared" si="16"/>
        <v>0</v>
      </c>
      <c r="Q90" s="41">
        <f>VLOOKUP(A90,'Mandato Smll'!$A$2:$C$215,3,0)</f>
        <v>0</v>
      </c>
      <c r="R90" s="59">
        <f t="shared" si="17"/>
        <v>0</v>
      </c>
      <c r="S90" s="15">
        <v>-0.70399999999999996</v>
      </c>
      <c r="T90" s="15">
        <v>-0.22700000000000001</v>
      </c>
      <c r="U90" s="15">
        <v>-0.81299999999999994</v>
      </c>
      <c r="V90" s="15">
        <v>-0.51600000000000001</v>
      </c>
      <c r="W90" s="15">
        <v>-0.41499999999999998</v>
      </c>
      <c r="X90" s="15">
        <v>-5.7000000000000002E-2</v>
      </c>
      <c r="Y90" s="15">
        <v>0.19500000000000001</v>
      </c>
      <c r="Z90" s="15">
        <v>0.113</v>
      </c>
      <c r="AA90" s="15">
        <v>0.88</v>
      </c>
      <c r="AB90" s="15">
        <v>0.88200000000000001</v>
      </c>
      <c r="AC90" s="15">
        <v>0.61399999999999999</v>
      </c>
      <c r="AD90" s="15">
        <v>0.68300000000000005</v>
      </c>
      <c r="AE90" s="15">
        <v>0.59</v>
      </c>
      <c r="AF90" s="14">
        <v>-1E-3</v>
      </c>
      <c r="AG90" s="15">
        <v>-0.82899999999999996</v>
      </c>
      <c r="AH90" s="15">
        <v>-0.186</v>
      </c>
      <c r="AI90" s="15">
        <v>-0.754</v>
      </c>
      <c r="AJ90" s="15">
        <v>-0.74099999999999999</v>
      </c>
      <c r="AK90" s="9">
        <v>-0.97499999999999998</v>
      </c>
      <c r="AL90" s="4">
        <v>0.122</v>
      </c>
      <c r="AM90" s="4">
        <v>2.8000000000000001E-2</v>
      </c>
      <c r="AN90" s="4">
        <v>-0.42299999999999999</v>
      </c>
      <c r="AO90" s="4">
        <v>-5.3999999999999999E-2</v>
      </c>
      <c r="AP90" s="4">
        <v>0.28199999999999997</v>
      </c>
      <c r="AQ90" s="4">
        <v>-2E-3</v>
      </c>
      <c r="AR90" s="4">
        <v>-0.38700000000000001</v>
      </c>
      <c r="AS90" s="4">
        <v>-0.65300000000000002</v>
      </c>
      <c r="AT90" s="4">
        <v>-0.49</v>
      </c>
      <c r="AU90" s="4">
        <v>0.184</v>
      </c>
      <c r="AV90" s="4">
        <v>-7.0999999999999994E-2</v>
      </c>
      <c r="AW90" s="4">
        <v>1.7000000000000001E-2</v>
      </c>
      <c r="AX90" s="4">
        <v>0.97899999999999998</v>
      </c>
      <c r="AY90" s="4">
        <v>-0.34599999999999997</v>
      </c>
      <c r="AZ90" s="4">
        <v>0.75800000000000001</v>
      </c>
      <c r="BA90" s="4">
        <v>-0.33600000000000002</v>
      </c>
      <c r="BB90" s="4">
        <v>0.23400000000000001</v>
      </c>
      <c r="BC90" s="4">
        <v>9.2999999999999999E-2</v>
      </c>
      <c r="BD90" s="4">
        <v>-7.0000000000000007E-2</v>
      </c>
      <c r="BE90" s="4">
        <v>0.20499999999999999</v>
      </c>
      <c r="BF90" s="4">
        <v>0.45800000000000002</v>
      </c>
      <c r="BG90" s="4">
        <v>0.45100000000000001</v>
      </c>
      <c r="BH90" s="4">
        <v>0.94799999999999995</v>
      </c>
      <c r="BI90" s="4">
        <v>-0.29599999999999999</v>
      </c>
      <c r="BJ90" s="4">
        <v>-0.62</v>
      </c>
      <c r="BK90" s="4">
        <v>0.85399999999999998</v>
      </c>
      <c r="BL90" s="4">
        <v>-0.29599999999999999</v>
      </c>
      <c r="BM90" s="4"/>
    </row>
    <row r="91" spans="1:65" hidden="1" x14ac:dyDescent="0.3">
      <c r="A91" s="19" t="s">
        <v>159</v>
      </c>
      <c r="B91" s="53">
        <f t="shared" si="11"/>
        <v>0</v>
      </c>
      <c r="C91" s="53">
        <f t="shared" si="12"/>
        <v>0</v>
      </c>
      <c r="D91" s="53">
        <f t="shared" si="13"/>
        <v>0</v>
      </c>
      <c r="E91" s="53">
        <f t="shared" si="14"/>
        <v>0</v>
      </c>
      <c r="F91" s="15">
        <v>1.0049999999999999</v>
      </c>
      <c r="G91" s="19">
        <v>1.2669999999999999</v>
      </c>
      <c r="H91" s="24" t="s">
        <v>71</v>
      </c>
      <c r="I91" t="str">
        <f>VLOOKUP(A91,Planilha6!$BL$9:$BN$222,2,0)</f>
        <v>basic_materials</v>
      </c>
      <c r="J91" t="str">
        <f>VLOOKUP(A91,Planilha6!$BL$9:$BN$222,3,0)</f>
        <v>low_beta</v>
      </c>
      <c r="K91" s="2">
        <v>0</v>
      </c>
      <c r="L91" s="2">
        <v>0</v>
      </c>
      <c r="M91" s="15">
        <v>84</v>
      </c>
      <c r="N91" s="41">
        <f>VLOOKUP(A91,'Mandato Smll'!$A$2:$C$215,2,0)</f>
        <v>0</v>
      </c>
      <c r="O91" s="59">
        <f t="shared" si="15"/>
        <v>0</v>
      </c>
      <c r="P91" s="42">
        <f t="shared" si="16"/>
        <v>0</v>
      </c>
      <c r="Q91" s="41">
        <f>VLOOKUP(A91,'Mandato Smll'!$A$2:$C$215,3,0)</f>
        <v>0</v>
      </c>
      <c r="R91" s="59">
        <f t="shared" si="17"/>
        <v>0</v>
      </c>
      <c r="S91" s="15">
        <v>-0.68600000000000005</v>
      </c>
      <c r="T91" s="15">
        <v>-0.20100000000000001</v>
      </c>
      <c r="U91" s="15">
        <v>-0.84199999999999997</v>
      </c>
      <c r="V91" s="15">
        <v>-0.495</v>
      </c>
      <c r="W91" s="15">
        <v>-0.42799999999999999</v>
      </c>
      <c r="X91" s="15">
        <v>-3.4000000000000002E-2</v>
      </c>
      <c r="Y91" s="15">
        <v>0.21299999999999999</v>
      </c>
      <c r="Z91" s="15">
        <v>0.122</v>
      </c>
      <c r="AA91" s="15">
        <v>0.79100000000000004</v>
      </c>
      <c r="AB91" s="15">
        <v>0.79400000000000004</v>
      </c>
      <c r="AC91" s="15">
        <v>0.63300000000000001</v>
      </c>
      <c r="AD91" s="15">
        <v>0.68</v>
      </c>
      <c r="AE91" s="15">
        <v>0.58699999999999997</v>
      </c>
      <c r="AF91" s="14">
        <v>-3.0000000000000001E-3</v>
      </c>
      <c r="AG91" s="15">
        <v>-0.83</v>
      </c>
      <c r="AH91" s="15">
        <v>-0.13</v>
      </c>
      <c r="AI91" s="15">
        <v>-0.754</v>
      </c>
      <c r="AJ91" s="15">
        <v>-0.71899999999999997</v>
      </c>
      <c r="AK91" s="9">
        <v>-0.97499999999999998</v>
      </c>
      <c r="AL91" s="4">
        <v>0.122</v>
      </c>
      <c r="AM91" s="4">
        <v>4.2999999999999997E-2</v>
      </c>
      <c r="AN91" s="4">
        <v>-0.42299999999999999</v>
      </c>
      <c r="AO91" s="4">
        <v>-0.06</v>
      </c>
      <c r="AP91" s="4">
        <v>0.308</v>
      </c>
      <c r="AQ91" s="4">
        <v>5.7000000000000002E-2</v>
      </c>
      <c r="AR91" s="4">
        <v>-0.38700000000000001</v>
      </c>
      <c r="AS91" s="4">
        <v>-0.65300000000000002</v>
      </c>
      <c r="AT91" s="4">
        <v>-0.49</v>
      </c>
      <c r="AU91" s="4">
        <v>0.184</v>
      </c>
      <c r="AV91" s="4">
        <v>-7.0999999999999994E-2</v>
      </c>
      <c r="AW91" s="4">
        <v>1.7000000000000001E-2</v>
      </c>
      <c r="AX91" s="4">
        <v>0.97599999999999998</v>
      </c>
      <c r="AY91" s="4">
        <v>-0.34599999999999997</v>
      </c>
      <c r="AZ91" s="4">
        <v>0.75800000000000001</v>
      </c>
      <c r="BA91" s="4">
        <v>-0.39800000000000002</v>
      </c>
      <c r="BB91" s="4">
        <v>0.627</v>
      </c>
      <c r="BC91" s="4">
        <v>9.2999999999999999E-2</v>
      </c>
      <c r="BD91" s="4">
        <v>-7.0000000000000007E-2</v>
      </c>
      <c r="BE91" s="4">
        <v>0.222</v>
      </c>
      <c r="BF91" s="4">
        <v>0.41699999999999998</v>
      </c>
      <c r="BG91" s="4">
        <v>0.15</v>
      </c>
      <c r="BH91" s="4">
        <v>0.91</v>
      </c>
      <c r="BI91" s="4">
        <v>-0.30299999999999999</v>
      </c>
      <c r="BJ91" s="4">
        <v>-0.58899999999999997</v>
      </c>
      <c r="BK91" s="4">
        <v>0.56299999999999994</v>
      </c>
      <c r="BL91" s="4">
        <v>-0.29599999999999999</v>
      </c>
      <c r="BM91" s="4"/>
    </row>
    <row r="92" spans="1:65" hidden="1" x14ac:dyDescent="0.3">
      <c r="A92" s="19" t="s">
        <v>196</v>
      </c>
      <c r="B92" s="53">
        <f t="shared" si="11"/>
        <v>0</v>
      </c>
      <c r="C92" s="53">
        <f t="shared" si="12"/>
        <v>-3.0000000000000001E-3</v>
      </c>
      <c r="D92" s="53">
        <f t="shared" si="13"/>
        <v>0</v>
      </c>
      <c r="E92" s="53">
        <f t="shared" si="14"/>
        <v>3.0000000000000001E-3</v>
      </c>
      <c r="F92" s="15">
        <v>0.99099999999999999</v>
      </c>
      <c r="G92" s="19">
        <v>0.70899999999999996</v>
      </c>
      <c r="H92" s="24" t="s">
        <v>57</v>
      </c>
      <c r="I92" t="str">
        <f>VLOOKUP(A92,Planilha6!$BL$9:$BN$222,2,0)</f>
        <v>education</v>
      </c>
      <c r="J92" t="str">
        <f>VLOOKUP(A92,Planilha6!$BL$9:$BN$222,3,0)</f>
        <v>very_high_beta</v>
      </c>
      <c r="K92" s="2">
        <v>0</v>
      </c>
      <c r="L92" s="2">
        <v>-3.0000000000000001E-3</v>
      </c>
      <c r="M92" s="15">
        <v>84</v>
      </c>
      <c r="N92" s="41">
        <f>VLOOKUP(A92,'Mandato Smll'!$A$2:$C$215,2,0)</f>
        <v>0</v>
      </c>
      <c r="O92" s="59">
        <f t="shared" si="15"/>
        <v>0</v>
      </c>
      <c r="P92" s="42">
        <f t="shared" si="16"/>
        <v>0</v>
      </c>
      <c r="Q92" s="41">
        <f>VLOOKUP(A92,'Mandato Smll'!$A$2:$C$215,3,0)</f>
        <v>9.0399092361523707E-3</v>
      </c>
      <c r="R92" s="59">
        <f t="shared" si="17"/>
        <v>-9.0399092361523707E-3</v>
      </c>
      <c r="S92" s="15">
        <v>0.34</v>
      </c>
      <c r="T92" s="15">
        <v>-1.9E-2</v>
      </c>
      <c r="U92" s="15">
        <v>0.25</v>
      </c>
      <c r="V92" s="15">
        <v>0.34300000000000003</v>
      </c>
      <c r="W92" s="15">
        <v>0.20300000000000001</v>
      </c>
      <c r="X92" s="15">
        <v>-0.17199999999999999</v>
      </c>
      <c r="Y92" s="15">
        <v>-0.45</v>
      </c>
      <c r="Z92" s="15">
        <v>-0.57399999999999995</v>
      </c>
      <c r="AA92" s="15">
        <v>-3.5000000000000003E-2</v>
      </c>
      <c r="AB92" s="15">
        <v>-3.2000000000000001E-2</v>
      </c>
      <c r="AC92" s="15">
        <v>0.317</v>
      </c>
      <c r="AD92" s="15">
        <v>0.44700000000000001</v>
      </c>
      <c r="AE92" s="15">
        <v>0.56100000000000005</v>
      </c>
      <c r="AF92" s="14">
        <v>0.76500000000000001</v>
      </c>
      <c r="AG92" s="15">
        <v>0.623</v>
      </c>
      <c r="AH92" s="15">
        <v>0.53</v>
      </c>
      <c r="AI92" s="15">
        <v>0.159</v>
      </c>
      <c r="AJ92" s="15">
        <v>0.434</v>
      </c>
      <c r="AK92" s="9">
        <v>0.76900000000000002</v>
      </c>
      <c r="AL92" s="4">
        <v>9.0999999999999998E-2</v>
      </c>
      <c r="AM92" s="4">
        <v>-0.81499999999999995</v>
      </c>
      <c r="AN92" s="4">
        <v>0.14000000000000001</v>
      </c>
      <c r="AO92" s="4">
        <v>0.125</v>
      </c>
      <c r="AP92" s="4">
        <v>0.14299999999999999</v>
      </c>
      <c r="AQ92" s="4">
        <v>7.6999999999999999E-2</v>
      </c>
      <c r="AR92" s="4">
        <v>0.77200000000000002</v>
      </c>
      <c r="AS92" s="4">
        <v>-0.68799999999999994</v>
      </c>
      <c r="AT92" s="4">
        <v>-8.0000000000000002E-3</v>
      </c>
      <c r="AU92" s="4">
        <v>0.13300000000000001</v>
      </c>
      <c r="AV92" s="4">
        <v>-5.7000000000000002E-2</v>
      </c>
      <c r="AW92" s="4">
        <v>0.70299999999999996</v>
      </c>
      <c r="AX92" s="4">
        <v>-0.92800000000000005</v>
      </c>
      <c r="AY92" s="4">
        <v>-0.48099999999999998</v>
      </c>
      <c r="AZ92" s="4">
        <v>0.72799999999999998</v>
      </c>
      <c r="BA92" s="4">
        <v>0.39700000000000002</v>
      </c>
      <c r="BB92" s="4">
        <v>0.78300000000000003</v>
      </c>
      <c r="BC92" s="4">
        <v>0.151</v>
      </c>
      <c r="BD92" s="4">
        <v>-0.182</v>
      </c>
      <c r="BE92" s="4">
        <v>0.41599999999999998</v>
      </c>
      <c r="BF92" s="4">
        <v>3.7999999999999999E-2</v>
      </c>
      <c r="BG92" s="4">
        <v>-0.47199999999999998</v>
      </c>
      <c r="BH92" s="4">
        <v>7.9000000000000001E-2</v>
      </c>
      <c r="BI92" s="4">
        <v>-0.214</v>
      </c>
      <c r="BJ92" s="4">
        <v>0.54700000000000004</v>
      </c>
      <c r="BK92" s="4">
        <v>-0.67</v>
      </c>
      <c r="BL92" s="4">
        <v>0.51400000000000001</v>
      </c>
      <c r="BM92" s="4"/>
    </row>
    <row r="93" spans="1:65" hidden="1" x14ac:dyDescent="0.3">
      <c r="A93" s="19" t="s">
        <v>158</v>
      </c>
      <c r="B93" s="53">
        <f t="shared" si="11"/>
        <v>0</v>
      </c>
      <c r="C93" s="53">
        <f t="shared" si="12"/>
        <v>-1.2E-2</v>
      </c>
      <c r="D93" s="53">
        <f t="shared" si="13"/>
        <v>0</v>
      </c>
      <c r="E93" s="53">
        <f t="shared" si="14"/>
        <v>1.2E-2</v>
      </c>
      <c r="F93" s="15">
        <v>0.98099999999999998</v>
      </c>
      <c r="G93" s="19">
        <v>1.841</v>
      </c>
      <c r="H93" s="24" t="s">
        <v>71</v>
      </c>
      <c r="I93" t="str">
        <f>VLOOKUP(A93,Planilha6!$BL$9:$BN$222,2,0)</f>
        <v>food</v>
      </c>
      <c r="J93" t="str">
        <f>VLOOKUP(A93,Planilha6!$BL$9:$BN$222,3,0)</f>
        <v>very_low_beta</v>
      </c>
      <c r="K93" s="2">
        <v>0</v>
      </c>
      <c r="L93" s="2">
        <v>-1.2E-2</v>
      </c>
      <c r="M93" s="15">
        <v>69</v>
      </c>
      <c r="N93" s="41">
        <f>VLOOKUP(A93,'Mandato Smll'!$A$2:$C$215,2,0)</f>
        <v>0</v>
      </c>
      <c r="O93" s="59">
        <f t="shared" si="15"/>
        <v>0</v>
      </c>
      <c r="P93" s="42">
        <f t="shared" si="16"/>
        <v>0</v>
      </c>
      <c r="Q93" s="41">
        <f>VLOOKUP(A93,'Mandato Smll'!$A$2:$C$215,3,0)</f>
        <v>0</v>
      </c>
      <c r="R93" s="59">
        <f t="shared" si="17"/>
        <v>0</v>
      </c>
      <c r="S93" s="15">
        <v>-0.68400000000000005</v>
      </c>
      <c r="T93" s="15">
        <v>-0.14199999999999999</v>
      </c>
      <c r="U93" s="15">
        <v>-0.80900000000000005</v>
      </c>
      <c r="V93" s="15">
        <v>-0.41599999999999998</v>
      </c>
      <c r="W93" s="15">
        <v>-0.34</v>
      </c>
      <c r="X93" s="15">
        <v>-0.10199999999999999</v>
      </c>
      <c r="Y93" s="15">
        <v>9.0999999999999998E-2</v>
      </c>
      <c r="Z93" s="15">
        <v>2.7E-2</v>
      </c>
      <c r="AA93" s="15">
        <v>0.85099999999999998</v>
      </c>
      <c r="AB93" s="15">
        <v>0.85299999999999998</v>
      </c>
      <c r="AC93" s="15">
        <v>0.57499999999999996</v>
      </c>
      <c r="AD93" s="15">
        <v>0.61399999999999999</v>
      </c>
      <c r="AE93" s="15">
        <v>0.65700000000000003</v>
      </c>
      <c r="AF93" s="14">
        <v>-0.24299999999999999</v>
      </c>
      <c r="AG93" s="15">
        <v>-0.78800000000000003</v>
      </c>
      <c r="AH93" s="15">
        <v>0.27900000000000003</v>
      </c>
      <c r="AI93" s="15">
        <v>-0.68500000000000005</v>
      </c>
      <c r="AJ93" s="15">
        <v>3.2000000000000001E-2</v>
      </c>
      <c r="AK93" s="9">
        <v>-0.85199999999999998</v>
      </c>
      <c r="AL93" s="4">
        <v>-0.24199999999999999</v>
      </c>
      <c r="AM93" s="4">
        <v>-0.125</v>
      </c>
      <c r="AN93" s="4">
        <v>-0.55900000000000005</v>
      </c>
      <c r="AO93" s="4">
        <v>2.1000000000000001E-2</v>
      </c>
      <c r="AP93" s="4">
        <v>0.47</v>
      </c>
      <c r="AQ93" s="4">
        <v>0.79</v>
      </c>
      <c r="AR93" s="4">
        <v>-0.23599999999999999</v>
      </c>
      <c r="AS93" s="4">
        <v>4.9000000000000002E-2</v>
      </c>
      <c r="AT93" s="4">
        <v>2.5000000000000001E-2</v>
      </c>
      <c r="AU93" s="4">
        <v>7.6999999999999999E-2</v>
      </c>
      <c r="AV93" s="4">
        <v>-3.3000000000000002E-2</v>
      </c>
      <c r="AW93" s="4">
        <v>9.6000000000000002E-2</v>
      </c>
      <c r="AX93" s="4">
        <v>1</v>
      </c>
      <c r="AY93" s="4">
        <v>-0.13400000000000001</v>
      </c>
      <c r="AZ93" s="4">
        <v>0.59899999999999998</v>
      </c>
      <c r="BA93" s="4">
        <v>-0.496</v>
      </c>
      <c r="BB93" s="4">
        <v>-0.28499999999999998</v>
      </c>
      <c r="BC93" s="4">
        <v>-0.63900000000000001</v>
      </c>
      <c r="BD93" s="4">
        <v>-0.748</v>
      </c>
      <c r="BE93" s="4">
        <v>-0.27100000000000002</v>
      </c>
      <c r="BF93" s="4">
        <v>0.34399999999999997</v>
      </c>
      <c r="BG93" s="4">
        <v>1</v>
      </c>
      <c r="BH93" s="4">
        <v>0.82699999999999996</v>
      </c>
      <c r="BI93" s="4">
        <v>-0.31</v>
      </c>
      <c r="BJ93" s="4">
        <v>-0.88400000000000001</v>
      </c>
      <c r="BK93" s="4">
        <v>8.3000000000000004E-2</v>
      </c>
      <c r="BL93" s="4">
        <v>-8.5000000000000006E-2</v>
      </c>
      <c r="BM93" s="4"/>
    </row>
    <row r="94" spans="1:65" hidden="1" x14ac:dyDescent="0.3">
      <c r="A94" s="19" t="s">
        <v>78</v>
      </c>
      <c r="B94" s="53">
        <f t="shared" si="11"/>
        <v>0</v>
      </c>
      <c r="C94" s="53">
        <f t="shared" si="12"/>
        <v>-3.0000000000000001E-3</v>
      </c>
      <c r="D94" s="53">
        <f t="shared" si="13"/>
        <v>0</v>
      </c>
      <c r="E94" s="53">
        <f t="shared" si="14"/>
        <v>3.0000000000000001E-3</v>
      </c>
      <c r="F94" s="15">
        <v>0.97099999999999997</v>
      </c>
      <c r="G94" s="19">
        <v>1.2110000000000001</v>
      </c>
      <c r="H94" s="24" t="s">
        <v>57</v>
      </c>
      <c r="I94" t="str">
        <f>VLOOKUP(A94,Planilha6!$BL$9:$BN$222,2,0)</f>
        <v>transportation</v>
      </c>
      <c r="J94" t="str">
        <f>VLOOKUP(A94,Planilha6!$BL$9:$BN$222,3,0)</f>
        <v>neutral_beta</v>
      </c>
      <c r="K94" s="2">
        <v>0</v>
      </c>
      <c r="L94" s="2">
        <v>-3.0000000000000001E-3</v>
      </c>
      <c r="M94" s="15">
        <v>84</v>
      </c>
      <c r="N94" s="41">
        <f>VLOOKUP(A94,'Mandato Smll'!$A$2:$C$215,2,0)</f>
        <v>0</v>
      </c>
      <c r="O94" s="59">
        <f t="shared" si="15"/>
        <v>0</v>
      </c>
      <c r="P94" s="42">
        <f t="shared" si="16"/>
        <v>0</v>
      </c>
      <c r="Q94" s="41">
        <f>VLOOKUP(A94,'Mandato Smll'!$A$2:$C$215,3,0)</f>
        <v>0</v>
      </c>
      <c r="R94" s="59">
        <f t="shared" si="17"/>
        <v>0</v>
      </c>
      <c r="S94" s="15">
        <v>-0.33900000000000002</v>
      </c>
      <c r="T94" s="15">
        <v>-0.29499999999999998</v>
      </c>
      <c r="U94" s="15">
        <v>-7.6999999999999999E-2</v>
      </c>
      <c r="V94" s="15">
        <v>-0.373</v>
      </c>
      <c r="W94" s="15">
        <v>-0.17599999999999999</v>
      </c>
      <c r="X94" s="15">
        <v>-0.20599999999999999</v>
      </c>
      <c r="Y94" s="15">
        <v>-7.4999999999999997E-2</v>
      </c>
      <c r="Z94" s="15">
        <v>0.09</v>
      </c>
      <c r="AA94" s="15">
        <v>0.26200000000000001</v>
      </c>
      <c r="AB94" s="15">
        <v>0.26900000000000002</v>
      </c>
      <c r="AC94" s="15">
        <v>0.65800000000000003</v>
      </c>
      <c r="AD94" s="15">
        <v>0.58899999999999997</v>
      </c>
      <c r="AE94" s="15">
        <v>0.41099999999999998</v>
      </c>
      <c r="AF94" s="14">
        <v>2.4E-2</v>
      </c>
      <c r="AG94" s="15">
        <v>-0.19</v>
      </c>
      <c r="AH94" s="15">
        <v>-0.85399999999999998</v>
      </c>
      <c r="AI94" s="15">
        <v>-9.8000000000000004E-2</v>
      </c>
      <c r="AJ94" s="15">
        <v>-0.46200000000000002</v>
      </c>
      <c r="AK94" s="9">
        <v>0.98399999999999999</v>
      </c>
      <c r="AL94" s="4">
        <v>-0.159</v>
      </c>
      <c r="AM94" s="4">
        <v>0.318</v>
      </c>
      <c r="AN94" s="4">
        <v>-0.874</v>
      </c>
      <c r="AO94" s="4">
        <v>0.14099999999999999</v>
      </c>
      <c r="AP94" s="4">
        <v>-0.16900000000000001</v>
      </c>
      <c r="AQ94" s="4">
        <v>-0.34799999999999998</v>
      </c>
      <c r="AR94" s="4">
        <v>0.26600000000000001</v>
      </c>
      <c r="AS94" s="4">
        <v>-0.161</v>
      </c>
      <c r="AT94" s="4">
        <v>-0.96599999999999997</v>
      </c>
      <c r="AU94" s="4">
        <v>0.90900000000000003</v>
      </c>
      <c r="AV94" s="4">
        <v>-0.28000000000000003</v>
      </c>
      <c r="AW94" s="4">
        <v>4.2000000000000003E-2</v>
      </c>
      <c r="AX94" s="4">
        <v>0.38100000000000001</v>
      </c>
      <c r="AY94" s="4">
        <v>7.4999999999999997E-2</v>
      </c>
      <c r="AZ94" s="4">
        <v>0.90700000000000003</v>
      </c>
      <c r="BA94" s="4">
        <v>0.47299999999999998</v>
      </c>
      <c r="BB94" s="4">
        <v>0.35799999999999998</v>
      </c>
      <c r="BC94" s="4">
        <v>-0.09</v>
      </c>
      <c r="BD94" s="4">
        <v>-0.42</v>
      </c>
      <c r="BE94" s="4">
        <v>4.8000000000000001E-2</v>
      </c>
      <c r="BF94" s="4">
        <v>-3.9E-2</v>
      </c>
      <c r="BG94" s="4">
        <v>0.38</v>
      </c>
      <c r="BH94" s="4">
        <v>0.34899999999999998</v>
      </c>
      <c r="BI94" s="4">
        <v>-0.59899999999999998</v>
      </c>
      <c r="BJ94" s="4">
        <v>0.27</v>
      </c>
      <c r="BK94" s="4">
        <v>0.34499999999999997</v>
      </c>
      <c r="BL94" s="4">
        <v>0.59399999999999997</v>
      </c>
      <c r="BM94" s="4"/>
    </row>
    <row r="95" spans="1:65" hidden="1" x14ac:dyDescent="0.3">
      <c r="A95" s="19" t="s">
        <v>142</v>
      </c>
      <c r="B95" s="53">
        <f t="shared" si="11"/>
        <v>0</v>
      </c>
      <c r="C95" s="53">
        <f t="shared" si="12"/>
        <v>-4.0000000000000001E-3</v>
      </c>
      <c r="D95" s="53">
        <f t="shared" si="13"/>
        <v>0</v>
      </c>
      <c r="E95" s="53">
        <f t="shared" si="14"/>
        <v>4.0000000000000001E-3</v>
      </c>
      <c r="F95" s="15">
        <v>0.96699999999999997</v>
      </c>
      <c r="G95" s="19">
        <v>0.96299999999999997</v>
      </c>
      <c r="H95" s="24" t="s">
        <v>53</v>
      </c>
      <c r="I95" t="str">
        <f>VLOOKUP(A95,Planilha6!$BL$9:$BN$222,2,0)</f>
        <v>consumer_staples</v>
      </c>
      <c r="J95" t="str">
        <f>VLOOKUP(A95,Planilha6!$BL$9:$BN$222,3,0)</f>
        <v>low_beta</v>
      </c>
      <c r="K95" s="2">
        <v>0</v>
      </c>
      <c r="L95" s="2">
        <v>-4.0000000000000001E-3</v>
      </c>
      <c r="M95" s="15">
        <v>84</v>
      </c>
      <c r="N95" s="41">
        <f>VLOOKUP(A95,'Mandato Smll'!$A$2:$C$215,2,0)</f>
        <v>0</v>
      </c>
      <c r="O95" s="59">
        <f t="shared" si="15"/>
        <v>0</v>
      </c>
      <c r="P95" s="42">
        <f t="shared" si="16"/>
        <v>0</v>
      </c>
      <c r="Q95" s="41">
        <f>VLOOKUP(A95,'Mandato Smll'!$A$2:$C$215,3,0)</f>
        <v>0</v>
      </c>
      <c r="R95" s="59">
        <f t="shared" si="17"/>
        <v>0</v>
      </c>
      <c r="S95" s="15">
        <v>-9.5000000000000001E-2</v>
      </c>
      <c r="T95" s="15">
        <v>-0.27600000000000002</v>
      </c>
      <c r="U95" s="15">
        <v>-0.106</v>
      </c>
      <c r="V95" s="15">
        <v>-0.248</v>
      </c>
      <c r="W95" s="15">
        <v>-0.20799999999999999</v>
      </c>
      <c r="X95" s="15">
        <v>-8.0000000000000002E-3</v>
      </c>
      <c r="Y95" s="15">
        <v>0.105</v>
      </c>
      <c r="Z95" s="15">
        <v>-0.28999999999999998</v>
      </c>
      <c r="AA95" s="15">
        <v>0.27700000000000002</v>
      </c>
      <c r="AB95" s="15">
        <v>0.28100000000000003</v>
      </c>
      <c r="AC95" s="15">
        <v>0.65100000000000002</v>
      </c>
      <c r="AD95" s="15">
        <v>0.49399999999999999</v>
      </c>
      <c r="AE95" s="15">
        <v>0.45400000000000001</v>
      </c>
      <c r="AF95" s="14">
        <v>0.36799999999999999</v>
      </c>
      <c r="AG95" s="15">
        <v>-4.8000000000000001E-2</v>
      </c>
      <c r="AH95" s="15">
        <v>-0.88500000000000001</v>
      </c>
      <c r="AI95" s="15">
        <v>-0.59799999999999998</v>
      </c>
      <c r="AJ95" s="15">
        <v>-0.92500000000000004</v>
      </c>
      <c r="AK95" s="9">
        <v>0.11899999999999999</v>
      </c>
      <c r="AL95" s="4">
        <v>-0.11799999999999999</v>
      </c>
      <c r="AM95" s="4">
        <v>-0.53900000000000003</v>
      </c>
      <c r="AN95" s="4">
        <v>-0.27500000000000002</v>
      </c>
      <c r="AO95" s="4">
        <v>0.36899999999999999</v>
      </c>
      <c r="AP95" s="4">
        <v>-0.623</v>
      </c>
      <c r="AQ95" s="4">
        <v>-0.45800000000000002</v>
      </c>
      <c r="AR95" s="4">
        <v>0.42599999999999999</v>
      </c>
      <c r="AS95" s="4">
        <v>2.1000000000000001E-2</v>
      </c>
      <c r="AT95" s="4">
        <v>0.22800000000000001</v>
      </c>
      <c r="AU95" s="4">
        <v>0.25</v>
      </c>
      <c r="AV95" s="4">
        <v>-0.28199999999999997</v>
      </c>
      <c r="AW95" s="4">
        <v>0.52800000000000002</v>
      </c>
      <c r="AX95" s="4">
        <v>0.60599999999999998</v>
      </c>
      <c r="AY95" s="4">
        <v>0.24</v>
      </c>
      <c r="AZ95" s="4">
        <v>0.91200000000000003</v>
      </c>
      <c r="BA95" s="4">
        <v>0.55700000000000005</v>
      </c>
      <c r="BB95" s="4">
        <v>0.58899999999999997</v>
      </c>
      <c r="BC95" s="4">
        <v>0.14799999999999999</v>
      </c>
      <c r="BD95" s="4">
        <v>1.6E-2</v>
      </c>
      <c r="BE95" s="4">
        <v>0.53100000000000003</v>
      </c>
      <c r="BF95" s="4">
        <v>0.03</v>
      </c>
      <c r="BG95" s="4">
        <v>-0.77300000000000002</v>
      </c>
      <c r="BH95" s="4">
        <v>0.67</v>
      </c>
      <c r="BI95" s="4">
        <v>-0.11899999999999999</v>
      </c>
      <c r="BJ95" s="4">
        <v>-0.17699999999999999</v>
      </c>
      <c r="BK95" s="4">
        <v>0.45500000000000002</v>
      </c>
      <c r="BL95" s="4">
        <v>4.5999999999999999E-2</v>
      </c>
      <c r="BM95" s="4"/>
    </row>
    <row r="96" spans="1:65" hidden="1" x14ac:dyDescent="0.3">
      <c r="A96" s="19" t="s">
        <v>134</v>
      </c>
      <c r="B96" s="53">
        <f t="shared" si="11"/>
        <v>0</v>
      </c>
      <c r="C96" s="53">
        <f t="shared" si="12"/>
        <v>0</v>
      </c>
      <c r="D96" s="53">
        <f t="shared" si="13"/>
        <v>0</v>
      </c>
      <c r="E96" s="53">
        <f t="shared" si="14"/>
        <v>0</v>
      </c>
      <c r="F96" s="15">
        <v>0.96199999999999997</v>
      </c>
      <c r="G96" s="19">
        <v>1.198</v>
      </c>
      <c r="H96" s="24" t="s">
        <v>57</v>
      </c>
      <c r="I96" t="str">
        <f>VLOOKUP(A96,Planilha6!$BL$9:$BN$222,2,0)</f>
        <v>banks</v>
      </c>
      <c r="J96" t="str">
        <f>VLOOKUP(A96,Planilha6!$BL$9:$BN$222,3,0)</f>
        <v>neutral_beta</v>
      </c>
      <c r="K96" s="2">
        <v>0</v>
      </c>
      <c r="L96" s="2">
        <v>0</v>
      </c>
      <c r="M96" s="15">
        <v>6</v>
      </c>
      <c r="N96" s="41">
        <f>VLOOKUP(A96,'Mandato Smll'!$A$2:$C$215,2,0)</f>
        <v>0</v>
      </c>
      <c r="O96" s="59">
        <f t="shared" si="15"/>
        <v>0</v>
      </c>
      <c r="P96" s="42">
        <f t="shared" si="16"/>
        <v>0</v>
      </c>
      <c r="Q96" s="41">
        <f>VLOOKUP(A96,'Mandato Smll'!$A$2:$C$215,3,0)</f>
        <v>0</v>
      </c>
      <c r="R96" s="59">
        <f t="shared" si="17"/>
        <v>0</v>
      </c>
      <c r="S96" s="15">
        <v>-0.58199999999999996</v>
      </c>
      <c r="T96" s="15">
        <v>-6.5000000000000002E-2</v>
      </c>
      <c r="U96" s="15">
        <v>-0.80600000000000005</v>
      </c>
      <c r="V96" s="15">
        <v>-0.40200000000000002</v>
      </c>
      <c r="W96" s="15">
        <v>-0.33900000000000002</v>
      </c>
      <c r="X96" s="15">
        <v>-0.24099999999999999</v>
      </c>
      <c r="Y96" s="15">
        <v>-6.6000000000000003E-2</v>
      </c>
      <c r="Z96" s="15">
        <v>-3.7999999999999999E-2</v>
      </c>
      <c r="AA96" s="15">
        <v>0.78400000000000003</v>
      </c>
      <c r="AB96" s="15">
        <v>0.78900000000000003</v>
      </c>
      <c r="AC96" s="15">
        <v>0.69899999999999995</v>
      </c>
      <c r="AD96" s="15">
        <v>0.81100000000000005</v>
      </c>
      <c r="AE96" s="15">
        <v>0.629</v>
      </c>
      <c r="AF96" s="14">
        <v>-0.62</v>
      </c>
      <c r="AG96" s="15">
        <v>-0.17499999999999999</v>
      </c>
      <c r="AH96" s="15">
        <v>0.35899999999999999</v>
      </c>
      <c r="AI96" s="15">
        <v>-0.93200000000000005</v>
      </c>
      <c r="AJ96" s="15">
        <v>-0.878</v>
      </c>
      <c r="AK96" s="9">
        <v>-1</v>
      </c>
      <c r="AL96" s="4">
        <v>-0.154</v>
      </c>
      <c r="AM96" s="4">
        <v>9.8000000000000004E-2</v>
      </c>
      <c r="AN96" s="4">
        <v>-5.3999999999999999E-2</v>
      </c>
      <c r="AO96" s="4">
        <v>-1.0999999999999999E-2</v>
      </c>
      <c r="AP96" s="4">
        <v>0.154</v>
      </c>
      <c r="AQ96" s="4">
        <v>0.314</v>
      </c>
      <c r="AR96" s="4">
        <v>5.7000000000000002E-2</v>
      </c>
      <c r="AS96" s="4">
        <v>0.27600000000000002</v>
      </c>
      <c r="AT96" s="4">
        <v>0.77500000000000002</v>
      </c>
      <c r="AU96" s="4">
        <v>-4.2000000000000003E-2</v>
      </c>
      <c r="AV96" s="4">
        <v>-0.115</v>
      </c>
      <c r="AW96" s="4">
        <v>-0.33500000000000002</v>
      </c>
      <c r="AX96" s="4">
        <v>0.23100000000000001</v>
      </c>
      <c r="AY96" s="4">
        <v>-0.33700000000000002</v>
      </c>
      <c r="AZ96" s="4">
        <v>0.84</v>
      </c>
      <c r="BA96" s="4">
        <v>0.35499999999999998</v>
      </c>
      <c r="BB96" s="4">
        <v>-0.39</v>
      </c>
      <c r="BC96" s="4">
        <v>-0.20699999999999999</v>
      </c>
      <c r="BD96" s="4">
        <v>-0.2</v>
      </c>
      <c r="BE96" s="4">
        <v>0.36899999999999999</v>
      </c>
      <c r="BF96" s="4">
        <v>-0.11700000000000001</v>
      </c>
      <c r="BG96" s="4">
        <v>-0.56999999999999995</v>
      </c>
      <c r="BH96" s="4">
        <v>0.72099999999999997</v>
      </c>
      <c r="BI96" s="4">
        <v>-0.42899999999999999</v>
      </c>
      <c r="BJ96" s="4">
        <v>0.04</v>
      </c>
      <c r="BK96" s="4">
        <v>-0.25900000000000001</v>
      </c>
      <c r="BL96" s="4">
        <v>-0.754</v>
      </c>
      <c r="BM96" s="4"/>
    </row>
    <row r="97" spans="1:65" hidden="1" x14ac:dyDescent="0.3">
      <c r="A97" s="19" t="s">
        <v>107</v>
      </c>
      <c r="B97" s="53">
        <f t="shared" si="11"/>
        <v>0</v>
      </c>
      <c r="C97" s="53">
        <f t="shared" si="12"/>
        <v>0</v>
      </c>
      <c r="D97" s="53">
        <f t="shared" si="13"/>
        <v>0</v>
      </c>
      <c r="E97" s="53">
        <f t="shared" si="14"/>
        <v>0</v>
      </c>
      <c r="F97" s="15">
        <v>0.95599999999999996</v>
      </c>
      <c r="G97" s="19">
        <v>1.212</v>
      </c>
      <c r="H97" s="24" t="s">
        <v>53</v>
      </c>
      <c r="I97" t="str">
        <f>VLOOKUP(A97,Planilha6!$BL$9:$BN$222,2,0)</f>
        <v>float_financials</v>
      </c>
      <c r="J97" t="str">
        <f>VLOOKUP(A97,Planilha6!$BL$9:$BN$222,3,0)</f>
        <v>very_low_beta</v>
      </c>
      <c r="K97" s="2">
        <v>0</v>
      </c>
      <c r="L97" s="2">
        <v>0</v>
      </c>
      <c r="M97" s="15">
        <v>44</v>
      </c>
      <c r="N97" s="41">
        <f>VLOOKUP(A97,'Mandato Smll'!$A$2:$C$215,2,0)</f>
        <v>0</v>
      </c>
      <c r="O97" s="59">
        <f t="shared" si="15"/>
        <v>0</v>
      </c>
      <c r="P97" s="42">
        <f t="shared" si="16"/>
        <v>0</v>
      </c>
      <c r="Q97" s="41">
        <f>VLOOKUP(A97,'Mandato Smll'!$A$2:$C$215,3,0)</f>
        <v>9.5083359713939095E-3</v>
      </c>
      <c r="R97" s="59">
        <f t="shared" si="17"/>
        <v>-9.5083359713939095E-3</v>
      </c>
      <c r="S97" s="15">
        <v>-0.69</v>
      </c>
      <c r="T97" s="15">
        <v>-0.17299999999999999</v>
      </c>
      <c r="U97" s="15">
        <v>-0.86699999999999999</v>
      </c>
      <c r="V97" s="15">
        <v>-0.252</v>
      </c>
      <c r="W97" s="15">
        <v>-0.30599999999999999</v>
      </c>
      <c r="X97" s="15">
        <v>-0.192</v>
      </c>
      <c r="Y97" s="15">
        <v>0.33700000000000002</v>
      </c>
      <c r="Z97" s="15">
        <v>8.8999999999999996E-2</v>
      </c>
      <c r="AA97" s="15">
        <v>0.49199999999999999</v>
      </c>
      <c r="AB97" s="15">
        <v>0.5</v>
      </c>
      <c r="AC97" s="15">
        <v>0.70799999999999996</v>
      </c>
      <c r="AD97" s="15">
        <v>0.86299999999999999</v>
      </c>
      <c r="AE97" s="15">
        <v>0.54600000000000004</v>
      </c>
      <c r="AF97" s="14">
        <v>-0.193</v>
      </c>
      <c r="AG97" s="15">
        <v>-0.14000000000000001</v>
      </c>
      <c r="AH97" s="15">
        <v>0.23400000000000001</v>
      </c>
      <c r="AI97" s="15">
        <v>-0.91400000000000003</v>
      </c>
      <c r="AJ97" s="15">
        <v>-0.57999999999999996</v>
      </c>
      <c r="AK97" s="9">
        <v>-0.54900000000000004</v>
      </c>
      <c r="AL97" s="4">
        <v>-0.312</v>
      </c>
      <c r="AM97" s="4">
        <v>9.2999999999999999E-2</v>
      </c>
      <c r="AN97" s="4">
        <v>-0.872</v>
      </c>
      <c r="AO97" s="4">
        <v>-0.20100000000000001</v>
      </c>
      <c r="AP97" s="4">
        <v>0.52600000000000002</v>
      </c>
      <c r="AQ97" s="4">
        <v>0.61499999999999999</v>
      </c>
      <c r="AR97" s="4">
        <v>0.11899999999999999</v>
      </c>
      <c r="AS97" s="4">
        <v>1.0999999999999999E-2</v>
      </c>
      <c r="AT97" s="4">
        <v>-0.32100000000000001</v>
      </c>
      <c r="AU97" s="4">
        <v>0.29099999999999998</v>
      </c>
      <c r="AV97" s="4">
        <v>0.33300000000000002</v>
      </c>
      <c r="AW97" s="4">
        <v>6.4000000000000001E-2</v>
      </c>
      <c r="AX97" s="4">
        <v>0.79400000000000004</v>
      </c>
      <c r="AY97" s="4">
        <v>3.4000000000000002E-2</v>
      </c>
      <c r="AZ97" s="4">
        <v>0.88400000000000001</v>
      </c>
      <c r="BA97" s="4">
        <v>-1</v>
      </c>
      <c r="BB97" s="4">
        <v>-3.5999999999999997E-2</v>
      </c>
      <c r="BC97" s="4">
        <v>-9.9000000000000005E-2</v>
      </c>
      <c r="BD97" s="4">
        <v>-0.223</v>
      </c>
      <c r="BE97" s="4">
        <v>-0.85899999999999999</v>
      </c>
      <c r="BF97" s="4">
        <v>0.24099999999999999</v>
      </c>
      <c r="BG97" s="4">
        <v>0.38900000000000001</v>
      </c>
      <c r="BH97" s="4">
        <v>0.73699999999999999</v>
      </c>
      <c r="BI97" s="4">
        <v>-0.70599999999999996</v>
      </c>
      <c r="BJ97" s="4">
        <v>-0.36299999999999999</v>
      </c>
      <c r="BK97" s="4">
        <v>0.20100000000000001</v>
      </c>
      <c r="BL97" s="4">
        <v>-0.48099999999999998</v>
      </c>
      <c r="BM97" s="4"/>
    </row>
    <row r="98" spans="1:65" hidden="1" x14ac:dyDescent="0.3">
      <c r="A98" s="19" t="s">
        <v>152</v>
      </c>
      <c r="B98" s="53">
        <f t="shared" si="11"/>
        <v>0</v>
      </c>
      <c r="C98" s="53">
        <f t="shared" si="12"/>
        <v>-1.0999999999999999E-2</v>
      </c>
      <c r="D98" s="53">
        <f t="shared" si="13"/>
        <v>0</v>
      </c>
      <c r="E98" s="53">
        <f t="shared" si="14"/>
        <v>1.0999999999999999E-2</v>
      </c>
      <c r="F98" s="15">
        <v>0.95399999999999996</v>
      </c>
      <c r="G98" s="19">
        <v>0.82799999999999996</v>
      </c>
      <c r="H98" s="24" t="s">
        <v>57</v>
      </c>
      <c r="I98" t="str">
        <f>VLOOKUP(A98,Planilha6!$BL$9:$BN$222,2,0)</f>
        <v>homebuilders</v>
      </c>
      <c r="J98" t="str">
        <f>VLOOKUP(A98,Planilha6!$BL$9:$BN$222,3,0)</f>
        <v>neutral_beta</v>
      </c>
      <c r="K98" s="2">
        <v>0</v>
      </c>
      <c r="L98" s="2">
        <v>-1.0999999999999999E-2</v>
      </c>
      <c r="M98" s="15">
        <v>84</v>
      </c>
      <c r="N98" s="41">
        <f>VLOOKUP(A98,'Mandato Smll'!$A$2:$C$215,2,0)</f>
        <v>0</v>
      </c>
      <c r="O98" s="59">
        <f t="shared" si="15"/>
        <v>0</v>
      </c>
      <c r="P98" s="42">
        <f t="shared" si="16"/>
        <v>0</v>
      </c>
      <c r="Q98" s="41">
        <f>VLOOKUP(A98,'Mandato Smll'!$A$2:$C$215,3,0)</f>
        <v>1.98098768631296E-2</v>
      </c>
      <c r="R98" s="59">
        <f t="shared" si="17"/>
        <v>-1.98098768631296E-2</v>
      </c>
      <c r="S98" s="15">
        <v>0.20200000000000001</v>
      </c>
      <c r="T98" s="15">
        <v>2.4E-2</v>
      </c>
      <c r="U98" s="15">
        <v>-0.20300000000000001</v>
      </c>
      <c r="V98" s="15">
        <v>8.2000000000000003E-2</v>
      </c>
      <c r="W98" s="15">
        <v>-7.0999999999999994E-2</v>
      </c>
      <c r="X98" s="15">
        <v>-0.216</v>
      </c>
      <c r="Y98" s="15">
        <v>-0.46100000000000002</v>
      </c>
      <c r="Z98" s="15">
        <v>-0.56200000000000006</v>
      </c>
      <c r="AA98" s="15">
        <v>0.219</v>
      </c>
      <c r="AB98" s="15">
        <v>0.218</v>
      </c>
      <c r="AC98" s="15">
        <v>0.77200000000000002</v>
      </c>
      <c r="AD98" s="15">
        <v>0.79300000000000004</v>
      </c>
      <c r="AE98" s="15">
        <v>0.51600000000000001</v>
      </c>
      <c r="AF98" s="14">
        <v>-7.1999999999999995E-2</v>
      </c>
      <c r="AG98" s="15">
        <v>0.15</v>
      </c>
      <c r="AH98" s="15">
        <v>3.5000000000000003E-2</v>
      </c>
      <c r="AI98" s="15">
        <v>-0.57099999999999995</v>
      </c>
      <c r="AJ98" s="15">
        <v>0.71399999999999997</v>
      </c>
      <c r="AK98" s="9">
        <v>-5.0000000000000001E-3</v>
      </c>
      <c r="AL98" s="4">
        <v>-0.16800000000000001</v>
      </c>
      <c r="AM98" s="4">
        <v>-0.77</v>
      </c>
      <c r="AN98" s="4">
        <v>-0.73299999999999998</v>
      </c>
      <c r="AO98" s="4">
        <v>0.42399999999999999</v>
      </c>
      <c r="AP98" s="4">
        <v>0.32200000000000001</v>
      </c>
      <c r="AQ98" s="4">
        <v>0.83499999999999996</v>
      </c>
      <c r="AR98" s="4">
        <v>0.81399999999999995</v>
      </c>
      <c r="AS98" s="4">
        <v>0.82899999999999996</v>
      </c>
      <c r="AT98" s="4">
        <v>0.39800000000000002</v>
      </c>
      <c r="AU98" s="4">
        <v>0.432</v>
      </c>
      <c r="AV98" s="4">
        <v>-0.192</v>
      </c>
      <c r="AW98" s="4">
        <v>0.45</v>
      </c>
      <c r="AX98" s="4">
        <v>-0.29099999999999998</v>
      </c>
      <c r="AY98" s="4">
        <v>3.5000000000000003E-2</v>
      </c>
      <c r="AZ98" s="4">
        <v>-0.21299999999999999</v>
      </c>
      <c r="BA98" s="4">
        <v>0.37</v>
      </c>
      <c r="BB98" s="4">
        <v>0.53800000000000003</v>
      </c>
      <c r="BC98" s="4">
        <v>-0.23599999999999999</v>
      </c>
      <c r="BD98" s="4">
        <v>-0.151</v>
      </c>
      <c r="BE98" s="4">
        <v>0.69399999999999995</v>
      </c>
      <c r="BF98" s="4">
        <v>-0.35499999999999998</v>
      </c>
      <c r="BG98" s="4">
        <v>-0.55200000000000005</v>
      </c>
      <c r="BH98" s="4">
        <v>-0.17100000000000001</v>
      </c>
      <c r="BI98" s="4">
        <v>-0.68799999999999994</v>
      </c>
      <c r="BJ98" s="4">
        <v>0.34499999999999997</v>
      </c>
      <c r="BK98" s="4">
        <v>-0.79200000000000004</v>
      </c>
      <c r="BL98" s="4">
        <v>1.2999999999999999E-2</v>
      </c>
      <c r="BM98" s="4"/>
    </row>
    <row r="99" spans="1:65" hidden="1" x14ac:dyDescent="0.3">
      <c r="A99" s="19" t="s">
        <v>132</v>
      </c>
      <c r="B99" s="53">
        <f t="shared" si="11"/>
        <v>0</v>
      </c>
      <c r="C99" s="53">
        <f t="shared" si="12"/>
        <v>-4.0000000000000001E-3</v>
      </c>
      <c r="D99" s="53">
        <f t="shared" si="13"/>
        <v>0</v>
      </c>
      <c r="E99" s="53">
        <f t="shared" si="14"/>
        <v>4.0000000000000001E-3</v>
      </c>
      <c r="F99" s="15">
        <v>0.93300000000000005</v>
      </c>
      <c r="G99" s="19">
        <v>0.80900000000000005</v>
      </c>
      <c r="H99" s="24" t="s">
        <v>53</v>
      </c>
      <c r="I99" t="str">
        <f>VLOOKUP(A99,Planilha6!$BL$9:$BN$222,2,0)</f>
        <v>healthcare</v>
      </c>
      <c r="J99" t="str">
        <f>VLOOKUP(A99,Planilha6!$BL$9:$BN$222,3,0)</f>
        <v>high_beta</v>
      </c>
      <c r="K99" s="2">
        <v>0</v>
      </c>
      <c r="L99" s="2">
        <v>-4.0000000000000001E-3</v>
      </c>
      <c r="M99" s="15">
        <v>84</v>
      </c>
      <c r="N99" s="41">
        <f>VLOOKUP(A99,'Mandato Smll'!$A$2:$C$215,2,0)</f>
        <v>0</v>
      </c>
      <c r="O99" s="59">
        <f t="shared" si="15"/>
        <v>0</v>
      </c>
      <c r="P99" s="42">
        <f t="shared" si="16"/>
        <v>0</v>
      </c>
      <c r="Q99" s="41">
        <f>VLOOKUP(A99,'Mandato Smll'!$A$2:$C$215,3,0)</f>
        <v>0</v>
      </c>
      <c r="R99" s="59">
        <f t="shared" si="17"/>
        <v>0</v>
      </c>
      <c r="S99" s="15">
        <v>-0.318</v>
      </c>
      <c r="T99" s="15">
        <v>-0.20100000000000001</v>
      </c>
      <c r="U99" s="15">
        <v>-0.51800000000000002</v>
      </c>
      <c r="V99" s="15">
        <v>-0.26300000000000001</v>
      </c>
      <c r="W99" s="15">
        <v>-0.28100000000000003</v>
      </c>
      <c r="X99" s="15">
        <v>-0.25800000000000001</v>
      </c>
      <c r="Y99" s="15">
        <v>-0.111</v>
      </c>
      <c r="Z99" s="15">
        <v>-0.29799999999999999</v>
      </c>
      <c r="AA99" s="15">
        <v>0.55900000000000005</v>
      </c>
      <c r="AB99" s="15">
        <v>0.55600000000000005</v>
      </c>
      <c r="AC99" s="15">
        <v>0.70499999999999996</v>
      </c>
      <c r="AD99" s="15">
        <v>0.71799999999999997</v>
      </c>
      <c r="AE99" s="15">
        <v>0.68200000000000005</v>
      </c>
      <c r="AF99" s="14">
        <v>-0.27800000000000002</v>
      </c>
      <c r="AG99" s="15">
        <v>-0.46</v>
      </c>
      <c r="AH99" s="15">
        <v>8.8999999999999996E-2</v>
      </c>
      <c r="AI99" s="15">
        <v>-0.55200000000000005</v>
      </c>
      <c r="AJ99" s="15">
        <v>0.63300000000000001</v>
      </c>
      <c r="AK99" s="9">
        <v>-0.54900000000000004</v>
      </c>
      <c r="AL99" s="4">
        <v>-0.253</v>
      </c>
      <c r="AM99" s="4">
        <v>-9.6000000000000002E-2</v>
      </c>
      <c r="AN99" s="4">
        <v>-0.443</v>
      </c>
      <c r="AO99" s="4">
        <v>-0.154</v>
      </c>
      <c r="AP99" s="4">
        <v>0.57799999999999996</v>
      </c>
      <c r="AQ99" s="4">
        <v>-0.34300000000000003</v>
      </c>
      <c r="AR99" s="4">
        <v>0.186</v>
      </c>
      <c r="AS99" s="4">
        <v>0.38800000000000001</v>
      </c>
      <c r="AT99" s="4">
        <v>0.17100000000000001</v>
      </c>
      <c r="AU99" s="4">
        <v>0.42499999999999999</v>
      </c>
      <c r="AV99" s="4">
        <v>-0.34</v>
      </c>
      <c r="AW99" s="4">
        <v>0.22</v>
      </c>
      <c r="AX99" s="4">
        <v>-0.13</v>
      </c>
      <c r="AY99" s="4">
        <v>-0.19</v>
      </c>
      <c r="AZ99" s="4">
        <v>0.91300000000000003</v>
      </c>
      <c r="BA99" s="4">
        <v>-0.38400000000000001</v>
      </c>
      <c r="BB99" s="4">
        <v>0.751</v>
      </c>
      <c r="BC99" s="4">
        <v>-0.28000000000000003</v>
      </c>
      <c r="BD99" s="4">
        <v>-0.41899999999999998</v>
      </c>
      <c r="BE99" s="4">
        <v>0.377</v>
      </c>
      <c r="BF99" s="4">
        <v>0.57499999999999996</v>
      </c>
      <c r="BG99" s="4">
        <v>-0.27500000000000002</v>
      </c>
      <c r="BH99" s="4">
        <v>0.63900000000000001</v>
      </c>
      <c r="BI99" s="4">
        <v>-0.45700000000000002</v>
      </c>
      <c r="BJ99" s="4">
        <v>0.20200000000000001</v>
      </c>
      <c r="BK99" s="4">
        <v>-7.6999999999999999E-2</v>
      </c>
      <c r="BL99" s="4">
        <v>0.186</v>
      </c>
      <c r="BM99" s="4"/>
    </row>
    <row r="100" spans="1:65" hidden="1" x14ac:dyDescent="0.3">
      <c r="A100" s="19" t="s">
        <v>172</v>
      </c>
      <c r="B100" s="53">
        <f t="shared" si="11"/>
        <v>0</v>
      </c>
      <c r="C100" s="53">
        <f t="shared" si="12"/>
        <v>0</v>
      </c>
      <c r="D100" s="53">
        <f t="shared" si="13"/>
        <v>0</v>
      </c>
      <c r="E100" s="53">
        <f t="shared" si="14"/>
        <v>0</v>
      </c>
      <c r="F100" s="15">
        <v>0.92600000000000005</v>
      </c>
      <c r="G100" s="19">
        <v>1.141</v>
      </c>
      <c r="H100" s="24" t="s">
        <v>71</v>
      </c>
      <c r="I100" t="str">
        <f>VLOOKUP(A100,Planilha6!$BL$9:$BN$222,2,0)</f>
        <v>basic_materials</v>
      </c>
      <c r="J100" t="str">
        <f>VLOOKUP(A100,Planilha6!$BL$9:$BN$222,3,0)</f>
        <v>low_beta</v>
      </c>
      <c r="K100" s="2">
        <v>0</v>
      </c>
      <c r="L100" s="2">
        <v>0</v>
      </c>
      <c r="M100" s="15">
        <v>39</v>
      </c>
      <c r="N100" s="41">
        <f>VLOOKUP(A100,'Mandato Smll'!$A$2:$C$215,2,0)</f>
        <v>0</v>
      </c>
      <c r="O100" s="59">
        <f t="shared" si="15"/>
        <v>0</v>
      </c>
      <c r="P100" s="42">
        <f t="shared" si="16"/>
        <v>0</v>
      </c>
      <c r="Q100" s="41">
        <f>VLOOKUP(A100,'Mandato Smll'!$A$2:$C$215,3,0)</f>
        <v>0</v>
      </c>
      <c r="R100" s="59">
        <f t="shared" si="17"/>
        <v>0</v>
      </c>
      <c r="S100" s="15">
        <v>-0.77100000000000002</v>
      </c>
      <c r="T100" s="15">
        <v>-0.21</v>
      </c>
      <c r="U100" s="15">
        <v>-0.91700000000000004</v>
      </c>
      <c r="V100" s="15">
        <v>-0.49399999999999999</v>
      </c>
      <c r="W100" s="15">
        <v>-0.45800000000000002</v>
      </c>
      <c r="X100" s="15">
        <v>-0.13200000000000001</v>
      </c>
      <c r="Y100" s="15">
        <v>0.14699999999999999</v>
      </c>
      <c r="Z100" s="15">
        <v>0.12</v>
      </c>
      <c r="AA100" s="15">
        <v>0.83299999999999996</v>
      </c>
      <c r="AB100" s="15">
        <v>0.83599999999999997</v>
      </c>
      <c r="AC100" s="15">
        <v>0.65200000000000002</v>
      </c>
      <c r="AD100" s="15">
        <v>0.65</v>
      </c>
      <c r="AE100" s="15">
        <v>0.56599999999999995</v>
      </c>
      <c r="AF100" s="14">
        <v>-1E-3</v>
      </c>
      <c r="AG100" s="15">
        <v>-0.82899999999999996</v>
      </c>
      <c r="AH100" s="15">
        <v>0.10199999999999999</v>
      </c>
      <c r="AI100" s="15">
        <v>-0.754</v>
      </c>
      <c r="AJ100" s="15">
        <v>-0.63300000000000001</v>
      </c>
      <c r="AK100" s="9">
        <v>-0.97499999999999998</v>
      </c>
      <c r="AL100" s="4">
        <v>0.122</v>
      </c>
      <c r="AM100" s="4">
        <v>0.04</v>
      </c>
      <c r="AN100" s="4">
        <v>-0.42299999999999999</v>
      </c>
      <c r="AO100" s="4">
        <v>-5.8000000000000003E-2</v>
      </c>
      <c r="AP100" s="4">
        <v>0.44500000000000001</v>
      </c>
      <c r="AQ100" s="4">
        <v>-1.4E-2</v>
      </c>
      <c r="AR100" s="4">
        <v>-0.38700000000000001</v>
      </c>
      <c r="AS100" s="4">
        <v>-0.65300000000000002</v>
      </c>
      <c r="AT100" s="4">
        <v>-0.49</v>
      </c>
      <c r="AU100" s="4">
        <v>0.184</v>
      </c>
      <c r="AV100" s="4">
        <v>-7.0999999999999994E-2</v>
      </c>
      <c r="AW100" s="4">
        <v>1.7000000000000001E-2</v>
      </c>
      <c r="AX100" s="4">
        <v>0.95099999999999996</v>
      </c>
      <c r="AY100" s="4">
        <v>-0.34599999999999997</v>
      </c>
      <c r="AZ100" s="4">
        <v>0.75800000000000001</v>
      </c>
      <c r="BA100" s="4">
        <v>-0.437</v>
      </c>
      <c r="BB100" s="4">
        <v>-0.22800000000000001</v>
      </c>
      <c r="BC100" s="4">
        <v>9.2999999999999999E-2</v>
      </c>
      <c r="BD100" s="4">
        <v>-7.0000000000000007E-2</v>
      </c>
      <c r="BE100" s="4">
        <v>0.217</v>
      </c>
      <c r="BF100" s="4">
        <v>0.43</v>
      </c>
      <c r="BG100" s="4">
        <v>0.31900000000000001</v>
      </c>
      <c r="BH100" s="4">
        <v>0.96099999999999997</v>
      </c>
      <c r="BI100" s="4">
        <v>-0.33900000000000002</v>
      </c>
      <c r="BJ100" s="4">
        <v>-0.55800000000000005</v>
      </c>
      <c r="BK100" s="4">
        <v>-0.06</v>
      </c>
      <c r="BL100" s="4">
        <v>-0.29599999999999999</v>
      </c>
      <c r="BM100" s="4"/>
    </row>
    <row r="101" spans="1:65" hidden="1" x14ac:dyDescent="0.3">
      <c r="A101" s="19" t="s">
        <v>203</v>
      </c>
      <c r="B101" s="53">
        <f t="shared" si="11"/>
        <v>0</v>
      </c>
      <c r="C101" s="53">
        <f t="shared" si="12"/>
        <v>-2.1999999999999999E-2</v>
      </c>
      <c r="D101" s="53">
        <f t="shared" si="13"/>
        <v>0</v>
      </c>
      <c r="E101" s="53">
        <f t="shared" si="14"/>
        <v>2.1999999999999999E-2</v>
      </c>
      <c r="F101" s="15">
        <v>0.91</v>
      </c>
      <c r="G101" s="19">
        <v>1.639</v>
      </c>
      <c r="H101" s="24" t="s">
        <v>53</v>
      </c>
      <c r="I101" t="str">
        <f>VLOOKUP(A101,Planilha6!$BL$9:$BN$222,2,0)</f>
        <v>healthcare</v>
      </c>
      <c r="J101" t="str">
        <f>VLOOKUP(A101,Planilha6!$BL$9:$BN$222,3,0)</f>
        <v>low_beta</v>
      </c>
      <c r="K101" s="2">
        <v>0</v>
      </c>
      <c r="L101" s="2">
        <v>-2.1999999999999999E-2</v>
      </c>
      <c r="M101" s="15">
        <v>58</v>
      </c>
      <c r="N101" s="41">
        <f>VLOOKUP(A101,'Mandato Smll'!$A$2:$C$215,2,0)</f>
        <v>0</v>
      </c>
      <c r="O101" s="59">
        <f t="shared" si="15"/>
        <v>0</v>
      </c>
      <c r="P101" s="42">
        <f t="shared" si="16"/>
        <v>0</v>
      </c>
      <c r="Q101" s="41">
        <f>VLOOKUP(A101,'Mandato Smll'!$A$2:$C$215,3,0)</f>
        <v>0</v>
      </c>
      <c r="R101" s="59">
        <f t="shared" si="17"/>
        <v>0</v>
      </c>
      <c r="S101" s="15">
        <v>-0.35</v>
      </c>
      <c r="T101" s="15">
        <v>-0.14299999999999999</v>
      </c>
      <c r="U101" s="15">
        <v>-0.56799999999999995</v>
      </c>
      <c r="V101" s="15">
        <v>-0.41699999999999998</v>
      </c>
      <c r="W101" s="15">
        <v>-0.309</v>
      </c>
      <c r="X101" s="15">
        <v>-0.09</v>
      </c>
      <c r="Y101" s="15">
        <v>0.20100000000000001</v>
      </c>
      <c r="Z101" s="15">
        <v>-0.11899999999999999</v>
      </c>
      <c r="AA101" s="15">
        <v>0.32700000000000001</v>
      </c>
      <c r="AB101" s="15">
        <v>0.32900000000000001</v>
      </c>
      <c r="AC101" s="15">
        <v>0.59</v>
      </c>
      <c r="AD101" s="15">
        <v>0.72699999999999998</v>
      </c>
      <c r="AE101" s="15">
        <v>0.44900000000000001</v>
      </c>
      <c r="AF101" s="14">
        <v>-9.8000000000000004E-2</v>
      </c>
      <c r="AG101" s="15">
        <v>-0.32200000000000001</v>
      </c>
      <c r="AH101" s="15">
        <v>-0.71599999999999997</v>
      </c>
      <c r="AI101" s="15">
        <v>-0.80300000000000005</v>
      </c>
      <c r="AJ101" s="15">
        <v>-0.90600000000000003</v>
      </c>
      <c r="AK101" s="9">
        <v>-0.80200000000000005</v>
      </c>
      <c r="AL101" s="4">
        <v>-0.22500000000000001</v>
      </c>
      <c r="AM101" s="4">
        <v>-0.33400000000000002</v>
      </c>
      <c r="AN101" s="4">
        <v>-0.49399999999999999</v>
      </c>
      <c r="AO101" s="4">
        <v>0.218</v>
      </c>
      <c r="AP101" s="4">
        <v>-0.16800000000000001</v>
      </c>
      <c r="AQ101" s="4">
        <v>-0.19700000000000001</v>
      </c>
      <c r="AR101" s="4">
        <v>-5.0000000000000001E-3</v>
      </c>
      <c r="AS101" s="4">
        <v>1</v>
      </c>
      <c r="AT101" s="4">
        <v>0.68400000000000005</v>
      </c>
      <c r="AU101" s="4">
        <v>0.14399999999999999</v>
      </c>
      <c r="AV101" s="4">
        <v>0.23599999999999999</v>
      </c>
      <c r="AW101" s="4">
        <v>0.27</v>
      </c>
      <c r="AX101" s="4">
        <v>0.38500000000000001</v>
      </c>
      <c r="AY101" s="4">
        <v>-0.56200000000000006</v>
      </c>
      <c r="AZ101" s="4">
        <v>0.873</v>
      </c>
      <c r="BA101" s="4">
        <v>0.77500000000000002</v>
      </c>
      <c r="BB101" s="4">
        <v>0.80600000000000005</v>
      </c>
      <c r="BC101" s="4">
        <v>4.7E-2</v>
      </c>
      <c r="BD101" s="4">
        <v>-0.25700000000000001</v>
      </c>
      <c r="BE101" s="4">
        <v>0.29499999999999998</v>
      </c>
      <c r="BF101" s="4">
        <v>-9.1999999999999998E-2</v>
      </c>
      <c r="BG101" s="4">
        <v>-0.127</v>
      </c>
      <c r="BH101" s="4">
        <v>0.63400000000000001</v>
      </c>
      <c r="BI101" s="4">
        <v>1.2E-2</v>
      </c>
      <c r="BJ101" s="4">
        <v>-0.255</v>
      </c>
      <c r="BK101" s="4">
        <v>1.9E-2</v>
      </c>
      <c r="BL101" s="4">
        <v>-0.374</v>
      </c>
      <c r="BM101" s="4"/>
    </row>
    <row r="102" spans="1:65" hidden="1" x14ac:dyDescent="0.3">
      <c r="A102" s="19" t="s">
        <v>210</v>
      </c>
      <c r="B102" s="53">
        <f t="shared" si="11"/>
        <v>0</v>
      </c>
      <c r="C102" s="53">
        <f t="shared" si="12"/>
        <v>0</v>
      </c>
      <c r="D102" s="53">
        <f t="shared" si="13"/>
        <v>0</v>
      </c>
      <c r="E102" s="53">
        <f t="shared" si="14"/>
        <v>0</v>
      </c>
      <c r="F102" s="15">
        <v>0.89</v>
      </c>
      <c r="G102" s="19">
        <v>1.1259999999999999</v>
      </c>
      <c r="H102" s="24" t="s">
        <v>55</v>
      </c>
      <c r="I102" t="str">
        <f>VLOOKUP(A102,Planilha6!$BL$9:$BN$222,2,0)</f>
        <v>utilities</v>
      </c>
      <c r="J102" t="str">
        <f>VLOOKUP(A102,Planilha6!$BL$9:$BN$222,3,0)</f>
        <v>high_beta</v>
      </c>
      <c r="K102" s="2">
        <v>0</v>
      </c>
      <c r="L102" s="2">
        <v>0</v>
      </c>
      <c r="M102" s="15">
        <v>5</v>
      </c>
      <c r="N102" s="41">
        <f>VLOOKUP(A102,'Mandato Smll'!$A$2:$C$215,2,0)</f>
        <v>0</v>
      </c>
      <c r="O102" s="59">
        <f t="shared" si="15"/>
        <v>0</v>
      </c>
      <c r="P102" s="42">
        <f t="shared" si="16"/>
        <v>0</v>
      </c>
      <c r="Q102" s="41">
        <f>VLOOKUP(A102,'Mandato Smll'!$A$2:$C$215,3,0)</f>
        <v>0</v>
      </c>
      <c r="R102" s="59">
        <f t="shared" si="17"/>
        <v>0</v>
      </c>
      <c r="S102" s="15">
        <v>-0.497</v>
      </c>
      <c r="T102" s="15">
        <v>0.19400000000000001</v>
      </c>
      <c r="U102" s="15">
        <v>-0.81200000000000006</v>
      </c>
      <c r="V102" s="15">
        <v>-0.40300000000000002</v>
      </c>
      <c r="W102" s="15">
        <v>-0.28000000000000003</v>
      </c>
      <c r="X102" s="15">
        <v>-0.161</v>
      </c>
      <c r="Y102" s="15">
        <v>-5.3999999999999999E-2</v>
      </c>
      <c r="Z102" s="15">
        <v>-0.19900000000000001</v>
      </c>
      <c r="AA102" s="15">
        <v>0.48</v>
      </c>
      <c r="AB102" s="15">
        <v>0.48799999999999999</v>
      </c>
      <c r="AC102" s="15">
        <v>0.67600000000000005</v>
      </c>
      <c r="AD102" s="15">
        <v>0.83799999999999997</v>
      </c>
      <c r="AE102" s="15">
        <v>0.61699999999999999</v>
      </c>
      <c r="AF102" s="14">
        <v>-0.64500000000000002</v>
      </c>
      <c r="AG102" s="15">
        <v>-0.40200000000000002</v>
      </c>
      <c r="AH102" s="15">
        <v>0.441</v>
      </c>
      <c r="AI102" s="15">
        <v>-1</v>
      </c>
      <c r="AJ102" s="15">
        <v>-0.621</v>
      </c>
      <c r="AK102" s="9">
        <v>-1</v>
      </c>
      <c r="AL102" s="4">
        <v>-0.371</v>
      </c>
      <c r="AM102" s="4">
        <v>-0.56399999999999995</v>
      </c>
      <c r="AN102" s="4">
        <v>-0.56399999999999995</v>
      </c>
      <c r="AO102" s="4">
        <v>-0.38100000000000001</v>
      </c>
      <c r="AP102" s="4">
        <v>0.71699999999999997</v>
      </c>
      <c r="AQ102" s="4">
        <v>0.78</v>
      </c>
      <c r="AR102" s="4">
        <v>0.13900000000000001</v>
      </c>
      <c r="AS102" s="4">
        <v>1</v>
      </c>
      <c r="AT102" s="4">
        <v>0.31</v>
      </c>
      <c r="AU102" s="4">
        <v>-4.8000000000000001E-2</v>
      </c>
      <c r="AV102" s="4">
        <v>-3.0000000000000001E-3</v>
      </c>
      <c r="AW102" s="4">
        <v>-0.129</v>
      </c>
      <c r="AX102" s="4">
        <v>0.27100000000000002</v>
      </c>
      <c r="AY102" s="4">
        <v>-0.68400000000000005</v>
      </c>
      <c r="AZ102" s="4">
        <v>0.74399999999999999</v>
      </c>
      <c r="BA102" s="4">
        <v>0.64500000000000002</v>
      </c>
      <c r="BB102" s="4">
        <v>0.36399999999999999</v>
      </c>
      <c r="BC102" s="4">
        <v>0.12</v>
      </c>
      <c r="BD102" s="4">
        <v>-0.26100000000000001</v>
      </c>
      <c r="BE102" s="4">
        <v>0.628</v>
      </c>
      <c r="BF102" s="4">
        <v>-0.252</v>
      </c>
      <c r="BG102" s="4">
        <v>0.104</v>
      </c>
      <c r="BH102" s="4">
        <v>0.67200000000000004</v>
      </c>
      <c r="BI102" s="4">
        <v>-0.67800000000000005</v>
      </c>
      <c r="BJ102" s="4">
        <v>8.5000000000000006E-2</v>
      </c>
      <c r="BK102" s="4">
        <v>-0.28399999999999997</v>
      </c>
      <c r="BL102" s="4">
        <v>-1</v>
      </c>
      <c r="BM102" s="4"/>
    </row>
    <row r="103" spans="1:65" hidden="1" x14ac:dyDescent="0.3">
      <c r="A103" s="19" t="s">
        <v>117</v>
      </c>
      <c r="B103" s="53">
        <f t="shared" si="11"/>
        <v>0</v>
      </c>
      <c r="C103" s="53">
        <f t="shared" si="12"/>
        <v>0</v>
      </c>
      <c r="D103" s="53">
        <f t="shared" si="13"/>
        <v>0</v>
      </c>
      <c r="E103" s="53">
        <f t="shared" si="14"/>
        <v>0</v>
      </c>
      <c r="F103" s="15">
        <v>0.872</v>
      </c>
      <c r="G103" s="19">
        <v>1.1040000000000001</v>
      </c>
      <c r="H103" s="24" t="s">
        <v>55</v>
      </c>
      <c r="I103" t="str">
        <f>VLOOKUP(A103,Planilha6!$BL$9:$BN$222,2,0)</f>
        <v>utilities</v>
      </c>
      <c r="J103" t="str">
        <f>VLOOKUP(A103,Planilha6!$BL$9:$BN$222,3,0)</f>
        <v>low_beta</v>
      </c>
      <c r="K103" s="2">
        <v>0</v>
      </c>
      <c r="L103" s="2">
        <v>0</v>
      </c>
      <c r="M103" s="15">
        <v>48</v>
      </c>
      <c r="N103" s="41">
        <f>VLOOKUP(A103,'Mandato Smll'!$A$2:$C$215,2,0)</f>
        <v>0</v>
      </c>
      <c r="O103" s="59">
        <f t="shared" si="15"/>
        <v>0</v>
      </c>
      <c r="P103" s="42">
        <f t="shared" si="16"/>
        <v>0</v>
      </c>
      <c r="Q103" s="41">
        <f>VLOOKUP(A103,'Mandato Smll'!$A$2:$C$215,3,0)</f>
        <v>8.2738996846392302E-3</v>
      </c>
      <c r="R103" s="59">
        <f t="shared" si="17"/>
        <v>-8.2738996846392302E-3</v>
      </c>
      <c r="S103" s="15">
        <v>-0.76400000000000001</v>
      </c>
      <c r="T103" s="15">
        <v>-0.06</v>
      </c>
      <c r="U103" s="15">
        <v>-0.88900000000000001</v>
      </c>
      <c r="V103" s="15">
        <v>-0.53300000000000003</v>
      </c>
      <c r="W103" s="15">
        <v>-0.38200000000000001</v>
      </c>
      <c r="X103" s="15">
        <v>-0.32600000000000001</v>
      </c>
      <c r="Y103" s="15">
        <v>-8.0000000000000002E-3</v>
      </c>
      <c r="Z103" s="15">
        <v>9.8000000000000004E-2</v>
      </c>
      <c r="AA103" s="15">
        <v>0.70199999999999996</v>
      </c>
      <c r="AB103" s="15">
        <v>0.70699999999999996</v>
      </c>
      <c r="AC103" s="15">
        <v>0.69799999999999995</v>
      </c>
      <c r="AD103" s="15">
        <v>0.79600000000000004</v>
      </c>
      <c r="AE103" s="15">
        <v>0.54500000000000004</v>
      </c>
      <c r="AF103" s="14">
        <v>-0.57699999999999996</v>
      </c>
      <c r="AG103" s="15">
        <v>-0.66700000000000004</v>
      </c>
      <c r="AH103" s="15">
        <v>5.2999999999999999E-2</v>
      </c>
      <c r="AI103" s="15">
        <v>-0.96099999999999997</v>
      </c>
      <c r="AJ103" s="15">
        <v>-0.76100000000000001</v>
      </c>
      <c r="AK103" s="9">
        <v>-0.92700000000000005</v>
      </c>
      <c r="AL103" s="4">
        <v>-0.24199999999999999</v>
      </c>
      <c r="AM103" s="4">
        <v>-5.5E-2</v>
      </c>
      <c r="AN103" s="4">
        <v>-0.69599999999999995</v>
      </c>
      <c r="AO103" s="4">
        <v>-1</v>
      </c>
      <c r="AP103" s="4">
        <v>0.66</v>
      </c>
      <c r="AQ103" s="4">
        <v>1.7000000000000001E-2</v>
      </c>
      <c r="AR103" s="4">
        <v>7.0000000000000001E-3</v>
      </c>
      <c r="AS103" s="4">
        <v>4.7E-2</v>
      </c>
      <c r="AT103" s="4">
        <v>-0.36899999999999999</v>
      </c>
      <c r="AU103" s="4">
        <v>0.45900000000000002</v>
      </c>
      <c r="AV103" s="4">
        <v>-6.9000000000000006E-2</v>
      </c>
      <c r="AW103" s="4">
        <v>-4.2999999999999997E-2</v>
      </c>
      <c r="AX103" s="4">
        <v>0.751</v>
      </c>
      <c r="AY103" s="4">
        <v>-0.63900000000000001</v>
      </c>
      <c r="AZ103" s="4">
        <v>0.96299999999999997</v>
      </c>
      <c r="BA103" s="4">
        <v>0.26200000000000001</v>
      </c>
      <c r="BB103" s="4">
        <v>0.38900000000000001</v>
      </c>
      <c r="BC103" s="4">
        <v>-4.7E-2</v>
      </c>
      <c r="BD103" s="4">
        <v>-0.29499999999999998</v>
      </c>
      <c r="BE103" s="4">
        <v>0.371</v>
      </c>
      <c r="BF103" s="4">
        <v>-0.39</v>
      </c>
      <c r="BG103" s="4">
        <v>0.441</v>
      </c>
      <c r="BH103" s="4">
        <v>0.68300000000000005</v>
      </c>
      <c r="BI103" s="4">
        <v>-0.60099999999999998</v>
      </c>
      <c r="BJ103" s="4">
        <v>-0.104</v>
      </c>
      <c r="BK103" s="4">
        <v>0.11899999999999999</v>
      </c>
      <c r="BL103" s="4">
        <v>-0.54300000000000004</v>
      </c>
      <c r="BM103" s="4"/>
    </row>
    <row r="104" spans="1:65" hidden="1" x14ac:dyDescent="0.3">
      <c r="A104" s="19" t="s">
        <v>144</v>
      </c>
      <c r="B104" s="53">
        <f t="shared" si="11"/>
        <v>0</v>
      </c>
      <c r="C104" s="53">
        <f t="shared" si="12"/>
        <v>0</v>
      </c>
      <c r="D104" s="53">
        <f t="shared" si="13"/>
        <v>0</v>
      </c>
      <c r="E104" s="53">
        <f t="shared" si="14"/>
        <v>0</v>
      </c>
      <c r="F104" s="15">
        <v>0.83399999999999996</v>
      </c>
      <c r="G104" s="19">
        <v>1.1339999999999999</v>
      </c>
      <c r="H104" s="24" t="s">
        <v>55</v>
      </c>
      <c r="I104" t="str">
        <f>VLOOKUP(A104,Planilha6!$BL$9:$BN$222,2,0)</f>
        <v>utilities</v>
      </c>
      <c r="J104" t="str">
        <f>VLOOKUP(A104,Planilha6!$BL$9:$BN$222,3,0)</f>
        <v>low_beta</v>
      </c>
      <c r="K104" s="2">
        <v>0</v>
      </c>
      <c r="L104" s="2">
        <v>0</v>
      </c>
      <c r="M104" s="15">
        <v>43</v>
      </c>
      <c r="N104" s="41">
        <f>VLOOKUP(A104,'Mandato Smll'!$A$2:$C$215,2,0)</f>
        <v>0</v>
      </c>
      <c r="O104" s="59">
        <f t="shared" si="15"/>
        <v>0</v>
      </c>
      <c r="P104" s="42">
        <f t="shared" si="16"/>
        <v>0</v>
      </c>
      <c r="Q104" s="41">
        <f>VLOOKUP(A104,'Mandato Smll'!$A$2:$C$215,3,0)</f>
        <v>9.1917041313772097E-3</v>
      </c>
      <c r="R104" s="59">
        <f t="shared" si="17"/>
        <v>-9.1917041313772097E-3</v>
      </c>
      <c r="S104" s="15">
        <v>-0.79500000000000004</v>
      </c>
      <c r="T104" s="15">
        <v>-9.0999999999999998E-2</v>
      </c>
      <c r="U104" s="15">
        <v>-0.88200000000000001</v>
      </c>
      <c r="V104" s="15">
        <v>-0.629</v>
      </c>
      <c r="W104" s="15">
        <v>-0.44800000000000001</v>
      </c>
      <c r="X104" s="15">
        <v>-0.38500000000000001</v>
      </c>
      <c r="Y104" s="15">
        <v>-2E-3</v>
      </c>
      <c r="Z104" s="15">
        <v>6.9000000000000006E-2</v>
      </c>
      <c r="AA104" s="15">
        <v>0.65100000000000002</v>
      </c>
      <c r="AB104" s="15">
        <v>0.65900000000000003</v>
      </c>
      <c r="AC104" s="15">
        <v>0.69599999999999995</v>
      </c>
      <c r="AD104" s="15">
        <v>0.68500000000000005</v>
      </c>
      <c r="AE104" s="15">
        <v>0.61899999999999999</v>
      </c>
      <c r="AF104" s="14">
        <v>-0.72399999999999998</v>
      </c>
      <c r="AG104" s="15">
        <v>-0.83599999999999997</v>
      </c>
      <c r="AH104" s="15">
        <v>0.65200000000000002</v>
      </c>
      <c r="AI104" s="15">
        <v>-0.85899999999999999</v>
      </c>
      <c r="AJ104" s="15">
        <v>-0.27200000000000002</v>
      </c>
      <c r="AK104" s="9">
        <v>-0.93300000000000005</v>
      </c>
      <c r="AL104" s="4">
        <v>-0.46</v>
      </c>
      <c r="AM104" s="4">
        <v>4.5999999999999999E-2</v>
      </c>
      <c r="AN104" s="4">
        <v>-0.29299999999999998</v>
      </c>
      <c r="AO104" s="4">
        <v>-0.81699999999999995</v>
      </c>
      <c r="AP104" s="4">
        <v>0.58799999999999997</v>
      </c>
      <c r="AQ104" s="4">
        <v>0.71199999999999997</v>
      </c>
      <c r="AR104" s="4">
        <v>-0.35599999999999998</v>
      </c>
      <c r="AS104" s="4">
        <v>-0.21299999999999999</v>
      </c>
      <c r="AT104" s="4">
        <v>-0.20699999999999999</v>
      </c>
      <c r="AU104" s="4">
        <v>-6.6000000000000003E-2</v>
      </c>
      <c r="AV104" s="4">
        <v>2.1000000000000001E-2</v>
      </c>
      <c r="AW104" s="4">
        <v>-0.34100000000000003</v>
      </c>
      <c r="AX104" s="4">
        <v>0.85599999999999998</v>
      </c>
      <c r="AY104" s="4">
        <v>-0.73599999999999999</v>
      </c>
      <c r="AZ104" s="4">
        <v>0.82899999999999996</v>
      </c>
      <c r="BA104" s="4">
        <v>-0.153</v>
      </c>
      <c r="BB104" s="4">
        <v>0.11</v>
      </c>
      <c r="BC104" s="4">
        <v>-0.432</v>
      </c>
      <c r="BD104" s="4">
        <v>-0.65800000000000003</v>
      </c>
      <c r="BE104" s="4">
        <v>3.1E-2</v>
      </c>
      <c r="BF104" s="4">
        <v>-0.30099999999999999</v>
      </c>
      <c r="BG104" s="4">
        <v>0.16300000000000001</v>
      </c>
      <c r="BH104" s="4">
        <v>0.83599999999999997</v>
      </c>
      <c r="BI104" s="4">
        <v>-0.46100000000000002</v>
      </c>
      <c r="BJ104" s="4">
        <v>-0.255</v>
      </c>
      <c r="BK104" s="4">
        <v>9.8000000000000004E-2</v>
      </c>
      <c r="BL104" s="4">
        <v>-9.6000000000000002E-2</v>
      </c>
      <c r="BM104" s="4"/>
    </row>
    <row r="105" spans="1:65" hidden="1" x14ac:dyDescent="0.3">
      <c r="A105" s="19" t="s">
        <v>85</v>
      </c>
      <c r="B105" s="53">
        <f t="shared" si="11"/>
        <v>0</v>
      </c>
      <c r="C105" s="53">
        <f t="shared" si="12"/>
        <v>0</v>
      </c>
      <c r="D105" s="53">
        <f t="shared" si="13"/>
        <v>0</v>
      </c>
      <c r="E105" s="53">
        <f t="shared" si="14"/>
        <v>0</v>
      </c>
      <c r="F105" s="15">
        <v>0.83</v>
      </c>
      <c r="G105" s="19">
        <v>0.622</v>
      </c>
      <c r="H105" s="24" t="s">
        <v>57</v>
      </c>
      <c r="I105" t="str">
        <f>VLOOKUP(A105,Planilha6!$BL$9:$BN$222,2,0)</f>
        <v>education</v>
      </c>
      <c r="J105" t="str">
        <f>VLOOKUP(A105,Planilha6!$BL$9:$BN$222,3,0)</f>
        <v>low_beta</v>
      </c>
      <c r="K105" s="2">
        <v>0</v>
      </c>
      <c r="L105" s="2">
        <v>0</v>
      </c>
      <c r="M105" s="15">
        <v>84</v>
      </c>
      <c r="N105" s="41">
        <f>VLOOKUP(A105,'Mandato Smll'!$A$2:$C$215,2,0)</f>
        <v>0</v>
      </c>
      <c r="O105" s="59">
        <f t="shared" si="15"/>
        <v>0</v>
      </c>
      <c r="P105" s="42">
        <f t="shared" si="16"/>
        <v>0</v>
      </c>
      <c r="Q105" s="41">
        <f>VLOOKUP(A105,'Mandato Smll'!$A$2:$C$215,3,0)</f>
        <v>0</v>
      </c>
      <c r="R105" s="59">
        <f t="shared" si="17"/>
        <v>0</v>
      </c>
      <c r="S105" s="15">
        <v>-0.17499999999999999</v>
      </c>
      <c r="T105" s="15">
        <v>-0.219</v>
      </c>
      <c r="U105" s="15">
        <v>-6.8000000000000005E-2</v>
      </c>
      <c r="V105" s="15">
        <v>-0.17899999999999999</v>
      </c>
      <c r="W105" s="15">
        <v>-0.13600000000000001</v>
      </c>
      <c r="X105" s="15">
        <v>-0.53900000000000003</v>
      </c>
      <c r="Y105" s="15">
        <v>-0.54800000000000004</v>
      </c>
      <c r="Z105" s="15">
        <v>-0.59199999999999997</v>
      </c>
      <c r="AA105" s="15">
        <v>0.52100000000000002</v>
      </c>
      <c r="AB105" s="15">
        <v>0.52800000000000002</v>
      </c>
      <c r="AC105" s="15">
        <v>0.67600000000000005</v>
      </c>
      <c r="AD105" s="15">
        <v>0.627</v>
      </c>
      <c r="AE105" s="15">
        <v>0.75700000000000001</v>
      </c>
      <c r="AF105" s="14">
        <v>0.33200000000000002</v>
      </c>
      <c r="AG105" s="15">
        <v>-0.77</v>
      </c>
      <c r="AH105" s="15">
        <v>0.73499999999999999</v>
      </c>
      <c r="AI105" s="15">
        <v>9.0999999999999998E-2</v>
      </c>
      <c r="AJ105" s="15">
        <v>0.77100000000000002</v>
      </c>
      <c r="AK105" s="9">
        <v>-7.9000000000000001E-2</v>
      </c>
      <c r="AL105" s="4">
        <v>-0.04</v>
      </c>
      <c r="AM105" s="4">
        <v>-0.77300000000000002</v>
      </c>
      <c r="AN105" s="4">
        <v>0.129</v>
      </c>
      <c r="AO105" s="4">
        <v>0.35599999999999998</v>
      </c>
      <c r="AP105" s="4">
        <v>0.26100000000000001</v>
      </c>
      <c r="AQ105" s="4">
        <v>-0.40100000000000002</v>
      </c>
      <c r="AR105" s="4">
        <v>0.23300000000000001</v>
      </c>
      <c r="AS105" s="4">
        <v>-0.33800000000000002</v>
      </c>
      <c r="AT105" s="4">
        <v>0.02</v>
      </c>
      <c r="AU105" s="4">
        <v>0.19800000000000001</v>
      </c>
      <c r="AV105" s="4">
        <v>9.5000000000000001E-2</v>
      </c>
      <c r="AW105" s="4">
        <v>0.17199999999999999</v>
      </c>
      <c r="AX105" s="4">
        <v>-0.39700000000000002</v>
      </c>
      <c r="AY105" s="4">
        <v>-0.4</v>
      </c>
      <c r="AZ105" s="4">
        <v>0.63500000000000001</v>
      </c>
      <c r="BA105" s="4">
        <v>0.104</v>
      </c>
      <c r="BB105" s="4">
        <v>-0.13700000000000001</v>
      </c>
      <c r="BC105" s="4">
        <v>6.7000000000000004E-2</v>
      </c>
      <c r="BD105" s="4">
        <v>-0.311</v>
      </c>
      <c r="BE105" s="4">
        <v>0.45700000000000002</v>
      </c>
      <c r="BF105" s="4">
        <v>0.36599999999999999</v>
      </c>
      <c r="BG105" s="4">
        <v>-0.20599999999999999</v>
      </c>
      <c r="BH105" s="4">
        <v>0.13400000000000001</v>
      </c>
      <c r="BI105" s="4">
        <v>-0.14699999999999999</v>
      </c>
      <c r="BJ105" s="4">
        <v>-0.23899999999999999</v>
      </c>
      <c r="BK105" s="4">
        <v>0.374</v>
      </c>
      <c r="BL105" s="4">
        <v>0.50600000000000001</v>
      </c>
      <c r="BM105" s="4"/>
    </row>
    <row r="106" spans="1:65" hidden="1" x14ac:dyDescent="0.3">
      <c r="A106" s="19" t="s">
        <v>205</v>
      </c>
      <c r="B106" s="53">
        <f t="shared" si="11"/>
        <v>0</v>
      </c>
      <c r="C106" s="53">
        <f t="shared" si="12"/>
        <v>0</v>
      </c>
      <c r="D106" s="53">
        <f t="shared" si="13"/>
        <v>0</v>
      </c>
      <c r="E106" s="53">
        <f t="shared" si="14"/>
        <v>0</v>
      </c>
      <c r="F106" s="15">
        <v>0.82799999999999996</v>
      </c>
      <c r="G106" s="19">
        <v>0.98799999999999999</v>
      </c>
      <c r="H106" s="24" t="s">
        <v>57</v>
      </c>
      <c r="I106" t="str">
        <f>VLOOKUP(A106,Planilha6!$BL$9:$BN$222,2,0)</f>
        <v>consumer_services</v>
      </c>
      <c r="J106" t="str">
        <f>VLOOKUP(A106,Planilha6!$BL$9:$BN$222,3,0)</f>
        <v>low_beta</v>
      </c>
      <c r="K106" s="2">
        <v>0</v>
      </c>
      <c r="L106" s="2">
        <v>0</v>
      </c>
      <c r="M106" s="15">
        <v>20</v>
      </c>
      <c r="N106" s="41">
        <f>VLOOKUP(A106,'Mandato Smll'!$A$2:$C$215,2,0)</f>
        <v>0</v>
      </c>
      <c r="O106" s="59">
        <f t="shared" si="15"/>
        <v>0</v>
      </c>
      <c r="P106" s="42">
        <f t="shared" si="16"/>
        <v>0</v>
      </c>
      <c r="Q106" s="41">
        <f>VLOOKUP(A106,'Mandato Smll'!$A$2:$C$215,3,0)</f>
        <v>9.5337001877279608E-3</v>
      </c>
      <c r="R106" s="59">
        <f t="shared" si="17"/>
        <v>-9.5337001877279608E-3</v>
      </c>
      <c r="S106" s="15">
        <v>-0.67800000000000005</v>
      </c>
      <c r="T106" s="15">
        <v>2.7E-2</v>
      </c>
      <c r="U106" s="15">
        <v>-0.86199999999999999</v>
      </c>
      <c r="V106" s="15">
        <v>-0.32100000000000001</v>
      </c>
      <c r="W106" s="15">
        <v>-0.27400000000000002</v>
      </c>
      <c r="X106" s="15">
        <v>-0.432</v>
      </c>
      <c r="Y106" s="15">
        <v>-0.40400000000000003</v>
      </c>
      <c r="Z106" s="15">
        <v>-0.151</v>
      </c>
      <c r="AA106" s="15">
        <v>0.86699999999999999</v>
      </c>
      <c r="AB106" s="15">
        <v>0.872</v>
      </c>
      <c r="AC106" s="15">
        <v>0.50700000000000001</v>
      </c>
      <c r="AD106" s="15">
        <v>0.71299999999999997</v>
      </c>
      <c r="AE106" s="15">
        <v>0.69699999999999995</v>
      </c>
      <c r="AF106" s="14">
        <v>-0.54300000000000004</v>
      </c>
      <c r="AG106" s="15">
        <v>-0.505</v>
      </c>
      <c r="AH106" s="15">
        <v>0.69899999999999995</v>
      </c>
      <c r="AI106" s="15">
        <v>-0.93400000000000005</v>
      </c>
      <c r="AJ106" s="15">
        <v>-0.30199999999999999</v>
      </c>
      <c r="AK106" s="9">
        <v>-0.99399999999999999</v>
      </c>
      <c r="AL106" s="4">
        <v>-4.9000000000000002E-2</v>
      </c>
      <c r="AM106" s="4">
        <v>-0.249</v>
      </c>
      <c r="AN106" s="4">
        <v>-0.47499999999999998</v>
      </c>
      <c r="AO106" s="4">
        <v>-0.30599999999999999</v>
      </c>
      <c r="AP106" s="4">
        <v>0.70799999999999996</v>
      </c>
      <c r="AQ106" s="4">
        <v>0.82</v>
      </c>
      <c r="AR106" s="4">
        <v>0.215</v>
      </c>
      <c r="AS106" s="4">
        <v>0.17399999999999999</v>
      </c>
      <c r="AT106" s="4">
        <v>0.22900000000000001</v>
      </c>
      <c r="AU106" s="4">
        <v>0.435</v>
      </c>
      <c r="AV106" s="4">
        <v>-0.52800000000000002</v>
      </c>
      <c r="AW106" s="4">
        <v>-0.108</v>
      </c>
      <c r="AX106" s="4">
        <v>0.2</v>
      </c>
      <c r="AY106" s="4">
        <v>-0.48599999999999999</v>
      </c>
      <c r="AZ106" s="4">
        <v>0.69099999999999995</v>
      </c>
      <c r="BA106" s="4">
        <v>0.47699999999999998</v>
      </c>
      <c r="BB106" s="4">
        <v>-0.375</v>
      </c>
      <c r="BC106" s="4">
        <v>-0.71699999999999997</v>
      </c>
      <c r="BD106" s="4">
        <v>-0.79200000000000004</v>
      </c>
      <c r="BE106" s="4">
        <v>0.46800000000000003</v>
      </c>
      <c r="BF106" s="4">
        <v>-0.40300000000000002</v>
      </c>
      <c r="BG106" s="4">
        <v>0.16600000000000001</v>
      </c>
      <c r="BH106" s="4">
        <v>0.622</v>
      </c>
      <c r="BI106" s="4">
        <v>-0.73099999999999998</v>
      </c>
      <c r="BJ106" s="4">
        <v>-0.30599999999999999</v>
      </c>
      <c r="BK106" s="4">
        <v>-0.44400000000000001</v>
      </c>
      <c r="BL106" s="4">
        <v>-0.436</v>
      </c>
      <c r="BM106" s="4"/>
    </row>
    <row r="107" spans="1:65" hidden="1" x14ac:dyDescent="0.3">
      <c r="A107" s="19" t="s">
        <v>105</v>
      </c>
      <c r="B107" s="53">
        <f t="shared" si="11"/>
        <v>0</v>
      </c>
      <c r="C107" s="53">
        <f t="shared" si="12"/>
        <v>-1E-3</v>
      </c>
      <c r="D107" s="53">
        <f t="shared" si="13"/>
        <v>0</v>
      </c>
      <c r="E107" s="53">
        <f t="shared" si="14"/>
        <v>1E-3</v>
      </c>
      <c r="F107" s="15">
        <v>0.82699999999999996</v>
      </c>
      <c r="G107" s="19">
        <v>0.60599999999999998</v>
      </c>
      <c r="H107" s="24" t="s">
        <v>57</v>
      </c>
      <c r="I107" t="str">
        <f>VLOOKUP(A107,Planilha6!$BL$9:$BN$222,2,0)</f>
        <v>transportation</v>
      </c>
      <c r="J107" t="str">
        <f>VLOOKUP(A107,Planilha6!$BL$9:$BN$222,3,0)</f>
        <v>very_high_beta</v>
      </c>
      <c r="K107" s="2">
        <v>0</v>
      </c>
      <c r="L107" s="2">
        <v>-1E-3</v>
      </c>
      <c r="M107" s="15">
        <v>84</v>
      </c>
      <c r="N107" s="41">
        <f>VLOOKUP(A107,'Mandato Smll'!$A$2:$C$215,2,0)</f>
        <v>0</v>
      </c>
      <c r="O107" s="59">
        <f t="shared" si="15"/>
        <v>0</v>
      </c>
      <c r="P107" s="42">
        <f t="shared" si="16"/>
        <v>0</v>
      </c>
      <c r="Q107" s="41">
        <f>VLOOKUP(A107,'Mandato Smll'!$A$2:$C$215,3,0)</f>
        <v>0</v>
      </c>
      <c r="R107" s="59">
        <f t="shared" si="17"/>
        <v>0</v>
      </c>
      <c r="S107" s="15">
        <v>-0.17499999999999999</v>
      </c>
      <c r="T107" s="15">
        <v>-0.378</v>
      </c>
      <c r="U107" s="15">
        <v>-0.28999999999999998</v>
      </c>
      <c r="V107" s="15">
        <v>-0.17100000000000001</v>
      </c>
      <c r="W107" s="15">
        <v>-0.29399999999999998</v>
      </c>
      <c r="X107" s="15">
        <v>-0.61</v>
      </c>
      <c r="Y107" s="15">
        <v>-0.69</v>
      </c>
      <c r="Z107" s="15">
        <v>-0.27600000000000002</v>
      </c>
      <c r="AA107" s="15">
        <v>0.378</v>
      </c>
      <c r="AB107" s="15">
        <v>0.379</v>
      </c>
      <c r="AC107" s="15">
        <v>0.73399999999999999</v>
      </c>
      <c r="AD107" s="15">
        <v>0.88800000000000001</v>
      </c>
      <c r="AE107" s="15">
        <v>0.58199999999999996</v>
      </c>
      <c r="AF107" s="14">
        <v>-0.19</v>
      </c>
      <c r="AG107" s="15">
        <v>-0.25800000000000001</v>
      </c>
      <c r="AH107" s="15">
        <v>0.73599999999999999</v>
      </c>
      <c r="AI107" s="15">
        <v>0.63700000000000001</v>
      </c>
      <c r="AJ107" s="15">
        <v>0.74199999999999999</v>
      </c>
      <c r="AK107" s="9">
        <v>-0.745</v>
      </c>
      <c r="AL107" s="4">
        <v>0.50700000000000001</v>
      </c>
      <c r="AM107" s="4">
        <v>0.53200000000000003</v>
      </c>
      <c r="AN107" s="4">
        <v>-0.17199999999999999</v>
      </c>
      <c r="AO107" s="4">
        <v>0.156</v>
      </c>
      <c r="AP107" s="4">
        <v>0.54900000000000004</v>
      </c>
      <c r="AQ107" s="4">
        <v>0.42799999999999999</v>
      </c>
      <c r="AR107" s="4">
        <v>-0.29699999999999999</v>
      </c>
      <c r="AS107" s="4">
        <v>-0.248</v>
      </c>
      <c r="AT107" s="4">
        <v>-0.65900000000000003</v>
      </c>
      <c r="AU107" s="4">
        <v>0.23400000000000001</v>
      </c>
      <c r="AV107" s="4">
        <v>-0.32</v>
      </c>
      <c r="AW107" s="4">
        <v>-0.38200000000000001</v>
      </c>
      <c r="AX107" s="4">
        <v>-0.49199999999999999</v>
      </c>
      <c r="AY107" s="4">
        <v>-0.56299999999999994</v>
      </c>
      <c r="AZ107" s="4">
        <v>0.501</v>
      </c>
      <c r="BA107" s="4">
        <v>-0.442</v>
      </c>
      <c r="BB107" s="4">
        <v>1.6E-2</v>
      </c>
      <c r="BC107" s="4">
        <v>0.14699999999999999</v>
      </c>
      <c r="BD107" s="4">
        <v>0</v>
      </c>
      <c r="BE107" s="4">
        <v>0.38300000000000001</v>
      </c>
      <c r="BF107" s="4">
        <v>-1</v>
      </c>
      <c r="BG107" s="4">
        <v>-0.84799999999999998</v>
      </c>
      <c r="BH107" s="4">
        <v>-0.751</v>
      </c>
      <c r="BI107" s="4">
        <v>-0.35799999999999998</v>
      </c>
      <c r="BJ107" s="4">
        <v>0.98799999999999999</v>
      </c>
      <c r="BK107" s="4">
        <v>0.39900000000000002</v>
      </c>
      <c r="BL107" s="4">
        <v>0.56599999999999995</v>
      </c>
      <c r="BM107" s="4"/>
    </row>
    <row r="108" spans="1:65" hidden="1" x14ac:dyDescent="0.3">
      <c r="A108" s="19" t="s">
        <v>161</v>
      </c>
      <c r="B108" s="53">
        <f t="shared" si="11"/>
        <v>0</v>
      </c>
      <c r="C108" s="53">
        <f t="shared" si="12"/>
        <v>0</v>
      </c>
      <c r="D108" s="53">
        <f t="shared" si="13"/>
        <v>0</v>
      </c>
      <c r="E108" s="53">
        <f t="shared" si="14"/>
        <v>0</v>
      </c>
      <c r="F108" s="15">
        <v>0.81399999999999995</v>
      </c>
      <c r="G108" s="19">
        <v>0.94299999999999995</v>
      </c>
      <c r="H108" s="24" t="s">
        <v>57</v>
      </c>
      <c r="I108" t="str">
        <f>VLOOKUP(A108,Planilha6!$BL$9:$BN$222,2,0)</f>
        <v>banks</v>
      </c>
      <c r="J108" t="str">
        <f>VLOOKUP(A108,Planilha6!$BL$9:$BN$222,3,0)</f>
        <v>high_beta</v>
      </c>
      <c r="K108" s="2">
        <v>0</v>
      </c>
      <c r="L108" s="2">
        <v>0</v>
      </c>
      <c r="M108" s="15">
        <v>84</v>
      </c>
      <c r="N108" s="41">
        <f>VLOOKUP(A108,'Mandato Smll'!$A$2:$C$215,2,0)</f>
        <v>0</v>
      </c>
      <c r="O108" s="59">
        <f t="shared" si="15"/>
        <v>0</v>
      </c>
      <c r="P108" s="42">
        <f t="shared" si="16"/>
        <v>0</v>
      </c>
      <c r="Q108" s="41">
        <f>VLOOKUP(A108,'Mandato Smll'!$A$2:$C$215,3,0)</f>
        <v>0</v>
      </c>
      <c r="R108" s="59">
        <f t="shared" si="17"/>
        <v>0</v>
      </c>
      <c r="S108" s="15">
        <v>-0.56499999999999995</v>
      </c>
      <c r="T108" s="15">
        <v>-0.35299999999999998</v>
      </c>
      <c r="U108" s="15">
        <v>-0.66100000000000003</v>
      </c>
      <c r="V108" s="15">
        <v>-0.55200000000000005</v>
      </c>
      <c r="W108" s="15">
        <v>-0.47799999999999998</v>
      </c>
      <c r="X108" s="15">
        <v>-0.34699999999999998</v>
      </c>
      <c r="Y108" s="15">
        <v>-0.13500000000000001</v>
      </c>
      <c r="Z108" s="15">
        <v>-0.29699999999999999</v>
      </c>
      <c r="AA108" s="15">
        <v>0.80200000000000005</v>
      </c>
      <c r="AB108" s="15">
        <v>0.80400000000000005</v>
      </c>
      <c r="AC108" s="15">
        <v>0.749</v>
      </c>
      <c r="AD108" s="15">
        <v>0.85299999999999998</v>
      </c>
      <c r="AE108" s="15">
        <v>0.64800000000000002</v>
      </c>
      <c r="AF108" s="14">
        <v>-0.67400000000000004</v>
      </c>
      <c r="AG108" s="15">
        <v>-1.4E-2</v>
      </c>
      <c r="AH108" s="15">
        <v>-9.5000000000000001E-2</v>
      </c>
      <c r="AI108" s="15">
        <v>-0.89900000000000002</v>
      </c>
      <c r="AJ108" s="15">
        <v>-0.999</v>
      </c>
      <c r="AK108" s="9">
        <v>-1</v>
      </c>
      <c r="AL108" s="4">
        <v>-0.159</v>
      </c>
      <c r="AM108" s="4">
        <v>-8.7999999999999995E-2</v>
      </c>
      <c r="AN108" s="4">
        <v>4.5999999999999999E-2</v>
      </c>
      <c r="AO108" s="4">
        <v>-0.106</v>
      </c>
      <c r="AP108" s="4">
        <v>0.10199999999999999</v>
      </c>
      <c r="AQ108" s="4">
        <v>-0.29399999999999998</v>
      </c>
      <c r="AR108" s="4">
        <v>9.8000000000000004E-2</v>
      </c>
      <c r="AS108" s="4">
        <v>0.19900000000000001</v>
      </c>
      <c r="AT108" s="4">
        <v>0.51600000000000001</v>
      </c>
      <c r="AU108" s="4">
        <v>-8.5999999999999993E-2</v>
      </c>
      <c r="AV108" s="4">
        <v>-0.11600000000000001</v>
      </c>
      <c r="AW108" s="4">
        <v>-0.45800000000000002</v>
      </c>
      <c r="AX108" s="4">
        <v>0.33600000000000002</v>
      </c>
      <c r="AY108" s="4">
        <v>-0.44800000000000001</v>
      </c>
      <c r="AZ108" s="4">
        <v>0.84899999999999998</v>
      </c>
      <c r="BA108" s="4">
        <v>-8.1000000000000003E-2</v>
      </c>
      <c r="BB108" s="4">
        <v>0.66400000000000003</v>
      </c>
      <c r="BC108" s="4">
        <v>-0.151</v>
      </c>
      <c r="BD108" s="4">
        <v>-0.2</v>
      </c>
      <c r="BE108" s="4">
        <v>0.183</v>
      </c>
      <c r="BF108" s="4">
        <v>0.17899999999999999</v>
      </c>
      <c r="BG108" s="4">
        <v>-0.28699999999999998</v>
      </c>
      <c r="BH108" s="4">
        <v>0.72199999999999998</v>
      </c>
      <c r="BI108" s="4">
        <v>-0.314</v>
      </c>
      <c r="BJ108" s="4">
        <v>0.11</v>
      </c>
      <c r="BK108" s="4">
        <v>1</v>
      </c>
      <c r="BL108" s="4">
        <v>-0.56899999999999995</v>
      </c>
      <c r="BM108" s="4"/>
    </row>
    <row r="109" spans="1:65" hidden="1" x14ac:dyDescent="0.3">
      <c r="A109" s="19" t="s">
        <v>201</v>
      </c>
      <c r="B109" s="53">
        <f t="shared" si="11"/>
        <v>0</v>
      </c>
      <c r="C109" s="53">
        <f t="shared" si="12"/>
        <v>0</v>
      </c>
      <c r="D109" s="53">
        <f t="shared" si="13"/>
        <v>0</v>
      </c>
      <c r="E109" s="53">
        <f t="shared" si="14"/>
        <v>0</v>
      </c>
      <c r="F109" s="15">
        <v>0.79700000000000004</v>
      </c>
      <c r="G109" s="19">
        <v>0.60899999999999999</v>
      </c>
      <c r="H109" s="24" t="s">
        <v>71</v>
      </c>
      <c r="I109" t="str">
        <f>VLOOKUP(A109,Planilha6!$BL$9:$BN$222,2,0)</f>
        <v>food</v>
      </c>
      <c r="J109" t="str">
        <f>VLOOKUP(A109,Planilha6!$BL$9:$BN$222,3,0)</f>
        <v>very_low_beta</v>
      </c>
      <c r="K109" s="2">
        <v>0</v>
      </c>
      <c r="L109" s="2">
        <v>0</v>
      </c>
      <c r="M109" s="15">
        <v>84</v>
      </c>
      <c r="N109" s="41">
        <f>VLOOKUP(A109,'Mandato Smll'!$A$2:$C$215,2,0)</f>
        <v>0</v>
      </c>
      <c r="O109" s="59">
        <f t="shared" si="15"/>
        <v>0</v>
      </c>
      <c r="P109" s="42">
        <f t="shared" si="16"/>
        <v>0</v>
      </c>
      <c r="Q109" s="41">
        <f>VLOOKUP(A109,'Mandato Smll'!$A$2:$C$215,3,0)</f>
        <v>0</v>
      </c>
      <c r="R109" s="59">
        <f t="shared" si="17"/>
        <v>0</v>
      </c>
      <c r="S109" s="15">
        <v>-0.14000000000000001</v>
      </c>
      <c r="T109" s="15">
        <v>-0.53200000000000003</v>
      </c>
      <c r="U109" s="15">
        <v>-2E-3</v>
      </c>
      <c r="V109" s="15">
        <v>-0.42399999999999999</v>
      </c>
      <c r="W109" s="15">
        <v>-0.39800000000000002</v>
      </c>
      <c r="X109" s="15">
        <v>-0.51300000000000001</v>
      </c>
      <c r="Y109" s="15">
        <v>-0.71</v>
      </c>
      <c r="Z109" s="15">
        <v>-0.70199999999999996</v>
      </c>
      <c r="AA109" s="15">
        <v>0.53400000000000003</v>
      </c>
      <c r="AB109" s="15">
        <v>0.53800000000000003</v>
      </c>
      <c r="AC109" s="15">
        <v>1</v>
      </c>
      <c r="AD109" s="15">
        <v>1</v>
      </c>
      <c r="AE109" s="15">
        <v>0.79800000000000004</v>
      </c>
      <c r="AF109" s="14">
        <v>-0.13100000000000001</v>
      </c>
      <c r="AG109" s="15">
        <v>-0.19</v>
      </c>
      <c r="AH109" s="15">
        <v>0.67</v>
      </c>
      <c r="AI109" s="15">
        <v>0.98199999999999998</v>
      </c>
      <c r="AJ109" s="15">
        <v>0.31900000000000001</v>
      </c>
      <c r="AK109" s="9">
        <v>-0.628</v>
      </c>
      <c r="AL109" s="4">
        <v>0.3</v>
      </c>
      <c r="AM109" s="4">
        <v>-0.86199999999999999</v>
      </c>
      <c r="AN109" s="4">
        <v>0.48099999999999998</v>
      </c>
      <c r="AO109" s="4">
        <v>-0.124</v>
      </c>
      <c r="AP109" s="4">
        <v>0.11899999999999999</v>
      </c>
      <c r="AQ109" s="4">
        <v>0.20200000000000001</v>
      </c>
      <c r="AR109" s="4">
        <v>-0.98899999999999999</v>
      </c>
      <c r="AS109" s="4">
        <v>0.64500000000000002</v>
      </c>
      <c r="AT109" s="4">
        <v>0.13800000000000001</v>
      </c>
      <c r="AU109" s="4">
        <v>-0.10100000000000001</v>
      </c>
      <c r="AV109" s="4">
        <v>-0.313</v>
      </c>
      <c r="AW109" s="4">
        <v>-0.23200000000000001</v>
      </c>
      <c r="AX109" s="4">
        <v>0.251</v>
      </c>
      <c r="AY109" s="4">
        <v>-0.13700000000000001</v>
      </c>
      <c r="AZ109" s="4">
        <v>0.29099999999999998</v>
      </c>
      <c r="BA109" s="4">
        <v>-0.28000000000000003</v>
      </c>
      <c r="BB109" s="4">
        <v>0.70599999999999996</v>
      </c>
      <c r="BC109" s="4">
        <v>4.3999999999999997E-2</v>
      </c>
      <c r="BD109" s="4">
        <v>-2.5000000000000001E-2</v>
      </c>
      <c r="BE109" s="4">
        <v>-0.17100000000000001</v>
      </c>
      <c r="BF109" s="4">
        <v>-0.11600000000000001</v>
      </c>
      <c r="BG109" s="4">
        <v>-0.34200000000000003</v>
      </c>
      <c r="BH109" s="4">
        <v>-8.8999999999999996E-2</v>
      </c>
      <c r="BI109" s="4">
        <v>0.20699999999999999</v>
      </c>
      <c r="BJ109" s="4">
        <v>-0.68600000000000005</v>
      </c>
      <c r="BK109" s="4">
        <v>0.58899999999999997</v>
      </c>
      <c r="BL109" s="4">
        <v>0.77100000000000002</v>
      </c>
      <c r="BM109" s="4"/>
    </row>
    <row r="110" spans="1:65" hidden="1" x14ac:dyDescent="0.3">
      <c r="A110" s="19" t="s">
        <v>162</v>
      </c>
      <c r="B110" s="53">
        <f t="shared" si="11"/>
        <v>0</v>
      </c>
      <c r="C110" s="53">
        <f t="shared" si="12"/>
        <v>0</v>
      </c>
      <c r="D110" s="53">
        <f t="shared" si="13"/>
        <v>0</v>
      </c>
      <c r="E110" s="53">
        <f t="shared" si="14"/>
        <v>0</v>
      </c>
      <c r="F110" s="15">
        <v>0.78300000000000003</v>
      </c>
      <c r="G110" s="19">
        <v>0.94199999999999995</v>
      </c>
      <c r="H110" s="24" t="s">
        <v>57</v>
      </c>
      <c r="I110" t="str">
        <f>VLOOKUP(A110,Planilha6!$BL$9:$BN$222,2,0)</f>
        <v>banks</v>
      </c>
      <c r="J110" t="str">
        <f>VLOOKUP(A110,Planilha6!$BL$9:$BN$222,3,0)</f>
        <v>neutral_beta</v>
      </c>
      <c r="K110" s="2">
        <v>0</v>
      </c>
      <c r="L110" s="2">
        <v>0</v>
      </c>
      <c r="M110" s="15">
        <v>84</v>
      </c>
      <c r="N110" s="41">
        <f>VLOOKUP(A110,'Mandato Smll'!$A$2:$C$215,2,0)</f>
        <v>0</v>
      </c>
      <c r="O110" s="59">
        <f t="shared" si="15"/>
        <v>0</v>
      </c>
      <c r="P110" s="42">
        <f t="shared" si="16"/>
        <v>0</v>
      </c>
      <c r="Q110" s="41">
        <f>VLOOKUP(A110,'Mandato Smll'!$A$2:$C$215,3,0)</f>
        <v>0</v>
      </c>
      <c r="R110" s="59">
        <f t="shared" si="17"/>
        <v>0</v>
      </c>
      <c r="S110" s="15">
        <v>-0.58599999999999997</v>
      </c>
      <c r="T110" s="15">
        <v>-0.442</v>
      </c>
      <c r="U110" s="15">
        <v>-0.68200000000000005</v>
      </c>
      <c r="V110" s="15">
        <v>-0.58799999999999997</v>
      </c>
      <c r="W110" s="15">
        <v>-0.53900000000000003</v>
      </c>
      <c r="X110" s="15">
        <v>-0.32400000000000001</v>
      </c>
      <c r="Y110" s="15">
        <v>-5.1999999999999998E-2</v>
      </c>
      <c r="Z110" s="15">
        <v>-0.32100000000000001</v>
      </c>
      <c r="AA110" s="15">
        <v>0.80300000000000005</v>
      </c>
      <c r="AB110" s="15">
        <v>0.80200000000000005</v>
      </c>
      <c r="AC110" s="15">
        <v>0.73099999999999998</v>
      </c>
      <c r="AD110" s="15">
        <v>0.80400000000000005</v>
      </c>
      <c r="AE110" s="15">
        <v>0.61699999999999999</v>
      </c>
      <c r="AF110" s="14">
        <v>-0.64700000000000002</v>
      </c>
      <c r="AG110" s="15">
        <v>2.5999999999999999E-2</v>
      </c>
      <c r="AH110" s="15">
        <v>-0.33300000000000002</v>
      </c>
      <c r="AI110" s="15">
        <v>-0.89100000000000001</v>
      </c>
      <c r="AJ110" s="15">
        <v>-1</v>
      </c>
      <c r="AK110" s="9">
        <v>-0.996</v>
      </c>
      <c r="AL110" s="4">
        <v>-0.159</v>
      </c>
      <c r="AM110" s="4">
        <v>-5.6000000000000001E-2</v>
      </c>
      <c r="AN110" s="4">
        <v>4.5999999999999999E-2</v>
      </c>
      <c r="AO110" s="4">
        <v>4.2999999999999997E-2</v>
      </c>
      <c r="AP110" s="4">
        <v>-4.3999999999999997E-2</v>
      </c>
      <c r="AQ110" s="4">
        <v>-0.35099999999999998</v>
      </c>
      <c r="AR110" s="4">
        <v>0.107</v>
      </c>
      <c r="AS110" s="4">
        <v>0.19900000000000001</v>
      </c>
      <c r="AT110" s="4">
        <v>0.51600000000000001</v>
      </c>
      <c r="AU110" s="4">
        <v>-5.3999999999999999E-2</v>
      </c>
      <c r="AV110" s="4">
        <v>-0.11600000000000001</v>
      </c>
      <c r="AW110" s="4">
        <v>-0.443</v>
      </c>
      <c r="AX110" s="4">
        <v>0.42199999999999999</v>
      </c>
      <c r="AY110" s="4">
        <v>-0.44800000000000001</v>
      </c>
      <c r="AZ110" s="4">
        <v>0.32900000000000001</v>
      </c>
      <c r="BA110" s="4">
        <v>-0.26800000000000002</v>
      </c>
      <c r="BB110" s="4">
        <v>0.76900000000000002</v>
      </c>
      <c r="BC110" s="4">
        <v>-0.13800000000000001</v>
      </c>
      <c r="BD110" s="4">
        <v>-0.2</v>
      </c>
      <c r="BE110" s="4">
        <v>0.13400000000000001</v>
      </c>
      <c r="BF110" s="4">
        <v>0.24099999999999999</v>
      </c>
      <c r="BG110" s="4">
        <v>-0.55000000000000004</v>
      </c>
      <c r="BH110" s="4">
        <v>0.82799999999999996</v>
      </c>
      <c r="BI110" s="4">
        <v>-0.28100000000000003</v>
      </c>
      <c r="BJ110" s="4">
        <v>4.0000000000000001E-3</v>
      </c>
      <c r="BK110" s="4">
        <v>0.97699999999999998</v>
      </c>
      <c r="BL110" s="4">
        <v>-0.56899999999999995</v>
      </c>
      <c r="BM110" s="4"/>
    </row>
    <row r="111" spans="1:65" hidden="1" x14ac:dyDescent="0.3">
      <c r="A111" s="19" t="s">
        <v>180</v>
      </c>
      <c r="B111" s="53">
        <f t="shared" si="11"/>
        <v>0</v>
      </c>
      <c r="C111" s="53">
        <f t="shared" si="12"/>
        <v>-2E-3</v>
      </c>
      <c r="D111" s="53">
        <f t="shared" si="13"/>
        <v>0</v>
      </c>
      <c r="E111" s="53">
        <f t="shared" si="14"/>
        <v>2E-3</v>
      </c>
      <c r="F111" s="15">
        <v>0.77200000000000002</v>
      </c>
      <c r="G111" s="19">
        <v>0.92500000000000004</v>
      </c>
      <c r="H111" s="24" t="s">
        <v>57</v>
      </c>
      <c r="I111" t="str">
        <f>VLOOKUP(A111,Planilha6!$BL$9:$BN$222,2,0)</f>
        <v>apparel</v>
      </c>
      <c r="J111" t="str">
        <f>VLOOKUP(A111,Planilha6!$BL$9:$BN$222,3,0)</f>
        <v>high_beta</v>
      </c>
      <c r="K111" s="2">
        <v>0</v>
      </c>
      <c r="L111" s="2">
        <v>-2E-3</v>
      </c>
      <c r="M111" s="15">
        <v>84</v>
      </c>
      <c r="N111" s="41">
        <f>VLOOKUP(A111,'Mandato Smll'!$A$2:$C$215,2,0)</f>
        <v>0</v>
      </c>
      <c r="O111" s="59">
        <f t="shared" si="15"/>
        <v>0</v>
      </c>
      <c r="P111" s="42">
        <f t="shared" si="16"/>
        <v>0</v>
      </c>
      <c r="Q111" s="41">
        <f>VLOOKUP(A111,'Mandato Smll'!$A$2:$C$215,3,0)</f>
        <v>0</v>
      </c>
      <c r="R111" s="59">
        <f t="shared" si="17"/>
        <v>0</v>
      </c>
      <c r="S111" s="15">
        <v>-0.16400000000000001</v>
      </c>
      <c r="T111" s="15">
        <v>-0.19800000000000001</v>
      </c>
      <c r="U111" s="15">
        <v>6.5000000000000002E-2</v>
      </c>
      <c r="V111" s="15">
        <v>-0.35199999999999998</v>
      </c>
      <c r="W111" s="15">
        <v>-0.161</v>
      </c>
      <c r="X111" s="15">
        <v>-0.17899999999999999</v>
      </c>
      <c r="Y111" s="15">
        <v>-4.0000000000000001E-3</v>
      </c>
      <c r="Z111" s="15">
        <v>-0.371</v>
      </c>
      <c r="AA111" s="15">
        <v>0.20399999999999999</v>
      </c>
      <c r="AB111" s="15">
        <v>0.20799999999999999</v>
      </c>
      <c r="AC111" s="15">
        <v>0.51300000000000001</v>
      </c>
      <c r="AD111" s="15">
        <v>0.39100000000000001</v>
      </c>
      <c r="AE111" s="15">
        <v>0.216</v>
      </c>
      <c r="AF111" s="14">
        <v>0.182</v>
      </c>
      <c r="AG111" s="15">
        <v>-0.58499999999999996</v>
      </c>
      <c r="AH111" s="15">
        <v>-0.8</v>
      </c>
      <c r="AI111" s="15">
        <v>-0.51900000000000002</v>
      </c>
      <c r="AJ111" s="15">
        <v>-7.0000000000000001E-3</v>
      </c>
      <c r="AK111" s="9">
        <v>1</v>
      </c>
      <c r="AL111" s="4">
        <v>-0.46400000000000002</v>
      </c>
      <c r="AM111" s="4">
        <v>-0.75</v>
      </c>
      <c r="AN111" s="4">
        <v>-0.95</v>
      </c>
      <c r="AO111" s="4">
        <v>0.39300000000000002</v>
      </c>
      <c r="AP111" s="4">
        <v>-0.439</v>
      </c>
      <c r="AQ111" s="4">
        <v>7.3999999999999996E-2</v>
      </c>
      <c r="AR111" s="4">
        <v>0.155</v>
      </c>
      <c r="AS111" s="4">
        <v>0.03</v>
      </c>
      <c r="AT111" s="4">
        <v>-0.24099999999999999</v>
      </c>
      <c r="AU111" s="4">
        <v>0.874</v>
      </c>
      <c r="AV111" s="4">
        <v>7.6999999999999999E-2</v>
      </c>
      <c r="AW111" s="4">
        <v>0.878</v>
      </c>
      <c r="AX111" s="4">
        <v>0.39</v>
      </c>
      <c r="AY111" s="4">
        <v>2.1999999999999999E-2</v>
      </c>
      <c r="AZ111" s="4">
        <v>0.91500000000000004</v>
      </c>
      <c r="BA111" s="4">
        <v>0.54</v>
      </c>
      <c r="BB111" s="4">
        <v>0.46300000000000002</v>
      </c>
      <c r="BC111" s="4">
        <v>-0.52</v>
      </c>
      <c r="BD111" s="4">
        <v>-0.52</v>
      </c>
      <c r="BE111" s="4">
        <v>0.11700000000000001</v>
      </c>
      <c r="BF111" s="4">
        <v>0.46200000000000002</v>
      </c>
      <c r="BG111" s="4">
        <v>-0.40899999999999997</v>
      </c>
      <c r="BH111" s="4">
        <v>0.53900000000000003</v>
      </c>
      <c r="BI111" s="4">
        <v>-0.42899999999999999</v>
      </c>
      <c r="BJ111" s="4">
        <v>0.155</v>
      </c>
      <c r="BK111" s="4">
        <v>0.313</v>
      </c>
      <c r="BL111" s="4">
        <v>0.72199999999999998</v>
      </c>
      <c r="BM111" s="4"/>
    </row>
    <row r="112" spans="1:65" hidden="1" x14ac:dyDescent="0.3">
      <c r="A112" s="19" t="s">
        <v>176</v>
      </c>
      <c r="B112" s="53">
        <f t="shared" si="11"/>
        <v>0</v>
      </c>
      <c r="C112" s="53">
        <f t="shared" si="12"/>
        <v>-8.0000000000000002E-3</v>
      </c>
      <c r="D112" s="53">
        <f t="shared" si="13"/>
        <v>0</v>
      </c>
      <c r="E112" s="53">
        <f t="shared" si="14"/>
        <v>8.0000000000000002E-3</v>
      </c>
      <c r="F112" s="15">
        <v>0.76</v>
      </c>
      <c r="G112" s="19">
        <v>0.60399999999999998</v>
      </c>
      <c r="H112" s="24" t="s">
        <v>57</v>
      </c>
      <c r="I112" t="str">
        <f>VLOOKUP(A112,Planilha6!$BL$9:$BN$222,2,0)</f>
        <v>apparel</v>
      </c>
      <c r="J112" t="str">
        <f>VLOOKUP(A112,Planilha6!$BL$9:$BN$222,3,0)</f>
        <v>very_high_beta</v>
      </c>
      <c r="K112" s="2">
        <v>0</v>
      </c>
      <c r="L112" s="2">
        <v>-8.0000000000000002E-3</v>
      </c>
      <c r="M112" s="15">
        <v>78</v>
      </c>
      <c r="N112" s="41">
        <f>VLOOKUP(A112,'Mandato Smll'!$A$2:$C$215,2,0)</f>
        <v>0</v>
      </c>
      <c r="O112" s="59">
        <f t="shared" si="15"/>
        <v>0</v>
      </c>
      <c r="P112" s="42">
        <f t="shared" si="16"/>
        <v>0</v>
      </c>
      <c r="Q112" s="41">
        <f>VLOOKUP(A112,'Mandato Smll'!$A$2:$C$215,3,0)</f>
        <v>0</v>
      </c>
      <c r="R112" s="59">
        <f t="shared" si="17"/>
        <v>0</v>
      </c>
      <c r="S112" s="15">
        <v>0.10100000000000001</v>
      </c>
      <c r="T112" s="15">
        <v>-0.25900000000000001</v>
      </c>
      <c r="U112" s="15">
        <v>-0.14699999999999999</v>
      </c>
      <c r="V112" s="15">
        <v>0.19700000000000001</v>
      </c>
      <c r="W112" s="15">
        <v>-0.113</v>
      </c>
      <c r="X112" s="15">
        <v>-0.14000000000000001</v>
      </c>
      <c r="Y112" s="15">
        <v>-0.24399999999999999</v>
      </c>
      <c r="Z112" s="15">
        <v>-0.60199999999999998</v>
      </c>
      <c r="AA112" s="15">
        <v>4.5999999999999999E-2</v>
      </c>
      <c r="AB112" s="15">
        <v>5.1999999999999998E-2</v>
      </c>
      <c r="AC112" s="15">
        <v>0.36099999999999999</v>
      </c>
      <c r="AD112" s="15">
        <v>0.25700000000000001</v>
      </c>
      <c r="AE112" s="15">
        <v>0.34699999999999998</v>
      </c>
      <c r="AF112" s="14">
        <v>1</v>
      </c>
      <c r="AG112" s="15">
        <v>0.55100000000000005</v>
      </c>
      <c r="AH112" s="15">
        <v>-0.29499999999999998</v>
      </c>
      <c r="AI112" s="15">
        <v>-0.2</v>
      </c>
      <c r="AJ112" s="15">
        <v>-0.28299999999999997</v>
      </c>
      <c r="AK112" s="9">
        <v>0.84099999999999997</v>
      </c>
      <c r="AL112" s="4">
        <v>0.48699999999999999</v>
      </c>
      <c r="AM112" s="4">
        <v>-0.73299999999999998</v>
      </c>
      <c r="AN112" s="4">
        <v>-0.26700000000000002</v>
      </c>
      <c r="AO112" s="4">
        <v>0.254</v>
      </c>
      <c r="AP112" s="4">
        <v>-0.71099999999999997</v>
      </c>
      <c r="AQ112" s="4">
        <v>0.46700000000000003</v>
      </c>
      <c r="AR112" s="4">
        <v>0.74399999999999999</v>
      </c>
      <c r="AS112" s="4">
        <v>0.187</v>
      </c>
      <c r="AT112" s="4">
        <v>-0.26100000000000001</v>
      </c>
      <c r="AU112" s="4">
        <v>0.53</v>
      </c>
      <c r="AV112" s="4">
        <v>3.5999999999999997E-2</v>
      </c>
      <c r="AW112" s="4">
        <v>0.91200000000000003</v>
      </c>
      <c r="AX112" s="4">
        <v>-0.54500000000000004</v>
      </c>
      <c r="AY112" s="4">
        <v>0.126</v>
      </c>
      <c r="AZ112" s="4">
        <v>0.72699999999999998</v>
      </c>
      <c r="BA112" s="4">
        <v>6.5000000000000002E-2</v>
      </c>
      <c r="BB112" s="4">
        <v>-0.254</v>
      </c>
      <c r="BC112" s="4">
        <v>-0.104</v>
      </c>
      <c r="BD112" s="4">
        <v>-8.5000000000000006E-2</v>
      </c>
      <c r="BE112" s="4">
        <v>0.59</v>
      </c>
      <c r="BF112" s="4">
        <v>-0.45200000000000001</v>
      </c>
      <c r="BG112" s="4">
        <v>-0.34499999999999997</v>
      </c>
      <c r="BH112" s="4">
        <v>0.223</v>
      </c>
      <c r="BI112" s="4">
        <v>-0.67100000000000004</v>
      </c>
      <c r="BJ112" s="4">
        <v>0.36099999999999999</v>
      </c>
      <c r="BK112" s="4">
        <v>-0.92</v>
      </c>
      <c r="BL112" s="4">
        <v>0.34100000000000003</v>
      </c>
      <c r="BM112" s="4"/>
    </row>
    <row r="113" spans="1:65" hidden="1" x14ac:dyDescent="0.3">
      <c r="A113" s="19" t="s">
        <v>150</v>
      </c>
      <c r="B113" s="53">
        <f t="shared" si="11"/>
        <v>0</v>
      </c>
      <c r="C113" s="53">
        <f t="shared" si="12"/>
        <v>-1E-3</v>
      </c>
      <c r="D113" s="53">
        <f t="shared" si="13"/>
        <v>0</v>
      </c>
      <c r="E113" s="53">
        <f t="shared" si="14"/>
        <v>1E-3</v>
      </c>
      <c r="F113" s="15">
        <v>0.75700000000000001</v>
      </c>
      <c r="G113" s="19">
        <v>0.628</v>
      </c>
      <c r="H113" s="24" t="s">
        <v>53</v>
      </c>
      <c r="I113" t="str">
        <f>VLOOKUP(A113,Planilha6!$BL$9:$BN$222,2,0)</f>
        <v>healthcare</v>
      </c>
      <c r="J113" t="str">
        <f>VLOOKUP(A113,Planilha6!$BL$9:$BN$222,3,0)</f>
        <v>neutral_beta</v>
      </c>
      <c r="K113" s="2">
        <v>0</v>
      </c>
      <c r="L113" s="2">
        <v>-1E-3</v>
      </c>
      <c r="M113" s="15">
        <v>84</v>
      </c>
      <c r="N113" s="41">
        <f>VLOOKUP(A113,'Mandato Smll'!$A$2:$C$215,2,0)</f>
        <v>0</v>
      </c>
      <c r="O113" s="59">
        <f t="shared" si="15"/>
        <v>0</v>
      </c>
      <c r="P113" s="42">
        <f t="shared" si="16"/>
        <v>0</v>
      </c>
      <c r="Q113" s="41">
        <f>VLOOKUP(A113,'Mandato Smll'!$A$2:$C$215,3,0)</f>
        <v>0</v>
      </c>
      <c r="R113" s="59">
        <f t="shared" si="17"/>
        <v>0</v>
      </c>
      <c r="S113" s="15">
        <v>-0.28399999999999997</v>
      </c>
      <c r="T113" s="15">
        <v>-0.254</v>
      </c>
      <c r="U113" s="15">
        <v>-0.26700000000000002</v>
      </c>
      <c r="V113" s="15">
        <v>-0.56299999999999994</v>
      </c>
      <c r="W113" s="15">
        <v>-0.41499999999999998</v>
      </c>
      <c r="X113" s="15">
        <v>-0.25600000000000001</v>
      </c>
      <c r="Y113" s="15">
        <v>-5.7000000000000002E-2</v>
      </c>
      <c r="Z113" s="15">
        <v>-0.372</v>
      </c>
      <c r="AA113" s="15">
        <v>0.16200000000000001</v>
      </c>
      <c r="AB113" s="15">
        <v>0.16400000000000001</v>
      </c>
      <c r="AC113" s="15">
        <v>0.55600000000000005</v>
      </c>
      <c r="AD113" s="15">
        <v>0.502</v>
      </c>
      <c r="AE113" s="15">
        <v>0.53300000000000003</v>
      </c>
      <c r="AF113" s="14">
        <v>-0.17499999999999999</v>
      </c>
      <c r="AG113" s="15">
        <v>-0.76900000000000002</v>
      </c>
      <c r="AH113" s="15">
        <v>-0.41899999999999998</v>
      </c>
      <c r="AI113" s="15">
        <v>-0.44800000000000001</v>
      </c>
      <c r="AJ113" s="15">
        <v>0.105</v>
      </c>
      <c r="AK113" s="9">
        <v>-6.3E-2</v>
      </c>
      <c r="AL113" s="4">
        <v>-0.32900000000000001</v>
      </c>
      <c r="AM113" s="4">
        <v>-0.35899999999999999</v>
      </c>
      <c r="AN113" s="4">
        <v>-0.60199999999999998</v>
      </c>
      <c r="AO113" s="4">
        <v>0.14299999999999999</v>
      </c>
      <c r="AP113" s="4">
        <v>0.126</v>
      </c>
      <c r="AQ113" s="4">
        <v>0.55800000000000005</v>
      </c>
      <c r="AR113" s="4">
        <v>-9.1999999999999998E-2</v>
      </c>
      <c r="AS113" s="4">
        <v>-0.16800000000000001</v>
      </c>
      <c r="AT113" s="4">
        <v>-0.58599999999999997</v>
      </c>
      <c r="AU113" s="4">
        <v>0.188</v>
      </c>
      <c r="AV113" s="4">
        <v>4.3999999999999997E-2</v>
      </c>
      <c r="AW113" s="4">
        <v>0.246</v>
      </c>
      <c r="AX113" s="4">
        <v>0.26700000000000002</v>
      </c>
      <c r="AY113" s="4">
        <v>0.28000000000000003</v>
      </c>
      <c r="AZ113" s="4">
        <v>0.872</v>
      </c>
      <c r="BA113" s="4">
        <v>-9.5000000000000001E-2</v>
      </c>
      <c r="BB113" s="4">
        <v>0.69099999999999995</v>
      </c>
      <c r="BC113" s="4">
        <v>-6.5000000000000002E-2</v>
      </c>
      <c r="BD113" s="4">
        <v>-0.22</v>
      </c>
      <c r="BE113" s="4">
        <v>8.0000000000000002E-3</v>
      </c>
      <c r="BF113" s="4">
        <v>-0.36599999999999999</v>
      </c>
      <c r="BG113" s="4">
        <v>0.26500000000000001</v>
      </c>
      <c r="BH113" s="4">
        <v>0.61199999999999999</v>
      </c>
      <c r="BI113" s="4">
        <v>0.20799999999999999</v>
      </c>
      <c r="BJ113" s="4">
        <v>-7.4999999999999997E-2</v>
      </c>
      <c r="BK113" s="4">
        <v>0.67200000000000004</v>
      </c>
      <c r="BL113" s="4">
        <v>0.23300000000000001</v>
      </c>
      <c r="BM113" s="4"/>
    </row>
    <row r="114" spans="1:65" hidden="1" x14ac:dyDescent="0.3">
      <c r="A114" s="19" t="s">
        <v>199</v>
      </c>
      <c r="B114" s="53">
        <f t="shared" si="11"/>
        <v>0</v>
      </c>
      <c r="C114" s="53">
        <f t="shared" si="12"/>
        <v>-1.2999999999999999E-2</v>
      </c>
      <c r="D114" s="53">
        <f t="shared" si="13"/>
        <v>0</v>
      </c>
      <c r="E114" s="53">
        <f t="shared" si="14"/>
        <v>1.2999999999999999E-2</v>
      </c>
      <c r="F114" s="15">
        <v>0.748</v>
      </c>
      <c r="G114" s="19">
        <v>1.3819999999999999</v>
      </c>
      <c r="H114" s="24" t="s">
        <v>55</v>
      </c>
      <c r="I114" t="str">
        <f>VLOOKUP(A114,Planilha6!$BL$9:$BN$222,2,0)</f>
        <v>utilities</v>
      </c>
      <c r="J114" t="str">
        <f>VLOOKUP(A114,Planilha6!$BL$9:$BN$222,3,0)</f>
        <v>high_beta</v>
      </c>
      <c r="K114" s="2">
        <v>0</v>
      </c>
      <c r="L114" s="2">
        <v>-1.2999999999999999E-2</v>
      </c>
      <c r="M114" s="15">
        <v>84</v>
      </c>
      <c r="N114" s="41">
        <f>VLOOKUP(A114,'Mandato Smll'!$A$2:$C$215,2,0)</f>
        <v>0</v>
      </c>
      <c r="O114" s="59">
        <f t="shared" si="15"/>
        <v>0</v>
      </c>
      <c r="P114" s="42">
        <f t="shared" si="16"/>
        <v>0</v>
      </c>
      <c r="Q114" s="41">
        <f>VLOOKUP(A114,'Mandato Smll'!$A$2:$C$215,3,0)</f>
        <v>2.6925647196765299E-2</v>
      </c>
      <c r="R114" s="59">
        <f t="shared" si="17"/>
        <v>-2.6925647196765299E-2</v>
      </c>
      <c r="S114" s="15">
        <v>-0.439</v>
      </c>
      <c r="T114" s="15">
        <v>3.6999999999999998E-2</v>
      </c>
      <c r="U114" s="15">
        <v>-0.55600000000000005</v>
      </c>
      <c r="V114" s="15">
        <v>-0.41699999999999998</v>
      </c>
      <c r="W114" s="15">
        <v>-0.23899999999999999</v>
      </c>
      <c r="X114" s="15">
        <v>-0.22700000000000001</v>
      </c>
      <c r="Y114" s="15">
        <v>-0.106</v>
      </c>
      <c r="Z114" s="15">
        <v>-0.44400000000000001</v>
      </c>
      <c r="AA114" s="15">
        <v>0.53800000000000003</v>
      </c>
      <c r="AB114" s="15">
        <v>0.53700000000000003</v>
      </c>
      <c r="AC114" s="15">
        <v>0.56399999999999995</v>
      </c>
      <c r="AD114" s="15">
        <v>0.58199999999999996</v>
      </c>
      <c r="AE114" s="15">
        <v>0.45</v>
      </c>
      <c r="AF114" s="14">
        <v>-0.61499999999999999</v>
      </c>
      <c r="AG114" s="15">
        <v>-0.36199999999999999</v>
      </c>
      <c r="AH114" s="15">
        <v>-0.16700000000000001</v>
      </c>
      <c r="AI114" s="15">
        <v>-0.85599999999999998</v>
      </c>
      <c r="AJ114" s="15">
        <v>0.13400000000000001</v>
      </c>
      <c r="AK114" s="9">
        <v>-0.55300000000000005</v>
      </c>
      <c r="AL114" s="4">
        <v>-0.51500000000000001</v>
      </c>
      <c r="AM114" s="4">
        <v>-1</v>
      </c>
      <c r="AN114" s="4">
        <v>-0.86199999999999999</v>
      </c>
      <c r="AO114" s="4">
        <v>0.17699999999999999</v>
      </c>
      <c r="AP114" s="4">
        <v>0.627</v>
      </c>
      <c r="AQ114" s="4">
        <v>0.25900000000000001</v>
      </c>
      <c r="AR114" s="4">
        <v>0.77100000000000002</v>
      </c>
      <c r="AS114" s="4">
        <v>0.86399999999999999</v>
      </c>
      <c r="AT114" s="4">
        <v>0.52700000000000002</v>
      </c>
      <c r="AU114" s="4">
        <v>-0.107</v>
      </c>
      <c r="AV114" s="4">
        <v>0.107</v>
      </c>
      <c r="AW114" s="4">
        <v>0.18</v>
      </c>
      <c r="AX114" s="4">
        <v>0.51500000000000001</v>
      </c>
      <c r="AY114" s="4">
        <v>-8.1000000000000003E-2</v>
      </c>
      <c r="AZ114" s="4">
        <v>0.625</v>
      </c>
      <c r="BA114" s="4">
        <v>0.73399999999999999</v>
      </c>
      <c r="BB114" s="4">
        <v>-0.34499999999999997</v>
      </c>
      <c r="BC114" s="4">
        <v>-0.68600000000000005</v>
      </c>
      <c r="BD114" s="4">
        <v>-0.92200000000000004</v>
      </c>
      <c r="BE114" s="4">
        <v>0.21099999999999999</v>
      </c>
      <c r="BF114" s="4">
        <v>-0.96299999999999997</v>
      </c>
      <c r="BG114" s="4">
        <v>0.36199999999999999</v>
      </c>
      <c r="BH114" s="4">
        <v>0.57899999999999996</v>
      </c>
      <c r="BI114" s="4">
        <v>-0.65700000000000003</v>
      </c>
      <c r="BJ114" s="4">
        <v>0.22500000000000001</v>
      </c>
      <c r="BK114" s="4">
        <v>-8.7999999999999995E-2</v>
      </c>
      <c r="BL114" s="4">
        <v>0.311</v>
      </c>
      <c r="BM114" s="4"/>
    </row>
    <row r="115" spans="1:65" hidden="1" x14ac:dyDescent="0.3">
      <c r="A115" s="19" t="s">
        <v>174</v>
      </c>
      <c r="B115" s="53">
        <f t="shared" si="11"/>
        <v>0</v>
      </c>
      <c r="C115" s="53">
        <f t="shared" si="12"/>
        <v>0</v>
      </c>
      <c r="D115" s="53">
        <f t="shared" si="13"/>
        <v>0</v>
      </c>
      <c r="E115" s="53">
        <f t="shared" si="14"/>
        <v>0</v>
      </c>
      <c r="F115" s="15">
        <v>0.74099999999999999</v>
      </c>
      <c r="G115" s="19">
        <v>0.55100000000000005</v>
      </c>
      <c r="H115" s="24" t="s">
        <v>68</v>
      </c>
      <c r="I115" t="str">
        <f>VLOOKUP(A115,Planilha6!$BL$9:$BN$222,2,0)</f>
        <v>capital_goods</v>
      </c>
      <c r="J115" t="str">
        <f>VLOOKUP(A115,Planilha6!$BL$9:$BN$222,3,0)</f>
        <v>very_low_beta</v>
      </c>
      <c r="K115" s="2">
        <v>0</v>
      </c>
      <c r="L115" s="2">
        <v>0</v>
      </c>
      <c r="M115" s="15">
        <v>84</v>
      </c>
      <c r="N115" s="41">
        <f>VLOOKUP(A115,'Mandato Smll'!$A$2:$C$215,2,0)</f>
        <v>0</v>
      </c>
      <c r="O115" s="59">
        <f t="shared" si="15"/>
        <v>0</v>
      </c>
      <c r="P115" s="42">
        <f t="shared" si="16"/>
        <v>0</v>
      </c>
      <c r="Q115" s="41">
        <f>VLOOKUP(A115,'Mandato Smll'!$A$2:$C$215,3,0)</f>
        <v>0</v>
      </c>
      <c r="R115" s="59">
        <f t="shared" si="17"/>
        <v>0</v>
      </c>
      <c r="S115" s="15">
        <v>-0.20499999999999999</v>
      </c>
      <c r="T115" s="15">
        <v>-0.53400000000000003</v>
      </c>
      <c r="U115" s="15">
        <v>0.108</v>
      </c>
      <c r="V115" s="15">
        <v>-0.44900000000000001</v>
      </c>
      <c r="W115" s="15">
        <v>-0.372</v>
      </c>
      <c r="X115" s="15">
        <v>-0.65400000000000003</v>
      </c>
      <c r="Y115" s="15">
        <v>-0.71599999999999997</v>
      </c>
      <c r="Z115" s="15">
        <v>-0.67</v>
      </c>
      <c r="AA115" s="15">
        <v>0.79200000000000004</v>
      </c>
      <c r="AB115" s="15">
        <v>0.79300000000000004</v>
      </c>
      <c r="AC115" s="15">
        <v>0.64100000000000001</v>
      </c>
      <c r="AD115" s="15">
        <v>0.69</v>
      </c>
      <c r="AE115" s="15">
        <v>0.65100000000000002</v>
      </c>
      <c r="AF115" s="14">
        <v>-0.22900000000000001</v>
      </c>
      <c r="AG115" s="15">
        <v>0</v>
      </c>
      <c r="AH115" s="15">
        <v>0.26900000000000002</v>
      </c>
      <c r="AI115" s="15">
        <v>1</v>
      </c>
      <c r="AJ115" s="15">
        <v>0.19700000000000001</v>
      </c>
      <c r="AK115" s="9">
        <v>-0.374</v>
      </c>
      <c r="AL115" s="4">
        <v>0.621</v>
      </c>
      <c r="AM115" s="4">
        <v>-0.58199999999999996</v>
      </c>
      <c r="AN115" s="4">
        <v>0.90600000000000003</v>
      </c>
      <c r="AO115" s="4">
        <v>-0.26600000000000001</v>
      </c>
      <c r="AP115" s="4">
        <v>-0.14499999999999999</v>
      </c>
      <c r="AQ115" s="4">
        <v>-0.109</v>
      </c>
      <c r="AR115" s="4">
        <v>-0.38100000000000001</v>
      </c>
      <c r="AS115" s="4">
        <v>-0.1</v>
      </c>
      <c r="AT115" s="4">
        <v>-0.61699999999999999</v>
      </c>
      <c r="AU115" s="4">
        <v>0.26600000000000001</v>
      </c>
      <c r="AV115" s="4">
        <v>-0.48399999999999999</v>
      </c>
      <c r="AW115" s="4">
        <v>-0.35499999999999998</v>
      </c>
      <c r="AX115" s="4">
        <v>0.14799999999999999</v>
      </c>
      <c r="AY115" s="4">
        <v>-0.755</v>
      </c>
      <c r="AZ115" s="4">
        <v>0.82399999999999995</v>
      </c>
      <c r="BA115" s="4">
        <v>6.5000000000000002E-2</v>
      </c>
      <c r="BB115" s="4">
        <v>0.122</v>
      </c>
      <c r="BC115" s="4">
        <v>0.27800000000000002</v>
      </c>
      <c r="BD115" s="4">
        <v>-7.8E-2</v>
      </c>
      <c r="BE115" s="4">
        <v>0.30499999999999999</v>
      </c>
      <c r="BF115" s="4">
        <v>-0.46899999999999997</v>
      </c>
      <c r="BG115" s="4">
        <v>-7.5999999999999998E-2</v>
      </c>
      <c r="BH115" s="4">
        <v>-2.1000000000000001E-2</v>
      </c>
      <c r="BI115" s="4">
        <v>1.2E-2</v>
      </c>
      <c r="BJ115" s="4">
        <v>-0.11</v>
      </c>
      <c r="BK115" s="4">
        <v>0.93100000000000005</v>
      </c>
      <c r="BL115" s="4">
        <v>0.71699999999999997</v>
      </c>
      <c r="BM115" s="4"/>
    </row>
    <row r="116" spans="1:65" hidden="1" x14ac:dyDescent="0.3">
      <c r="A116" s="19" t="s">
        <v>214</v>
      </c>
      <c r="B116" s="53">
        <f t="shared" si="11"/>
        <v>0</v>
      </c>
      <c r="C116" s="53">
        <f t="shared" si="12"/>
        <v>-1.2999999999999999E-2</v>
      </c>
      <c r="D116" s="53">
        <f t="shared" si="13"/>
        <v>0</v>
      </c>
      <c r="E116" s="53">
        <f t="shared" si="14"/>
        <v>1.2999999999999999E-2</v>
      </c>
      <c r="F116" s="15">
        <v>0.73799999999999999</v>
      </c>
      <c r="G116" s="19">
        <v>1.161</v>
      </c>
      <c r="H116" s="24" t="s">
        <v>53</v>
      </c>
      <c r="I116" t="str">
        <f>VLOOKUP(A116,Planilha6!$BL$9:$BN$222,2,0)</f>
        <v>float_financials</v>
      </c>
      <c r="J116" t="str">
        <f>VLOOKUP(A116,Planilha6!$BL$9:$BN$222,3,0)</f>
        <v>low_beta</v>
      </c>
      <c r="K116" s="2">
        <v>0</v>
      </c>
      <c r="L116" s="2">
        <v>-1.2999999999999999E-2</v>
      </c>
      <c r="M116" s="15">
        <v>67</v>
      </c>
      <c r="N116" s="41">
        <f>VLOOKUP(A116,'Mandato Smll'!$A$2:$C$215,2,0)</f>
        <v>0</v>
      </c>
      <c r="O116" s="59">
        <f t="shared" si="15"/>
        <v>0</v>
      </c>
      <c r="P116" s="42">
        <f t="shared" si="16"/>
        <v>0</v>
      </c>
      <c r="Q116" s="41">
        <f>VLOOKUP(A116,'Mandato Smll'!$A$2:$C$215,3,0)</f>
        <v>0</v>
      </c>
      <c r="R116" s="59">
        <f t="shared" si="17"/>
        <v>0</v>
      </c>
      <c r="S116" s="15">
        <v>-0.312</v>
      </c>
      <c r="T116" s="15">
        <v>-7.9000000000000001E-2</v>
      </c>
      <c r="U116" s="15">
        <v>-0.58399999999999996</v>
      </c>
      <c r="V116" s="15">
        <v>-0.41799999999999998</v>
      </c>
      <c r="W116" s="15">
        <v>-0.39400000000000002</v>
      </c>
      <c r="X116" s="15">
        <v>-0.28000000000000003</v>
      </c>
      <c r="Y116" s="15">
        <v>-5.2999999999999999E-2</v>
      </c>
      <c r="Z116" s="15">
        <v>-0.60899999999999999</v>
      </c>
      <c r="AA116" s="15">
        <v>0.36299999999999999</v>
      </c>
      <c r="AB116" s="15">
        <v>0.36899999999999999</v>
      </c>
      <c r="AC116" s="15">
        <v>0.63</v>
      </c>
      <c r="AD116" s="15">
        <v>0.88900000000000001</v>
      </c>
      <c r="AE116" s="15">
        <v>0.54200000000000004</v>
      </c>
      <c r="AF116" s="14">
        <v>-0.42299999999999999</v>
      </c>
      <c r="AG116" s="15">
        <v>-0.215</v>
      </c>
      <c r="AH116" s="15">
        <v>0.10100000000000001</v>
      </c>
      <c r="AI116" s="15">
        <v>-0.47599999999999998</v>
      </c>
      <c r="AJ116" s="15">
        <v>-7.0000000000000001E-3</v>
      </c>
      <c r="AK116" s="9">
        <v>5.8000000000000003E-2</v>
      </c>
      <c r="AL116" s="4">
        <v>-0.156</v>
      </c>
      <c r="AM116" s="4">
        <v>-0.93400000000000005</v>
      </c>
      <c r="AN116" s="4">
        <v>-0.26</v>
      </c>
      <c r="AO116" s="4">
        <v>0.35399999999999998</v>
      </c>
      <c r="AP116" s="4">
        <v>0.184</v>
      </c>
      <c r="AQ116" s="4">
        <v>0.39600000000000002</v>
      </c>
      <c r="AR116" s="4">
        <v>0.51100000000000001</v>
      </c>
      <c r="AS116" s="4">
        <v>-0.71199999999999997</v>
      </c>
      <c r="AT116" s="4">
        <v>-0.28999999999999998</v>
      </c>
      <c r="AU116" s="4">
        <v>0.25700000000000001</v>
      </c>
      <c r="AV116" s="4">
        <v>0.23699999999999999</v>
      </c>
      <c r="AW116" s="4">
        <v>-0.111</v>
      </c>
      <c r="AX116" s="4">
        <v>0.28599999999999998</v>
      </c>
      <c r="AY116" s="4">
        <v>0.30199999999999999</v>
      </c>
      <c r="AZ116" s="4">
        <v>0.86799999999999999</v>
      </c>
      <c r="BA116" s="4">
        <v>-0.27700000000000002</v>
      </c>
      <c r="BB116" s="4">
        <v>0.01</v>
      </c>
      <c r="BC116" s="4">
        <v>0.129</v>
      </c>
      <c r="BD116" s="4">
        <v>-6.7000000000000004E-2</v>
      </c>
      <c r="BE116" s="4">
        <v>0.66600000000000004</v>
      </c>
      <c r="BF116" s="4">
        <v>6.7000000000000004E-2</v>
      </c>
      <c r="BG116" s="4">
        <v>-0.16600000000000001</v>
      </c>
      <c r="BH116" s="4">
        <v>0.70199999999999996</v>
      </c>
      <c r="BI116" s="4">
        <v>-0.16</v>
      </c>
      <c r="BJ116" s="4">
        <v>-0.14599999999999999</v>
      </c>
      <c r="BK116" s="4">
        <v>-0.255</v>
      </c>
      <c r="BL116" s="4">
        <v>0.60299999999999998</v>
      </c>
      <c r="BM116" s="4"/>
    </row>
    <row r="117" spans="1:65" hidden="1" x14ac:dyDescent="0.3">
      <c r="A117" s="19" t="s">
        <v>209</v>
      </c>
      <c r="B117" s="53">
        <f t="shared" si="11"/>
        <v>0</v>
      </c>
      <c r="C117" s="53">
        <f t="shared" si="12"/>
        <v>0</v>
      </c>
      <c r="D117" s="53">
        <f t="shared" si="13"/>
        <v>0</v>
      </c>
      <c r="E117" s="53">
        <f t="shared" si="14"/>
        <v>0</v>
      </c>
      <c r="F117" s="15">
        <v>0.73499999999999999</v>
      </c>
      <c r="G117" s="19">
        <v>0.93799999999999994</v>
      </c>
      <c r="H117" s="24" t="s">
        <v>55</v>
      </c>
      <c r="I117" t="str">
        <f>VLOOKUP(A117,Planilha6!$BL$9:$BN$222,2,0)</f>
        <v>utilities</v>
      </c>
      <c r="J117" t="str">
        <f>VLOOKUP(A117,Planilha6!$BL$9:$BN$222,3,0)</f>
        <v>high_beta</v>
      </c>
      <c r="K117" s="2">
        <v>0</v>
      </c>
      <c r="L117" s="2">
        <v>0</v>
      </c>
      <c r="M117" s="15">
        <v>21</v>
      </c>
      <c r="N117" s="41">
        <f>VLOOKUP(A117,'Mandato Smll'!$A$2:$C$215,2,0)</f>
        <v>0</v>
      </c>
      <c r="O117" s="59">
        <f t="shared" si="15"/>
        <v>0</v>
      </c>
      <c r="P117" s="42">
        <f t="shared" si="16"/>
        <v>0</v>
      </c>
      <c r="Q117" s="41">
        <f>VLOOKUP(A117,'Mandato Smll'!$A$2:$C$215,3,0)</f>
        <v>1.02640064422E-2</v>
      </c>
      <c r="R117" s="59">
        <f t="shared" si="17"/>
        <v>-1.02640064422E-2</v>
      </c>
      <c r="S117" s="15">
        <v>-0.57899999999999996</v>
      </c>
      <c r="T117" s="15">
        <v>3.6999999999999998E-2</v>
      </c>
      <c r="U117" s="15">
        <v>-0.80700000000000005</v>
      </c>
      <c r="V117" s="15">
        <v>-0.59399999999999997</v>
      </c>
      <c r="W117" s="15">
        <v>-0.438</v>
      </c>
      <c r="X117" s="15">
        <v>-0.32</v>
      </c>
      <c r="Y117" s="15">
        <v>-0.19400000000000001</v>
      </c>
      <c r="Z117" s="15">
        <v>-0.38800000000000001</v>
      </c>
      <c r="AA117" s="15">
        <v>0.47</v>
      </c>
      <c r="AB117" s="15">
        <v>0.48099999999999998</v>
      </c>
      <c r="AC117" s="15">
        <v>0.67</v>
      </c>
      <c r="AD117" s="15">
        <v>0.92300000000000004</v>
      </c>
      <c r="AE117" s="15">
        <v>0.62</v>
      </c>
      <c r="AF117" s="14">
        <v>-1</v>
      </c>
      <c r="AG117" s="15">
        <v>-0.45700000000000002</v>
      </c>
      <c r="AH117" s="15">
        <v>0.31</v>
      </c>
      <c r="AI117" s="15">
        <v>-1</v>
      </c>
      <c r="AJ117" s="15">
        <v>-0.66100000000000003</v>
      </c>
      <c r="AK117" s="9">
        <v>-0.96299999999999997</v>
      </c>
      <c r="AL117" s="4">
        <v>-0.371</v>
      </c>
      <c r="AM117" s="4">
        <v>-0.67900000000000005</v>
      </c>
      <c r="AN117" s="4">
        <v>-0.56399999999999995</v>
      </c>
      <c r="AO117" s="4">
        <v>-0.52300000000000002</v>
      </c>
      <c r="AP117" s="4">
        <v>0.69899999999999995</v>
      </c>
      <c r="AQ117" s="4">
        <v>0.74199999999999999</v>
      </c>
      <c r="AR117" s="4">
        <v>0.21199999999999999</v>
      </c>
      <c r="AS117" s="4">
        <v>0.80500000000000005</v>
      </c>
      <c r="AT117" s="4">
        <v>0.30599999999999999</v>
      </c>
      <c r="AU117" s="4">
        <v>0.20100000000000001</v>
      </c>
      <c r="AV117" s="4">
        <v>-3.0000000000000001E-3</v>
      </c>
      <c r="AW117" s="4">
        <v>-0.69</v>
      </c>
      <c r="AX117" s="4">
        <v>0.51100000000000001</v>
      </c>
      <c r="AY117" s="4">
        <v>-0.68799999999999994</v>
      </c>
      <c r="AZ117" s="4">
        <v>0.83899999999999997</v>
      </c>
      <c r="BA117" s="4">
        <v>0.40300000000000002</v>
      </c>
      <c r="BB117" s="4">
        <v>0.70599999999999996</v>
      </c>
      <c r="BC117" s="4">
        <v>-3.5999999999999997E-2</v>
      </c>
      <c r="BD117" s="4">
        <v>3.1E-2</v>
      </c>
      <c r="BE117" s="4">
        <v>0.36399999999999999</v>
      </c>
      <c r="BF117" s="4">
        <v>-0.26500000000000001</v>
      </c>
      <c r="BG117" s="4">
        <v>0.13100000000000001</v>
      </c>
      <c r="BH117" s="4">
        <v>0.55100000000000005</v>
      </c>
      <c r="BI117" s="4">
        <v>-0.76300000000000001</v>
      </c>
      <c r="BJ117" s="4">
        <v>0.16500000000000001</v>
      </c>
      <c r="BK117" s="4">
        <v>0.19700000000000001</v>
      </c>
      <c r="BL117" s="4">
        <v>-1</v>
      </c>
      <c r="BM117" s="4"/>
    </row>
    <row r="118" spans="1:65" hidden="1" x14ac:dyDescent="0.3">
      <c r="A118" s="19" t="s">
        <v>102</v>
      </c>
      <c r="B118" s="53">
        <f t="shared" si="11"/>
        <v>0</v>
      </c>
      <c r="C118" s="53">
        <f t="shared" si="12"/>
        <v>-1.7999999999999999E-2</v>
      </c>
      <c r="D118" s="53">
        <f t="shared" si="13"/>
        <v>0</v>
      </c>
      <c r="E118" s="53">
        <f t="shared" si="14"/>
        <v>1.7999999999999999E-2</v>
      </c>
      <c r="F118" s="15">
        <v>0.72899999999999998</v>
      </c>
      <c r="G118" s="19">
        <v>0.76100000000000001</v>
      </c>
      <c r="H118" s="24" t="s">
        <v>57</v>
      </c>
      <c r="I118" t="str">
        <f>VLOOKUP(A118,Planilha6!$BL$9:$BN$222,2,0)</f>
        <v>education</v>
      </c>
      <c r="J118" t="str">
        <f>VLOOKUP(A118,Planilha6!$BL$9:$BN$222,3,0)</f>
        <v>high_beta</v>
      </c>
      <c r="K118" s="2">
        <v>0</v>
      </c>
      <c r="L118" s="2">
        <v>-1.7999999999999999E-2</v>
      </c>
      <c r="M118" s="15">
        <v>61</v>
      </c>
      <c r="N118" s="41">
        <f>VLOOKUP(A118,'Mandato Smll'!$A$2:$C$215,2,0)</f>
        <v>0</v>
      </c>
      <c r="O118" s="59">
        <f t="shared" si="15"/>
        <v>0</v>
      </c>
      <c r="P118" s="42">
        <f t="shared" si="16"/>
        <v>0</v>
      </c>
      <c r="Q118" s="41">
        <f>VLOOKUP(A118,'Mandato Smll'!$A$2:$C$215,3,0)</f>
        <v>0</v>
      </c>
      <c r="R118" s="59">
        <f t="shared" si="17"/>
        <v>0</v>
      </c>
      <c r="S118" s="15">
        <v>-0.29799999999999999</v>
      </c>
      <c r="T118" s="15">
        <v>-0.31900000000000001</v>
      </c>
      <c r="U118" s="15">
        <v>-0.57399999999999995</v>
      </c>
      <c r="V118" s="15">
        <v>-4.7E-2</v>
      </c>
      <c r="W118" s="15">
        <v>-0.221</v>
      </c>
      <c r="X118" s="15">
        <v>-0.33300000000000002</v>
      </c>
      <c r="Y118" s="15">
        <v>-0.29199999999999998</v>
      </c>
      <c r="Z118" s="15">
        <v>-0.51700000000000002</v>
      </c>
      <c r="AA118" s="15">
        <v>0.309</v>
      </c>
      <c r="AB118" s="15">
        <v>0.309</v>
      </c>
      <c r="AC118" s="15">
        <v>0.72799999999999998</v>
      </c>
      <c r="AD118" s="15">
        <v>0.68100000000000005</v>
      </c>
      <c r="AE118" s="15">
        <v>0.48499999999999999</v>
      </c>
      <c r="AF118" s="14">
        <v>0.63400000000000001</v>
      </c>
      <c r="AG118" s="15">
        <v>0.81100000000000005</v>
      </c>
      <c r="AH118" s="15">
        <v>5.3999999999999999E-2</v>
      </c>
      <c r="AI118" s="15">
        <v>-0.39800000000000002</v>
      </c>
      <c r="AJ118" s="15">
        <v>-0.49099999999999999</v>
      </c>
      <c r="AK118" s="9">
        <v>7.2999999999999995E-2</v>
      </c>
      <c r="AL118" s="4">
        <v>-0.13100000000000001</v>
      </c>
      <c r="AM118" s="4">
        <v>-0.68400000000000005</v>
      </c>
      <c r="AN118" s="4">
        <v>0.39800000000000002</v>
      </c>
      <c r="AO118" s="4">
        <v>0.61499999999999999</v>
      </c>
      <c r="AP118" s="4">
        <v>2.8000000000000001E-2</v>
      </c>
      <c r="AQ118" s="4">
        <v>-0.60799999999999998</v>
      </c>
      <c r="AR118" s="4">
        <v>0.61599999999999999</v>
      </c>
      <c r="AS118" s="4">
        <v>-0.73599999999999999</v>
      </c>
      <c r="AT118" s="4">
        <v>-0.61</v>
      </c>
      <c r="AU118" s="4">
        <v>3.5000000000000003E-2</v>
      </c>
      <c r="AV118" s="4">
        <v>9.5000000000000001E-2</v>
      </c>
      <c r="AW118" s="4">
        <v>0.44600000000000001</v>
      </c>
      <c r="AX118" s="4">
        <v>-0.39500000000000002</v>
      </c>
      <c r="AY118" s="4">
        <v>-0.503</v>
      </c>
      <c r="AZ118" s="4">
        <v>0.84</v>
      </c>
      <c r="BA118" s="4">
        <v>0.22</v>
      </c>
      <c r="BB118" s="4">
        <v>0.39300000000000002</v>
      </c>
      <c r="BC118" s="4">
        <v>0.107</v>
      </c>
      <c r="BD118" s="4">
        <v>-0.17499999999999999</v>
      </c>
      <c r="BE118" s="4">
        <v>0.54100000000000004</v>
      </c>
      <c r="BF118" s="4">
        <v>-0.125</v>
      </c>
      <c r="BG118" s="4">
        <v>-0.38600000000000001</v>
      </c>
      <c r="BH118" s="4">
        <v>0.41</v>
      </c>
      <c r="BI118" s="4">
        <v>-0.33800000000000002</v>
      </c>
      <c r="BJ118" s="4">
        <v>0.16</v>
      </c>
      <c r="BK118" s="4">
        <v>-0.80300000000000005</v>
      </c>
      <c r="BL118" s="4">
        <v>-0.442</v>
      </c>
      <c r="BM118" s="4"/>
    </row>
    <row r="119" spans="1:65" hidden="1" x14ac:dyDescent="0.3">
      <c r="A119" s="19" t="s">
        <v>171</v>
      </c>
      <c r="B119" s="53">
        <f t="shared" si="11"/>
        <v>0</v>
      </c>
      <c r="C119" s="53">
        <f t="shared" si="12"/>
        <v>0</v>
      </c>
      <c r="D119" s="53">
        <f t="shared" si="13"/>
        <v>0</v>
      </c>
      <c r="E119" s="53">
        <f t="shared" si="14"/>
        <v>0</v>
      </c>
      <c r="F119" s="15">
        <v>0.71</v>
      </c>
      <c r="G119" s="19">
        <v>0.89300000000000002</v>
      </c>
      <c r="H119" s="24" t="s">
        <v>57</v>
      </c>
      <c r="I119" t="str">
        <f>VLOOKUP(A119,Planilha6!$BL$9:$BN$222,2,0)</f>
        <v>banks</v>
      </c>
      <c r="J119" t="str">
        <f>VLOOKUP(A119,Planilha6!$BL$9:$BN$222,3,0)</f>
        <v>neutral_beta</v>
      </c>
      <c r="K119" s="2">
        <v>0</v>
      </c>
      <c r="L119" s="2">
        <v>0</v>
      </c>
      <c r="M119" s="15">
        <v>45</v>
      </c>
      <c r="N119" s="41">
        <f>VLOOKUP(A119,'Mandato Smll'!$A$2:$C$215,2,0)</f>
        <v>0</v>
      </c>
      <c r="O119" s="59">
        <f t="shared" si="15"/>
        <v>0</v>
      </c>
      <c r="P119" s="42">
        <f t="shared" si="16"/>
        <v>0</v>
      </c>
      <c r="Q119" s="41">
        <f>VLOOKUP(A119,'Mandato Smll'!$A$2:$C$215,3,0)</f>
        <v>0</v>
      </c>
      <c r="R119" s="59">
        <f t="shared" si="17"/>
        <v>0</v>
      </c>
      <c r="S119" s="15">
        <v>-0.68500000000000005</v>
      </c>
      <c r="T119" s="15">
        <v>-0.42899999999999999</v>
      </c>
      <c r="U119" s="15">
        <v>-0.83499999999999996</v>
      </c>
      <c r="V119" s="15">
        <v>-0.60699999999999998</v>
      </c>
      <c r="W119" s="15">
        <v>-0.58599999999999997</v>
      </c>
      <c r="X119" s="15">
        <v>-0.39400000000000002</v>
      </c>
      <c r="Y119" s="15">
        <v>-0.106</v>
      </c>
      <c r="Z119" s="15">
        <v>-0.33500000000000002</v>
      </c>
      <c r="AA119" s="15">
        <v>0.71499999999999997</v>
      </c>
      <c r="AB119" s="15">
        <v>0.71599999999999997</v>
      </c>
      <c r="AC119" s="15">
        <v>0.69499999999999995</v>
      </c>
      <c r="AD119" s="15">
        <v>0.81399999999999995</v>
      </c>
      <c r="AE119" s="15">
        <v>0.57499999999999996</v>
      </c>
      <c r="AF119" s="14">
        <v>-0.67800000000000005</v>
      </c>
      <c r="AG119" s="15">
        <v>6.0000000000000001E-3</v>
      </c>
      <c r="AH119" s="15">
        <v>-0.109</v>
      </c>
      <c r="AI119" s="15">
        <v>-0.89500000000000002</v>
      </c>
      <c r="AJ119" s="15">
        <v>-1</v>
      </c>
      <c r="AK119" s="9">
        <v>-1</v>
      </c>
      <c r="AL119" s="4">
        <v>-0.159</v>
      </c>
      <c r="AM119" s="4">
        <v>-7.1999999999999995E-2</v>
      </c>
      <c r="AN119" s="4">
        <v>4.5999999999999999E-2</v>
      </c>
      <c r="AO119" s="4">
        <v>1.7000000000000001E-2</v>
      </c>
      <c r="AP119" s="4">
        <v>5.5E-2</v>
      </c>
      <c r="AQ119" s="4">
        <v>-0.27</v>
      </c>
      <c r="AR119" s="4">
        <v>0.107</v>
      </c>
      <c r="AS119" s="4">
        <v>0.19900000000000001</v>
      </c>
      <c r="AT119" s="4">
        <v>0.51600000000000001</v>
      </c>
      <c r="AU119" s="4">
        <v>-5.3999999999999999E-2</v>
      </c>
      <c r="AV119" s="4">
        <v>-0.11600000000000001</v>
      </c>
      <c r="AW119" s="4">
        <v>-0.47599999999999998</v>
      </c>
      <c r="AX119" s="4">
        <v>0.33200000000000002</v>
      </c>
      <c r="AY119" s="4">
        <v>-0.46899999999999997</v>
      </c>
      <c r="AZ119" s="4">
        <v>0.32900000000000001</v>
      </c>
      <c r="BA119" s="4">
        <v>-0.217</v>
      </c>
      <c r="BB119" s="4">
        <v>0.47299999999999998</v>
      </c>
      <c r="BC119" s="4">
        <v>-0.14000000000000001</v>
      </c>
      <c r="BD119" s="4">
        <v>-0.23</v>
      </c>
      <c r="BE119" s="4">
        <v>0.123</v>
      </c>
      <c r="BF119" s="4">
        <v>0.19800000000000001</v>
      </c>
      <c r="BG119" s="4">
        <v>-0.32200000000000001</v>
      </c>
      <c r="BH119" s="4">
        <v>0.89100000000000001</v>
      </c>
      <c r="BI119" s="4">
        <v>-0.30499999999999999</v>
      </c>
      <c r="BJ119" s="4">
        <v>-1.2999999999999999E-2</v>
      </c>
      <c r="BK119" s="4">
        <v>0.14099999999999999</v>
      </c>
      <c r="BL119" s="4">
        <v>-0.56899999999999995</v>
      </c>
      <c r="BM119" s="4"/>
    </row>
    <row r="120" spans="1:65" hidden="1" x14ac:dyDescent="0.3">
      <c r="A120" s="19" t="s">
        <v>120</v>
      </c>
      <c r="B120" s="53">
        <f t="shared" si="11"/>
        <v>0</v>
      </c>
      <c r="C120" s="53">
        <f t="shared" si="12"/>
        <v>-2.1999999999999999E-2</v>
      </c>
      <c r="D120" s="53">
        <f t="shared" si="13"/>
        <v>0</v>
      </c>
      <c r="E120" s="53">
        <f t="shared" si="14"/>
        <v>2.1999999999999999E-2</v>
      </c>
      <c r="F120" s="15">
        <v>0.7</v>
      </c>
      <c r="G120" s="19">
        <v>1.4990000000000001</v>
      </c>
      <c r="H120" s="24" t="s">
        <v>71</v>
      </c>
      <c r="I120" t="str">
        <f>VLOOKUP(A120,Planilha6!$BL$9:$BN$222,2,0)</f>
        <v>basic_materials</v>
      </c>
      <c r="J120" t="str">
        <f>VLOOKUP(A120,Planilha6!$BL$9:$BN$222,3,0)</f>
        <v>neutral_beta</v>
      </c>
      <c r="K120" s="2">
        <v>0</v>
      </c>
      <c r="L120" s="2">
        <v>-2.1999999999999999E-2</v>
      </c>
      <c r="M120" s="15">
        <v>56</v>
      </c>
      <c r="N120" s="41">
        <f>VLOOKUP(A120,'Mandato Smll'!$A$2:$C$215,2,0)</f>
        <v>0</v>
      </c>
      <c r="O120" s="59">
        <f t="shared" si="15"/>
        <v>0</v>
      </c>
      <c r="P120" s="42">
        <f t="shared" si="16"/>
        <v>0</v>
      </c>
      <c r="Q120" s="41">
        <f>VLOOKUP(A120,'Mandato Smll'!$A$2:$C$215,3,0)</f>
        <v>0</v>
      </c>
      <c r="R120" s="59">
        <f t="shared" si="17"/>
        <v>0</v>
      </c>
      <c r="S120" s="15">
        <v>-0.79</v>
      </c>
      <c r="T120" s="15">
        <v>-0.41899999999999998</v>
      </c>
      <c r="U120" s="15">
        <v>-0.88600000000000001</v>
      </c>
      <c r="V120" s="15">
        <v>-0.66100000000000003</v>
      </c>
      <c r="W120" s="15">
        <v>-0.59299999999999997</v>
      </c>
      <c r="X120" s="15">
        <v>-0.50600000000000001</v>
      </c>
      <c r="Y120" s="15">
        <v>-0.50800000000000001</v>
      </c>
      <c r="Z120" s="15">
        <v>-0.223</v>
      </c>
      <c r="AA120" s="15">
        <v>0.94799999999999995</v>
      </c>
      <c r="AB120" s="15">
        <v>0.95199999999999996</v>
      </c>
      <c r="AC120" s="15">
        <v>0.59799999999999998</v>
      </c>
      <c r="AD120" s="15">
        <v>0.73899999999999999</v>
      </c>
      <c r="AE120" s="15">
        <v>0.64</v>
      </c>
      <c r="AF120" s="14">
        <v>-0.53</v>
      </c>
      <c r="AG120" s="15">
        <v>-0.71199999999999997</v>
      </c>
      <c r="AH120" s="15">
        <v>1</v>
      </c>
      <c r="AI120" s="15">
        <v>-0.35299999999999998</v>
      </c>
      <c r="AJ120" s="15">
        <v>-0.67700000000000005</v>
      </c>
      <c r="AK120" s="9">
        <v>-0.84599999999999997</v>
      </c>
      <c r="AL120" s="4">
        <v>0.41799999999999998</v>
      </c>
      <c r="AM120" s="4">
        <v>1.2E-2</v>
      </c>
      <c r="AN120" s="4">
        <v>0.68799999999999994</v>
      </c>
      <c r="AO120" s="4">
        <v>-0.63200000000000001</v>
      </c>
      <c r="AP120" s="4">
        <v>0.159</v>
      </c>
      <c r="AQ120" s="4">
        <v>-0.44500000000000001</v>
      </c>
      <c r="AR120" s="4">
        <v>-0.95199999999999996</v>
      </c>
      <c r="AS120" s="4">
        <v>-0.98599999999999999</v>
      </c>
      <c r="AT120" s="4">
        <v>-0.66500000000000004</v>
      </c>
      <c r="AU120" s="4">
        <v>0.121</v>
      </c>
      <c r="AV120" s="4">
        <v>-0.38400000000000001</v>
      </c>
      <c r="AW120" s="4">
        <v>-0.441</v>
      </c>
      <c r="AX120" s="4">
        <v>0.42299999999999999</v>
      </c>
      <c r="AY120" s="4">
        <v>-5.3999999999999999E-2</v>
      </c>
      <c r="AZ120" s="4">
        <v>0.86399999999999999</v>
      </c>
      <c r="BA120" s="4">
        <v>-2.5000000000000001E-2</v>
      </c>
      <c r="BB120" s="4">
        <v>0.23899999999999999</v>
      </c>
      <c r="BC120" s="4">
        <v>0.14299999999999999</v>
      </c>
      <c r="BD120" s="4">
        <v>-9.9000000000000005E-2</v>
      </c>
      <c r="BE120" s="4">
        <v>0.35399999999999998</v>
      </c>
      <c r="BF120" s="4">
        <v>-0.45300000000000001</v>
      </c>
      <c r="BG120" s="4">
        <v>-0.36699999999999999</v>
      </c>
      <c r="BH120" s="4">
        <v>0.57999999999999996</v>
      </c>
      <c r="BI120" s="4">
        <v>-0.27500000000000002</v>
      </c>
      <c r="BJ120" s="4">
        <v>-0.314</v>
      </c>
      <c r="BK120" s="4">
        <v>-0.19900000000000001</v>
      </c>
      <c r="BL120" s="4">
        <v>-2.9000000000000001E-2</v>
      </c>
      <c r="BM120" s="4"/>
    </row>
    <row r="121" spans="1:65" hidden="1" x14ac:dyDescent="0.3">
      <c r="A121" s="19" t="s">
        <v>173</v>
      </c>
      <c r="B121" s="53">
        <f t="shared" si="11"/>
        <v>0</v>
      </c>
      <c r="C121" s="53">
        <f t="shared" si="12"/>
        <v>0</v>
      </c>
      <c r="D121" s="53">
        <f t="shared" si="13"/>
        <v>0</v>
      </c>
      <c r="E121" s="53">
        <f t="shared" si="14"/>
        <v>0</v>
      </c>
      <c r="F121" s="15">
        <v>0.68400000000000005</v>
      </c>
      <c r="G121" s="19">
        <v>0.82</v>
      </c>
      <c r="H121" s="24" t="s">
        <v>55</v>
      </c>
      <c r="I121" t="str">
        <f>VLOOKUP(A121,Planilha6!$BL$9:$BN$222,2,0)</f>
        <v>utilities</v>
      </c>
      <c r="J121" t="str">
        <f>VLOOKUP(A121,Planilha6!$BL$9:$BN$222,3,0)</f>
        <v>low_beta</v>
      </c>
      <c r="K121" s="2">
        <v>0</v>
      </c>
      <c r="L121" s="2">
        <v>0</v>
      </c>
      <c r="M121" s="15">
        <v>42</v>
      </c>
      <c r="N121" s="41">
        <f>VLOOKUP(A121,'Mandato Smll'!$A$2:$C$215,2,0)</f>
        <v>0</v>
      </c>
      <c r="O121" s="59">
        <f t="shared" si="15"/>
        <v>0</v>
      </c>
      <c r="P121" s="42">
        <f t="shared" si="16"/>
        <v>0</v>
      </c>
      <c r="Q121" s="41">
        <f>VLOOKUP(A121,'Mandato Smll'!$A$2:$C$215,3,0)</f>
        <v>6.5515282872095201E-3</v>
      </c>
      <c r="R121" s="59">
        <f t="shared" si="17"/>
        <v>-6.5515282872095201E-3</v>
      </c>
      <c r="S121" s="15">
        <v>-0.83899999999999997</v>
      </c>
      <c r="T121" s="15">
        <v>-0.122</v>
      </c>
      <c r="U121" s="15">
        <v>-0.88400000000000001</v>
      </c>
      <c r="V121" s="15">
        <v>-0.76400000000000001</v>
      </c>
      <c r="W121" s="15">
        <v>-0.54200000000000004</v>
      </c>
      <c r="X121" s="15">
        <v>-0.47299999999999998</v>
      </c>
      <c r="Y121" s="15">
        <v>-0.08</v>
      </c>
      <c r="Z121" s="15">
        <v>-3.9E-2</v>
      </c>
      <c r="AA121" s="15">
        <v>0.51</v>
      </c>
      <c r="AB121" s="15">
        <v>0.51500000000000001</v>
      </c>
      <c r="AC121" s="15">
        <v>0.59499999999999997</v>
      </c>
      <c r="AD121" s="15">
        <v>0.57099999999999995</v>
      </c>
      <c r="AE121" s="15">
        <v>0.41499999999999998</v>
      </c>
      <c r="AF121" s="14">
        <v>-0.87</v>
      </c>
      <c r="AG121" s="15">
        <v>-0.81399999999999995</v>
      </c>
      <c r="AH121" s="15">
        <v>-0.17699999999999999</v>
      </c>
      <c r="AI121" s="15">
        <v>-0.96899999999999997</v>
      </c>
      <c r="AJ121" s="15">
        <v>-0.70099999999999996</v>
      </c>
      <c r="AK121" s="9">
        <v>-0.999</v>
      </c>
      <c r="AL121" s="4">
        <v>-0.377</v>
      </c>
      <c r="AM121" s="4">
        <v>-0.26800000000000002</v>
      </c>
      <c r="AN121" s="4">
        <v>-0.70399999999999996</v>
      </c>
      <c r="AO121" s="4">
        <v>-0.48799999999999999</v>
      </c>
      <c r="AP121" s="4">
        <v>0.34499999999999997</v>
      </c>
      <c r="AQ121" s="4">
        <v>0.55300000000000005</v>
      </c>
      <c r="AR121" s="4">
        <v>-8.5999999999999993E-2</v>
      </c>
      <c r="AS121" s="4">
        <v>-0.189</v>
      </c>
      <c r="AT121" s="4">
        <v>-0.41499999999999998</v>
      </c>
      <c r="AU121" s="4">
        <v>0.14299999999999999</v>
      </c>
      <c r="AV121" s="4">
        <v>0.36899999999999999</v>
      </c>
      <c r="AW121" s="4">
        <v>-0.42399999999999999</v>
      </c>
      <c r="AX121" s="4">
        <v>0.75</v>
      </c>
      <c r="AY121" s="4">
        <v>-0.66400000000000003</v>
      </c>
      <c r="AZ121" s="4">
        <v>0.83499999999999996</v>
      </c>
      <c r="BA121" s="4">
        <v>1</v>
      </c>
      <c r="BB121" s="4">
        <v>-0.28000000000000003</v>
      </c>
      <c r="BC121" s="4">
        <v>-0.47299999999999998</v>
      </c>
      <c r="BD121" s="4">
        <v>-0.71799999999999997</v>
      </c>
      <c r="BE121" s="4">
        <v>5.6000000000000001E-2</v>
      </c>
      <c r="BF121" s="4">
        <v>-0.58499999999999996</v>
      </c>
      <c r="BG121" s="4">
        <v>0.17100000000000001</v>
      </c>
      <c r="BH121" s="4">
        <v>0.68799999999999994</v>
      </c>
      <c r="BI121" s="4">
        <v>-0.36199999999999999</v>
      </c>
      <c r="BJ121" s="4">
        <v>-0.13</v>
      </c>
      <c r="BK121" s="4">
        <v>0.20300000000000001</v>
      </c>
      <c r="BL121" s="4">
        <v>-0.38100000000000001</v>
      </c>
      <c r="BM121" s="4"/>
    </row>
    <row r="122" spans="1:65" hidden="1" x14ac:dyDescent="0.3">
      <c r="A122" s="19" t="s">
        <v>211</v>
      </c>
      <c r="B122" s="53">
        <f t="shared" si="11"/>
        <v>0</v>
      </c>
      <c r="C122" s="53">
        <f t="shared" si="12"/>
        <v>0</v>
      </c>
      <c r="D122" s="53">
        <f t="shared" si="13"/>
        <v>0</v>
      </c>
      <c r="E122" s="53">
        <f t="shared" si="14"/>
        <v>0</v>
      </c>
      <c r="F122" s="15">
        <v>0.68300000000000005</v>
      </c>
      <c r="G122" s="19">
        <v>0.81799999999999995</v>
      </c>
      <c r="H122" s="24" t="s">
        <v>57</v>
      </c>
      <c r="I122" t="str">
        <f>VLOOKUP(A122,Planilha6!$BL$9:$BN$222,2,0)</f>
        <v>banks</v>
      </c>
      <c r="J122" t="str">
        <f>VLOOKUP(A122,Planilha6!$BL$9:$BN$222,3,0)</f>
        <v>very_high_beta</v>
      </c>
      <c r="K122" s="2">
        <v>0</v>
      </c>
      <c r="L122" s="2">
        <v>0</v>
      </c>
      <c r="M122" s="15">
        <v>9</v>
      </c>
      <c r="N122" s="41">
        <f>VLOOKUP(A122,'Mandato Smll'!$A$2:$C$215,2,0)</f>
        <v>0</v>
      </c>
      <c r="O122" s="59">
        <f t="shared" si="15"/>
        <v>0</v>
      </c>
      <c r="P122" s="42">
        <f t="shared" si="16"/>
        <v>0</v>
      </c>
      <c r="Q122" s="41">
        <f>VLOOKUP(A122,'Mandato Smll'!$A$2:$C$215,3,0)</f>
        <v>0</v>
      </c>
      <c r="R122" s="59">
        <f t="shared" si="17"/>
        <v>0</v>
      </c>
      <c r="S122" s="15">
        <v>-0.54600000000000004</v>
      </c>
      <c r="T122" s="15">
        <v>-6.2E-2</v>
      </c>
      <c r="U122" s="15">
        <v>-0.77700000000000002</v>
      </c>
      <c r="V122" s="15">
        <v>-0.438</v>
      </c>
      <c r="W122" s="15">
        <v>-0.36399999999999999</v>
      </c>
      <c r="X122" s="15">
        <v>-0.375</v>
      </c>
      <c r="Y122" s="15">
        <v>-0.28100000000000003</v>
      </c>
      <c r="Z122" s="15">
        <v>-0.40400000000000003</v>
      </c>
      <c r="AA122" s="15">
        <v>0.33900000000000002</v>
      </c>
      <c r="AB122" s="15">
        <v>0.34200000000000003</v>
      </c>
      <c r="AC122" s="15">
        <v>0.70699999999999996</v>
      </c>
      <c r="AD122" s="15">
        <v>0.748</v>
      </c>
      <c r="AE122" s="15">
        <v>0.45400000000000001</v>
      </c>
      <c r="AF122" s="14">
        <v>-0.46100000000000002</v>
      </c>
      <c r="AG122" s="15">
        <v>-0.127</v>
      </c>
      <c r="AH122" s="15">
        <v>-0.11899999999999999</v>
      </c>
      <c r="AI122" s="15">
        <v>-1</v>
      </c>
      <c r="AJ122" s="15">
        <v>-0.86299999999999999</v>
      </c>
      <c r="AK122" s="9">
        <v>-0.72599999999999998</v>
      </c>
      <c r="AL122" s="4">
        <v>-0.16</v>
      </c>
      <c r="AM122" s="4">
        <v>-0.69</v>
      </c>
      <c r="AN122" s="4">
        <v>-0.70599999999999996</v>
      </c>
      <c r="AO122" s="4">
        <v>-0.08</v>
      </c>
      <c r="AP122" s="4">
        <v>0.26700000000000002</v>
      </c>
      <c r="AQ122" s="4">
        <v>0.308</v>
      </c>
      <c r="AR122" s="4">
        <v>0.621</v>
      </c>
      <c r="AS122" s="4">
        <v>0.26800000000000002</v>
      </c>
      <c r="AT122" s="4">
        <v>0.20499999999999999</v>
      </c>
      <c r="AU122" s="4">
        <v>1.4E-2</v>
      </c>
      <c r="AV122" s="4">
        <v>0.122</v>
      </c>
      <c r="AW122" s="4">
        <v>0.17699999999999999</v>
      </c>
      <c r="AX122" s="4">
        <v>3.5000000000000003E-2</v>
      </c>
      <c r="AY122" s="4">
        <v>-0.434</v>
      </c>
      <c r="AZ122" s="4">
        <v>0.33300000000000002</v>
      </c>
      <c r="BA122" s="4">
        <v>1</v>
      </c>
      <c r="BB122" s="4">
        <v>0.16500000000000001</v>
      </c>
      <c r="BC122" s="4">
        <v>-0.55200000000000005</v>
      </c>
      <c r="BD122" s="4">
        <v>-0.05</v>
      </c>
      <c r="BE122" s="4">
        <v>0.435</v>
      </c>
      <c r="BF122" s="4">
        <v>-0.36399999999999999</v>
      </c>
      <c r="BG122" s="4">
        <v>-0.22700000000000001</v>
      </c>
      <c r="BH122" s="4">
        <v>0.45500000000000002</v>
      </c>
      <c r="BI122" s="4">
        <v>-0.73899999999999999</v>
      </c>
      <c r="BJ122" s="4">
        <v>0.31900000000000001</v>
      </c>
      <c r="BK122" s="4">
        <v>-0.14599999999999999</v>
      </c>
      <c r="BL122" s="4">
        <v>-0.82</v>
      </c>
      <c r="BM122" s="4"/>
    </row>
    <row r="123" spans="1:65" hidden="1" x14ac:dyDescent="0.3">
      <c r="A123" s="19" t="s">
        <v>133</v>
      </c>
      <c r="B123" s="53">
        <f t="shared" si="11"/>
        <v>0</v>
      </c>
      <c r="C123" s="53">
        <f t="shared" si="12"/>
        <v>0</v>
      </c>
      <c r="D123" s="53">
        <f t="shared" si="13"/>
        <v>0</v>
      </c>
      <c r="E123" s="53">
        <f t="shared" si="14"/>
        <v>0</v>
      </c>
      <c r="F123" s="15">
        <v>0.67600000000000005</v>
      </c>
      <c r="G123" s="19">
        <v>0.82199999999999995</v>
      </c>
      <c r="H123" s="24" t="s">
        <v>68</v>
      </c>
      <c r="I123" t="str">
        <f>VLOOKUP(A123,Planilha6!$BL$9:$BN$222,2,0)</f>
        <v>capital_goods</v>
      </c>
      <c r="J123" t="str">
        <f>VLOOKUP(A123,Planilha6!$BL$9:$BN$222,3,0)</f>
        <v>very_low_beta</v>
      </c>
      <c r="K123" s="2">
        <v>0</v>
      </c>
      <c r="L123" s="2">
        <v>0</v>
      </c>
      <c r="M123" s="15">
        <v>84</v>
      </c>
      <c r="N123" s="41">
        <f>VLOOKUP(A123,'Mandato Smll'!$A$2:$C$215,2,0)</f>
        <v>0</v>
      </c>
      <c r="O123" s="59">
        <f t="shared" si="15"/>
        <v>0</v>
      </c>
      <c r="P123" s="42">
        <f t="shared" si="16"/>
        <v>0</v>
      </c>
      <c r="Q123" s="41">
        <f>VLOOKUP(A123,'Mandato Smll'!$A$2:$C$215,3,0)</f>
        <v>0</v>
      </c>
      <c r="R123" s="59">
        <f t="shared" si="17"/>
        <v>0</v>
      </c>
      <c r="S123" s="15">
        <v>-0.52500000000000002</v>
      </c>
      <c r="T123" s="15">
        <v>-0.59699999999999998</v>
      </c>
      <c r="U123" s="15">
        <v>-0.25</v>
      </c>
      <c r="V123" s="15">
        <v>-0.72399999999999998</v>
      </c>
      <c r="W123" s="15">
        <v>-0.61399999999999999</v>
      </c>
      <c r="X123" s="15">
        <v>-0.52300000000000002</v>
      </c>
      <c r="Y123" s="15">
        <v>-0.24299999999999999</v>
      </c>
      <c r="Z123" s="15">
        <v>-0.38600000000000001</v>
      </c>
      <c r="AA123" s="15">
        <v>0.46100000000000002</v>
      </c>
      <c r="AB123" s="15">
        <v>0.46200000000000002</v>
      </c>
      <c r="AC123" s="15">
        <v>0.501</v>
      </c>
      <c r="AD123" s="15">
        <v>0.47899999999999998</v>
      </c>
      <c r="AE123" s="15">
        <v>0.56000000000000005</v>
      </c>
      <c r="AF123" s="14">
        <v>-0.504</v>
      </c>
      <c r="AG123" s="15">
        <v>-0.72699999999999998</v>
      </c>
      <c r="AH123" s="15">
        <v>-0.16900000000000001</v>
      </c>
      <c r="AI123" s="15">
        <v>0.71399999999999997</v>
      </c>
      <c r="AJ123" s="15">
        <v>0.436</v>
      </c>
      <c r="AK123" s="9">
        <v>-0.29499999999999998</v>
      </c>
      <c r="AL123" s="4">
        <v>-0.17399999999999999</v>
      </c>
      <c r="AM123" s="4">
        <v>0.13100000000000001</v>
      </c>
      <c r="AN123" s="4">
        <v>0.246</v>
      </c>
      <c r="AO123" s="4">
        <v>6.3E-2</v>
      </c>
      <c r="AP123" s="4">
        <v>-0.29399999999999998</v>
      </c>
      <c r="AQ123" s="4">
        <v>-0.44800000000000001</v>
      </c>
      <c r="AR123" s="4">
        <v>-0.40500000000000003</v>
      </c>
      <c r="AS123" s="4">
        <v>-0.67200000000000004</v>
      </c>
      <c r="AT123" s="4">
        <v>-0.88100000000000001</v>
      </c>
      <c r="AU123" s="4">
        <v>-2E-3</v>
      </c>
      <c r="AV123" s="4">
        <v>-0.30399999999999999</v>
      </c>
      <c r="AW123" s="4">
        <v>-0.32300000000000001</v>
      </c>
      <c r="AX123" s="4">
        <v>0.66400000000000003</v>
      </c>
      <c r="AY123" s="4">
        <v>-0.152</v>
      </c>
      <c r="AZ123" s="4">
        <v>0.85099999999999998</v>
      </c>
      <c r="BA123" s="4">
        <v>-0.79600000000000004</v>
      </c>
      <c r="BB123" s="4">
        <v>0.83299999999999996</v>
      </c>
      <c r="BC123" s="4">
        <v>-8.6999999999999994E-2</v>
      </c>
      <c r="BD123" s="4">
        <v>-0.378</v>
      </c>
      <c r="BE123" s="4">
        <v>-9.5000000000000001E-2</v>
      </c>
      <c r="BF123" s="4">
        <v>1</v>
      </c>
      <c r="BG123" s="4">
        <v>0.97</v>
      </c>
      <c r="BH123" s="4">
        <v>0.79100000000000004</v>
      </c>
      <c r="BI123" s="4">
        <v>0.21099999999999999</v>
      </c>
      <c r="BJ123" s="4">
        <v>-0.06</v>
      </c>
      <c r="BK123" s="4">
        <v>0.82199999999999995</v>
      </c>
      <c r="BL123" s="4">
        <v>0.64800000000000002</v>
      </c>
      <c r="BM123" s="4"/>
    </row>
    <row r="124" spans="1:65" hidden="1" x14ac:dyDescent="0.3">
      <c r="A124" s="19" t="s">
        <v>204</v>
      </c>
      <c r="B124" s="53">
        <f t="shared" si="11"/>
        <v>0</v>
      </c>
      <c r="C124" s="53">
        <f t="shared" si="12"/>
        <v>0</v>
      </c>
      <c r="D124" s="53">
        <f t="shared" si="13"/>
        <v>0</v>
      </c>
      <c r="E124" s="53">
        <f t="shared" si="14"/>
        <v>0</v>
      </c>
      <c r="F124" s="15">
        <v>0.65500000000000003</v>
      </c>
      <c r="G124" s="19">
        <v>0.82499999999999996</v>
      </c>
      <c r="H124" s="24" t="s">
        <v>55</v>
      </c>
      <c r="I124" t="str">
        <f>VLOOKUP(A124,Planilha6!$BL$9:$BN$222,2,0)</f>
        <v>utilities</v>
      </c>
      <c r="J124" t="str">
        <f>VLOOKUP(A124,Planilha6!$BL$9:$BN$222,3,0)</f>
        <v>low_beta</v>
      </c>
      <c r="K124" s="2">
        <v>0</v>
      </c>
      <c r="L124" s="2">
        <v>0</v>
      </c>
      <c r="M124" s="15">
        <v>7</v>
      </c>
      <c r="N124" s="41">
        <f>VLOOKUP(A124,'Mandato Smll'!$A$2:$C$215,2,0)</f>
        <v>0</v>
      </c>
      <c r="O124" s="59">
        <f t="shared" si="15"/>
        <v>0</v>
      </c>
      <c r="P124" s="42">
        <f t="shared" si="16"/>
        <v>0</v>
      </c>
      <c r="Q124" s="41">
        <f>VLOOKUP(A124,'Mandato Smll'!$A$2:$C$215,3,0)</f>
        <v>0</v>
      </c>
      <c r="R124" s="59">
        <f t="shared" si="17"/>
        <v>0</v>
      </c>
      <c r="S124" s="15">
        <v>-0.77300000000000002</v>
      </c>
      <c r="T124" s="15">
        <v>-0.22</v>
      </c>
      <c r="U124" s="15">
        <v>-0.94499999999999995</v>
      </c>
      <c r="V124" s="15">
        <v>-0.57099999999999995</v>
      </c>
      <c r="W124" s="15">
        <v>-0.58199999999999996</v>
      </c>
      <c r="X124" s="15">
        <v>-0.39900000000000002</v>
      </c>
      <c r="Y124" s="15">
        <v>-5.6000000000000001E-2</v>
      </c>
      <c r="Z124" s="15">
        <v>-0.437</v>
      </c>
      <c r="AA124" s="15">
        <v>0.56499999999999995</v>
      </c>
      <c r="AB124" s="15">
        <v>0.57299999999999995</v>
      </c>
      <c r="AC124" s="15">
        <v>0.60199999999999998</v>
      </c>
      <c r="AD124" s="15">
        <v>0.72199999999999998</v>
      </c>
      <c r="AE124" s="15">
        <v>0.51900000000000002</v>
      </c>
      <c r="AF124" s="14">
        <v>-0.77200000000000002</v>
      </c>
      <c r="AG124" s="15">
        <v>-0.442</v>
      </c>
      <c r="AH124" s="15">
        <v>0.21</v>
      </c>
      <c r="AI124" s="15">
        <v>-1</v>
      </c>
      <c r="AJ124" s="15">
        <v>-0.68500000000000005</v>
      </c>
      <c r="AK124" s="9">
        <v>-0.95599999999999996</v>
      </c>
      <c r="AL124" s="4">
        <v>-0.45900000000000002</v>
      </c>
      <c r="AM124" s="4">
        <v>-0.57399999999999995</v>
      </c>
      <c r="AN124" s="4">
        <v>-0.73599999999999999</v>
      </c>
      <c r="AO124" s="4">
        <v>-9.6000000000000002E-2</v>
      </c>
      <c r="AP124" s="4">
        <v>0.58499999999999996</v>
      </c>
      <c r="AQ124" s="4">
        <v>0.88500000000000001</v>
      </c>
      <c r="AR124" s="4">
        <v>0.432</v>
      </c>
      <c r="AS124" s="4">
        <v>0.32</v>
      </c>
      <c r="AT124" s="4">
        <v>0.35299999999999998</v>
      </c>
      <c r="AU124" s="4">
        <v>0.30499999999999999</v>
      </c>
      <c r="AV124" s="4">
        <v>9.0999999999999998E-2</v>
      </c>
      <c r="AW124" s="4">
        <v>-0.19600000000000001</v>
      </c>
      <c r="AX124" s="4">
        <v>0.51100000000000001</v>
      </c>
      <c r="AY124" s="4">
        <v>-0.47799999999999998</v>
      </c>
      <c r="AZ124" s="4">
        <v>0.77600000000000002</v>
      </c>
      <c r="BA124" s="4">
        <v>-0.379</v>
      </c>
      <c r="BB124" s="4">
        <v>0.375</v>
      </c>
      <c r="BC124" s="4">
        <v>-0.54800000000000004</v>
      </c>
      <c r="BD124" s="4">
        <v>-0.73099999999999998</v>
      </c>
      <c r="BE124" s="4">
        <v>-9.6000000000000002E-2</v>
      </c>
      <c r="BF124" s="4">
        <v>-0.434</v>
      </c>
      <c r="BG124" s="4">
        <v>0.245</v>
      </c>
      <c r="BH124" s="4">
        <v>0.749</v>
      </c>
      <c r="BI124" s="4">
        <v>-0.96899999999999997</v>
      </c>
      <c r="BJ124" s="4">
        <v>-0.24399999999999999</v>
      </c>
      <c r="BK124" s="4">
        <v>-0.33</v>
      </c>
      <c r="BL124" s="4">
        <v>-0.79300000000000004</v>
      </c>
      <c r="BM124" s="4"/>
    </row>
    <row r="125" spans="1:65" hidden="1" x14ac:dyDescent="0.3">
      <c r="A125" s="19" t="s">
        <v>98</v>
      </c>
      <c r="B125" s="53">
        <f t="shared" si="11"/>
        <v>0</v>
      </c>
      <c r="C125" s="53">
        <f t="shared" si="12"/>
        <v>-8.9999999999999993E-3</v>
      </c>
      <c r="D125" s="53">
        <f t="shared" si="13"/>
        <v>0</v>
      </c>
      <c r="E125" s="53">
        <f t="shared" si="14"/>
        <v>8.9999999999999993E-3</v>
      </c>
      <c r="F125" s="15">
        <v>0.65400000000000003</v>
      </c>
      <c r="G125" s="19">
        <v>0.85</v>
      </c>
      <c r="H125" s="24" t="s">
        <v>68</v>
      </c>
      <c r="I125" t="str">
        <f>VLOOKUP(A125,Planilha6!$BL$9:$BN$222,2,0)</f>
        <v>chemicals</v>
      </c>
      <c r="J125" t="str">
        <f>VLOOKUP(A125,Planilha6!$BL$9:$BN$222,3,0)</f>
        <v>neutral_beta</v>
      </c>
      <c r="K125" s="2">
        <v>0</v>
      </c>
      <c r="L125" s="2">
        <v>-8.9999999999999993E-3</v>
      </c>
      <c r="M125" s="15">
        <v>84</v>
      </c>
      <c r="N125" s="41">
        <f>VLOOKUP(A125,'Mandato Smll'!$A$2:$C$215,2,0)</f>
        <v>0</v>
      </c>
      <c r="O125" s="59">
        <f t="shared" si="15"/>
        <v>0</v>
      </c>
      <c r="P125" s="42">
        <f t="shared" si="16"/>
        <v>0</v>
      </c>
      <c r="Q125" s="41">
        <f>VLOOKUP(A125,'Mandato Smll'!$A$2:$C$215,3,0)</f>
        <v>0</v>
      </c>
      <c r="R125" s="59">
        <f t="shared" si="17"/>
        <v>0</v>
      </c>
      <c r="S125" s="15">
        <v>-0.85299999999999998</v>
      </c>
      <c r="T125" s="15">
        <v>-0.57499999999999996</v>
      </c>
      <c r="U125" s="15">
        <v>-0.80600000000000005</v>
      </c>
      <c r="V125" s="15">
        <v>-0.79</v>
      </c>
      <c r="W125" s="15">
        <v>-0.64400000000000002</v>
      </c>
      <c r="X125" s="15">
        <v>-0.61</v>
      </c>
      <c r="Y125" s="15">
        <v>-0.32200000000000001</v>
      </c>
      <c r="Z125" s="15">
        <v>8.7999999999999995E-2</v>
      </c>
      <c r="AA125" s="15">
        <v>0.56200000000000006</v>
      </c>
      <c r="AB125" s="15">
        <v>0.56200000000000006</v>
      </c>
      <c r="AC125" s="15">
        <v>0.46700000000000003</v>
      </c>
      <c r="AD125" s="15">
        <v>0.42199999999999999</v>
      </c>
      <c r="AE125" s="15">
        <v>0.36599999999999999</v>
      </c>
      <c r="AF125" s="14">
        <v>-0.58799999999999997</v>
      </c>
      <c r="AG125" s="15">
        <v>-0.81299999999999994</v>
      </c>
      <c r="AH125" s="15">
        <v>-0.72199999999999998</v>
      </c>
      <c r="AI125" s="15">
        <v>-0.43099999999999999</v>
      </c>
      <c r="AJ125" s="15">
        <v>-0.51500000000000001</v>
      </c>
      <c r="AK125" s="9">
        <v>-0.82699999999999996</v>
      </c>
      <c r="AL125" s="4">
        <v>-0.108</v>
      </c>
      <c r="AM125" s="4">
        <v>0.72</v>
      </c>
      <c r="AN125" s="4">
        <v>-0.60699999999999998</v>
      </c>
      <c r="AO125" s="4">
        <v>-0.217</v>
      </c>
      <c r="AP125" s="4">
        <v>-0.214</v>
      </c>
      <c r="AQ125" s="4">
        <v>0.185</v>
      </c>
      <c r="AR125" s="4">
        <v>-0.51600000000000001</v>
      </c>
      <c r="AS125" s="4">
        <v>-0.309</v>
      </c>
      <c r="AT125" s="4">
        <v>-0.23400000000000001</v>
      </c>
      <c r="AU125" s="4">
        <v>0.27400000000000002</v>
      </c>
      <c r="AV125" s="4">
        <v>-0.14799999999999999</v>
      </c>
      <c r="AW125" s="4">
        <v>-0.39700000000000002</v>
      </c>
      <c r="AX125" s="4">
        <v>0.48099999999999998</v>
      </c>
      <c r="AY125" s="4">
        <v>-0.20499999999999999</v>
      </c>
      <c r="AZ125" s="4">
        <v>0.755</v>
      </c>
      <c r="BA125" s="4">
        <v>0.57399999999999995</v>
      </c>
      <c r="BB125" s="4">
        <v>-1</v>
      </c>
      <c r="BC125" s="4">
        <v>-1.9E-2</v>
      </c>
      <c r="BD125" s="4">
        <v>-0.46700000000000003</v>
      </c>
      <c r="BE125" s="4">
        <v>-0.26400000000000001</v>
      </c>
      <c r="BF125" s="4">
        <v>0.69</v>
      </c>
      <c r="BG125" s="4">
        <v>0.92100000000000004</v>
      </c>
      <c r="BH125" s="4">
        <v>0.57499999999999996</v>
      </c>
      <c r="BI125" s="4">
        <v>-0.41099999999999998</v>
      </c>
      <c r="BJ125" s="4">
        <v>0.02</v>
      </c>
      <c r="BK125" s="4">
        <v>0.34100000000000003</v>
      </c>
      <c r="BL125" s="4">
        <v>-0.13900000000000001</v>
      </c>
      <c r="BM125" s="4"/>
    </row>
    <row r="126" spans="1:65" hidden="1" x14ac:dyDescent="0.3">
      <c r="A126" s="19" t="s">
        <v>192</v>
      </c>
      <c r="B126" s="53">
        <f t="shared" si="11"/>
        <v>0</v>
      </c>
      <c r="C126" s="53">
        <f t="shared" si="12"/>
        <v>0</v>
      </c>
      <c r="D126" s="53">
        <f t="shared" si="13"/>
        <v>0</v>
      </c>
      <c r="E126" s="53">
        <f t="shared" si="14"/>
        <v>0</v>
      </c>
      <c r="F126" s="15">
        <v>0.64900000000000002</v>
      </c>
      <c r="G126" s="19">
        <v>0.69599999999999995</v>
      </c>
      <c r="H126" s="24" t="s">
        <v>57</v>
      </c>
      <c r="I126" t="str">
        <f>VLOOKUP(A126,Planilha6!$BL$9:$BN$222,2,0)</f>
        <v>banks</v>
      </c>
      <c r="J126" t="str">
        <f>VLOOKUP(A126,Planilha6!$BL$9:$BN$222,3,0)</f>
        <v>high_beta</v>
      </c>
      <c r="K126" s="2">
        <v>0</v>
      </c>
      <c r="L126" s="2">
        <v>0</v>
      </c>
      <c r="M126" s="15">
        <v>12</v>
      </c>
      <c r="N126" s="41">
        <f>VLOOKUP(A126,'Mandato Smll'!$A$2:$C$215,2,0)</f>
        <v>0</v>
      </c>
      <c r="O126" s="59">
        <f t="shared" si="15"/>
        <v>0</v>
      </c>
      <c r="P126" s="42">
        <f t="shared" si="16"/>
        <v>0</v>
      </c>
      <c r="Q126" s="41">
        <f>VLOOKUP(A126,'Mandato Smll'!$A$2:$C$215,3,0)</f>
        <v>0</v>
      </c>
      <c r="R126" s="59">
        <f t="shared" si="17"/>
        <v>0</v>
      </c>
      <c r="S126" s="15">
        <v>-0.77</v>
      </c>
      <c r="T126" s="15">
        <v>-0.45300000000000001</v>
      </c>
      <c r="U126" s="15">
        <v>-0.91900000000000004</v>
      </c>
      <c r="V126" s="15">
        <v>-0.65100000000000002</v>
      </c>
      <c r="W126" s="15">
        <v>-0.66200000000000003</v>
      </c>
      <c r="X126" s="15">
        <v>-0.56499999999999995</v>
      </c>
      <c r="Y126" s="15">
        <v>-0.33700000000000002</v>
      </c>
      <c r="Z126" s="15">
        <v>-0.42599999999999999</v>
      </c>
      <c r="AA126" s="15">
        <v>0.74399999999999999</v>
      </c>
      <c r="AB126" s="15">
        <v>0.75</v>
      </c>
      <c r="AC126" s="15">
        <v>0.73199999999999998</v>
      </c>
      <c r="AD126" s="15">
        <v>0.76900000000000002</v>
      </c>
      <c r="AE126" s="15">
        <v>0.56499999999999995</v>
      </c>
      <c r="AF126" s="14">
        <v>-0.73799999999999999</v>
      </c>
      <c r="AG126" s="15">
        <v>-0.20300000000000001</v>
      </c>
      <c r="AH126" s="15">
        <v>0.34200000000000003</v>
      </c>
      <c r="AI126" s="15">
        <v>-0.91200000000000003</v>
      </c>
      <c r="AJ126" s="15">
        <v>-0.95399999999999996</v>
      </c>
      <c r="AK126" s="9">
        <v>-1</v>
      </c>
      <c r="AL126" s="4">
        <v>2.1000000000000001E-2</v>
      </c>
      <c r="AM126" s="4">
        <v>-3.5000000000000003E-2</v>
      </c>
      <c r="AN126" s="4">
        <v>0.375</v>
      </c>
      <c r="AO126" s="4">
        <v>-0.46800000000000003</v>
      </c>
      <c r="AP126" s="4">
        <v>2.1000000000000001E-2</v>
      </c>
      <c r="AQ126" s="4">
        <v>0.47499999999999998</v>
      </c>
      <c r="AR126" s="4">
        <v>2.9000000000000001E-2</v>
      </c>
      <c r="AS126" s="4">
        <v>0.15</v>
      </c>
      <c r="AT126" s="4">
        <v>0.23899999999999999</v>
      </c>
      <c r="AU126" s="4">
        <v>-5.5E-2</v>
      </c>
      <c r="AV126" s="4">
        <v>-7.1999999999999995E-2</v>
      </c>
      <c r="AW126" s="4">
        <v>-0.626</v>
      </c>
      <c r="AX126" s="4">
        <v>0.30299999999999999</v>
      </c>
      <c r="AY126" s="4">
        <v>-0.50600000000000001</v>
      </c>
      <c r="AZ126" s="4">
        <v>0.81</v>
      </c>
      <c r="BA126" s="4">
        <v>-0.39100000000000001</v>
      </c>
      <c r="BB126" s="4">
        <v>-0.31900000000000001</v>
      </c>
      <c r="BC126" s="4">
        <v>8.0000000000000002E-3</v>
      </c>
      <c r="BD126" s="4">
        <v>-6.0999999999999999E-2</v>
      </c>
      <c r="BE126" s="4">
        <v>5.6000000000000001E-2</v>
      </c>
      <c r="BF126" s="4">
        <v>0.317</v>
      </c>
      <c r="BG126" s="4">
        <v>-4.0000000000000001E-3</v>
      </c>
      <c r="BH126" s="4">
        <v>0.68799999999999994</v>
      </c>
      <c r="BI126" s="4">
        <v>-0.48199999999999998</v>
      </c>
      <c r="BJ126" s="4">
        <v>0.19900000000000001</v>
      </c>
      <c r="BK126" s="4">
        <v>-0.35199999999999998</v>
      </c>
      <c r="BL126" s="4">
        <v>-0.626</v>
      </c>
      <c r="BM126" s="4"/>
    </row>
    <row r="127" spans="1:65" hidden="1" x14ac:dyDescent="0.3">
      <c r="A127" s="19" t="s">
        <v>168</v>
      </c>
      <c r="B127" s="53">
        <f t="shared" si="11"/>
        <v>0</v>
      </c>
      <c r="C127" s="53">
        <f t="shared" si="12"/>
        <v>0</v>
      </c>
      <c r="D127" s="53">
        <f t="shared" si="13"/>
        <v>0</v>
      </c>
      <c r="E127" s="53">
        <f t="shared" si="14"/>
        <v>0</v>
      </c>
      <c r="F127" s="15">
        <v>0.64900000000000002</v>
      </c>
      <c r="G127" s="19">
        <v>0.60699999999999998</v>
      </c>
      <c r="H127" s="24" t="s">
        <v>68</v>
      </c>
      <c r="I127" t="str">
        <f>VLOOKUP(A127,Planilha6!$BL$9:$BN$222,2,0)</f>
        <v>capital_goods</v>
      </c>
      <c r="J127" t="str">
        <f>VLOOKUP(A127,Planilha6!$BL$9:$BN$222,3,0)</f>
        <v>low_beta</v>
      </c>
      <c r="K127" s="2">
        <v>0</v>
      </c>
      <c r="L127" s="2">
        <v>0</v>
      </c>
      <c r="M127" s="15">
        <v>11</v>
      </c>
      <c r="N127" s="41">
        <f>VLOOKUP(A127,'Mandato Smll'!$A$2:$C$215,2,0)</f>
        <v>0</v>
      </c>
      <c r="O127" s="59">
        <f t="shared" si="15"/>
        <v>0</v>
      </c>
      <c r="P127" s="42">
        <f t="shared" si="16"/>
        <v>0</v>
      </c>
      <c r="Q127" s="41">
        <f>VLOOKUP(A127,'Mandato Smll'!$A$2:$C$215,3,0)</f>
        <v>0</v>
      </c>
      <c r="R127" s="59">
        <f t="shared" si="17"/>
        <v>0</v>
      </c>
      <c r="S127" s="15">
        <v>-0.68799999999999994</v>
      </c>
      <c r="T127" s="15">
        <v>-0.38700000000000001</v>
      </c>
      <c r="U127" s="15">
        <v>-0.91800000000000004</v>
      </c>
      <c r="V127" s="15">
        <v>-0.55400000000000005</v>
      </c>
      <c r="W127" s="15">
        <v>-0.629</v>
      </c>
      <c r="X127" s="15">
        <v>-0.438</v>
      </c>
      <c r="Y127" s="15">
        <v>-8.5000000000000006E-2</v>
      </c>
      <c r="Z127" s="15">
        <v>-0.47599999999999998</v>
      </c>
      <c r="AA127" s="15">
        <v>0.58799999999999997</v>
      </c>
      <c r="AB127" s="15">
        <v>0.59299999999999997</v>
      </c>
      <c r="AC127" s="15">
        <v>0.64</v>
      </c>
      <c r="AD127" s="15">
        <v>0.85399999999999998</v>
      </c>
      <c r="AE127" s="15">
        <v>0.441</v>
      </c>
      <c r="AF127" s="14">
        <v>-0.30299999999999999</v>
      </c>
      <c r="AG127" s="15">
        <v>-0.51400000000000001</v>
      </c>
      <c r="AH127" s="15">
        <v>-0.51900000000000002</v>
      </c>
      <c r="AI127" s="15">
        <v>-1</v>
      </c>
      <c r="AJ127" s="15">
        <v>-0.99399999999999999</v>
      </c>
      <c r="AK127" s="9">
        <v>-0.58399999999999996</v>
      </c>
      <c r="AL127" s="4">
        <v>-0.35799999999999998</v>
      </c>
      <c r="AM127" s="4">
        <v>-0.57999999999999996</v>
      </c>
      <c r="AN127" s="4">
        <v>-0.873</v>
      </c>
      <c r="AO127" s="4">
        <v>0.46500000000000002</v>
      </c>
      <c r="AP127" s="4">
        <v>0.42199999999999999</v>
      </c>
      <c r="AQ127" s="4">
        <v>4.3999999999999997E-2</v>
      </c>
      <c r="AR127" s="4">
        <v>0.379</v>
      </c>
      <c r="AS127" s="4">
        <v>0.114</v>
      </c>
      <c r="AT127" s="4">
        <v>-0.57999999999999996</v>
      </c>
      <c r="AU127" s="4">
        <v>0.76900000000000002</v>
      </c>
      <c r="AV127" s="4">
        <v>4.0000000000000001E-3</v>
      </c>
      <c r="AW127" s="4">
        <v>0.23200000000000001</v>
      </c>
      <c r="AX127" s="4">
        <v>0.59199999999999997</v>
      </c>
      <c r="AY127" s="4">
        <v>0.50600000000000001</v>
      </c>
      <c r="AZ127" s="4">
        <v>0.96199999999999997</v>
      </c>
      <c r="BA127" s="4">
        <v>-0.63</v>
      </c>
      <c r="BB127" s="4">
        <v>1.7999999999999999E-2</v>
      </c>
      <c r="BC127" s="4">
        <v>0.245</v>
      </c>
      <c r="BD127" s="4">
        <v>4.9000000000000002E-2</v>
      </c>
      <c r="BE127" s="4">
        <v>-2.5000000000000001E-2</v>
      </c>
      <c r="BF127" s="4">
        <v>2.5999999999999999E-2</v>
      </c>
      <c r="BG127" s="4">
        <v>-0.193</v>
      </c>
      <c r="BH127" s="4">
        <v>0.69299999999999995</v>
      </c>
      <c r="BI127" s="4">
        <v>-0.36699999999999999</v>
      </c>
      <c r="BJ127" s="4">
        <v>6.0000000000000001E-3</v>
      </c>
      <c r="BK127" s="4">
        <v>-0.152</v>
      </c>
      <c r="BL127" s="4">
        <v>-1</v>
      </c>
      <c r="BM127" s="4"/>
    </row>
    <row r="128" spans="1:65" hidden="1" x14ac:dyDescent="0.3">
      <c r="A128" s="19" t="s">
        <v>160</v>
      </c>
      <c r="B128" s="53">
        <f t="shared" si="11"/>
        <v>0</v>
      </c>
      <c r="C128" s="53">
        <f t="shared" si="12"/>
        <v>0</v>
      </c>
      <c r="D128" s="53">
        <f t="shared" si="13"/>
        <v>0</v>
      </c>
      <c r="E128" s="53">
        <f t="shared" si="14"/>
        <v>0</v>
      </c>
      <c r="F128" s="15">
        <v>0.64500000000000002</v>
      </c>
      <c r="G128" s="19">
        <v>0.47799999999999998</v>
      </c>
      <c r="H128" s="24" t="s">
        <v>57</v>
      </c>
      <c r="I128" t="str">
        <f>VLOOKUP(A128,Planilha6!$BL$9:$BN$222,2,0)</f>
        <v>financial_services</v>
      </c>
      <c r="J128" t="str">
        <f>VLOOKUP(A128,Planilha6!$BL$9:$BN$222,3,0)</f>
        <v>low_beta</v>
      </c>
      <c r="K128" s="2">
        <v>0</v>
      </c>
      <c r="L128" s="2">
        <v>0</v>
      </c>
      <c r="M128" s="15">
        <v>84</v>
      </c>
      <c r="N128" s="41">
        <f>VLOOKUP(A128,'Mandato Smll'!$A$2:$C$215,2,0)</f>
        <v>0</v>
      </c>
      <c r="O128" s="59">
        <f t="shared" si="15"/>
        <v>0</v>
      </c>
      <c r="P128" s="42">
        <f t="shared" si="16"/>
        <v>0</v>
      </c>
      <c r="Q128" s="41">
        <f>VLOOKUP(A128,'Mandato Smll'!$A$2:$C$215,3,0)</f>
        <v>0</v>
      </c>
      <c r="R128" s="59">
        <f t="shared" si="17"/>
        <v>0</v>
      </c>
      <c r="S128" s="15">
        <v>-0.57699999999999996</v>
      </c>
      <c r="T128" s="15">
        <v>-0.51700000000000002</v>
      </c>
      <c r="U128" s="15">
        <v>-0.72099999999999997</v>
      </c>
      <c r="V128" s="15">
        <v>-0.57599999999999996</v>
      </c>
      <c r="W128" s="15">
        <v>-0.61899999999999999</v>
      </c>
      <c r="X128" s="15">
        <v>-0.51800000000000002</v>
      </c>
      <c r="Y128" s="15">
        <v>-0.17299999999999999</v>
      </c>
      <c r="Z128" s="15">
        <v>-0.65200000000000002</v>
      </c>
      <c r="AA128" s="15">
        <v>0.67300000000000004</v>
      </c>
      <c r="AB128" s="15">
        <v>0.67400000000000004</v>
      </c>
      <c r="AC128" s="15">
        <v>0.76600000000000001</v>
      </c>
      <c r="AD128" s="15">
        <v>0.79400000000000004</v>
      </c>
      <c r="AE128" s="15">
        <v>0.47599999999999998</v>
      </c>
      <c r="AF128" s="14">
        <v>-0.33100000000000002</v>
      </c>
      <c r="AG128" s="15">
        <v>0.20499999999999999</v>
      </c>
      <c r="AH128" s="15">
        <v>-0.434</v>
      </c>
      <c r="AI128" s="15">
        <v>-0.68600000000000005</v>
      </c>
      <c r="AJ128" s="15">
        <v>-0.91400000000000003</v>
      </c>
      <c r="AK128" s="9">
        <v>-0.55500000000000005</v>
      </c>
      <c r="AL128" s="4">
        <v>6.8000000000000005E-2</v>
      </c>
      <c r="AM128" s="4">
        <v>-0.70399999999999996</v>
      </c>
      <c r="AN128" s="4">
        <v>-0.09</v>
      </c>
      <c r="AO128" s="4">
        <v>0.73599999999999999</v>
      </c>
      <c r="AP128" s="4">
        <v>-9.6000000000000002E-2</v>
      </c>
      <c r="AQ128" s="4">
        <v>-0.16400000000000001</v>
      </c>
      <c r="AR128" s="4">
        <v>0.28399999999999997</v>
      </c>
      <c r="AS128" s="4">
        <v>-1.4999999999999999E-2</v>
      </c>
      <c r="AT128" s="4">
        <v>-0.89600000000000002</v>
      </c>
      <c r="AU128" s="4">
        <v>0.314</v>
      </c>
      <c r="AV128" s="4">
        <v>0.65</v>
      </c>
      <c r="AW128" s="4">
        <v>-0.158</v>
      </c>
      <c r="AX128" s="4">
        <v>0.11700000000000001</v>
      </c>
      <c r="AY128" s="4">
        <v>-0.28699999999999998</v>
      </c>
      <c r="AZ128" s="4">
        <v>0.34</v>
      </c>
      <c r="BA128" s="4">
        <v>-0.61099999999999999</v>
      </c>
      <c r="BB128" s="4">
        <v>-0.17100000000000001</v>
      </c>
      <c r="BC128" s="4">
        <v>-6.7000000000000004E-2</v>
      </c>
      <c r="BD128" s="4">
        <v>3.9E-2</v>
      </c>
      <c r="BE128" s="4">
        <v>7.0000000000000007E-2</v>
      </c>
      <c r="BF128" s="4">
        <v>-0.23300000000000001</v>
      </c>
      <c r="BG128" s="4">
        <v>3.2000000000000001E-2</v>
      </c>
      <c r="BH128" s="4">
        <v>0.434</v>
      </c>
      <c r="BI128" s="4">
        <v>0.14599999999999999</v>
      </c>
      <c r="BJ128" s="4">
        <v>-9.7000000000000003E-2</v>
      </c>
      <c r="BK128" s="4">
        <v>1</v>
      </c>
      <c r="BL128" s="4">
        <v>-5.7000000000000002E-2</v>
      </c>
      <c r="BM128" s="4"/>
    </row>
    <row r="129" spans="1:65" hidden="1" x14ac:dyDescent="0.3">
      <c r="A129" s="19" t="s">
        <v>155</v>
      </c>
      <c r="B129" s="53">
        <f t="shared" si="11"/>
        <v>0</v>
      </c>
      <c r="C129" s="53">
        <f t="shared" si="12"/>
        <v>0</v>
      </c>
      <c r="D129" s="53">
        <f t="shared" si="13"/>
        <v>0</v>
      </c>
      <c r="E129" s="53">
        <f t="shared" si="14"/>
        <v>0</v>
      </c>
      <c r="F129" s="15">
        <v>0.64400000000000002</v>
      </c>
      <c r="G129" s="19">
        <v>0.45700000000000002</v>
      </c>
      <c r="H129" s="24" t="s">
        <v>55</v>
      </c>
      <c r="I129" t="str">
        <f>VLOOKUP(A129,Planilha6!$BL$9:$BN$222,2,0)</f>
        <v>utilities</v>
      </c>
      <c r="J129" t="str">
        <f>VLOOKUP(A129,Planilha6!$BL$9:$BN$222,3,0)</f>
        <v>low_beta</v>
      </c>
      <c r="K129" s="2">
        <v>0</v>
      </c>
      <c r="L129" s="2">
        <v>0</v>
      </c>
      <c r="M129" s="15">
        <v>84</v>
      </c>
      <c r="N129" s="41">
        <f>VLOOKUP(A129,'Mandato Smll'!$A$2:$C$215,2,0)</f>
        <v>0</v>
      </c>
      <c r="O129" s="59">
        <f t="shared" si="15"/>
        <v>0</v>
      </c>
      <c r="P129" s="42">
        <f t="shared" si="16"/>
        <v>0</v>
      </c>
      <c r="Q129" s="41">
        <f>VLOOKUP(A129,'Mandato Smll'!$A$2:$C$215,3,0)</f>
        <v>0</v>
      </c>
      <c r="R129" s="59">
        <f t="shared" si="17"/>
        <v>0</v>
      </c>
      <c r="S129" s="15">
        <v>-0.40200000000000002</v>
      </c>
      <c r="T129" s="15">
        <v>-0.58899999999999997</v>
      </c>
      <c r="U129" s="15">
        <v>-0.13800000000000001</v>
      </c>
      <c r="V129" s="15">
        <v>-0.35499999999999998</v>
      </c>
      <c r="W129" s="15">
        <v>-0.39700000000000002</v>
      </c>
      <c r="X129" s="15">
        <v>-0.61199999999999999</v>
      </c>
      <c r="Y129" s="15">
        <v>-0.71199999999999997</v>
      </c>
      <c r="Z129" s="15">
        <v>-0.76900000000000002</v>
      </c>
      <c r="AA129" s="15">
        <v>0.56699999999999995</v>
      </c>
      <c r="AB129" s="15">
        <v>0.56699999999999995</v>
      </c>
      <c r="AC129" s="15">
        <v>0.57999999999999996</v>
      </c>
      <c r="AD129" s="15">
        <v>0.79600000000000004</v>
      </c>
      <c r="AE129" s="15">
        <v>0.55000000000000004</v>
      </c>
      <c r="AF129" s="14">
        <v>0.23</v>
      </c>
      <c r="AG129" s="15">
        <v>0.35299999999999998</v>
      </c>
      <c r="AH129" s="15">
        <v>0.13300000000000001</v>
      </c>
      <c r="AI129" s="15">
        <v>0.375</v>
      </c>
      <c r="AJ129" s="15">
        <v>-2.5999999999999999E-2</v>
      </c>
      <c r="AK129" s="9">
        <v>-0.51600000000000001</v>
      </c>
      <c r="AL129" s="4">
        <v>0.24</v>
      </c>
      <c r="AM129" s="4">
        <v>-1</v>
      </c>
      <c r="AN129" s="4">
        <v>0.80200000000000005</v>
      </c>
      <c r="AO129" s="4">
        <v>-0.27300000000000002</v>
      </c>
      <c r="AP129" s="4">
        <v>-0.17899999999999999</v>
      </c>
      <c r="AQ129" s="4">
        <v>0.22800000000000001</v>
      </c>
      <c r="AR129" s="4">
        <v>0.502</v>
      </c>
      <c r="AS129" s="4">
        <v>-0.32700000000000001</v>
      </c>
      <c r="AT129" s="4">
        <v>4.7E-2</v>
      </c>
      <c r="AU129" s="4">
        <v>-1.2999999999999999E-2</v>
      </c>
      <c r="AV129" s="4">
        <v>-0.51400000000000001</v>
      </c>
      <c r="AW129" s="4">
        <v>-8.9999999999999993E-3</v>
      </c>
      <c r="AX129" s="4">
        <v>-0.27</v>
      </c>
      <c r="AY129" s="4">
        <v>-0.78700000000000003</v>
      </c>
      <c r="AZ129" s="4">
        <v>-0.124</v>
      </c>
      <c r="BA129" s="4">
        <v>0.33700000000000002</v>
      </c>
      <c r="BB129" s="4">
        <v>-0.39500000000000002</v>
      </c>
      <c r="BC129" s="4">
        <v>2.8000000000000001E-2</v>
      </c>
      <c r="BD129" s="4">
        <v>-0.57099999999999995</v>
      </c>
      <c r="BE129" s="4">
        <v>0.27800000000000002</v>
      </c>
      <c r="BF129" s="4">
        <v>-0.55700000000000005</v>
      </c>
      <c r="BG129" s="4">
        <v>4.3999999999999997E-2</v>
      </c>
      <c r="BH129" s="4">
        <v>0.21199999999999999</v>
      </c>
      <c r="BI129" s="4">
        <v>-0.154</v>
      </c>
      <c r="BJ129" s="4">
        <v>-0.16900000000000001</v>
      </c>
      <c r="BK129" s="4">
        <v>0.47799999999999998</v>
      </c>
      <c r="BL129" s="4">
        <v>0.75</v>
      </c>
      <c r="BM129" s="4"/>
    </row>
    <row r="130" spans="1:65" hidden="1" x14ac:dyDescent="0.3">
      <c r="A130" s="19" t="s">
        <v>184</v>
      </c>
      <c r="B130" s="53">
        <f t="shared" si="11"/>
        <v>0</v>
      </c>
      <c r="C130" s="53">
        <f t="shared" si="12"/>
        <v>0</v>
      </c>
      <c r="D130" s="53">
        <f t="shared" si="13"/>
        <v>0</v>
      </c>
      <c r="E130" s="53">
        <f t="shared" si="14"/>
        <v>0</v>
      </c>
      <c r="F130" s="15">
        <v>0.64200000000000002</v>
      </c>
      <c r="G130" s="19">
        <v>0.752</v>
      </c>
      <c r="H130" s="24" t="s">
        <v>57</v>
      </c>
      <c r="I130" t="str">
        <f>VLOOKUP(A130,Planilha6!$BL$9:$BN$222,2,0)</f>
        <v>financial_services</v>
      </c>
      <c r="J130" t="str">
        <f>VLOOKUP(A130,Planilha6!$BL$9:$BN$222,3,0)</f>
        <v>very_high_beta</v>
      </c>
      <c r="K130" s="2">
        <v>0</v>
      </c>
      <c r="L130" s="2">
        <v>0</v>
      </c>
      <c r="M130" s="15">
        <v>8</v>
      </c>
      <c r="N130" s="41">
        <f>VLOOKUP(A130,'Mandato Smll'!$A$2:$C$215,2,0)</f>
        <v>0</v>
      </c>
      <c r="O130" s="59">
        <f t="shared" si="15"/>
        <v>0</v>
      </c>
      <c r="P130" s="42">
        <f t="shared" si="16"/>
        <v>0</v>
      </c>
      <c r="Q130" s="41">
        <f>VLOOKUP(A130,'Mandato Smll'!$A$2:$C$215,3,0)</f>
        <v>0</v>
      </c>
      <c r="R130" s="59">
        <f t="shared" si="17"/>
        <v>0</v>
      </c>
      <c r="S130" s="15">
        <v>-0.66400000000000003</v>
      </c>
      <c r="T130" s="15">
        <v>-0.06</v>
      </c>
      <c r="U130" s="15">
        <v>-0.93500000000000005</v>
      </c>
      <c r="V130" s="15">
        <v>-0.48899999999999999</v>
      </c>
      <c r="W130" s="15">
        <v>-0.54900000000000004</v>
      </c>
      <c r="X130" s="15">
        <v>-0.46100000000000002</v>
      </c>
      <c r="Y130" s="15">
        <v>-4.2000000000000003E-2</v>
      </c>
      <c r="Z130" s="15">
        <v>-0.35699999999999998</v>
      </c>
      <c r="AA130" s="15">
        <v>0.224</v>
      </c>
      <c r="AB130" s="15">
        <v>0.23</v>
      </c>
      <c r="AC130" s="15">
        <v>0.58799999999999997</v>
      </c>
      <c r="AD130" s="15">
        <v>0.63500000000000001</v>
      </c>
      <c r="AE130" s="15">
        <v>0.36599999999999999</v>
      </c>
      <c r="AF130" s="14">
        <v>-0.20100000000000001</v>
      </c>
      <c r="AG130" s="15">
        <v>-0.72299999999999998</v>
      </c>
      <c r="AH130" s="15">
        <v>-3.2000000000000001E-2</v>
      </c>
      <c r="AI130" s="15">
        <v>-1</v>
      </c>
      <c r="AJ130" s="15">
        <v>-0.68500000000000005</v>
      </c>
      <c r="AK130" s="9">
        <v>-0.79100000000000004</v>
      </c>
      <c r="AL130" s="4">
        <v>-0.45600000000000002</v>
      </c>
      <c r="AM130" s="4">
        <v>-0.54600000000000004</v>
      </c>
      <c r="AN130" s="4">
        <v>-1</v>
      </c>
      <c r="AO130" s="4">
        <v>-0.6</v>
      </c>
      <c r="AP130" s="4">
        <v>0.47699999999999998</v>
      </c>
      <c r="AQ130" s="4">
        <v>0.77900000000000003</v>
      </c>
      <c r="AR130" s="4">
        <v>0.14899999999999999</v>
      </c>
      <c r="AS130" s="4">
        <v>-0.06</v>
      </c>
      <c r="AT130" s="4">
        <v>-0.47099999999999997</v>
      </c>
      <c r="AU130" s="4">
        <v>0.38200000000000001</v>
      </c>
      <c r="AV130" s="4">
        <v>1</v>
      </c>
      <c r="AW130" s="4">
        <v>0.47599999999999998</v>
      </c>
      <c r="AX130" s="4">
        <v>-3.2000000000000001E-2</v>
      </c>
      <c r="AY130" s="4">
        <v>0.15</v>
      </c>
      <c r="AZ130" s="4">
        <v>0.44</v>
      </c>
      <c r="BA130" s="4">
        <v>-0.29399999999999998</v>
      </c>
      <c r="BB130" s="4">
        <v>0.29299999999999998</v>
      </c>
      <c r="BC130" s="4">
        <v>0.221</v>
      </c>
      <c r="BD130" s="4">
        <v>0.10199999999999999</v>
      </c>
      <c r="BE130" s="4">
        <v>0.32</v>
      </c>
      <c r="BF130" s="4">
        <v>-0.42099999999999999</v>
      </c>
      <c r="BG130" s="4">
        <v>-0.38600000000000001</v>
      </c>
      <c r="BH130" s="4">
        <v>0.315</v>
      </c>
      <c r="BI130" s="4">
        <v>-0.38200000000000001</v>
      </c>
      <c r="BJ130" s="4">
        <v>0.42099999999999999</v>
      </c>
      <c r="BK130" s="4">
        <v>-0.51600000000000001</v>
      </c>
      <c r="BL130" s="4">
        <v>-0.747</v>
      </c>
      <c r="BM130" s="4"/>
    </row>
    <row r="131" spans="1:65" hidden="1" x14ac:dyDescent="0.3">
      <c r="A131" s="19" t="s">
        <v>165</v>
      </c>
      <c r="B131" s="53">
        <f t="shared" si="11"/>
        <v>0</v>
      </c>
      <c r="C131" s="53">
        <f t="shared" si="12"/>
        <v>0</v>
      </c>
      <c r="D131" s="53">
        <f t="shared" si="13"/>
        <v>0</v>
      </c>
      <c r="E131" s="53">
        <f t="shared" si="14"/>
        <v>0</v>
      </c>
      <c r="F131" s="15">
        <v>0.63900000000000001</v>
      </c>
      <c r="G131" s="19">
        <v>0.48099999999999998</v>
      </c>
      <c r="H131" s="24" t="s">
        <v>71</v>
      </c>
      <c r="I131" t="str">
        <f>VLOOKUP(A131,Planilha6!$BL$9:$BN$222,2,0)</f>
        <v>basic_materials</v>
      </c>
      <c r="J131" t="str">
        <f>VLOOKUP(A131,Planilha6!$BL$9:$BN$222,3,0)</f>
        <v>neutral_beta</v>
      </c>
      <c r="K131" s="2">
        <v>0</v>
      </c>
      <c r="L131" s="2">
        <v>0</v>
      </c>
      <c r="M131" s="15">
        <v>84</v>
      </c>
      <c r="N131" s="41">
        <f>VLOOKUP(A131,'Mandato Smll'!$A$2:$C$215,2,0)</f>
        <v>0</v>
      </c>
      <c r="O131" s="59">
        <f t="shared" si="15"/>
        <v>0</v>
      </c>
      <c r="P131" s="42">
        <f t="shared" si="16"/>
        <v>0</v>
      </c>
      <c r="Q131" s="41">
        <f>VLOOKUP(A131,'Mandato Smll'!$A$2:$C$215,3,0)</f>
        <v>0</v>
      </c>
      <c r="R131" s="59">
        <f t="shared" si="17"/>
        <v>0</v>
      </c>
      <c r="S131" s="15">
        <v>-0.53400000000000003</v>
      </c>
      <c r="T131" s="15">
        <v>-0.66200000000000003</v>
      </c>
      <c r="U131" s="15">
        <v>-0.64</v>
      </c>
      <c r="V131" s="15">
        <v>-0.51800000000000002</v>
      </c>
      <c r="W131" s="15">
        <v>-0.63700000000000001</v>
      </c>
      <c r="X131" s="15">
        <v>-0.60899999999999999</v>
      </c>
      <c r="Y131" s="15">
        <v>-0.72299999999999998</v>
      </c>
      <c r="Z131" s="15">
        <v>-0.75700000000000001</v>
      </c>
      <c r="AA131" s="15">
        <v>0.69199999999999995</v>
      </c>
      <c r="AB131" s="15">
        <v>0.69599999999999995</v>
      </c>
      <c r="AC131" s="15">
        <v>0.68300000000000005</v>
      </c>
      <c r="AD131" s="15">
        <v>0.94</v>
      </c>
      <c r="AE131" s="15">
        <v>0.748</v>
      </c>
      <c r="AF131" s="14">
        <v>-0.20799999999999999</v>
      </c>
      <c r="AG131" s="15">
        <v>-0.22600000000000001</v>
      </c>
      <c r="AH131" s="15">
        <v>0.59099999999999997</v>
      </c>
      <c r="AI131" s="15">
        <v>-0.52100000000000002</v>
      </c>
      <c r="AJ131" s="15">
        <v>-0.48099999999999998</v>
      </c>
      <c r="AK131" s="9">
        <v>-0.85299999999999998</v>
      </c>
      <c r="AL131" s="4">
        <v>-0.34399999999999997</v>
      </c>
      <c r="AM131" s="4">
        <v>-0.66700000000000004</v>
      </c>
      <c r="AN131" s="4">
        <v>0.5</v>
      </c>
      <c r="AO131" s="4">
        <v>-0.52700000000000002</v>
      </c>
      <c r="AP131" s="4">
        <v>0.437</v>
      </c>
      <c r="AQ131" s="4">
        <v>-0.158</v>
      </c>
      <c r="AR131" s="4">
        <v>-0.434</v>
      </c>
      <c r="AS131" s="4">
        <v>0.748</v>
      </c>
      <c r="AT131" s="4">
        <v>0.43099999999999999</v>
      </c>
      <c r="AU131" s="4">
        <v>-0.109</v>
      </c>
      <c r="AV131" s="4">
        <v>-0.60299999999999998</v>
      </c>
      <c r="AW131" s="4">
        <v>-7.5999999999999998E-2</v>
      </c>
      <c r="AX131" s="4">
        <v>-7.0999999999999994E-2</v>
      </c>
      <c r="AY131" s="4">
        <v>-0.17399999999999999</v>
      </c>
      <c r="AZ131" s="4">
        <v>0.753</v>
      </c>
      <c r="BA131" s="4">
        <v>-1</v>
      </c>
      <c r="BB131" s="4">
        <v>0.64500000000000002</v>
      </c>
      <c r="BC131" s="4">
        <v>0.45700000000000002</v>
      </c>
      <c r="BD131" s="4">
        <v>0.18099999999999999</v>
      </c>
      <c r="BE131" s="4">
        <v>0.30199999999999999</v>
      </c>
      <c r="BF131" s="4">
        <v>0.104</v>
      </c>
      <c r="BG131" s="4">
        <v>-0.14799999999999999</v>
      </c>
      <c r="BH131" s="4">
        <v>0.191</v>
      </c>
      <c r="BI131" s="4">
        <v>6.6000000000000003E-2</v>
      </c>
      <c r="BJ131" s="4">
        <v>-0.27400000000000002</v>
      </c>
      <c r="BK131" s="4">
        <v>0.81</v>
      </c>
      <c r="BL131" s="4">
        <v>0.11799999999999999</v>
      </c>
      <c r="BM131" s="4"/>
    </row>
    <row r="132" spans="1:65" hidden="1" x14ac:dyDescent="0.3">
      <c r="A132" s="19" t="s">
        <v>164</v>
      </c>
      <c r="B132" s="53">
        <f t="shared" si="11"/>
        <v>0</v>
      </c>
      <c r="C132" s="53">
        <f t="shared" si="12"/>
        <v>-4.0000000000000001E-3</v>
      </c>
      <c r="D132" s="53">
        <f t="shared" si="13"/>
        <v>0</v>
      </c>
      <c r="E132" s="53">
        <f t="shared" si="14"/>
        <v>4.0000000000000001E-3</v>
      </c>
      <c r="F132" s="15">
        <v>0.63600000000000001</v>
      </c>
      <c r="G132" s="19">
        <v>0.79800000000000004</v>
      </c>
      <c r="H132" s="24" t="s">
        <v>68</v>
      </c>
      <c r="I132" t="str">
        <f>VLOOKUP(A132,Planilha6!$BL$9:$BN$222,2,0)</f>
        <v>capital_goods</v>
      </c>
      <c r="J132" t="str">
        <f>VLOOKUP(A132,Planilha6!$BL$9:$BN$222,3,0)</f>
        <v>low_beta</v>
      </c>
      <c r="K132" s="2">
        <v>0</v>
      </c>
      <c r="L132" s="2">
        <v>-4.0000000000000001E-3</v>
      </c>
      <c r="M132" s="15">
        <v>84</v>
      </c>
      <c r="N132" s="41">
        <f>VLOOKUP(A132,'Mandato Smll'!$A$2:$C$215,2,0)</f>
        <v>0</v>
      </c>
      <c r="O132" s="59">
        <f t="shared" si="15"/>
        <v>0</v>
      </c>
      <c r="P132" s="42">
        <f t="shared" si="16"/>
        <v>0</v>
      </c>
      <c r="Q132" s="41">
        <f>VLOOKUP(A132,'Mandato Smll'!$A$2:$C$215,3,0)</f>
        <v>0</v>
      </c>
      <c r="R132" s="59">
        <f t="shared" si="17"/>
        <v>0</v>
      </c>
      <c r="S132" s="15">
        <v>-0.55800000000000005</v>
      </c>
      <c r="T132" s="15">
        <v>-0.51400000000000001</v>
      </c>
      <c r="U132" s="15">
        <v>-0.38800000000000001</v>
      </c>
      <c r="V132" s="15">
        <v>-0.70599999999999996</v>
      </c>
      <c r="W132" s="15">
        <v>-0.57299999999999995</v>
      </c>
      <c r="X132" s="15">
        <v>-0.57999999999999996</v>
      </c>
      <c r="Y132" s="15">
        <v>-0.55000000000000004</v>
      </c>
      <c r="Z132" s="15">
        <v>-0.52800000000000002</v>
      </c>
      <c r="AA132" s="15">
        <v>0.61399999999999999</v>
      </c>
      <c r="AB132" s="15">
        <v>0.61599999999999999</v>
      </c>
      <c r="AC132" s="15">
        <v>0.48599999999999999</v>
      </c>
      <c r="AD132" s="15">
        <v>0.58499999999999996</v>
      </c>
      <c r="AE132" s="15">
        <v>0.496</v>
      </c>
      <c r="AF132" s="14">
        <v>-0.28199999999999997</v>
      </c>
      <c r="AG132" s="15">
        <v>-0.52600000000000002</v>
      </c>
      <c r="AH132" s="15">
        <v>-0.33800000000000002</v>
      </c>
      <c r="AI132" s="15">
        <v>0.36099999999999999</v>
      </c>
      <c r="AJ132" s="15">
        <v>-0.45200000000000001</v>
      </c>
      <c r="AK132" s="9">
        <v>-0.55800000000000005</v>
      </c>
      <c r="AL132" s="4">
        <v>7.2999999999999995E-2</v>
      </c>
      <c r="AM132" s="4">
        <v>-0.45900000000000002</v>
      </c>
      <c r="AN132" s="4">
        <v>0.74</v>
      </c>
      <c r="AO132" s="4">
        <v>-0.30499999999999999</v>
      </c>
      <c r="AP132" s="4">
        <v>-0.54300000000000004</v>
      </c>
      <c r="AQ132" s="4">
        <v>-0.16900000000000001</v>
      </c>
      <c r="AR132" s="4">
        <v>-0.15</v>
      </c>
      <c r="AS132" s="4">
        <v>-0.307</v>
      </c>
      <c r="AT132" s="4">
        <v>-0.252</v>
      </c>
      <c r="AU132" s="4">
        <v>9.8000000000000004E-2</v>
      </c>
      <c r="AV132" s="4">
        <v>-0.45</v>
      </c>
      <c r="AW132" s="4">
        <v>-0.23400000000000001</v>
      </c>
      <c r="AX132" s="4">
        <v>0.54900000000000004</v>
      </c>
      <c r="AY132" s="4">
        <v>-0.26100000000000001</v>
      </c>
      <c r="AZ132" s="4">
        <v>0.9</v>
      </c>
      <c r="BA132" s="4">
        <v>0.77</v>
      </c>
      <c r="BB132" s="4">
        <v>-0.16800000000000001</v>
      </c>
      <c r="BC132" s="4">
        <v>0.24199999999999999</v>
      </c>
      <c r="BD132" s="4">
        <v>-8.2000000000000003E-2</v>
      </c>
      <c r="BE132" s="4">
        <v>0.28499999999999998</v>
      </c>
      <c r="BF132" s="4">
        <v>-0.14499999999999999</v>
      </c>
      <c r="BG132" s="4">
        <v>-0.16900000000000001</v>
      </c>
      <c r="BH132" s="4">
        <v>0.55400000000000005</v>
      </c>
      <c r="BI132" s="4">
        <v>-7.6999999999999999E-2</v>
      </c>
      <c r="BJ132" s="4">
        <v>0.183</v>
      </c>
      <c r="BK132" s="4">
        <v>4.0000000000000001E-3</v>
      </c>
      <c r="BL132" s="4">
        <v>0.35</v>
      </c>
      <c r="BM132" s="4"/>
    </row>
    <row r="133" spans="1:65" hidden="1" x14ac:dyDescent="0.3">
      <c r="A133" s="19" t="s">
        <v>182</v>
      </c>
      <c r="B133" s="53">
        <f t="shared" si="11"/>
        <v>0</v>
      </c>
      <c r="C133" s="53">
        <f t="shared" si="12"/>
        <v>0</v>
      </c>
      <c r="D133" s="53">
        <f t="shared" si="13"/>
        <v>0</v>
      </c>
      <c r="E133" s="53">
        <f t="shared" si="14"/>
        <v>0</v>
      </c>
      <c r="F133" s="15">
        <v>0.627</v>
      </c>
      <c r="G133" s="19">
        <v>0.77200000000000002</v>
      </c>
      <c r="H133" s="24" t="s">
        <v>71</v>
      </c>
      <c r="I133" t="str">
        <f>VLOOKUP(A133,Planilha6!$BL$9:$BN$222,2,0)</f>
        <v>basic_materials</v>
      </c>
      <c r="J133" t="str">
        <f>VLOOKUP(A133,Planilha6!$BL$9:$BN$222,3,0)</f>
        <v>neutral_beta</v>
      </c>
      <c r="K133" s="2">
        <v>0</v>
      </c>
      <c r="L133" s="2">
        <v>0</v>
      </c>
      <c r="M133" s="15">
        <v>1</v>
      </c>
      <c r="N133" s="41">
        <f>VLOOKUP(A133,'Mandato Smll'!$A$2:$C$215,2,0)</f>
        <v>0</v>
      </c>
      <c r="O133" s="59">
        <f t="shared" si="15"/>
        <v>0</v>
      </c>
      <c r="P133" s="42">
        <f t="shared" si="16"/>
        <v>0</v>
      </c>
      <c r="Q133" s="41">
        <f>VLOOKUP(A133,'Mandato Smll'!$A$2:$C$215,3,0)</f>
        <v>0</v>
      </c>
      <c r="R133" s="59">
        <f t="shared" si="17"/>
        <v>0</v>
      </c>
      <c r="S133" s="15">
        <v>-0.91400000000000003</v>
      </c>
      <c r="T133" s="15">
        <v>-0.53100000000000003</v>
      </c>
      <c r="U133" s="15">
        <v>-1</v>
      </c>
      <c r="V133" s="15">
        <v>-0.77900000000000003</v>
      </c>
      <c r="W133" s="15">
        <v>-0.752</v>
      </c>
      <c r="X133" s="15">
        <v>-0.59699999999999998</v>
      </c>
      <c r="Y133" s="15">
        <v>-0.35799999999999998</v>
      </c>
      <c r="Z133" s="15">
        <v>-0.224</v>
      </c>
      <c r="AA133" s="15">
        <v>0.59299999999999997</v>
      </c>
      <c r="AB133" s="15">
        <v>0.59499999999999997</v>
      </c>
      <c r="AC133" s="15">
        <v>0.63400000000000001</v>
      </c>
      <c r="AD133" s="15">
        <v>0.64300000000000002</v>
      </c>
      <c r="AE133" s="15">
        <v>0.53400000000000003</v>
      </c>
      <c r="AF133" s="14">
        <v>-0.66200000000000003</v>
      </c>
      <c r="AG133" s="15">
        <v>-1</v>
      </c>
      <c r="AH133" s="15">
        <v>0.308</v>
      </c>
      <c r="AI133" s="15">
        <v>-1</v>
      </c>
      <c r="AJ133" s="15">
        <v>-0.71799999999999997</v>
      </c>
      <c r="AK133" s="9">
        <v>-1</v>
      </c>
      <c r="AL133" s="4">
        <v>-0.27800000000000002</v>
      </c>
      <c r="AM133" s="4">
        <v>0.11600000000000001</v>
      </c>
      <c r="AN133" s="4">
        <v>-0.59699999999999998</v>
      </c>
      <c r="AO133" s="4">
        <v>-0.77700000000000002</v>
      </c>
      <c r="AP133" s="4">
        <v>0.81499999999999995</v>
      </c>
      <c r="AQ133" s="4">
        <v>0.20499999999999999</v>
      </c>
      <c r="AR133" s="4">
        <v>-0.93899999999999995</v>
      </c>
      <c r="AS133" s="4">
        <v>-0.76200000000000001</v>
      </c>
      <c r="AT133" s="4">
        <v>-0.56499999999999995</v>
      </c>
      <c r="AU133" s="4">
        <v>-4.2999999999999997E-2</v>
      </c>
      <c r="AV133" s="4">
        <v>-9.1999999999999998E-2</v>
      </c>
      <c r="AW133" s="4">
        <v>-0.16700000000000001</v>
      </c>
      <c r="AX133" s="4">
        <v>0.60399999999999998</v>
      </c>
      <c r="AY133" s="4">
        <v>-0.13400000000000001</v>
      </c>
      <c r="AZ133" s="4">
        <v>0.67800000000000005</v>
      </c>
      <c r="BA133" s="4">
        <v>-0.88700000000000001</v>
      </c>
      <c r="BB133" s="4">
        <v>-0.249</v>
      </c>
      <c r="BC133" s="4">
        <v>0.311</v>
      </c>
      <c r="BD133" s="4">
        <v>0.20100000000000001</v>
      </c>
      <c r="BE133" s="4">
        <v>0.32200000000000001</v>
      </c>
      <c r="BF133" s="4">
        <v>-0.192</v>
      </c>
      <c r="BG133" s="4">
        <v>6.0000000000000001E-3</v>
      </c>
      <c r="BH133" s="4">
        <v>0.86399999999999999</v>
      </c>
      <c r="BI133" s="4">
        <v>-0.33300000000000002</v>
      </c>
      <c r="BJ133" s="4">
        <v>-0.30099999999999999</v>
      </c>
      <c r="BK133" s="4">
        <v>-0.40300000000000002</v>
      </c>
      <c r="BL133" s="4">
        <v>-1</v>
      </c>
      <c r="BM133" s="4"/>
    </row>
    <row r="134" spans="1:65" hidden="1" x14ac:dyDescent="0.3">
      <c r="A134" s="19" t="s">
        <v>233</v>
      </c>
      <c r="B134" s="53">
        <f t="shared" si="11"/>
        <v>0</v>
      </c>
      <c r="C134" s="53">
        <f t="shared" si="12"/>
        <v>-2.7E-2</v>
      </c>
      <c r="D134" s="53">
        <f t="shared" si="13"/>
        <v>0</v>
      </c>
      <c r="E134" s="53">
        <f t="shared" si="14"/>
        <v>2.7E-2</v>
      </c>
      <c r="F134" s="15">
        <v>0.62</v>
      </c>
      <c r="G134" s="19">
        <v>0.78200000000000003</v>
      </c>
      <c r="H134" s="24" t="s">
        <v>71</v>
      </c>
      <c r="I134" t="str">
        <f>VLOOKUP(A134,Planilha6!$BL$9:$BN$222,2,0)</f>
        <v>crude_oil</v>
      </c>
      <c r="J134" t="str">
        <f>VLOOKUP(A134,Planilha6!$BL$9:$BN$222,3,0)</f>
        <v>very_low_beta</v>
      </c>
      <c r="K134" s="2">
        <v>0</v>
      </c>
      <c r="L134" s="2">
        <v>-2.7E-2</v>
      </c>
      <c r="M134" s="15">
        <v>51</v>
      </c>
      <c r="N134" s="41">
        <f>VLOOKUP(A134,'Mandato Smll'!$A$2:$C$215,2,0)</f>
        <v>0</v>
      </c>
      <c r="O134" s="59">
        <f t="shared" si="15"/>
        <v>0</v>
      </c>
      <c r="P134" s="42">
        <f t="shared" si="16"/>
        <v>0</v>
      </c>
      <c r="Q134" s="41">
        <f>VLOOKUP(A134,'Mandato Smll'!$A$2:$C$215,3,0)</f>
        <v>3.9619015926858098E-2</v>
      </c>
      <c r="R134" s="59">
        <f t="shared" si="17"/>
        <v>-3.9619015926858098E-2</v>
      </c>
      <c r="S134" s="15">
        <v>-0.55000000000000004</v>
      </c>
      <c r="T134" s="15">
        <v>-0.51300000000000001</v>
      </c>
      <c r="U134" s="15">
        <v>-0.89200000000000002</v>
      </c>
      <c r="V134" s="15">
        <v>-0.23200000000000001</v>
      </c>
      <c r="W134" s="15">
        <v>-0.57699999999999996</v>
      </c>
      <c r="X134" s="15">
        <v>-0.44900000000000001</v>
      </c>
      <c r="Y134" s="15">
        <v>-0.50900000000000001</v>
      </c>
      <c r="Z134" s="15">
        <v>-0.72899999999999998</v>
      </c>
      <c r="AA134" s="15">
        <v>0.438</v>
      </c>
      <c r="AB134" s="15">
        <v>0.438</v>
      </c>
      <c r="AC134" s="15">
        <v>0.54900000000000004</v>
      </c>
      <c r="AD134" s="15">
        <v>0.81</v>
      </c>
      <c r="AE134" s="15">
        <v>0.56999999999999995</v>
      </c>
      <c r="AF134" s="14">
        <v>-0.224</v>
      </c>
      <c r="AG134" s="15">
        <v>0.505</v>
      </c>
      <c r="AH134" s="15">
        <v>0.627</v>
      </c>
      <c r="AI134" s="15">
        <v>-0.55400000000000005</v>
      </c>
      <c r="AJ134" s="15">
        <v>-0.54</v>
      </c>
      <c r="AK134" s="9">
        <v>-0.61199999999999999</v>
      </c>
      <c r="AL134" s="4">
        <v>7.6999999999999999E-2</v>
      </c>
      <c r="AM134" s="4">
        <v>-1</v>
      </c>
      <c r="AN134" s="4">
        <v>0.10299999999999999</v>
      </c>
      <c r="AO134" s="4">
        <v>0.495</v>
      </c>
      <c r="AP134" s="4">
        <v>0.44400000000000001</v>
      </c>
      <c r="AQ134" s="4">
        <v>0.317</v>
      </c>
      <c r="AR134" s="4">
        <v>0.30299999999999999</v>
      </c>
      <c r="AS134" s="4">
        <v>0.39600000000000002</v>
      </c>
      <c r="AT134" s="4">
        <v>3.5000000000000003E-2</v>
      </c>
      <c r="AU134" s="4">
        <v>-0.105</v>
      </c>
      <c r="AV134" s="4">
        <v>0.129</v>
      </c>
      <c r="AW134" s="4">
        <v>0.18099999999999999</v>
      </c>
      <c r="AX134" s="4">
        <v>9.4E-2</v>
      </c>
      <c r="AY134" s="4">
        <v>-0.32700000000000001</v>
      </c>
      <c r="AZ134" s="4">
        <v>0.51800000000000002</v>
      </c>
      <c r="BA134" s="4">
        <v>-0.95099999999999996</v>
      </c>
      <c r="BB134" s="4">
        <v>0.35899999999999999</v>
      </c>
      <c r="BC134" s="4">
        <v>-0.376</v>
      </c>
      <c r="BD134" s="4">
        <v>-3.3000000000000002E-2</v>
      </c>
      <c r="BE134" s="4">
        <v>-0.251</v>
      </c>
      <c r="BF134" s="4">
        <v>-0.44500000000000001</v>
      </c>
      <c r="BG134" s="4">
        <v>0.39</v>
      </c>
      <c r="BH134" s="4">
        <v>0.19800000000000001</v>
      </c>
      <c r="BI134" s="4">
        <v>0.16500000000000001</v>
      </c>
      <c r="BJ134" s="4">
        <v>-0.77900000000000003</v>
      </c>
      <c r="BK134" s="4">
        <v>-0.99</v>
      </c>
      <c r="BL134" s="4">
        <v>0.16500000000000001</v>
      </c>
      <c r="BM134" s="4"/>
    </row>
    <row r="135" spans="1:65" hidden="1" x14ac:dyDescent="0.3">
      <c r="A135" s="19" t="s">
        <v>206</v>
      </c>
      <c r="B135" s="53">
        <f t="shared" si="11"/>
        <v>0</v>
      </c>
      <c r="C135" s="53">
        <f t="shared" si="12"/>
        <v>0</v>
      </c>
      <c r="D135" s="53">
        <f t="shared" si="13"/>
        <v>0</v>
      </c>
      <c r="E135" s="53">
        <f t="shared" si="14"/>
        <v>0</v>
      </c>
      <c r="F135" s="15">
        <v>0.62</v>
      </c>
      <c r="G135" s="19">
        <v>0.58599999999999997</v>
      </c>
      <c r="H135" s="24" t="s">
        <v>57</v>
      </c>
      <c r="I135" t="str">
        <f>VLOOKUP(A135,Planilha6!$BL$9:$BN$222,2,0)</f>
        <v>financial_services</v>
      </c>
      <c r="J135" t="str">
        <f>VLOOKUP(A135,Planilha6!$BL$9:$BN$222,3,0)</f>
        <v>very_high_beta</v>
      </c>
      <c r="K135" s="2">
        <v>0</v>
      </c>
      <c r="L135" s="2">
        <v>0</v>
      </c>
      <c r="M135" s="15">
        <v>84</v>
      </c>
      <c r="N135" s="41">
        <f>VLOOKUP(A135,'Mandato Smll'!$A$2:$C$215,2,0)</f>
        <v>0</v>
      </c>
      <c r="O135" s="59">
        <f t="shared" si="15"/>
        <v>0</v>
      </c>
      <c r="P135" s="42">
        <f t="shared" si="16"/>
        <v>0</v>
      </c>
      <c r="Q135" s="41">
        <f>VLOOKUP(A135,'Mandato Smll'!$A$2:$C$215,3,0)</f>
        <v>0</v>
      </c>
      <c r="R135" s="59">
        <f t="shared" si="17"/>
        <v>0</v>
      </c>
      <c r="S135" s="15">
        <v>-0.51200000000000001</v>
      </c>
      <c r="T135" s="15">
        <v>-0.49099999999999999</v>
      </c>
      <c r="U135" s="15">
        <v>-0.747</v>
      </c>
      <c r="V135" s="15">
        <v>-0.52300000000000002</v>
      </c>
      <c r="W135" s="15">
        <v>-0.58299999999999996</v>
      </c>
      <c r="X135" s="15">
        <v>-0.48099999999999998</v>
      </c>
      <c r="Y135" s="15">
        <v>-0.42</v>
      </c>
      <c r="Z135" s="15">
        <v>-0.628</v>
      </c>
      <c r="AA135" s="15">
        <v>0.26400000000000001</v>
      </c>
      <c r="AB135" s="15">
        <v>0.26300000000000001</v>
      </c>
      <c r="AC135" s="15">
        <v>0.66500000000000004</v>
      </c>
      <c r="AD135" s="15">
        <v>0.70699999999999996</v>
      </c>
      <c r="AE135" s="15">
        <v>0.505</v>
      </c>
      <c r="AF135" s="14">
        <v>-0.439</v>
      </c>
      <c r="AG135" s="15">
        <v>0.26600000000000001</v>
      </c>
      <c r="AH135" s="15">
        <v>-0.22800000000000001</v>
      </c>
      <c r="AI135" s="15">
        <v>-0.85099999999999998</v>
      </c>
      <c r="AJ135" s="15">
        <v>-0.91500000000000004</v>
      </c>
      <c r="AK135" s="9">
        <v>-0.93600000000000005</v>
      </c>
      <c r="AL135" s="4">
        <v>0.109</v>
      </c>
      <c r="AM135" s="4">
        <v>-0.60699999999999998</v>
      </c>
      <c r="AN135" s="4">
        <v>-0.41799999999999998</v>
      </c>
      <c r="AO135" s="4">
        <v>0.35299999999999998</v>
      </c>
      <c r="AP135" s="4">
        <v>-0.13300000000000001</v>
      </c>
      <c r="AQ135" s="4">
        <v>0.28699999999999998</v>
      </c>
      <c r="AR135" s="4">
        <v>9.7000000000000003E-2</v>
      </c>
      <c r="AS135" s="4">
        <v>5.6000000000000001E-2</v>
      </c>
      <c r="AT135" s="4">
        <v>0.5</v>
      </c>
      <c r="AU135" s="4">
        <v>1.4999999999999999E-2</v>
      </c>
      <c r="AV135" s="4">
        <v>-2.1999999999999999E-2</v>
      </c>
      <c r="AW135" s="4">
        <v>-7.3999999999999996E-2</v>
      </c>
      <c r="AX135" s="4">
        <v>6.4000000000000001E-2</v>
      </c>
      <c r="AY135" s="4">
        <v>-0.10199999999999999</v>
      </c>
      <c r="AZ135" s="4">
        <v>3.9E-2</v>
      </c>
      <c r="BA135" s="4">
        <v>0.06</v>
      </c>
      <c r="BB135" s="4">
        <v>0.54200000000000004</v>
      </c>
      <c r="BC135" s="4">
        <v>-0.308</v>
      </c>
      <c r="BD135" s="4">
        <v>2.3E-2</v>
      </c>
      <c r="BE135" s="4">
        <v>-6.9000000000000006E-2</v>
      </c>
      <c r="BF135" s="4">
        <v>1E-3</v>
      </c>
      <c r="BG135" s="4">
        <v>0.155</v>
      </c>
      <c r="BH135" s="4">
        <v>0.34799999999999998</v>
      </c>
      <c r="BI135" s="4">
        <v>-0.13</v>
      </c>
      <c r="BJ135" s="4">
        <v>0.34599999999999997</v>
      </c>
      <c r="BK135" s="4">
        <v>0.18</v>
      </c>
      <c r="BL135" s="4">
        <v>-0.5</v>
      </c>
      <c r="BM135" s="4"/>
    </row>
    <row r="136" spans="1:65" hidden="1" x14ac:dyDescent="0.3">
      <c r="A136" s="19" t="s">
        <v>130</v>
      </c>
      <c r="B136" s="53">
        <f t="shared" si="11"/>
        <v>0</v>
      </c>
      <c r="C136" s="53">
        <f t="shared" si="12"/>
        <v>0</v>
      </c>
      <c r="D136" s="53">
        <f t="shared" si="13"/>
        <v>0</v>
      </c>
      <c r="E136" s="53">
        <f t="shared" si="14"/>
        <v>0</v>
      </c>
      <c r="F136" s="15">
        <v>0.61799999999999999</v>
      </c>
      <c r="G136" s="19">
        <v>0.432</v>
      </c>
      <c r="H136" s="24" t="s">
        <v>71</v>
      </c>
      <c r="I136" t="str">
        <f>VLOOKUP(A136,Planilha6!$BL$9:$BN$222,2,0)</f>
        <v>basic_materials</v>
      </c>
      <c r="J136" t="str">
        <f>VLOOKUP(A136,Planilha6!$BL$9:$BN$222,3,0)</f>
        <v>very_high_beta</v>
      </c>
      <c r="K136" s="2">
        <v>0</v>
      </c>
      <c r="L136" s="2">
        <v>0</v>
      </c>
      <c r="M136" s="15">
        <v>84</v>
      </c>
      <c r="N136" s="41">
        <f>VLOOKUP(A136,'Mandato Smll'!$A$2:$C$215,2,0)</f>
        <v>0</v>
      </c>
      <c r="O136" s="59">
        <f t="shared" si="15"/>
        <v>0</v>
      </c>
      <c r="P136" s="42">
        <f t="shared" si="16"/>
        <v>0</v>
      </c>
      <c r="Q136" s="41">
        <f>VLOOKUP(A136,'Mandato Smll'!$A$2:$C$215,3,0)</f>
        <v>0</v>
      </c>
      <c r="R136" s="59">
        <f t="shared" si="17"/>
        <v>0</v>
      </c>
      <c r="S136" s="15">
        <v>-0.67500000000000004</v>
      </c>
      <c r="T136" s="15">
        <v>-0.375</v>
      </c>
      <c r="U136" s="15">
        <v>-0.90300000000000002</v>
      </c>
      <c r="V136" s="15">
        <v>-0.54900000000000004</v>
      </c>
      <c r="W136" s="15">
        <v>-0.622</v>
      </c>
      <c r="X136" s="15">
        <v>-0.627</v>
      </c>
      <c r="Y136" s="15">
        <v>-0.69099999999999995</v>
      </c>
      <c r="Z136" s="15">
        <v>-0.58199999999999996</v>
      </c>
      <c r="AA136" s="15">
        <v>0.60199999999999998</v>
      </c>
      <c r="AB136" s="15">
        <v>0.60099999999999998</v>
      </c>
      <c r="AC136" s="15">
        <v>0.52800000000000002</v>
      </c>
      <c r="AD136" s="15">
        <v>0.75700000000000001</v>
      </c>
      <c r="AE136" s="15">
        <v>0.61399999999999999</v>
      </c>
      <c r="AF136" s="14">
        <v>-0.66500000000000004</v>
      </c>
      <c r="AG136" s="15">
        <v>-0.80700000000000005</v>
      </c>
      <c r="AH136" s="15">
        <v>0.14499999999999999</v>
      </c>
      <c r="AI136" s="15">
        <v>-0.84499999999999997</v>
      </c>
      <c r="AJ136" s="15">
        <v>-0.40600000000000003</v>
      </c>
      <c r="AK136" s="9">
        <v>-0.96799999999999997</v>
      </c>
      <c r="AL136" s="4">
        <v>-7.0000000000000007E-2</v>
      </c>
      <c r="AM136" s="4">
        <v>-0.54</v>
      </c>
      <c r="AN136" s="4">
        <v>-0.496</v>
      </c>
      <c r="AO136" s="4">
        <v>-0.48199999999999998</v>
      </c>
      <c r="AP136" s="4">
        <v>0.79900000000000004</v>
      </c>
      <c r="AQ136" s="4">
        <v>0.86499999999999999</v>
      </c>
      <c r="AR136" s="4">
        <v>0.16400000000000001</v>
      </c>
      <c r="AS136" s="4">
        <v>-0.52200000000000002</v>
      </c>
      <c r="AT136" s="4">
        <v>-1.6E-2</v>
      </c>
      <c r="AU136" s="4">
        <v>0.25700000000000001</v>
      </c>
      <c r="AV136" s="4">
        <v>0.20699999999999999</v>
      </c>
      <c r="AW136" s="4">
        <v>0.14000000000000001</v>
      </c>
      <c r="AX136" s="4">
        <v>0.16400000000000001</v>
      </c>
      <c r="AY136" s="4">
        <v>0.158</v>
      </c>
      <c r="AZ136" s="4">
        <v>0.17299999999999999</v>
      </c>
      <c r="BA136" s="4">
        <v>8.0000000000000002E-3</v>
      </c>
      <c r="BB136" s="4">
        <v>0.46200000000000002</v>
      </c>
      <c r="BC136" s="4">
        <v>-9.8000000000000004E-2</v>
      </c>
      <c r="BD136" s="4">
        <v>0.42599999999999999</v>
      </c>
      <c r="BE136" s="4">
        <v>0.32600000000000001</v>
      </c>
      <c r="BF136" s="4">
        <v>-0.94599999999999995</v>
      </c>
      <c r="BG136" s="4">
        <v>0.35199999999999998</v>
      </c>
      <c r="BH136" s="4">
        <v>-0.70199999999999996</v>
      </c>
      <c r="BI136" s="4">
        <v>-1</v>
      </c>
      <c r="BJ136" s="4">
        <v>0.39300000000000002</v>
      </c>
      <c r="BK136" s="4">
        <v>-4.5999999999999999E-2</v>
      </c>
      <c r="BL136" s="4">
        <v>-0.56499999999999995</v>
      </c>
      <c r="BM136" s="4"/>
    </row>
    <row r="137" spans="1:65" hidden="1" x14ac:dyDescent="0.3">
      <c r="A137" s="19" t="s">
        <v>216</v>
      </c>
      <c r="B137" s="53">
        <f t="shared" si="11"/>
        <v>0</v>
      </c>
      <c r="C137" s="53">
        <f t="shared" si="12"/>
        <v>-6.0000000000000001E-3</v>
      </c>
      <c r="D137" s="53">
        <f t="shared" si="13"/>
        <v>0</v>
      </c>
      <c r="E137" s="53">
        <f t="shared" si="14"/>
        <v>6.0000000000000001E-3</v>
      </c>
      <c r="F137" s="15">
        <v>0.61699999999999999</v>
      </c>
      <c r="G137" s="19">
        <v>0.46700000000000003</v>
      </c>
      <c r="H137" s="24" t="s">
        <v>71</v>
      </c>
      <c r="I137" t="str">
        <f>VLOOKUP(A137,Planilha6!$BL$9:$BN$222,2,0)</f>
        <v>basic_materials</v>
      </c>
      <c r="J137" t="str">
        <f>VLOOKUP(A137,Planilha6!$BL$9:$BN$222,3,0)</f>
        <v>very_low_beta</v>
      </c>
      <c r="K137" s="2">
        <v>0</v>
      </c>
      <c r="L137" s="2">
        <v>-6.0000000000000001E-3</v>
      </c>
      <c r="M137" s="15">
        <v>84</v>
      </c>
      <c r="N137" s="41">
        <f>VLOOKUP(A137,'Mandato Smll'!$A$2:$C$215,2,0)</f>
        <v>0</v>
      </c>
      <c r="O137" s="59">
        <f t="shared" si="15"/>
        <v>0</v>
      </c>
      <c r="P137" s="42">
        <f t="shared" si="16"/>
        <v>0</v>
      </c>
      <c r="Q137" s="41">
        <f>VLOOKUP(A137,'Mandato Smll'!$A$2:$C$215,3,0)</f>
        <v>0</v>
      </c>
      <c r="R137" s="59">
        <f t="shared" si="17"/>
        <v>0</v>
      </c>
      <c r="S137" s="15">
        <v>-0.71699999999999997</v>
      </c>
      <c r="T137" s="15">
        <v>-0.31</v>
      </c>
      <c r="U137" s="15">
        <v>-0.84899999999999998</v>
      </c>
      <c r="V137" s="15">
        <v>-0.67700000000000005</v>
      </c>
      <c r="W137" s="15">
        <v>-0.61699999999999999</v>
      </c>
      <c r="X137" s="15">
        <v>-0.52800000000000002</v>
      </c>
      <c r="Y137" s="15">
        <v>-0.59</v>
      </c>
      <c r="Z137" s="15">
        <v>-0.71</v>
      </c>
      <c r="AA137" s="15">
        <v>0.57699999999999996</v>
      </c>
      <c r="AB137" s="15">
        <v>0.57599999999999996</v>
      </c>
      <c r="AC137" s="15">
        <v>0.46100000000000002</v>
      </c>
      <c r="AD137" s="15">
        <v>0.627</v>
      </c>
      <c r="AE137" s="15">
        <v>0.79900000000000004</v>
      </c>
      <c r="AF137" s="14">
        <v>-0.47199999999999998</v>
      </c>
      <c r="AG137" s="15">
        <v>-0.99199999999999999</v>
      </c>
      <c r="AH137" s="15">
        <v>0.71899999999999997</v>
      </c>
      <c r="AI137" s="15">
        <v>-0.72699999999999998</v>
      </c>
      <c r="AJ137" s="15">
        <v>1</v>
      </c>
      <c r="AK137" s="9">
        <v>-0.877</v>
      </c>
      <c r="AL137" s="4">
        <v>-0.186</v>
      </c>
      <c r="AM137" s="4">
        <v>-1</v>
      </c>
      <c r="AN137" s="4">
        <v>-0.44600000000000001</v>
      </c>
      <c r="AO137" s="4">
        <v>-0.13700000000000001</v>
      </c>
      <c r="AP137" s="4">
        <v>1</v>
      </c>
      <c r="AQ137" s="4">
        <v>0.89400000000000002</v>
      </c>
      <c r="AR137" s="4">
        <v>-0.53500000000000003</v>
      </c>
      <c r="AS137" s="4">
        <v>-0.48699999999999999</v>
      </c>
      <c r="AT137" s="4">
        <v>-0.27600000000000002</v>
      </c>
      <c r="AU137" s="4">
        <v>5.5E-2</v>
      </c>
      <c r="AV137" s="4">
        <v>-0.376</v>
      </c>
      <c r="AW137" s="4">
        <v>-4.5999999999999999E-2</v>
      </c>
      <c r="AX137" s="4">
        <v>-0.22900000000000001</v>
      </c>
      <c r="AY137" s="4">
        <v>-0.247</v>
      </c>
      <c r="AZ137" s="4">
        <v>0.67900000000000005</v>
      </c>
      <c r="BA137" s="4">
        <v>-0.38600000000000001</v>
      </c>
      <c r="BB137" s="4">
        <v>0.48299999999999998</v>
      </c>
      <c r="BC137" s="4">
        <v>4.5999999999999999E-2</v>
      </c>
      <c r="BD137" s="4">
        <v>-0.25600000000000001</v>
      </c>
      <c r="BE137" s="4">
        <v>0.622</v>
      </c>
      <c r="BF137" s="4">
        <v>0.34499999999999997</v>
      </c>
      <c r="BG137" s="4">
        <v>-1.0999999999999999E-2</v>
      </c>
      <c r="BH137" s="4">
        <v>1</v>
      </c>
      <c r="BI137" s="4">
        <v>-0.39100000000000001</v>
      </c>
      <c r="BJ137" s="4">
        <v>-1</v>
      </c>
      <c r="BK137" s="4">
        <v>-0.245</v>
      </c>
      <c r="BL137" s="4">
        <v>0.20899999999999999</v>
      </c>
      <c r="BM137" s="4"/>
    </row>
    <row r="138" spans="1:65" hidden="1" x14ac:dyDescent="0.3">
      <c r="A138" s="19" t="s">
        <v>194</v>
      </c>
      <c r="B138" s="53">
        <f t="shared" ref="B138:B201" si="18">K138</f>
        <v>0</v>
      </c>
      <c r="C138" s="53">
        <f t="shared" ref="C138:C201" si="19">B138-E138</f>
        <v>-0.02</v>
      </c>
      <c r="D138" s="53">
        <f t="shared" ref="D138:D201" si="20">B138-K138</f>
        <v>0</v>
      </c>
      <c r="E138" s="53">
        <f t="shared" ref="E138:E201" si="21">K138-L138</f>
        <v>0.02</v>
      </c>
      <c r="F138" s="15">
        <v>0.61599999999999999</v>
      </c>
      <c r="G138" s="19">
        <v>1.1439999999999999</v>
      </c>
      <c r="H138" s="24" t="s">
        <v>57</v>
      </c>
      <c r="I138" t="str">
        <f>VLOOKUP(A138,Planilha6!$BL$9:$BN$222,2,0)</f>
        <v>homebuilders</v>
      </c>
      <c r="J138" t="str">
        <f>VLOOKUP(A138,Planilha6!$BL$9:$BN$222,3,0)</f>
        <v>very_high_beta</v>
      </c>
      <c r="K138" s="2">
        <v>0</v>
      </c>
      <c r="L138" s="2">
        <v>-0.02</v>
      </c>
      <c r="M138" s="15">
        <v>59</v>
      </c>
      <c r="N138" s="41">
        <f>VLOOKUP(A138,'Mandato Smll'!$A$2:$C$215,2,0)</f>
        <v>0</v>
      </c>
      <c r="O138" s="59">
        <f t="shared" ref="O138:O201" si="22">K138-N138</f>
        <v>0</v>
      </c>
      <c r="P138" s="42">
        <f t="shared" ref="P138:P201" si="23">B138-N138</f>
        <v>0</v>
      </c>
      <c r="Q138" s="41">
        <f>VLOOKUP(A138,'Mandato Smll'!$A$2:$C$215,3,0)</f>
        <v>0</v>
      </c>
      <c r="R138" s="59">
        <f t="shared" ref="R138:R201" si="24">K138-Q138</f>
        <v>0</v>
      </c>
      <c r="S138" s="15">
        <v>-0.64500000000000002</v>
      </c>
      <c r="T138" s="15">
        <v>-0.51200000000000001</v>
      </c>
      <c r="U138" s="15">
        <v>-0.82699999999999996</v>
      </c>
      <c r="V138" s="15">
        <v>-0.48899999999999999</v>
      </c>
      <c r="W138" s="15">
        <v>-0.57699999999999996</v>
      </c>
      <c r="X138" s="15">
        <v>-0.53600000000000003</v>
      </c>
      <c r="Y138" s="15">
        <v>-0.45100000000000001</v>
      </c>
      <c r="Z138" s="15">
        <v>-0.443</v>
      </c>
      <c r="AA138" s="15">
        <v>0.246</v>
      </c>
      <c r="AB138" s="15">
        <v>0.247</v>
      </c>
      <c r="AC138" s="15">
        <v>0.72299999999999998</v>
      </c>
      <c r="AD138" s="15">
        <v>0.66400000000000003</v>
      </c>
      <c r="AE138" s="15">
        <v>0.43099999999999999</v>
      </c>
      <c r="AF138" s="14">
        <v>-0.48299999999999998</v>
      </c>
      <c r="AG138" s="15">
        <v>0.32800000000000001</v>
      </c>
      <c r="AH138" s="15">
        <v>-0.157</v>
      </c>
      <c r="AI138" s="15">
        <v>-0.64200000000000002</v>
      </c>
      <c r="AJ138" s="15">
        <v>-0.53400000000000003</v>
      </c>
      <c r="AK138" s="9">
        <v>-0.82799999999999996</v>
      </c>
      <c r="AL138" s="4">
        <v>-0.27300000000000002</v>
      </c>
      <c r="AM138" s="4">
        <v>3.5000000000000003E-2</v>
      </c>
      <c r="AN138" s="4">
        <v>-0.38300000000000001</v>
      </c>
      <c r="AO138" s="4">
        <v>0.217</v>
      </c>
      <c r="AP138" s="4">
        <v>-6.7000000000000004E-2</v>
      </c>
      <c r="AQ138" s="4">
        <v>0.27300000000000002</v>
      </c>
      <c r="AR138" s="4">
        <v>0.45500000000000002</v>
      </c>
      <c r="AS138" s="4">
        <v>0.183</v>
      </c>
      <c r="AT138" s="4">
        <v>0.57399999999999995</v>
      </c>
      <c r="AU138" s="4">
        <v>0.14799999999999999</v>
      </c>
      <c r="AV138" s="4">
        <v>-6.9000000000000006E-2</v>
      </c>
      <c r="AW138" s="4">
        <v>-0.26200000000000001</v>
      </c>
      <c r="AX138" s="4">
        <v>-0.16200000000000001</v>
      </c>
      <c r="AY138" s="4">
        <v>-0.17199999999999999</v>
      </c>
      <c r="AZ138" s="4">
        <v>0.84399999999999997</v>
      </c>
      <c r="BA138" s="4">
        <v>9.8000000000000004E-2</v>
      </c>
      <c r="BB138" s="4">
        <v>0.107</v>
      </c>
      <c r="BC138" s="4">
        <v>-0.70899999999999996</v>
      </c>
      <c r="BD138" s="4">
        <v>-0.61299999999999999</v>
      </c>
      <c r="BE138" s="4">
        <v>-8.6999999999999994E-2</v>
      </c>
      <c r="BF138" s="4">
        <v>0.248</v>
      </c>
      <c r="BG138" s="4">
        <v>6.4000000000000001E-2</v>
      </c>
      <c r="BH138" s="4">
        <v>0.106</v>
      </c>
      <c r="BI138" s="4">
        <v>-0.61299999999999999</v>
      </c>
      <c r="BJ138" s="4">
        <v>0.80800000000000005</v>
      </c>
      <c r="BK138" s="4">
        <v>-0.73</v>
      </c>
      <c r="BL138" s="4">
        <v>-0.38700000000000001</v>
      </c>
      <c r="BM138" s="4"/>
    </row>
    <row r="139" spans="1:65" hidden="1" x14ac:dyDescent="0.3">
      <c r="A139" s="19" t="s">
        <v>153</v>
      </c>
      <c r="B139" s="53">
        <f t="shared" si="18"/>
        <v>0</v>
      </c>
      <c r="C139" s="53">
        <f t="shared" si="19"/>
        <v>0</v>
      </c>
      <c r="D139" s="53">
        <f t="shared" si="20"/>
        <v>0</v>
      </c>
      <c r="E139" s="53">
        <f t="shared" si="21"/>
        <v>0</v>
      </c>
      <c r="F139" s="15">
        <v>0.61499999999999999</v>
      </c>
      <c r="G139" s="19">
        <v>0.63500000000000001</v>
      </c>
      <c r="H139" s="24" t="s">
        <v>57</v>
      </c>
      <c r="I139" t="str">
        <f>VLOOKUP(A139,Planilha6!$BL$9:$BN$222,2,0)</f>
        <v>consumer_services</v>
      </c>
      <c r="J139" t="str">
        <f>VLOOKUP(A139,Planilha6!$BL$9:$BN$222,3,0)</f>
        <v>very_low_beta</v>
      </c>
      <c r="K139" s="2">
        <v>0</v>
      </c>
      <c r="L139" s="2">
        <v>0</v>
      </c>
      <c r="M139" s="15">
        <v>22</v>
      </c>
      <c r="N139" s="41">
        <f>VLOOKUP(A139,'Mandato Smll'!$A$2:$C$215,2,0)</f>
        <v>0</v>
      </c>
      <c r="O139" s="59">
        <f t="shared" si="22"/>
        <v>0</v>
      </c>
      <c r="P139" s="42">
        <f t="shared" si="23"/>
        <v>0</v>
      </c>
      <c r="Q139" s="41">
        <f>VLOOKUP(A139,'Mandato Smll'!$A$2:$C$215,3,0)</f>
        <v>7.4953988516436396E-3</v>
      </c>
      <c r="R139" s="59">
        <f t="shared" si="24"/>
        <v>-7.4953988516436396E-3</v>
      </c>
      <c r="S139" s="15">
        <v>-0.78</v>
      </c>
      <c r="T139" s="15">
        <v>-0.36</v>
      </c>
      <c r="U139" s="15">
        <v>-0.94399999999999995</v>
      </c>
      <c r="V139" s="15">
        <v>-0.59199999999999997</v>
      </c>
      <c r="W139" s="15">
        <v>-0.63100000000000001</v>
      </c>
      <c r="X139" s="15">
        <v>-0.61499999999999999</v>
      </c>
      <c r="Y139" s="15">
        <v>-0.53100000000000003</v>
      </c>
      <c r="Z139" s="15">
        <v>-0.54600000000000004</v>
      </c>
      <c r="AA139" s="15">
        <v>0.61499999999999999</v>
      </c>
      <c r="AB139" s="15">
        <v>0.62</v>
      </c>
      <c r="AC139" s="15">
        <v>0.57499999999999996</v>
      </c>
      <c r="AD139" s="15">
        <v>0.72599999999999998</v>
      </c>
      <c r="AE139" s="15">
        <v>0.59499999999999997</v>
      </c>
      <c r="AF139" s="14">
        <v>-0.64700000000000002</v>
      </c>
      <c r="AG139" s="15">
        <v>-0.52300000000000002</v>
      </c>
      <c r="AH139" s="15">
        <v>0.53200000000000003</v>
      </c>
      <c r="AI139" s="15">
        <v>-0.91100000000000003</v>
      </c>
      <c r="AJ139" s="15">
        <v>-0.38900000000000001</v>
      </c>
      <c r="AK139" s="9">
        <v>-0.95199999999999996</v>
      </c>
      <c r="AL139" s="4">
        <v>-0.01</v>
      </c>
      <c r="AM139" s="4">
        <v>-0.45500000000000002</v>
      </c>
      <c r="AN139" s="4">
        <v>-0.47499999999999998</v>
      </c>
      <c r="AO139" s="4">
        <v>-5.5E-2</v>
      </c>
      <c r="AP139" s="4">
        <v>0.56599999999999995</v>
      </c>
      <c r="AQ139" s="4">
        <v>0.91400000000000003</v>
      </c>
      <c r="AR139" s="4">
        <v>0.32400000000000001</v>
      </c>
      <c r="AS139" s="4">
        <v>-0.63</v>
      </c>
      <c r="AT139" s="4">
        <v>-0.63700000000000001</v>
      </c>
      <c r="AU139" s="4">
        <v>0.52600000000000002</v>
      </c>
      <c r="AV139" s="4">
        <v>-0.49299999999999999</v>
      </c>
      <c r="AW139" s="4">
        <v>-0.16200000000000001</v>
      </c>
      <c r="AX139" s="4">
        <v>8.5999999999999993E-2</v>
      </c>
      <c r="AY139" s="4">
        <v>-0.224</v>
      </c>
      <c r="AZ139" s="4">
        <v>0.92700000000000005</v>
      </c>
      <c r="BA139" s="4">
        <v>-0.26700000000000002</v>
      </c>
      <c r="BB139" s="4">
        <v>0.63700000000000001</v>
      </c>
      <c r="BC139" s="4">
        <v>-0.438</v>
      </c>
      <c r="BD139" s="4">
        <v>-0.64200000000000002</v>
      </c>
      <c r="BE139" s="4">
        <v>0.17499999999999999</v>
      </c>
      <c r="BF139" s="4">
        <v>-0.39800000000000002</v>
      </c>
      <c r="BG139" s="4">
        <v>0.29699999999999999</v>
      </c>
      <c r="BH139" s="4">
        <v>0.65800000000000003</v>
      </c>
      <c r="BI139" s="4">
        <v>-0.57999999999999996</v>
      </c>
      <c r="BJ139" s="4">
        <v>-0.57599999999999996</v>
      </c>
      <c r="BK139" s="4">
        <v>-0.218</v>
      </c>
      <c r="BL139" s="4">
        <v>-0.38900000000000001</v>
      </c>
      <c r="BM139" s="4"/>
    </row>
    <row r="140" spans="1:65" hidden="1" x14ac:dyDescent="0.3">
      <c r="A140" s="19" t="s">
        <v>222</v>
      </c>
      <c r="B140" s="53">
        <f t="shared" si="18"/>
        <v>0</v>
      </c>
      <c r="C140" s="53">
        <f t="shared" si="19"/>
        <v>0</v>
      </c>
      <c r="D140" s="53">
        <f t="shared" si="20"/>
        <v>0</v>
      </c>
      <c r="E140" s="53">
        <f t="shared" si="21"/>
        <v>0</v>
      </c>
      <c r="F140" s="15">
        <v>0.61199999999999999</v>
      </c>
      <c r="G140" s="19">
        <v>0.628</v>
      </c>
      <c r="H140" s="24" t="s">
        <v>71</v>
      </c>
      <c r="I140" t="str">
        <f>VLOOKUP(A140,Planilha6!$BL$9:$BN$222,2,0)</f>
        <v>basic_materials</v>
      </c>
      <c r="J140" t="str">
        <f>VLOOKUP(A140,Planilha6!$BL$9:$BN$222,3,0)</f>
        <v>very_low_beta</v>
      </c>
      <c r="K140" s="2">
        <v>0</v>
      </c>
      <c r="L140" s="2">
        <v>0</v>
      </c>
      <c r="M140" s="15">
        <v>25</v>
      </c>
      <c r="N140" s="41">
        <f>VLOOKUP(A140,'Mandato Smll'!$A$2:$C$215,2,0)</f>
        <v>0</v>
      </c>
      <c r="O140" s="59">
        <f t="shared" si="22"/>
        <v>0</v>
      </c>
      <c r="P140" s="42">
        <f t="shared" si="23"/>
        <v>0</v>
      </c>
      <c r="Q140" s="41">
        <f>VLOOKUP(A140,'Mandato Smll'!$A$2:$C$215,3,0)</f>
        <v>0</v>
      </c>
      <c r="R140" s="59">
        <f t="shared" si="24"/>
        <v>0</v>
      </c>
      <c r="S140" s="15">
        <v>-0.85699999999999998</v>
      </c>
      <c r="T140" s="15">
        <v>-0.59099999999999997</v>
      </c>
      <c r="U140" s="15">
        <v>-0.98099999999999998</v>
      </c>
      <c r="V140" s="15">
        <v>-0.71399999999999997</v>
      </c>
      <c r="W140" s="15">
        <v>-0.748</v>
      </c>
      <c r="X140" s="15">
        <v>-0.505</v>
      </c>
      <c r="Y140" s="15">
        <v>-0.13600000000000001</v>
      </c>
      <c r="Z140" s="15">
        <v>-0.55800000000000005</v>
      </c>
      <c r="AA140" s="15">
        <v>0.80300000000000005</v>
      </c>
      <c r="AB140" s="15">
        <v>0.80700000000000005</v>
      </c>
      <c r="AC140" s="15">
        <v>0.67100000000000004</v>
      </c>
      <c r="AD140" s="15">
        <v>0.68799999999999994</v>
      </c>
      <c r="AE140" s="15">
        <v>0.44600000000000001</v>
      </c>
      <c r="AF140" s="14">
        <v>-0.53300000000000003</v>
      </c>
      <c r="AG140" s="15">
        <v>-0.54800000000000004</v>
      </c>
      <c r="AH140" s="15">
        <v>-0.14899999999999999</v>
      </c>
      <c r="AI140" s="15">
        <v>-0.86799999999999999</v>
      </c>
      <c r="AJ140" s="15">
        <v>-0.94</v>
      </c>
      <c r="AK140" s="9">
        <v>-1</v>
      </c>
      <c r="AL140" s="4">
        <v>0.13200000000000001</v>
      </c>
      <c r="AM140" s="4">
        <v>-0.56999999999999995</v>
      </c>
      <c r="AN140" s="4">
        <v>-0.36399999999999999</v>
      </c>
      <c r="AO140" s="4">
        <v>9.9000000000000005E-2</v>
      </c>
      <c r="AP140" s="4">
        <v>4.8000000000000001E-2</v>
      </c>
      <c r="AQ140" s="4">
        <v>-0.16700000000000001</v>
      </c>
      <c r="AR140" s="4">
        <v>-0.312</v>
      </c>
      <c r="AS140" s="4">
        <v>0.47299999999999998</v>
      </c>
      <c r="AT140" s="4">
        <v>2.3E-2</v>
      </c>
      <c r="AU140" s="4">
        <v>0.24099999999999999</v>
      </c>
      <c r="AV140" s="4">
        <v>0.219</v>
      </c>
      <c r="AW140" s="4">
        <v>-0.23899999999999999</v>
      </c>
      <c r="AX140" s="4">
        <v>0.95799999999999996</v>
      </c>
      <c r="AY140" s="4">
        <v>-0.41099999999999998</v>
      </c>
      <c r="AZ140" s="4">
        <v>0.38700000000000001</v>
      </c>
      <c r="BA140" s="4">
        <v>-1</v>
      </c>
      <c r="BB140" s="4">
        <v>-0.48499999999999999</v>
      </c>
      <c r="BC140" s="4">
        <v>-0.123</v>
      </c>
      <c r="BD140" s="4">
        <v>-0.26300000000000001</v>
      </c>
      <c r="BE140" s="4">
        <v>0.126</v>
      </c>
      <c r="BF140" s="4">
        <v>1</v>
      </c>
      <c r="BG140" s="4">
        <v>0.88500000000000001</v>
      </c>
      <c r="BH140" s="4">
        <v>0.84399999999999997</v>
      </c>
      <c r="BI140" s="4">
        <v>-0.24399999999999999</v>
      </c>
      <c r="BJ140" s="4">
        <v>-0.64700000000000002</v>
      </c>
      <c r="BK140" s="4">
        <v>-0.34200000000000003</v>
      </c>
      <c r="BL140" s="4">
        <v>-0.67</v>
      </c>
      <c r="BM140" s="4"/>
    </row>
    <row r="141" spans="1:65" hidden="1" x14ac:dyDescent="0.3">
      <c r="A141" s="19" t="s">
        <v>179</v>
      </c>
      <c r="B141" s="53">
        <f t="shared" si="18"/>
        <v>0</v>
      </c>
      <c r="C141" s="53">
        <f t="shared" si="19"/>
        <v>-0.01</v>
      </c>
      <c r="D141" s="53">
        <f t="shared" si="20"/>
        <v>0</v>
      </c>
      <c r="E141" s="53">
        <f t="shared" si="21"/>
        <v>0.01</v>
      </c>
      <c r="F141" s="15">
        <v>0.61</v>
      </c>
      <c r="G141" s="19">
        <v>0.59</v>
      </c>
      <c r="H141" s="24" t="s">
        <v>71</v>
      </c>
      <c r="I141" t="str">
        <f>VLOOKUP(A141,Planilha6!$BL$9:$BN$222,2,0)</f>
        <v>basic_materials</v>
      </c>
      <c r="J141" t="str">
        <f>VLOOKUP(A141,Planilha6!$BL$9:$BN$222,3,0)</f>
        <v>neutral_beta</v>
      </c>
      <c r="K141" s="2">
        <v>0</v>
      </c>
      <c r="L141" s="2">
        <v>-0.01</v>
      </c>
      <c r="M141" s="15">
        <v>72</v>
      </c>
      <c r="N141" s="41">
        <f>VLOOKUP(A141,'Mandato Smll'!$A$2:$C$215,2,0)</f>
        <v>0</v>
      </c>
      <c r="O141" s="59">
        <f t="shared" si="22"/>
        <v>0</v>
      </c>
      <c r="P141" s="42">
        <f t="shared" si="23"/>
        <v>0</v>
      </c>
      <c r="Q141" s="41">
        <f>VLOOKUP(A141,'Mandato Smll'!$A$2:$C$215,3,0)</f>
        <v>0</v>
      </c>
      <c r="R141" s="59">
        <f t="shared" si="24"/>
        <v>0</v>
      </c>
      <c r="S141" s="15">
        <v>-0.65600000000000003</v>
      </c>
      <c r="T141" s="15">
        <v>-0.63600000000000001</v>
      </c>
      <c r="U141" s="15">
        <v>-0.84699999999999998</v>
      </c>
      <c r="V141" s="15">
        <v>-0.53200000000000003</v>
      </c>
      <c r="W141" s="15">
        <v>-0.67200000000000004</v>
      </c>
      <c r="X141" s="15">
        <v>-0.61099999999999999</v>
      </c>
      <c r="Y141" s="15">
        <v>-0.69899999999999995</v>
      </c>
      <c r="Z141" s="15">
        <v>-0.73699999999999999</v>
      </c>
      <c r="AA141" s="15">
        <v>0.60299999999999998</v>
      </c>
      <c r="AB141" s="15">
        <v>0.60799999999999998</v>
      </c>
      <c r="AC141" s="15">
        <v>0.61399999999999999</v>
      </c>
      <c r="AD141" s="15">
        <v>0.90600000000000003</v>
      </c>
      <c r="AE141" s="15">
        <v>0.69299999999999995</v>
      </c>
      <c r="AF141" s="14">
        <v>-0.215</v>
      </c>
      <c r="AG141" s="15">
        <v>-0.22600000000000001</v>
      </c>
      <c r="AH141" s="15">
        <v>0.77800000000000002</v>
      </c>
      <c r="AI141" s="15">
        <v>-0.52100000000000002</v>
      </c>
      <c r="AJ141" s="15">
        <v>-0.42399999999999999</v>
      </c>
      <c r="AK141" s="9">
        <v>-0.86199999999999999</v>
      </c>
      <c r="AL141" s="4">
        <v>-0.34399999999999997</v>
      </c>
      <c r="AM141" s="4">
        <v>-0.63600000000000001</v>
      </c>
      <c r="AN141" s="4">
        <v>0.5</v>
      </c>
      <c r="AO141" s="4">
        <v>-0.52800000000000002</v>
      </c>
      <c r="AP141" s="4">
        <v>0.505</v>
      </c>
      <c r="AQ141" s="4">
        <v>-9.8000000000000004E-2</v>
      </c>
      <c r="AR141" s="4">
        <v>-0.434</v>
      </c>
      <c r="AS141" s="4">
        <v>0.748</v>
      </c>
      <c r="AT141" s="4">
        <v>0.43099999999999999</v>
      </c>
      <c r="AU141" s="4">
        <v>-0.109</v>
      </c>
      <c r="AV141" s="4">
        <v>-0.60299999999999998</v>
      </c>
      <c r="AW141" s="4">
        <v>-9.2999999999999999E-2</v>
      </c>
      <c r="AX141" s="4">
        <v>-5.3999999999999999E-2</v>
      </c>
      <c r="AY141" s="4">
        <v>-0.159</v>
      </c>
      <c r="AZ141" s="4">
        <v>0.753</v>
      </c>
      <c r="BA141" s="4">
        <v>-1</v>
      </c>
      <c r="BB141" s="4">
        <v>0.26400000000000001</v>
      </c>
      <c r="BC141" s="4">
        <v>0.45700000000000002</v>
      </c>
      <c r="BD141" s="4">
        <v>0.16300000000000001</v>
      </c>
      <c r="BE141" s="4">
        <v>0.314</v>
      </c>
      <c r="BF141" s="4">
        <v>-2.5000000000000001E-2</v>
      </c>
      <c r="BG141" s="4">
        <v>0.23799999999999999</v>
      </c>
      <c r="BH141" s="4">
        <v>0.39200000000000002</v>
      </c>
      <c r="BI141" s="4">
        <v>0.03</v>
      </c>
      <c r="BJ141" s="4">
        <v>-0.26700000000000002</v>
      </c>
      <c r="BK141" s="4">
        <v>-0.40200000000000002</v>
      </c>
      <c r="BL141" s="4">
        <v>0.11799999999999999</v>
      </c>
      <c r="BM141" s="4"/>
    </row>
    <row r="142" spans="1:65" hidden="1" x14ac:dyDescent="0.3">
      <c r="A142" s="19" t="s">
        <v>190</v>
      </c>
      <c r="B142" s="53">
        <f t="shared" si="18"/>
        <v>0</v>
      </c>
      <c r="C142" s="53">
        <f t="shared" si="19"/>
        <v>-3.0000000000000001E-3</v>
      </c>
      <c r="D142" s="53">
        <f t="shared" si="20"/>
        <v>0</v>
      </c>
      <c r="E142" s="53">
        <f t="shared" si="21"/>
        <v>3.0000000000000001E-3</v>
      </c>
      <c r="F142" s="15">
        <v>0.60699999999999998</v>
      </c>
      <c r="G142" s="19">
        <v>0.433</v>
      </c>
      <c r="H142" s="24" t="s">
        <v>68</v>
      </c>
      <c r="I142" t="str">
        <f>VLOOKUP(A142,Planilha6!$BL$9:$BN$222,2,0)</f>
        <v>capital_goods</v>
      </c>
      <c r="J142" t="str">
        <f>VLOOKUP(A142,Planilha6!$BL$9:$BN$222,3,0)</f>
        <v>very_high_beta</v>
      </c>
      <c r="K142" s="2">
        <v>0</v>
      </c>
      <c r="L142" s="2">
        <v>-3.0000000000000001E-3</v>
      </c>
      <c r="M142" s="15">
        <v>84</v>
      </c>
      <c r="N142" s="41">
        <f>VLOOKUP(A142,'Mandato Smll'!$A$2:$C$215,2,0)</f>
        <v>0</v>
      </c>
      <c r="O142" s="59">
        <f t="shared" si="22"/>
        <v>0</v>
      </c>
      <c r="P142" s="42">
        <f t="shared" si="23"/>
        <v>0</v>
      </c>
      <c r="Q142" s="41">
        <f>VLOOKUP(A142,'Mandato Smll'!$A$2:$C$215,3,0)</f>
        <v>0</v>
      </c>
      <c r="R142" s="59">
        <f t="shared" si="24"/>
        <v>0</v>
      </c>
      <c r="S142" s="15">
        <v>-0.22900000000000001</v>
      </c>
      <c r="T142" s="15">
        <v>-0.626</v>
      </c>
      <c r="U142" s="15">
        <v>-0.24099999999999999</v>
      </c>
      <c r="V142" s="15">
        <v>-0.46300000000000002</v>
      </c>
      <c r="W142" s="15">
        <v>-0.58199999999999996</v>
      </c>
      <c r="X142" s="15">
        <v>-0.74199999999999999</v>
      </c>
      <c r="Y142" s="15">
        <v>-0.78400000000000003</v>
      </c>
      <c r="Z142" s="15">
        <v>-0.72899999999999998</v>
      </c>
      <c r="AA142" s="15">
        <v>0.193</v>
      </c>
      <c r="AB142" s="15">
        <v>0.188</v>
      </c>
      <c r="AC142" s="15">
        <v>0.64900000000000002</v>
      </c>
      <c r="AD142" s="15">
        <v>0.17899999999999999</v>
      </c>
      <c r="AE142" s="15">
        <v>0.47799999999999998</v>
      </c>
      <c r="AF142" s="14">
        <v>-0.60099999999999998</v>
      </c>
      <c r="AG142" s="15">
        <v>-0.215</v>
      </c>
      <c r="AH142" s="15">
        <v>0.26500000000000001</v>
      </c>
      <c r="AI142" s="15">
        <v>-8.6999999999999994E-2</v>
      </c>
      <c r="AJ142" s="15">
        <v>1</v>
      </c>
      <c r="AK142" s="9">
        <v>-0.68</v>
      </c>
      <c r="AL142" s="4">
        <v>-0.19800000000000001</v>
      </c>
      <c r="AM142" s="4">
        <v>-5.1999999999999998E-2</v>
      </c>
      <c r="AN142" s="4">
        <v>-0.38900000000000001</v>
      </c>
      <c r="AO142" s="4">
        <v>0.56200000000000006</v>
      </c>
      <c r="AP142" s="4">
        <v>0.54800000000000004</v>
      </c>
      <c r="AQ142" s="4">
        <v>0.58299999999999996</v>
      </c>
      <c r="AR142" s="4">
        <v>-6.5000000000000002E-2</v>
      </c>
      <c r="AS142" s="4">
        <v>0.50600000000000001</v>
      </c>
      <c r="AT142" s="4">
        <v>0.24299999999999999</v>
      </c>
      <c r="AU142" s="4">
        <v>2.1999999999999999E-2</v>
      </c>
      <c r="AV142" s="4">
        <v>-0.10100000000000001</v>
      </c>
      <c r="AW142" s="4">
        <v>-0.33300000000000002</v>
      </c>
      <c r="AX142" s="4">
        <v>-0.66700000000000004</v>
      </c>
      <c r="AY142" s="4">
        <v>-9.2999999999999999E-2</v>
      </c>
      <c r="AZ142" s="4">
        <v>0.44700000000000001</v>
      </c>
      <c r="BA142" s="4">
        <v>-0.79100000000000004</v>
      </c>
      <c r="BB142" s="4">
        <v>-0.38900000000000001</v>
      </c>
      <c r="BC142" s="4">
        <v>-0.29399999999999998</v>
      </c>
      <c r="BD142" s="4">
        <v>-0.251</v>
      </c>
      <c r="BE142" s="4">
        <v>0.121</v>
      </c>
      <c r="BF142" s="4">
        <v>-0.41499999999999998</v>
      </c>
      <c r="BG142" s="4">
        <v>-1</v>
      </c>
      <c r="BH142" s="4">
        <v>-0.85299999999999998</v>
      </c>
      <c r="BI142" s="4">
        <v>0.39500000000000002</v>
      </c>
      <c r="BJ142" s="4">
        <v>1</v>
      </c>
      <c r="BK142" s="4">
        <v>0.60599999999999998</v>
      </c>
      <c r="BL142" s="4">
        <v>0.28499999999999998</v>
      </c>
      <c r="BM142" s="4"/>
    </row>
    <row r="143" spans="1:65" hidden="1" x14ac:dyDescent="0.3">
      <c r="A143" s="19" t="s">
        <v>141</v>
      </c>
      <c r="B143" s="53">
        <f t="shared" si="18"/>
        <v>0</v>
      </c>
      <c r="C143" s="53">
        <f t="shared" si="19"/>
        <v>-8.9999999999999993E-3</v>
      </c>
      <c r="D143" s="53">
        <f t="shared" si="20"/>
        <v>0</v>
      </c>
      <c r="E143" s="53">
        <f t="shared" si="21"/>
        <v>8.9999999999999993E-3</v>
      </c>
      <c r="F143" s="15">
        <v>0.60399999999999998</v>
      </c>
      <c r="G143" s="19">
        <v>0.51200000000000001</v>
      </c>
      <c r="H143" s="24" t="s">
        <v>57</v>
      </c>
      <c r="I143" t="str">
        <f>VLOOKUP(A143,Planilha6!$BL$9:$BN$222,2,0)</f>
        <v>education</v>
      </c>
      <c r="J143" t="str">
        <f>VLOOKUP(A143,Planilha6!$BL$9:$BN$222,3,0)</f>
        <v>high_beta</v>
      </c>
      <c r="K143" s="2">
        <v>0</v>
      </c>
      <c r="L143" s="2">
        <v>-8.9999999999999993E-3</v>
      </c>
      <c r="M143" s="15">
        <v>75</v>
      </c>
      <c r="N143" s="41">
        <f>VLOOKUP(A143,'Mandato Smll'!$A$2:$C$215,2,0)</f>
        <v>0</v>
      </c>
      <c r="O143" s="59">
        <f t="shared" si="22"/>
        <v>0</v>
      </c>
      <c r="P143" s="42">
        <f t="shared" si="23"/>
        <v>0</v>
      </c>
      <c r="Q143" s="41">
        <f>VLOOKUP(A143,'Mandato Smll'!$A$2:$C$215,3,0)</f>
        <v>0</v>
      </c>
      <c r="R143" s="59">
        <f t="shared" si="24"/>
        <v>0</v>
      </c>
      <c r="S143" s="15">
        <v>-0.434</v>
      </c>
      <c r="T143" s="15">
        <v>-0.56799999999999995</v>
      </c>
      <c r="U143" s="15">
        <v>-0.41699999999999998</v>
      </c>
      <c r="V143" s="15">
        <v>-0.33200000000000002</v>
      </c>
      <c r="W143" s="15">
        <v>-0.41699999999999998</v>
      </c>
      <c r="X143" s="15">
        <v>-0.44600000000000001</v>
      </c>
      <c r="Y143" s="15">
        <v>-0.375</v>
      </c>
      <c r="Z143" s="15">
        <v>-0.49299999999999999</v>
      </c>
      <c r="AA143" s="15">
        <v>-9.6000000000000002E-2</v>
      </c>
      <c r="AB143" s="15">
        <v>-9.4E-2</v>
      </c>
      <c r="AC143" s="15">
        <v>0.54400000000000004</v>
      </c>
      <c r="AD143" s="15">
        <v>0.56000000000000005</v>
      </c>
      <c r="AE143" s="15">
        <v>0.16</v>
      </c>
      <c r="AF143" s="14">
        <v>0.376</v>
      </c>
      <c r="AG143" s="15">
        <v>0.42899999999999999</v>
      </c>
      <c r="AH143" s="15">
        <v>-0.59599999999999997</v>
      </c>
      <c r="AI143" s="15">
        <v>9.7000000000000003E-2</v>
      </c>
      <c r="AJ143" s="15">
        <v>-0.61599999999999999</v>
      </c>
      <c r="AK143" s="9">
        <v>0.58899999999999997</v>
      </c>
      <c r="AL143" s="4">
        <v>0.27800000000000002</v>
      </c>
      <c r="AM143" s="4">
        <v>-0.17100000000000001</v>
      </c>
      <c r="AN143" s="4">
        <v>-0.39200000000000002</v>
      </c>
      <c r="AO143" s="4">
        <v>0.79400000000000004</v>
      </c>
      <c r="AP143" s="4">
        <v>-0.41199999999999998</v>
      </c>
      <c r="AQ143" s="4">
        <v>-0.44400000000000001</v>
      </c>
      <c r="AR143" s="4">
        <v>0.437</v>
      </c>
      <c r="AS143" s="4">
        <v>-0.92500000000000004</v>
      </c>
      <c r="AT143" s="4">
        <v>-0.56299999999999994</v>
      </c>
      <c r="AU143" s="4">
        <v>0.30399999999999999</v>
      </c>
      <c r="AV143" s="4">
        <v>-2.4E-2</v>
      </c>
      <c r="AW143" s="4">
        <v>0.30199999999999999</v>
      </c>
      <c r="AX143" s="4">
        <v>-0.44600000000000001</v>
      </c>
      <c r="AY143" s="4">
        <v>-0.432</v>
      </c>
      <c r="AZ143" s="4">
        <v>0.79900000000000004</v>
      </c>
      <c r="BA143" s="4">
        <v>0.27800000000000002</v>
      </c>
      <c r="BB143" s="4">
        <v>-0.15</v>
      </c>
      <c r="BC143" s="4">
        <v>0.24299999999999999</v>
      </c>
      <c r="BD143" s="4">
        <v>6.5000000000000002E-2</v>
      </c>
      <c r="BE143" s="4">
        <v>0.111</v>
      </c>
      <c r="BF143" s="4">
        <v>-0.34599999999999997</v>
      </c>
      <c r="BG143" s="4">
        <v>-7.6999999999999999E-2</v>
      </c>
      <c r="BH143" s="4">
        <v>0.316</v>
      </c>
      <c r="BI143" s="4">
        <v>-0.124</v>
      </c>
      <c r="BJ143" s="4">
        <v>0.27100000000000002</v>
      </c>
      <c r="BK143" s="4">
        <v>-0.54300000000000004</v>
      </c>
      <c r="BL143" s="4">
        <v>7.0000000000000001E-3</v>
      </c>
      <c r="BM143" s="4"/>
    </row>
    <row r="144" spans="1:65" hidden="1" x14ac:dyDescent="0.3">
      <c r="A144" s="19" t="s">
        <v>193</v>
      </c>
      <c r="B144" s="53">
        <f t="shared" si="18"/>
        <v>0</v>
      </c>
      <c r="C144" s="53">
        <f t="shared" si="19"/>
        <v>0</v>
      </c>
      <c r="D144" s="53">
        <f t="shared" si="20"/>
        <v>0</v>
      </c>
      <c r="E144" s="53">
        <f t="shared" si="21"/>
        <v>0</v>
      </c>
      <c r="F144" s="15">
        <v>0.60299999999999998</v>
      </c>
      <c r="G144" s="19">
        <v>0.81899999999999995</v>
      </c>
      <c r="H144" s="24" t="s">
        <v>55</v>
      </c>
      <c r="I144" t="str">
        <f>VLOOKUP(A144,Planilha6!$BL$9:$BN$222,2,0)</f>
        <v>utilities</v>
      </c>
      <c r="J144" t="str">
        <f>VLOOKUP(A144,Planilha6!$BL$9:$BN$222,3,0)</f>
        <v>neutral_beta</v>
      </c>
      <c r="K144" s="2">
        <v>0</v>
      </c>
      <c r="L144" s="2">
        <v>0</v>
      </c>
      <c r="M144" s="15">
        <v>32</v>
      </c>
      <c r="N144" s="41">
        <f>VLOOKUP(A144,'Mandato Smll'!$A$2:$C$215,2,0)</f>
        <v>0</v>
      </c>
      <c r="O144" s="59">
        <f t="shared" si="22"/>
        <v>0</v>
      </c>
      <c r="P144" s="42">
        <f t="shared" si="23"/>
        <v>0</v>
      </c>
      <c r="Q144" s="41">
        <f>VLOOKUP(A144,'Mandato Smll'!$A$2:$C$215,3,0)</f>
        <v>7.6426531660953104E-3</v>
      </c>
      <c r="R144" s="59">
        <f t="shared" si="24"/>
        <v>-7.6426531660953104E-3</v>
      </c>
      <c r="S144" s="15">
        <v>-0.86499999999999999</v>
      </c>
      <c r="T144" s="15">
        <v>-0.29099999999999998</v>
      </c>
      <c r="U144" s="15">
        <v>-0.94699999999999995</v>
      </c>
      <c r="V144" s="15">
        <v>-0.749</v>
      </c>
      <c r="W144" s="15">
        <v>-0.64300000000000002</v>
      </c>
      <c r="X144" s="15">
        <v>-0.625</v>
      </c>
      <c r="Y144" s="15">
        <v>-0.41099999999999998</v>
      </c>
      <c r="Z144" s="15">
        <v>-0.39500000000000002</v>
      </c>
      <c r="AA144" s="15">
        <v>0.435</v>
      </c>
      <c r="AB144" s="15">
        <v>0.44400000000000001</v>
      </c>
      <c r="AC144" s="15">
        <v>0.64500000000000002</v>
      </c>
      <c r="AD144" s="15">
        <v>0.55200000000000005</v>
      </c>
      <c r="AE144" s="15">
        <v>0.46100000000000002</v>
      </c>
      <c r="AF144" s="14">
        <v>-0.83399999999999996</v>
      </c>
      <c r="AG144" s="15">
        <v>-0.77700000000000002</v>
      </c>
      <c r="AH144" s="15">
        <v>0.69</v>
      </c>
      <c r="AI144" s="15">
        <v>-0.89600000000000002</v>
      </c>
      <c r="AJ144" s="15">
        <v>-0.39400000000000002</v>
      </c>
      <c r="AK144" s="9">
        <v>-0.98599999999999999</v>
      </c>
      <c r="AL144" s="4">
        <v>-0.245</v>
      </c>
      <c r="AM144" s="4">
        <v>-0.45500000000000002</v>
      </c>
      <c r="AN144" s="4">
        <v>-0.41399999999999998</v>
      </c>
      <c r="AO144" s="4">
        <v>-0.49</v>
      </c>
      <c r="AP144" s="4">
        <v>0.45300000000000001</v>
      </c>
      <c r="AQ144" s="4">
        <v>0.68799999999999994</v>
      </c>
      <c r="AR144" s="4">
        <v>-0.128</v>
      </c>
      <c r="AS144" s="4">
        <v>-0.33</v>
      </c>
      <c r="AT144" s="4">
        <v>-0.80900000000000005</v>
      </c>
      <c r="AU144" s="4">
        <v>0.16300000000000001</v>
      </c>
      <c r="AV144" s="4">
        <v>-0.124</v>
      </c>
      <c r="AW144" s="4">
        <v>-0.438</v>
      </c>
      <c r="AX144" s="4">
        <v>0.48899999999999999</v>
      </c>
      <c r="AY144" s="4">
        <v>-0.72499999999999998</v>
      </c>
      <c r="AZ144" s="4">
        <v>0.94199999999999995</v>
      </c>
      <c r="BA144" s="4">
        <v>0.26800000000000002</v>
      </c>
      <c r="BB144" s="4">
        <v>-0.56599999999999995</v>
      </c>
      <c r="BC144" s="4">
        <v>-0.33500000000000002</v>
      </c>
      <c r="BD144" s="4">
        <v>-0.53500000000000003</v>
      </c>
      <c r="BE144" s="4">
        <v>0.11899999999999999</v>
      </c>
      <c r="BF144" s="4">
        <v>-0.113</v>
      </c>
      <c r="BG144" s="4">
        <v>0.55400000000000005</v>
      </c>
      <c r="BH144" s="4">
        <v>0.77600000000000002</v>
      </c>
      <c r="BI144" s="4">
        <v>-0.433</v>
      </c>
      <c r="BJ144" s="4">
        <v>2.4E-2</v>
      </c>
      <c r="BK144" s="4">
        <v>-0.214</v>
      </c>
      <c r="BL144" s="4">
        <v>-0.22700000000000001</v>
      </c>
      <c r="BM144" s="4"/>
    </row>
    <row r="145" spans="1:65" hidden="1" x14ac:dyDescent="0.3">
      <c r="A145" s="19" t="s">
        <v>234</v>
      </c>
      <c r="B145" s="53">
        <f t="shared" si="18"/>
        <v>0</v>
      </c>
      <c r="C145" s="53">
        <f t="shared" si="19"/>
        <v>-1.2E-2</v>
      </c>
      <c r="D145" s="53">
        <f t="shared" si="20"/>
        <v>0</v>
      </c>
      <c r="E145" s="53">
        <f t="shared" si="21"/>
        <v>1.2E-2</v>
      </c>
      <c r="F145" s="15">
        <v>0.6</v>
      </c>
      <c r="G145" s="19">
        <v>0.92400000000000004</v>
      </c>
      <c r="H145" s="24" t="s">
        <v>55</v>
      </c>
      <c r="I145" t="str">
        <f>VLOOKUP(A145,Planilha6!$BL$9:$BN$222,2,0)</f>
        <v>utilities</v>
      </c>
      <c r="J145" t="str">
        <f>VLOOKUP(A145,Planilha6!$BL$9:$BN$222,3,0)</f>
        <v>neutral_beta</v>
      </c>
      <c r="K145" s="2">
        <v>0</v>
      </c>
      <c r="L145" s="2">
        <v>-1.2E-2</v>
      </c>
      <c r="M145" s="15">
        <v>68</v>
      </c>
      <c r="N145" s="41">
        <f>VLOOKUP(A145,'Mandato Smll'!$A$2:$C$215,2,0)</f>
        <v>0</v>
      </c>
      <c r="O145" s="59">
        <f t="shared" si="22"/>
        <v>0</v>
      </c>
      <c r="P145" s="42">
        <f t="shared" si="23"/>
        <v>0</v>
      </c>
      <c r="Q145" s="41">
        <f>VLOOKUP(A145,'Mandato Smll'!$A$2:$C$215,3,0)</f>
        <v>0</v>
      </c>
      <c r="R145" s="59">
        <f t="shared" si="24"/>
        <v>0</v>
      </c>
      <c r="S145" s="15">
        <v>-0.80200000000000005</v>
      </c>
      <c r="T145" s="15">
        <v>-0.55300000000000005</v>
      </c>
      <c r="U145" s="15">
        <v>-0.84899999999999998</v>
      </c>
      <c r="V145" s="15">
        <v>-0.77</v>
      </c>
      <c r="W145" s="15">
        <v>-0.68899999999999995</v>
      </c>
      <c r="X145" s="15">
        <v>-0.629</v>
      </c>
      <c r="Y145" s="15">
        <v>-0.53900000000000003</v>
      </c>
      <c r="Z145" s="15">
        <v>-0.42599999999999999</v>
      </c>
      <c r="AA145" s="15">
        <v>0.48399999999999999</v>
      </c>
      <c r="AB145" s="15">
        <v>0.48399999999999999</v>
      </c>
      <c r="AC145" s="15">
        <v>0.55500000000000005</v>
      </c>
      <c r="AD145" s="15">
        <v>0.58799999999999997</v>
      </c>
      <c r="AE145" s="15">
        <v>0.49299999999999999</v>
      </c>
      <c r="AF145" s="14">
        <v>-0.89800000000000002</v>
      </c>
      <c r="AG145" s="15">
        <v>-0.59499999999999997</v>
      </c>
      <c r="AH145" s="15">
        <v>-0.20100000000000001</v>
      </c>
      <c r="AI145" s="15">
        <v>-0.89200000000000002</v>
      </c>
      <c r="AJ145" s="15">
        <v>-0.39200000000000002</v>
      </c>
      <c r="AK145" s="9">
        <v>-0.94699999999999995</v>
      </c>
      <c r="AL145" s="4">
        <v>-0.376</v>
      </c>
      <c r="AM145" s="4">
        <v>-0.111</v>
      </c>
      <c r="AN145" s="4">
        <v>-0.28499999999999998</v>
      </c>
      <c r="AO145" s="4">
        <v>-0.36099999999999999</v>
      </c>
      <c r="AP145" s="4">
        <v>0.38400000000000001</v>
      </c>
      <c r="AQ145" s="4">
        <v>0.41499999999999998</v>
      </c>
      <c r="AR145" s="4">
        <v>-0.19400000000000001</v>
      </c>
      <c r="AS145" s="4">
        <v>0.72299999999999998</v>
      </c>
      <c r="AT145" s="4">
        <v>0.11899999999999999</v>
      </c>
      <c r="AU145" s="4">
        <v>-0.23300000000000001</v>
      </c>
      <c r="AV145" s="4">
        <v>-0.42499999999999999</v>
      </c>
      <c r="AW145" s="4">
        <v>-0.45500000000000002</v>
      </c>
      <c r="AX145" s="4">
        <v>0.58699999999999997</v>
      </c>
      <c r="AY145" s="4">
        <v>-0.65900000000000003</v>
      </c>
      <c r="AZ145" s="4">
        <v>-0.192</v>
      </c>
      <c r="BA145" s="4">
        <v>0.222</v>
      </c>
      <c r="BB145" s="4">
        <v>-0.34100000000000003</v>
      </c>
      <c r="BC145" s="4">
        <v>8.4000000000000005E-2</v>
      </c>
      <c r="BD145" s="4">
        <v>-0.24099999999999999</v>
      </c>
      <c r="BE145" s="4">
        <v>0.106</v>
      </c>
      <c r="BF145" s="4">
        <v>-0.60499999999999998</v>
      </c>
      <c r="BG145" s="4">
        <v>0.219</v>
      </c>
      <c r="BH145" s="4">
        <v>0.44900000000000001</v>
      </c>
      <c r="BI145" s="4">
        <v>-0.29499999999999998</v>
      </c>
      <c r="BJ145" s="4">
        <v>3.1E-2</v>
      </c>
      <c r="BK145" s="4">
        <v>6.4000000000000001E-2</v>
      </c>
      <c r="BL145" s="4">
        <v>5.8000000000000003E-2</v>
      </c>
      <c r="BM145" s="4"/>
    </row>
    <row r="146" spans="1:65" hidden="1" x14ac:dyDescent="0.3">
      <c r="A146" s="19" t="s">
        <v>200</v>
      </c>
      <c r="B146" s="53">
        <f t="shared" si="18"/>
        <v>0</v>
      </c>
      <c r="C146" s="53">
        <f t="shared" si="19"/>
        <v>0</v>
      </c>
      <c r="D146" s="53">
        <f t="shared" si="20"/>
        <v>0</v>
      </c>
      <c r="E146" s="53">
        <f t="shared" si="21"/>
        <v>0</v>
      </c>
      <c r="F146" s="15">
        <v>0.59799999999999998</v>
      </c>
      <c r="G146" s="19">
        <v>0.76400000000000001</v>
      </c>
      <c r="H146" s="24" t="s">
        <v>55</v>
      </c>
      <c r="I146" t="str">
        <f>VLOOKUP(A146,Planilha6!$BL$9:$BN$222,2,0)</f>
        <v>transportation</v>
      </c>
      <c r="J146" t="str">
        <f>VLOOKUP(A146,Planilha6!$BL$9:$BN$222,3,0)</f>
        <v>high_beta</v>
      </c>
      <c r="K146" s="2">
        <v>0</v>
      </c>
      <c r="L146" s="2">
        <v>0</v>
      </c>
      <c r="M146" s="15">
        <v>36</v>
      </c>
      <c r="N146" s="41">
        <f>VLOOKUP(A146,'Mandato Smll'!$A$2:$C$215,2,0)</f>
        <v>0</v>
      </c>
      <c r="O146" s="59">
        <f t="shared" si="22"/>
        <v>0</v>
      </c>
      <c r="P146" s="42">
        <f t="shared" si="23"/>
        <v>0</v>
      </c>
      <c r="Q146" s="41">
        <f>VLOOKUP(A146,'Mandato Smll'!$A$2:$C$215,3,0)</f>
        <v>0</v>
      </c>
      <c r="R146" s="59">
        <f t="shared" si="24"/>
        <v>0</v>
      </c>
      <c r="S146" s="15">
        <v>-0.73199999999999998</v>
      </c>
      <c r="T146" s="15">
        <v>-0.374</v>
      </c>
      <c r="U146" s="15">
        <v>-0.88700000000000001</v>
      </c>
      <c r="V146" s="15">
        <v>-0.71199999999999997</v>
      </c>
      <c r="W146" s="15">
        <v>-0.66700000000000004</v>
      </c>
      <c r="X146" s="15">
        <v>-0.46200000000000002</v>
      </c>
      <c r="Y146" s="15">
        <v>-0.17499999999999999</v>
      </c>
      <c r="Z146" s="15">
        <v>-0.51700000000000002</v>
      </c>
      <c r="AA146" s="15">
        <v>0.21099999999999999</v>
      </c>
      <c r="AB146" s="15">
        <v>0.217</v>
      </c>
      <c r="AC146" s="15">
        <v>0.55600000000000005</v>
      </c>
      <c r="AD146" s="15">
        <v>0.59899999999999998</v>
      </c>
      <c r="AE146" s="15">
        <v>0.39</v>
      </c>
      <c r="AF146" s="14">
        <v>-0.55000000000000004</v>
      </c>
      <c r="AG146" s="15">
        <v>-0.65</v>
      </c>
      <c r="AH146" s="15">
        <v>-0.16300000000000001</v>
      </c>
      <c r="AI146" s="15">
        <v>-0.92500000000000004</v>
      </c>
      <c r="AJ146" s="15">
        <v>-0.73499999999999999</v>
      </c>
      <c r="AK146" s="9">
        <v>-0.99199999999999999</v>
      </c>
      <c r="AL146" s="4">
        <v>-0.20200000000000001</v>
      </c>
      <c r="AM146" s="4">
        <v>-0.58099999999999996</v>
      </c>
      <c r="AN146" s="4">
        <v>-0.55100000000000005</v>
      </c>
      <c r="AO146" s="4">
        <v>-0.188</v>
      </c>
      <c r="AP146" s="4">
        <v>9.6000000000000002E-2</v>
      </c>
      <c r="AQ146" s="4">
        <v>0.29199999999999998</v>
      </c>
      <c r="AR146" s="4">
        <v>-0.16700000000000001</v>
      </c>
      <c r="AS146" s="4">
        <v>0.57099999999999995</v>
      </c>
      <c r="AT146" s="4">
        <v>-9.9000000000000005E-2</v>
      </c>
      <c r="AU146" s="4">
        <v>0.20499999999999999</v>
      </c>
      <c r="AV146" s="4">
        <v>8.8999999999999996E-2</v>
      </c>
      <c r="AW146" s="4">
        <v>-0.122</v>
      </c>
      <c r="AX146" s="4">
        <v>0.33400000000000002</v>
      </c>
      <c r="AY146" s="4">
        <v>-0.70299999999999996</v>
      </c>
      <c r="AZ146" s="4">
        <v>0.78600000000000003</v>
      </c>
      <c r="BA146" s="4">
        <v>0.14499999999999999</v>
      </c>
      <c r="BB146" s="4">
        <v>0.76300000000000001</v>
      </c>
      <c r="BC146" s="4">
        <v>-0.40600000000000003</v>
      </c>
      <c r="BD146" s="4">
        <v>-0.45400000000000001</v>
      </c>
      <c r="BE146" s="4">
        <v>0.22800000000000001</v>
      </c>
      <c r="BF146" s="4">
        <v>-0.43099999999999999</v>
      </c>
      <c r="BG146" s="4">
        <v>-0.14699999999999999</v>
      </c>
      <c r="BH146" s="4">
        <v>0.66200000000000003</v>
      </c>
      <c r="BI146" s="4">
        <v>-0.35099999999999998</v>
      </c>
      <c r="BJ146" s="4">
        <v>0.52200000000000002</v>
      </c>
      <c r="BK146" s="4">
        <v>-0.20399999999999999</v>
      </c>
      <c r="BL146" s="4">
        <v>-0.68799999999999994</v>
      </c>
      <c r="BM146" s="4"/>
    </row>
    <row r="147" spans="1:65" hidden="1" x14ac:dyDescent="0.3">
      <c r="A147" s="19" t="s">
        <v>208</v>
      </c>
      <c r="B147" s="53">
        <f t="shared" si="18"/>
        <v>0</v>
      </c>
      <c r="C147" s="53">
        <f t="shared" si="19"/>
        <v>-5.0000000000000001E-3</v>
      </c>
      <c r="D147" s="53">
        <f t="shared" si="20"/>
        <v>0</v>
      </c>
      <c r="E147" s="53">
        <f t="shared" si="21"/>
        <v>5.0000000000000001E-3</v>
      </c>
      <c r="F147" s="15">
        <v>0.59499999999999997</v>
      </c>
      <c r="G147" s="19">
        <v>0.435</v>
      </c>
      <c r="H147" s="24" t="s">
        <v>57</v>
      </c>
      <c r="I147" t="str">
        <f>VLOOKUP(A147,Planilha6!$BL$9:$BN$222,2,0)</f>
        <v>consumer_services</v>
      </c>
      <c r="J147" t="str">
        <f>VLOOKUP(A147,Planilha6!$BL$9:$BN$222,3,0)</f>
        <v>very_high_beta</v>
      </c>
      <c r="K147" s="2">
        <v>0</v>
      </c>
      <c r="L147" s="2">
        <v>-5.0000000000000001E-3</v>
      </c>
      <c r="M147" s="15">
        <v>84</v>
      </c>
      <c r="N147" s="41">
        <f>VLOOKUP(A147,'Mandato Smll'!$A$2:$C$215,2,0)</f>
        <v>0</v>
      </c>
      <c r="O147" s="59">
        <f t="shared" si="22"/>
        <v>0</v>
      </c>
      <c r="P147" s="42">
        <f t="shared" si="23"/>
        <v>0</v>
      </c>
      <c r="Q147" s="41">
        <f>VLOOKUP(A147,'Mandato Smll'!$A$2:$C$215,3,0)</f>
        <v>0</v>
      </c>
      <c r="R147" s="59">
        <f t="shared" si="24"/>
        <v>0</v>
      </c>
      <c r="S147" s="15">
        <v>-0.55300000000000005</v>
      </c>
      <c r="T147" s="15">
        <v>-0.52</v>
      </c>
      <c r="U147" s="15">
        <v>-0.73099999999999998</v>
      </c>
      <c r="V147" s="15">
        <v>-0.442</v>
      </c>
      <c r="W147" s="15">
        <v>-0.58099999999999996</v>
      </c>
      <c r="X147" s="15">
        <v>-0.71199999999999997</v>
      </c>
      <c r="Y147" s="15">
        <v>-0.754</v>
      </c>
      <c r="Z147" s="15">
        <v>-0.72599999999999998</v>
      </c>
      <c r="AA147" s="15">
        <v>0.33</v>
      </c>
      <c r="AB147" s="15">
        <v>0.32900000000000001</v>
      </c>
      <c r="AC147" s="15">
        <v>0.54600000000000004</v>
      </c>
      <c r="AD147" s="15">
        <v>0.58799999999999997</v>
      </c>
      <c r="AE147" s="15">
        <v>0.6</v>
      </c>
      <c r="AF147" s="14">
        <v>-0.16500000000000001</v>
      </c>
      <c r="AG147" s="15">
        <v>-0.253</v>
      </c>
      <c r="AH147" s="15">
        <v>0.36299999999999999</v>
      </c>
      <c r="AI147" s="15">
        <v>-0.434</v>
      </c>
      <c r="AJ147" s="15">
        <v>0.45500000000000002</v>
      </c>
      <c r="AK147" s="9">
        <v>-0.84599999999999997</v>
      </c>
      <c r="AL147" s="4">
        <v>0.1</v>
      </c>
      <c r="AM147" s="4">
        <v>-0.433</v>
      </c>
      <c r="AN147" s="4">
        <v>-0.22600000000000001</v>
      </c>
      <c r="AO147" s="4">
        <v>0.13</v>
      </c>
      <c r="AP147" s="4">
        <v>0.44400000000000001</v>
      </c>
      <c r="AQ147" s="4">
        <v>0.751</v>
      </c>
      <c r="AR147" s="4">
        <v>4.7E-2</v>
      </c>
      <c r="AS147" s="4">
        <v>0.27300000000000002</v>
      </c>
      <c r="AT147" s="4">
        <v>0.27500000000000002</v>
      </c>
      <c r="AU147" s="4">
        <v>0.221</v>
      </c>
      <c r="AV147" s="4">
        <v>-0.27900000000000003</v>
      </c>
      <c r="AW147" s="4">
        <v>-4.7E-2</v>
      </c>
      <c r="AX147" s="4">
        <v>-0.92600000000000005</v>
      </c>
      <c r="AY147" s="4">
        <v>-0.54300000000000004</v>
      </c>
      <c r="AZ147" s="4">
        <v>9.8000000000000004E-2</v>
      </c>
      <c r="BA147" s="4">
        <v>-2.1999999999999999E-2</v>
      </c>
      <c r="BB147" s="4">
        <v>-0.435</v>
      </c>
      <c r="BC147" s="4">
        <v>-0.23699999999999999</v>
      </c>
      <c r="BD147" s="4">
        <v>-0.60899999999999999</v>
      </c>
      <c r="BE147" s="4">
        <v>0.59199999999999997</v>
      </c>
      <c r="BF147" s="4">
        <v>-0.45900000000000002</v>
      </c>
      <c r="BG147" s="4">
        <v>-0.17</v>
      </c>
      <c r="BH147" s="4">
        <v>-0.187</v>
      </c>
      <c r="BI147" s="4">
        <v>-0.35099999999999998</v>
      </c>
      <c r="BJ147" s="4">
        <v>0.69699999999999995</v>
      </c>
      <c r="BK147" s="4">
        <v>-0.55500000000000005</v>
      </c>
      <c r="BL147" s="4">
        <v>8.3000000000000004E-2</v>
      </c>
      <c r="BM147" s="4"/>
    </row>
    <row r="148" spans="1:65" hidden="1" x14ac:dyDescent="0.3">
      <c r="A148" s="19" t="s">
        <v>277</v>
      </c>
      <c r="B148" s="53">
        <f t="shared" si="18"/>
        <v>0</v>
      </c>
      <c r="C148" s="53">
        <f t="shared" si="19"/>
        <v>0</v>
      </c>
      <c r="D148" s="53">
        <f t="shared" si="20"/>
        <v>0</v>
      </c>
      <c r="E148" s="53">
        <f t="shared" si="21"/>
        <v>0</v>
      </c>
      <c r="F148" s="15">
        <v>0.58899999999999997</v>
      </c>
      <c r="G148" s="19">
        <v>0.53</v>
      </c>
      <c r="H148" s="24" t="s">
        <v>55</v>
      </c>
      <c r="I148" t="str">
        <f>VLOOKUP(A148,Planilha6!$BL$9:$BN$222,2,0)</f>
        <v>telecom</v>
      </c>
      <c r="J148" t="str">
        <f>VLOOKUP(A148,Planilha6!$BL$9:$BN$222,3,0)</f>
        <v>low_beta</v>
      </c>
      <c r="K148" s="2">
        <v>0</v>
      </c>
      <c r="L148" s="2">
        <v>0</v>
      </c>
      <c r="M148" s="15">
        <v>84</v>
      </c>
      <c r="N148" s="41">
        <f>VLOOKUP(A148,'Mandato Smll'!$A$2:$C$215,2,0)</f>
        <v>0</v>
      </c>
      <c r="O148" s="59">
        <f t="shared" si="22"/>
        <v>0</v>
      </c>
      <c r="P148" s="42">
        <f t="shared" si="23"/>
        <v>0</v>
      </c>
      <c r="Q148" s="41">
        <f>VLOOKUP(A148,'Mandato Smll'!$A$2:$C$215,3,0)</f>
        <v>0</v>
      </c>
      <c r="R148" s="59">
        <f t="shared" si="24"/>
        <v>0</v>
      </c>
      <c r="S148" s="15">
        <v>-0.67500000000000004</v>
      </c>
      <c r="T148" s="15">
        <v>-0.44500000000000001</v>
      </c>
      <c r="U148" s="15">
        <v>-0.70699999999999996</v>
      </c>
      <c r="V148" s="15">
        <v>-0.77700000000000002</v>
      </c>
      <c r="W148" s="15">
        <v>-0.69</v>
      </c>
      <c r="X148" s="15">
        <v>-0.64400000000000002</v>
      </c>
      <c r="Y148" s="15">
        <v>-0.54100000000000004</v>
      </c>
      <c r="Z148" s="15">
        <v>-0.71499999999999997</v>
      </c>
      <c r="AA148" s="15">
        <v>0.36299999999999999</v>
      </c>
      <c r="AB148" s="15">
        <v>0.36899999999999999</v>
      </c>
      <c r="AC148" s="15">
        <v>0.52500000000000002</v>
      </c>
      <c r="AD148" s="15">
        <v>0.59699999999999998</v>
      </c>
      <c r="AE148" s="15">
        <v>0.58199999999999996</v>
      </c>
      <c r="AF148" s="14">
        <v>-1</v>
      </c>
      <c r="AG148" s="15">
        <v>-0.99199999999999999</v>
      </c>
      <c r="AH148" s="15">
        <v>0.10100000000000001</v>
      </c>
      <c r="AI148" s="15">
        <v>-0.70699999999999996</v>
      </c>
      <c r="AJ148" s="15">
        <v>0.03</v>
      </c>
      <c r="AK148" s="9">
        <v>-0.42799999999999999</v>
      </c>
      <c r="AL148" s="4">
        <v>-0.28499999999999998</v>
      </c>
      <c r="AM148" s="4">
        <v>-0.79900000000000004</v>
      </c>
      <c r="AN148" s="4">
        <v>-0.504</v>
      </c>
      <c r="AO148" s="4">
        <v>-0.35</v>
      </c>
      <c r="AP148" s="4">
        <v>0.47899999999999998</v>
      </c>
      <c r="AQ148" s="4">
        <v>0.31900000000000001</v>
      </c>
      <c r="AR148" s="4">
        <v>-3.4000000000000002E-2</v>
      </c>
      <c r="AS148" s="4">
        <v>8.4000000000000005E-2</v>
      </c>
      <c r="AT148" s="4">
        <v>-0.26200000000000001</v>
      </c>
      <c r="AU148" s="4">
        <v>0.152</v>
      </c>
      <c r="AV148" s="4">
        <v>0.13700000000000001</v>
      </c>
      <c r="AW148" s="4">
        <v>-0.65</v>
      </c>
      <c r="AX148" s="4">
        <v>0.191</v>
      </c>
      <c r="AY148" s="4">
        <v>0.10299999999999999</v>
      </c>
      <c r="AZ148" s="4">
        <v>0.59699999999999998</v>
      </c>
      <c r="BA148" s="4">
        <v>-0.32400000000000001</v>
      </c>
      <c r="BB148" s="4">
        <v>0.57199999999999995</v>
      </c>
      <c r="BC148" s="4">
        <v>1.9E-2</v>
      </c>
      <c r="BD148" s="4">
        <v>-0.20100000000000001</v>
      </c>
      <c r="BE148" s="4">
        <v>0.42099999999999999</v>
      </c>
      <c r="BF148" s="4">
        <v>4.7E-2</v>
      </c>
      <c r="BG148" s="4">
        <v>0.373</v>
      </c>
      <c r="BH148" s="4">
        <v>0.40799999999999997</v>
      </c>
      <c r="BI148" s="4">
        <v>-5.0999999999999997E-2</v>
      </c>
      <c r="BJ148" s="4">
        <v>-0.22</v>
      </c>
      <c r="BK148" s="4">
        <v>0.76200000000000001</v>
      </c>
      <c r="BL148" s="4">
        <v>-9.1999999999999998E-2</v>
      </c>
      <c r="BM148" s="4"/>
    </row>
    <row r="149" spans="1:65" hidden="1" x14ac:dyDescent="0.3">
      <c r="A149" s="19" t="s">
        <v>148</v>
      </c>
      <c r="B149" s="53">
        <f t="shared" si="18"/>
        <v>0</v>
      </c>
      <c r="C149" s="53">
        <f t="shared" si="19"/>
        <v>-4.0000000000000001E-3</v>
      </c>
      <c r="D149" s="53">
        <f t="shared" si="20"/>
        <v>0</v>
      </c>
      <c r="E149" s="53">
        <f t="shared" si="21"/>
        <v>4.0000000000000001E-3</v>
      </c>
      <c r="F149" s="15">
        <v>0.58899999999999997</v>
      </c>
      <c r="G149" s="19">
        <v>0.59299999999999997</v>
      </c>
      <c r="H149" s="24" t="s">
        <v>68</v>
      </c>
      <c r="I149" t="str">
        <f>VLOOKUP(A149,Planilha6!$BL$9:$BN$222,2,0)</f>
        <v>capital_goods</v>
      </c>
      <c r="J149" t="str">
        <f>VLOOKUP(A149,Planilha6!$BL$9:$BN$222,3,0)</f>
        <v>high_beta</v>
      </c>
      <c r="K149" s="2">
        <v>0</v>
      </c>
      <c r="L149" s="2">
        <v>-4.0000000000000001E-3</v>
      </c>
      <c r="M149" s="15">
        <v>84</v>
      </c>
      <c r="N149" s="41">
        <f>VLOOKUP(A149,'Mandato Smll'!$A$2:$C$215,2,0)</f>
        <v>0</v>
      </c>
      <c r="O149" s="59">
        <f t="shared" si="22"/>
        <v>0</v>
      </c>
      <c r="P149" s="42">
        <f t="shared" si="23"/>
        <v>0</v>
      </c>
      <c r="Q149" s="41">
        <f>VLOOKUP(A149,'Mandato Smll'!$A$2:$C$215,3,0)</f>
        <v>0</v>
      </c>
      <c r="R149" s="59">
        <f t="shared" si="24"/>
        <v>0</v>
      </c>
      <c r="S149" s="15">
        <v>-0.81200000000000006</v>
      </c>
      <c r="T149" s="15">
        <v>-0.64100000000000001</v>
      </c>
      <c r="U149" s="15">
        <v>-0.79100000000000004</v>
      </c>
      <c r="V149" s="15">
        <v>-0.79300000000000004</v>
      </c>
      <c r="W149" s="15">
        <v>-0.70399999999999996</v>
      </c>
      <c r="X149" s="15">
        <v>-0.69299999999999995</v>
      </c>
      <c r="Y149" s="15">
        <v>-0.52400000000000002</v>
      </c>
      <c r="Z149" s="15">
        <v>-0.40600000000000003</v>
      </c>
      <c r="AA149" s="15">
        <v>0.497</v>
      </c>
      <c r="AB149" s="15">
        <v>0.496</v>
      </c>
      <c r="AC149" s="15">
        <v>0.45400000000000001</v>
      </c>
      <c r="AD149" s="15">
        <v>0.45900000000000002</v>
      </c>
      <c r="AE149" s="15">
        <v>0.42399999999999999</v>
      </c>
      <c r="AF149" s="14">
        <v>-0.68500000000000005</v>
      </c>
      <c r="AG149" s="15">
        <v>-0.89700000000000002</v>
      </c>
      <c r="AH149" s="15">
        <v>-0.755</v>
      </c>
      <c r="AI149" s="15">
        <v>-0.23300000000000001</v>
      </c>
      <c r="AJ149" s="15">
        <v>-0.19600000000000001</v>
      </c>
      <c r="AK149" s="9">
        <v>-0.23300000000000001</v>
      </c>
      <c r="AL149" s="4">
        <v>-0.16500000000000001</v>
      </c>
      <c r="AM149" s="4">
        <v>8.6999999999999994E-2</v>
      </c>
      <c r="AN149" s="4">
        <v>-0.61399999999999999</v>
      </c>
      <c r="AO149" s="4">
        <v>-0.46200000000000002</v>
      </c>
      <c r="AP149" s="4">
        <v>6.0000000000000001E-3</v>
      </c>
      <c r="AQ149" s="4">
        <v>-0.72799999999999998</v>
      </c>
      <c r="AR149" s="4">
        <v>-0.62</v>
      </c>
      <c r="AS149" s="4">
        <v>0.224</v>
      </c>
      <c r="AT149" s="4">
        <v>0.224</v>
      </c>
      <c r="AU149" s="4">
        <v>0.56299999999999994</v>
      </c>
      <c r="AV149" s="4">
        <v>-0.23499999999999999</v>
      </c>
      <c r="AW149" s="4">
        <v>-0.20699999999999999</v>
      </c>
      <c r="AX149" s="4">
        <v>0.373</v>
      </c>
      <c r="AY149" s="4">
        <v>0.33</v>
      </c>
      <c r="AZ149" s="4">
        <v>0.70099999999999996</v>
      </c>
      <c r="BA149" s="4">
        <v>0.10100000000000001</v>
      </c>
      <c r="BB149" s="4">
        <v>-0.497</v>
      </c>
      <c r="BC149" s="4">
        <v>-0.19900000000000001</v>
      </c>
      <c r="BD149" s="4">
        <v>-0.41</v>
      </c>
      <c r="BE149" s="4">
        <v>2.1000000000000001E-2</v>
      </c>
      <c r="BF149" s="4">
        <v>-1.7000000000000001E-2</v>
      </c>
      <c r="BG149" s="4">
        <v>-0.70099999999999996</v>
      </c>
      <c r="BH149" s="4">
        <v>0.52100000000000002</v>
      </c>
      <c r="BI149" s="4">
        <v>-0.40500000000000003</v>
      </c>
      <c r="BJ149" s="4">
        <v>0.46700000000000003</v>
      </c>
      <c r="BK149" s="4">
        <v>-0.57099999999999995</v>
      </c>
      <c r="BL149" s="4">
        <v>0.36599999999999999</v>
      </c>
      <c r="BM149" s="4"/>
    </row>
    <row r="150" spans="1:65" hidden="1" x14ac:dyDescent="0.3">
      <c r="A150" s="19" t="s">
        <v>157</v>
      </c>
      <c r="B150" s="53">
        <f t="shared" si="18"/>
        <v>0</v>
      </c>
      <c r="C150" s="53">
        <f t="shared" si="19"/>
        <v>-0.01</v>
      </c>
      <c r="D150" s="53">
        <f t="shared" si="20"/>
        <v>0</v>
      </c>
      <c r="E150" s="53">
        <f t="shared" si="21"/>
        <v>0.01</v>
      </c>
      <c r="F150" s="15">
        <v>0.58799999999999997</v>
      </c>
      <c r="G150" s="19">
        <v>0.47099999999999997</v>
      </c>
      <c r="H150" s="24" t="s">
        <v>57</v>
      </c>
      <c r="I150" t="str">
        <f>VLOOKUP(A150,Planilha6!$BL$9:$BN$222,2,0)</f>
        <v>consumer_durables</v>
      </c>
      <c r="J150" t="str">
        <f>VLOOKUP(A150,Planilha6!$BL$9:$BN$222,3,0)</f>
        <v>very_high_beta</v>
      </c>
      <c r="K150" s="2">
        <v>0</v>
      </c>
      <c r="L150" s="2">
        <v>-0.01</v>
      </c>
      <c r="M150" s="15">
        <v>73</v>
      </c>
      <c r="N150" s="41">
        <f>VLOOKUP(A150,'Mandato Smll'!$A$2:$C$215,2,0)</f>
        <v>0</v>
      </c>
      <c r="O150" s="59">
        <f t="shared" si="22"/>
        <v>0</v>
      </c>
      <c r="P150" s="42">
        <f t="shared" si="23"/>
        <v>0</v>
      </c>
      <c r="Q150" s="41">
        <f>VLOOKUP(A150,'Mandato Smll'!$A$2:$C$215,3,0)</f>
        <v>0</v>
      </c>
      <c r="R150" s="59">
        <f t="shared" si="24"/>
        <v>0</v>
      </c>
      <c r="S150" s="15">
        <v>-2.7E-2</v>
      </c>
      <c r="T150" s="15">
        <v>-0.52500000000000002</v>
      </c>
      <c r="U150" s="15">
        <v>-0.51900000000000002</v>
      </c>
      <c r="V150" s="15">
        <v>7.4999999999999997E-2</v>
      </c>
      <c r="W150" s="15">
        <v>-0.41799999999999998</v>
      </c>
      <c r="X150" s="15">
        <v>-0.48799999999999999</v>
      </c>
      <c r="Y150" s="15">
        <v>-0.59399999999999997</v>
      </c>
      <c r="Z150" s="15">
        <v>-0.78900000000000003</v>
      </c>
      <c r="AA150" s="15">
        <v>-0.106</v>
      </c>
      <c r="AB150" s="15">
        <v>-0.10100000000000001</v>
      </c>
      <c r="AC150" s="15">
        <v>0.23100000000000001</v>
      </c>
      <c r="AD150" s="15">
        <v>-0.72099999999999997</v>
      </c>
      <c r="AE150" s="15">
        <v>0.315</v>
      </c>
      <c r="AF150" s="14">
        <v>0.38300000000000001</v>
      </c>
      <c r="AG150" s="15">
        <v>1</v>
      </c>
      <c r="AH150" s="15">
        <v>0.46400000000000002</v>
      </c>
      <c r="AI150" s="15">
        <v>1.0999999999999999E-2</v>
      </c>
      <c r="AJ150" s="15">
        <v>-0.44700000000000001</v>
      </c>
      <c r="AK150" s="9">
        <v>-0.104</v>
      </c>
      <c r="AL150" s="4">
        <v>0.59899999999999998</v>
      </c>
      <c r="AM150" s="4">
        <v>-0.80500000000000005</v>
      </c>
      <c r="AN150" s="4">
        <v>4.5999999999999999E-2</v>
      </c>
      <c r="AO150" s="4">
        <v>0.47599999999999998</v>
      </c>
      <c r="AP150" s="4">
        <v>-0.23499999999999999</v>
      </c>
      <c r="AQ150" s="4">
        <v>0.42599999999999999</v>
      </c>
      <c r="AR150" s="4">
        <v>0.49399999999999999</v>
      </c>
      <c r="AS150" s="4">
        <v>-0.33900000000000002</v>
      </c>
      <c r="AT150" s="4">
        <v>0.16600000000000001</v>
      </c>
      <c r="AU150" s="4">
        <v>0.45700000000000002</v>
      </c>
      <c r="AV150" s="4">
        <v>-8.8999999999999996E-2</v>
      </c>
      <c r="AW150" s="4">
        <v>7.4999999999999997E-2</v>
      </c>
      <c r="AX150" s="4">
        <v>-0.76900000000000002</v>
      </c>
      <c r="AY150" s="4">
        <v>-0.17799999999999999</v>
      </c>
      <c r="AZ150" s="4">
        <v>0.53500000000000003</v>
      </c>
      <c r="BA150" s="4">
        <v>-1</v>
      </c>
      <c r="BB150" s="4">
        <v>-9.2999999999999999E-2</v>
      </c>
      <c r="BC150" s="4">
        <v>0.158</v>
      </c>
      <c r="BD150" s="4">
        <v>0.20399999999999999</v>
      </c>
      <c r="BE150" s="4">
        <v>0.24099999999999999</v>
      </c>
      <c r="BF150" s="4">
        <v>0.41599999999999998</v>
      </c>
      <c r="BG150" s="4">
        <v>-5.7000000000000002E-2</v>
      </c>
      <c r="BH150" s="4">
        <v>2.7E-2</v>
      </c>
      <c r="BI150" s="4">
        <v>0.97199999999999998</v>
      </c>
      <c r="BJ150" s="4">
        <v>0.35799999999999998</v>
      </c>
      <c r="BK150" s="4">
        <v>-0.98499999999999999</v>
      </c>
      <c r="BL150" s="4">
        <v>-0.45400000000000001</v>
      </c>
      <c r="BM150" s="4"/>
    </row>
    <row r="151" spans="1:65" hidden="1" x14ac:dyDescent="0.3">
      <c r="A151" s="19" t="s">
        <v>191</v>
      </c>
      <c r="B151" s="53">
        <f t="shared" si="18"/>
        <v>0</v>
      </c>
      <c r="C151" s="53">
        <f t="shared" si="19"/>
        <v>-4.0000000000000001E-3</v>
      </c>
      <c r="D151" s="53">
        <f t="shared" si="20"/>
        <v>0</v>
      </c>
      <c r="E151" s="53">
        <f t="shared" si="21"/>
        <v>4.0000000000000001E-3</v>
      </c>
      <c r="F151" s="15">
        <v>0.58699999999999997</v>
      </c>
      <c r="G151" s="19">
        <v>0.80200000000000005</v>
      </c>
      <c r="H151" s="24" t="s">
        <v>71</v>
      </c>
      <c r="I151" t="str">
        <f>VLOOKUP(A151,Planilha6!$BL$9:$BN$222,2,0)</f>
        <v>food</v>
      </c>
      <c r="J151" t="str">
        <f>VLOOKUP(A151,Planilha6!$BL$9:$BN$222,3,0)</f>
        <v>very_low_beta</v>
      </c>
      <c r="K151" s="2">
        <v>0</v>
      </c>
      <c r="L151" s="2">
        <v>-4.0000000000000001E-3</v>
      </c>
      <c r="M151" s="15">
        <v>84</v>
      </c>
      <c r="N151" s="41">
        <f>VLOOKUP(A151,'Mandato Smll'!$A$2:$C$215,2,0)</f>
        <v>0</v>
      </c>
      <c r="O151" s="59">
        <f t="shared" si="22"/>
        <v>0</v>
      </c>
      <c r="P151" s="42">
        <f t="shared" si="23"/>
        <v>0</v>
      </c>
      <c r="Q151" s="41">
        <f>VLOOKUP(A151,'Mandato Smll'!$A$2:$C$215,3,0)</f>
        <v>0</v>
      </c>
      <c r="R151" s="59">
        <f t="shared" si="24"/>
        <v>0</v>
      </c>
      <c r="S151" s="15">
        <v>-0.82</v>
      </c>
      <c r="T151" s="15">
        <v>-0.73199999999999998</v>
      </c>
      <c r="U151" s="15">
        <v>-0.67600000000000005</v>
      </c>
      <c r="V151" s="15">
        <v>-0.80900000000000005</v>
      </c>
      <c r="W151" s="15">
        <v>-0.72899999999999998</v>
      </c>
      <c r="X151" s="15">
        <v>-0.64800000000000002</v>
      </c>
      <c r="Y151" s="15">
        <v>-0.61399999999999999</v>
      </c>
      <c r="Z151" s="15">
        <v>-0.48799999999999999</v>
      </c>
      <c r="AA151" s="15">
        <v>0.58599999999999997</v>
      </c>
      <c r="AB151" s="15">
        <v>0.58199999999999996</v>
      </c>
      <c r="AC151" s="15">
        <v>0.30399999999999999</v>
      </c>
      <c r="AD151" s="15">
        <v>0.23200000000000001</v>
      </c>
      <c r="AE151" s="15">
        <v>0.56999999999999995</v>
      </c>
      <c r="AF151" s="14">
        <v>-0.86</v>
      </c>
      <c r="AG151" s="15">
        <v>-0.755</v>
      </c>
      <c r="AH151" s="15">
        <v>-0.53400000000000003</v>
      </c>
      <c r="AI151" s="15">
        <v>-0.38900000000000001</v>
      </c>
      <c r="AJ151" s="15">
        <v>0.373</v>
      </c>
      <c r="AK151" s="9">
        <v>-0.55300000000000005</v>
      </c>
      <c r="AL151" s="4">
        <v>-0.40100000000000002</v>
      </c>
      <c r="AM151" s="4">
        <v>0.16700000000000001</v>
      </c>
      <c r="AN151" s="4">
        <v>-0.32</v>
      </c>
      <c r="AO151" s="4">
        <v>-0.46500000000000002</v>
      </c>
      <c r="AP151" s="4">
        <v>6.9000000000000006E-2</v>
      </c>
      <c r="AQ151" s="4">
        <v>0.17100000000000001</v>
      </c>
      <c r="AR151" s="4">
        <v>-0.36299999999999999</v>
      </c>
      <c r="AS151" s="4">
        <v>0.50600000000000001</v>
      </c>
      <c r="AT151" s="4">
        <v>0.26200000000000001</v>
      </c>
      <c r="AU151" s="4">
        <v>-0.188</v>
      </c>
      <c r="AV151" s="4">
        <v>-0.63400000000000001</v>
      </c>
      <c r="AW151" s="4">
        <v>-0.49199999999999999</v>
      </c>
      <c r="AX151" s="4">
        <v>0.82599999999999996</v>
      </c>
      <c r="AY151" s="4">
        <v>-0.80400000000000005</v>
      </c>
      <c r="AZ151" s="4">
        <v>0.121</v>
      </c>
      <c r="BA151" s="4">
        <v>-0.499</v>
      </c>
      <c r="BB151" s="4">
        <v>-0.159</v>
      </c>
      <c r="BC151" s="4">
        <v>7.6999999999999999E-2</v>
      </c>
      <c r="BD151" s="4">
        <v>-0.25800000000000001</v>
      </c>
      <c r="BE151" s="4">
        <v>-1E-3</v>
      </c>
      <c r="BF151" s="4">
        <v>0.871</v>
      </c>
      <c r="BG151" s="4">
        <v>0.58099999999999996</v>
      </c>
      <c r="BH151" s="4">
        <v>0.48899999999999999</v>
      </c>
      <c r="BI151" s="4">
        <v>-0.25700000000000001</v>
      </c>
      <c r="BJ151" s="4">
        <v>-0.78800000000000003</v>
      </c>
      <c r="BK151" s="4">
        <v>0.71</v>
      </c>
      <c r="BL151" s="4">
        <v>0.48599999999999999</v>
      </c>
      <c r="BM151" s="4"/>
    </row>
    <row r="152" spans="1:65" hidden="1" x14ac:dyDescent="0.3">
      <c r="A152" s="19" t="s">
        <v>241</v>
      </c>
      <c r="B152" s="53">
        <f t="shared" si="18"/>
        <v>0</v>
      </c>
      <c r="C152" s="53">
        <f t="shared" si="19"/>
        <v>0</v>
      </c>
      <c r="D152" s="53">
        <f t="shared" si="20"/>
        <v>0</v>
      </c>
      <c r="E152" s="53">
        <f t="shared" si="21"/>
        <v>0</v>
      </c>
      <c r="F152" s="15">
        <v>0.58599999999999997</v>
      </c>
      <c r="G152" s="19">
        <v>0.54400000000000004</v>
      </c>
      <c r="H152" s="24" t="s">
        <v>57</v>
      </c>
      <c r="I152" t="str">
        <f>VLOOKUP(A152,Planilha6!$BL$9:$BN$222,2,0)</f>
        <v>transportation</v>
      </c>
      <c r="J152" t="str">
        <f>VLOOKUP(A152,Planilha6!$BL$9:$BN$222,3,0)</f>
        <v>low_beta</v>
      </c>
      <c r="K152" s="2">
        <v>0</v>
      </c>
      <c r="L152" s="2">
        <v>0</v>
      </c>
      <c r="M152" s="15">
        <v>33</v>
      </c>
      <c r="N152" s="41">
        <f>VLOOKUP(A152,'Mandato Smll'!$A$2:$C$215,2,0)</f>
        <v>0</v>
      </c>
      <c r="O152" s="59">
        <f t="shared" si="22"/>
        <v>0</v>
      </c>
      <c r="P152" s="42">
        <f t="shared" si="23"/>
        <v>0</v>
      </c>
      <c r="Q152" s="41">
        <f>VLOOKUP(A152,'Mandato Smll'!$A$2:$C$215,3,0)</f>
        <v>0</v>
      </c>
      <c r="R152" s="59">
        <f t="shared" si="24"/>
        <v>0</v>
      </c>
      <c r="S152" s="15">
        <v>-0.64700000000000002</v>
      </c>
      <c r="T152" s="15">
        <v>-0.46500000000000002</v>
      </c>
      <c r="U152" s="15">
        <v>-0.88100000000000001</v>
      </c>
      <c r="V152" s="15">
        <v>-0.65800000000000003</v>
      </c>
      <c r="W152" s="15">
        <v>-0.7</v>
      </c>
      <c r="X152" s="15">
        <v>-0.48399999999999999</v>
      </c>
      <c r="Y152" s="15">
        <v>-0.186</v>
      </c>
      <c r="Z152" s="15">
        <v>-0.66100000000000003</v>
      </c>
      <c r="AA152" s="15">
        <v>0.23899999999999999</v>
      </c>
      <c r="AB152" s="15">
        <v>0.24</v>
      </c>
      <c r="AC152" s="15">
        <v>0.6</v>
      </c>
      <c r="AD152" s="15">
        <v>0.64900000000000002</v>
      </c>
      <c r="AE152" s="15">
        <v>0.30199999999999999</v>
      </c>
      <c r="AF152" s="14">
        <v>-0.73699999999999999</v>
      </c>
      <c r="AG152" s="15">
        <v>-6.6000000000000003E-2</v>
      </c>
      <c r="AH152" s="15">
        <v>-0.47399999999999998</v>
      </c>
      <c r="AI152" s="15">
        <v>-0.90400000000000003</v>
      </c>
      <c r="AJ152" s="15">
        <v>-0.79200000000000004</v>
      </c>
      <c r="AK152" s="9">
        <v>-0.86399999999999999</v>
      </c>
      <c r="AL152" s="4">
        <v>-0.16600000000000001</v>
      </c>
      <c r="AM152" s="4">
        <v>-0.66200000000000003</v>
      </c>
      <c r="AN152" s="4">
        <v>-0.61499999999999999</v>
      </c>
      <c r="AO152" s="4">
        <v>0.65600000000000003</v>
      </c>
      <c r="AP152" s="4">
        <v>-9.8000000000000004E-2</v>
      </c>
      <c r="AQ152" s="4">
        <v>0.748</v>
      </c>
      <c r="AR152" s="4">
        <v>0.56599999999999995</v>
      </c>
      <c r="AS152" s="4">
        <v>0.66700000000000004</v>
      </c>
      <c r="AT152" s="4">
        <v>0.19900000000000001</v>
      </c>
      <c r="AU152" s="4">
        <v>5.1999999999999998E-2</v>
      </c>
      <c r="AV152" s="4">
        <v>0.28799999999999998</v>
      </c>
      <c r="AW152" s="4">
        <v>-0.18</v>
      </c>
      <c r="AX152" s="4">
        <v>0.23699999999999999</v>
      </c>
      <c r="AY152" s="4">
        <v>-0.35</v>
      </c>
      <c r="AZ152" s="4">
        <v>0.77400000000000002</v>
      </c>
      <c r="BA152" s="4">
        <v>-0.28199999999999997</v>
      </c>
      <c r="BB152" s="4">
        <v>0.28299999999999997</v>
      </c>
      <c r="BC152" s="4">
        <v>8.9999999999999993E-3</v>
      </c>
      <c r="BD152" s="4">
        <v>-0.52800000000000002</v>
      </c>
      <c r="BE152" s="4">
        <v>-7.4999999999999997E-2</v>
      </c>
      <c r="BF152" s="4">
        <v>0.224</v>
      </c>
      <c r="BG152" s="4">
        <v>-0.47699999999999998</v>
      </c>
      <c r="BH152" s="4">
        <v>0.57899999999999996</v>
      </c>
      <c r="BI152" s="4">
        <v>-8.6999999999999994E-2</v>
      </c>
      <c r="BJ152" s="4">
        <v>0.22500000000000001</v>
      </c>
      <c r="BK152" s="4">
        <v>-0.379</v>
      </c>
      <c r="BL152" s="4">
        <v>-0.63300000000000001</v>
      </c>
      <c r="BM152" s="4"/>
    </row>
    <row r="153" spans="1:65" hidden="1" x14ac:dyDescent="0.3">
      <c r="A153" s="19" t="s">
        <v>198</v>
      </c>
      <c r="B153" s="53">
        <f t="shared" si="18"/>
        <v>0</v>
      </c>
      <c r="C153" s="53">
        <f t="shared" si="19"/>
        <v>-2E-3</v>
      </c>
      <c r="D153" s="53">
        <f t="shared" si="20"/>
        <v>0</v>
      </c>
      <c r="E153" s="53">
        <f t="shared" si="21"/>
        <v>2E-3</v>
      </c>
      <c r="F153" s="15">
        <v>0.58299999999999996</v>
      </c>
      <c r="G153" s="19">
        <v>0.41899999999999998</v>
      </c>
      <c r="H153" s="24" t="s">
        <v>57</v>
      </c>
      <c r="I153" t="str">
        <f>VLOOKUP(A153,Planilha6!$BL$9:$BN$222,2,0)</f>
        <v>consumer_services</v>
      </c>
      <c r="J153" t="str">
        <f>VLOOKUP(A153,Planilha6!$BL$9:$BN$222,3,0)</f>
        <v>neutral_beta</v>
      </c>
      <c r="K153" s="2">
        <v>0</v>
      </c>
      <c r="L153" s="2">
        <v>-2E-3</v>
      </c>
      <c r="M153" s="15">
        <v>84</v>
      </c>
      <c r="N153" s="41">
        <f>VLOOKUP(A153,'Mandato Smll'!$A$2:$C$215,2,0)</f>
        <v>0</v>
      </c>
      <c r="O153" s="59">
        <f t="shared" si="22"/>
        <v>0</v>
      </c>
      <c r="P153" s="42">
        <f t="shared" si="23"/>
        <v>0</v>
      </c>
      <c r="Q153" s="41">
        <f>VLOOKUP(A153,'Mandato Smll'!$A$2:$C$215,3,0)</f>
        <v>0</v>
      </c>
      <c r="R153" s="59">
        <f t="shared" si="24"/>
        <v>0</v>
      </c>
      <c r="S153" s="15">
        <v>-8.2000000000000003E-2</v>
      </c>
      <c r="T153" s="15">
        <v>-0.61699999999999999</v>
      </c>
      <c r="U153" s="15">
        <v>-0.24</v>
      </c>
      <c r="V153" s="15">
        <v>-0.251</v>
      </c>
      <c r="W153" s="15">
        <v>-0.54100000000000004</v>
      </c>
      <c r="X153" s="15">
        <v>-0.53900000000000003</v>
      </c>
      <c r="Y153" s="15">
        <v>-0.49099999999999999</v>
      </c>
      <c r="Z153" s="15">
        <v>-0.83399999999999996</v>
      </c>
      <c r="AA153" s="15">
        <v>-1.6E-2</v>
      </c>
      <c r="AB153" s="15">
        <v>-1.9E-2</v>
      </c>
      <c r="AC153" s="15">
        <v>0.41499999999999998</v>
      </c>
      <c r="AD153" s="15">
        <v>-0.27600000000000002</v>
      </c>
      <c r="AE153" s="15">
        <v>0.16500000000000001</v>
      </c>
      <c r="AF153" s="14">
        <v>-4.0000000000000001E-3</v>
      </c>
      <c r="AG153" s="15">
        <v>0.45200000000000001</v>
      </c>
      <c r="AH153" s="15">
        <v>-0.71399999999999997</v>
      </c>
      <c r="AI153" s="15">
        <v>8.9999999999999993E-3</v>
      </c>
      <c r="AJ153" s="15">
        <v>-7.9000000000000001E-2</v>
      </c>
      <c r="AK153" s="9">
        <v>1</v>
      </c>
      <c r="AL153" s="4">
        <v>0.22600000000000001</v>
      </c>
      <c r="AM153" s="4">
        <v>-1</v>
      </c>
      <c r="AN153" s="4">
        <v>-0.47</v>
      </c>
      <c r="AO153" s="4">
        <v>0.59</v>
      </c>
      <c r="AP153" s="4">
        <v>-6.0999999999999999E-2</v>
      </c>
      <c r="AQ153" s="4">
        <v>-0.876</v>
      </c>
      <c r="AR153" s="4">
        <v>0.83399999999999996</v>
      </c>
      <c r="AS153" s="4">
        <v>0.46500000000000002</v>
      </c>
      <c r="AT153" s="4">
        <v>0.23400000000000001</v>
      </c>
      <c r="AU153" s="4">
        <v>0.253</v>
      </c>
      <c r="AV153" s="4">
        <v>0.32</v>
      </c>
      <c r="AW153" s="4">
        <v>0.54600000000000004</v>
      </c>
      <c r="AX153" s="4">
        <v>-0.76400000000000001</v>
      </c>
      <c r="AY153" s="4">
        <v>-0.129</v>
      </c>
      <c r="AZ153" s="4">
        <v>-0.63500000000000001</v>
      </c>
      <c r="BA153" s="4">
        <v>-0.876</v>
      </c>
      <c r="BB153" s="4">
        <v>-0.15</v>
      </c>
      <c r="BC153" s="4">
        <v>3.5999999999999997E-2</v>
      </c>
      <c r="BD153" s="4">
        <v>0.497</v>
      </c>
      <c r="BE153" s="4">
        <v>0.51300000000000001</v>
      </c>
      <c r="BF153" s="4">
        <v>0.123</v>
      </c>
      <c r="BG153" s="4">
        <v>-0.20899999999999999</v>
      </c>
      <c r="BH153" s="4">
        <v>0.28399999999999997</v>
      </c>
      <c r="BI153" s="4">
        <v>0.54900000000000004</v>
      </c>
      <c r="BJ153" s="4">
        <v>6.8000000000000005E-2</v>
      </c>
      <c r="BK153" s="4">
        <v>-0.70699999999999996</v>
      </c>
      <c r="BL153" s="4">
        <v>0.51100000000000001</v>
      </c>
      <c r="BM153" s="4"/>
    </row>
    <row r="154" spans="1:65" hidden="1" x14ac:dyDescent="0.3">
      <c r="A154" s="19" t="s">
        <v>235</v>
      </c>
      <c r="B154" s="53">
        <f t="shared" si="18"/>
        <v>0</v>
      </c>
      <c r="C154" s="53">
        <f t="shared" si="19"/>
        <v>-8.9999999999999993E-3</v>
      </c>
      <c r="D154" s="53">
        <f t="shared" si="20"/>
        <v>0</v>
      </c>
      <c r="E154" s="53">
        <f t="shared" si="21"/>
        <v>8.9999999999999993E-3</v>
      </c>
      <c r="F154" s="15">
        <v>0.57899999999999996</v>
      </c>
      <c r="G154" s="19">
        <v>0.69899999999999995</v>
      </c>
      <c r="H154" s="24" t="s">
        <v>57</v>
      </c>
      <c r="I154" t="str">
        <f>VLOOKUP(A154,Planilha6!$BL$9:$BN$222,2,0)</f>
        <v>apparel</v>
      </c>
      <c r="J154" t="str">
        <f>VLOOKUP(A154,Planilha6!$BL$9:$BN$222,3,0)</f>
        <v>low_beta</v>
      </c>
      <c r="K154" s="2">
        <v>0</v>
      </c>
      <c r="L154" s="2">
        <v>-8.9999999999999993E-3</v>
      </c>
      <c r="M154" s="15">
        <v>74</v>
      </c>
      <c r="N154" s="41">
        <f>VLOOKUP(A154,'Mandato Smll'!$A$2:$C$215,2,0)</f>
        <v>0</v>
      </c>
      <c r="O154" s="59">
        <f t="shared" si="22"/>
        <v>0</v>
      </c>
      <c r="P154" s="42">
        <f t="shared" si="23"/>
        <v>0</v>
      </c>
      <c r="Q154" s="41">
        <f>VLOOKUP(A154,'Mandato Smll'!$A$2:$C$215,3,0)</f>
        <v>0</v>
      </c>
      <c r="R154" s="59">
        <f t="shared" si="24"/>
        <v>0</v>
      </c>
      <c r="S154" s="15">
        <v>-0.65500000000000003</v>
      </c>
      <c r="T154" s="15">
        <v>-0.48299999999999998</v>
      </c>
      <c r="U154" s="15">
        <v>-0.67400000000000004</v>
      </c>
      <c r="V154" s="15">
        <v>-0.61499999999999999</v>
      </c>
      <c r="W154" s="15">
        <v>-0.52700000000000002</v>
      </c>
      <c r="X154" s="15">
        <v>-0.51200000000000001</v>
      </c>
      <c r="Y154" s="15">
        <v>-0.27</v>
      </c>
      <c r="Z154" s="15">
        <v>-0.441</v>
      </c>
      <c r="AA154" s="15">
        <v>3.7999999999999999E-2</v>
      </c>
      <c r="AB154" s="15">
        <v>4.1000000000000002E-2</v>
      </c>
      <c r="AC154" s="15">
        <v>0.56599999999999995</v>
      </c>
      <c r="AD154" s="15">
        <v>0.39</v>
      </c>
      <c r="AE154" s="15">
        <v>8.2000000000000003E-2</v>
      </c>
      <c r="AF154" s="14">
        <v>0.111</v>
      </c>
      <c r="AG154" s="15">
        <v>-0.433</v>
      </c>
      <c r="AH154" s="15">
        <v>-0.80700000000000005</v>
      </c>
      <c r="AI154" s="15">
        <v>-0.65300000000000002</v>
      </c>
      <c r="AJ154" s="15">
        <v>-0.64200000000000002</v>
      </c>
      <c r="AK154" s="9">
        <v>0.63800000000000001</v>
      </c>
      <c r="AL154" s="4">
        <v>-0.35</v>
      </c>
      <c r="AM154" s="4">
        <v>-0.55400000000000005</v>
      </c>
      <c r="AN154" s="4">
        <v>-0.749</v>
      </c>
      <c r="AO154" s="4">
        <v>0.75700000000000001</v>
      </c>
      <c r="AP154" s="4">
        <v>-0.317</v>
      </c>
      <c r="AQ154" s="4">
        <v>-0.432</v>
      </c>
      <c r="AR154" s="4">
        <v>0.21199999999999999</v>
      </c>
      <c r="AS154" s="4">
        <v>-0.26200000000000001</v>
      </c>
      <c r="AT154" s="4">
        <v>-0.54300000000000004</v>
      </c>
      <c r="AU154" s="4">
        <v>0.497</v>
      </c>
      <c r="AV154" s="4">
        <v>0.39400000000000002</v>
      </c>
      <c r="AW154" s="4">
        <v>0.53900000000000003</v>
      </c>
      <c r="AX154" s="4">
        <v>-5.0000000000000001E-3</v>
      </c>
      <c r="AY154" s="4">
        <v>0.19400000000000001</v>
      </c>
      <c r="AZ154" s="4">
        <v>0.69699999999999995</v>
      </c>
      <c r="BA154" s="4">
        <v>0.84299999999999997</v>
      </c>
      <c r="BB154" s="4">
        <v>0.13600000000000001</v>
      </c>
      <c r="BC154" s="4">
        <v>-0.48599999999999999</v>
      </c>
      <c r="BD154" s="4">
        <v>-0.47399999999999998</v>
      </c>
      <c r="BE154" s="4">
        <v>-0.10199999999999999</v>
      </c>
      <c r="BF154" s="4">
        <v>-6.7000000000000004E-2</v>
      </c>
      <c r="BG154" s="4">
        <v>-0.21299999999999999</v>
      </c>
      <c r="BH154" s="4">
        <v>0.36399999999999999</v>
      </c>
      <c r="BI154" s="4">
        <v>-0.30099999999999999</v>
      </c>
      <c r="BJ154" s="4">
        <v>-0.153</v>
      </c>
      <c r="BK154" s="4">
        <v>-0.754</v>
      </c>
      <c r="BL154" s="4">
        <v>-4.3999999999999997E-2</v>
      </c>
      <c r="BM154" s="4"/>
    </row>
    <row r="155" spans="1:65" hidden="1" x14ac:dyDescent="0.3">
      <c r="A155" s="19" t="s">
        <v>244</v>
      </c>
      <c r="B155" s="53">
        <f t="shared" si="18"/>
        <v>0</v>
      </c>
      <c r="C155" s="53">
        <f t="shared" si="19"/>
        <v>0</v>
      </c>
      <c r="D155" s="53">
        <f t="shared" si="20"/>
        <v>0</v>
      </c>
      <c r="E155" s="53">
        <f t="shared" si="21"/>
        <v>0</v>
      </c>
      <c r="F155" s="15">
        <v>0.57799999999999996</v>
      </c>
      <c r="G155" s="19">
        <v>0.40300000000000002</v>
      </c>
      <c r="H155" s="24" t="s">
        <v>57</v>
      </c>
      <c r="I155" t="str">
        <f>VLOOKUP(A155,Planilha6!$BL$9:$BN$222,2,0)</f>
        <v>consumer_durables</v>
      </c>
      <c r="J155" t="str">
        <f>VLOOKUP(A155,Planilha6!$BL$9:$BN$222,3,0)</f>
        <v>high_beta</v>
      </c>
      <c r="K155" s="2">
        <v>0</v>
      </c>
      <c r="L155" s="2">
        <v>0</v>
      </c>
      <c r="M155" s="15">
        <v>84</v>
      </c>
      <c r="N155" s="41">
        <f>VLOOKUP(A155,'Mandato Smll'!$A$2:$C$215,2,0)</f>
        <v>0</v>
      </c>
      <c r="O155" s="59">
        <f t="shared" si="22"/>
        <v>0</v>
      </c>
      <c r="P155" s="42">
        <f t="shared" si="23"/>
        <v>0</v>
      </c>
      <c r="Q155" s="41">
        <f>VLOOKUP(A155,'Mandato Smll'!$A$2:$C$215,3,0)</f>
        <v>0</v>
      </c>
      <c r="R155" s="59">
        <f t="shared" si="24"/>
        <v>0</v>
      </c>
      <c r="S155" s="15">
        <v>-8.7999999999999995E-2</v>
      </c>
      <c r="T155" s="15">
        <v>-0.71799999999999997</v>
      </c>
      <c r="U155" s="15">
        <v>-0.19600000000000001</v>
      </c>
      <c r="V155" s="15">
        <v>-0.46300000000000002</v>
      </c>
      <c r="W155" s="15">
        <v>-0.66800000000000004</v>
      </c>
      <c r="X155" s="15">
        <v>-0.81799999999999995</v>
      </c>
      <c r="Y155" s="15">
        <v>-0.89300000000000002</v>
      </c>
      <c r="Z155" s="15">
        <v>-0.89700000000000002</v>
      </c>
      <c r="AA155" s="15">
        <v>0.254</v>
      </c>
      <c r="AB155" s="15">
        <v>0.254</v>
      </c>
      <c r="AC155" s="15">
        <v>0.26900000000000002</v>
      </c>
      <c r="AD155" s="15">
        <v>0.21299999999999999</v>
      </c>
      <c r="AE155" s="15">
        <v>0.29199999999999998</v>
      </c>
      <c r="AF155" s="14">
        <v>-0.42099999999999999</v>
      </c>
      <c r="AG155" s="15">
        <v>0.29699999999999999</v>
      </c>
      <c r="AH155" s="15">
        <v>0.80300000000000005</v>
      </c>
      <c r="AI155" s="15">
        <v>0.45700000000000002</v>
      </c>
      <c r="AJ155" s="15">
        <v>0.58899999999999997</v>
      </c>
      <c r="AK155" s="9">
        <v>-0.68</v>
      </c>
      <c r="AL155" s="4">
        <v>7.0000000000000007E-2</v>
      </c>
      <c r="AM155" s="4">
        <v>-1</v>
      </c>
      <c r="AN155" s="4">
        <v>0.89600000000000002</v>
      </c>
      <c r="AO155" s="4">
        <v>3.5999999999999997E-2</v>
      </c>
      <c r="AP155" s="4">
        <v>-7.1999999999999995E-2</v>
      </c>
      <c r="AQ155" s="4">
        <v>0.53900000000000003</v>
      </c>
      <c r="AR155" s="4">
        <v>-0.34599999999999997</v>
      </c>
      <c r="AS155" s="4">
        <v>1</v>
      </c>
      <c r="AT155" s="4">
        <v>0.23300000000000001</v>
      </c>
      <c r="AU155" s="4">
        <v>-3.4000000000000002E-2</v>
      </c>
      <c r="AV155" s="4">
        <v>-0.27700000000000002</v>
      </c>
      <c r="AW155" s="4">
        <v>-0.38600000000000001</v>
      </c>
      <c r="AX155" s="4">
        <v>-0.52200000000000002</v>
      </c>
      <c r="AY155" s="4">
        <v>-9.6000000000000002E-2</v>
      </c>
      <c r="AZ155" s="4">
        <v>-0.52900000000000003</v>
      </c>
      <c r="BA155" s="4">
        <v>-0.73699999999999999</v>
      </c>
      <c r="BB155" s="4">
        <v>-0.153</v>
      </c>
      <c r="BC155" s="4">
        <v>0.49</v>
      </c>
      <c r="BD155" s="4">
        <v>0.23899999999999999</v>
      </c>
      <c r="BE155" s="4">
        <v>0.36899999999999999</v>
      </c>
      <c r="BF155" s="4">
        <v>-1</v>
      </c>
      <c r="BG155" s="4">
        <v>-0.91500000000000004</v>
      </c>
      <c r="BH155" s="4">
        <v>-1</v>
      </c>
      <c r="BI155" s="4">
        <v>1</v>
      </c>
      <c r="BJ155" s="4">
        <v>0.26500000000000001</v>
      </c>
      <c r="BK155" s="4">
        <v>-0.10100000000000001</v>
      </c>
      <c r="BL155" s="4">
        <v>0.35699999999999998</v>
      </c>
      <c r="BM155" s="4"/>
    </row>
    <row r="156" spans="1:65" hidden="1" x14ac:dyDescent="0.3">
      <c r="A156" s="19" t="s">
        <v>218</v>
      </c>
      <c r="B156" s="53">
        <f t="shared" si="18"/>
        <v>0</v>
      </c>
      <c r="C156" s="53">
        <f t="shared" si="19"/>
        <v>0</v>
      </c>
      <c r="D156" s="53">
        <f t="shared" si="20"/>
        <v>0</v>
      </c>
      <c r="E156" s="53">
        <f t="shared" si="21"/>
        <v>0</v>
      </c>
      <c r="F156" s="15">
        <v>0.57299999999999995</v>
      </c>
      <c r="G156" s="19">
        <v>0.77800000000000002</v>
      </c>
      <c r="H156" s="24" t="s">
        <v>55</v>
      </c>
      <c r="I156" t="str">
        <f>VLOOKUP(A156,Planilha6!$BL$9:$BN$222,2,0)</f>
        <v>utilities</v>
      </c>
      <c r="J156" t="str">
        <f>VLOOKUP(A156,Planilha6!$BL$9:$BN$222,3,0)</f>
        <v>neutral_beta</v>
      </c>
      <c r="K156" s="2">
        <v>0</v>
      </c>
      <c r="L156" s="2">
        <v>0</v>
      </c>
      <c r="M156" s="15">
        <v>15</v>
      </c>
      <c r="N156" s="41">
        <f>VLOOKUP(A156,'Mandato Smll'!$A$2:$C$215,2,0)</f>
        <v>0</v>
      </c>
      <c r="O156" s="59">
        <f t="shared" si="22"/>
        <v>0</v>
      </c>
      <c r="P156" s="42">
        <f t="shared" si="23"/>
        <v>0</v>
      </c>
      <c r="Q156" s="41">
        <f>VLOOKUP(A156,'Mandato Smll'!$A$2:$C$215,3,0)</f>
        <v>0</v>
      </c>
      <c r="R156" s="59">
        <f t="shared" si="24"/>
        <v>0</v>
      </c>
      <c r="S156" s="15">
        <v>-0.84799999999999998</v>
      </c>
      <c r="T156" s="15">
        <v>-0.49399999999999999</v>
      </c>
      <c r="U156" s="15">
        <v>-0.94399999999999995</v>
      </c>
      <c r="V156" s="15">
        <v>-0.78600000000000003</v>
      </c>
      <c r="W156" s="15">
        <v>-0.71899999999999997</v>
      </c>
      <c r="X156" s="15">
        <v>-0.629</v>
      </c>
      <c r="Y156" s="15">
        <v>-0.47399999999999998</v>
      </c>
      <c r="Z156" s="15">
        <v>-0.53400000000000003</v>
      </c>
      <c r="AA156" s="15">
        <v>0.20899999999999999</v>
      </c>
      <c r="AB156" s="15">
        <v>0.214</v>
      </c>
      <c r="AC156" s="15">
        <v>0.624</v>
      </c>
      <c r="AD156" s="15">
        <v>0.64300000000000002</v>
      </c>
      <c r="AE156" s="15">
        <v>0.40400000000000003</v>
      </c>
      <c r="AF156" s="14">
        <v>-0.71799999999999997</v>
      </c>
      <c r="AG156" s="15">
        <v>-0.72699999999999998</v>
      </c>
      <c r="AH156" s="15">
        <v>-0.17899999999999999</v>
      </c>
      <c r="AI156" s="15">
        <v>-0.97</v>
      </c>
      <c r="AJ156" s="15">
        <v>-0.71499999999999997</v>
      </c>
      <c r="AK156" s="9">
        <v>-1</v>
      </c>
      <c r="AL156" s="4">
        <v>-0.34100000000000003</v>
      </c>
      <c r="AM156" s="4">
        <v>-0.55700000000000005</v>
      </c>
      <c r="AN156" s="4">
        <v>-0.56699999999999995</v>
      </c>
      <c r="AO156" s="4">
        <v>-0.189</v>
      </c>
      <c r="AP156" s="4">
        <v>0.32700000000000001</v>
      </c>
      <c r="AQ156" s="4">
        <v>0.54300000000000004</v>
      </c>
      <c r="AR156" s="4">
        <v>-6.4000000000000001E-2</v>
      </c>
      <c r="AS156" s="4">
        <v>-0.32</v>
      </c>
      <c r="AT156" s="4">
        <v>-4.5999999999999999E-2</v>
      </c>
      <c r="AU156" s="4">
        <v>1.2E-2</v>
      </c>
      <c r="AV156" s="4">
        <v>-0.26600000000000001</v>
      </c>
      <c r="AW156" s="4">
        <v>-0.26400000000000001</v>
      </c>
      <c r="AX156" s="4">
        <v>0.52500000000000002</v>
      </c>
      <c r="AY156" s="4">
        <v>-0.80600000000000005</v>
      </c>
      <c r="AZ156" s="4">
        <v>0.96299999999999997</v>
      </c>
      <c r="BA156" s="4">
        <v>0.44500000000000001</v>
      </c>
      <c r="BB156" s="4">
        <v>0.17699999999999999</v>
      </c>
      <c r="BC156" s="4">
        <v>0.14099999999999999</v>
      </c>
      <c r="BD156" s="4">
        <v>-9.4E-2</v>
      </c>
      <c r="BE156" s="4">
        <v>0.28399999999999997</v>
      </c>
      <c r="BF156" s="4">
        <v>-0.21099999999999999</v>
      </c>
      <c r="BG156" s="4">
        <v>0.67400000000000004</v>
      </c>
      <c r="BH156" s="4">
        <v>0.66100000000000003</v>
      </c>
      <c r="BI156" s="4">
        <v>-0.47599999999999998</v>
      </c>
      <c r="BJ156" s="4">
        <v>1.0999999999999999E-2</v>
      </c>
      <c r="BK156" s="4">
        <v>-0.39400000000000002</v>
      </c>
      <c r="BL156" s="4">
        <v>-0.48899999999999999</v>
      </c>
      <c r="BM156" s="4"/>
    </row>
    <row r="157" spans="1:65" hidden="1" x14ac:dyDescent="0.3">
      <c r="A157" s="19" t="s">
        <v>139</v>
      </c>
      <c r="B157" s="53">
        <f t="shared" si="18"/>
        <v>0</v>
      </c>
      <c r="C157" s="53">
        <f t="shared" si="19"/>
        <v>0</v>
      </c>
      <c r="D157" s="53">
        <f t="shared" si="20"/>
        <v>0</v>
      </c>
      <c r="E157" s="53">
        <f t="shared" si="21"/>
        <v>0</v>
      </c>
      <c r="F157" s="15">
        <v>0.57199999999999995</v>
      </c>
      <c r="G157" s="19">
        <v>0.60199999999999998</v>
      </c>
      <c r="H157" s="24" t="s">
        <v>71</v>
      </c>
      <c r="I157" t="str">
        <f>VLOOKUP(A157,Planilha6!$BL$9:$BN$222,2,0)</f>
        <v>basic_materials</v>
      </c>
      <c r="J157" t="str">
        <f>VLOOKUP(A157,Planilha6!$BL$9:$BN$222,3,0)</f>
        <v>high_beta</v>
      </c>
      <c r="K157" s="2">
        <v>0</v>
      </c>
      <c r="L157" s="2">
        <v>0</v>
      </c>
      <c r="M157" s="15">
        <v>55</v>
      </c>
      <c r="N157" s="41">
        <f>VLOOKUP(A157,'Mandato Smll'!$A$2:$C$215,2,0)</f>
        <v>0</v>
      </c>
      <c r="O157" s="59">
        <f t="shared" si="22"/>
        <v>0</v>
      </c>
      <c r="P157" s="42">
        <f t="shared" si="23"/>
        <v>0</v>
      </c>
      <c r="Q157" s="41">
        <f>VLOOKUP(A157,'Mandato Smll'!$A$2:$C$215,3,0)</f>
        <v>0</v>
      </c>
      <c r="R157" s="59">
        <f t="shared" si="24"/>
        <v>0</v>
      </c>
      <c r="S157" s="15">
        <v>-0.88800000000000001</v>
      </c>
      <c r="T157" s="15">
        <v>-0.76500000000000001</v>
      </c>
      <c r="U157" s="15">
        <v>-0.95699999999999996</v>
      </c>
      <c r="V157" s="15">
        <v>-0.82099999999999995</v>
      </c>
      <c r="W157" s="15">
        <v>-0.82799999999999996</v>
      </c>
      <c r="X157" s="15">
        <v>-0.53500000000000003</v>
      </c>
      <c r="Y157" s="15">
        <v>-0.18</v>
      </c>
      <c r="Z157" s="15">
        <v>-0.39900000000000002</v>
      </c>
      <c r="AA157" s="15">
        <v>0.35699999999999998</v>
      </c>
      <c r="AB157" s="15">
        <v>0.35699999999999998</v>
      </c>
      <c r="AC157" s="15">
        <v>0.41799999999999998</v>
      </c>
      <c r="AD157" s="15">
        <v>0.43</v>
      </c>
      <c r="AE157" s="15">
        <v>0.23499999999999999</v>
      </c>
      <c r="AF157" s="14">
        <v>-0.754</v>
      </c>
      <c r="AG157" s="15">
        <v>-0.41</v>
      </c>
      <c r="AH157" s="15">
        <v>-1</v>
      </c>
      <c r="AI157" s="15">
        <v>-0.88200000000000001</v>
      </c>
      <c r="AJ157" s="15">
        <v>-1</v>
      </c>
      <c r="AK157" s="9">
        <v>-0.89900000000000002</v>
      </c>
      <c r="AL157" s="4">
        <v>-0.47699999999999998</v>
      </c>
      <c r="AM157" s="4">
        <v>0.61899999999999999</v>
      </c>
      <c r="AN157" s="4">
        <v>-0.751</v>
      </c>
      <c r="AO157" s="4">
        <v>-0.60399999999999998</v>
      </c>
      <c r="AP157" s="4">
        <v>-0.49399999999999999</v>
      </c>
      <c r="AQ157" s="4">
        <v>-0.69199999999999995</v>
      </c>
      <c r="AR157" s="4">
        <v>0.28100000000000003</v>
      </c>
      <c r="AS157" s="4">
        <v>-0.06</v>
      </c>
      <c r="AT157" s="4">
        <v>-0.13600000000000001</v>
      </c>
      <c r="AU157" s="4">
        <v>0.33800000000000002</v>
      </c>
      <c r="AV157" s="4">
        <v>1.6E-2</v>
      </c>
      <c r="AW157" s="4">
        <v>-0.39600000000000002</v>
      </c>
      <c r="AX157" s="4">
        <v>0.16900000000000001</v>
      </c>
      <c r="AY157" s="4">
        <v>0.27300000000000002</v>
      </c>
      <c r="AZ157" s="4">
        <v>0.32900000000000001</v>
      </c>
      <c r="BA157" s="4">
        <v>-0.999</v>
      </c>
      <c r="BB157" s="4">
        <v>0.40699999999999997</v>
      </c>
      <c r="BC157" s="4">
        <v>0.312</v>
      </c>
      <c r="BD157" s="4">
        <v>-8.3000000000000004E-2</v>
      </c>
      <c r="BE157" s="4">
        <v>0.20200000000000001</v>
      </c>
      <c r="BF157" s="4">
        <v>0.26400000000000001</v>
      </c>
      <c r="BG157" s="4">
        <v>-0.55700000000000005</v>
      </c>
      <c r="BH157" s="4">
        <v>0.79200000000000004</v>
      </c>
      <c r="BI157" s="4">
        <v>-0.311</v>
      </c>
      <c r="BJ157" s="4">
        <v>-0.183</v>
      </c>
      <c r="BK157" s="4">
        <v>0.34200000000000003</v>
      </c>
      <c r="BL157" s="4">
        <v>-0.35099999999999998</v>
      </c>
      <c r="BM157" s="4"/>
    </row>
    <row r="158" spans="1:65" hidden="1" x14ac:dyDescent="0.3">
      <c r="A158" s="19" t="s">
        <v>197</v>
      </c>
      <c r="B158" s="53">
        <f t="shared" si="18"/>
        <v>0</v>
      </c>
      <c r="C158" s="53">
        <f t="shared" si="19"/>
        <v>0</v>
      </c>
      <c r="D158" s="53">
        <f t="shared" si="20"/>
        <v>0</v>
      </c>
      <c r="E158" s="53">
        <f t="shared" si="21"/>
        <v>0</v>
      </c>
      <c r="F158" s="15">
        <v>0.57099999999999995</v>
      </c>
      <c r="G158" s="19">
        <v>0.65600000000000003</v>
      </c>
      <c r="H158" s="24" t="s">
        <v>53</v>
      </c>
      <c r="I158" t="str">
        <f>VLOOKUP(A158,Planilha6!$BL$9:$BN$222,2,0)</f>
        <v>healthcare</v>
      </c>
      <c r="J158" t="str">
        <f>VLOOKUP(A158,Planilha6!$BL$9:$BN$222,3,0)</f>
        <v>low_beta</v>
      </c>
      <c r="K158" s="2">
        <v>0</v>
      </c>
      <c r="L158" s="2">
        <v>0</v>
      </c>
      <c r="M158" s="15">
        <v>19</v>
      </c>
      <c r="N158" s="41">
        <f>VLOOKUP(A158,'Mandato Smll'!$A$2:$C$215,2,0)</f>
        <v>0</v>
      </c>
      <c r="O158" s="59">
        <f t="shared" si="22"/>
        <v>0</v>
      </c>
      <c r="P158" s="42">
        <f t="shared" si="23"/>
        <v>0</v>
      </c>
      <c r="Q158" s="41">
        <f>VLOOKUP(A158,'Mandato Smll'!$A$2:$C$215,3,0)</f>
        <v>0</v>
      </c>
      <c r="R158" s="59">
        <f t="shared" si="24"/>
        <v>0</v>
      </c>
      <c r="S158" s="15">
        <v>-0.77100000000000002</v>
      </c>
      <c r="T158" s="15">
        <v>-0.64100000000000001</v>
      </c>
      <c r="U158" s="15">
        <v>-0.91300000000000003</v>
      </c>
      <c r="V158" s="15">
        <v>-0.72</v>
      </c>
      <c r="W158" s="15">
        <v>-0.73599999999999999</v>
      </c>
      <c r="X158" s="15">
        <v>-0.50700000000000001</v>
      </c>
      <c r="Y158" s="15">
        <v>-0.218</v>
      </c>
      <c r="Z158" s="15">
        <v>-0.52500000000000002</v>
      </c>
      <c r="AA158" s="15">
        <v>5.6000000000000001E-2</v>
      </c>
      <c r="AB158" s="15">
        <v>5.8000000000000003E-2</v>
      </c>
      <c r="AC158" s="15">
        <v>0.56699999999999995</v>
      </c>
      <c r="AD158" s="15">
        <v>0.56799999999999995</v>
      </c>
      <c r="AE158" s="15">
        <v>0.27700000000000002</v>
      </c>
      <c r="AF158" s="14">
        <v>-0.498</v>
      </c>
      <c r="AG158" s="15">
        <v>1.0999999999999999E-2</v>
      </c>
      <c r="AH158" s="15">
        <v>-0.80600000000000005</v>
      </c>
      <c r="AI158" s="15">
        <v>-0.95299999999999996</v>
      </c>
      <c r="AJ158" s="15">
        <v>-1</v>
      </c>
      <c r="AK158" s="9">
        <v>-0.97599999999999998</v>
      </c>
      <c r="AL158" s="4">
        <v>-0.49299999999999999</v>
      </c>
      <c r="AM158" s="4">
        <v>-0.16400000000000001</v>
      </c>
      <c r="AN158" s="4">
        <v>-0.84099999999999997</v>
      </c>
      <c r="AO158" s="4">
        <v>0.498</v>
      </c>
      <c r="AP158" s="4">
        <v>-0.19700000000000001</v>
      </c>
      <c r="AQ158" s="4">
        <v>-0.23100000000000001</v>
      </c>
      <c r="AR158" s="4">
        <v>0.442</v>
      </c>
      <c r="AS158" s="4">
        <v>0.26200000000000001</v>
      </c>
      <c r="AT158" s="4">
        <v>-4.5999999999999999E-2</v>
      </c>
      <c r="AU158" s="4">
        <v>0.111</v>
      </c>
      <c r="AV158" s="4">
        <v>-0.29299999999999998</v>
      </c>
      <c r="AW158" s="4">
        <v>-0.107</v>
      </c>
      <c r="AX158" s="4">
        <v>0.254</v>
      </c>
      <c r="AY158" s="4">
        <v>0.223</v>
      </c>
      <c r="AZ158" s="4">
        <v>0.88400000000000001</v>
      </c>
      <c r="BA158" s="4">
        <v>-5.8000000000000003E-2</v>
      </c>
      <c r="BB158" s="4">
        <v>0.46899999999999997</v>
      </c>
      <c r="BC158" s="4">
        <v>0.28799999999999998</v>
      </c>
      <c r="BD158" s="4">
        <v>-0.108</v>
      </c>
      <c r="BE158" s="4">
        <v>0.14699999999999999</v>
      </c>
      <c r="BF158" s="4">
        <v>-4.1000000000000002E-2</v>
      </c>
      <c r="BG158" s="4">
        <v>1</v>
      </c>
      <c r="BH158" s="4">
        <v>0.753</v>
      </c>
      <c r="BI158" s="4">
        <v>-0.32400000000000001</v>
      </c>
      <c r="BJ158" s="4">
        <v>-0.20200000000000001</v>
      </c>
      <c r="BK158" s="4">
        <v>-0.159</v>
      </c>
      <c r="BL158" s="4">
        <v>-0.872</v>
      </c>
      <c r="BM158" s="4"/>
    </row>
    <row r="159" spans="1:65" hidden="1" x14ac:dyDescent="0.3">
      <c r="A159" s="19" t="s">
        <v>226</v>
      </c>
      <c r="B159" s="53">
        <f t="shared" si="18"/>
        <v>0</v>
      </c>
      <c r="C159" s="53">
        <f t="shared" si="19"/>
        <v>0</v>
      </c>
      <c r="D159" s="53">
        <f t="shared" si="20"/>
        <v>0</v>
      </c>
      <c r="E159" s="53">
        <f t="shared" si="21"/>
        <v>0</v>
      </c>
      <c r="F159" s="15">
        <v>0.56999999999999995</v>
      </c>
      <c r="G159" s="19">
        <v>0.53300000000000003</v>
      </c>
      <c r="H159" s="24" t="s">
        <v>55</v>
      </c>
      <c r="I159" t="str">
        <f>VLOOKUP(A159,Planilha6!$BL$9:$BN$222,2,0)</f>
        <v>utilities</v>
      </c>
      <c r="J159" t="str">
        <f>VLOOKUP(A159,Planilha6!$BL$9:$BN$222,3,0)</f>
        <v>neutral_beta</v>
      </c>
      <c r="K159" s="2">
        <v>0</v>
      </c>
      <c r="L159" s="2">
        <v>0</v>
      </c>
      <c r="M159" s="15">
        <v>16</v>
      </c>
      <c r="N159" s="41">
        <f>VLOOKUP(A159,'Mandato Smll'!$A$2:$C$215,2,0)</f>
        <v>0</v>
      </c>
      <c r="O159" s="59">
        <f t="shared" si="22"/>
        <v>0</v>
      </c>
      <c r="P159" s="42">
        <f t="shared" si="23"/>
        <v>0</v>
      </c>
      <c r="Q159" s="41">
        <f>VLOOKUP(A159,'Mandato Smll'!$A$2:$C$215,3,0)</f>
        <v>8.1864906192962196E-3</v>
      </c>
      <c r="R159" s="59">
        <f t="shared" si="24"/>
        <v>-8.1864906192962196E-3</v>
      </c>
      <c r="S159" s="15">
        <v>-0.71299999999999997</v>
      </c>
      <c r="T159" s="15">
        <v>-0.47499999999999998</v>
      </c>
      <c r="U159" s="15">
        <v>-0.88300000000000001</v>
      </c>
      <c r="V159" s="15">
        <v>-0.59499999999999997</v>
      </c>
      <c r="W159" s="15">
        <v>-0.63100000000000001</v>
      </c>
      <c r="X159" s="15">
        <v>-0.70899999999999996</v>
      </c>
      <c r="Y159" s="15">
        <v>-0.72099999999999997</v>
      </c>
      <c r="Z159" s="15">
        <v>-0.69299999999999995</v>
      </c>
      <c r="AA159" s="15">
        <v>0.22700000000000001</v>
      </c>
      <c r="AB159" s="15">
        <v>0.22900000000000001</v>
      </c>
      <c r="AC159" s="15">
        <v>0.54</v>
      </c>
      <c r="AD159" s="15">
        <v>0.60199999999999998</v>
      </c>
      <c r="AE159" s="15">
        <v>0.47299999999999998</v>
      </c>
      <c r="AF159" s="14">
        <v>-0.64</v>
      </c>
      <c r="AG159" s="15">
        <v>-0.39400000000000002</v>
      </c>
      <c r="AH159" s="15">
        <v>-8.5000000000000006E-2</v>
      </c>
      <c r="AI159" s="15">
        <v>-0.996</v>
      </c>
      <c r="AJ159" s="15">
        <v>-0.66200000000000003</v>
      </c>
      <c r="AK159" s="9">
        <v>-0.81599999999999995</v>
      </c>
      <c r="AL159" s="4">
        <v>-0.372</v>
      </c>
      <c r="AM159" s="4">
        <v>-1</v>
      </c>
      <c r="AN159" s="4">
        <v>-0.68400000000000005</v>
      </c>
      <c r="AO159" s="4">
        <v>-3.5999999999999997E-2</v>
      </c>
      <c r="AP159" s="4">
        <v>0.64</v>
      </c>
      <c r="AQ159" s="4">
        <v>0.22700000000000001</v>
      </c>
      <c r="AR159" s="4">
        <v>0.53700000000000003</v>
      </c>
      <c r="AS159" s="4">
        <v>0.52</v>
      </c>
      <c r="AT159" s="4">
        <v>0.53400000000000003</v>
      </c>
      <c r="AU159" s="4">
        <v>1.2E-2</v>
      </c>
      <c r="AV159" s="4">
        <v>-9.0999999999999998E-2</v>
      </c>
      <c r="AW159" s="4">
        <v>7.0000000000000007E-2</v>
      </c>
      <c r="AX159" s="4">
        <v>0.26200000000000001</v>
      </c>
      <c r="AY159" s="4">
        <v>-0.33700000000000002</v>
      </c>
      <c r="AZ159" s="4">
        <v>0.79100000000000004</v>
      </c>
      <c r="BA159" s="4">
        <v>0.68</v>
      </c>
      <c r="BB159" s="4">
        <v>0.76500000000000001</v>
      </c>
      <c r="BC159" s="4">
        <v>-0.129</v>
      </c>
      <c r="BD159" s="4">
        <v>-0.59599999999999997</v>
      </c>
      <c r="BE159" s="4">
        <v>0.57799999999999996</v>
      </c>
      <c r="BF159" s="4">
        <v>-1</v>
      </c>
      <c r="BG159" s="4">
        <v>-1</v>
      </c>
      <c r="BH159" s="4">
        <v>-0.47199999999999998</v>
      </c>
      <c r="BI159" s="4">
        <v>-0.53900000000000003</v>
      </c>
      <c r="BJ159" s="4">
        <v>-0.105</v>
      </c>
      <c r="BK159" s="4">
        <v>-0.48099999999999998</v>
      </c>
      <c r="BL159" s="4">
        <v>-0.45700000000000002</v>
      </c>
      <c r="BM159" s="4"/>
    </row>
    <row r="160" spans="1:65" hidden="1" x14ac:dyDescent="0.3">
      <c r="A160" s="19" t="s">
        <v>156</v>
      </c>
      <c r="B160" s="53">
        <f t="shared" si="18"/>
        <v>0</v>
      </c>
      <c r="C160" s="53">
        <f t="shared" si="19"/>
        <v>-8.9999999999999993E-3</v>
      </c>
      <c r="D160" s="53">
        <f t="shared" si="20"/>
        <v>0</v>
      </c>
      <c r="E160" s="53">
        <f t="shared" si="21"/>
        <v>8.9999999999999993E-3</v>
      </c>
      <c r="F160" s="15">
        <v>0.56799999999999995</v>
      </c>
      <c r="G160" s="19">
        <v>0.75800000000000001</v>
      </c>
      <c r="H160" s="24" t="s">
        <v>55</v>
      </c>
      <c r="I160" t="str">
        <f>VLOOKUP(A160,Planilha6!$BL$9:$BN$222,2,0)</f>
        <v>transportation</v>
      </c>
      <c r="J160" t="str">
        <f>VLOOKUP(A160,Planilha6!$BL$9:$BN$222,3,0)</f>
        <v>very_high_beta</v>
      </c>
      <c r="K160" s="2">
        <v>0</v>
      </c>
      <c r="L160" s="2">
        <v>-8.9999999999999993E-3</v>
      </c>
      <c r="M160" s="15">
        <v>84</v>
      </c>
      <c r="N160" s="41">
        <f>VLOOKUP(A160,'Mandato Smll'!$A$2:$C$215,2,0)</f>
        <v>0</v>
      </c>
      <c r="O160" s="59">
        <f t="shared" si="22"/>
        <v>0</v>
      </c>
      <c r="P160" s="42">
        <f t="shared" si="23"/>
        <v>0</v>
      </c>
      <c r="Q160" s="41">
        <f>VLOOKUP(A160,'Mandato Smll'!$A$2:$C$215,3,0)</f>
        <v>2.1061987677873199E-2</v>
      </c>
      <c r="R160" s="59">
        <f t="shared" si="24"/>
        <v>-2.1061987677873199E-2</v>
      </c>
      <c r="S160" s="15">
        <v>-0.74299999999999999</v>
      </c>
      <c r="T160" s="15">
        <v>-0.56999999999999995</v>
      </c>
      <c r="U160" s="15">
        <v>-0.86699999999999999</v>
      </c>
      <c r="V160" s="15">
        <v>-0.59299999999999997</v>
      </c>
      <c r="W160" s="15">
        <v>-0.66</v>
      </c>
      <c r="X160" s="15">
        <v>-0.66300000000000003</v>
      </c>
      <c r="Y160" s="15">
        <v>-0.51200000000000001</v>
      </c>
      <c r="Z160" s="15">
        <v>-0.71299999999999997</v>
      </c>
      <c r="AA160" s="15">
        <v>0.24399999999999999</v>
      </c>
      <c r="AB160" s="15">
        <v>0.247</v>
      </c>
      <c r="AC160" s="15">
        <v>0.57899999999999996</v>
      </c>
      <c r="AD160" s="15">
        <v>0.71099999999999997</v>
      </c>
      <c r="AE160" s="15">
        <v>0.376</v>
      </c>
      <c r="AF160" s="14">
        <v>-0.82499999999999996</v>
      </c>
      <c r="AG160" s="15">
        <v>0.27400000000000002</v>
      </c>
      <c r="AH160" s="15">
        <v>0.58899999999999997</v>
      </c>
      <c r="AI160" s="15">
        <v>-0.42599999999999999</v>
      </c>
      <c r="AJ160" s="15">
        <v>-0.40799999999999997</v>
      </c>
      <c r="AK160" s="9">
        <v>-0.77700000000000002</v>
      </c>
      <c r="AL160" s="4">
        <v>-0.122</v>
      </c>
      <c r="AM160" s="4">
        <v>-0.56599999999999995</v>
      </c>
      <c r="AN160" s="4">
        <v>-1E-3</v>
      </c>
      <c r="AO160" s="4">
        <v>0.22800000000000001</v>
      </c>
      <c r="AP160" s="4">
        <v>0.121</v>
      </c>
      <c r="AQ160" s="4">
        <v>-0.438</v>
      </c>
      <c r="AR160" s="4">
        <v>0.57999999999999996</v>
      </c>
      <c r="AS160" s="4">
        <v>-0.19800000000000001</v>
      </c>
      <c r="AT160" s="4">
        <v>-0.29299999999999998</v>
      </c>
      <c r="AU160" s="4">
        <v>0.11899999999999999</v>
      </c>
      <c r="AV160" s="4">
        <v>0.23300000000000001</v>
      </c>
      <c r="AW160" s="4">
        <v>-0.32300000000000001</v>
      </c>
      <c r="AX160" s="4">
        <v>-0.318</v>
      </c>
      <c r="AY160" s="4">
        <v>-0.95699999999999996</v>
      </c>
      <c r="AZ160" s="4">
        <v>0.92800000000000005</v>
      </c>
      <c r="BA160" s="4">
        <v>-0.34499999999999997</v>
      </c>
      <c r="BB160" s="4">
        <v>0.39300000000000002</v>
      </c>
      <c r="BC160" s="4">
        <v>-0.70699999999999996</v>
      </c>
      <c r="BD160" s="4">
        <v>-1</v>
      </c>
      <c r="BE160" s="4">
        <v>5.0000000000000001E-3</v>
      </c>
      <c r="BF160" s="4">
        <v>-0.20899999999999999</v>
      </c>
      <c r="BG160" s="4">
        <v>0.51600000000000001</v>
      </c>
      <c r="BH160" s="4">
        <v>0.13200000000000001</v>
      </c>
      <c r="BI160" s="4">
        <v>-0.24199999999999999</v>
      </c>
      <c r="BJ160" s="4">
        <v>0.93600000000000005</v>
      </c>
      <c r="BK160" s="4">
        <v>-0.25600000000000001</v>
      </c>
      <c r="BL160" s="4">
        <v>6.3E-2</v>
      </c>
      <c r="BM160" s="4"/>
    </row>
    <row r="161" spans="1:65" hidden="1" x14ac:dyDescent="0.3">
      <c r="A161" s="19" t="s">
        <v>229</v>
      </c>
      <c r="B161" s="53">
        <f t="shared" si="18"/>
        <v>0</v>
      </c>
      <c r="C161" s="53">
        <f t="shared" si="19"/>
        <v>-6.0000000000000001E-3</v>
      </c>
      <c r="D161" s="53">
        <f t="shared" si="20"/>
        <v>0</v>
      </c>
      <c r="E161" s="53">
        <f t="shared" si="21"/>
        <v>6.0000000000000001E-3</v>
      </c>
      <c r="F161" s="15">
        <v>0.56699999999999995</v>
      </c>
      <c r="G161" s="19">
        <v>0.47</v>
      </c>
      <c r="H161" s="24" t="s">
        <v>71</v>
      </c>
      <c r="I161" t="str">
        <f>VLOOKUP(A161,Planilha6!$BL$9:$BN$222,2,0)</f>
        <v>food</v>
      </c>
      <c r="J161" t="str">
        <f>VLOOKUP(A161,Planilha6!$BL$9:$BN$222,3,0)</f>
        <v>very_low_beta</v>
      </c>
      <c r="K161" s="2">
        <v>0</v>
      </c>
      <c r="L161" s="2">
        <v>-6.0000000000000001E-3</v>
      </c>
      <c r="M161" s="15">
        <v>84</v>
      </c>
      <c r="N161" s="41">
        <f>VLOOKUP(A161,'Mandato Smll'!$A$2:$C$215,2,0)</f>
        <v>0</v>
      </c>
      <c r="O161" s="59">
        <f t="shared" si="22"/>
        <v>0</v>
      </c>
      <c r="P161" s="42">
        <f t="shared" si="23"/>
        <v>0</v>
      </c>
      <c r="Q161" s="41">
        <f>VLOOKUP(A161,'Mandato Smll'!$A$2:$C$215,3,0)</f>
        <v>0</v>
      </c>
      <c r="R161" s="59">
        <f t="shared" si="24"/>
        <v>0</v>
      </c>
      <c r="S161" s="15">
        <v>-0.80700000000000005</v>
      </c>
      <c r="T161" s="15">
        <v>-0.69699999999999995</v>
      </c>
      <c r="U161" s="15">
        <v>-0.873</v>
      </c>
      <c r="V161" s="15">
        <v>-0.79300000000000004</v>
      </c>
      <c r="W161" s="15">
        <v>-0.77500000000000002</v>
      </c>
      <c r="X161" s="15">
        <v>-0.67900000000000005</v>
      </c>
      <c r="Y161" s="15">
        <v>-0.66800000000000004</v>
      </c>
      <c r="Z161" s="15">
        <v>-0.70599999999999996</v>
      </c>
      <c r="AA161" s="15">
        <v>0.44400000000000001</v>
      </c>
      <c r="AB161" s="15">
        <v>0.44600000000000001</v>
      </c>
      <c r="AC161" s="15">
        <v>0.59899999999999998</v>
      </c>
      <c r="AD161" s="15">
        <v>0.71299999999999997</v>
      </c>
      <c r="AE161" s="15">
        <v>0.47899999999999998</v>
      </c>
      <c r="AF161" s="14">
        <v>-0.77800000000000002</v>
      </c>
      <c r="AG161" s="15">
        <v>-0.55400000000000005</v>
      </c>
      <c r="AH161" s="15">
        <v>-0.122</v>
      </c>
      <c r="AI161" s="15">
        <v>-0.44400000000000001</v>
      </c>
      <c r="AJ161" s="15">
        <v>-0.46800000000000003</v>
      </c>
      <c r="AK161" s="9">
        <v>-0.82299999999999995</v>
      </c>
      <c r="AL161" s="4">
        <v>-0.33400000000000002</v>
      </c>
      <c r="AM161" s="4">
        <v>-0.46899999999999997</v>
      </c>
      <c r="AN161" s="4">
        <v>-6.6000000000000003E-2</v>
      </c>
      <c r="AO161" s="4">
        <v>-0.12</v>
      </c>
      <c r="AP161" s="4">
        <v>2.3E-2</v>
      </c>
      <c r="AQ161" s="4">
        <v>0.19400000000000001</v>
      </c>
      <c r="AR161" s="4">
        <v>-0.317</v>
      </c>
      <c r="AS161" s="4">
        <v>0.59499999999999997</v>
      </c>
      <c r="AT161" s="4">
        <v>0.36599999999999999</v>
      </c>
      <c r="AU161" s="4">
        <v>-2.5000000000000001E-2</v>
      </c>
      <c r="AV161" s="4">
        <v>-0.113</v>
      </c>
      <c r="AW161" s="4">
        <v>-0.44800000000000001</v>
      </c>
      <c r="AX161" s="4">
        <v>0.19700000000000001</v>
      </c>
      <c r="AY161" s="4">
        <v>-0.26500000000000001</v>
      </c>
      <c r="AZ161" s="4">
        <v>0.57099999999999995</v>
      </c>
      <c r="BA161" s="4">
        <v>-0.223</v>
      </c>
      <c r="BB161" s="4">
        <v>0.48699999999999999</v>
      </c>
      <c r="BC161" s="4">
        <v>-9.1999999999999998E-2</v>
      </c>
      <c r="BD161" s="4">
        <v>-0.443</v>
      </c>
      <c r="BE161" s="4">
        <v>0.105</v>
      </c>
      <c r="BF161" s="4">
        <v>0.36899999999999999</v>
      </c>
      <c r="BG161" s="4">
        <v>0.56100000000000005</v>
      </c>
      <c r="BH161" s="4">
        <v>0.26900000000000002</v>
      </c>
      <c r="BI161" s="4">
        <v>-0.06</v>
      </c>
      <c r="BJ161" s="4">
        <v>-0.85599999999999998</v>
      </c>
      <c r="BK161" s="4">
        <v>-0.20300000000000001</v>
      </c>
      <c r="BL161" s="4">
        <v>9.4E-2</v>
      </c>
      <c r="BM161" s="4"/>
    </row>
    <row r="162" spans="1:65" hidden="1" x14ac:dyDescent="0.3">
      <c r="A162" s="19" t="s">
        <v>170</v>
      </c>
      <c r="B162" s="53">
        <f t="shared" si="18"/>
        <v>0</v>
      </c>
      <c r="C162" s="53">
        <f t="shared" si="19"/>
        <v>-5.0000000000000001E-3</v>
      </c>
      <c r="D162" s="53">
        <f t="shared" si="20"/>
        <v>0</v>
      </c>
      <c r="E162" s="53">
        <f t="shared" si="21"/>
        <v>5.0000000000000001E-3</v>
      </c>
      <c r="F162" s="15">
        <v>0.56599999999999995</v>
      </c>
      <c r="G162" s="19">
        <v>0.54200000000000004</v>
      </c>
      <c r="H162" s="24" t="s">
        <v>57</v>
      </c>
      <c r="I162" t="str">
        <f>VLOOKUP(A162,Planilha6!$BL$9:$BN$222,2,0)</f>
        <v>consumer_durables</v>
      </c>
      <c r="J162" t="str">
        <f>VLOOKUP(A162,Planilha6!$BL$9:$BN$222,3,0)</f>
        <v>high_beta</v>
      </c>
      <c r="K162" s="2">
        <v>0</v>
      </c>
      <c r="L162" s="2">
        <v>-5.0000000000000001E-3</v>
      </c>
      <c r="M162" s="15">
        <v>84</v>
      </c>
      <c r="N162" s="41">
        <f>VLOOKUP(A162,'Mandato Smll'!$A$2:$C$215,2,0)</f>
        <v>0</v>
      </c>
      <c r="O162" s="59">
        <f t="shared" si="22"/>
        <v>0</v>
      </c>
      <c r="P162" s="42">
        <f t="shared" si="23"/>
        <v>0</v>
      </c>
      <c r="Q162" s="41">
        <f>VLOOKUP(A162,'Mandato Smll'!$A$2:$C$215,3,0)</f>
        <v>0</v>
      </c>
      <c r="R162" s="59">
        <f t="shared" si="24"/>
        <v>0</v>
      </c>
      <c r="S162" s="15">
        <v>-0.57899999999999996</v>
      </c>
      <c r="T162" s="15">
        <v>-0.621</v>
      </c>
      <c r="U162" s="15">
        <v>-0.54600000000000004</v>
      </c>
      <c r="V162" s="15">
        <v>-0.68200000000000005</v>
      </c>
      <c r="W162" s="15">
        <v>-0.65</v>
      </c>
      <c r="X162" s="15">
        <v>-0.60899999999999999</v>
      </c>
      <c r="Y162" s="15">
        <v>-0.56599999999999995</v>
      </c>
      <c r="Z162" s="15">
        <v>-0.71099999999999997</v>
      </c>
      <c r="AA162" s="15">
        <v>4.5999999999999999E-2</v>
      </c>
      <c r="AB162" s="15">
        <v>4.7E-2</v>
      </c>
      <c r="AC162" s="15">
        <v>0.52500000000000002</v>
      </c>
      <c r="AD162" s="15">
        <v>0.439</v>
      </c>
      <c r="AE162" s="15">
        <v>0.30099999999999999</v>
      </c>
      <c r="AF162" s="14">
        <v>-0.312</v>
      </c>
      <c r="AG162" s="15">
        <v>-0.17</v>
      </c>
      <c r="AH162" s="15">
        <v>-0.63600000000000001</v>
      </c>
      <c r="AI162" s="15">
        <v>-0.255</v>
      </c>
      <c r="AJ162" s="15">
        <v>-0.51500000000000001</v>
      </c>
      <c r="AK162" s="9">
        <v>-8.6999999999999994E-2</v>
      </c>
      <c r="AL162" s="4">
        <v>-0.19</v>
      </c>
      <c r="AM162" s="4">
        <v>-0.60599999999999998</v>
      </c>
      <c r="AN162" s="4">
        <v>-0.35499999999999998</v>
      </c>
      <c r="AO162" s="4">
        <v>0.28399999999999997</v>
      </c>
      <c r="AP162" s="4">
        <v>-0.39700000000000002</v>
      </c>
      <c r="AQ162" s="4">
        <v>-0.32300000000000001</v>
      </c>
      <c r="AR162" s="4">
        <v>0.32700000000000001</v>
      </c>
      <c r="AS162" s="4">
        <v>3.4000000000000002E-2</v>
      </c>
      <c r="AT162" s="4">
        <v>9.7000000000000003E-2</v>
      </c>
      <c r="AU162" s="4">
        <v>0.32300000000000001</v>
      </c>
      <c r="AV162" s="4">
        <v>-0.17699999999999999</v>
      </c>
      <c r="AW162" s="4">
        <v>6.4000000000000001E-2</v>
      </c>
      <c r="AX162" s="4">
        <v>-0.38700000000000001</v>
      </c>
      <c r="AY162" s="4">
        <v>-0.28299999999999997</v>
      </c>
      <c r="AZ162" s="4">
        <v>0.77400000000000002</v>
      </c>
      <c r="BA162" s="4">
        <v>0.49299999999999999</v>
      </c>
      <c r="BB162" s="4">
        <v>0.63800000000000001</v>
      </c>
      <c r="BC162" s="4">
        <v>-0.10199999999999999</v>
      </c>
      <c r="BD162" s="4">
        <v>-0.29399999999999998</v>
      </c>
      <c r="BE162" s="4">
        <v>0.221</v>
      </c>
      <c r="BF162" s="4">
        <v>-0.27500000000000002</v>
      </c>
      <c r="BG162" s="4">
        <v>-0.28000000000000003</v>
      </c>
      <c r="BH162" s="4">
        <v>0.45200000000000001</v>
      </c>
      <c r="BI162" s="4">
        <v>-0.17</v>
      </c>
      <c r="BJ162" s="4">
        <v>0.23899999999999999</v>
      </c>
      <c r="BK162" s="4">
        <v>-0.17699999999999999</v>
      </c>
      <c r="BL162" s="4">
        <v>-8.9999999999999993E-3</v>
      </c>
      <c r="BM162" s="4"/>
    </row>
    <row r="163" spans="1:65" hidden="1" x14ac:dyDescent="0.3">
      <c r="A163" s="19" t="s">
        <v>250</v>
      </c>
      <c r="B163" s="53">
        <f t="shared" si="18"/>
        <v>0</v>
      </c>
      <c r="C163" s="53">
        <f t="shared" si="19"/>
        <v>-4.0000000000000001E-3</v>
      </c>
      <c r="D163" s="53">
        <f t="shared" si="20"/>
        <v>0</v>
      </c>
      <c r="E163" s="53">
        <f t="shared" si="21"/>
        <v>4.0000000000000001E-3</v>
      </c>
      <c r="F163" s="15">
        <v>0.56599999999999995</v>
      </c>
      <c r="G163" s="19">
        <v>0.44600000000000001</v>
      </c>
      <c r="H163" s="24" t="s">
        <v>57</v>
      </c>
      <c r="I163" t="str">
        <f>VLOOKUP(A163,Planilha6!$BL$9:$BN$222,2,0)</f>
        <v>tech</v>
      </c>
      <c r="J163" t="str">
        <f>VLOOKUP(A163,Planilha6!$BL$9:$BN$222,3,0)</f>
        <v>very_high_beta</v>
      </c>
      <c r="K163" s="2">
        <v>0</v>
      </c>
      <c r="L163" s="2">
        <v>-4.0000000000000001E-3</v>
      </c>
      <c r="M163" s="15">
        <v>84</v>
      </c>
      <c r="N163" s="41">
        <f>VLOOKUP(A163,'Mandato Smll'!$A$2:$C$215,2,0)</f>
        <v>0</v>
      </c>
      <c r="O163" s="59">
        <f t="shared" si="22"/>
        <v>0</v>
      </c>
      <c r="P163" s="42">
        <f t="shared" si="23"/>
        <v>0</v>
      </c>
      <c r="Q163" s="41">
        <f>VLOOKUP(A163,'Mandato Smll'!$A$2:$C$215,3,0)</f>
        <v>0</v>
      </c>
      <c r="R163" s="59">
        <f t="shared" si="24"/>
        <v>0</v>
      </c>
      <c r="S163" s="15">
        <v>-0.32600000000000001</v>
      </c>
      <c r="T163" s="15">
        <v>-0.70099999999999996</v>
      </c>
      <c r="U163" s="15">
        <v>-0.16400000000000001</v>
      </c>
      <c r="V163" s="15">
        <v>-0.65700000000000003</v>
      </c>
      <c r="W163" s="15">
        <v>-0.65500000000000003</v>
      </c>
      <c r="X163" s="15">
        <v>-0.63500000000000001</v>
      </c>
      <c r="Y163" s="15">
        <v>-0.67900000000000005</v>
      </c>
      <c r="Z163" s="15">
        <v>-0.746</v>
      </c>
      <c r="AA163" s="15">
        <v>-0.13600000000000001</v>
      </c>
      <c r="AB163" s="15">
        <v>-0.13800000000000001</v>
      </c>
      <c r="AC163" s="15">
        <v>0.40400000000000003</v>
      </c>
      <c r="AD163" s="15">
        <v>0.56499999999999995</v>
      </c>
      <c r="AE163" s="15">
        <v>0.14899999999999999</v>
      </c>
      <c r="AF163" s="14">
        <v>-6.9000000000000006E-2</v>
      </c>
      <c r="AG163" s="15">
        <v>-0.13600000000000001</v>
      </c>
      <c r="AH163" s="15">
        <v>-0.76100000000000001</v>
      </c>
      <c r="AI163" s="15">
        <v>-0.31</v>
      </c>
      <c r="AJ163" s="15">
        <v>-0.222</v>
      </c>
      <c r="AK163" s="9">
        <v>0.40600000000000003</v>
      </c>
      <c r="AL163" s="4">
        <v>-0.45600000000000002</v>
      </c>
      <c r="AM163" s="4">
        <v>-0.44900000000000001</v>
      </c>
      <c r="AN163" s="4">
        <v>-0.31900000000000001</v>
      </c>
      <c r="AO163" s="4">
        <v>0.35299999999999998</v>
      </c>
      <c r="AP163" s="4">
        <v>-0.217</v>
      </c>
      <c r="AQ163" s="4">
        <v>-0.217</v>
      </c>
      <c r="AR163" s="4">
        <v>-0.17799999999999999</v>
      </c>
      <c r="AS163" s="4">
        <v>0.877</v>
      </c>
      <c r="AT163" s="4">
        <v>0.20300000000000001</v>
      </c>
      <c r="AU163" s="4">
        <v>-0.24399999999999999</v>
      </c>
      <c r="AV163" s="4">
        <v>-0.436</v>
      </c>
      <c r="AW163" s="4">
        <v>0.33700000000000002</v>
      </c>
      <c r="AX163" s="4">
        <v>-0.39500000000000002</v>
      </c>
      <c r="AY163" s="4">
        <v>7.0999999999999994E-2</v>
      </c>
      <c r="AZ163" s="4">
        <v>0.76700000000000002</v>
      </c>
      <c r="BA163" s="4">
        <v>-1.7000000000000001E-2</v>
      </c>
      <c r="BB163" s="4">
        <v>0.155</v>
      </c>
      <c r="BC163" s="4">
        <v>0.39</v>
      </c>
      <c r="BD163" s="4">
        <v>5.7000000000000002E-2</v>
      </c>
      <c r="BE163" s="4">
        <v>0.372</v>
      </c>
      <c r="BF163" s="4">
        <v>-0.14099999999999999</v>
      </c>
      <c r="BG163" s="4">
        <v>3.6999999999999998E-2</v>
      </c>
      <c r="BH163" s="4">
        <v>0.19600000000000001</v>
      </c>
      <c r="BI163" s="4">
        <v>0.36099999999999999</v>
      </c>
      <c r="BJ163" s="4">
        <v>0.48199999999999998</v>
      </c>
      <c r="BK163" s="4">
        <v>4.1000000000000002E-2</v>
      </c>
      <c r="BL163" s="4">
        <v>0.19700000000000001</v>
      </c>
      <c r="BM163" s="4"/>
    </row>
    <row r="164" spans="1:65" hidden="1" x14ac:dyDescent="0.3">
      <c r="A164" s="19" t="s">
        <v>202</v>
      </c>
      <c r="B164" s="53">
        <f t="shared" si="18"/>
        <v>0</v>
      </c>
      <c r="C164" s="53">
        <f t="shared" si="19"/>
        <v>-7.0000000000000001E-3</v>
      </c>
      <c r="D164" s="53">
        <f t="shared" si="20"/>
        <v>0</v>
      </c>
      <c r="E164" s="53">
        <f t="shared" si="21"/>
        <v>7.0000000000000001E-3</v>
      </c>
      <c r="F164" s="15">
        <v>0.56299999999999994</v>
      </c>
      <c r="G164" s="19">
        <v>0.50900000000000001</v>
      </c>
      <c r="H164" s="24" t="s">
        <v>57</v>
      </c>
      <c r="I164" t="str">
        <f>VLOOKUP(A164,Planilha6!$BL$9:$BN$222,2,0)</f>
        <v>transportation</v>
      </c>
      <c r="J164" t="str">
        <f>VLOOKUP(A164,Planilha6!$BL$9:$BN$222,3,0)</f>
        <v>low_beta</v>
      </c>
      <c r="K164" s="2">
        <v>0</v>
      </c>
      <c r="L164" s="2">
        <v>-7.0000000000000001E-3</v>
      </c>
      <c r="M164" s="15">
        <v>84</v>
      </c>
      <c r="N164" s="41">
        <f>VLOOKUP(A164,'Mandato Smll'!$A$2:$C$215,2,0)</f>
        <v>0</v>
      </c>
      <c r="O164" s="59">
        <f t="shared" si="22"/>
        <v>0</v>
      </c>
      <c r="P164" s="42">
        <f t="shared" si="23"/>
        <v>0</v>
      </c>
      <c r="Q164" s="41">
        <f>VLOOKUP(A164,'Mandato Smll'!$A$2:$C$215,3,0)</f>
        <v>0</v>
      </c>
      <c r="R164" s="59">
        <f t="shared" si="24"/>
        <v>0</v>
      </c>
      <c r="S164" s="15">
        <v>-0.59899999999999998</v>
      </c>
      <c r="T164" s="15">
        <v>-0.56799999999999995</v>
      </c>
      <c r="U164" s="15">
        <v>-0.66900000000000004</v>
      </c>
      <c r="V164" s="15">
        <v>-0.75600000000000001</v>
      </c>
      <c r="W164" s="15">
        <v>-0.70799999999999996</v>
      </c>
      <c r="X164" s="15">
        <v>-0.60799999999999998</v>
      </c>
      <c r="Y164" s="15">
        <v>-0.48799999999999999</v>
      </c>
      <c r="Z164" s="15">
        <v>-0.755</v>
      </c>
      <c r="AA164" s="15">
        <v>0.16700000000000001</v>
      </c>
      <c r="AB164" s="15">
        <v>0.16500000000000001</v>
      </c>
      <c r="AC164" s="15">
        <v>0.54200000000000004</v>
      </c>
      <c r="AD164" s="15">
        <v>0.45</v>
      </c>
      <c r="AE164" s="15">
        <v>0.25900000000000001</v>
      </c>
      <c r="AF164" s="14">
        <v>-0.53300000000000003</v>
      </c>
      <c r="AG164" s="15">
        <v>-0.51700000000000002</v>
      </c>
      <c r="AH164" s="15">
        <v>-0.70299999999999996</v>
      </c>
      <c r="AI164" s="15">
        <v>-0.67100000000000004</v>
      </c>
      <c r="AJ164" s="15">
        <v>-0.30299999999999999</v>
      </c>
      <c r="AK164" s="9">
        <v>-0.81399999999999995</v>
      </c>
      <c r="AL164" s="4">
        <v>-0.17499999999999999</v>
      </c>
      <c r="AM164" s="4">
        <v>-1</v>
      </c>
      <c r="AN164" s="4">
        <v>-0.755</v>
      </c>
      <c r="AO164" s="4">
        <v>0.33</v>
      </c>
      <c r="AP164" s="4">
        <v>-7.5999999999999998E-2</v>
      </c>
      <c r="AQ164" s="4">
        <v>-6.3E-2</v>
      </c>
      <c r="AR164" s="4">
        <v>-0.28100000000000003</v>
      </c>
      <c r="AS164" s="4">
        <v>0.375</v>
      </c>
      <c r="AT164" s="4">
        <v>0.52500000000000002</v>
      </c>
      <c r="AU164" s="4">
        <v>-0.18</v>
      </c>
      <c r="AV164" s="4">
        <v>3.5999999999999997E-2</v>
      </c>
      <c r="AW164" s="4">
        <v>8.9999999999999993E-3</v>
      </c>
      <c r="AX164" s="4">
        <v>0.14599999999999999</v>
      </c>
      <c r="AY164" s="4">
        <v>-0.185</v>
      </c>
      <c r="AZ164" s="4">
        <v>-0.20300000000000001</v>
      </c>
      <c r="BA164" s="4">
        <v>7.3999999999999996E-2</v>
      </c>
      <c r="BB164" s="4">
        <v>0.874</v>
      </c>
      <c r="BC164" s="4">
        <v>-0.106</v>
      </c>
      <c r="BD164" s="4">
        <v>-0.13500000000000001</v>
      </c>
      <c r="BE164" s="4">
        <v>0.65800000000000003</v>
      </c>
      <c r="BF164" s="4">
        <v>0.188</v>
      </c>
      <c r="BG164" s="4">
        <v>-0.23300000000000001</v>
      </c>
      <c r="BH164" s="4">
        <v>0.60699999999999998</v>
      </c>
      <c r="BI164" s="4">
        <v>-0.252</v>
      </c>
      <c r="BJ164" s="4">
        <v>0.16200000000000001</v>
      </c>
      <c r="BK164" s="4">
        <v>0.52400000000000002</v>
      </c>
      <c r="BL164" s="4">
        <v>0.191</v>
      </c>
      <c r="BM164" s="4"/>
    </row>
    <row r="165" spans="1:65" hidden="1" x14ac:dyDescent="0.3">
      <c r="A165" s="19" t="s">
        <v>220</v>
      </c>
      <c r="B165" s="53">
        <f t="shared" si="18"/>
        <v>0</v>
      </c>
      <c r="C165" s="53">
        <f t="shared" si="19"/>
        <v>0</v>
      </c>
      <c r="D165" s="53">
        <f t="shared" si="20"/>
        <v>0</v>
      </c>
      <c r="E165" s="53">
        <f t="shared" si="21"/>
        <v>0</v>
      </c>
      <c r="F165" s="15">
        <v>0.55900000000000005</v>
      </c>
      <c r="G165" s="19">
        <v>0.58199999999999996</v>
      </c>
      <c r="H165" s="24" t="s">
        <v>57</v>
      </c>
      <c r="I165" t="str">
        <f>VLOOKUP(A165,Planilha6!$BL$9:$BN$222,2,0)</f>
        <v>consumer_services</v>
      </c>
      <c r="J165" t="str">
        <f>VLOOKUP(A165,Planilha6!$BL$9:$BN$222,3,0)</f>
        <v>very_high_beta</v>
      </c>
      <c r="K165" s="2">
        <v>0</v>
      </c>
      <c r="L165" s="2">
        <v>0</v>
      </c>
      <c r="M165" s="15">
        <v>17</v>
      </c>
      <c r="N165" s="41">
        <f>VLOOKUP(A165,'Mandato Smll'!$A$2:$C$215,2,0)</f>
        <v>0</v>
      </c>
      <c r="O165" s="59">
        <f t="shared" si="22"/>
        <v>0</v>
      </c>
      <c r="P165" s="42">
        <f t="shared" si="23"/>
        <v>0</v>
      </c>
      <c r="Q165" s="41">
        <f>VLOOKUP(A165,'Mandato Smll'!$A$2:$C$215,3,0)</f>
        <v>0</v>
      </c>
      <c r="R165" s="59">
        <f t="shared" si="24"/>
        <v>0</v>
      </c>
      <c r="S165" s="15">
        <v>-0.77400000000000002</v>
      </c>
      <c r="T165" s="15">
        <v>-0.63200000000000001</v>
      </c>
      <c r="U165" s="15">
        <v>-0.93500000000000005</v>
      </c>
      <c r="V165" s="15">
        <v>-0.72799999999999998</v>
      </c>
      <c r="W165" s="15">
        <v>-0.76500000000000001</v>
      </c>
      <c r="X165" s="15">
        <v>-0.71499999999999997</v>
      </c>
      <c r="Y165" s="15">
        <v>-0.66400000000000003</v>
      </c>
      <c r="Z165" s="15">
        <v>-0.69</v>
      </c>
      <c r="AA165" s="15">
        <v>0.19800000000000001</v>
      </c>
      <c r="AB165" s="15">
        <v>0.19900000000000001</v>
      </c>
      <c r="AC165" s="15">
        <v>0.59899999999999998</v>
      </c>
      <c r="AD165" s="15">
        <v>0.621</v>
      </c>
      <c r="AE165" s="15">
        <v>0.42699999999999999</v>
      </c>
      <c r="AF165" s="14">
        <v>-0.46800000000000003</v>
      </c>
      <c r="AG165" s="15">
        <v>-0.61199999999999999</v>
      </c>
      <c r="AH165" s="15">
        <v>-0.32300000000000001</v>
      </c>
      <c r="AI165" s="15">
        <v>-0.98699999999999999</v>
      </c>
      <c r="AJ165" s="15">
        <v>-0.78</v>
      </c>
      <c r="AK165" s="9">
        <v>-1</v>
      </c>
      <c r="AL165" s="4">
        <v>-0.188</v>
      </c>
      <c r="AM165" s="4">
        <v>-0.44800000000000001</v>
      </c>
      <c r="AN165" s="4">
        <v>-0.497</v>
      </c>
      <c r="AO165" s="4">
        <v>0.129</v>
      </c>
      <c r="AP165" s="4">
        <v>0.29699999999999999</v>
      </c>
      <c r="AQ165" s="4">
        <v>0.46600000000000003</v>
      </c>
      <c r="AR165" s="4">
        <v>2.3E-2</v>
      </c>
      <c r="AS165" s="4">
        <v>0.159</v>
      </c>
      <c r="AT165" s="4">
        <v>0.16800000000000001</v>
      </c>
      <c r="AU165" s="4">
        <v>8.3000000000000004E-2</v>
      </c>
      <c r="AV165" s="4">
        <v>-0.29699999999999999</v>
      </c>
      <c r="AW165" s="4">
        <v>-2.1000000000000001E-2</v>
      </c>
      <c r="AX165" s="4">
        <v>-6.9000000000000006E-2</v>
      </c>
      <c r="AY165" s="4">
        <v>-0.26</v>
      </c>
      <c r="AZ165" s="4">
        <v>0.51900000000000002</v>
      </c>
      <c r="BA165" s="4">
        <v>-9.5000000000000001E-2</v>
      </c>
      <c r="BB165" s="4">
        <v>0.27300000000000002</v>
      </c>
      <c r="BC165" s="4">
        <v>4.1000000000000002E-2</v>
      </c>
      <c r="BD165" s="4">
        <v>-0.128</v>
      </c>
      <c r="BE165" s="4">
        <v>0.29899999999999999</v>
      </c>
      <c r="BF165" s="4">
        <v>-0.52900000000000003</v>
      </c>
      <c r="BG165" s="4">
        <v>-0.74099999999999999</v>
      </c>
      <c r="BH165" s="4">
        <v>0.19900000000000001</v>
      </c>
      <c r="BI165" s="4">
        <v>-0.11799999999999999</v>
      </c>
      <c r="BJ165" s="4">
        <v>0.4</v>
      </c>
      <c r="BK165" s="4">
        <v>-0.54200000000000004</v>
      </c>
      <c r="BL165" s="4">
        <v>-0.52700000000000002</v>
      </c>
      <c r="BM165" s="4"/>
    </row>
    <row r="166" spans="1:65" hidden="1" x14ac:dyDescent="0.3">
      <c r="A166" s="19" t="s">
        <v>140</v>
      </c>
      <c r="B166" s="53">
        <f t="shared" si="18"/>
        <v>0</v>
      </c>
      <c r="C166" s="53">
        <f t="shared" si="19"/>
        <v>0</v>
      </c>
      <c r="D166" s="53">
        <f t="shared" si="20"/>
        <v>0</v>
      </c>
      <c r="E166" s="53">
        <f t="shared" si="21"/>
        <v>0</v>
      </c>
      <c r="F166" s="15">
        <v>0.55600000000000005</v>
      </c>
      <c r="G166" s="19">
        <v>0.38900000000000001</v>
      </c>
      <c r="H166" s="24" t="s">
        <v>71</v>
      </c>
      <c r="I166" t="str">
        <f>VLOOKUP(A166,Planilha6!$BL$9:$BN$222,2,0)</f>
        <v>food</v>
      </c>
      <c r="J166" t="str">
        <f>VLOOKUP(A166,Planilha6!$BL$9:$BN$222,3,0)</f>
        <v>very_low_beta</v>
      </c>
      <c r="K166" s="2">
        <v>0</v>
      </c>
      <c r="L166" s="2">
        <v>0</v>
      </c>
      <c r="M166" s="15">
        <v>37</v>
      </c>
      <c r="N166" s="41">
        <f>VLOOKUP(A166,'Mandato Smll'!$A$2:$C$215,2,0)</f>
        <v>0</v>
      </c>
      <c r="O166" s="59">
        <f t="shared" si="22"/>
        <v>0</v>
      </c>
      <c r="P166" s="42">
        <f t="shared" si="23"/>
        <v>0</v>
      </c>
      <c r="Q166" s="41">
        <f>VLOOKUP(A166,'Mandato Smll'!$A$2:$C$215,3,0)</f>
        <v>0</v>
      </c>
      <c r="R166" s="59">
        <f t="shared" si="24"/>
        <v>0</v>
      </c>
      <c r="S166" s="15">
        <v>-0.95299999999999996</v>
      </c>
      <c r="T166" s="15">
        <v>-0.84699999999999998</v>
      </c>
      <c r="U166" s="15">
        <v>-1</v>
      </c>
      <c r="V166" s="15">
        <v>-0.77</v>
      </c>
      <c r="W166" s="15">
        <v>-0.82299999999999995</v>
      </c>
      <c r="X166" s="15">
        <v>-0.82899999999999996</v>
      </c>
      <c r="Y166" s="15">
        <v>-0.82499999999999996</v>
      </c>
      <c r="Z166" s="15">
        <v>-0.34399999999999997</v>
      </c>
      <c r="AA166" s="15">
        <v>0.373</v>
      </c>
      <c r="AB166" s="15">
        <v>0.371</v>
      </c>
      <c r="AC166" s="15">
        <v>0.47499999999999998</v>
      </c>
      <c r="AD166" s="15">
        <v>0.70499999999999996</v>
      </c>
      <c r="AE166" s="15">
        <v>0.246</v>
      </c>
      <c r="AF166" s="14">
        <v>-0.41299999999999998</v>
      </c>
      <c r="AG166" s="15">
        <v>-0.35599999999999998</v>
      </c>
      <c r="AH166" s="15">
        <v>-0.48199999999999998</v>
      </c>
      <c r="AI166" s="15">
        <v>-0.67900000000000005</v>
      </c>
      <c r="AJ166" s="15">
        <v>-1</v>
      </c>
      <c r="AK166" s="9">
        <v>-0.99</v>
      </c>
      <c r="AL166" s="4">
        <v>0.155</v>
      </c>
      <c r="AM166" s="4">
        <v>0.91400000000000003</v>
      </c>
      <c r="AN166" s="4">
        <v>-0.497</v>
      </c>
      <c r="AO166" s="4">
        <v>-0.32900000000000001</v>
      </c>
      <c r="AP166" s="4">
        <v>3.2000000000000001E-2</v>
      </c>
      <c r="AQ166" s="4">
        <v>-0.314</v>
      </c>
      <c r="AR166" s="4">
        <v>-0.17</v>
      </c>
      <c r="AS166" s="4">
        <v>-0.30499999999999999</v>
      </c>
      <c r="AT166" s="4">
        <v>-0.11600000000000001</v>
      </c>
      <c r="AU166" s="4">
        <v>0.16900000000000001</v>
      </c>
      <c r="AV166" s="4">
        <v>-0.46800000000000003</v>
      </c>
      <c r="AW166" s="4">
        <v>-0.312</v>
      </c>
      <c r="AX166" s="4">
        <v>6.0000000000000001E-3</v>
      </c>
      <c r="AY166" s="4">
        <v>-0.58199999999999996</v>
      </c>
      <c r="AZ166" s="4">
        <v>0.76600000000000001</v>
      </c>
      <c r="BA166" s="4">
        <v>-2.5999999999999999E-2</v>
      </c>
      <c r="BB166" s="4">
        <v>-0.36299999999999999</v>
      </c>
      <c r="BC166" s="4">
        <v>0.51300000000000001</v>
      </c>
      <c r="BD166" s="4">
        <v>0.02</v>
      </c>
      <c r="BE166" s="4">
        <v>7.3999999999999996E-2</v>
      </c>
      <c r="BF166" s="4">
        <v>-0.33</v>
      </c>
      <c r="BG166" s="4">
        <v>-0.32600000000000001</v>
      </c>
      <c r="BH166" s="4">
        <v>-0.77600000000000002</v>
      </c>
      <c r="BI166" s="4">
        <v>-0.82799999999999996</v>
      </c>
      <c r="BJ166" s="4">
        <v>-0.77100000000000002</v>
      </c>
      <c r="BK166" s="4">
        <v>-0.47599999999999998</v>
      </c>
      <c r="BL166" s="4">
        <v>-0.52200000000000002</v>
      </c>
      <c r="BM166" s="4"/>
    </row>
    <row r="167" spans="1:65" hidden="1" x14ac:dyDescent="0.3">
      <c r="A167" s="19" t="s">
        <v>169</v>
      </c>
      <c r="B167" s="53">
        <f t="shared" si="18"/>
        <v>0</v>
      </c>
      <c r="C167" s="53">
        <f t="shared" si="19"/>
        <v>-3.0000000000000001E-3</v>
      </c>
      <c r="D167" s="53">
        <f t="shared" si="20"/>
        <v>0</v>
      </c>
      <c r="E167" s="53">
        <f t="shared" si="21"/>
        <v>3.0000000000000001E-3</v>
      </c>
      <c r="F167" s="15">
        <v>0.55300000000000005</v>
      </c>
      <c r="G167" s="19">
        <v>0.59</v>
      </c>
      <c r="H167" s="24" t="s">
        <v>57</v>
      </c>
      <c r="I167" t="str">
        <f>VLOOKUP(A167,Planilha6!$BL$9:$BN$222,2,0)</f>
        <v>homebuilders</v>
      </c>
      <c r="J167" t="str">
        <f>VLOOKUP(A167,Planilha6!$BL$9:$BN$222,3,0)</f>
        <v>very_high_beta</v>
      </c>
      <c r="K167" s="2">
        <v>0</v>
      </c>
      <c r="L167" s="2">
        <v>-3.0000000000000001E-3</v>
      </c>
      <c r="M167" s="15">
        <v>83</v>
      </c>
      <c r="N167" s="41">
        <f>VLOOKUP(A167,'Mandato Smll'!$A$2:$C$215,2,0)</f>
        <v>0</v>
      </c>
      <c r="O167" s="59">
        <f t="shared" si="22"/>
        <v>0</v>
      </c>
      <c r="P167" s="42">
        <f t="shared" si="23"/>
        <v>0</v>
      </c>
      <c r="Q167" s="41">
        <f>VLOOKUP(A167,'Mandato Smll'!$A$2:$C$215,3,0)</f>
        <v>0</v>
      </c>
      <c r="R167" s="59">
        <f t="shared" si="24"/>
        <v>0</v>
      </c>
      <c r="S167" s="15">
        <v>-0.72399999999999998</v>
      </c>
      <c r="T167" s="15">
        <v>-0.65100000000000002</v>
      </c>
      <c r="U167" s="15">
        <v>-0.71699999999999997</v>
      </c>
      <c r="V167" s="15">
        <v>-0.76700000000000002</v>
      </c>
      <c r="W167" s="15">
        <v>-0.71499999999999997</v>
      </c>
      <c r="X167" s="15">
        <v>-0.71199999999999997</v>
      </c>
      <c r="Y167" s="15">
        <v>-0.66600000000000004</v>
      </c>
      <c r="Z167" s="15">
        <v>-0.73099999999999998</v>
      </c>
      <c r="AA167" s="15">
        <v>0.24299999999999999</v>
      </c>
      <c r="AB167" s="15">
        <v>0.245</v>
      </c>
      <c r="AC167" s="15">
        <v>0.54300000000000004</v>
      </c>
      <c r="AD167" s="15">
        <v>0.65</v>
      </c>
      <c r="AE167" s="15">
        <v>0.23100000000000001</v>
      </c>
      <c r="AF167" s="14">
        <v>-0.97199999999999998</v>
      </c>
      <c r="AG167" s="15">
        <v>0.11</v>
      </c>
      <c r="AH167" s="15">
        <v>-0.499</v>
      </c>
      <c r="AI167" s="15">
        <v>-0.79700000000000004</v>
      </c>
      <c r="AJ167" s="15">
        <v>-0.79200000000000004</v>
      </c>
      <c r="AK167" s="9">
        <v>-0.54900000000000004</v>
      </c>
      <c r="AL167" s="4">
        <v>-0.27300000000000002</v>
      </c>
      <c r="AM167" s="4">
        <v>-0.59699999999999998</v>
      </c>
      <c r="AN167" s="4">
        <v>-0.38300000000000001</v>
      </c>
      <c r="AO167" s="4">
        <v>0.221</v>
      </c>
      <c r="AP167" s="4">
        <v>-0.115</v>
      </c>
      <c r="AQ167" s="4">
        <v>0.153</v>
      </c>
      <c r="AR167" s="4">
        <v>0.42</v>
      </c>
      <c r="AS167" s="4">
        <v>0.19500000000000001</v>
      </c>
      <c r="AT167" s="4">
        <v>-4.3999999999999997E-2</v>
      </c>
      <c r="AU167" s="4">
        <v>0.28499999999999998</v>
      </c>
      <c r="AV167" s="4">
        <v>-6.9000000000000006E-2</v>
      </c>
      <c r="AW167" s="4">
        <v>-0.63700000000000001</v>
      </c>
      <c r="AX167" s="4">
        <v>3.9E-2</v>
      </c>
      <c r="AY167" s="4">
        <v>-0.17799999999999999</v>
      </c>
      <c r="AZ167" s="4">
        <v>0.75</v>
      </c>
      <c r="BA167" s="4">
        <v>0.438</v>
      </c>
      <c r="BB167" s="4">
        <v>0.46700000000000003</v>
      </c>
      <c r="BC167" s="4">
        <v>-0.50700000000000001</v>
      </c>
      <c r="BD167" s="4">
        <v>-0.54600000000000004</v>
      </c>
      <c r="BE167" s="4">
        <v>-0.39200000000000002</v>
      </c>
      <c r="BF167" s="4">
        <v>0.436</v>
      </c>
      <c r="BG167" s="4">
        <v>0.157</v>
      </c>
      <c r="BH167" s="4">
        <v>-1.6E-2</v>
      </c>
      <c r="BI167" s="4">
        <v>-0.64900000000000002</v>
      </c>
      <c r="BJ167" s="4">
        <v>0.99</v>
      </c>
      <c r="BK167" s="4">
        <v>0.56799999999999995</v>
      </c>
      <c r="BL167" s="4">
        <v>-0.38700000000000001</v>
      </c>
      <c r="BM167" s="4"/>
    </row>
    <row r="168" spans="1:65" hidden="1" x14ac:dyDescent="0.3">
      <c r="A168" s="19" t="s">
        <v>213</v>
      </c>
      <c r="B168" s="53">
        <f t="shared" si="18"/>
        <v>0</v>
      </c>
      <c r="C168" s="53">
        <f t="shared" si="19"/>
        <v>0</v>
      </c>
      <c r="D168" s="53">
        <f t="shared" si="20"/>
        <v>0</v>
      </c>
      <c r="E168" s="53">
        <f t="shared" si="21"/>
        <v>0</v>
      </c>
      <c r="F168" s="15">
        <v>0.55000000000000004</v>
      </c>
      <c r="G168" s="19">
        <v>0.56799999999999995</v>
      </c>
      <c r="H168" s="24" t="s">
        <v>57</v>
      </c>
      <c r="I168" t="str">
        <f>VLOOKUP(A168,Planilha6!$BL$9:$BN$222,2,0)</f>
        <v>tech</v>
      </c>
      <c r="J168" t="str">
        <f>VLOOKUP(A168,Planilha6!$BL$9:$BN$222,3,0)</f>
        <v>neutral_beta</v>
      </c>
      <c r="K168" s="2">
        <v>0</v>
      </c>
      <c r="L168" s="2">
        <v>0</v>
      </c>
      <c r="M168" s="15">
        <v>35</v>
      </c>
      <c r="N168" s="41">
        <f>VLOOKUP(A168,'Mandato Smll'!$A$2:$C$215,2,0)</f>
        <v>0</v>
      </c>
      <c r="O168" s="59">
        <f t="shared" si="22"/>
        <v>0</v>
      </c>
      <c r="P168" s="42">
        <f t="shared" si="23"/>
        <v>0</v>
      </c>
      <c r="Q168" s="41">
        <f>VLOOKUP(A168,'Mandato Smll'!$A$2:$C$215,3,0)</f>
        <v>0</v>
      </c>
      <c r="R168" s="59">
        <f t="shared" si="24"/>
        <v>0</v>
      </c>
      <c r="S168" s="15">
        <v>-0.76200000000000001</v>
      </c>
      <c r="T168" s="15">
        <v>-0.64400000000000002</v>
      </c>
      <c r="U168" s="15">
        <v>-0.85099999999999998</v>
      </c>
      <c r="V168" s="15">
        <v>-0.69199999999999995</v>
      </c>
      <c r="W168" s="15">
        <v>-0.70499999999999996</v>
      </c>
      <c r="X168" s="15">
        <v>-0.54800000000000004</v>
      </c>
      <c r="Y168" s="15">
        <v>-0.121</v>
      </c>
      <c r="Z168" s="15">
        <v>-0.63900000000000001</v>
      </c>
      <c r="AA168" s="15">
        <v>0.11600000000000001</v>
      </c>
      <c r="AB168" s="15">
        <v>0.11899999999999999</v>
      </c>
      <c r="AC168" s="15">
        <v>0.35799999999999998</v>
      </c>
      <c r="AD168" s="15">
        <v>0.372</v>
      </c>
      <c r="AE168" s="15">
        <v>2.3E-2</v>
      </c>
      <c r="AF168" s="14">
        <v>-6.4000000000000001E-2</v>
      </c>
      <c r="AG168" s="15">
        <v>-0.44800000000000001</v>
      </c>
      <c r="AH168" s="15">
        <v>-1</v>
      </c>
      <c r="AI168" s="15">
        <v>-0.93500000000000005</v>
      </c>
      <c r="AJ168" s="15">
        <v>-1</v>
      </c>
      <c r="AK168" s="9">
        <v>-0.128</v>
      </c>
      <c r="AL168" s="4">
        <v>-0.41399999999999998</v>
      </c>
      <c r="AM168" s="4">
        <v>-0.754</v>
      </c>
      <c r="AN168" s="4">
        <v>-0.94799999999999995</v>
      </c>
      <c r="AO168" s="4">
        <v>0.41899999999999998</v>
      </c>
      <c r="AP168" s="4">
        <v>-0.68700000000000006</v>
      </c>
      <c r="AQ168" s="4">
        <v>-0.83599999999999997</v>
      </c>
      <c r="AR168" s="4">
        <v>0.40699999999999997</v>
      </c>
      <c r="AS168" s="4">
        <v>0.23200000000000001</v>
      </c>
      <c r="AT168" s="4">
        <v>1.4E-2</v>
      </c>
      <c r="AU168" s="4">
        <v>0.495</v>
      </c>
      <c r="AV168" s="4">
        <v>0.25800000000000001</v>
      </c>
      <c r="AW168" s="4">
        <v>0.69199999999999995</v>
      </c>
      <c r="AX168" s="4">
        <v>0.26300000000000001</v>
      </c>
      <c r="AY168" s="4">
        <v>7.0999999999999994E-2</v>
      </c>
      <c r="AZ168" s="4">
        <v>0.90700000000000003</v>
      </c>
      <c r="BA168" s="4">
        <v>4.0000000000000001E-3</v>
      </c>
      <c r="BB168" s="4">
        <v>0.442</v>
      </c>
      <c r="BC168" s="4">
        <v>-0.219</v>
      </c>
      <c r="BD168" s="4">
        <v>-0.436</v>
      </c>
      <c r="BE168" s="4">
        <v>9.7000000000000003E-2</v>
      </c>
      <c r="BF168" s="4">
        <v>0.314</v>
      </c>
      <c r="BG168" s="4">
        <v>0.16400000000000001</v>
      </c>
      <c r="BH168" s="4">
        <v>0.82199999999999995</v>
      </c>
      <c r="BI168" s="4">
        <v>-0.33900000000000002</v>
      </c>
      <c r="BJ168" s="4">
        <v>-0.121</v>
      </c>
      <c r="BK168" s="4">
        <v>-0.26300000000000001</v>
      </c>
      <c r="BL168" s="4">
        <v>-0.63</v>
      </c>
      <c r="BM168" s="4"/>
    </row>
    <row r="169" spans="1:65" hidden="1" x14ac:dyDescent="0.3">
      <c r="A169" s="19" t="s">
        <v>183</v>
      </c>
      <c r="B169" s="53">
        <f t="shared" si="18"/>
        <v>0</v>
      </c>
      <c r="C169" s="53">
        <f t="shared" si="19"/>
        <v>-0.02</v>
      </c>
      <c r="D169" s="53">
        <f t="shared" si="20"/>
        <v>0</v>
      </c>
      <c r="E169" s="53">
        <f t="shared" si="21"/>
        <v>0.02</v>
      </c>
      <c r="F169" s="15">
        <v>0.54900000000000004</v>
      </c>
      <c r="G169" s="19">
        <v>1.1319999999999999</v>
      </c>
      <c r="H169" s="24" t="s">
        <v>68</v>
      </c>
      <c r="I169" t="str">
        <f>VLOOKUP(A169,Planilha6!$BL$9:$BN$222,2,0)</f>
        <v>capital_goods</v>
      </c>
      <c r="J169" t="str">
        <f>VLOOKUP(A169,Planilha6!$BL$9:$BN$222,3,0)</f>
        <v>low_beta</v>
      </c>
      <c r="K169" s="2">
        <v>0</v>
      </c>
      <c r="L169" s="2">
        <v>-0.02</v>
      </c>
      <c r="M169" s="15">
        <v>84</v>
      </c>
      <c r="N169" s="41">
        <f>VLOOKUP(A169,'Mandato Smll'!$A$2:$C$215,2,0)</f>
        <v>0</v>
      </c>
      <c r="O169" s="59">
        <f t="shared" si="22"/>
        <v>0</v>
      </c>
      <c r="P169" s="42">
        <f t="shared" si="23"/>
        <v>0</v>
      </c>
      <c r="Q169" s="41">
        <f>VLOOKUP(A169,'Mandato Smll'!$A$2:$C$215,3,0)</f>
        <v>0</v>
      </c>
      <c r="R169" s="59">
        <f t="shared" si="24"/>
        <v>0</v>
      </c>
      <c r="S169" s="15">
        <v>-0.77</v>
      </c>
      <c r="T169" s="15">
        <v>-0.66600000000000004</v>
      </c>
      <c r="U169" s="15">
        <v>-0.86199999999999999</v>
      </c>
      <c r="V169" s="15">
        <v>-0.78900000000000003</v>
      </c>
      <c r="W169" s="15">
        <v>-0.76400000000000001</v>
      </c>
      <c r="X169" s="15">
        <v>-0.67500000000000004</v>
      </c>
      <c r="Y169" s="15">
        <v>-0.58199999999999996</v>
      </c>
      <c r="Z169" s="15">
        <v>-0.71399999999999997</v>
      </c>
      <c r="AA169" s="15">
        <v>0.16300000000000001</v>
      </c>
      <c r="AB169" s="15">
        <v>0.16500000000000001</v>
      </c>
      <c r="AC169" s="15">
        <v>0.45400000000000001</v>
      </c>
      <c r="AD169" s="15">
        <v>0.47499999999999998</v>
      </c>
      <c r="AE169" s="15">
        <v>0.30199999999999999</v>
      </c>
      <c r="AF169" s="14">
        <v>-0.50900000000000001</v>
      </c>
      <c r="AG169" s="15">
        <v>-0.55600000000000005</v>
      </c>
      <c r="AH169" s="15">
        <v>-0.75600000000000001</v>
      </c>
      <c r="AI169" s="15">
        <v>-0.81699999999999995</v>
      </c>
      <c r="AJ169" s="15">
        <v>-0.68700000000000006</v>
      </c>
      <c r="AK169" s="9">
        <v>-0.90600000000000003</v>
      </c>
      <c r="AL169" s="4">
        <v>-7.9000000000000001E-2</v>
      </c>
      <c r="AM169" s="4">
        <v>-0.74099999999999999</v>
      </c>
      <c r="AN169" s="4">
        <v>-0.69399999999999995</v>
      </c>
      <c r="AO169" s="4">
        <v>0.23100000000000001</v>
      </c>
      <c r="AP169" s="4">
        <v>-0.314</v>
      </c>
      <c r="AQ169" s="4">
        <v>-6.3E-2</v>
      </c>
      <c r="AR169" s="4">
        <v>0.14299999999999999</v>
      </c>
      <c r="AS169" s="4">
        <v>8.2000000000000003E-2</v>
      </c>
      <c r="AT169" s="4">
        <v>-0.27</v>
      </c>
      <c r="AU169" s="4">
        <v>0.48899999999999999</v>
      </c>
      <c r="AV169" s="4">
        <v>-0.434</v>
      </c>
      <c r="AW169" s="4">
        <v>-8.7999999999999995E-2</v>
      </c>
      <c r="AX169" s="4">
        <v>0.32900000000000001</v>
      </c>
      <c r="AY169" s="4">
        <v>4.3999999999999997E-2</v>
      </c>
      <c r="AZ169" s="4">
        <v>0.95199999999999996</v>
      </c>
      <c r="BA169" s="4">
        <v>0.34</v>
      </c>
      <c r="BB169" s="4">
        <v>0.63</v>
      </c>
      <c r="BC169" s="4">
        <v>-0.315</v>
      </c>
      <c r="BD169" s="4">
        <v>8.9999999999999993E-3</v>
      </c>
      <c r="BE169" s="4">
        <v>-1.2E-2</v>
      </c>
      <c r="BF169" s="4">
        <v>0.54400000000000004</v>
      </c>
      <c r="BG169" s="4">
        <v>-0.51800000000000002</v>
      </c>
      <c r="BH169" s="4">
        <v>0.58099999999999996</v>
      </c>
      <c r="BI169" s="4">
        <v>-0.43099999999999999</v>
      </c>
      <c r="BJ169" s="4">
        <v>0.129</v>
      </c>
      <c r="BK169" s="4">
        <v>8.2000000000000003E-2</v>
      </c>
      <c r="BL169" s="4">
        <v>-0.34</v>
      </c>
      <c r="BM169" s="4"/>
    </row>
    <row r="170" spans="1:65" hidden="1" x14ac:dyDescent="0.3">
      <c r="A170" s="19" t="s">
        <v>228</v>
      </c>
      <c r="B170" s="53">
        <f t="shared" si="18"/>
        <v>0</v>
      </c>
      <c r="C170" s="53">
        <f t="shared" si="19"/>
        <v>-3.0000000000000001E-3</v>
      </c>
      <c r="D170" s="53">
        <f t="shared" si="20"/>
        <v>0</v>
      </c>
      <c r="E170" s="53">
        <f t="shared" si="21"/>
        <v>3.0000000000000001E-3</v>
      </c>
      <c r="F170" s="15">
        <v>0.54800000000000004</v>
      </c>
      <c r="G170" s="19">
        <v>0.435</v>
      </c>
      <c r="H170" s="24" t="s">
        <v>57</v>
      </c>
      <c r="I170" t="str">
        <f>VLOOKUP(A170,Planilha6!$BL$9:$BN$222,2,0)</f>
        <v>consumer_durables</v>
      </c>
      <c r="J170" t="str">
        <f>VLOOKUP(A170,Planilha6!$BL$9:$BN$222,3,0)</f>
        <v>high_beta</v>
      </c>
      <c r="K170" s="2">
        <v>0</v>
      </c>
      <c r="L170" s="2">
        <v>-3.0000000000000001E-3</v>
      </c>
      <c r="M170" s="15">
        <v>84</v>
      </c>
      <c r="N170" s="41">
        <f>VLOOKUP(A170,'Mandato Smll'!$A$2:$C$215,2,0)</f>
        <v>0</v>
      </c>
      <c r="O170" s="59">
        <f t="shared" si="22"/>
        <v>0</v>
      </c>
      <c r="P170" s="42">
        <f t="shared" si="23"/>
        <v>0</v>
      </c>
      <c r="Q170" s="41">
        <f>VLOOKUP(A170,'Mandato Smll'!$A$2:$C$215,3,0)</f>
        <v>0</v>
      </c>
      <c r="R170" s="59">
        <f t="shared" si="24"/>
        <v>0</v>
      </c>
      <c r="S170" s="15">
        <v>-0.55400000000000005</v>
      </c>
      <c r="T170" s="15">
        <v>-0.71</v>
      </c>
      <c r="U170" s="15">
        <v>-0.23</v>
      </c>
      <c r="V170" s="15">
        <v>-0.76200000000000001</v>
      </c>
      <c r="W170" s="15">
        <v>-0.68100000000000005</v>
      </c>
      <c r="X170" s="15">
        <v>-0.746</v>
      </c>
      <c r="Y170" s="15">
        <v>-0.75800000000000001</v>
      </c>
      <c r="Z170" s="15">
        <v>-0.81100000000000005</v>
      </c>
      <c r="AA170" s="15">
        <v>-0.17299999999999999</v>
      </c>
      <c r="AB170" s="15">
        <v>-0.17100000000000001</v>
      </c>
      <c r="AC170" s="15">
        <v>0.59099999999999997</v>
      </c>
      <c r="AD170" s="15">
        <v>0.63900000000000001</v>
      </c>
      <c r="AE170" s="15">
        <v>0.19700000000000001</v>
      </c>
      <c r="AF170" s="14">
        <v>-0.94</v>
      </c>
      <c r="AG170" s="15">
        <v>-0.13</v>
      </c>
      <c r="AH170" s="15">
        <v>-0.13800000000000001</v>
      </c>
      <c r="AI170" s="15">
        <v>0.14599999999999999</v>
      </c>
      <c r="AJ170" s="15">
        <v>0.35199999999999998</v>
      </c>
      <c r="AK170" s="9">
        <v>0.21199999999999999</v>
      </c>
      <c r="AL170" s="4">
        <v>0.17599999999999999</v>
      </c>
      <c r="AM170" s="4">
        <v>-0.71699999999999997</v>
      </c>
      <c r="AN170" s="4">
        <v>-0.67600000000000005</v>
      </c>
      <c r="AO170" s="4">
        <v>-5.6000000000000001E-2</v>
      </c>
      <c r="AP170" s="4">
        <v>-0.17599999999999999</v>
      </c>
      <c r="AQ170" s="4">
        <v>-0.186</v>
      </c>
      <c r="AR170" s="4">
        <v>1.7000000000000001E-2</v>
      </c>
      <c r="AS170" s="4">
        <v>0.114</v>
      </c>
      <c r="AT170" s="4">
        <v>4.8000000000000001E-2</v>
      </c>
      <c r="AU170" s="4">
        <v>0.217</v>
      </c>
      <c r="AV170" s="4">
        <v>-0.158</v>
      </c>
      <c r="AW170" s="4">
        <v>-0.61099999999999999</v>
      </c>
      <c r="AX170" s="4">
        <v>-0.29599999999999999</v>
      </c>
      <c r="AY170" s="4">
        <v>0.44600000000000001</v>
      </c>
      <c r="AZ170" s="4">
        <v>7.4999999999999997E-2</v>
      </c>
      <c r="BA170" s="4">
        <v>6.3E-2</v>
      </c>
      <c r="BB170" s="4">
        <v>-0.154</v>
      </c>
      <c r="BC170" s="4">
        <v>0.307</v>
      </c>
      <c r="BD170" s="4">
        <v>0.63800000000000001</v>
      </c>
      <c r="BE170" s="4">
        <v>-0.89500000000000002</v>
      </c>
      <c r="BF170" s="4">
        <v>-0.83799999999999997</v>
      </c>
      <c r="BG170" s="4">
        <v>-0.71399999999999997</v>
      </c>
      <c r="BH170" s="4">
        <v>0.17699999999999999</v>
      </c>
      <c r="BI170" s="4">
        <v>0.30399999999999999</v>
      </c>
      <c r="BJ170" s="4">
        <v>-3.5000000000000003E-2</v>
      </c>
      <c r="BK170" s="4">
        <v>0.29099999999999998</v>
      </c>
      <c r="BL170" s="4">
        <v>0.34100000000000003</v>
      </c>
      <c r="BM170" s="4"/>
    </row>
    <row r="171" spans="1:65" hidden="1" x14ac:dyDescent="0.3">
      <c r="A171" s="19" t="s">
        <v>219</v>
      </c>
      <c r="B171" s="53">
        <f t="shared" si="18"/>
        <v>0</v>
      </c>
      <c r="C171" s="53">
        <f t="shared" si="19"/>
        <v>0</v>
      </c>
      <c r="D171" s="53">
        <f t="shared" si="20"/>
        <v>0</v>
      </c>
      <c r="E171" s="53">
        <f t="shared" si="21"/>
        <v>0</v>
      </c>
      <c r="F171" s="15">
        <v>0.54800000000000004</v>
      </c>
      <c r="G171" s="19">
        <v>0.48399999999999999</v>
      </c>
      <c r="H171" s="24" t="s">
        <v>57</v>
      </c>
      <c r="I171" t="str">
        <f>VLOOKUP(A171,Planilha6!$BL$9:$BN$222,2,0)</f>
        <v>banks</v>
      </c>
      <c r="J171" t="str">
        <f>VLOOKUP(A171,Planilha6!$BL$9:$BN$222,3,0)</f>
        <v>neutral_beta</v>
      </c>
      <c r="K171" s="2">
        <v>0</v>
      </c>
      <c r="L171" s="2">
        <v>0</v>
      </c>
      <c r="M171" s="15">
        <v>84</v>
      </c>
      <c r="N171" s="41">
        <f>VLOOKUP(A171,'Mandato Smll'!$A$2:$C$215,2,0)</f>
        <v>0</v>
      </c>
      <c r="O171" s="59">
        <f t="shared" si="22"/>
        <v>0</v>
      </c>
      <c r="P171" s="42">
        <f t="shared" si="23"/>
        <v>0</v>
      </c>
      <c r="Q171" s="41">
        <f>VLOOKUP(A171,'Mandato Smll'!$A$2:$C$215,3,0)</f>
        <v>0</v>
      </c>
      <c r="R171" s="59">
        <f t="shared" si="24"/>
        <v>0</v>
      </c>
      <c r="S171" s="15">
        <v>-0.69099999999999995</v>
      </c>
      <c r="T171" s="15">
        <v>-0.65100000000000002</v>
      </c>
      <c r="U171" s="15">
        <v>-0.78500000000000003</v>
      </c>
      <c r="V171" s="15">
        <v>-0.67800000000000005</v>
      </c>
      <c r="W171" s="15">
        <v>-0.69799999999999995</v>
      </c>
      <c r="X171" s="15">
        <v>-0.58399999999999996</v>
      </c>
      <c r="Y171" s="15">
        <v>-0.43</v>
      </c>
      <c r="Z171" s="15">
        <v>-0.752</v>
      </c>
      <c r="AA171" s="15">
        <v>0.127</v>
      </c>
      <c r="AB171" s="15">
        <v>0.126</v>
      </c>
      <c r="AC171" s="15">
        <v>0.46300000000000002</v>
      </c>
      <c r="AD171" s="15">
        <v>0.377</v>
      </c>
      <c r="AE171" s="15">
        <v>0.112</v>
      </c>
      <c r="AF171" s="14">
        <v>-0.36399999999999999</v>
      </c>
      <c r="AG171" s="15">
        <v>0.26100000000000001</v>
      </c>
      <c r="AH171" s="15">
        <v>-0.82899999999999996</v>
      </c>
      <c r="AI171" s="15">
        <v>-0.878</v>
      </c>
      <c r="AJ171" s="15">
        <v>-0.95099999999999996</v>
      </c>
      <c r="AK171" s="9">
        <v>-0.313</v>
      </c>
      <c r="AL171" s="4">
        <v>-0.26200000000000001</v>
      </c>
      <c r="AM171" s="4">
        <v>-0.87</v>
      </c>
      <c r="AN171" s="4">
        <v>-0.44800000000000001</v>
      </c>
      <c r="AO171" s="4">
        <v>0.504</v>
      </c>
      <c r="AP171" s="4">
        <v>-0.42399999999999999</v>
      </c>
      <c r="AQ171" s="4">
        <v>-0.246</v>
      </c>
      <c r="AR171" s="4">
        <v>0.77800000000000002</v>
      </c>
      <c r="AS171" s="4">
        <v>0.14599999999999999</v>
      </c>
      <c r="AT171" s="4">
        <v>0.161</v>
      </c>
      <c r="AU171" s="4">
        <v>5.3999999999999999E-2</v>
      </c>
      <c r="AV171" s="4">
        <v>7.8E-2</v>
      </c>
      <c r="AW171" s="4">
        <v>0.2</v>
      </c>
      <c r="AX171" s="4">
        <v>-0.21</v>
      </c>
      <c r="AY171" s="4">
        <v>-0.32400000000000001</v>
      </c>
      <c r="AZ171" s="4">
        <v>0.85899999999999999</v>
      </c>
      <c r="BA171" s="4">
        <v>0.28799999999999998</v>
      </c>
      <c r="BB171" s="4">
        <v>0.873</v>
      </c>
      <c r="BC171" s="4">
        <v>-0.625</v>
      </c>
      <c r="BD171" s="4">
        <v>-0.33800000000000002</v>
      </c>
      <c r="BE171" s="4">
        <v>-3.5000000000000003E-2</v>
      </c>
      <c r="BF171" s="4">
        <v>0.47299999999999998</v>
      </c>
      <c r="BG171" s="4">
        <v>4.2999999999999997E-2</v>
      </c>
      <c r="BH171" s="4">
        <v>0.61899999999999999</v>
      </c>
      <c r="BI171" s="4">
        <v>-0.69899999999999995</v>
      </c>
      <c r="BJ171" s="4">
        <v>2.5999999999999999E-2</v>
      </c>
      <c r="BK171" s="4">
        <v>-2.1999999999999999E-2</v>
      </c>
      <c r="BL171" s="4">
        <v>0.08</v>
      </c>
      <c r="BM171" s="4"/>
    </row>
    <row r="172" spans="1:65" hidden="1" x14ac:dyDescent="0.3">
      <c r="A172" s="19" t="s">
        <v>225</v>
      </c>
      <c r="B172" s="53">
        <f t="shared" si="18"/>
        <v>0</v>
      </c>
      <c r="C172" s="53">
        <f t="shared" si="19"/>
        <v>-5.0000000000000001E-3</v>
      </c>
      <c r="D172" s="53">
        <f t="shared" si="20"/>
        <v>0</v>
      </c>
      <c r="E172" s="53">
        <f t="shared" si="21"/>
        <v>5.0000000000000001E-3</v>
      </c>
      <c r="F172" s="15">
        <v>0.54700000000000004</v>
      </c>
      <c r="G172" s="19">
        <v>0.42</v>
      </c>
      <c r="H172" s="24" t="s">
        <v>71</v>
      </c>
      <c r="I172" t="str">
        <f>VLOOKUP(A172,Planilha6!$BL$9:$BN$222,2,0)</f>
        <v>food</v>
      </c>
      <c r="J172" t="str">
        <f>VLOOKUP(A172,Planilha6!$BL$9:$BN$222,3,0)</f>
        <v>high_beta</v>
      </c>
      <c r="K172" s="2">
        <v>0</v>
      </c>
      <c r="L172" s="2">
        <v>-5.0000000000000001E-3</v>
      </c>
      <c r="M172" s="15">
        <v>81</v>
      </c>
      <c r="N172" s="41">
        <f>VLOOKUP(A172,'Mandato Smll'!$A$2:$C$215,2,0)</f>
        <v>0</v>
      </c>
      <c r="O172" s="59">
        <f t="shared" si="22"/>
        <v>0</v>
      </c>
      <c r="P172" s="42">
        <f t="shared" si="23"/>
        <v>0</v>
      </c>
      <c r="Q172" s="41">
        <f>VLOOKUP(A172,'Mandato Smll'!$A$2:$C$215,3,0)</f>
        <v>0</v>
      </c>
      <c r="R172" s="59">
        <f t="shared" si="24"/>
        <v>0</v>
      </c>
      <c r="S172" s="15">
        <v>-0.68100000000000005</v>
      </c>
      <c r="T172" s="15">
        <v>-0.80700000000000005</v>
      </c>
      <c r="U172" s="15">
        <v>-0.80600000000000005</v>
      </c>
      <c r="V172" s="15">
        <v>-0.57299999999999995</v>
      </c>
      <c r="W172" s="15">
        <v>-0.753</v>
      </c>
      <c r="X172" s="15">
        <v>-0.61899999999999999</v>
      </c>
      <c r="Y172" s="15">
        <v>-0.66</v>
      </c>
      <c r="Z172" s="15">
        <v>-0.77100000000000002</v>
      </c>
      <c r="AA172" s="15">
        <v>9.1999999999999998E-2</v>
      </c>
      <c r="AB172" s="15">
        <v>9.5000000000000001E-2</v>
      </c>
      <c r="AC172" s="15">
        <v>0.46600000000000003</v>
      </c>
      <c r="AD172" s="15">
        <v>0.628</v>
      </c>
      <c r="AE172" s="15">
        <v>0.21299999999999999</v>
      </c>
      <c r="AF172" s="14">
        <v>0.14699999999999999</v>
      </c>
      <c r="AG172" s="15">
        <v>0.23499999999999999</v>
      </c>
      <c r="AH172" s="15">
        <v>-0.68300000000000005</v>
      </c>
      <c r="AI172" s="15">
        <v>0.35199999999999998</v>
      </c>
      <c r="AJ172" s="15">
        <v>-0.90300000000000002</v>
      </c>
      <c r="AK172" s="9">
        <v>-0.75600000000000001</v>
      </c>
      <c r="AL172" s="4">
        <v>1</v>
      </c>
      <c r="AM172" s="4">
        <v>-0.51300000000000001</v>
      </c>
      <c r="AN172" s="4">
        <v>-0.30199999999999999</v>
      </c>
      <c r="AO172" s="4">
        <v>0.30099999999999999</v>
      </c>
      <c r="AP172" s="4">
        <v>-0.95599999999999996</v>
      </c>
      <c r="AQ172" s="4">
        <v>-0.80700000000000005</v>
      </c>
      <c r="AR172" s="4">
        <v>-8.9999999999999993E-3</v>
      </c>
      <c r="AS172" s="4">
        <v>0.47599999999999998</v>
      </c>
      <c r="AT172" s="4">
        <v>0.437</v>
      </c>
      <c r="AU172" s="4">
        <v>0.63200000000000001</v>
      </c>
      <c r="AV172" s="4">
        <v>-0.41</v>
      </c>
      <c r="AW172" s="4">
        <v>-0.11700000000000001</v>
      </c>
      <c r="AX172" s="4">
        <v>0.191</v>
      </c>
      <c r="AY172" s="4">
        <v>-0.29199999999999998</v>
      </c>
      <c r="AZ172" s="4">
        <v>-9.2999999999999999E-2</v>
      </c>
      <c r="BA172" s="4">
        <v>-0.55600000000000005</v>
      </c>
      <c r="BB172" s="4">
        <v>-0.25600000000000001</v>
      </c>
      <c r="BC172" s="4">
        <v>-0.24299999999999999</v>
      </c>
      <c r="BD172" s="4">
        <v>0.34100000000000003</v>
      </c>
      <c r="BE172" s="4">
        <v>-0.14399999999999999</v>
      </c>
      <c r="BF172" s="4">
        <v>0.61499999999999999</v>
      </c>
      <c r="BG172" s="4">
        <v>0.57999999999999996</v>
      </c>
      <c r="BH172" s="4">
        <v>3.3000000000000002E-2</v>
      </c>
      <c r="BI172" s="4">
        <v>0.27300000000000002</v>
      </c>
      <c r="BJ172" s="4">
        <v>-0.127</v>
      </c>
      <c r="BK172" s="4">
        <v>-0.70199999999999996</v>
      </c>
      <c r="BL172" s="4">
        <v>0.22</v>
      </c>
      <c r="BM172" s="4"/>
    </row>
    <row r="173" spans="1:65" hidden="1" x14ac:dyDescent="0.3">
      <c r="A173" s="19" t="s">
        <v>217</v>
      </c>
      <c r="B173" s="53">
        <f t="shared" si="18"/>
        <v>0</v>
      </c>
      <c r="C173" s="53">
        <f t="shared" si="19"/>
        <v>0</v>
      </c>
      <c r="D173" s="53">
        <f t="shared" si="20"/>
        <v>0</v>
      </c>
      <c r="E173" s="53">
        <f t="shared" si="21"/>
        <v>0</v>
      </c>
      <c r="F173" s="15">
        <v>0.54500000000000004</v>
      </c>
      <c r="G173" s="19">
        <v>0.48599999999999999</v>
      </c>
      <c r="H173" s="24" t="s">
        <v>57</v>
      </c>
      <c r="I173" t="str">
        <f>VLOOKUP(A173,Planilha6!$BL$9:$BN$222,2,0)</f>
        <v>consumer_services</v>
      </c>
      <c r="J173" t="str">
        <f>VLOOKUP(A173,Planilha6!$BL$9:$BN$222,3,0)</f>
        <v>very_high_beta</v>
      </c>
      <c r="K173" s="2">
        <v>0</v>
      </c>
      <c r="L173" s="2">
        <v>0</v>
      </c>
      <c r="M173" s="15">
        <v>82</v>
      </c>
      <c r="N173" s="41">
        <f>VLOOKUP(A173,'Mandato Smll'!$A$2:$C$215,2,0)</f>
        <v>0</v>
      </c>
      <c r="O173" s="59">
        <f t="shared" si="22"/>
        <v>0</v>
      </c>
      <c r="P173" s="42">
        <f t="shared" si="23"/>
        <v>0</v>
      </c>
      <c r="Q173" s="41">
        <f>VLOOKUP(A173,'Mandato Smll'!$A$2:$C$215,3,0)</f>
        <v>0</v>
      </c>
      <c r="R173" s="59">
        <f t="shared" si="24"/>
        <v>0</v>
      </c>
      <c r="S173" s="15">
        <v>-0.79</v>
      </c>
      <c r="T173" s="15">
        <v>-0.71399999999999997</v>
      </c>
      <c r="U173" s="15">
        <v>-0.84899999999999998</v>
      </c>
      <c r="V173" s="15">
        <v>-0.82399999999999995</v>
      </c>
      <c r="W173" s="15">
        <v>-0.80400000000000005</v>
      </c>
      <c r="X173" s="15">
        <v>-0.79900000000000004</v>
      </c>
      <c r="Y173" s="15">
        <v>-0.78100000000000003</v>
      </c>
      <c r="Z173" s="15">
        <v>-0.81</v>
      </c>
      <c r="AA173" s="15">
        <v>8.4000000000000005E-2</v>
      </c>
      <c r="AB173" s="15">
        <v>8.8999999999999996E-2</v>
      </c>
      <c r="AC173" s="15">
        <v>0.65300000000000002</v>
      </c>
      <c r="AD173" s="15">
        <v>0.72</v>
      </c>
      <c r="AE173" s="15">
        <v>0.439</v>
      </c>
      <c r="AF173" s="14">
        <v>-1</v>
      </c>
      <c r="AG173" s="15">
        <v>-0.34699999999999998</v>
      </c>
      <c r="AH173" s="15">
        <v>-0.182</v>
      </c>
      <c r="AI173" s="15">
        <v>-0.999</v>
      </c>
      <c r="AJ173" s="15">
        <v>-0.65200000000000002</v>
      </c>
      <c r="AK173" s="9">
        <v>-0.96799999999999997</v>
      </c>
      <c r="AL173" s="4">
        <v>-0.188</v>
      </c>
      <c r="AM173" s="4">
        <v>-0.622</v>
      </c>
      <c r="AN173" s="4">
        <v>-0.497</v>
      </c>
      <c r="AO173" s="4">
        <v>-3.6999999999999998E-2</v>
      </c>
      <c r="AP173" s="4">
        <v>8.6999999999999994E-2</v>
      </c>
      <c r="AQ173" s="4">
        <v>0.41699999999999998</v>
      </c>
      <c r="AR173" s="4">
        <v>6.6000000000000003E-2</v>
      </c>
      <c r="AS173" s="4">
        <v>0.14399999999999999</v>
      </c>
      <c r="AT173" s="4">
        <v>0.124</v>
      </c>
      <c r="AU173" s="4">
        <v>0.17599999999999999</v>
      </c>
      <c r="AV173" s="4">
        <v>-0.29699999999999999</v>
      </c>
      <c r="AW173" s="4">
        <v>-0.88200000000000001</v>
      </c>
      <c r="AX173" s="4">
        <v>-0.188</v>
      </c>
      <c r="AY173" s="4">
        <v>-0.255</v>
      </c>
      <c r="AZ173" s="4">
        <v>0.72599999999999998</v>
      </c>
      <c r="BA173" s="4">
        <v>-1.4E-2</v>
      </c>
      <c r="BB173" s="4">
        <v>0.46700000000000003</v>
      </c>
      <c r="BC173" s="4">
        <v>-0.16900000000000001</v>
      </c>
      <c r="BD173" s="4">
        <v>-0.127</v>
      </c>
      <c r="BE173" s="4">
        <v>0.188</v>
      </c>
      <c r="BF173" s="4">
        <v>-0.58099999999999996</v>
      </c>
      <c r="BG173" s="4">
        <v>-0.84899999999999998</v>
      </c>
      <c r="BH173" s="4">
        <v>0</v>
      </c>
      <c r="BI173" s="4">
        <v>-0.109</v>
      </c>
      <c r="BJ173" s="4">
        <v>0.497</v>
      </c>
      <c r="BK173" s="4">
        <v>0.60499999999999998</v>
      </c>
      <c r="BL173" s="4">
        <v>-0.52700000000000002</v>
      </c>
      <c r="BM173" s="4"/>
    </row>
    <row r="174" spans="1:65" hidden="1" x14ac:dyDescent="0.3">
      <c r="A174" s="19" t="s">
        <v>189</v>
      </c>
      <c r="B174" s="53">
        <f t="shared" si="18"/>
        <v>0</v>
      </c>
      <c r="C174" s="53">
        <f t="shared" si="19"/>
        <v>-7.0000000000000001E-3</v>
      </c>
      <c r="D174" s="53">
        <f t="shared" si="20"/>
        <v>0</v>
      </c>
      <c r="E174" s="53">
        <f t="shared" si="21"/>
        <v>7.0000000000000001E-3</v>
      </c>
      <c r="F174" s="15">
        <v>0.54500000000000004</v>
      </c>
      <c r="G174" s="19">
        <v>0.85499999999999998</v>
      </c>
      <c r="H174" s="24" t="s">
        <v>68</v>
      </c>
      <c r="I174" t="str">
        <f>VLOOKUP(A174,Planilha6!$BL$9:$BN$222,2,0)</f>
        <v>capital_goods</v>
      </c>
      <c r="J174" t="str">
        <f>VLOOKUP(A174,Planilha6!$BL$9:$BN$222,3,0)</f>
        <v>neutral_beta</v>
      </c>
      <c r="K174" s="2">
        <v>0</v>
      </c>
      <c r="L174" s="2">
        <v>-7.0000000000000001E-3</v>
      </c>
      <c r="M174" s="15">
        <v>84</v>
      </c>
      <c r="N174" s="41">
        <f>VLOOKUP(A174,'Mandato Smll'!$A$2:$C$215,2,0)</f>
        <v>0</v>
      </c>
      <c r="O174" s="59">
        <f t="shared" si="22"/>
        <v>0</v>
      </c>
      <c r="P174" s="42">
        <f t="shared" si="23"/>
        <v>0</v>
      </c>
      <c r="Q174" s="41">
        <f>VLOOKUP(A174,'Mandato Smll'!$A$2:$C$215,3,0)</f>
        <v>0</v>
      </c>
      <c r="R174" s="59">
        <f t="shared" si="24"/>
        <v>0</v>
      </c>
      <c r="S174" s="15">
        <v>-0.88600000000000001</v>
      </c>
      <c r="T174" s="15">
        <v>-0.71799999999999997</v>
      </c>
      <c r="U174" s="15">
        <v>-0.80400000000000005</v>
      </c>
      <c r="V174" s="15">
        <v>-0.82899999999999996</v>
      </c>
      <c r="W174" s="15">
        <v>-0.73599999999999999</v>
      </c>
      <c r="X174" s="15">
        <v>-0.72599999999999998</v>
      </c>
      <c r="Y174" s="15">
        <v>-0.48699999999999999</v>
      </c>
      <c r="Z174" s="15">
        <v>-0.626</v>
      </c>
      <c r="AA174" s="15">
        <v>0.35699999999999998</v>
      </c>
      <c r="AB174" s="15">
        <v>0.35899999999999999</v>
      </c>
      <c r="AC174" s="15">
        <v>0.41799999999999998</v>
      </c>
      <c r="AD174" s="15">
        <v>0.34</v>
      </c>
      <c r="AE174" s="15">
        <v>0.13900000000000001</v>
      </c>
      <c r="AF174" s="14">
        <v>-0.67400000000000004</v>
      </c>
      <c r="AG174" s="15">
        <v>-0.33100000000000002</v>
      </c>
      <c r="AH174" s="15">
        <v>-0.92700000000000005</v>
      </c>
      <c r="AI174" s="15">
        <v>-0.67300000000000004</v>
      </c>
      <c r="AJ174" s="15">
        <v>-0.88500000000000001</v>
      </c>
      <c r="AK174" s="9">
        <v>-0.113</v>
      </c>
      <c r="AL174" s="4">
        <v>-0.32200000000000001</v>
      </c>
      <c r="AM174" s="4">
        <v>-0.56599999999999995</v>
      </c>
      <c r="AN174" s="4">
        <v>-0.64500000000000002</v>
      </c>
      <c r="AO174" s="4">
        <v>0.13900000000000001</v>
      </c>
      <c r="AP174" s="4">
        <v>-0.38500000000000001</v>
      </c>
      <c r="AQ174" s="4">
        <v>-0.48299999999999998</v>
      </c>
      <c r="AR174" s="4">
        <v>0.439</v>
      </c>
      <c r="AS174" s="4">
        <v>-0.497</v>
      </c>
      <c r="AT174" s="4">
        <v>-0.57599999999999996</v>
      </c>
      <c r="AU174" s="4">
        <v>0.317</v>
      </c>
      <c r="AV174" s="4">
        <v>-5.8000000000000003E-2</v>
      </c>
      <c r="AW174" s="4">
        <v>-0.125</v>
      </c>
      <c r="AX174" s="4">
        <v>0.69</v>
      </c>
      <c r="AY174" s="4">
        <v>-4.3999999999999997E-2</v>
      </c>
      <c r="AZ174" s="4">
        <v>0.79100000000000004</v>
      </c>
      <c r="BA174" s="4">
        <v>0.42099999999999999</v>
      </c>
      <c r="BB174" s="4">
        <v>-0.46500000000000002</v>
      </c>
      <c r="BC174" s="4">
        <v>-0.88300000000000001</v>
      </c>
      <c r="BD174" s="4">
        <v>-0.92600000000000005</v>
      </c>
      <c r="BE174" s="4">
        <v>-0.82199999999999995</v>
      </c>
      <c r="BF174" s="4">
        <v>0.17100000000000001</v>
      </c>
      <c r="BG174" s="4">
        <v>-1</v>
      </c>
      <c r="BH174" s="4">
        <v>0.72599999999999998</v>
      </c>
      <c r="BI174" s="4">
        <v>-0.67600000000000005</v>
      </c>
      <c r="BJ174" s="4">
        <v>0.19500000000000001</v>
      </c>
      <c r="BK174" s="4">
        <v>0.60599999999999998</v>
      </c>
      <c r="BL174" s="4">
        <v>-0.108</v>
      </c>
      <c r="BM174" s="4"/>
    </row>
    <row r="175" spans="1:65" hidden="1" x14ac:dyDescent="0.3">
      <c r="A175" s="19" t="s">
        <v>227</v>
      </c>
      <c r="B175" s="53">
        <f t="shared" si="18"/>
        <v>0</v>
      </c>
      <c r="C175" s="53">
        <f t="shared" si="19"/>
        <v>0</v>
      </c>
      <c r="D175" s="53">
        <f t="shared" si="20"/>
        <v>0</v>
      </c>
      <c r="E175" s="53">
        <f t="shared" si="21"/>
        <v>0</v>
      </c>
      <c r="F175" s="15">
        <v>0.54100000000000004</v>
      </c>
      <c r="G175" s="19">
        <v>0.44800000000000001</v>
      </c>
      <c r="H175" s="24" t="s">
        <v>71</v>
      </c>
      <c r="I175" t="str">
        <f>VLOOKUP(A175,Planilha6!$BL$9:$BN$222,2,0)</f>
        <v>food</v>
      </c>
      <c r="J175" t="str">
        <f>VLOOKUP(A175,Planilha6!$BL$9:$BN$222,3,0)</f>
        <v>very_low_beta</v>
      </c>
      <c r="K175" s="2">
        <v>0</v>
      </c>
      <c r="L175" s="2">
        <v>0</v>
      </c>
      <c r="M175" s="15">
        <v>84</v>
      </c>
      <c r="N175" s="41">
        <f>VLOOKUP(A175,'Mandato Smll'!$A$2:$C$215,2,0)</f>
        <v>0</v>
      </c>
      <c r="O175" s="59">
        <f t="shared" si="22"/>
        <v>0</v>
      </c>
      <c r="P175" s="42">
        <f t="shared" si="23"/>
        <v>0</v>
      </c>
      <c r="Q175" s="41">
        <f>VLOOKUP(A175,'Mandato Smll'!$A$2:$C$215,3,0)</f>
        <v>0</v>
      </c>
      <c r="R175" s="59">
        <f t="shared" si="24"/>
        <v>0</v>
      </c>
      <c r="S175" s="15">
        <v>-0.94699999999999995</v>
      </c>
      <c r="T175" s="15">
        <v>-0.78900000000000003</v>
      </c>
      <c r="U175" s="15">
        <v>-1</v>
      </c>
      <c r="V175" s="15">
        <v>-0.876</v>
      </c>
      <c r="W175" s="15">
        <v>-0.85899999999999999</v>
      </c>
      <c r="X175" s="15">
        <v>-0.80300000000000005</v>
      </c>
      <c r="Y175" s="15">
        <v>-0.76100000000000001</v>
      </c>
      <c r="Z175" s="15">
        <v>-0.74199999999999999</v>
      </c>
      <c r="AA175" s="15">
        <v>0.45600000000000002</v>
      </c>
      <c r="AB175" s="15">
        <v>0.46100000000000002</v>
      </c>
      <c r="AC175" s="15">
        <v>0.48499999999999999</v>
      </c>
      <c r="AD175" s="15">
        <v>0.54700000000000004</v>
      </c>
      <c r="AE175" s="15">
        <v>0.379</v>
      </c>
      <c r="AF175" s="14">
        <v>-0.96199999999999997</v>
      </c>
      <c r="AG175" s="15">
        <v>-0.73699999999999999</v>
      </c>
      <c r="AH175" s="15">
        <v>-0.27500000000000002</v>
      </c>
      <c r="AI175" s="15">
        <v>-0.98199999999999998</v>
      </c>
      <c r="AJ175" s="15">
        <v>-0.96199999999999997</v>
      </c>
      <c r="AK175" s="9">
        <v>-0.9</v>
      </c>
      <c r="AL175" s="4">
        <v>-0.13</v>
      </c>
      <c r="AM175" s="4">
        <v>-0.46200000000000002</v>
      </c>
      <c r="AN175" s="4">
        <v>-0.59099999999999997</v>
      </c>
      <c r="AO175" s="4">
        <v>-0.38800000000000001</v>
      </c>
      <c r="AP175" s="4">
        <v>0.3</v>
      </c>
      <c r="AQ175" s="4">
        <v>0.188</v>
      </c>
      <c r="AR175" s="4">
        <v>-0.51800000000000002</v>
      </c>
      <c r="AS175" s="4">
        <v>-0.35499999999999998</v>
      </c>
      <c r="AT175" s="4">
        <v>-0.40100000000000002</v>
      </c>
      <c r="AU175" s="4">
        <v>0.64300000000000002</v>
      </c>
      <c r="AV175" s="4">
        <v>-0.45800000000000002</v>
      </c>
      <c r="AW175" s="4">
        <v>-0.65800000000000003</v>
      </c>
      <c r="AX175" s="4">
        <v>0.38400000000000001</v>
      </c>
      <c r="AY175" s="4">
        <v>-0.52400000000000002</v>
      </c>
      <c r="AZ175" s="4">
        <v>0.74199999999999999</v>
      </c>
      <c r="BA175" s="4">
        <v>-0.44400000000000001</v>
      </c>
      <c r="BB175" s="4">
        <v>0.49099999999999999</v>
      </c>
      <c r="BC175" s="4">
        <v>-0.03</v>
      </c>
      <c r="BD175" s="4">
        <v>-0.14000000000000001</v>
      </c>
      <c r="BE175" s="4">
        <v>-1.0999999999999999E-2</v>
      </c>
      <c r="BF175" s="4">
        <v>-9.4E-2</v>
      </c>
      <c r="BG175" s="4">
        <v>0.32800000000000001</v>
      </c>
      <c r="BH175" s="4">
        <v>0.34499999999999997</v>
      </c>
      <c r="BI175" s="4">
        <v>-0.36899999999999999</v>
      </c>
      <c r="BJ175" s="4">
        <v>-0.89</v>
      </c>
      <c r="BK175" s="4">
        <v>0.16700000000000001</v>
      </c>
      <c r="BL175" s="4">
        <v>-0.88300000000000001</v>
      </c>
      <c r="BM175" s="4"/>
    </row>
    <row r="176" spans="1:65" hidden="1" x14ac:dyDescent="0.3">
      <c r="A176" s="19" t="s">
        <v>212</v>
      </c>
      <c r="B176" s="53">
        <f t="shared" si="18"/>
        <v>0</v>
      </c>
      <c r="C176" s="53">
        <f t="shared" si="19"/>
        <v>-2E-3</v>
      </c>
      <c r="D176" s="53">
        <f t="shared" si="20"/>
        <v>0</v>
      </c>
      <c r="E176" s="53">
        <f t="shared" si="21"/>
        <v>2E-3</v>
      </c>
      <c r="F176" s="15">
        <v>0.53900000000000003</v>
      </c>
      <c r="G176" s="19">
        <v>0.42299999999999999</v>
      </c>
      <c r="H176" s="24" t="s">
        <v>57</v>
      </c>
      <c r="I176" t="str">
        <f>VLOOKUP(A176,Planilha6!$BL$9:$BN$222,2,0)</f>
        <v>homebuilders</v>
      </c>
      <c r="J176" t="str">
        <f>VLOOKUP(A176,Planilha6!$BL$9:$BN$222,3,0)</f>
        <v>low_beta</v>
      </c>
      <c r="K176" s="2">
        <v>0</v>
      </c>
      <c r="L176" s="2">
        <v>-2E-3</v>
      </c>
      <c r="M176" s="15">
        <v>84</v>
      </c>
      <c r="N176" s="41">
        <f>VLOOKUP(A176,'Mandato Smll'!$A$2:$C$215,2,0)</f>
        <v>0</v>
      </c>
      <c r="O176" s="59">
        <f t="shared" si="22"/>
        <v>0</v>
      </c>
      <c r="P176" s="42">
        <f t="shared" si="23"/>
        <v>0</v>
      </c>
      <c r="Q176" s="41">
        <f>VLOOKUP(A176,'Mandato Smll'!$A$2:$C$215,3,0)</f>
        <v>0</v>
      </c>
      <c r="R176" s="59">
        <f t="shared" si="24"/>
        <v>0</v>
      </c>
      <c r="S176" s="15">
        <v>-0.84299999999999997</v>
      </c>
      <c r="T176" s="15">
        <v>-0.76600000000000001</v>
      </c>
      <c r="U176" s="15">
        <v>-0.82199999999999995</v>
      </c>
      <c r="V176" s="15">
        <v>-0.82199999999999995</v>
      </c>
      <c r="W176" s="15">
        <v>-0.78900000000000003</v>
      </c>
      <c r="X176" s="15">
        <v>-0.78100000000000003</v>
      </c>
      <c r="Y176" s="15">
        <v>-0.71199999999999997</v>
      </c>
      <c r="Z176" s="15">
        <v>-0.746</v>
      </c>
      <c r="AA176" s="15">
        <v>0.22600000000000001</v>
      </c>
      <c r="AB176" s="15">
        <v>0.22800000000000001</v>
      </c>
      <c r="AC176" s="15">
        <v>0.35599999999999998</v>
      </c>
      <c r="AD176" s="15">
        <v>0.40300000000000002</v>
      </c>
      <c r="AE176" s="15">
        <v>0.30399999999999999</v>
      </c>
      <c r="AF176" s="14">
        <v>-0.74299999999999999</v>
      </c>
      <c r="AG176" s="15">
        <v>-0.45400000000000001</v>
      </c>
      <c r="AH176" s="15">
        <v>-0.81699999999999995</v>
      </c>
      <c r="AI176" s="15">
        <v>-0.46</v>
      </c>
      <c r="AJ176" s="15">
        <v>-0.39100000000000001</v>
      </c>
      <c r="AK176" s="9">
        <v>-0.315</v>
      </c>
      <c r="AL176" s="4">
        <v>-0.18099999999999999</v>
      </c>
      <c r="AM176" s="4">
        <v>-0.373</v>
      </c>
      <c r="AN176" s="4">
        <v>-0.68200000000000005</v>
      </c>
      <c r="AO176" s="4">
        <v>-0.39300000000000002</v>
      </c>
      <c r="AP176" s="4">
        <v>-0.377</v>
      </c>
      <c r="AQ176" s="4">
        <v>-0.222</v>
      </c>
      <c r="AR176" s="4">
        <v>0.19400000000000001</v>
      </c>
      <c r="AS176" s="4">
        <v>6.7000000000000004E-2</v>
      </c>
      <c r="AT176" s="4">
        <v>0.27200000000000002</v>
      </c>
      <c r="AU176" s="4">
        <v>0.624</v>
      </c>
      <c r="AV176" s="4">
        <v>-0.182</v>
      </c>
      <c r="AW176" s="4">
        <v>-0.32800000000000001</v>
      </c>
      <c r="AX176" s="4">
        <v>-0.12</v>
      </c>
      <c r="AY176" s="4">
        <v>0.42799999999999999</v>
      </c>
      <c r="AZ176" s="4">
        <v>0.83099999999999996</v>
      </c>
      <c r="BA176" s="4">
        <v>0.14599999999999999</v>
      </c>
      <c r="BB176" s="4">
        <v>-5.7000000000000002E-2</v>
      </c>
      <c r="BC176" s="4">
        <v>-0.89600000000000002</v>
      </c>
      <c r="BD176" s="4">
        <v>-0.39500000000000002</v>
      </c>
      <c r="BE176" s="4">
        <v>-0.434</v>
      </c>
      <c r="BF176" s="4">
        <v>0.8</v>
      </c>
      <c r="BG176" s="4">
        <v>0.14899999999999999</v>
      </c>
      <c r="BH176" s="4">
        <v>0.25</v>
      </c>
      <c r="BI176" s="4">
        <v>-0.71299999999999997</v>
      </c>
      <c r="BJ176" s="4">
        <v>0.223</v>
      </c>
      <c r="BK176" s="4">
        <v>-0.16900000000000001</v>
      </c>
      <c r="BL176" s="4">
        <v>0.16500000000000001</v>
      </c>
      <c r="BM176" s="4"/>
    </row>
    <row r="177" spans="1:65" hidden="1" x14ac:dyDescent="0.3">
      <c r="A177" s="19" t="s">
        <v>186</v>
      </c>
      <c r="B177" s="53">
        <f t="shared" si="18"/>
        <v>0</v>
      </c>
      <c r="C177" s="53">
        <f t="shared" si="19"/>
        <v>0</v>
      </c>
      <c r="D177" s="53">
        <f t="shared" si="20"/>
        <v>0</v>
      </c>
      <c r="E177" s="53">
        <f t="shared" si="21"/>
        <v>0</v>
      </c>
      <c r="F177" s="15">
        <v>0.53900000000000003</v>
      </c>
      <c r="G177" s="19">
        <v>0.624</v>
      </c>
      <c r="H177" s="24" t="s">
        <v>71</v>
      </c>
      <c r="I177" t="str">
        <f>VLOOKUP(A177,Planilha6!$BL$9:$BN$222,2,0)</f>
        <v>basic_materials</v>
      </c>
      <c r="J177" t="str">
        <f>VLOOKUP(A177,Planilha6!$BL$9:$BN$222,3,0)</f>
        <v>neutral_beta</v>
      </c>
      <c r="K177" s="2">
        <v>0</v>
      </c>
      <c r="L177" s="2">
        <v>0</v>
      </c>
      <c r="M177" s="15">
        <v>27</v>
      </c>
      <c r="N177" s="41">
        <f>VLOOKUP(A177,'Mandato Smll'!$A$2:$C$215,2,0)</f>
        <v>0</v>
      </c>
      <c r="O177" s="59">
        <f t="shared" si="22"/>
        <v>0</v>
      </c>
      <c r="P177" s="42">
        <f t="shared" si="23"/>
        <v>0</v>
      </c>
      <c r="Q177" s="41">
        <f>VLOOKUP(A177,'Mandato Smll'!$A$2:$C$215,3,0)</f>
        <v>0</v>
      </c>
      <c r="R177" s="59">
        <f t="shared" si="24"/>
        <v>0</v>
      </c>
      <c r="S177" s="15">
        <v>-0.97099999999999997</v>
      </c>
      <c r="T177" s="15">
        <v>-0.80700000000000005</v>
      </c>
      <c r="U177" s="15">
        <v>-1</v>
      </c>
      <c r="V177" s="15">
        <v>-0.91500000000000004</v>
      </c>
      <c r="W177" s="15">
        <v>-0.88800000000000001</v>
      </c>
      <c r="X177" s="15">
        <v>-0.82</v>
      </c>
      <c r="Y177" s="15">
        <v>-0.748</v>
      </c>
      <c r="Z177" s="15">
        <v>-0.73</v>
      </c>
      <c r="AA177" s="15">
        <v>0.45300000000000001</v>
      </c>
      <c r="AB177" s="15">
        <v>0.45400000000000001</v>
      </c>
      <c r="AC177" s="15">
        <v>0.41899999999999998</v>
      </c>
      <c r="AD177" s="15">
        <v>0.60299999999999998</v>
      </c>
      <c r="AE177" s="15">
        <v>0.36</v>
      </c>
      <c r="AF177" s="14">
        <v>-0.79200000000000004</v>
      </c>
      <c r="AG177" s="15">
        <v>-1</v>
      </c>
      <c r="AH177" s="15">
        <v>-0.20200000000000001</v>
      </c>
      <c r="AI177" s="15">
        <v>-0.9</v>
      </c>
      <c r="AJ177" s="15">
        <v>-0.94499999999999995</v>
      </c>
      <c r="AK177" s="9">
        <v>-0.94899999999999995</v>
      </c>
      <c r="AL177" s="4">
        <v>-0.17</v>
      </c>
      <c r="AM177" s="4">
        <v>-0.41399999999999998</v>
      </c>
      <c r="AN177" s="4">
        <v>-0.112</v>
      </c>
      <c r="AO177" s="4">
        <v>-0.65400000000000003</v>
      </c>
      <c r="AP177" s="4">
        <v>0.122</v>
      </c>
      <c r="AQ177" s="4">
        <v>-0.51900000000000002</v>
      </c>
      <c r="AR177" s="4">
        <v>-0.96</v>
      </c>
      <c r="AS177" s="4">
        <v>-0.98599999999999999</v>
      </c>
      <c r="AT177" s="4">
        <v>-0.66300000000000003</v>
      </c>
      <c r="AU177" s="4">
        <v>0.122</v>
      </c>
      <c r="AV177" s="4">
        <v>-0.38400000000000001</v>
      </c>
      <c r="AW177" s="4">
        <v>-0.439</v>
      </c>
      <c r="AX177" s="4">
        <v>0.46800000000000003</v>
      </c>
      <c r="AY177" s="4">
        <v>-5.5E-2</v>
      </c>
      <c r="AZ177" s="4">
        <v>0.876</v>
      </c>
      <c r="BA177" s="4">
        <v>-0.39500000000000002</v>
      </c>
      <c r="BB177" s="4">
        <v>0.109</v>
      </c>
      <c r="BC177" s="4">
        <v>0.13600000000000001</v>
      </c>
      <c r="BD177" s="4">
        <v>-9.6000000000000002E-2</v>
      </c>
      <c r="BE177" s="4">
        <v>0.31900000000000001</v>
      </c>
      <c r="BF177" s="4">
        <v>-0.63700000000000001</v>
      </c>
      <c r="BG177" s="4">
        <v>-0.28799999999999998</v>
      </c>
      <c r="BH177" s="4">
        <v>0.63400000000000001</v>
      </c>
      <c r="BI177" s="4">
        <v>-0.18</v>
      </c>
      <c r="BJ177" s="4">
        <v>-0.33700000000000002</v>
      </c>
      <c r="BK177" s="4">
        <v>-0.29499999999999998</v>
      </c>
      <c r="BL177" s="4">
        <v>-0.51400000000000001</v>
      </c>
      <c r="BM177" s="4"/>
    </row>
    <row r="178" spans="1:65" hidden="1" x14ac:dyDescent="0.3">
      <c r="A178" s="19" t="s">
        <v>221</v>
      </c>
      <c r="B178" s="53">
        <f t="shared" si="18"/>
        <v>0</v>
      </c>
      <c r="C178" s="53">
        <f t="shared" si="19"/>
        <v>-2.5000000000000001E-2</v>
      </c>
      <c r="D178" s="53">
        <f t="shared" si="20"/>
        <v>0</v>
      </c>
      <c r="E178" s="53">
        <f t="shared" si="21"/>
        <v>2.5000000000000001E-2</v>
      </c>
      <c r="F178" s="15">
        <v>0.53500000000000003</v>
      </c>
      <c r="G178" s="19">
        <v>1.085</v>
      </c>
      <c r="H178" s="24" t="s">
        <v>57</v>
      </c>
      <c r="I178" t="str">
        <f>VLOOKUP(A178,Planilha6!$BL$9:$BN$222,2,0)</f>
        <v>consumer_services</v>
      </c>
      <c r="J178" t="str">
        <f>VLOOKUP(A178,Planilha6!$BL$9:$BN$222,3,0)</f>
        <v>neutral_beta</v>
      </c>
      <c r="K178" s="2">
        <v>0</v>
      </c>
      <c r="L178" s="2">
        <v>-2.5000000000000001E-2</v>
      </c>
      <c r="M178" s="15">
        <v>53</v>
      </c>
      <c r="N178" s="41">
        <f>VLOOKUP(A178,'Mandato Smll'!$A$2:$C$215,2,0)</f>
        <v>0</v>
      </c>
      <c r="O178" s="59">
        <f t="shared" si="22"/>
        <v>0</v>
      </c>
      <c r="P178" s="42">
        <f t="shared" si="23"/>
        <v>0</v>
      </c>
      <c r="Q178" s="41">
        <f>VLOOKUP(A178,'Mandato Smll'!$A$2:$C$215,3,0)</f>
        <v>0</v>
      </c>
      <c r="R178" s="59">
        <f t="shared" si="24"/>
        <v>0</v>
      </c>
      <c r="S178" s="15">
        <v>-0.79900000000000004</v>
      </c>
      <c r="T178" s="15">
        <v>-0.77800000000000002</v>
      </c>
      <c r="U178" s="15">
        <v>-0.90300000000000002</v>
      </c>
      <c r="V178" s="15">
        <v>-0.71799999999999997</v>
      </c>
      <c r="W178" s="15">
        <v>-0.79500000000000004</v>
      </c>
      <c r="X178" s="15">
        <v>-0.65</v>
      </c>
      <c r="Y178" s="15">
        <v>-0.36699999999999999</v>
      </c>
      <c r="Z178" s="15">
        <v>-0.74099999999999999</v>
      </c>
      <c r="AA178" s="15">
        <v>7.3999999999999996E-2</v>
      </c>
      <c r="AB178" s="15">
        <v>7.0999999999999994E-2</v>
      </c>
      <c r="AC178" s="15">
        <v>0.32500000000000001</v>
      </c>
      <c r="AD178" s="15">
        <v>0.39500000000000002</v>
      </c>
      <c r="AE178" s="15">
        <v>6.5000000000000002E-2</v>
      </c>
      <c r="AF178" s="14">
        <v>-0.35399999999999998</v>
      </c>
      <c r="AG178" s="15">
        <v>0.24299999999999999</v>
      </c>
      <c r="AH178" s="15">
        <v>-1</v>
      </c>
      <c r="AI178" s="15">
        <v>-0.77900000000000003</v>
      </c>
      <c r="AJ178" s="15">
        <v>-1</v>
      </c>
      <c r="AK178" s="9">
        <v>-0.34599999999999997</v>
      </c>
      <c r="AL178" s="4">
        <v>-0.14699999999999999</v>
      </c>
      <c r="AM178" s="4">
        <v>-0.45400000000000001</v>
      </c>
      <c r="AN178" s="4">
        <v>-0.46700000000000003</v>
      </c>
      <c r="AO178" s="4">
        <v>0.66300000000000003</v>
      </c>
      <c r="AP178" s="4">
        <v>-0.80200000000000005</v>
      </c>
      <c r="AQ178" s="4">
        <v>-0.81499999999999995</v>
      </c>
      <c r="AR178" s="4">
        <v>1</v>
      </c>
      <c r="AS178" s="4">
        <v>0.17299999999999999</v>
      </c>
      <c r="AT178" s="4">
        <v>-3.6999999999999998E-2</v>
      </c>
      <c r="AU178" s="4">
        <v>0.109</v>
      </c>
      <c r="AV178" s="4">
        <v>4.4999999999999998E-2</v>
      </c>
      <c r="AW178" s="4">
        <v>0.20899999999999999</v>
      </c>
      <c r="AX178" s="4">
        <v>6.5000000000000002E-2</v>
      </c>
      <c r="AY178" s="4">
        <v>-3.5999999999999997E-2</v>
      </c>
      <c r="AZ178" s="4">
        <v>0.76500000000000001</v>
      </c>
      <c r="BA178" s="4">
        <v>-0.48799999999999999</v>
      </c>
      <c r="BB178" s="4">
        <v>0.315</v>
      </c>
      <c r="BC178" s="4">
        <v>-0.4</v>
      </c>
      <c r="BD178" s="4">
        <v>-0.42499999999999999</v>
      </c>
      <c r="BE178" s="4">
        <v>-0.29699999999999999</v>
      </c>
      <c r="BF178" s="4">
        <v>0.313</v>
      </c>
      <c r="BG178" s="4">
        <v>-0.24399999999999999</v>
      </c>
      <c r="BH178" s="4">
        <v>0.65</v>
      </c>
      <c r="BI178" s="4">
        <v>-0.18</v>
      </c>
      <c r="BJ178" s="4">
        <v>-7.4999999999999997E-2</v>
      </c>
      <c r="BK178" s="4">
        <v>-0.51800000000000002</v>
      </c>
      <c r="BL178" s="4">
        <v>-9.8000000000000004E-2</v>
      </c>
      <c r="BM178" s="4"/>
    </row>
    <row r="179" spans="1:65" hidden="1" x14ac:dyDescent="0.3">
      <c r="A179" s="19" t="s">
        <v>178</v>
      </c>
      <c r="B179" s="53">
        <f t="shared" si="18"/>
        <v>0</v>
      </c>
      <c r="C179" s="53">
        <f t="shared" si="19"/>
        <v>0</v>
      </c>
      <c r="D179" s="53">
        <f t="shared" si="20"/>
        <v>0</v>
      </c>
      <c r="E179" s="53">
        <f t="shared" si="21"/>
        <v>0</v>
      </c>
      <c r="F179" s="15">
        <v>0.53400000000000003</v>
      </c>
      <c r="G179" s="19">
        <v>0.40200000000000002</v>
      </c>
      <c r="H179" s="24" t="s">
        <v>53</v>
      </c>
      <c r="I179" t="str">
        <f>VLOOKUP(A179,Planilha6!$BL$9:$BN$222,2,0)</f>
        <v>healthcare</v>
      </c>
      <c r="J179" t="str">
        <f>VLOOKUP(A179,Planilha6!$BL$9:$BN$222,3,0)</f>
        <v>very_low_beta</v>
      </c>
      <c r="K179" s="2">
        <v>0</v>
      </c>
      <c r="L179" s="2">
        <v>0</v>
      </c>
      <c r="M179" s="15">
        <v>23</v>
      </c>
      <c r="N179" s="41">
        <f>VLOOKUP(A179,'Mandato Smll'!$A$2:$C$215,2,0)</f>
        <v>0</v>
      </c>
      <c r="O179" s="59">
        <f t="shared" si="22"/>
        <v>0</v>
      </c>
      <c r="P179" s="42">
        <f t="shared" si="23"/>
        <v>0</v>
      </c>
      <c r="Q179" s="41">
        <f>VLOOKUP(A179,'Mandato Smll'!$A$2:$C$215,3,0)</f>
        <v>0</v>
      </c>
      <c r="R179" s="59">
        <f t="shared" si="24"/>
        <v>0</v>
      </c>
      <c r="S179" s="15">
        <v>-0.89200000000000002</v>
      </c>
      <c r="T179" s="15">
        <v>-0.76700000000000002</v>
      </c>
      <c r="U179" s="15">
        <v>-0.99299999999999999</v>
      </c>
      <c r="V179" s="15">
        <v>-0.81399999999999995</v>
      </c>
      <c r="W179" s="15">
        <v>-0.84599999999999997</v>
      </c>
      <c r="X179" s="15">
        <v>-0.77700000000000002</v>
      </c>
      <c r="Y179" s="15">
        <v>-0.60499999999999998</v>
      </c>
      <c r="Z179" s="15">
        <v>-0.78900000000000003</v>
      </c>
      <c r="AA179" s="15">
        <v>0.13400000000000001</v>
      </c>
      <c r="AB179" s="15">
        <v>0.13900000000000001</v>
      </c>
      <c r="AC179" s="15">
        <v>0.51500000000000001</v>
      </c>
      <c r="AD179" s="15">
        <v>0.53300000000000003</v>
      </c>
      <c r="AE179" s="15">
        <v>0.28599999999999998</v>
      </c>
      <c r="AF179" s="14">
        <v>-0.54</v>
      </c>
      <c r="AG179" s="15">
        <v>-0.81799999999999995</v>
      </c>
      <c r="AH179" s="15">
        <v>-0.60199999999999998</v>
      </c>
      <c r="AI179" s="15">
        <v>-0.98499999999999999</v>
      </c>
      <c r="AJ179" s="15">
        <v>-0.86499999999999999</v>
      </c>
      <c r="AK179" s="9">
        <v>-0.69699999999999995</v>
      </c>
      <c r="AL179" s="4">
        <v>-0.39400000000000002</v>
      </c>
      <c r="AM179" s="4">
        <v>-0.76100000000000001</v>
      </c>
      <c r="AN179" s="4">
        <v>-0.89400000000000002</v>
      </c>
      <c r="AO179" s="4">
        <v>0.25600000000000001</v>
      </c>
      <c r="AP179" s="4">
        <v>0.25</v>
      </c>
      <c r="AQ179" s="4">
        <v>-0.14099999999999999</v>
      </c>
      <c r="AR179" s="4">
        <v>0.1</v>
      </c>
      <c r="AS179" s="4">
        <v>-8.3000000000000004E-2</v>
      </c>
      <c r="AT179" s="4">
        <v>-0.39900000000000002</v>
      </c>
      <c r="AU179" s="4">
        <v>0.63400000000000001</v>
      </c>
      <c r="AV179" s="4">
        <v>-0.35099999999999998</v>
      </c>
      <c r="AW179" s="4">
        <v>0.17</v>
      </c>
      <c r="AX179" s="4">
        <v>0.253</v>
      </c>
      <c r="AY179" s="4">
        <v>-0.121</v>
      </c>
      <c r="AZ179" s="4">
        <v>0.97499999999999998</v>
      </c>
      <c r="BA179" s="4">
        <v>-0.84899999999999998</v>
      </c>
      <c r="BB179" s="4">
        <v>0.56499999999999995</v>
      </c>
      <c r="BC179" s="4">
        <v>-0.32100000000000001</v>
      </c>
      <c r="BD179" s="4">
        <v>-0.23599999999999999</v>
      </c>
      <c r="BE179" s="4">
        <v>-2.8000000000000001E-2</v>
      </c>
      <c r="BF179" s="4">
        <v>0.31900000000000001</v>
      </c>
      <c r="BG179" s="4">
        <v>-6.6000000000000003E-2</v>
      </c>
      <c r="BH179" s="4">
        <v>0.59299999999999997</v>
      </c>
      <c r="BI179" s="4">
        <v>-0.20100000000000001</v>
      </c>
      <c r="BJ179" s="4">
        <v>-0.38200000000000001</v>
      </c>
      <c r="BK179" s="4">
        <v>-0.27600000000000002</v>
      </c>
      <c r="BL179" s="4">
        <v>-0.73699999999999999</v>
      </c>
      <c r="BM179" s="4"/>
    </row>
    <row r="180" spans="1:65" hidden="1" x14ac:dyDescent="0.3">
      <c r="A180" s="19" t="s">
        <v>187</v>
      </c>
      <c r="B180" s="53">
        <f t="shared" si="18"/>
        <v>0</v>
      </c>
      <c r="C180" s="53">
        <f t="shared" si="19"/>
        <v>-6.0000000000000001E-3</v>
      </c>
      <c r="D180" s="53">
        <f t="shared" si="20"/>
        <v>0</v>
      </c>
      <c r="E180" s="53">
        <f t="shared" si="21"/>
        <v>6.0000000000000001E-3</v>
      </c>
      <c r="F180" s="15">
        <v>0.53300000000000003</v>
      </c>
      <c r="G180" s="19">
        <v>0.64900000000000002</v>
      </c>
      <c r="H180" s="24" t="s">
        <v>53</v>
      </c>
      <c r="I180" t="str">
        <f>VLOOKUP(A180,Planilha6!$BL$9:$BN$222,2,0)</f>
        <v>consumer_staples</v>
      </c>
      <c r="J180" t="str">
        <f>VLOOKUP(A180,Planilha6!$BL$9:$BN$222,3,0)</f>
        <v>low_beta</v>
      </c>
      <c r="K180" s="2">
        <v>0</v>
      </c>
      <c r="L180" s="2">
        <v>-6.0000000000000001E-3</v>
      </c>
      <c r="M180" s="15">
        <v>84</v>
      </c>
      <c r="N180" s="41">
        <f>VLOOKUP(A180,'Mandato Smll'!$A$2:$C$215,2,0)</f>
        <v>0</v>
      </c>
      <c r="O180" s="59">
        <f t="shared" si="22"/>
        <v>0</v>
      </c>
      <c r="P180" s="42">
        <f t="shared" si="23"/>
        <v>0</v>
      </c>
      <c r="Q180" s="41">
        <f>VLOOKUP(A180,'Mandato Smll'!$A$2:$C$215,3,0)</f>
        <v>0</v>
      </c>
      <c r="R180" s="59">
        <f t="shared" si="24"/>
        <v>0</v>
      </c>
      <c r="S180" s="15">
        <v>-0.77900000000000003</v>
      </c>
      <c r="T180" s="15">
        <v>-0.79</v>
      </c>
      <c r="U180" s="15">
        <v>-0.84499999999999997</v>
      </c>
      <c r="V180" s="15">
        <v>-0.76100000000000001</v>
      </c>
      <c r="W180" s="15">
        <v>-0.80400000000000005</v>
      </c>
      <c r="X180" s="15">
        <v>-0.748</v>
      </c>
      <c r="Y180" s="15">
        <v>-0.68400000000000005</v>
      </c>
      <c r="Z180" s="15">
        <v>-0.78800000000000003</v>
      </c>
      <c r="AA180" s="15">
        <v>0.111</v>
      </c>
      <c r="AB180" s="15">
        <v>0.114</v>
      </c>
      <c r="AC180" s="15">
        <v>0.51</v>
      </c>
      <c r="AD180" s="15">
        <v>0.48299999999999998</v>
      </c>
      <c r="AE180" s="15">
        <v>0.11700000000000001</v>
      </c>
      <c r="AF180" s="14">
        <v>-0.33700000000000002</v>
      </c>
      <c r="AG180" s="15">
        <v>-0.13400000000000001</v>
      </c>
      <c r="AH180" s="15">
        <v>-0.751</v>
      </c>
      <c r="AI180" s="15">
        <v>-0.65500000000000003</v>
      </c>
      <c r="AJ180" s="15">
        <v>-0.94199999999999995</v>
      </c>
      <c r="AK180" s="9">
        <v>-0.50700000000000001</v>
      </c>
      <c r="AL180" s="4">
        <v>-2.9000000000000001E-2</v>
      </c>
      <c r="AM180" s="4">
        <v>-0.58399999999999996</v>
      </c>
      <c r="AN180" s="4">
        <v>-0.22800000000000001</v>
      </c>
      <c r="AO180" s="4">
        <v>0.79400000000000004</v>
      </c>
      <c r="AP180" s="4">
        <v>-0.78900000000000003</v>
      </c>
      <c r="AQ180" s="4">
        <v>0.157</v>
      </c>
      <c r="AR180" s="4">
        <v>0.311</v>
      </c>
      <c r="AS180" s="4">
        <v>-8.5999999999999993E-2</v>
      </c>
      <c r="AT180" s="4">
        <v>-0.439</v>
      </c>
      <c r="AU180" s="4">
        <v>0.60899999999999999</v>
      </c>
      <c r="AV180" s="4">
        <v>-0.33500000000000002</v>
      </c>
      <c r="AW180" s="4">
        <v>-4.8000000000000001E-2</v>
      </c>
      <c r="AX180" s="4">
        <v>0.128</v>
      </c>
      <c r="AY180" s="4">
        <v>0.126</v>
      </c>
      <c r="AZ180" s="4">
        <v>0.95399999999999996</v>
      </c>
      <c r="BA180" s="4">
        <v>-6.0999999999999999E-2</v>
      </c>
      <c r="BB180" s="4">
        <v>2.7E-2</v>
      </c>
      <c r="BC180" s="4">
        <v>-0.54</v>
      </c>
      <c r="BD180" s="4">
        <v>-0.36499999999999999</v>
      </c>
      <c r="BE180" s="4">
        <v>-7.6999999999999999E-2</v>
      </c>
      <c r="BF180" s="4">
        <v>0.747</v>
      </c>
      <c r="BG180" s="4">
        <v>1</v>
      </c>
      <c r="BH180" s="4">
        <v>-4.9000000000000002E-2</v>
      </c>
      <c r="BI180" s="4">
        <v>-1.2999999999999999E-2</v>
      </c>
      <c r="BJ180" s="4">
        <v>-0.219</v>
      </c>
      <c r="BK180" s="4">
        <v>8.1000000000000003E-2</v>
      </c>
      <c r="BL180" s="4">
        <v>-6.5000000000000002E-2</v>
      </c>
      <c r="BM180" s="4"/>
    </row>
    <row r="181" spans="1:65" hidden="1" x14ac:dyDescent="0.3">
      <c r="A181" s="19" t="s">
        <v>128</v>
      </c>
      <c r="B181" s="53">
        <f t="shared" si="18"/>
        <v>0</v>
      </c>
      <c r="C181" s="53">
        <f t="shared" si="19"/>
        <v>0</v>
      </c>
      <c r="D181" s="53">
        <f t="shared" si="20"/>
        <v>0</v>
      </c>
      <c r="E181" s="53">
        <f t="shared" si="21"/>
        <v>0</v>
      </c>
      <c r="F181" s="15">
        <v>0.53300000000000003</v>
      </c>
      <c r="G181" s="19">
        <v>0.40799999999999997</v>
      </c>
      <c r="H181" s="24" t="s">
        <v>68</v>
      </c>
      <c r="I181" t="str">
        <f>VLOOKUP(A181,Planilha6!$BL$9:$BN$222,2,0)</f>
        <v>capital_goods</v>
      </c>
      <c r="J181" t="str">
        <f>VLOOKUP(A181,Planilha6!$BL$9:$BN$222,3,0)</f>
        <v>very_low_beta</v>
      </c>
      <c r="K181" s="2">
        <v>0</v>
      </c>
      <c r="L181" s="2">
        <v>0</v>
      </c>
      <c r="M181" s="15">
        <v>84</v>
      </c>
      <c r="N181" s="41">
        <f>VLOOKUP(A181,'Mandato Smll'!$A$2:$C$215,2,0)</f>
        <v>0</v>
      </c>
      <c r="O181" s="59">
        <f t="shared" si="22"/>
        <v>0</v>
      </c>
      <c r="P181" s="42">
        <f t="shared" si="23"/>
        <v>0</v>
      </c>
      <c r="Q181" s="41">
        <f>VLOOKUP(A181,'Mandato Smll'!$A$2:$C$215,3,0)</f>
        <v>0</v>
      </c>
      <c r="R181" s="59">
        <f t="shared" si="24"/>
        <v>0</v>
      </c>
      <c r="S181" s="15">
        <v>-0.86699999999999999</v>
      </c>
      <c r="T181" s="15">
        <v>-0.83499999999999996</v>
      </c>
      <c r="U181" s="15">
        <v>-0.65700000000000003</v>
      </c>
      <c r="V181" s="15">
        <v>-0.90800000000000003</v>
      </c>
      <c r="W181" s="15">
        <v>-0.84599999999999997</v>
      </c>
      <c r="X181" s="15">
        <v>-0.86699999999999999</v>
      </c>
      <c r="Y181" s="15">
        <v>-0.79100000000000004</v>
      </c>
      <c r="Z181" s="15">
        <v>-0.81100000000000005</v>
      </c>
      <c r="AA181" s="15">
        <v>0.153</v>
      </c>
      <c r="AB181" s="15">
        <v>0.151</v>
      </c>
      <c r="AC181" s="15">
        <v>0.35499999999999998</v>
      </c>
      <c r="AD181" s="15">
        <v>0.47199999999999998</v>
      </c>
      <c r="AE181" s="15">
        <v>0.35399999999999998</v>
      </c>
      <c r="AF181" s="14">
        <v>-0.76</v>
      </c>
      <c r="AG181" s="15">
        <v>-1</v>
      </c>
      <c r="AH181" s="15">
        <v>-0.43099999999999999</v>
      </c>
      <c r="AI181" s="15">
        <v>0.02</v>
      </c>
      <c r="AJ181" s="15">
        <v>0.377</v>
      </c>
      <c r="AK181" s="9">
        <v>-0.21299999999999999</v>
      </c>
      <c r="AL181" s="4">
        <v>-0.53800000000000003</v>
      </c>
      <c r="AM181" s="4">
        <v>-0.46700000000000003</v>
      </c>
      <c r="AN181" s="4">
        <v>0.127</v>
      </c>
      <c r="AO181" s="4">
        <v>-0.67300000000000004</v>
      </c>
      <c r="AP181" s="4">
        <v>-4.5999999999999999E-2</v>
      </c>
      <c r="AQ181" s="4">
        <v>-0.16800000000000001</v>
      </c>
      <c r="AR181" s="4">
        <v>-0.96799999999999997</v>
      </c>
      <c r="AS181" s="4">
        <v>-0.65400000000000003</v>
      </c>
      <c r="AT181" s="4">
        <v>-0.45500000000000002</v>
      </c>
      <c r="AU181" s="4">
        <v>-0.13600000000000001</v>
      </c>
      <c r="AV181" s="4">
        <v>-0.28299999999999997</v>
      </c>
      <c r="AW181" s="4">
        <v>-0.42399999999999999</v>
      </c>
      <c r="AX181" s="4">
        <v>0.35599999999999998</v>
      </c>
      <c r="AY181" s="4">
        <v>-0.28100000000000003</v>
      </c>
      <c r="AZ181" s="4">
        <v>0.68500000000000005</v>
      </c>
      <c r="BA181" s="4">
        <v>-0.83099999999999996</v>
      </c>
      <c r="BB181" s="4">
        <v>0.626</v>
      </c>
      <c r="BC181" s="4">
        <v>2.4E-2</v>
      </c>
      <c r="BD181" s="4">
        <v>-0.61499999999999999</v>
      </c>
      <c r="BE181" s="4">
        <v>-0.307</v>
      </c>
      <c r="BF181" s="4">
        <v>0.54200000000000004</v>
      </c>
      <c r="BG181" s="4">
        <v>0.13</v>
      </c>
      <c r="BH181" s="4">
        <v>0.39400000000000002</v>
      </c>
      <c r="BI181" s="4">
        <v>0.44500000000000001</v>
      </c>
      <c r="BJ181" s="4">
        <v>-1.9E-2</v>
      </c>
      <c r="BK181" s="4">
        <v>0.76100000000000001</v>
      </c>
      <c r="BL181" s="4">
        <v>0.60699999999999998</v>
      </c>
      <c r="BM181" s="4"/>
    </row>
    <row r="182" spans="1:65" hidden="1" x14ac:dyDescent="0.3">
      <c r="A182" s="19" t="s">
        <v>129</v>
      </c>
      <c r="B182" s="53">
        <f t="shared" si="18"/>
        <v>0</v>
      </c>
      <c r="C182" s="53">
        <f t="shared" si="19"/>
        <v>0</v>
      </c>
      <c r="D182" s="53">
        <f t="shared" si="20"/>
        <v>0</v>
      </c>
      <c r="E182" s="53">
        <f t="shared" si="21"/>
        <v>0</v>
      </c>
      <c r="F182" s="15">
        <v>0.53200000000000003</v>
      </c>
      <c r="G182" s="19">
        <v>0.36599999999999999</v>
      </c>
      <c r="H182" s="24" t="s">
        <v>57</v>
      </c>
      <c r="I182" t="str">
        <f>VLOOKUP(A182,Planilha6!$BL$9:$BN$222,2,0)</f>
        <v>homebuilders</v>
      </c>
      <c r="J182" t="str">
        <f>VLOOKUP(A182,Planilha6!$BL$9:$BN$222,3,0)</f>
        <v>very_high_beta</v>
      </c>
      <c r="K182" s="2">
        <v>0</v>
      </c>
      <c r="L182" s="2">
        <v>0</v>
      </c>
      <c r="M182" s="15">
        <v>84</v>
      </c>
      <c r="N182" s="41">
        <f>VLOOKUP(A182,'Mandato Smll'!$A$2:$C$215,2,0)</f>
        <v>0</v>
      </c>
      <c r="O182" s="59">
        <f t="shared" si="22"/>
        <v>0</v>
      </c>
      <c r="P182" s="42">
        <f t="shared" si="23"/>
        <v>0</v>
      </c>
      <c r="Q182" s="41">
        <f>VLOOKUP(A182,'Mandato Smll'!$A$2:$C$215,3,0)</f>
        <v>0</v>
      </c>
      <c r="R182" s="59">
        <f t="shared" si="24"/>
        <v>0</v>
      </c>
      <c r="S182" s="15">
        <v>-0.50800000000000001</v>
      </c>
      <c r="T182" s="15">
        <v>-0.72899999999999998</v>
      </c>
      <c r="U182" s="15">
        <v>-0.27800000000000002</v>
      </c>
      <c r="V182" s="15">
        <v>-0.69899999999999995</v>
      </c>
      <c r="W182" s="15">
        <v>-0.69899999999999995</v>
      </c>
      <c r="X182" s="15">
        <v>-0.76400000000000001</v>
      </c>
      <c r="Y182" s="15">
        <v>-0.78800000000000003</v>
      </c>
      <c r="Z182" s="15">
        <v>-0.77700000000000002</v>
      </c>
      <c r="AA182" s="15">
        <v>0.06</v>
      </c>
      <c r="AB182" s="15">
        <v>5.8000000000000003E-2</v>
      </c>
      <c r="AC182" s="15">
        <v>-0.55200000000000005</v>
      </c>
      <c r="AD182" s="15">
        <v>-3.2000000000000001E-2</v>
      </c>
      <c r="AE182" s="15">
        <v>5.6000000000000001E-2</v>
      </c>
      <c r="AF182" s="14">
        <v>-0.30499999999999999</v>
      </c>
      <c r="AG182" s="15">
        <v>0.191</v>
      </c>
      <c r="AH182" s="15">
        <v>0.105</v>
      </c>
      <c r="AI182" s="15">
        <v>1</v>
      </c>
      <c r="AJ182" s="15">
        <v>0.54300000000000004</v>
      </c>
      <c r="AK182" s="9">
        <v>-0.41499999999999998</v>
      </c>
      <c r="AL182" s="4">
        <v>-6.5000000000000002E-2</v>
      </c>
      <c r="AM182" s="4">
        <v>-8.5000000000000006E-2</v>
      </c>
      <c r="AN182" s="4">
        <v>0.71599999999999997</v>
      </c>
      <c r="AO182" s="4">
        <v>0.109</v>
      </c>
      <c r="AP182" s="4">
        <v>-0.35499999999999998</v>
      </c>
      <c r="AQ182" s="4">
        <v>0.113</v>
      </c>
      <c r="AR182" s="4">
        <v>6.7000000000000004E-2</v>
      </c>
      <c r="AS182" s="4">
        <v>-0.434</v>
      </c>
      <c r="AT182" s="4">
        <v>-0.85099999999999998</v>
      </c>
      <c r="AU182" s="4">
        <v>-0.20399999999999999</v>
      </c>
      <c r="AV182" s="4">
        <v>-0.28399999999999997</v>
      </c>
      <c r="AW182" s="4">
        <v>-0.44700000000000001</v>
      </c>
      <c r="AX182" s="4">
        <v>-0.99299999999999999</v>
      </c>
      <c r="AY182" s="4">
        <v>-0.72599999999999998</v>
      </c>
      <c r="AZ182" s="4">
        <v>4.2000000000000003E-2</v>
      </c>
      <c r="BA182" s="4">
        <v>-8.6999999999999994E-2</v>
      </c>
      <c r="BB182" s="4">
        <v>-0.31</v>
      </c>
      <c r="BC182" s="4">
        <v>0.188</v>
      </c>
      <c r="BD182" s="4">
        <v>-0.14799999999999999</v>
      </c>
      <c r="BE182" s="4">
        <v>0.42199999999999999</v>
      </c>
      <c r="BF182" s="4">
        <v>0.84699999999999998</v>
      </c>
      <c r="BG182" s="4">
        <v>0.18099999999999999</v>
      </c>
      <c r="BH182" s="4">
        <v>-0.122</v>
      </c>
      <c r="BI182" s="4">
        <v>1.6E-2</v>
      </c>
      <c r="BJ182" s="4">
        <v>0.90300000000000002</v>
      </c>
      <c r="BK182" s="4">
        <v>-7.0000000000000001E-3</v>
      </c>
      <c r="BL182" s="4">
        <v>0.88500000000000001</v>
      </c>
      <c r="BM182" s="4"/>
    </row>
    <row r="183" spans="1:65" hidden="1" x14ac:dyDescent="0.3">
      <c r="A183" s="19" t="s">
        <v>253</v>
      </c>
      <c r="B183" s="53">
        <f t="shared" si="18"/>
        <v>0</v>
      </c>
      <c r="C183" s="53">
        <f t="shared" si="19"/>
        <v>-3.0000000000000001E-3</v>
      </c>
      <c r="D183" s="53">
        <f t="shared" si="20"/>
        <v>0</v>
      </c>
      <c r="E183" s="53">
        <f t="shared" si="21"/>
        <v>3.0000000000000001E-3</v>
      </c>
      <c r="F183" s="15">
        <v>0.53</v>
      </c>
      <c r="G183" s="19">
        <v>0.45</v>
      </c>
      <c r="H183" s="24" t="s">
        <v>68</v>
      </c>
      <c r="I183" t="str">
        <f>VLOOKUP(A183,Planilha6!$BL$9:$BN$222,2,0)</f>
        <v>capital_goods</v>
      </c>
      <c r="J183" t="str">
        <f>VLOOKUP(A183,Planilha6!$BL$9:$BN$222,3,0)</f>
        <v>very_high_beta</v>
      </c>
      <c r="K183" s="2">
        <v>0</v>
      </c>
      <c r="L183" s="2">
        <v>-3.0000000000000001E-3</v>
      </c>
      <c r="M183" s="15">
        <v>84</v>
      </c>
      <c r="N183" s="41">
        <f>VLOOKUP(A183,'Mandato Smll'!$A$2:$C$215,2,0)</f>
        <v>0</v>
      </c>
      <c r="O183" s="59">
        <f t="shared" si="22"/>
        <v>0</v>
      </c>
      <c r="P183" s="42">
        <f t="shared" si="23"/>
        <v>0</v>
      </c>
      <c r="Q183" s="41">
        <f>VLOOKUP(A183,'Mandato Smll'!$A$2:$C$215,3,0)</f>
        <v>0</v>
      </c>
      <c r="R183" s="59">
        <f t="shared" si="24"/>
        <v>0</v>
      </c>
      <c r="S183" s="15">
        <v>-0.86699999999999999</v>
      </c>
      <c r="T183" s="15">
        <v>-0.81399999999999995</v>
      </c>
      <c r="U183" s="15">
        <v>-0.747</v>
      </c>
      <c r="V183" s="15">
        <v>-0.88</v>
      </c>
      <c r="W183" s="15">
        <v>-0.82699999999999996</v>
      </c>
      <c r="X183" s="15">
        <v>-0.86199999999999999</v>
      </c>
      <c r="Y183" s="15">
        <v>-0.81</v>
      </c>
      <c r="Z183" s="15">
        <v>-0.81899999999999995</v>
      </c>
      <c r="AA183" s="15">
        <v>0.35199999999999998</v>
      </c>
      <c r="AB183" s="15">
        <v>0.35499999999999998</v>
      </c>
      <c r="AC183" s="15">
        <v>0.46300000000000002</v>
      </c>
      <c r="AD183" s="15">
        <v>0.60099999999999998</v>
      </c>
      <c r="AE183" s="15">
        <v>0.13500000000000001</v>
      </c>
      <c r="AF183" s="14">
        <v>-0.82699999999999996</v>
      </c>
      <c r="AG183" s="15">
        <v>-0.36699999999999999</v>
      </c>
      <c r="AH183" s="15">
        <v>-0.308</v>
      </c>
      <c r="AI183" s="15">
        <v>0.41499999999999998</v>
      </c>
      <c r="AJ183" s="15">
        <v>-0.68899999999999995</v>
      </c>
      <c r="AK183" s="9">
        <v>-0.65700000000000003</v>
      </c>
      <c r="AL183" s="4">
        <v>0.16</v>
      </c>
      <c r="AM183" s="4">
        <v>-0.57099999999999995</v>
      </c>
      <c r="AN183" s="4">
        <v>0.56699999999999995</v>
      </c>
      <c r="AO183" s="4">
        <v>-0.31900000000000001</v>
      </c>
      <c r="AP183" s="4">
        <v>-0.53600000000000003</v>
      </c>
      <c r="AQ183" s="4">
        <v>-0.83</v>
      </c>
      <c r="AR183" s="4">
        <v>-5.8000000000000003E-2</v>
      </c>
      <c r="AS183" s="4">
        <v>-0.50700000000000001</v>
      </c>
      <c r="AT183" s="4">
        <v>-0.67300000000000004</v>
      </c>
      <c r="AU183" s="4">
        <v>6.3E-2</v>
      </c>
      <c r="AV183" s="4">
        <v>-0.126</v>
      </c>
      <c r="AW183" s="4">
        <v>-0.76200000000000001</v>
      </c>
      <c r="AX183" s="4">
        <v>-1E-3</v>
      </c>
      <c r="AY183" s="4">
        <v>-0.24099999999999999</v>
      </c>
      <c r="AZ183" s="4">
        <v>0.69</v>
      </c>
      <c r="BA183" s="4">
        <v>0.29899999999999999</v>
      </c>
      <c r="BB183" s="4">
        <v>-0.71799999999999997</v>
      </c>
      <c r="BC183" s="4">
        <v>-0.44400000000000001</v>
      </c>
      <c r="BD183" s="4">
        <v>-0.41099999999999998</v>
      </c>
      <c r="BE183" s="4">
        <v>-0.39300000000000002</v>
      </c>
      <c r="BF183" s="4">
        <v>-0.14899999999999999</v>
      </c>
      <c r="BG183" s="4">
        <v>-0.45400000000000001</v>
      </c>
      <c r="BH183" s="4">
        <v>0.13100000000000001</v>
      </c>
      <c r="BI183" s="4">
        <v>0.12</v>
      </c>
      <c r="BJ183" s="4">
        <v>0.60899999999999999</v>
      </c>
      <c r="BK183" s="4">
        <v>0.45700000000000002</v>
      </c>
      <c r="BL183" s="4">
        <v>0.28000000000000003</v>
      </c>
      <c r="BM183" s="4"/>
    </row>
    <row r="184" spans="1:65" hidden="1" x14ac:dyDescent="0.3">
      <c r="A184" s="19" t="s">
        <v>240</v>
      </c>
      <c r="B184" s="53">
        <f t="shared" si="18"/>
        <v>0</v>
      </c>
      <c r="C184" s="53">
        <f t="shared" si="19"/>
        <v>0</v>
      </c>
      <c r="D184" s="53">
        <f t="shared" si="20"/>
        <v>0</v>
      </c>
      <c r="E184" s="53">
        <f t="shared" si="21"/>
        <v>0</v>
      </c>
      <c r="F184" s="15">
        <v>0.53</v>
      </c>
      <c r="G184" s="19">
        <v>0.441</v>
      </c>
      <c r="H184" s="24" t="s">
        <v>71</v>
      </c>
      <c r="I184" t="str">
        <f>VLOOKUP(A184,Planilha6!$BL$9:$BN$222,2,0)</f>
        <v>crude_oil</v>
      </c>
      <c r="J184" t="str">
        <f>VLOOKUP(A184,Planilha6!$BL$9:$BN$222,3,0)</f>
        <v>very_low_beta</v>
      </c>
      <c r="K184" s="2">
        <v>0</v>
      </c>
      <c r="L184" s="2">
        <v>0</v>
      </c>
      <c r="M184" s="15">
        <v>18</v>
      </c>
      <c r="N184" s="41">
        <f>VLOOKUP(A184,'Mandato Smll'!$A$2:$C$215,2,0)</f>
        <v>0</v>
      </c>
      <c r="O184" s="59">
        <f t="shared" si="22"/>
        <v>0</v>
      </c>
      <c r="P184" s="42">
        <f t="shared" si="23"/>
        <v>0</v>
      </c>
      <c r="Q184" s="41">
        <f>VLOOKUP(A184,'Mandato Smll'!$A$2:$C$215,3,0)</f>
        <v>0</v>
      </c>
      <c r="R184" s="59">
        <f t="shared" si="24"/>
        <v>0</v>
      </c>
      <c r="S184" s="15">
        <v>-0.97599999999999998</v>
      </c>
      <c r="T184" s="15">
        <v>-0.68799999999999994</v>
      </c>
      <c r="U184" s="15">
        <v>-1</v>
      </c>
      <c r="V184" s="15">
        <v>-0.89</v>
      </c>
      <c r="W184" s="15">
        <v>-0.85499999999999998</v>
      </c>
      <c r="X184" s="15">
        <v>-0.85299999999999998</v>
      </c>
      <c r="Y184" s="15">
        <v>-0.80300000000000005</v>
      </c>
      <c r="Z184" s="15">
        <v>-0.76900000000000002</v>
      </c>
      <c r="AA184" s="15">
        <v>8.8999999999999996E-2</v>
      </c>
      <c r="AB184" s="15">
        <v>9.9000000000000005E-2</v>
      </c>
      <c r="AC184" s="15">
        <v>0.27600000000000002</v>
      </c>
      <c r="AD184" s="15">
        <v>0.48599999999999999</v>
      </c>
      <c r="AE184" s="15">
        <v>0.45800000000000002</v>
      </c>
      <c r="AF184" s="14">
        <v>-0.98499999999999999</v>
      </c>
      <c r="AG184" s="15">
        <v>-1</v>
      </c>
      <c r="AH184" s="15">
        <v>0.67500000000000004</v>
      </c>
      <c r="AI184" s="15">
        <v>-0.998</v>
      </c>
      <c r="AJ184" s="15">
        <v>-0.33200000000000002</v>
      </c>
      <c r="AK184" s="9">
        <v>-1</v>
      </c>
      <c r="AL184" s="4">
        <v>-0.625</v>
      </c>
      <c r="AM184" s="4">
        <v>-1</v>
      </c>
      <c r="AN184" s="4">
        <v>-0.73199999999999998</v>
      </c>
      <c r="AO184" s="4">
        <v>-0.36599999999999999</v>
      </c>
      <c r="AP184" s="4">
        <v>0.97</v>
      </c>
      <c r="AQ184" s="4">
        <v>0.95299999999999996</v>
      </c>
      <c r="AR184" s="4">
        <v>-0.75</v>
      </c>
      <c r="AS184" s="4">
        <v>-0.33200000000000002</v>
      </c>
      <c r="AT184" s="4">
        <v>-0.48399999999999999</v>
      </c>
      <c r="AU184" s="4">
        <v>-0.19600000000000001</v>
      </c>
      <c r="AV184" s="4">
        <v>9.4E-2</v>
      </c>
      <c r="AW184" s="4">
        <v>-0.66500000000000004</v>
      </c>
      <c r="AX184" s="4">
        <v>0.4</v>
      </c>
      <c r="AY184" s="4">
        <v>-0.502</v>
      </c>
      <c r="AZ184" s="4">
        <v>0.17899999999999999</v>
      </c>
      <c r="BA184" s="4">
        <v>-0.14000000000000001</v>
      </c>
      <c r="BB184" s="4">
        <v>0.45600000000000002</v>
      </c>
      <c r="BC184" s="4">
        <v>-0.63100000000000001</v>
      </c>
      <c r="BD184" s="4">
        <v>-0.82</v>
      </c>
      <c r="BE184" s="4">
        <v>1E-3</v>
      </c>
      <c r="BF184" s="4">
        <v>-2.1000000000000001E-2</v>
      </c>
      <c r="BG184" s="4">
        <v>0.71699999999999997</v>
      </c>
      <c r="BH184" s="4">
        <v>0.20200000000000001</v>
      </c>
      <c r="BI184" s="4">
        <v>-0.71499999999999997</v>
      </c>
      <c r="BJ184" s="4">
        <v>-0.997</v>
      </c>
      <c r="BK184" s="4">
        <v>-1</v>
      </c>
      <c r="BL184" s="4">
        <v>-0.34899999999999998</v>
      </c>
      <c r="BM184" s="4"/>
    </row>
    <row r="185" spans="1:65" hidden="1" x14ac:dyDescent="0.3">
      <c r="A185" s="19" t="s">
        <v>195</v>
      </c>
      <c r="B185" s="53">
        <f t="shared" si="18"/>
        <v>0</v>
      </c>
      <c r="C185" s="53">
        <f t="shared" si="19"/>
        <v>0</v>
      </c>
      <c r="D185" s="53">
        <f t="shared" si="20"/>
        <v>0</v>
      </c>
      <c r="E185" s="53">
        <f t="shared" si="21"/>
        <v>0</v>
      </c>
      <c r="F185" s="15">
        <v>0.53</v>
      </c>
      <c r="G185" s="19">
        <v>0.46800000000000003</v>
      </c>
      <c r="H185" s="24" t="s">
        <v>57</v>
      </c>
      <c r="I185" t="str">
        <f>VLOOKUP(A185,Planilha6!$BL$9:$BN$222,2,0)</f>
        <v>banks</v>
      </c>
      <c r="J185" t="str">
        <f>VLOOKUP(A185,Planilha6!$BL$9:$BN$222,3,0)</f>
        <v>very_low_beta</v>
      </c>
      <c r="K185" s="2">
        <v>0</v>
      </c>
      <c r="L185" s="2">
        <v>0</v>
      </c>
      <c r="M185" s="15">
        <v>84</v>
      </c>
      <c r="N185" s="41">
        <f>VLOOKUP(A185,'Mandato Smll'!$A$2:$C$215,2,0)</f>
        <v>0</v>
      </c>
      <c r="O185" s="59">
        <f t="shared" si="22"/>
        <v>0</v>
      </c>
      <c r="P185" s="42">
        <f t="shared" si="23"/>
        <v>0</v>
      </c>
      <c r="Q185" s="41">
        <f>VLOOKUP(A185,'Mandato Smll'!$A$2:$C$215,3,0)</f>
        <v>0</v>
      </c>
      <c r="R185" s="59">
        <f t="shared" si="24"/>
        <v>0</v>
      </c>
      <c r="S185" s="15">
        <v>-0.9</v>
      </c>
      <c r="T185" s="15">
        <v>-0.77900000000000003</v>
      </c>
      <c r="U185" s="15">
        <v>-0.93600000000000005</v>
      </c>
      <c r="V185" s="15">
        <v>-0.874</v>
      </c>
      <c r="W185" s="15">
        <v>-0.84799999999999998</v>
      </c>
      <c r="X185" s="15">
        <v>-0.78400000000000003</v>
      </c>
      <c r="Y185" s="15">
        <v>-0.61899999999999999</v>
      </c>
      <c r="Z185" s="15">
        <v>-0.79500000000000004</v>
      </c>
      <c r="AA185" s="15">
        <v>0.33500000000000002</v>
      </c>
      <c r="AB185" s="15">
        <v>0.33700000000000002</v>
      </c>
      <c r="AC185" s="15">
        <v>0.34300000000000003</v>
      </c>
      <c r="AD185" s="15">
        <v>0.255</v>
      </c>
      <c r="AE185" s="15">
        <v>0.20599999999999999</v>
      </c>
      <c r="AF185" s="14">
        <v>-0.97099999999999997</v>
      </c>
      <c r="AG185" s="15">
        <v>-0.78800000000000003</v>
      </c>
      <c r="AH185" s="15">
        <v>-1</v>
      </c>
      <c r="AI185" s="15">
        <v>-1</v>
      </c>
      <c r="AJ185" s="15">
        <v>-1</v>
      </c>
      <c r="AK185" s="9">
        <v>-0.54</v>
      </c>
      <c r="AL185" s="4">
        <v>-0.26700000000000002</v>
      </c>
      <c r="AM185" s="4">
        <v>-0.72099999999999997</v>
      </c>
      <c r="AN185" s="4">
        <v>-0.88400000000000001</v>
      </c>
      <c r="AO185" s="4">
        <v>0.245</v>
      </c>
      <c r="AP185" s="4">
        <v>-0.33500000000000002</v>
      </c>
      <c r="AQ185" s="4">
        <v>-0.79100000000000004</v>
      </c>
      <c r="AR185" s="4">
        <v>0.49099999999999999</v>
      </c>
      <c r="AS185" s="4">
        <v>0.1</v>
      </c>
      <c r="AT185" s="4">
        <v>0.28000000000000003</v>
      </c>
      <c r="AU185" s="4">
        <v>0.372</v>
      </c>
      <c r="AV185" s="4">
        <v>-8.9999999999999993E-3</v>
      </c>
      <c r="AW185" s="4">
        <v>-0.182</v>
      </c>
      <c r="AX185" s="4">
        <v>4.7E-2</v>
      </c>
      <c r="AY185" s="4">
        <v>0.22700000000000001</v>
      </c>
      <c r="AZ185" s="4">
        <v>0.36099999999999999</v>
      </c>
      <c r="BA185" s="4">
        <v>5.6000000000000001E-2</v>
      </c>
      <c r="BB185" s="4">
        <v>4.2999999999999997E-2</v>
      </c>
      <c r="BC185" s="4">
        <v>-0.69099999999999995</v>
      </c>
      <c r="BD185" s="4">
        <v>-0.25800000000000001</v>
      </c>
      <c r="BE185" s="4">
        <v>-9.2999999999999999E-2</v>
      </c>
      <c r="BF185" s="4">
        <v>0.20100000000000001</v>
      </c>
      <c r="BG185" s="4">
        <v>-0.41099999999999998</v>
      </c>
      <c r="BH185" s="4">
        <v>0.72499999999999998</v>
      </c>
      <c r="BI185" s="4">
        <v>-0.44600000000000001</v>
      </c>
      <c r="BJ185" s="4">
        <v>-0.55100000000000005</v>
      </c>
      <c r="BK185" s="4">
        <v>0.20599999999999999</v>
      </c>
      <c r="BL185" s="4">
        <v>-0.41099999999999998</v>
      </c>
      <c r="BM185" s="4"/>
    </row>
    <row r="186" spans="1:65" hidden="1" x14ac:dyDescent="0.3">
      <c r="A186" s="19" t="s">
        <v>215</v>
      </c>
      <c r="B186" s="53">
        <f t="shared" si="18"/>
        <v>0</v>
      </c>
      <c r="C186" s="53">
        <f t="shared" si="19"/>
        <v>-2E-3</v>
      </c>
      <c r="D186" s="53">
        <f t="shared" si="20"/>
        <v>0</v>
      </c>
      <c r="E186" s="53">
        <f t="shared" si="21"/>
        <v>2E-3</v>
      </c>
      <c r="F186" s="15">
        <v>0.52900000000000003</v>
      </c>
      <c r="G186" s="19">
        <v>0.37</v>
      </c>
      <c r="H186" s="24" t="s">
        <v>55</v>
      </c>
      <c r="I186" t="str">
        <f>VLOOKUP(A186,Planilha6!$BL$9:$BN$222,2,0)</f>
        <v>telecom</v>
      </c>
      <c r="J186" t="str">
        <f>VLOOKUP(A186,Planilha6!$BL$9:$BN$222,3,0)</f>
        <v>very_low_beta</v>
      </c>
      <c r="K186" s="2">
        <v>0</v>
      </c>
      <c r="L186" s="2">
        <v>-2E-3</v>
      </c>
      <c r="M186" s="15">
        <v>84</v>
      </c>
      <c r="N186" s="41">
        <f>VLOOKUP(A186,'Mandato Smll'!$A$2:$C$215,2,0)</f>
        <v>0</v>
      </c>
      <c r="O186" s="59">
        <f t="shared" si="22"/>
        <v>0</v>
      </c>
      <c r="P186" s="42">
        <f t="shared" si="23"/>
        <v>0</v>
      </c>
      <c r="Q186" s="41">
        <f>VLOOKUP(A186,'Mandato Smll'!$A$2:$C$215,3,0)</f>
        <v>0</v>
      </c>
      <c r="R186" s="59">
        <f t="shared" si="24"/>
        <v>0</v>
      </c>
      <c r="S186" s="15">
        <v>-0.85</v>
      </c>
      <c r="T186" s="15">
        <v>-0.82</v>
      </c>
      <c r="U186" s="15">
        <v>-0.874</v>
      </c>
      <c r="V186" s="15">
        <v>-0.82899999999999996</v>
      </c>
      <c r="W186" s="15">
        <v>-0.84299999999999997</v>
      </c>
      <c r="X186" s="15">
        <v>-0.88300000000000001</v>
      </c>
      <c r="Y186" s="15">
        <v>-0.86099999999999999</v>
      </c>
      <c r="Z186" s="15">
        <v>-0.88300000000000001</v>
      </c>
      <c r="AA186" s="15">
        <v>0.223</v>
      </c>
      <c r="AB186" s="15">
        <v>0.217</v>
      </c>
      <c r="AC186" s="15">
        <v>0.51</v>
      </c>
      <c r="AD186" s="15">
        <v>0.42599999999999999</v>
      </c>
      <c r="AE186" s="15">
        <v>0.32200000000000001</v>
      </c>
      <c r="AF186" s="14">
        <v>-0.80800000000000005</v>
      </c>
      <c r="AG186" s="15">
        <v>-0.433</v>
      </c>
      <c r="AH186" s="15">
        <v>-0.503</v>
      </c>
      <c r="AI186" s="15">
        <v>-0.41399999999999998</v>
      </c>
      <c r="AJ186" s="15">
        <v>0.17</v>
      </c>
      <c r="AK186" s="9">
        <v>-0.40899999999999997</v>
      </c>
      <c r="AL186" s="4">
        <v>-0.20599999999999999</v>
      </c>
      <c r="AM186" s="4">
        <v>-0.93</v>
      </c>
      <c r="AN186" s="4">
        <v>-0.20499999999999999</v>
      </c>
      <c r="AO186" s="4">
        <v>9.6000000000000002E-2</v>
      </c>
      <c r="AP186" s="4">
        <v>0.32800000000000001</v>
      </c>
      <c r="AQ186" s="4">
        <v>-0.39200000000000002</v>
      </c>
      <c r="AR186" s="4">
        <v>0.17699999999999999</v>
      </c>
      <c r="AS186" s="4">
        <v>3.3000000000000002E-2</v>
      </c>
      <c r="AT186" s="4">
        <v>-6.3E-2</v>
      </c>
      <c r="AU186" s="4">
        <v>-6.0000000000000001E-3</v>
      </c>
      <c r="AV186" s="4">
        <v>0.23100000000000001</v>
      </c>
      <c r="AW186" s="4">
        <v>-0.24299999999999999</v>
      </c>
      <c r="AX186" s="4">
        <v>-0.42199999999999999</v>
      </c>
      <c r="AY186" s="4">
        <v>-0.218</v>
      </c>
      <c r="AZ186" s="4">
        <v>0.80500000000000005</v>
      </c>
      <c r="BA186" s="4">
        <v>-0.17499999999999999</v>
      </c>
      <c r="BB186" s="4">
        <v>0.68799999999999994</v>
      </c>
      <c r="BC186" s="4">
        <v>-0.24099999999999999</v>
      </c>
      <c r="BD186" s="4">
        <v>-0.55500000000000005</v>
      </c>
      <c r="BE186" s="4">
        <v>0.36</v>
      </c>
      <c r="BF186" s="4">
        <v>-1</v>
      </c>
      <c r="BG186" s="4">
        <v>-1</v>
      </c>
      <c r="BH186" s="4">
        <v>-0.70299999999999996</v>
      </c>
      <c r="BI186" s="4">
        <v>-0.38700000000000001</v>
      </c>
      <c r="BJ186" s="4">
        <v>-0.59</v>
      </c>
      <c r="BK186" s="4">
        <v>-0.18</v>
      </c>
      <c r="BL186" s="4">
        <v>0.55600000000000005</v>
      </c>
      <c r="BM186" s="4"/>
    </row>
    <row r="187" spans="1:65" hidden="1" x14ac:dyDescent="0.3">
      <c r="A187" s="19" t="s">
        <v>236</v>
      </c>
      <c r="B187" s="53">
        <f t="shared" si="18"/>
        <v>0</v>
      </c>
      <c r="C187" s="53">
        <f t="shared" si="19"/>
        <v>-5.0000000000000001E-3</v>
      </c>
      <c r="D187" s="53">
        <f t="shared" si="20"/>
        <v>0</v>
      </c>
      <c r="E187" s="53">
        <f t="shared" si="21"/>
        <v>5.0000000000000001E-3</v>
      </c>
      <c r="F187" s="15">
        <v>0.52700000000000002</v>
      </c>
      <c r="G187" s="19">
        <v>0.64200000000000002</v>
      </c>
      <c r="H187" s="24" t="s">
        <v>68</v>
      </c>
      <c r="I187" t="str">
        <f>VLOOKUP(A187,Planilha6!$BL$9:$BN$222,2,0)</f>
        <v>building_materials</v>
      </c>
      <c r="J187" t="str">
        <f>VLOOKUP(A187,Planilha6!$BL$9:$BN$222,3,0)</f>
        <v>very_high_beta</v>
      </c>
      <c r="K187" s="2">
        <v>0</v>
      </c>
      <c r="L187" s="2">
        <v>-5.0000000000000001E-3</v>
      </c>
      <c r="M187" s="15">
        <v>84</v>
      </c>
      <c r="N187" s="41">
        <f>VLOOKUP(A187,'Mandato Smll'!$A$2:$C$215,2,0)</f>
        <v>0</v>
      </c>
      <c r="O187" s="59">
        <f t="shared" si="22"/>
        <v>0</v>
      </c>
      <c r="P187" s="42">
        <f t="shared" si="23"/>
        <v>0</v>
      </c>
      <c r="Q187" s="41">
        <f>VLOOKUP(A187,'Mandato Smll'!$A$2:$C$215,3,0)</f>
        <v>0</v>
      </c>
      <c r="R187" s="59">
        <f t="shared" si="24"/>
        <v>0</v>
      </c>
      <c r="S187" s="15">
        <v>-0.92100000000000004</v>
      </c>
      <c r="T187" s="15">
        <v>-0.82899999999999996</v>
      </c>
      <c r="U187" s="15">
        <v>-0.90700000000000003</v>
      </c>
      <c r="V187" s="15">
        <v>-0.90200000000000002</v>
      </c>
      <c r="W187" s="15">
        <v>-0.872</v>
      </c>
      <c r="X187" s="15">
        <v>-0.88900000000000001</v>
      </c>
      <c r="Y187" s="15">
        <v>-0.83299999999999996</v>
      </c>
      <c r="Z187" s="15">
        <v>-0.84799999999999998</v>
      </c>
      <c r="AA187" s="15">
        <v>0.223</v>
      </c>
      <c r="AB187" s="15">
        <v>0.222</v>
      </c>
      <c r="AC187" s="15">
        <v>0.378</v>
      </c>
      <c r="AD187" s="15">
        <v>0.50800000000000001</v>
      </c>
      <c r="AE187" s="15">
        <v>0.33300000000000002</v>
      </c>
      <c r="AF187" s="14">
        <v>-0.52600000000000002</v>
      </c>
      <c r="AG187" s="15">
        <v>-0.99399999999999999</v>
      </c>
      <c r="AH187" s="15">
        <v>-0.36799999999999999</v>
      </c>
      <c r="AI187" s="15">
        <v>-0.58699999999999997</v>
      </c>
      <c r="AJ187" s="15">
        <v>-0.51800000000000002</v>
      </c>
      <c r="AK187" s="9">
        <v>-0.84799999999999998</v>
      </c>
      <c r="AL187" s="4">
        <v>-0.153</v>
      </c>
      <c r="AM187" s="4">
        <v>-0.75700000000000001</v>
      </c>
      <c r="AN187" s="4">
        <v>4.4999999999999998E-2</v>
      </c>
      <c r="AO187" s="4">
        <v>-0.61899999999999999</v>
      </c>
      <c r="AP187" s="4">
        <v>-2.7E-2</v>
      </c>
      <c r="AQ187" s="4">
        <v>-0.186</v>
      </c>
      <c r="AR187" s="4">
        <v>-0.75700000000000001</v>
      </c>
      <c r="AS187" s="4">
        <v>-0.72299999999999998</v>
      </c>
      <c r="AT187" s="4">
        <v>-0.442</v>
      </c>
      <c r="AU187" s="4">
        <v>-3.0000000000000001E-3</v>
      </c>
      <c r="AV187" s="4">
        <v>-0.32900000000000001</v>
      </c>
      <c r="AW187" s="4">
        <v>-0.21</v>
      </c>
      <c r="AX187" s="4">
        <v>3.5999999999999997E-2</v>
      </c>
      <c r="AY187" s="4">
        <v>-0.33300000000000002</v>
      </c>
      <c r="AZ187" s="4">
        <v>0.9</v>
      </c>
      <c r="BA187" s="4">
        <v>-0.27700000000000002</v>
      </c>
      <c r="BB187" s="4">
        <v>-0.17</v>
      </c>
      <c r="BC187" s="4">
        <v>1.7000000000000001E-2</v>
      </c>
      <c r="BD187" s="4">
        <v>-0.51200000000000001</v>
      </c>
      <c r="BE187" s="4">
        <v>9.9000000000000005E-2</v>
      </c>
      <c r="BF187" s="4">
        <v>-0.82899999999999996</v>
      </c>
      <c r="BG187" s="4">
        <v>-0.09</v>
      </c>
      <c r="BH187" s="4">
        <v>0.28100000000000003</v>
      </c>
      <c r="BI187" s="4">
        <v>0.107</v>
      </c>
      <c r="BJ187" s="4">
        <v>0.66700000000000004</v>
      </c>
      <c r="BK187" s="4">
        <v>0.41299999999999998</v>
      </c>
      <c r="BL187" s="4">
        <v>-0.22600000000000001</v>
      </c>
      <c r="BM187" s="4"/>
    </row>
    <row r="188" spans="1:65" hidden="1" x14ac:dyDescent="0.3">
      <c r="A188" s="19" t="s">
        <v>245</v>
      </c>
      <c r="B188" s="53">
        <f t="shared" si="18"/>
        <v>0</v>
      </c>
      <c r="C188" s="53">
        <f t="shared" si="19"/>
        <v>-5.0000000000000001E-3</v>
      </c>
      <c r="D188" s="53">
        <f t="shared" si="20"/>
        <v>0</v>
      </c>
      <c r="E188" s="53">
        <f t="shared" si="21"/>
        <v>5.0000000000000001E-3</v>
      </c>
      <c r="F188" s="15">
        <v>0.52600000000000002</v>
      </c>
      <c r="G188" s="19">
        <v>0.40200000000000002</v>
      </c>
      <c r="H188" s="24" t="s">
        <v>57</v>
      </c>
      <c r="I188" t="str">
        <f>VLOOKUP(A188,Planilha6!$BL$9:$BN$222,2,0)</f>
        <v>consumer_services</v>
      </c>
      <c r="J188" t="str">
        <f>VLOOKUP(A188,Planilha6!$BL$9:$BN$222,3,0)</f>
        <v>very_high_beta</v>
      </c>
      <c r="K188" s="2">
        <v>0</v>
      </c>
      <c r="L188" s="2">
        <v>-5.0000000000000001E-3</v>
      </c>
      <c r="M188" s="15">
        <v>84</v>
      </c>
      <c r="N188" s="41">
        <f>VLOOKUP(A188,'Mandato Smll'!$A$2:$C$215,2,0)</f>
        <v>0</v>
      </c>
      <c r="O188" s="59">
        <f t="shared" si="22"/>
        <v>0</v>
      </c>
      <c r="P188" s="42">
        <f t="shared" si="23"/>
        <v>0</v>
      </c>
      <c r="Q188" s="41">
        <f>VLOOKUP(A188,'Mandato Smll'!$A$2:$C$215,3,0)</f>
        <v>0</v>
      </c>
      <c r="R188" s="59">
        <f t="shared" si="24"/>
        <v>0</v>
      </c>
      <c r="S188" s="15">
        <v>-0.82799999999999996</v>
      </c>
      <c r="T188" s="15">
        <v>-0.81200000000000006</v>
      </c>
      <c r="U188" s="15">
        <v>-0.83499999999999996</v>
      </c>
      <c r="V188" s="15">
        <v>-0.86599999999999999</v>
      </c>
      <c r="W188" s="15">
        <v>-0.85699999999999998</v>
      </c>
      <c r="X188" s="15">
        <v>-0.84699999999999998</v>
      </c>
      <c r="Y188" s="15">
        <v>-0.83799999999999997</v>
      </c>
      <c r="Z188" s="15">
        <v>-0.89100000000000001</v>
      </c>
      <c r="AA188" s="15">
        <v>0.28299999999999997</v>
      </c>
      <c r="AB188" s="15">
        <v>0.27800000000000002</v>
      </c>
      <c r="AC188" s="15">
        <v>0.28899999999999998</v>
      </c>
      <c r="AD188" s="15">
        <v>0.08</v>
      </c>
      <c r="AE188" s="15">
        <v>0.3</v>
      </c>
      <c r="AF188" s="14">
        <v>-0.752</v>
      </c>
      <c r="AG188" s="15">
        <v>-0.45200000000000001</v>
      </c>
      <c r="AH188" s="15">
        <v>-0.57999999999999996</v>
      </c>
      <c r="AI188" s="15">
        <v>-0.75700000000000001</v>
      </c>
      <c r="AJ188" s="15">
        <v>-0.44900000000000001</v>
      </c>
      <c r="AK188" s="9">
        <v>-0.85199999999999998</v>
      </c>
      <c r="AL188" s="4">
        <v>-0.121</v>
      </c>
      <c r="AM188" s="4">
        <v>-0.82399999999999995</v>
      </c>
      <c r="AN188" s="4">
        <v>0.154</v>
      </c>
      <c r="AO188" s="4">
        <v>5.7000000000000002E-2</v>
      </c>
      <c r="AP188" s="4">
        <v>-9.0999999999999998E-2</v>
      </c>
      <c r="AQ188" s="4">
        <v>-1.6E-2</v>
      </c>
      <c r="AR188" s="4">
        <v>-0.112</v>
      </c>
      <c r="AS188" s="4">
        <v>0.79300000000000004</v>
      </c>
      <c r="AT188" s="4">
        <v>0.23899999999999999</v>
      </c>
      <c r="AU188" s="4">
        <v>-4.0000000000000001E-3</v>
      </c>
      <c r="AV188" s="4">
        <v>-0.43</v>
      </c>
      <c r="AW188" s="4">
        <v>-0.3</v>
      </c>
      <c r="AX188" s="4">
        <v>-0.77300000000000002</v>
      </c>
      <c r="AY188" s="4">
        <v>-0.50700000000000001</v>
      </c>
      <c r="AZ188" s="4">
        <v>0.624</v>
      </c>
      <c r="BA188" s="4">
        <v>0.20200000000000001</v>
      </c>
      <c r="BB188" s="4">
        <v>-0.106</v>
      </c>
      <c r="BC188" s="4">
        <v>-0.25900000000000001</v>
      </c>
      <c r="BD188" s="4">
        <v>-0.61399999999999999</v>
      </c>
      <c r="BE188" s="4">
        <v>0.11899999999999999</v>
      </c>
      <c r="BF188" s="4">
        <v>0.218</v>
      </c>
      <c r="BG188" s="4">
        <v>-0.85199999999999998</v>
      </c>
      <c r="BH188" s="4">
        <v>0.22700000000000001</v>
      </c>
      <c r="BI188" s="4">
        <v>6.7000000000000004E-2</v>
      </c>
      <c r="BJ188" s="4">
        <v>0.627</v>
      </c>
      <c r="BK188" s="4">
        <v>-0.04</v>
      </c>
      <c r="BL188" s="4">
        <v>2.8000000000000001E-2</v>
      </c>
      <c r="BM188" s="4"/>
    </row>
    <row r="189" spans="1:65" hidden="1" x14ac:dyDescent="0.3">
      <c r="A189" s="19" t="s">
        <v>231</v>
      </c>
      <c r="B189" s="53">
        <f t="shared" si="18"/>
        <v>0</v>
      </c>
      <c r="C189" s="53">
        <f t="shared" si="19"/>
        <v>-5.0000000000000001E-3</v>
      </c>
      <c r="D189" s="53">
        <f t="shared" si="20"/>
        <v>0</v>
      </c>
      <c r="E189" s="53">
        <f t="shared" si="21"/>
        <v>5.0000000000000001E-3</v>
      </c>
      <c r="F189" s="15">
        <v>0.52600000000000002</v>
      </c>
      <c r="G189" s="19">
        <v>0.64</v>
      </c>
      <c r="H189" s="24" t="s">
        <v>71</v>
      </c>
      <c r="I189" t="str">
        <f>VLOOKUP(A189,Planilha6!$BL$9:$BN$222,2,0)</f>
        <v>food</v>
      </c>
      <c r="J189" t="str">
        <f>VLOOKUP(A189,Planilha6!$BL$9:$BN$222,3,0)</f>
        <v>low_beta</v>
      </c>
      <c r="K189" s="2">
        <v>0</v>
      </c>
      <c r="L189" s="2">
        <v>-5.0000000000000001E-3</v>
      </c>
      <c r="M189" s="15">
        <v>84</v>
      </c>
      <c r="N189" s="41">
        <f>VLOOKUP(A189,'Mandato Smll'!$A$2:$C$215,2,0)</f>
        <v>0</v>
      </c>
      <c r="O189" s="59">
        <f t="shared" si="22"/>
        <v>0</v>
      </c>
      <c r="P189" s="42">
        <f t="shared" si="23"/>
        <v>0</v>
      </c>
      <c r="Q189" s="41">
        <f>VLOOKUP(A189,'Mandato Smll'!$A$2:$C$215,3,0)</f>
        <v>0</v>
      </c>
      <c r="R189" s="59">
        <f t="shared" si="24"/>
        <v>0</v>
      </c>
      <c r="S189" s="15">
        <v>-0.95399999999999996</v>
      </c>
      <c r="T189" s="15">
        <v>-0.84399999999999997</v>
      </c>
      <c r="U189" s="15">
        <v>-0.98</v>
      </c>
      <c r="V189" s="15">
        <v>-0.91200000000000003</v>
      </c>
      <c r="W189" s="15">
        <v>-0.89400000000000002</v>
      </c>
      <c r="X189" s="15">
        <v>-0.79800000000000004</v>
      </c>
      <c r="Y189" s="15">
        <v>-0.71199999999999997</v>
      </c>
      <c r="Z189" s="15">
        <v>-0.83699999999999997</v>
      </c>
      <c r="AA189" s="15">
        <v>0.23699999999999999</v>
      </c>
      <c r="AB189" s="15">
        <v>0.23899999999999999</v>
      </c>
      <c r="AC189" s="15">
        <v>0.46800000000000003</v>
      </c>
      <c r="AD189" s="15">
        <v>0.501</v>
      </c>
      <c r="AE189" s="15">
        <v>0.24399999999999999</v>
      </c>
      <c r="AF189" s="14">
        <v>-0.85799999999999998</v>
      </c>
      <c r="AG189" s="15">
        <v>-0.72899999999999998</v>
      </c>
      <c r="AH189" s="15">
        <v>-0.69599999999999995</v>
      </c>
      <c r="AI189" s="15">
        <v>-0.78600000000000003</v>
      </c>
      <c r="AJ189" s="15">
        <v>-0.69899999999999995</v>
      </c>
      <c r="AK189" s="9">
        <v>-0.72</v>
      </c>
      <c r="AL189" s="4">
        <v>-0.52500000000000002</v>
      </c>
      <c r="AM189" s="4">
        <v>-0.83699999999999997</v>
      </c>
      <c r="AN189" s="4">
        <v>-0.63300000000000001</v>
      </c>
      <c r="AO189" s="4">
        <v>-5.7000000000000002E-2</v>
      </c>
      <c r="AP189" s="4">
        <v>4.9000000000000002E-2</v>
      </c>
      <c r="AQ189" s="4">
        <v>-5.0999999999999997E-2</v>
      </c>
      <c r="AR189" s="4">
        <v>0.21299999999999999</v>
      </c>
      <c r="AS189" s="4">
        <v>-0.318</v>
      </c>
      <c r="AT189" s="4">
        <v>-0.77200000000000002</v>
      </c>
      <c r="AU189" s="4">
        <v>0.29499999999999998</v>
      </c>
      <c r="AV189" s="4">
        <v>-0.38</v>
      </c>
      <c r="AW189" s="4">
        <v>-0.38700000000000001</v>
      </c>
      <c r="AX189" s="4">
        <v>0.44500000000000001</v>
      </c>
      <c r="AY189" s="4">
        <v>6.6000000000000003E-2</v>
      </c>
      <c r="AZ189" s="4">
        <v>0.81</v>
      </c>
      <c r="BA189" s="4">
        <v>-0.68799999999999994</v>
      </c>
      <c r="BB189" s="4">
        <v>0.49299999999999999</v>
      </c>
      <c r="BC189" s="4">
        <v>-0.96699999999999997</v>
      </c>
      <c r="BD189" s="4">
        <v>-0.76700000000000002</v>
      </c>
      <c r="BE189" s="4">
        <v>-0.86299999999999999</v>
      </c>
      <c r="BF189" s="4">
        <v>-2.8000000000000001E-2</v>
      </c>
      <c r="BG189" s="4">
        <v>-0.39800000000000002</v>
      </c>
      <c r="BH189" s="4">
        <v>0.79200000000000004</v>
      </c>
      <c r="BI189" s="4">
        <v>-0.36899999999999999</v>
      </c>
      <c r="BJ189" s="4">
        <v>-0.47299999999999998</v>
      </c>
      <c r="BK189" s="4">
        <v>0.33500000000000002</v>
      </c>
      <c r="BL189" s="4">
        <v>-3.5999999999999997E-2</v>
      </c>
      <c r="BM189" s="4"/>
    </row>
    <row r="190" spans="1:65" hidden="1" x14ac:dyDescent="0.3">
      <c r="A190" s="19" t="s">
        <v>248</v>
      </c>
      <c r="B190" s="53">
        <f t="shared" si="18"/>
        <v>0</v>
      </c>
      <c r="C190" s="53">
        <f t="shared" si="19"/>
        <v>-8.0000000000000002E-3</v>
      </c>
      <c r="D190" s="53">
        <f t="shared" si="20"/>
        <v>0</v>
      </c>
      <c r="E190" s="53">
        <f t="shared" si="21"/>
        <v>8.0000000000000002E-3</v>
      </c>
      <c r="F190" s="15">
        <v>0.52500000000000002</v>
      </c>
      <c r="G190" s="19">
        <v>0.44400000000000001</v>
      </c>
      <c r="H190" s="24" t="s">
        <v>57</v>
      </c>
      <c r="I190" t="str">
        <f>VLOOKUP(A190,Planilha6!$BL$9:$BN$222,2,0)</f>
        <v>homebuilders</v>
      </c>
      <c r="J190" t="str">
        <f>VLOOKUP(A190,Planilha6!$BL$9:$BN$222,3,0)</f>
        <v>very_high_beta</v>
      </c>
      <c r="K190" s="2">
        <v>0</v>
      </c>
      <c r="L190" s="2">
        <v>-8.0000000000000002E-3</v>
      </c>
      <c r="M190" s="15">
        <v>76</v>
      </c>
      <c r="N190" s="41">
        <f>VLOOKUP(A190,'Mandato Smll'!$A$2:$C$215,2,0)</f>
        <v>0</v>
      </c>
      <c r="O190" s="59">
        <f t="shared" si="22"/>
        <v>0</v>
      </c>
      <c r="P190" s="42">
        <f t="shared" si="23"/>
        <v>0</v>
      </c>
      <c r="Q190" s="41">
        <f>VLOOKUP(A190,'Mandato Smll'!$A$2:$C$215,3,0)</f>
        <v>0</v>
      </c>
      <c r="R190" s="59">
        <f t="shared" si="24"/>
        <v>0</v>
      </c>
      <c r="S190" s="15">
        <v>-0.71699999999999997</v>
      </c>
      <c r="T190" s="15">
        <v>-0.72</v>
      </c>
      <c r="U190" s="15">
        <v>-0.752</v>
      </c>
      <c r="V190" s="15">
        <v>-0.77100000000000002</v>
      </c>
      <c r="W190" s="15">
        <v>-0.75800000000000001</v>
      </c>
      <c r="X190" s="15">
        <v>-0.79800000000000004</v>
      </c>
      <c r="Y190" s="15">
        <v>-0.81899999999999995</v>
      </c>
      <c r="Z190" s="15">
        <v>-0.83899999999999997</v>
      </c>
      <c r="AA190" s="15">
        <v>-0.112</v>
      </c>
      <c r="AB190" s="15">
        <v>-0.115</v>
      </c>
      <c r="AC190" s="15">
        <v>0.28399999999999997</v>
      </c>
      <c r="AD190" s="15">
        <v>0.56999999999999995</v>
      </c>
      <c r="AE190" s="15">
        <v>7.3999999999999996E-2</v>
      </c>
      <c r="AF190" s="14">
        <v>-0.318</v>
      </c>
      <c r="AG190" s="15">
        <v>-0.10199999999999999</v>
      </c>
      <c r="AH190" s="15">
        <v>-0.44</v>
      </c>
      <c r="AI190" s="15">
        <v>-0.40699999999999997</v>
      </c>
      <c r="AJ190" s="15">
        <v>-0.114</v>
      </c>
      <c r="AK190" s="9">
        <v>-0.75800000000000001</v>
      </c>
      <c r="AL190" s="4">
        <v>-0.126</v>
      </c>
      <c r="AM190" s="4">
        <v>-1</v>
      </c>
      <c r="AN190" s="4">
        <v>-6.9000000000000006E-2</v>
      </c>
      <c r="AO190" s="4">
        <v>-0.156</v>
      </c>
      <c r="AP190" s="4">
        <v>3.4000000000000002E-2</v>
      </c>
      <c r="AQ190" s="4">
        <v>1.0999999999999999E-2</v>
      </c>
      <c r="AR190" s="4">
        <v>-7.6999999999999999E-2</v>
      </c>
      <c r="AS190" s="4">
        <v>0.53500000000000003</v>
      </c>
      <c r="AT190" s="4">
        <v>0.2</v>
      </c>
      <c r="AU190" s="4">
        <v>-0.187</v>
      </c>
      <c r="AV190" s="4">
        <v>-0.439</v>
      </c>
      <c r="AW190" s="4">
        <v>-0.107</v>
      </c>
      <c r="AX190" s="4">
        <v>-0.45900000000000002</v>
      </c>
      <c r="AY190" s="4">
        <v>-0.85699999999999998</v>
      </c>
      <c r="AZ190" s="4">
        <v>0.61599999999999999</v>
      </c>
      <c r="BA190" s="4">
        <v>0.68100000000000005</v>
      </c>
      <c r="BB190" s="4">
        <v>0.44400000000000001</v>
      </c>
      <c r="BC190" s="4">
        <v>0.14799999999999999</v>
      </c>
      <c r="BD190" s="4">
        <v>-0.23</v>
      </c>
      <c r="BE190" s="4">
        <v>0.437</v>
      </c>
      <c r="BF190" s="4">
        <v>0.35</v>
      </c>
      <c r="BG190" s="4">
        <v>0.28199999999999997</v>
      </c>
      <c r="BH190" s="4">
        <v>6.8000000000000005E-2</v>
      </c>
      <c r="BI190" s="4">
        <v>-7.0000000000000001E-3</v>
      </c>
      <c r="BJ190" s="4">
        <v>0.59899999999999998</v>
      </c>
      <c r="BK190" s="4">
        <v>-0.68500000000000005</v>
      </c>
      <c r="BL190" s="4">
        <v>-8.9999999999999993E-3</v>
      </c>
      <c r="BM190" s="4"/>
    </row>
    <row r="191" spans="1:65" hidden="1" x14ac:dyDescent="0.3">
      <c r="A191" s="19" t="s">
        <v>181</v>
      </c>
      <c r="B191" s="53">
        <f t="shared" si="18"/>
        <v>0</v>
      </c>
      <c r="C191" s="53">
        <f t="shared" si="19"/>
        <v>0</v>
      </c>
      <c r="D191" s="53">
        <f t="shared" si="20"/>
        <v>0</v>
      </c>
      <c r="E191" s="53">
        <f t="shared" si="21"/>
        <v>0</v>
      </c>
      <c r="F191" s="15">
        <v>0.52400000000000002</v>
      </c>
      <c r="G191" s="19">
        <v>0.42199999999999999</v>
      </c>
      <c r="H191" s="24" t="s">
        <v>68</v>
      </c>
      <c r="I191" t="str">
        <f>VLOOKUP(A191,Planilha6!$BL$9:$BN$222,2,0)</f>
        <v>capital_goods</v>
      </c>
      <c r="J191" t="str">
        <f>VLOOKUP(A191,Planilha6!$BL$9:$BN$222,3,0)</f>
        <v>very_high_beta</v>
      </c>
      <c r="K191" s="2">
        <v>0</v>
      </c>
      <c r="L191" s="2">
        <v>0</v>
      </c>
      <c r="M191" s="15">
        <v>14</v>
      </c>
      <c r="N191" s="41">
        <f>VLOOKUP(A191,'Mandato Smll'!$A$2:$C$215,2,0)</f>
        <v>0</v>
      </c>
      <c r="O191" s="59">
        <f t="shared" si="22"/>
        <v>0</v>
      </c>
      <c r="P191" s="42">
        <f t="shared" si="23"/>
        <v>0</v>
      </c>
      <c r="Q191" s="41">
        <f>VLOOKUP(A191,'Mandato Smll'!$A$2:$C$215,3,0)</f>
        <v>0</v>
      </c>
      <c r="R191" s="59">
        <f t="shared" si="24"/>
        <v>0</v>
      </c>
      <c r="S191" s="15">
        <v>-0.78900000000000003</v>
      </c>
      <c r="T191" s="15">
        <v>-0.69799999999999995</v>
      </c>
      <c r="U191" s="15">
        <v>-0.93400000000000005</v>
      </c>
      <c r="V191" s="15">
        <v>-0.78</v>
      </c>
      <c r="W191" s="15">
        <v>-0.80400000000000005</v>
      </c>
      <c r="X191" s="15">
        <v>-0.71099999999999997</v>
      </c>
      <c r="Y191" s="15">
        <v>-0.58399999999999996</v>
      </c>
      <c r="Z191" s="15">
        <v>-0.77100000000000002</v>
      </c>
      <c r="AA191" s="15">
        <v>0.11799999999999999</v>
      </c>
      <c r="AB191" s="15">
        <v>0.11899999999999999</v>
      </c>
      <c r="AC191" s="15">
        <v>0.44800000000000001</v>
      </c>
      <c r="AD191" s="15">
        <v>0.42899999999999999</v>
      </c>
      <c r="AE191" s="15">
        <v>-0.152</v>
      </c>
      <c r="AF191" s="14">
        <v>-0.435</v>
      </c>
      <c r="AG191" s="15">
        <v>-0.48499999999999999</v>
      </c>
      <c r="AH191" s="15">
        <v>-0.94899999999999995</v>
      </c>
      <c r="AI191" s="15">
        <v>-1</v>
      </c>
      <c r="AJ191" s="15">
        <v>-1</v>
      </c>
      <c r="AK191" s="9">
        <v>-0.77900000000000003</v>
      </c>
      <c r="AL191" s="4">
        <v>-0.28699999999999998</v>
      </c>
      <c r="AM191" s="4">
        <v>-0.94199999999999995</v>
      </c>
      <c r="AN191" s="4">
        <v>-0.72899999999999998</v>
      </c>
      <c r="AO191" s="4">
        <v>0.44600000000000001</v>
      </c>
      <c r="AP191" s="4">
        <v>-0.26500000000000001</v>
      </c>
      <c r="AQ191" s="4">
        <v>-0.66800000000000004</v>
      </c>
      <c r="AR191" s="4">
        <v>0.45500000000000002</v>
      </c>
      <c r="AS191" s="4">
        <v>0.47299999999999998</v>
      </c>
      <c r="AT191" s="4">
        <v>-7.3999999999999996E-2</v>
      </c>
      <c r="AU191" s="4">
        <v>9.9000000000000005E-2</v>
      </c>
      <c r="AV191" s="4">
        <v>-0.217</v>
      </c>
      <c r="AW191" s="4">
        <v>0.28399999999999997</v>
      </c>
      <c r="AX191" s="4">
        <v>0.41899999999999998</v>
      </c>
      <c r="AY191" s="4">
        <v>0.216</v>
      </c>
      <c r="AZ191" s="4">
        <v>0.49299999999999999</v>
      </c>
      <c r="BA191" s="4">
        <v>0.18</v>
      </c>
      <c r="BB191" s="4">
        <v>0.29899999999999999</v>
      </c>
      <c r="BC191" s="4">
        <v>0.224</v>
      </c>
      <c r="BD191" s="4">
        <v>0.17799999999999999</v>
      </c>
      <c r="BE191" s="4">
        <v>0.44500000000000001</v>
      </c>
      <c r="BF191" s="4">
        <v>-0.33800000000000002</v>
      </c>
      <c r="BG191" s="4">
        <v>-0.30599999999999999</v>
      </c>
      <c r="BH191" s="4">
        <v>0.34200000000000003</v>
      </c>
      <c r="BI191" s="4">
        <v>-0.98699999999999999</v>
      </c>
      <c r="BJ191" s="4">
        <v>0.83099999999999996</v>
      </c>
      <c r="BK191" s="4">
        <v>-0.435</v>
      </c>
      <c r="BL191" s="4">
        <v>-0.81100000000000005</v>
      </c>
      <c r="BM191" s="4"/>
    </row>
    <row r="192" spans="1:65" hidden="1" x14ac:dyDescent="0.3">
      <c r="A192" s="19" t="s">
        <v>223</v>
      </c>
      <c r="B192" s="53">
        <f t="shared" si="18"/>
        <v>0</v>
      </c>
      <c r="C192" s="53">
        <f t="shared" si="19"/>
        <v>-3.0000000000000001E-3</v>
      </c>
      <c r="D192" s="53">
        <f t="shared" si="20"/>
        <v>0</v>
      </c>
      <c r="E192" s="53">
        <f t="shared" si="21"/>
        <v>3.0000000000000001E-3</v>
      </c>
      <c r="F192" s="15">
        <v>0.52400000000000002</v>
      </c>
      <c r="G192" s="19">
        <v>0.66600000000000004</v>
      </c>
      <c r="H192" s="24" t="s">
        <v>68</v>
      </c>
      <c r="I192" t="str">
        <f>VLOOKUP(A192,Planilha6!$BL$9:$BN$222,2,0)</f>
        <v>capital_goods</v>
      </c>
      <c r="J192" t="str">
        <f>VLOOKUP(A192,Planilha6!$BL$9:$BN$222,3,0)</f>
        <v>high_beta</v>
      </c>
      <c r="K192" s="2">
        <v>0</v>
      </c>
      <c r="L192" s="2">
        <v>-3.0000000000000001E-3</v>
      </c>
      <c r="M192" s="15">
        <v>84</v>
      </c>
      <c r="N192" s="41">
        <f>VLOOKUP(A192,'Mandato Smll'!$A$2:$C$215,2,0)</f>
        <v>0</v>
      </c>
      <c r="O192" s="59">
        <f t="shared" si="22"/>
        <v>0</v>
      </c>
      <c r="P192" s="42">
        <f t="shared" si="23"/>
        <v>0</v>
      </c>
      <c r="Q192" s="41">
        <f>VLOOKUP(A192,'Mandato Smll'!$A$2:$C$215,3,0)</f>
        <v>0</v>
      </c>
      <c r="R192" s="59">
        <f t="shared" si="24"/>
        <v>0</v>
      </c>
      <c r="S192" s="15">
        <v>-0.91400000000000003</v>
      </c>
      <c r="T192" s="15">
        <v>-0.75800000000000001</v>
      </c>
      <c r="U192" s="15">
        <v>-0.878</v>
      </c>
      <c r="V192" s="15">
        <v>-0.9</v>
      </c>
      <c r="W192" s="15">
        <v>-0.83199999999999996</v>
      </c>
      <c r="X192" s="15">
        <v>-0.86299999999999999</v>
      </c>
      <c r="Y192" s="15">
        <v>-0.78700000000000003</v>
      </c>
      <c r="Z192" s="15">
        <v>-0.82299999999999995</v>
      </c>
      <c r="AA192" s="15">
        <v>0.219</v>
      </c>
      <c r="AB192" s="15">
        <v>0.216</v>
      </c>
      <c r="AC192" s="15">
        <v>0.30499999999999999</v>
      </c>
      <c r="AD192" s="15">
        <v>0.214</v>
      </c>
      <c r="AE192" s="15">
        <v>0.24099999999999999</v>
      </c>
      <c r="AF192" s="14">
        <v>-0.92400000000000004</v>
      </c>
      <c r="AG192" s="15">
        <v>-1</v>
      </c>
      <c r="AH192" s="15">
        <v>-0.108</v>
      </c>
      <c r="AI192" s="15">
        <v>-0.45200000000000001</v>
      </c>
      <c r="AJ192" s="15">
        <v>1</v>
      </c>
      <c r="AK192" s="9">
        <v>-0.55400000000000005</v>
      </c>
      <c r="AL192" s="4">
        <v>-0.31</v>
      </c>
      <c r="AM192" s="4">
        <v>-0.95</v>
      </c>
      <c r="AN192" s="4">
        <v>-0.57999999999999996</v>
      </c>
      <c r="AO192" s="4">
        <v>-0.379</v>
      </c>
      <c r="AP192" s="4">
        <v>0.436</v>
      </c>
      <c r="AQ192" s="4">
        <v>0.95699999999999996</v>
      </c>
      <c r="AR192" s="4">
        <v>-0.78600000000000003</v>
      </c>
      <c r="AS192" s="4">
        <v>-1</v>
      </c>
      <c r="AT192" s="4">
        <v>-0.85799999999999998</v>
      </c>
      <c r="AU192" s="4">
        <v>0.185</v>
      </c>
      <c r="AV192" s="4">
        <v>-0.35699999999999998</v>
      </c>
      <c r="AW192" s="4">
        <v>-0.42499999999999999</v>
      </c>
      <c r="AX192" s="4">
        <v>0.56699999999999995</v>
      </c>
      <c r="AY192" s="4">
        <v>-0.14799999999999999</v>
      </c>
      <c r="AZ192" s="4">
        <v>0.82899999999999996</v>
      </c>
      <c r="BA192" s="4">
        <v>-0.55700000000000005</v>
      </c>
      <c r="BB192" s="4">
        <v>-0.126</v>
      </c>
      <c r="BC192" s="4">
        <v>-1</v>
      </c>
      <c r="BD192" s="4">
        <v>-0.77700000000000002</v>
      </c>
      <c r="BE192" s="4">
        <v>-0.67300000000000004</v>
      </c>
      <c r="BF192" s="4">
        <v>-0.107</v>
      </c>
      <c r="BG192" s="4">
        <v>-0.41299999999999998</v>
      </c>
      <c r="BH192" s="4">
        <v>0.52500000000000002</v>
      </c>
      <c r="BI192" s="4">
        <v>-0.67800000000000005</v>
      </c>
      <c r="BJ192" s="4">
        <v>0.39700000000000002</v>
      </c>
      <c r="BK192" s="4">
        <v>0.11799999999999999</v>
      </c>
      <c r="BL192" s="4">
        <v>0.436</v>
      </c>
      <c r="BM192" s="4"/>
    </row>
    <row r="193" spans="1:65" hidden="1" x14ac:dyDescent="0.3">
      <c r="A193" s="19" t="s">
        <v>149</v>
      </c>
      <c r="B193" s="53">
        <f t="shared" si="18"/>
        <v>0</v>
      </c>
      <c r="C193" s="53">
        <f t="shared" si="19"/>
        <v>-2E-3</v>
      </c>
      <c r="D193" s="53">
        <f t="shared" si="20"/>
        <v>0</v>
      </c>
      <c r="E193" s="53">
        <f t="shared" si="21"/>
        <v>2E-3</v>
      </c>
      <c r="F193" s="15">
        <v>0.51900000000000002</v>
      </c>
      <c r="G193" s="19">
        <v>0.38300000000000001</v>
      </c>
      <c r="H193" s="24" t="s">
        <v>53</v>
      </c>
      <c r="I193" t="str">
        <f>VLOOKUP(A193,Planilha6!$BL$9:$BN$222,2,0)</f>
        <v>healthcare</v>
      </c>
      <c r="J193" t="str">
        <f>VLOOKUP(A193,Planilha6!$BL$9:$BN$222,3,0)</f>
        <v>very_high_beta</v>
      </c>
      <c r="K193" s="2">
        <v>0</v>
      </c>
      <c r="L193" s="2">
        <v>-2E-3</v>
      </c>
      <c r="M193" s="15">
        <v>84</v>
      </c>
      <c r="N193" s="41">
        <f>VLOOKUP(A193,'Mandato Smll'!$A$2:$C$215,2,0)</f>
        <v>0</v>
      </c>
      <c r="O193" s="59">
        <f t="shared" si="22"/>
        <v>0</v>
      </c>
      <c r="P193" s="42">
        <f t="shared" si="23"/>
        <v>0</v>
      </c>
      <c r="Q193" s="41">
        <f>VLOOKUP(A193,'Mandato Smll'!$A$2:$C$215,3,0)</f>
        <v>0</v>
      </c>
      <c r="R193" s="59">
        <f t="shared" si="24"/>
        <v>0</v>
      </c>
      <c r="S193" s="15">
        <v>-0.443</v>
      </c>
      <c r="T193" s="15">
        <v>-0.77700000000000002</v>
      </c>
      <c r="U193" s="15">
        <v>-0.254</v>
      </c>
      <c r="V193" s="15">
        <v>-0.69699999999999995</v>
      </c>
      <c r="W193" s="15">
        <v>-0.73199999999999998</v>
      </c>
      <c r="X193" s="15">
        <v>-0.81699999999999995</v>
      </c>
      <c r="Y193" s="15">
        <v>-0.82899999999999996</v>
      </c>
      <c r="Z193" s="15">
        <v>-0.871</v>
      </c>
      <c r="AA193" s="15">
        <v>-0.34499999999999997</v>
      </c>
      <c r="AB193" s="15">
        <v>-0.34</v>
      </c>
      <c r="AC193" s="15">
        <v>0.27700000000000002</v>
      </c>
      <c r="AD193" s="15">
        <v>-7.6999999999999999E-2</v>
      </c>
      <c r="AE193" s="15">
        <v>-0.20799999999999999</v>
      </c>
      <c r="AF193" s="14">
        <v>0.13200000000000001</v>
      </c>
      <c r="AG193" s="15">
        <v>-0.40400000000000003</v>
      </c>
      <c r="AH193" s="15">
        <v>-0.32200000000000001</v>
      </c>
      <c r="AI193" s="15">
        <v>0.85699999999999998</v>
      </c>
      <c r="AJ193" s="15">
        <v>-0.17899999999999999</v>
      </c>
      <c r="AK193" s="9">
        <v>-0.16</v>
      </c>
      <c r="AL193" s="4">
        <v>0.20399999999999999</v>
      </c>
      <c r="AM193" s="4">
        <v>-0.96399999999999997</v>
      </c>
      <c r="AN193" s="4">
        <v>0.30199999999999999</v>
      </c>
      <c r="AO193" s="4">
        <v>-0.16300000000000001</v>
      </c>
      <c r="AP193" s="4">
        <v>-0.58799999999999997</v>
      </c>
      <c r="AQ193" s="4">
        <v>-0.58699999999999997</v>
      </c>
      <c r="AR193" s="4">
        <v>-0.28899999999999998</v>
      </c>
      <c r="AS193" s="4">
        <v>6.2E-2</v>
      </c>
      <c r="AT193" s="4">
        <v>-3.2000000000000001E-2</v>
      </c>
      <c r="AU193" s="4">
        <v>6.8000000000000005E-2</v>
      </c>
      <c r="AV193" s="4">
        <v>0.123</v>
      </c>
      <c r="AW193" s="4">
        <v>0.193</v>
      </c>
      <c r="AX193" s="4">
        <v>-0.65400000000000003</v>
      </c>
      <c r="AY193" s="4">
        <v>-0.215</v>
      </c>
      <c r="AZ193" s="4">
        <v>0.63700000000000001</v>
      </c>
      <c r="BA193" s="4">
        <v>0.17699999999999999</v>
      </c>
      <c r="BB193" s="4">
        <v>0.33700000000000002</v>
      </c>
      <c r="BC193" s="4">
        <v>0.30099999999999999</v>
      </c>
      <c r="BD193" s="4">
        <v>0.10299999999999999</v>
      </c>
      <c r="BE193" s="4">
        <v>0.33700000000000002</v>
      </c>
      <c r="BF193" s="4">
        <v>-0.47</v>
      </c>
      <c r="BG193" s="4">
        <v>-0.79300000000000004</v>
      </c>
      <c r="BH193" s="4">
        <v>-0.66</v>
      </c>
      <c r="BI193" s="4">
        <v>0.67600000000000005</v>
      </c>
      <c r="BJ193" s="4">
        <v>0.54100000000000004</v>
      </c>
      <c r="BK193" s="4">
        <v>-0.14199999999999999</v>
      </c>
      <c r="BL193" s="4">
        <v>0.91200000000000003</v>
      </c>
      <c r="BM193" s="4"/>
    </row>
    <row r="194" spans="1:65" hidden="1" x14ac:dyDescent="0.3">
      <c r="A194" s="19" t="s">
        <v>246</v>
      </c>
      <c r="B194" s="53">
        <f t="shared" si="18"/>
        <v>0</v>
      </c>
      <c r="C194" s="53">
        <f t="shared" si="19"/>
        <v>-2.4E-2</v>
      </c>
      <c r="D194" s="53">
        <f t="shared" si="20"/>
        <v>0</v>
      </c>
      <c r="E194" s="53">
        <f t="shared" si="21"/>
        <v>2.4E-2</v>
      </c>
      <c r="F194" s="15">
        <v>0.51600000000000001</v>
      </c>
      <c r="G194" s="19">
        <v>0.88</v>
      </c>
      <c r="H194" s="24" t="s">
        <v>53</v>
      </c>
      <c r="I194" t="str">
        <f>VLOOKUP(A194,Planilha6!$BL$9:$BN$222,2,0)</f>
        <v>consumer_staples</v>
      </c>
      <c r="J194" t="str">
        <f>VLOOKUP(A194,Planilha6!$BL$9:$BN$222,3,0)</f>
        <v>high_beta</v>
      </c>
      <c r="K194" s="2">
        <v>0</v>
      </c>
      <c r="L194" s="2">
        <v>-2.4E-2</v>
      </c>
      <c r="M194" s="15">
        <v>54</v>
      </c>
      <c r="N194" s="41">
        <f>VLOOKUP(A194,'Mandato Smll'!$A$2:$C$215,2,0)</f>
        <v>0</v>
      </c>
      <c r="O194" s="59">
        <f t="shared" si="22"/>
        <v>0</v>
      </c>
      <c r="P194" s="42">
        <f t="shared" si="23"/>
        <v>0</v>
      </c>
      <c r="Q194" s="41">
        <f>VLOOKUP(A194,'Mandato Smll'!$A$2:$C$215,3,0)</f>
        <v>0</v>
      </c>
      <c r="R194" s="59">
        <f t="shared" si="24"/>
        <v>0</v>
      </c>
      <c r="S194" s="15">
        <v>-0.80800000000000005</v>
      </c>
      <c r="T194" s="15">
        <v>-0.76</v>
      </c>
      <c r="U194" s="15">
        <v>-0.86899999999999999</v>
      </c>
      <c r="V194" s="15">
        <v>-0.84299999999999997</v>
      </c>
      <c r="W194" s="15">
        <v>-0.83</v>
      </c>
      <c r="X194" s="15">
        <v>-0.82499999999999996</v>
      </c>
      <c r="Y194" s="15">
        <v>-0.79600000000000004</v>
      </c>
      <c r="Z194" s="15">
        <v>-0.81399999999999995</v>
      </c>
      <c r="AA194" s="15">
        <v>-0.16600000000000001</v>
      </c>
      <c r="AB194" s="15">
        <v>-0.16500000000000001</v>
      </c>
      <c r="AC194" s="15">
        <v>0.44500000000000001</v>
      </c>
      <c r="AD194" s="15">
        <v>0.56299999999999994</v>
      </c>
      <c r="AE194" s="15">
        <v>-6.8000000000000005E-2</v>
      </c>
      <c r="AF194" s="14">
        <v>-1</v>
      </c>
      <c r="AG194" s="15">
        <v>-0.42</v>
      </c>
      <c r="AH194" s="15">
        <v>-0.69299999999999995</v>
      </c>
      <c r="AI194" s="15">
        <v>-0.95099999999999996</v>
      </c>
      <c r="AJ194" s="15">
        <v>-0.58799999999999997</v>
      </c>
      <c r="AK194" s="9">
        <v>-0.51700000000000002</v>
      </c>
      <c r="AL194" s="4">
        <v>-0.53100000000000003</v>
      </c>
      <c r="AM194" s="4">
        <v>-0.68400000000000005</v>
      </c>
      <c r="AN194" s="4">
        <v>-0.53400000000000003</v>
      </c>
      <c r="AO194" s="4">
        <v>0.20499999999999999</v>
      </c>
      <c r="AP194" s="4">
        <v>-0.02</v>
      </c>
      <c r="AQ194" s="4">
        <v>0.65</v>
      </c>
      <c r="AR194" s="4">
        <v>0.17199999999999999</v>
      </c>
      <c r="AS194" s="4">
        <v>0.23100000000000001</v>
      </c>
      <c r="AT194" s="4">
        <v>0.254</v>
      </c>
      <c r="AU194" s="4">
        <v>-6.6000000000000003E-2</v>
      </c>
      <c r="AV194" s="4">
        <v>-0.19400000000000001</v>
      </c>
      <c r="AW194" s="4">
        <v>-0.47</v>
      </c>
      <c r="AX194" s="4">
        <v>0.27</v>
      </c>
      <c r="AY194" s="4">
        <v>-0.23400000000000001</v>
      </c>
      <c r="AZ194" s="4">
        <v>0.92400000000000004</v>
      </c>
      <c r="BA194" s="4">
        <v>0.20300000000000001</v>
      </c>
      <c r="BB194" s="4">
        <v>0.19600000000000001</v>
      </c>
      <c r="BC194" s="4">
        <v>-8.1000000000000003E-2</v>
      </c>
      <c r="BD194" s="4">
        <v>8.5999999999999993E-2</v>
      </c>
      <c r="BE194" s="4">
        <v>0.28100000000000003</v>
      </c>
      <c r="BF194" s="4">
        <v>-0.437</v>
      </c>
      <c r="BG194" s="4">
        <v>-1</v>
      </c>
      <c r="BH194" s="4">
        <v>-0.45</v>
      </c>
      <c r="BI194" s="4">
        <v>-0.182</v>
      </c>
      <c r="BJ194" s="4">
        <v>0.16400000000000001</v>
      </c>
      <c r="BK194" s="4">
        <v>-9.4E-2</v>
      </c>
      <c r="BL194" s="4">
        <v>-0.252</v>
      </c>
      <c r="BM194" s="4"/>
    </row>
    <row r="195" spans="1:65" hidden="1" x14ac:dyDescent="0.3">
      <c r="A195" s="19" t="s">
        <v>224</v>
      </c>
      <c r="B195" s="53">
        <f t="shared" si="18"/>
        <v>0</v>
      </c>
      <c r="C195" s="53">
        <f t="shared" si="19"/>
        <v>-1E-3</v>
      </c>
      <c r="D195" s="53">
        <f t="shared" si="20"/>
        <v>0</v>
      </c>
      <c r="E195" s="53">
        <f t="shared" si="21"/>
        <v>1E-3</v>
      </c>
      <c r="F195" s="15">
        <v>0.51600000000000001</v>
      </c>
      <c r="G195" s="19">
        <v>0.42199999999999999</v>
      </c>
      <c r="H195" s="24" t="s">
        <v>71</v>
      </c>
      <c r="I195" t="str">
        <f>VLOOKUP(A195,Planilha6!$BL$9:$BN$222,2,0)</f>
        <v>food</v>
      </c>
      <c r="J195" t="str">
        <f>VLOOKUP(A195,Planilha6!$BL$9:$BN$222,3,0)</f>
        <v>very_low_beta</v>
      </c>
      <c r="K195" s="2">
        <v>0</v>
      </c>
      <c r="L195" s="2">
        <v>-1E-3</v>
      </c>
      <c r="M195" s="15">
        <v>84</v>
      </c>
      <c r="N195" s="41">
        <f>VLOOKUP(A195,'Mandato Smll'!$A$2:$C$215,2,0)</f>
        <v>0</v>
      </c>
      <c r="O195" s="59">
        <f t="shared" si="22"/>
        <v>0</v>
      </c>
      <c r="P195" s="42">
        <f t="shared" si="23"/>
        <v>0</v>
      </c>
      <c r="Q195" s="41">
        <f>VLOOKUP(A195,'Mandato Smll'!$A$2:$C$215,3,0)</f>
        <v>0</v>
      </c>
      <c r="R195" s="59">
        <f t="shared" si="24"/>
        <v>0</v>
      </c>
      <c r="S195" s="15">
        <v>-0.98699999999999999</v>
      </c>
      <c r="T195" s="15">
        <v>-0.93899999999999995</v>
      </c>
      <c r="U195" s="15">
        <v>-0.91400000000000003</v>
      </c>
      <c r="V195" s="15">
        <v>-0.95699999999999996</v>
      </c>
      <c r="W195" s="15">
        <v>-0.92900000000000005</v>
      </c>
      <c r="X195" s="15">
        <v>-0.90700000000000003</v>
      </c>
      <c r="Y195" s="15">
        <v>-0.872</v>
      </c>
      <c r="Z195" s="15">
        <v>-0.872</v>
      </c>
      <c r="AA195" s="15">
        <v>0.44500000000000001</v>
      </c>
      <c r="AB195" s="15">
        <v>0.443</v>
      </c>
      <c r="AC195" s="15">
        <v>0.217</v>
      </c>
      <c r="AD195" s="15">
        <v>0.17</v>
      </c>
      <c r="AE195" s="15">
        <v>0.14599999999999999</v>
      </c>
      <c r="AF195" s="14">
        <v>-0.76300000000000001</v>
      </c>
      <c r="AG195" s="15">
        <v>-0.77400000000000002</v>
      </c>
      <c r="AH195" s="15">
        <v>-0.76</v>
      </c>
      <c r="AI195" s="15">
        <v>7.6999999999999999E-2</v>
      </c>
      <c r="AJ195" s="15">
        <v>-0.42399999999999999</v>
      </c>
      <c r="AK195" s="9">
        <v>-0.52800000000000002</v>
      </c>
      <c r="AL195" s="4">
        <v>-0.7</v>
      </c>
      <c r="AM195" s="4">
        <v>-0.51400000000000001</v>
      </c>
      <c r="AN195" s="4">
        <v>0.439</v>
      </c>
      <c r="AO195" s="4">
        <v>-0.24399999999999999</v>
      </c>
      <c r="AP195" s="4">
        <v>-0.56799999999999995</v>
      </c>
      <c r="AQ195" s="4">
        <v>-0.54800000000000004</v>
      </c>
      <c r="AR195" s="4">
        <v>-0.47699999999999998</v>
      </c>
      <c r="AS195" s="4">
        <v>-0.316</v>
      </c>
      <c r="AT195" s="4">
        <v>-0.16</v>
      </c>
      <c r="AU195" s="4">
        <v>-0.13800000000000001</v>
      </c>
      <c r="AV195" s="4">
        <v>-0.48799999999999999</v>
      </c>
      <c r="AW195" s="4">
        <v>-0.58099999999999996</v>
      </c>
      <c r="AX195" s="4">
        <v>0.55100000000000005</v>
      </c>
      <c r="AY195" s="4">
        <v>0.222</v>
      </c>
      <c r="AZ195" s="4">
        <v>-0.183</v>
      </c>
      <c r="BA195" s="4">
        <v>-0.57899999999999996</v>
      </c>
      <c r="BB195" s="4">
        <v>-0.97499999999999998</v>
      </c>
      <c r="BC195" s="4">
        <v>-0.83499999999999996</v>
      </c>
      <c r="BD195" s="4">
        <v>-0.98499999999999999</v>
      </c>
      <c r="BE195" s="4">
        <v>-1</v>
      </c>
      <c r="BF195" s="4">
        <v>1</v>
      </c>
      <c r="BG195" s="4">
        <v>1</v>
      </c>
      <c r="BH195" s="4">
        <v>0.28499999999999998</v>
      </c>
      <c r="BI195" s="4">
        <v>7.3999999999999996E-2</v>
      </c>
      <c r="BJ195" s="4">
        <v>-0.78100000000000003</v>
      </c>
      <c r="BK195" s="4">
        <v>0.23400000000000001</v>
      </c>
      <c r="BL195" s="4">
        <v>0.76800000000000002</v>
      </c>
      <c r="BM195" s="4"/>
    </row>
    <row r="196" spans="1:65" hidden="1" x14ac:dyDescent="0.3">
      <c r="A196" s="19" t="s">
        <v>252</v>
      </c>
      <c r="B196" s="53">
        <f t="shared" si="18"/>
        <v>0</v>
      </c>
      <c r="C196" s="53">
        <f t="shared" si="19"/>
        <v>-3.7999999999999999E-2</v>
      </c>
      <c r="D196" s="53">
        <f t="shared" si="20"/>
        <v>0</v>
      </c>
      <c r="E196" s="53">
        <f t="shared" si="21"/>
        <v>3.7999999999999999E-2</v>
      </c>
      <c r="F196" s="15">
        <v>0.51400000000000001</v>
      </c>
      <c r="G196" s="19">
        <v>0.66500000000000004</v>
      </c>
      <c r="H196" s="24" t="s">
        <v>53</v>
      </c>
      <c r="I196" t="str">
        <f>VLOOKUP(A196,Planilha6!$BL$9:$BN$222,2,0)</f>
        <v>consumer_staples</v>
      </c>
      <c r="J196" t="str">
        <f>VLOOKUP(A196,Planilha6!$BL$9:$BN$222,3,0)</f>
        <v>very_high_beta</v>
      </c>
      <c r="K196" s="2">
        <v>0</v>
      </c>
      <c r="L196" s="2">
        <v>-3.7999999999999999E-2</v>
      </c>
      <c r="M196" s="15">
        <v>41</v>
      </c>
      <c r="N196" s="41">
        <f>VLOOKUP(A196,'Mandato Smll'!$A$2:$C$215,2,0)</f>
        <v>0</v>
      </c>
      <c r="O196" s="59">
        <f t="shared" si="22"/>
        <v>0</v>
      </c>
      <c r="P196" s="42">
        <f t="shared" si="23"/>
        <v>0</v>
      </c>
      <c r="Q196" s="41">
        <f>VLOOKUP(A196,'Mandato Smll'!$A$2:$C$215,3,0)</f>
        <v>0</v>
      </c>
      <c r="R196" s="59">
        <f t="shared" si="24"/>
        <v>0</v>
      </c>
      <c r="S196" s="15">
        <v>-0.85299999999999998</v>
      </c>
      <c r="T196" s="15">
        <v>-0.76</v>
      </c>
      <c r="U196" s="15">
        <v>-0.96399999999999997</v>
      </c>
      <c r="V196" s="15">
        <v>-0.75800000000000001</v>
      </c>
      <c r="W196" s="15">
        <v>-0.81899999999999995</v>
      </c>
      <c r="X196" s="15">
        <v>-0.81899999999999995</v>
      </c>
      <c r="Y196" s="15">
        <v>-0.77500000000000002</v>
      </c>
      <c r="Z196" s="15">
        <v>-0.81200000000000006</v>
      </c>
      <c r="AA196" s="15">
        <v>-0.36799999999999999</v>
      </c>
      <c r="AB196" s="15">
        <v>-0.36199999999999999</v>
      </c>
      <c r="AC196" s="15">
        <v>0.48099999999999998</v>
      </c>
      <c r="AD196" s="15">
        <v>0.38500000000000001</v>
      </c>
      <c r="AE196" s="15">
        <v>3.5999999999999997E-2</v>
      </c>
      <c r="AF196" s="14">
        <v>8.3000000000000004E-2</v>
      </c>
      <c r="AG196" s="15">
        <v>-0.67</v>
      </c>
      <c r="AH196" s="15">
        <v>-0.13</v>
      </c>
      <c r="AI196" s="15">
        <v>-0.65400000000000003</v>
      </c>
      <c r="AJ196" s="15">
        <v>-0.61699999999999999</v>
      </c>
      <c r="AK196" s="9">
        <v>-0.88900000000000001</v>
      </c>
      <c r="AL196" s="4">
        <v>0.37</v>
      </c>
      <c r="AM196" s="4">
        <v>-0.86499999999999999</v>
      </c>
      <c r="AN196" s="4">
        <v>-0.67200000000000004</v>
      </c>
      <c r="AO196" s="4">
        <v>-6.6000000000000003E-2</v>
      </c>
      <c r="AP196" s="4">
        <v>-0.23100000000000001</v>
      </c>
      <c r="AQ196" s="4">
        <v>0.54500000000000004</v>
      </c>
      <c r="AR196" s="4">
        <v>-0.222</v>
      </c>
      <c r="AS196" s="4">
        <v>-1</v>
      </c>
      <c r="AT196" s="4">
        <v>-0.93300000000000005</v>
      </c>
      <c r="AU196" s="4">
        <v>0.52200000000000002</v>
      </c>
      <c r="AV196" s="4">
        <v>-0.40100000000000002</v>
      </c>
      <c r="AW196" s="4">
        <v>0.27700000000000002</v>
      </c>
      <c r="AX196" s="4">
        <v>-3.9E-2</v>
      </c>
      <c r="AY196" s="4">
        <v>-0.35799999999999998</v>
      </c>
      <c r="AZ196" s="4">
        <v>0.87</v>
      </c>
      <c r="BA196" s="4">
        <v>-0.17599999999999999</v>
      </c>
      <c r="BB196" s="4">
        <v>0.128</v>
      </c>
      <c r="BC196" s="4">
        <v>-7.0999999999999994E-2</v>
      </c>
      <c r="BD196" s="4">
        <v>0.18</v>
      </c>
      <c r="BE196" s="4">
        <v>0.20599999999999999</v>
      </c>
      <c r="BF196" s="4">
        <v>-0.995</v>
      </c>
      <c r="BG196" s="4">
        <v>-0.40200000000000002</v>
      </c>
      <c r="BH196" s="4">
        <v>-5.0999999999999997E-2</v>
      </c>
      <c r="BI196" s="4">
        <v>7.2999999999999995E-2</v>
      </c>
      <c r="BJ196" s="4">
        <v>0.317</v>
      </c>
      <c r="BK196" s="4">
        <v>-0.55500000000000005</v>
      </c>
      <c r="BL196" s="4">
        <v>-0.15</v>
      </c>
      <c r="BM196" s="4"/>
    </row>
    <row r="197" spans="1:65" hidden="1" x14ac:dyDescent="0.3">
      <c r="A197" s="19" t="s">
        <v>276</v>
      </c>
      <c r="B197" s="53">
        <f t="shared" si="18"/>
        <v>0</v>
      </c>
      <c r="C197" s="53">
        <f t="shared" si="19"/>
        <v>0</v>
      </c>
      <c r="D197" s="53">
        <f t="shared" si="20"/>
        <v>0</v>
      </c>
      <c r="E197" s="53">
        <f t="shared" si="21"/>
        <v>0</v>
      </c>
      <c r="F197" s="15">
        <v>0.51400000000000001</v>
      </c>
      <c r="G197" s="19">
        <v>0.35199999999999998</v>
      </c>
      <c r="H197" s="24" t="s">
        <v>68</v>
      </c>
      <c r="I197" t="str">
        <f>VLOOKUP(A197,Planilha6!$BL$9:$BN$222,2,0)</f>
        <v>chemicals</v>
      </c>
      <c r="J197" t="str">
        <f>VLOOKUP(A197,Planilha6!$BL$9:$BN$222,3,0)</f>
        <v>very_high_beta</v>
      </c>
      <c r="K197" s="2">
        <v>0</v>
      </c>
      <c r="L197" s="2">
        <v>0</v>
      </c>
      <c r="M197" s="15">
        <v>84</v>
      </c>
      <c r="N197" s="41">
        <f>VLOOKUP(A197,'Mandato Smll'!$A$2:$C$215,2,0)</f>
        <v>0</v>
      </c>
      <c r="O197" s="59">
        <f t="shared" si="22"/>
        <v>0</v>
      </c>
      <c r="P197" s="42">
        <f t="shared" si="23"/>
        <v>0</v>
      </c>
      <c r="Q197" s="41">
        <f>VLOOKUP(A197,'Mandato Smll'!$A$2:$C$215,3,0)</f>
        <v>0</v>
      </c>
      <c r="R197" s="59">
        <f t="shared" si="24"/>
        <v>0</v>
      </c>
      <c r="S197" s="15">
        <v>-0.79200000000000004</v>
      </c>
      <c r="T197" s="15">
        <v>-0.85599999999999998</v>
      </c>
      <c r="U197" s="15">
        <v>-0.78900000000000003</v>
      </c>
      <c r="V197" s="15">
        <v>-0.84099999999999997</v>
      </c>
      <c r="W197" s="15">
        <v>-0.876</v>
      </c>
      <c r="X197" s="15">
        <v>-0.92</v>
      </c>
      <c r="Y197" s="15">
        <v>-0.92700000000000005</v>
      </c>
      <c r="Z197" s="15">
        <v>-0.91900000000000004</v>
      </c>
      <c r="AA197" s="15">
        <v>-0.13500000000000001</v>
      </c>
      <c r="AB197" s="15">
        <v>-0.13700000000000001</v>
      </c>
      <c r="AC197" s="15">
        <v>-0.223</v>
      </c>
      <c r="AD197" s="15">
        <v>0.28399999999999997</v>
      </c>
      <c r="AE197" s="15">
        <v>0.28599999999999998</v>
      </c>
      <c r="AF197" s="14">
        <v>-0.60899999999999999</v>
      </c>
      <c r="AG197" s="15">
        <v>-0.98499999999999999</v>
      </c>
      <c r="AH197" s="15">
        <v>-0.78100000000000003</v>
      </c>
      <c r="AI197" s="15">
        <v>-0.79300000000000004</v>
      </c>
      <c r="AJ197" s="15">
        <v>-0.38600000000000001</v>
      </c>
      <c r="AK197" s="9">
        <v>-0.52600000000000002</v>
      </c>
      <c r="AL197" s="4">
        <v>-0.33100000000000002</v>
      </c>
      <c r="AM197" s="4">
        <v>-0.71299999999999997</v>
      </c>
      <c r="AN197" s="4">
        <v>-0.76500000000000001</v>
      </c>
      <c r="AO197" s="4">
        <v>-0.93700000000000006</v>
      </c>
      <c r="AP197" s="4">
        <v>0.17799999999999999</v>
      </c>
      <c r="AQ197" s="4">
        <v>0.14599999999999999</v>
      </c>
      <c r="AR197" s="4">
        <v>-0.28100000000000003</v>
      </c>
      <c r="AS197" s="4">
        <v>0.126</v>
      </c>
      <c r="AT197" s="4">
        <v>0.23899999999999999</v>
      </c>
      <c r="AU197" s="4">
        <v>0.40500000000000003</v>
      </c>
      <c r="AV197" s="4">
        <v>-0.29499999999999998</v>
      </c>
      <c r="AW197" s="4">
        <v>0.14899999999999999</v>
      </c>
      <c r="AX197" s="4">
        <v>-0.75</v>
      </c>
      <c r="AY197" s="4">
        <v>9.2999999999999999E-2</v>
      </c>
      <c r="AZ197" s="4">
        <v>4.3999999999999997E-2</v>
      </c>
      <c r="BA197" s="4">
        <v>-0.66800000000000004</v>
      </c>
      <c r="BB197" s="4">
        <v>0.93400000000000005</v>
      </c>
      <c r="BC197" s="4">
        <v>0.183</v>
      </c>
      <c r="BD197" s="4">
        <v>-0.113</v>
      </c>
      <c r="BE197" s="4">
        <v>1</v>
      </c>
      <c r="BF197" s="4">
        <v>-1</v>
      </c>
      <c r="BG197" s="4">
        <v>-1</v>
      </c>
      <c r="BH197" s="4">
        <v>-1</v>
      </c>
      <c r="BI197" s="4">
        <v>0.26100000000000001</v>
      </c>
      <c r="BJ197" s="4">
        <v>0.79400000000000004</v>
      </c>
      <c r="BK197" s="4">
        <v>0.96799999999999997</v>
      </c>
      <c r="BL197" s="4">
        <v>-6.8000000000000005E-2</v>
      </c>
      <c r="BM197" s="4"/>
    </row>
    <row r="198" spans="1:65" hidden="1" x14ac:dyDescent="0.3">
      <c r="A198" s="19" t="s">
        <v>247</v>
      </c>
      <c r="B198" s="53">
        <f t="shared" si="18"/>
        <v>0</v>
      </c>
      <c r="C198" s="53">
        <f t="shared" si="19"/>
        <v>0</v>
      </c>
      <c r="D198" s="53">
        <f t="shared" si="20"/>
        <v>0</v>
      </c>
      <c r="E198" s="53">
        <f t="shared" si="21"/>
        <v>0</v>
      </c>
      <c r="F198" s="15">
        <v>0.51400000000000001</v>
      </c>
      <c r="G198" s="19">
        <v>0.38200000000000001</v>
      </c>
      <c r="H198" s="24" t="s">
        <v>57</v>
      </c>
      <c r="I198" t="str">
        <f>VLOOKUP(A198,Planilha6!$BL$9:$BN$222,2,0)</f>
        <v>financial_services</v>
      </c>
      <c r="J198" t="str">
        <f>VLOOKUP(A198,Planilha6!$BL$9:$BN$222,3,0)</f>
        <v>neutral_beta</v>
      </c>
      <c r="K198" s="2">
        <v>0</v>
      </c>
      <c r="L198" s="2">
        <v>0</v>
      </c>
      <c r="M198" s="15">
        <v>84</v>
      </c>
      <c r="N198" s="41">
        <f>VLOOKUP(A198,'Mandato Smll'!$A$2:$C$215,2,0)</f>
        <v>0</v>
      </c>
      <c r="O198" s="59">
        <f t="shared" si="22"/>
        <v>0</v>
      </c>
      <c r="P198" s="42">
        <f t="shared" si="23"/>
        <v>0</v>
      </c>
      <c r="Q198" s="41">
        <f>VLOOKUP(A198,'Mandato Smll'!$A$2:$C$215,3,0)</f>
        <v>0</v>
      </c>
      <c r="R198" s="59">
        <f t="shared" si="24"/>
        <v>0</v>
      </c>
      <c r="S198" s="15">
        <v>-0.80700000000000005</v>
      </c>
      <c r="T198" s="15">
        <v>-0.76300000000000001</v>
      </c>
      <c r="U198" s="15">
        <v>-0.84099999999999997</v>
      </c>
      <c r="V198" s="15">
        <v>-0.876</v>
      </c>
      <c r="W198" s="15">
        <v>-0.85199999999999998</v>
      </c>
      <c r="X198" s="15">
        <v>-0.74399999999999999</v>
      </c>
      <c r="Y198" s="15">
        <v>-0.57099999999999995</v>
      </c>
      <c r="Z198" s="15">
        <v>-0.84099999999999997</v>
      </c>
      <c r="AA198" s="15">
        <v>2.1000000000000001E-2</v>
      </c>
      <c r="AB198" s="15">
        <v>2.5000000000000001E-2</v>
      </c>
      <c r="AC198" s="15">
        <v>-0.02</v>
      </c>
      <c r="AD198" s="15">
        <v>0.13100000000000001</v>
      </c>
      <c r="AE198" s="15">
        <v>-9.4E-2</v>
      </c>
      <c r="AF198" s="14">
        <v>-1</v>
      </c>
      <c r="AG198" s="15">
        <v>-0.46800000000000003</v>
      </c>
      <c r="AH198" s="15">
        <v>-1</v>
      </c>
      <c r="AI198" s="15">
        <v>-0.96699999999999997</v>
      </c>
      <c r="AJ198" s="15">
        <v>-1</v>
      </c>
      <c r="AK198" s="9">
        <v>-0.374</v>
      </c>
      <c r="AL198" s="4">
        <v>-0.54</v>
      </c>
      <c r="AM198" s="4">
        <v>-0.80300000000000005</v>
      </c>
      <c r="AN198" s="4">
        <v>-0.433</v>
      </c>
      <c r="AO198" s="4">
        <v>0.441</v>
      </c>
      <c r="AP198" s="4">
        <v>-0.67200000000000004</v>
      </c>
      <c r="AQ198" s="4">
        <v>-0.216</v>
      </c>
      <c r="AR198" s="4">
        <v>0.73499999999999999</v>
      </c>
      <c r="AS198" s="4">
        <v>0.53400000000000003</v>
      </c>
      <c r="AT198" s="4">
        <v>1.9E-2</v>
      </c>
      <c r="AU198" s="4">
        <v>1.2999999999999999E-2</v>
      </c>
      <c r="AV198" s="4">
        <v>0.318</v>
      </c>
      <c r="AW198" s="4">
        <v>-0.40799999999999997</v>
      </c>
      <c r="AX198" s="4">
        <v>-0.215</v>
      </c>
      <c r="AY198" s="4">
        <v>-0.13900000000000001</v>
      </c>
      <c r="AZ198" s="4">
        <v>0.72699999999999998</v>
      </c>
      <c r="BA198" s="4">
        <v>6.0000000000000001E-3</v>
      </c>
      <c r="BB198" s="4">
        <v>0.73899999999999999</v>
      </c>
      <c r="BC198" s="4">
        <v>-0.44500000000000001</v>
      </c>
      <c r="BD198" s="4">
        <v>-0.22700000000000001</v>
      </c>
      <c r="BE198" s="4">
        <v>-3.4000000000000002E-2</v>
      </c>
      <c r="BF198" s="4">
        <v>0.44700000000000001</v>
      </c>
      <c r="BG198" s="4">
        <v>-0.46400000000000002</v>
      </c>
      <c r="BH198" s="4">
        <v>0.54100000000000004</v>
      </c>
      <c r="BI198" s="4">
        <v>-0.34499999999999997</v>
      </c>
      <c r="BJ198" s="4">
        <v>5.7000000000000002E-2</v>
      </c>
      <c r="BK198" s="4">
        <v>0.53700000000000003</v>
      </c>
      <c r="BL198" s="4">
        <v>-0.10100000000000001</v>
      </c>
      <c r="BM198" s="4"/>
    </row>
    <row r="199" spans="1:65" hidden="1" x14ac:dyDescent="0.3">
      <c r="A199" s="19" t="s">
        <v>257</v>
      </c>
      <c r="B199" s="53">
        <f t="shared" si="18"/>
        <v>0</v>
      </c>
      <c r="C199" s="53">
        <f t="shared" si="19"/>
        <v>-5.0000000000000001E-3</v>
      </c>
      <c r="D199" s="53">
        <f t="shared" si="20"/>
        <v>0</v>
      </c>
      <c r="E199" s="53">
        <f t="shared" si="21"/>
        <v>5.0000000000000001E-3</v>
      </c>
      <c r="F199" s="15">
        <v>0.51200000000000001</v>
      </c>
      <c r="G199" s="19">
        <v>0.39300000000000002</v>
      </c>
      <c r="H199" s="24" t="s">
        <v>57</v>
      </c>
      <c r="I199" t="str">
        <f>VLOOKUP(A199,Planilha6!$BL$9:$BN$222,2,0)</f>
        <v>transportation</v>
      </c>
      <c r="J199" t="str">
        <f>VLOOKUP(A199,Planilha6!$BL$9:$BN$222,3,0)</f>
        <v>very_high_beta</v>
      </c>
      <c r="K199" s="2">
        <v>0</v>
      </c>
      <c r="L199" s="2">
        <v>-5.0000000000000001E-3</v>
      </c>
      <c r="M199" s="15">
        <v>80</v>
      </c>
      <c r="N199" s="41">
        <f>VLOOKUP(A199,'Mandato Smll'!$A$2:$C$215,2,0)</f>
        <v>0</v>
      </c>
      <c r="O199" s="59">
        <f t="shared" si="22"/>
        <v>0</v>
      </c>
      <c r="P199" s="42">
        <f t="shared" si="23"/>
        <v>0</v>
      </c>
      <c r="Q199" s="41">
        <f>VLOOKUP(A199,'Mandato Smll'!$A$2:$C$215,3,0)</f>
        <v>0</v>
      </c>
      <c r="R199" s="59">
        <f t="shared" si="24"/>
        <v>0</v>
      </c>
      <c r="S199" s="15">
        <v>-0.81699999999999995</v>
      </c>
      <c r="T199" s="15">
        <v>-0.79400000000000004</v>
      </c>
      <c r="U199" s="15">
        <v>-0.88400000000000001</v>
      </c>
      <c r="V199" s="15">
        <v>-0.85199999999999998</v>
      </c>
      <c r="W199" s="15">
        <v>-0.85299999999999998</v>
      </c>
      <c r="X199" s="15">
        <v>-0.83599999999999997</v>
      </c>
      <c r="Y199" s="15">
        <v>-0.79400000000000004</v>
      </c>
      <c r="Z199" s="15">
        <v>-0.84399999999999997</v>
      </c>
      <c r="AA199" s="15">
        <v>-0.104</v>
      </c>
      <c r="AB199" s="15">
        <v>-0.107</v>
      </c>
      <c r="AC199" s="15">
        <v>0.106</v>
      </c>
      <c r="AD199" s="15">
        <v>-0.155</v>
      </c>
      <c r="AE199" s="15">
        <v>8.4000000000000005E-2</v>
      </c>
      <c r="AF199" s="14">
        <v>-0.89700000000000002</v>
      </c>
      <c r="AG199" s="15">
        <v>-0.61699999999999999</v>
      </c>
      <c r="AH199" s="15">
        <v>-0.66400000000000003</v>
      </c>
      <c r="AI199" s="15">
        <v>-0.73499999999999999</v>
      </c>
      <c r="AJ199" s="15">
        <v>-0.38200000000000001</v>
      </c>
      <c r="AK199" s="9">
        <v>-0.81</v>
      </c>
      <c r="AL199" s="4">
        <v>-0.52400000000000002</v>
      </c>
      <c r="AM199" s="4">
        <v>-0.45600000000000002</v>
      </c>
      <c r="AN199" s="4">
        <v>-0.34699999999999998</v>
      </c>
      <c r="AO199" s="4">
        <v>0.108</v>
      </c>
      <c r="AP199" s="4">
        <v>0.124</v>
      </c>
      <c r="AQ199" s="4">
        <v>0.105</v>
      </c>
      <c r="AR199" s="4">
        <v>0.113</v>
      </c>
      <c r="AS199" s="4">
        <v>0.62</v>
      </c>
      <c r="AT199" s="4">
        <v>1</v>
      </c>
      <c r="AU199" s="4">
        <v>-9.5000000000000001E-2</v>
      </c>
      <c r="AV199" s="4">
        <v>2.5999999999999999E-2</v>
      </c>
      <c r="AW199" s="4">
        <v>-0.45200000000000001</v>
      </c>
      <c r="AX199" s="4">
        <v>-0.63900000000000001</v>
      </c>
      <c r="AY199" s="4">
        <v>-0.378</v>
      </c>
      <c r="AZ199" s="4">
        <v>0.184</v>
      </c>
      <c r="BA199" s="4">
        <v>-0.158</v>
      </c>
      <c r="BB199" s="4">
        <v>-6.2E-2</v>
      </c>
      <c r="BC199" s="4">
        <v>-0.19400000000000001</v>
      </c>
      <c r="BD199" s="4">
        <v>-0.35</v>
      </c>
      <c r="BE199" s="4">
        <v>-0.21299999999999999</v>
      </c>
      <c r="BF199" s="4">
        <v>-0.57599999999999996</v>
      </c>
      <c r="BG199" s="4">
        <v>-0.31900000000000001</v>
      </c>
      <c r="BH199" s="4">
        <v>-0.106</v>
      </c>
      <c r="BI199" s="4">
        <v>0.41299999999999998</v>
      </c>
      <c r="BJ199" s="4">
        <v>0.96099999999999997</v>
      </c>
      <c r="BK199" s="4">
        <v>-0.67300000000000004</v>
      </c>
      <c r="BL199" s="4">
        <v>0.20499999999999999</v>
      </c>
      <c r="BM199" s="4"/>
    </row>
    <row r="200" spans="1:65" hidden="1" x14ac:dyDescent="0.3">
      <c r="A200" s="19" t="s">
        <v>254</v>
      </c>
      <c r="B200" s="53">
        <f t="shared" si="18"/>
        <v>0</v>
      </c>
      <c r="C200" s="53">
        <f t="shared" si="19"/>
        <v>-2.8000000000000001E-2</v>
      </c>
      <c r="D200" s="53">
        <f t="shared" si="20"/>
        <v>0</v>
      </c>
      <c r="E200" s="53">
        <f t="shared" si="21"/>
        <v>2.8000000000000001E-2</v>
      </c>
      <c r="F200" s="15">
        <v>0.50900000000000001</v>
      </c>
      <c r="G200" s="19">
        <v>0.63600000000000001</v>
      </c>
      <c r="H200" s="24" t="s">
        <v>57</v>
      </c>
      <c r="I200" t="str">
        <f>VLOOKUP(A200,Planilha6!$BL$9:$BN$222,2,0)</f>
        <v>consumer_services</v>
      </c>
      <c r="J200" t="str">
        <f>VLOOKUP(A200,Planilha6!$BL$9:$BN$222,3,0)</f>
        <v>very_high_beta</v>
      </c>
      <c r="K200" s="2">
        <v>0</v>
      </c>
      <c r="L200" s="2">
        <v>-2.8000000000000001E-2</v>
      </c>
      <c r="M200" s="15">
        <v>50</v>
      </c>
      <c r="N200" s="41">
        <f>VLOOKUP(A200,'Mandato Smll'!$A$2:$C$215,2,0)</f>
        <v>0</v>
      </c>
      <c r="O200" s="59">
        <f t="shared" si="22"/>
        <v>0</v>
      </c>
      <c r="P200" s="42">
        <f t="shared" si="23"/>
        <v>0</v>
      </c>
      <c r="Q200" s="41">
        <f>VLOOKUP(A200,'Mandato Smll'!$A$2:$C$215,3,0)</f>
        <v>0</v>
      </c>
      <c r="R200" s="59">
        <f t="shared" si="24"/>
        <v>0</v>
      </c>
      <c r="S200" s="15">
        <v>-0.86499999999999999</v>
      </c>
      <c r="T200" s="15">
        <v>-0.82299999999999995</v>
      </c>
      <c r="U200" s="15">
        <v>-0.95599999999999996</v>
      </c>
      <c r="V200" s="15">
        <v>-0.875</v>
      </c>
      <c r="W200" s="15">
        <v>-0.89300000000000002</v>
      </c>
      <c r="X200" s="15">
        <v>-0.83099999999999996</v>
      </c>
      <c r="Y200" s="15">
        <v>-0.77700000000000002</v>
      </c>
      <c r="Z200" s="15">
        <v>-0.88500000000000001</v>
      </c>
      <c r="AA200" s="15">
        <v>-0.317</v>
      </c>
      <c r="AB200" s="15">
        <v>-0.315</v>
      </c>
      <c r="AC200" s="15">
        <v>0.49299999999999999</v>
      </c>
      <c r="AD200" s="15">
        <v>0.47099999999999997</v>
      </c>
      <c r="AE200" s="15">
        <v>-4.3999999999999997E-2</v>
      </c>
      <c r="AF200" s="14">
        <v>-0.623</v>
      </c>
      <c r="AG200" s="15">
        <v>3.0000000000000001E-3</v>
      </c>
      <c r="AH200" s="15">
        <v>-0.41099999999999998</v>
      </c>
      <c r="AI200" s="15">
        <v>-0.57499999999999996</v>
      </c>
      <c r="AJ200" s="15">
        <v>-0.98299999999999998</v>
      </c>
      <c r="AK200" s="9">
        <v>-0.99399999999999999</v>
      </c>
      <c r="AL200" s="4">
        <v>0.218</v>
      </c>
      <c r="AM200" s="4">
        <v>-0.80200000000000005</v>
      </c>
      <c r="AN200" s="4">
        <v>2.7E-2</v>
      </c>
      <c r="AO200" s="4">
        <v>-0.32700000000000001</v>
      </c>
      <c r="AP200" s="4">
        <v>-0.62</v>
      </c>
      <c r="AQ200" s="4">
        <v>0.17899999999999999</v>
      </c>
      <c r="AR200" s="4">
        <v>-5.5E-2</v>
      </c>
      <c r="AS200" s="4">
        <v>0.123</v>
      </c>
      <c r="AT200" s="4">
        <v>-0.31</v>
      </c>
      <c r="AU200" s="4">
        <v>-0.27600000000000002</v>
      </c>
      <c r="AV200" s="4">
        <v>-0.13900000000000001</v>
      </c>
      <c r="AW200" s="4">
        <v>-0.53900000000000003</v>
      </c>
      <c r="AX200" s="4">
        <v>-0.374</v>
      </c>
      <c r="AY200" s="4">
        <v>-0.34599999999999997</v>
      </c>
      <c r="AZ200" s="4">
        <v>0.53800000000000003</v>
      </c>
      <c r="BA200" s="4">
        <v>-0.309</v>
      </c>
      <c r="BB200" s="4">
        <v>0.26300000000000001</v>
      </c>
      <c r="BC200" s="4">
        <v>0.50700000000000001</v>
      </c>
      <c r="BD200" s="4">
        <v>1.7000000000000001E-2</v>
      </c>
      <c r="BE200" s="4">
        <v>0.04</v>
      </c>
      <c r="BF200" s="4">
        <v>0.377</v>
      </c>
      <c r="BG200" s="4">
        <v>-0.52200000000000002</v>
      </c>
      <c r="BH200" s="4">
        <v>0.48699999999999999</v>
      </c>
      <c r="BI200" s="4">
        <v>0.50900000000000001</v>
      </c>
      <c r="BJ200" s="4">
        <v>0.45600000000000002</v>
      </c>
      <c r="BK200" s="4">
        <v>-0.74399999999999999</v>
      </c>
      <c r="BL200" s="4">
        <v>-0.27200000000000002</v>
      </c>
      <c r="BM200" s="4"/>
    </row>
    <row r="201" spans="1:65" hidden="1" x14ac:dyDescent="0.3">
      <c r="A201" s="19" t="s">
        <v>238</v>
      </c>
      <c r="B201" s="53">
        <f t="shared" si="18"/>
        <v>0</v>
      </c>
      <c r="C201" s="53">
        <f t="shared" si="19"/>
        <v>-6.0000000000000001E-3</v>
      </c>
      <c r="D201" s="53">
        <f t="shared" si="20"/>
        <v>0</v>
      </c>
      <c r="E201" s="53">
        <f t="shared" si="21"/>
        <v>6.0000000000000001E-3</v>
      </c>
      <c r="F201" s="15">
        <v>0.50900000000000001</v>
      </c>
      <c r="G201" s="19">
        <v>0.47299999999999998</v>
      </c>
      <c r="H201" s="24" t="s">
        <v>68</v>
      </c>
      <c r="I201" t="str">
        <f>VLOOKUP(A201,Planilha6!$BL$9:$BN$222,2,0)</f>
        <v>capital_goods</v>
      </c>
      <c r="J201" t="str">
        <f>VLOOKUP(A201,Planilha6!$BL$9:$BN$222,3,0)</f>
        <v>high_beta</v>
      </c>
      <c r="K201" s="2">
        <v>0</v>
      </c>
      <c r="L201" s="2">
        <v>-6.0000000000000001E-3</v>
      </c>
      <c r="M201" s="15">
        <v>84</v>
      </c>
      <c r="N201" s="41">
        <f>VLOOKUP(A201,'Mandato Smll'!$A$2:$C$215,2,0)</f>
        <v>0</v>
      </c>
      <c r="O201" s="59">
        <f t="shared" si="22"/>
        <v>0</v>
      </c>
      <c r="P201" s="42">
        <f t="shared" si="23"/>
        <v>0</v>
      </c>
      <c r="Q201" s="41">
        <f>VLOOKUP(A201,'Mandato Smll'!$A$2:$C$215,3,0)</f>
        <v>0</v>
      </c>
      <c r="R201" s="59">
        <f t="shared" si="24"/>
        <v>0</v>
      </c>
      <c r="S201" s="15">
        <v>-0.87</v>
      </c>
      <c r="T201" s="15">
        <v>-0.81100000000000005</v>
      </c>
      <c r="U201" s="15">
        <v>-0.85199999999999998</v>
      </c>
      <c r="V201" s="15">
        <v>-0.90300000000000002</v>
      </c>
      <c r="W201" s="15">
        <v>-0.86799999999999999</v>
      </c>
      <c r="X201" s="15">
        <v>-0.88200000000000001</v>
      </c>
      <c r="Y201" s="15">
        <v>-0.85599999999999998</v>
      </c>
      <c r="Z201" s="15">
        <v>-0.84299999999999997</v>
      </c>
      <c r="AA201" s="15">
        <v>-0.26600000000000001</v>
      </c>
      <c r="AB201" s="15">
        <v>-0.26500000000000001</v>
      </c>
      <c r="AC201" s="15">
        <v>8.5000000000000006E-2</v>
      </c>
      <c r="AD201" s="15">
        <v>0.376</v>
      </c>
      <c r="AE201" s="15">
        <v>5.1999999999999998E-2</v>
      </c>
      <c r="AF201" s="14">
        <v>-0.873</v>
      </c>
      <c r="AG201" s="15">
        <v>-0.7</v>
      </c>
      <c r="AH201" s="15">
        <v>-8.7999999999999995E-2</v>
      </c>
      <c r="AI201" s="15">
        <v>3.0000000000000001E-3</v>
      </c>
      <c r="AJ201" s="15">
        <v>0.16500000000000001</v>
      </c>
      <c r="AK201" s="9">
        <v>-0.68700000000000006</v>
      </c>
      <c r="AL201" s="4">
        <v>4.0000000000000001E-3</v>
      </c>
      <c r="AM201" s="4">
        <v>-0.61499999999999999</v>
      </c>
      <c r="AN201" s="4">
        <v>-6.7000000000000004E-2</v>
      </c>
      <c r="AO201" s="4">
        <v>-0.51400000000000001</v>
      </c>
      <c r="AP201" s="4">
        <v>-0.31</v>
      </c>
      <c r="AQ201" s="4">
        <v>0.50800000000000001</v>
      </c>
      <c r="AR201" s="4">
        <v>-0.42099999999999999</v>
      </c>
      <c r="AS201" s="4">
        <v>-1</v>
      </c>
      <c r="AT201" s="4">
        <v>-1</v>
      </c>
      <c r="AU201" s="4">
        <v>-0.28299999999999997</v>
      </c>
      <c r="AV201" s="4">
        <v>-0.51500000000000001</v>
      </c>
      <c r="AW201" s="4">
        <v>-0.64</v>
      </c>
      <c r="AX201" s="4">
        <v>0.314</v>
      </c>
      <c r="AY201" s="4">
        <v>-0.29399999999999998</v>
      </c>
      <c r="AZ201" s="4">
        <v>0.60199999999999998</v>
      </c>
      <c r="BA201" s="4">
        <v>-0.14899999999999999</v>
      </c>
      <c r="BB201" s="4">
        <v>-7.3999999999999996E-2</v>
      </c>
      <c r="BC201" s="4">
        <v>0.64</v>
      </c>
      <c r="BD201" s="4">
        <v>0.121</v>
      </c>
      <c r="BE201" s="4">
        <v>0.108</v>
      </c>
      <c r="BF201" s="4">
        <v>-0.69299999999999995</v>
      </c>
      <c r="BG201" s="4">
        <v>-0.39400000000000002</v>
      </c>
      <c r="BH201" s="4">
        <v>2.7E-2</v>
      </c>
      <c r="BI201" s="4">
        <v>0.13200000000000001</v>
      </c>
      <c r="BJ201" s="4">
        <v>0.61699999999999999</v>
      </c>
      <c r="BK201" s="4">
        <v>-8.0000000000000002E-3</v>
      </c>
      <c r="BL201" s="4">
        <v>0.26700000000000002</v>
      </c>
      <c r="BM201" s="4"/>
    </row>
    <row r="202" spans="1:65" hidden="1" x14ac:dyDescent="0.3">
      <c r="A202" s="19" t="s">
        <v>242</v>
      </c>
      <c r="B202" s="53">
        <f t="shared" ref="B202:B222" si="25">K202</f>
        <v>0</v>
      </c>
      <c r="C202" s="53">
        <f t="shared" ref="C202:C222" si="26">B202-E202</f>
        <v>-1E-3</v>
      </c>
      <c r="D202" s="53">
        <f t="shared" ref="D202:D222" si="27">B202-K202</f>
        <v>0</v>
      </c>
      <c r="E202" s="53">
        <f t="shared" ref="E202:E222" si="28">K202-L202</f>
        <v>1E-3</v>
      </c>
      <c r="F202" s="15">
        <v>0.505</v>
      </c>
      <c r="G202" s="19">
        <v>0.34699999999999998</v>
      </c>
      <c r="H202" s="24" t="s">
        <v>57</v>
      </c>
      <c r="I202" t="str">
        <f>VLOOKUP(A202,Planilha6!$BL$9:$BN$222,2,0)</f>
        <v>consumer_durables</v>
      </c>
      <c r="J202" t="str">
        <f>VLOOKUP(A202,Planilha6!$BL$9:$BN$222,3,0)</f>
        <v>very_high_beta</v>
      </c>
      <c r="K202" s="2">
        <v>0</v>
      </c>
      <c r="L202" s="2">
        <v>-1E-3</v>
      </c>
      <c r="M202" s="15">
        <v>84</v>
      </c>
      <c r="N202" s="41">
        <f>VLOOKUP(A202,'Mandato Smll'!$A$2:$C$215,2,0)</f>
        <v>0</v>
      </c>
      <c r="O202" s="59">
        <f t="shared" ref="O202:O222" si="29">K202-N202</f>
        <v>0</v>
      </c>
      <c r="P202" s="42">
        <f t="shared" ref="P202:P222" si="30">B202-N202</f>
        <v>0</v>
      </c>
      <c r="Q202" s="41">
        <f>VLOOKUP(A202,'Mandato Smll'!$A$2:$C$215,3,0)</f>
        <v>0</v>
      </c>
      <c r="R202" s="59">
        <f t="shared" ref="R202:R222" si="31">K202-Q202</f>
        <v>0</v>
      </c>
      <c r="S202" s="15">
        <v>-0.68500000000000005</v>
      </c>
      <c r="T202" s="15">
        <v>-0.82899999999999996</v>
      </c>
      <c r="U202" s="15">
        <v>-0.71899999999999997</v>
      </c>
      <c r="V202" s="15">
        <v>-0.82199999999999995</v>
      </c>
      <c r="W202" s="15">
        <v>-0.86199999999999999</v>
      </c>
      <c r="X202" s="15">
        <v>-0.80900000000000005</v>
      </c>
      <c r="Y202" s="15">
        <v>-0.78900000000000003</v>
      </c>
      <c r="Z202" s="15">
        <v>-0.94299999999999995</v>
      </c>
      <c r="AA202" s="15">
        <v>-0.27300000000000002</v>
      </c>
      <c r="AB202" s="15">
        <v>-0.27500000000000002</v>
      </c>
      <c r="AC202" s="15">
        <v>-0.48299999999999998</v>
      </c>
      <c r="AD202" s="15">
        <v>-0.65500000000000003</v>
      </c>
      <c r="AE202" s="15">
        <v>0.113</v>
      </c>
      <c r="AF202" s="14">
        <v>-0.56499999999999995</v>
      </c>
      <c r="AG202" s="15">
        <v>0.105</v>
      </c>
      <c r="AH202" s="15">
        <v>-0.46500000000000002</v>
      </c>
      <c r="AI202" s="15">
        <v>0.36899999999999999</v>
      </c>
      <c r="AJ202" s="15">
        <v>-0.46500000000000002</v>
      </c>
      <c r="AK202" s="9">
        <v>-0.60499999999999998</v>
      </c>
      <c r="AL202" s="4">
        <v>0.77700000000000002</v>
      </c>
      <c r="AM202" s="4">
        <v>-1</v>
      </c>
      <c r="AN202" s="4">
        <v>-5.0999999999999997E-2</v>
      </c>
      <c r="AO202" s="4">
        <v>4.8000000000000001E-2</v>
      </c>
      <c r="AP202" s="4">
        <v>-0.53300000000000003</v>
      </c>
      <c r="AQ202" s="4">
        <v>0.17499999999999999</v>
      </c>
      <c r="AR202" s="4">
        <v>-0.27200000000000002</v>
      </c>
      <c r="AS202" s="4">
        <v>-0.57599999999999996</v>
      </c>
      <c r="AT202" s="4">
        <v>7.4999999999999997E-2</v>
      </c>
      <c r="AU202" s="4">
        <v>-0.16400000000000001</v>
      </c>
      <c r="AV202" s="4">
        <v>-0.17599999999999999</v>
      </c>
      <c r="AW202" s="4">
        <v>-0.33900000000000002</v>
      </c>
      <c r="AX202" s="4">
        <v>-1</v>
      </c>
      <c r="AY202" s="4">
        <v>-0.60799999999999998</v>
      </c>
      <c r="AZ202" s="4">
        <v>-0.17299999999999999</v>
      </c>
      <c r="BA202" s="4">
        <v>-1</v>
      </c>
      <c r="BB202" s="4">
        <v>-0.14399999999999999</v>
      </c>
      <c r="BC202" s="4">
        <v>0.47699999999999998</v>
      </c>
      <c r="BD202" s="4">
        <v>0.67600000000000005</v>
      </c>
      <c r="BE202" s="4">
        <v>0.372</v>
      </c>
      <c r="BF202" s="4">
        <v>0.28000000000000003</v>
      </c>
      <c r="BG202" s="4">
        <v>0.38200000000000001</v>
      </c>
      <c r="BH202" s="4">
        <v>0.58399999999999996</v>
      </c>
      <c r="BI202" s="4">
        <v>1</v>
      </c>
      <c r="BJ202" s="4">
        <v>0.48899999999999999</v>
      </c>
      <c r="BK202" s="4">
        <v>0.13200000000000001</v>
      </c>
      <c r="BL202" s="4">
        <v>3.4000000000000002E-2</v>
      </c>
      <c r="BM202" s="4"/>
    </row>
    <row r="203" spans="1:65" hidden="1" x14ac:dyDescent="0.3">
      <c r="A203" s="19" t="s">
        <v>207</v>
      </c>
      <c r="B203" s="53">
        <f t="shared" si="25"/>
        <v>0</v>
      </c>
      <c r="C203" s="53">
        <f t="shared" si="26"/>
        <v>0</v>
      </c>
      <c r="D203" s="53">
        <f t="shared" si="27"/>
        <v>0</v>
      </c>
      <c r="E203" s="53">
        <f t="shared" si="28"/>
        <v>0</v>
      </c>
      <c r="F203" s="15">
        <v>0.499</v>
      </c>
      <c r="G203" s="19">
        <v>0.34200000000000003</v>
      </c>
      <c r="H203" s="24" t="s">
        <v>53</v>
      </c>
      <c r="I203" t="str">
        <f>VLOOKUP(A203,Planilha6!$BL$9:$BN$222,2,0)</f>
        <v>healthcare</v>
      </c>
      <c r="J203" t="str">
        <f>VLOOKUP(A203,Planilha6!$BL$9:$BN$222,3,0)</f>
        <v>very_high_beta</v>
      </c>
      <c r="K203" s="2">
        <v>0</v>
      </c>
      <c r="L203" s="2">
        <v>0</v>
      </c>
      <c r="M203" s="15">
        <v>84</v>
      </c>
      <c r="N203" s="41">
        <f>VLOOKUP(A203,'Mandato Smll'!$A$2:$C$215,2,0)</f>
        <v>0</v>
      </c>
      <c r="O203" s="59">
        <f t="shared" si="29"/>
        <v>0</v>
      </c>
      <c r="P203" s="42">
        <f t="shared" si="30"/>
        <v>0</v>
      </c>
      <c r="Q203" s="41">
        <f>VLOOKUP(A203,'Mandato Smll'!$A$2:$C$215,3,0)</f>
        <v>0</v>
      </c>
      <c r="R203" s="59">
        <f t="shared" si="31"/>
        <v>0</v>
      </c>
      <c r="S203" s="15">
        <v>-0.752</v>
      </c>
      <c r="T203" s="15">
        <v>-0.86399999999999999</v>
      </c>
      <c r="U203" s="15">
        <v>-0.77200000000000002</v>
      </c>
      <c r="V203" s="15">
        <v>-0.83599999999999997</v>
      </c>
      <c r="W203" s="15">
        <v>-0.874</v>
      </c>
      <c r="X203" s="15">
        <v>-0.93400000000000005</v>
      </c>
      <c r="Y203" s="15">
        <v>-0.94899999999999995</v>
      </c>
      <c r="Z203" s="15">
        <v>-0.95199999999999996</v>
      </c>
      <c r="AA203" s="15">
        <v>-0.26</v>
      </c>
      <c r="AB203" s="15">
        <v>-0.26200000000000001</v>
      </c>
      <c r="AC203" s="15">
        <v>-0.29099999999999998</v>
      </c>
      <c r="AD203" s="15">
        <v>1.2999999999999999E-2</v>
      </c>
      <c r="AE203" s="15">
        <v>-0.14199999999999999</v>
      </c>
      <c r="AF203" s="14">
        <v>-0.69</v>
      </c>
      <c r="AG203" s="15">
        <v>-0.71899999999999997</v>
      </c>
      <c r="AH203" s="15">
        <v>0.124</v>
      </c>
      <c r="AI203" s="15">
        <v>-0.35299999999999998</v>
      </c>
      <c r="AJ203" s="15">
        <v>0.39900000000000002</v>
      </c>
      <c r="AK203" s="9">
        <v>-0.79200000000000004</v>
      </c>
      <c r="AL203" s="4">
        <v>-0.14099999999999999</v>
      </c>
      <c r="AM203" s="4">
        <v>-1</v>
      </c>
      <c r="AN203" s="4">
        <v>3.7999999999999999E-2</v>
      </c>
      <c r="AO203" s="4">
        <v>-0.29199999999999998</v>
      </c>
      <c r="AP203" s="4">
        <v>0.67300000000000004</v>
      </c>
      <c r="AQ203" s="4">
        <v>-0.58799999999999997</v>
      </c>
      <c r="AR203" s="4">
        <v>-0.27700000000000002</v>
      </c>
      <c r="AS203" s="4">
        <v>-0.123</v>
      </c>
      <c r="AT203" s="4">
        <v>-0.108</v>
      </c>
      <c r="AU203" s="4">
        <v>-0.28599999999999998</v>
      </c>
      <c r="AV203" s="4">
        <v>-0.45200000000000001</v>
      </c>
      <c r="AW203" s="4">
        <v>-0.48899999999999999</v>
      </c>
      <c r="AX203" s="4">
        <v>-0.76200000000000001</v>
      </c>
      <c r="AY203" s="4">
        <v>-0.34399999999999997</v>
      </c>
      <c r="AZ203" s="4">
        <v>0.63600000000000001</v>
      </c>
      <c r="BA203" s="4">
        <v>-0.89700000000000002</v>
      </c>
      <c r="BB203" s="4">
        <v>0.90400000000000003</v>
      </c>
      <c r="BC203" s="4">
        <v>1</v>
      </c>
      <c r="BD203" s="4">
        <v>0.496</v>
      </c>
      <c r="BE203" s="4">
        <v>0.84199999999999997</v>
      </c>
      <c r="BF203" s="4">
        <v>0.755</v>
      </c>
      <c r="BG203" s="4">
        <v>0.28799999999999998</v>
      </c>
      <c r="BH203" s="4">
        <v>-0.97399999999999998</v>
      </c>
      <c r="BI203" s="4">
        <v>0.84599999999999997</v>
      </c>
      <c r="BJ203" s="4">
        <v>0.36699999999999999</v>
      </c>
      <c r="BK203" s="4">
        <v>0.58899999999999997</v>
      </c>
      <c r="BL203" s="4">
        <v>0.16900000000000001</v>
      </c>
      <c r="BM203" s="4"/>
    </row>
    <row r="204" spans="1:65" hidden="1" x14ac:dyDescent="0.3">
      <c r="A204" s="19" t="s">
        <v>175</v>
      </c>
      <c r="B204" s="53">
        <f t="shared" si="25"/>
        <v>0</v>
      </c>
      <c r="C204" s="53">
        <f t="shared" si="26"/>
        <v>0</v>
      </c>
      <c r="D204" s="53">
        <f t="shared" si="27"/>
        <v>0</v>
      </c>
      <c r="E204" s="53">
        <f t="shared" si="28"/>
        <v>0</v>
      </c>
      <c r="F204" s="15">
        <v>0.495</v>
      </c>
      <c r="G204" s="19">
        <v>0.34300000000000003</v>
      </c>
      <c r="H204" s="24" t="s">
        <v>53</v>
      </c>
      <c r="I204" t="str">
        <f>VLOOKUP(A204,Planilha6!$BL$9:$BN$222,2,0)</f>
        <v>consumer_staples</v>
      </c>
      <c r="J204" t="str">
        <f>VLOOKUP(A204,Planilha6!$BL$9:$BN$222,3,0)</f>
        <v>very_high_beta</v>
      </c>
      <c r="K204" s="2">
        <v>0</v>
      </c>
      <c r="L204" s="2">
        <v>0</v>
      </c>
      <c r="M204" s="15">
        <v>84</v>
      </c>
      <c r="N204" s="41">
        <f>VLOOKUP(A204,'Mandato Smll'!$A$2:$C$215,2,0)</f>
        <v>0</v>
      </c>
      <c r="O204" s="59">
        <f t="shared" si="29"/>
        <v>0</v>
      </c>
      <c r="P204" s="42">
        <f t="shared" si="30"/>
        <v>0</v>
      </c>
      <c r="Q204" s="41">
        <f>VLOOKUP(A204,'Mandato Smll'!$A$2:$C$215,3,0)</f>
        <v>0</v>
      </c>
      <c r="R204" s="59">
        <f t="shared" si="31"/>
        <v>0</v>
      </c>
      <c r="S204" s="15">
        <v>-0.61499999999999999</v>
      </c>
      <c r="T204" s="15">
        <v>-0.9</v>
      </c>
      <c r="U204" s="15">
        <v>-0.51500000000000001</v>
      </c>
      <c r="V204" s="15">
        <v>-0.66900000000000004</v>
      </c>
      <c r="W204" s="15">
        <v>-0.81599999999999995</v>
      </c>
      <c r="X204" s="15">
        <v>-0.875</v>
      </c>
      <c r="Y204" s="15">
        <v>-0.90600000000000003</v>
      </c>
      <c r="Z204" s="15">
        <v>-0.93700000000000006</v>
      </c>
      <c r="AA204" s="15">
        <v>-0.36099999999999999</v>
      </c>
      <c r="AB204" s="15">
        <v>-0.36399999999999999</v>
      </c>
      <c r="AC204" s="15">
        <v>-0.31</v>
      </c>
      <c r="AD204" s="15">
        <v>-0.216</v>
      </c>
      <c r="AE204" s="15">
        <v>-0.53</v>
      </c>
      <c r="AF204" s="14">
        <v>0.223</v>
      </c>
      <c r="AG204" s="15">
        <v>1</v>
      </c>
      <c r="AH204" s="15">
        <v>-0.65500000000000003</v>
      </c>
      <c r="AI204" s="15">
        <v>1</v>
      </c>
      <c r="AJ204" s="15">
        <v>-0.64200000000000002</v>
      </c>
      <c r="AK204" s="9">
        <v>-0.28899999999999998</v>
      </c>
      <c r="AL204" s="4">
        <v>0.76</v>
      </c>
      <c r="AM204" s="4">
        <v>-1</v>
      </c>
      <c r="AN204" s="4">
        <v>0.68300000000000005</v>
      </c>
      <c r="AO204" s="4">
        <v>-2.5000000000000001E-2</v>
      </c>
      <c r="AP204" s="4">
        <v>-0.94</v>
      </c>
      <c r="AQ204" s="4">
        <v>-1</v>
      </c>
      <c r="AR204" s="4">
        <v>-6.5000000000000002E-2</v>
      </c>
      <c r="AS204" s="4">
        <v>0.33200000000000002</v>
      </c>
      <c r="AT204" s="4">
        <v>0.14699999999999999</v>
      </c>
      <c r="AU204" s="4">
        <v>-0.23699999999999999</v>
      </c>
      <c r="AV204" s="4">
        <v>-0.36799999999999999</v>
      </c>
      <c r="AW204" s="4">
        <v>4.7E-2</v>
      </c>
      <c r="AX204" s="4">
        <v>-0.61299999999999999</v>
      </c>
      <c r="AY204" s="4">
        <v>-0.34499999999999997</v>
      </c>
      <c r="AZ204" s="4">
        <v>0.27700000000000002</v>
      </c>
      <c r="BA204" s="4">
        <v>-0.17199999999999999</v>
      </c>
      <c r="BB204" s="4">
        <v>-0.10100000000000001</v>
      </c>
      <c r="BC204" s="4">
        <v>0.45600000000000002</v>
      </c>
      <c r="BD204" s="4">
        <v>0.48899999999999999</v>
      </c>
      <c r="BE204" s="4">
        <v>0.14299999999999999</v>
      </c>
      <c r="BF204" s="4">
        <v>0.48899999999999999</v>
      </c>
      <c r="BG204" s="4">
        <v>-0.38500000000000001</v>
      </c>
      <c r="BH204" s="4">
        <v>-0.876</v>
      </c>
      <c r="BI204" s="4">
        <v>0.218</v>
      </c>
      <c r="BJ204" s="4">
        <v>0.52400000000000002</v>
      </c>
      <c r="BK204" s="4">
        <v>-0.69899999999999995</v>
      </c>
      <c r="BL204" s="4">
        <v>0.76</v>
      </c>
      <c r="BM204" s="4"/>
    </row>
    <row r="205" spans="1:65" hidden="1" x14ac:dyDescent="0.3">
      <c r="A205" s="19" t="s">
        <v>239</v>
      </c>
      <c r="B205" s="53">
        <f t="shared" si="25"/>
        <v>0</v>
      </c>
      <c r="C205" s="53">
        <f t="shared" si="26"/>
        <v>-1E-3</v>
      </c>
      <c r="D205" s="53">
        <f t="shared" si="27"/>
        <v>0</v>
      </c>
      <c r="E205" s="53">
        <f t="shared" si="28"/>
        <v>1E-3</v>
      </c>
      <c r="F205" s="15">
        <v>0.49399999999999999</v>
      </c>
      <c r="G205" s="19">
        <v>0.34</v>
      </c>
      <c r="H205" s="24" t="s">
        <v>57</v>
      </c>
      <c r="I205" t="str">
        <f>VLOOKUP(A205,Planilha6!$BL$9:$BN$222,2,0)</f>
        <v>tech</v>
      </c>
      <c r="J205" t="str">
        <f>VLOOKUP(A205,Planilha6!$BL$9:$BN$222,3,0)</f>
        <v>high_beta</v>
      </c>
      <c r="K205" s="2">
        <v>0</v>
      </c>
      <c r="L205" s="2">
        <v>-1E-3</v>
      </c>
      <c r="M205" s="15">
        <v>84</v>
      </c>
      <c r="N205" s="41">
        <f>VLOOKUP(A205,'Mandato Smll'!$A$2:$C$215,2,0)</f>
        <v>0</v>
      </c>
      <c r="O205" s="59">
        <f t="shared" si="29"/>
        <v>0</v>
      </c>
      <c r="P205" s="42">
        <f t="shared" si="30"/>
        <v>0</v>
      </c>
      <c r="Q205" s="41">
        <f>VLOOKUP(A205,'Mandato Smll'!$A$2:$C$215,3,0)</f>
        <v>0</v>
      </c>
      <c r="R205" s="59">
        <f t="shared" si="31"/>
        <v>0</v>
      </c>
      <c r="S205" s="15">
        <v>-0.70799999999999996</v>
      </c>
      <c r="T205" s="15">
        <v>-0.84799999999999998</v>
      </c>
      <c r="U205" s="15">
        <v>-0.38200000000000001</v>
      </c>
      <c r="V205" s="15">
        <v>-0.77</v>
      </c>
      <c r="W205" s="15">
        <v>-0.79400000000000004</v>
      </c>
      <c r="X205" s="15">
        <v>-0.85699999999999998</v>
      </c>
      <c r="Y205" s="15">
        <v>-0.878</v>
      </c>
      <c r="Z205" s="15">
        <v>-0.90900000000000003</v>
      </c>
      <c r="AA205" s="15">
        <v>-0.47599999999999998</v>
      </c>
      <c r="AB205" s="15">
        <v>-0.48</v>
      </c>
      <c r="AC205" s="15">
        <v>-0.20799999999999999</v>
      </c>
      <c r="AD205" s="15">
        <v>-0.24399999999999999</v>
      </c>
      <c r="AE205" s="15">
        <v>-0.53600000000000003</v>
      </c>
      <c r="AF205" s="14">
        <v>-4.1000000000000002E-2</v>
      </c>
      <c r="AG205" s="15">
        <v>-0.2</v>
      </c>
      <c r="AH205" s="15">
        <v>-0.90400000000000003</v>
      </c>
      <c r="AI205" s="15">
        <v>-0.16900000000000001</v>
      </c>
      <c r="AJ205" s="15">
        <v>-8.7999999999999995E-2</v>
      </c>
      <c r="AK205" s="9">
        <v>1</v>
      </c>
      <c r="AL205" s="4">
        <v>-0.66500000000000004</v>
      </c>
      <c r="AM205" s="4">
        <v>-1</v>
      </c>
      <c r="AN205" s="4">
        <v>-0.28999999999999998</v>
      </c>
      <c r="AO205" s="4">
        <v>7.6999999999999999E-2</v>
      </c>
      <c r="AP205" s="4">
        <v>-0.59499999999999997</v>
      </c>
      <c r="AQ205" s="4">
        <v>-0.71099999999999997</v>
      </c>
      <c r="AR205" s="4">
        <v>0.99</v>
      </c>
      <c r="AS205" s="4">
        <v>-0.55500000000000005</v>
      </c>
      <c r="AT205" s="4">
        <v>-8.6999999999999994E-2</v>
      </c>
      <c r="AU205" s="4">
        <v>-0.22</v>
      </c>
      <c r="AV205" s="4">
        <v>-0.45400000000000001</v>
      </c>
      <c r="AW205" s="4">
        <v>0.69299999999999995</v>
      </c>
      <c r="AX205" s="4">
        <v>-0.76400000000000001</v>
      </c>
      <c r="AY205" s="4">
        <v>0.44900000000000001</v>
      </c>
      <c r="AZ205" s="4">
        <v>0.20799999999999999</v>
      </c>
      <c r="BA205" s="4">
        <v>0.32900000000000001</v>
      </c>
      <c r="BB205" s="4">
        <v>0.107</v>
      </c>
      <c r="BC205" s="4">
        <v>-0.63200000000000001</v>
      </c>
      <c r="BD205" s="4">
        <v>-0.61099999999999999</v>
      </c>
      <c r="BE205" s="4">
        <v>0.57299999999999995</v>
      </c>
      <c r="BF205" s="4">
        <v>-0.88300000000000001</v>
      </c>
      <c r="BG205" s="4">
        <v>-1</v>
      </c>
      <c r="BH205" s="4">
        <v>-0.27</v>
      </c>
      <c r="BI205" s="4">
        <v>0.28199999999999997</v>
      </c>
      <c r="BJ205" s="4">
        <v>8.7999999999999995E-2</v>
      </c>
      <c r="BK205" s="4">
        <v>-0.38300000000000001</v>
      </c>
      <c r="BL205" s="4">
        <v>0.91300000000000003</v>
      </c>
      <c r="BM205" s="4"/>
    </row>
    <row r="206" spans="1:65" hidden="1" x14ac:dyDescent="0.3">
      <c r="A206" s="19" t="s">
        <v>230</v>
      </c>
      <c r="B206" s="53">
        <f t="shared" si="25"/>
        <v>0</v>
      </c>
      <c r="C206" s="53">
        <f t="shared" si="26"/>
        <v>-1.2999999999999999E-2</v>
      </c>
      <c r="D206" s="53">
        <f t="shared" si="27"/>
        <v>0</v>
      </c>
      <c r="E206" s="53">
        <f t="shared" si="28"/>
        <v>1.2999999999999999E-2</v>
      </c>
      <c r="F206" s="15">
        <v>0.49299999999999999</v>
      </c>
      <c r="G206" s="19">
        <v>0.46</v>
      </c>
      <c r="H206" s="24" t="s">
        <v>71</v>
      </c>
      <c r="I206" t="str">
        <f>VLOOKUP(A206,Planilha6!$BL$9:$BN$222,2,0)</f>
        <v>basic_materials</v>
      </c>
      <c r="J206" t="str">
        <f>VLOOKUP(A206,Planilha6!$BL$9:$BN$222,3,0)</f>
        <v>very_high_beta</v>
      </c>
      <c r="K206" s="2">
        <v>0</v>
      </c>
      <c r="L206" s="2">
        <v>-1.2999999999999999E-2</v>
      </c>
      <c r="M206" s="15">
        <v>65</v>
      </c>
      <c r="N206" s="41">
        <f>VLOOKUP(A206,'Mandato Smll'!$A$2:$C$215,2,0)</f>
        <v>0</v>
      </c>
      <c r="O206" s="59">
        <f t="shared" si="29"/>
        <v>0</v>
      </c>
      <c r="P206" s="42">
        <f t="shared" si="30"/>
        <v>0</v>
      </c>
      <c r="Q206" s="41">
        <f>VLOOKUP(A206,'Mandato Smll'!$A$2:$C$215,3,0)</f>
        <v>0</v>
      </c>
      <c r="R206" s="59">
        <f t="shared" si="31"/>
        <v>0</v>
      </c>
      <c r="S206" s="15">
        <v>-1</v>
      </c>
      <c r="T206" s="15">
        <v>-0.98899999999999999</v>
      </c>
      <c r="U206" s="15">
        <v>-1</v>
      </c>
      <c r="V206" s="15">
        <v>-1</v>
      </c>
      <c r="W206" s="15">
        <v>-1</v>
      </c>
      <c r="X206" s="15">
        <v>-0.96899999999999997</v>
      </c>
      <c r="Y206" s="15">
        <v>-0.92800000000000005</v>
      </c>
      <c r="Z206" s="15">
        <v>-0.93600000000000005</v>
      </c>
      <c r="AA206" s="15">
        <v>-0.38600000000000001</v>
      </c>
      <c r="AB206" s="15">
        <v>-0.38800000000000001</v>
      </c>
      <c r="AC206" s="15">
        <v>7.9000000000000001E-2</v>
      </c>
      <c r="AD206" s="15">
        <v>0.25700000000000001</v>
      </c>
      <c r="AE206" s="15">
        <v>-0.128</v>
      </c>
      <c r="AF206" s="14">
        <v>-0.91100000000000003</v>
      </c>
      <c r="AG206" s="15">
        <v>-1</v>
      </c>
      <c r="AH206" s="15">
        <v>-0.997</v>
      </c>
      <c r="AI206" s="15">
        <v>-0.77800000000000002</v>
      </c>
      <c r="AJ206" s="15">
        <v>-1</v>
      </c>
      <c r="AK206" s="9">
        <v>-0.92200000000000004</v>
      </c>
      <c r="AL206" s="4">
        <v>-0.68799999999999994</v>
      </c>
      <c r="AM206" s="4">
        <v>-7.4999999999999997E-2</v>
      </c>
      <c r="AN206" s="4">
        <v>0.30499999999999999</v>
      </c>
      <c r="AO206" s="4">
        <v>-0.78700000000000003</v>
      </c>
      <c r="AP206" s="4">
        <v>-0.78700000000000003</v>
      </c>
      <c r="AQ206" s="4">
        <v>-1</v>
      </c>
      <c r="AR206" s="4">
        <v>-0.26600000000000001</v>
      </c>
      <c r="AS206" s="4">
        <v>-1</v>
      </c>
      <c r="AT206" s="4">
        <v>-0.57599999999999996</v>
      </c>
      <c r="AU206" s="4">
        <v>-0.22600000000000001</v>
      </c>
      <c r="AV206" s="4">
        <v>-0.40699999999999997</v>
      </c>
      <c r="AW206" s="4">
        <v>-0.69299999999999995</v>
      </c>
      <c r="AX206" s="4">
        <v>-0.40600000000000003</v>
      </c>
      <c r="AY206" s="4">
        <v>-0.68899999999999995</v>
      </c>
      <c r="AZ206" s="4">
        <v>0.755</v>
      </c>
      <c r="BA206" s="4">
        <v>-1</v>
      </c>
      <c r="BB206" s="4">
        <v>0.33500000000000002</v>
      </c>
      <c r="BC206" s="4">
        <v>0.123</v>
      </c>
      <c r="BD206" s="4">
        <v>-0.16600000000000001</v>
      </c>
      <c r="BE206" s="4">
        <v>5.2999999999999999E-2</v>
      </c>
      <c r="BF206" s="4">
        <v>-0.33500000000000002</v>
      </c>
      <c r="BG206" s="4">
        <v>-0.248</v>
      </c>
      <c r="BH206" s="4">
        <v>-0.05</v>
      </c>
      <c r="BI206" s="4">
        <v>0.45</v>
      </c>
      <c r="BJ206" s="4">
        <v>0.39300000000000002</v>
      </c>
      <c r="BK206" s="4">
        <v>-0.34899999999999998</v>
      </c>
      <c r="BL206" s="4">
        <v>0.11</v>
      </c>
      <c r="BM206" s="4"/>
    </row>
    <row r="207" spans="1:65" hidden="1" x14ac:dyDescent="0.3">
      <c r="A207" s="19" t="s">
        <v>249</v>
      </c>
      <c r="B207" s="53">
        <f t="shared" si="25"/>
        <v>0</v>
      </c>
      <c r="C207" s="53">
        <f t="shared" si="26"/>
        <v>0</v>
      </c>
      <c r="D207" s="53">
        <f t="shared" si="27"/>
        <v>0</v>
      </c>
      <c r="E207" s="53">
        <f t="shared" si="28"/>
        <v>0</v>
      </c>
      <c r="F207" s="15">
        <v>0.49</v>
      </c>
      <c r="G207" s="19">
        <v>0.33600000000000002</v>
      </c>
      <c r="H207" s="24" t="s">
        <v>71</v>
      </c>
      <c r="I207" t="str">
        <f>VLOOKUP(A207,Planilha6!$BL$9:$BN$222,2,0)</f>
        <v>basic_materials</v>
      </c>
      <c r="J207" t="str">
        <f>VLOOKUP(A207,Planilha6!$BL$9:$BN$222,3,0)</f>
        <v>very_high_beta</v>
      </c>
      <c r="K207" s="2">
        <v>0</v>
      </c>
      <c r="L207" s="2">
        <v>0</v>
      </c>
      <c r="M207" s="15">
        <v>84</v>
      </c>
      <c r="N207" s="41">
        <f>VLOOKUP(A207,'Mandato Smll'!$A$2:$C$215,2,0)</f>
        <v>0</v>
      </c>
      <c r="O207" s="59">
        <f t="shared" si="29"/>
        <v>0</v>
      </c>
      <c r="P207" s="42">
        <f t="shared" si="30"/>
        <v>0</v>
      </c>
      <c r="Q207" s="41">
        <f>VLOOKUP(A207,'Mandato Smll'!$A$2:$C$215,3,0)</f>
        <v>0</v>
      </c>
      <c r="R207" s="59">
        <f t="shared" si="31"/>
        <v>0</v>
      </c>
      <c r="S207" s="15">
        <v>-0.91600000000000004</v>
      </c>
      <c r="T207" s="15">
        <v>-0.92200000000000004</v>
      </c>
      <c r="U207" s="15">
        <v>-0.90800000000000003</v>
      </c>
      <c r="V207" s="15">
        <v>-0.93700000000000006</v>
      </c>
      <c r="W207" s="15">
        <v>-0.93799999999999994</v>
      </c>
      <c r="X207" s="15">
        <v>-0.94</v>
      </c>
      <c r="Y207" s="15">
        <v>-0.94399999999999995</v>
      </c>
      <c r="Z207" s="15">
        <v>-0.92100000000000004</v>
      </c>
      <c r="AA207" s="15">
        <v>-0.185</v>
      </c>
      <c r="AB207" s="15">
        <v>-0.19800000000000001</v>
      </c>
      <c r="AC207" s="15">
        <v>-0.51300000000000001</v>
      </c>
      <c r="AD207" s="15">
        <v>-1</v>
      </c>
      <c r="AE207" s="15">
        <v>-0.10100000000000001</v>
      </c>
      <c r="AF207" s="14">
        <v>-0.98799999999999999</v>
      </c>
      <c r="AG207" s="15">
        <v>-1</v>
      </c>
      <c r="AH207" s="15">
        <v>-0.753</v>
      </c>
      <c r="AI207" s="15">
        <v>-0.622</v>
      </c>
      <c r="AJ207" s="15">
        <v>0.151</v>
      </c>
      <c r="AK207" s="9">
        <v>-0.62</v>
      </c>
      <c r="AL207" s="4">
        <v>-0.54300000000000004</v>
      </c>
      <c r="AM207" s="4">
        <v>-0.30299999999999999</v>
      </c>
      <c r="AN207" s="4">
        <v>-0.34</v>
      </c>
      <c r="AO207" s="4">
        <v>-0.46700000000000003</v>
      </c>
      <c r="AP207" s="4">
        <v>0.64600000000000002</v>
      </c>
      <c r="AQ207" s="4">
        <v>-0.56499999999999995</v>
      </c>
      <c r="AR207" s="4">
        <v>-0.65500000000000003</v>
      </c>
      <c r="AS207" s="4">
        <v>-0.92100000000000004</v>
      </c>
      <c r="AT207" s="4">
        <v>-0.123</v>
      </c>
      <c r="AU207" s="4">
        <v>-0.64200000000000002</v>
      </c>
      <c r="AV207" s="4">
        <v>7.0999999999999994E-2</v>
      </c>
      <c r="AW207" s="4">
        <v>-0.376</v>
      </c>
      <c r="AX207" s="4">
        <v>-0.85699999999999998</v>
      </c>
      <c r="AY207" s="4">
        <v>-7.8E-2</v>
      </c>
      <c r="AZ207" s="4">
        <v>1E-3</v>
      </c>
      <c r="BA207" s="4">
        <v>-1</v>
      </c>
      <c r="BB207" s="4">
        <v>0.78600000000000003</v>
      </c>
      <c r="BC207" s="4">
        <v>0.314</v>
      </c>
      <c r="BD207" s="4">
        <v>0.65400000000000003</v>
      </c>
      <c r="BE207" s="4">
        <v>0.54700000000000004</v>
      </c>
      <c r="BF207" s="4">
        <v>-1</v>
      </c>
      <c r="BG207" s="4">
        <v>-0.48099999999999998</v>
      </c>
      <c r="BH207" s="4">
        <v>-1</v>
      </c>
      <c r="BI207" s="4">
        <v>0.3</v>
      </c>
      <c r="BJ207" s="4">
        <v>0.372</v>
      </c>
      <c r="BK207" s="4">
        <v>0.79200000000000004</v>
      </c>
      <c r="BL207" s="4">
        <v>0.70399999999999996</v>
      </c>
      <c r="BM207" s="4"/>
    </row>
    <row r="208" spans="1:65" hidden="1" x14ac:dyDescent="0.3">
      <c r="A208" s="19" t="s">
        <v>251</v>
      </c>
      <c r="B208" s="53">
        <f t="shared" si="25"/>
        <v>0</v>
      </c>
      <c r="C208" s="53">
        <f t="shared" si="26"/>
        <v>0</v>
      </c>
      <c r="D208" s="53">
        <f t="shared" si="27"/>
        <v>0</v>
      </c>
      <c r="E208" s="53">
        <f t="shared" si="28"/>
        <v>0</v>
      </c>
      <c r="F208" s="15">
        <v>0.48699999999999999</v>
      </c>
      <c r="G208" s="19">
        <v>0.33400000000000002</v>
      </c>
      <c r="H208" s="24" t="s">
        <v>55</v>
      </c>
      <c r="I208" t="str">
        <f>VLOOKUP(A208,Planilha6!$BL$9:$BN$222,2,0)</f>
        <v>utilities</v>
      </c>
      <c r="J208" t="str">
        <f>VLOOKUP(A208,Planilha6!$BL$9:$BN$222,3,0)</f>
        <v>neutral_beta</v>
      </c>
      <c r="K208" s="2">
        <v>0</v>
      </c>
      <c r="L208" s="2">
        <v>0</v>
      </c>
      <c r="M208" s="15">
        <v>84</v>
      </c>
      <c r="N208" s="41">
        <f>VLOOKUP(A208,'Mandato Smll'!$A$2:$C$215,2,0)</f>
        <v>0</v>
      </c>
      <c r="O208" s="59">
        <f t="shared" si="29"/>
        <v>0</v>
      </c>
      <c r="P208" s="42">
        <f t="shared" si="30"/>
        <v>0</v>
      </c>
      <c r="Q208" s="41">
        <f>VLOOKUP(A208,'Mandato Smll'!$A$2:$C$215,3,0)</f>
        <v>0</v>
      </c>
      <c r="R208" s="59">
        <f t="shared" si="31"/>
        <v>0</v>
      </c>
      <c r="S208" s="15">
        <v>-0.82199999999999995</v>
      </c>
      <c r="T208" s="15">
        <v>-0.91200000000000003</v>
      </c>
      <c r="U208" s="15">
        <v>-0.66700000000000004</v>
      </c>
      <c r="V208" s="15">
        <v>-0.88600000000000001</v>
      </c>
      <c r="W208" s="15">
        <v>-0.89100000000000001</v>
      </c>
      <c r="X208" s="15">
        <v>-0.92700000000000005</v>
      </c>
      <c r="Y208" s="15">
        <v>-0.94599999999999995</v>
      </c>
      <c r="Z208" s="15">
        <v>-0.95099999999999996</v>
      </c>
      <c r="AA208" s="15">
        <v>-0.23200000000000001</v>
      </c>
      <c r="AB208" s="15">
        <v>-0.23400000000000001</v>
      </c>
      <c r="AC208" s="15">
        <v>-0.40200000000000002</v>
      </c>
      <c r="AD208" s="15">
        <v>-0.67</v>
      </c>
      <c r="AE208" s="15">
        <v>-0.50800000000000001</v>
      </c>
      <c r="AF208" s="14">
        <v>-0.55000000000000004</v>
      </c>
      <c r="AG208" s="15">
        <v>-0.14499999999999999</v>
      </c>
      <c r="AH208" s="15">
        <v>-0.377</v>
      </c>
      <c r="AI208" s="15">
        <v>1</v>
      </c>
      <c r="AJ208" s="15">
        <v>-0.33</v>
      </c>
      <c r="AK208" s="9">
        <v>-0.51600000000000001</v>
      </c>
      <c r="AL208" s="4">
        <v>0.63500000000000001</v>
      </c>
      <c r="AM208" s="4">
        <v>-1</v>
      </c>
      <c r="AN208" s="4">
        <v>0.84</v>
      </c>
      <c r="AO208" s="4">
        <v>-0.26200000000000001</v>
      </c>
      <c r="AP208" s="4">
        <v>-0.54100000000000004</v>
      </c>
      <c r="AQ208" s="4">
        <v>-0.68300000000000005</v>
      </c>
      <c r="AR208" s="4">
        <v>-0.36499999999999999</v>
      </c>
      <c r="AS208" s="4">
        <v>-0.70899999999999996</v>
      </c>
      <c r="AT208" s="4">
        <v>-0.36199999999999999</v>
      </c>
      <c r="AU208" s="4">
        <v>-0.105</v>
      </c>
      <c r="AV208" s="4">
        <v>-0.32200000000000001</v>
      </c>
      <c r="AW208" s="4">
        <v>-0.69299999999999995</v>
      </c>
      <c r="AX208" s="4">
        <v>-0.63800000000000001</v>
      </c>
      <c r="AY208" s="4">
        <v>-0.38300000000000001</v>
      </c>
      <c r="AZ208" s="4">
        <v>0.69199999999999995</v>
      </c>
      <c r="BA208" s="4">
        <v>8.2000000000000003E-2</v>
      </c>
      <c r="BB208" s="4">
        <v>0.78100000000000003</v>
      </c>
      <c r="BC208" s="4">
        <v>-0.32800000000000001</v>
      </c>
      <c r="BD208" s="4">
        <v>-0.32900000000000001</v>
      </c>
      <c r="BE208" s="4">
        <v>-0.26900000000000002</v>
      </c>
      <c r="BF208" s="4">
        <v>0.44400000000000001</v>
      </c>
      <c r="BG208" s="4">
        <v>-0.30099999999999999</v>
      </c>
      <c r="BH208" s="4">
        <v>-0.78</v>
      </c>
      <c r="BI208" s="4">
        <v>0.91700000000000004</v>
      </c>
      <c r="BJ208" s="4">
        <v>7.3999999999999996E-2</v>
      </c>
      <c r="BK208" s="4">
        <v>-0.13900000000000001</v>
      </c>
      <c r="BL208" s="4">
        <v>1</v>
      </c>
      <c r="BM208" s="4"/>
    </row>
    <row r="209" spans="1:65" hidden="1" x14ac:dyDescent="0.3">
      <c r="A209" s="19" t="s">
        <v>243</v>
      </c>
      <c r="B209" s="53">
        <f t="shared" si="25"/>
        <v>0</v>
      </c>
      <c r="C209" s="53">
        <f t="shared" si="26"/>
        <v>-0.01</v>
      </c>
      <c r="D209" s="53">
        <f t="shared" si="27"/>
        <v>0</v>
      </c>
      <c r="E209" s="53">
        <f t="shared" si="28"/>
        <v>0.01</v>
      </c>
      <c r="F209" s="15">
        <v>0.48499999999999999</v>
      </c>
      <c r="G209" s="19">
        <v>0.35799999999999998</v>
      </c>
      <c r="H209" s="24" t="s">
        <v>53</v>
      </c>
      <c r="I209" t="str">
        <f>VLOOKUP(A209,Planilha6!$BL$9:$BN$222,2,0)</f>
        <v>healthcare</v>
      </c>
      <c r="J209" t="str">
        <f>VLOOKUP(A209,Planilha6!$BL$9:$BN$222,3,0)</f>
        <v>very_high_beta</v>
      </c>
      <c r="K209" s="2">
        <v>0</v>
      </c>
      <c r="L209" s="2">
        <v>-0.01</v>
      </c>
      <c r="M209" s="15">
        <v>71</v>
      </c>
      <c r="N209" s="41">
        <f>VLOOKUP(A209,'Mandato Smll'!$A$2:$C$215,2,0)</f>
        <v>0</v>
      </c>
      <c r="O209" s="59">
        <f t="shared" si="29"/>
        <v>0</v>
      </c>
      <c r="P209" s="42">
        <f t="shared" si="30"/>
        <v>0</v>
      </c>
      <c r="Q209" s="41">
        <f>VLOOKUP(A209,'Mandato Smll'!$A$2:$C$215,3,0)</f>
        <v>0</v>
      </c>
      <c r="R209" s="59">
        <f t="shared" si="31"/>
        <v>0</v>
      </c>
      <c r="S209" s="15">
        <v>-0.71899999999999997</v>
      </c>
      <c r="T209" s="15">
        <v>-0.91400000000000003</v>
      </c>
      <c r="U209" s="15">
        <v>-0.72399999999999998</v>
      </c>
      <c r="V209" s="15">
        <v>-0.67100000000000004</v>
      </c>
      <c r="W209" s="15">
        <v>-0.83799999999999997</v>
      </c>
      <c r="X209" s="15">
        <v>-0.89300000000000002</v>
      </c>
      <c r="Y209" s="15">
        <v>-0.92700000000000005</v>
      </c>
      <c r="Z209" s="15">
        <v>-0.94799999999999995</v>
      </c>
      <c r="AA209" s="15">
        <v>-0.23400000000000001</v>
      </c>
      <c r="AB209" s="15">
        <v>-0.23899999999999999</v>
      </c>
      <c r="AC209" s="15">
        <v>-1</v>
      </c>
      <c r="AD209" s="15">
        <v>-1</v>
      </c>
      <c r="AE209" s="15">
        <v>-0.6</v>
      </c>
      <c r="AF209" s="14">
        <v>0.217</v>
      </c>
      <c r="AG209" s="15">
        <v>1</v>
      </c>
      <c r="AH209" s="15">
        <v>-0.57599999999999996</v>
      </c>
      <c r="AI209" s="15">
        <v>-1.0999999999999999E-2</v>
      </c>
      <c r="AJ209" s="15">
        <v>-0.91400000000000003</v>
      </c>
      <c r="AK209" s="9">
        <v>-0.57699999999999996</v>
      </c>
      <c r="AL209" s="4">
        <v>0.51400000000000001</v>
      </c>
      <c r="AM209" s="4">
        <v>-1</v>
      </c>
      <c r="AN209" s="4">
        <v>0.91</v>
      </c>
      <c r="AO209" s="4">
        <v>0.17599999999999999</v>
      </c>
      <c r="AP209" s="4">
        <v>-1</v>
      </c>
      <c r="AQ209" s="4">
        <v>-0.72399999999999998</v>
      </c>
      <c r="AR209" s="4">
        <v>0.35499999999999998</v>
      </c>
      <c r="AS209" s="4">
        <v>0.63400000000000001</v>
      </c>
      <c r="AT209" s="4">
        <v>0.67400000000000004</v>
      </c>
      <c r="AU209" s="4">
        <v>-0.121</v>
      </c>
      <c r="AV209" s="4">
        <v>-0.51300000000000001</v>
      </c>
      <c r="AW209" s="4">
        <v>-2.5999999999999999E-2</v>
      </c>
      <c r="AX209" s="4">
        <v>-0.751</v>
      </c>
      <c r="AY209" s="4">
        <v>-0.36299999999999999</v>
      </c>
      <c r="AZ209" s="4">
        <v>0.58299999999999996</v>
      </c>
      <c r="BA209" s="4">
        <v>-0.02</v>
      </c>
      <c r="BB209" s="4">
        <v>-0.84899999999999998</v>
      </c>
      <c r="BC209" s="4">
        <v>0.24399999999999999</v>
      </c>
      <c r="BD209" s="4">
        <v>-9.0999999999999998E-2</v>
      </c>
      <c r="BE209" s="4">
        <v>-2E-3</v>
      </c>
      <c r="BF209" s="4">
        <v>-1</v>
      </c>
      <c r="BG209" s="4">
        <v>-0.72299999999999998</v>
      </c>
      <c r="BH209" s="4">
        <v>-0.93500000000000005</v>
      </c>
      <c r="BI209" s="4">
        <v>0.95099999999999996</v>
      </c>
      <c r="BJ209" s="4">
        <v>0.44600000000000001</v>
      </c>
      <c r="BK209" s="4">
        <v>-0.96499999999999997</v>
      </c>
      <c r="BL209" s="4">
        <v>-3.0000000000000001E-3</v>
      </c>
      <c r="BM209" s="4"/>
    </row>
    <row r="210" spans="1:65" hidden="1" x14ac:dyDescent="0.3">
      <c r="A210" s="19" t="s">
        <v>256</v>
      </c>
      <c r="B210" s="53">
        <f t="shared" si="25"/>
        <v>0</v>
      </c>
      <c r="C210" s="53">
        <f t="shared" si="26"/>
        <v>0</v>
      </c>
      <c r="D210" s="53">
        <f t="shared" si="27"/>
        <v>0</v>
      </c>
      <c r="E210" s="53">
        <f t="shared" si="28"/>
        <v>0</v>
      </c>
      <c r="F210" s="15">
        <v>0.48099999999999998</v>
      </c>
      <c r="G210" s="19">
        <v>0.35199999999999998</v>
      </c>
      <c r="H210" s="24" t="s">
        <v>68</v>
      </c>
      <c r="I210" t="str">
        <f>VLOOKUP(A210,Planilha6!$BL$9:$BN$222,2,0)</f>
        <v>building_materials</v>
      </c>
      <c r="J210" t="str">
        <f>VLOOKUP(A210,Planilha6!$BL$9:$BN$222,3,0)</f>
        <v>very_low_beta</v>
      </c>
      <c r="K210" s="2">
        <v>0</v>
      </c>
      <c r="L210" s="2">
        <v>0</v>
      </c>
      <c r="M210" s="15">
        <v>84</v>
      </c>
      <c r="N210" s="41">
        <f>VLOOKUP(A210,'Mandato Smll'!$A$2:$C$215,2,0)</f>
        <v>0</v>
      </c>
      <c r="O210" s="59">
        <f t="shared" si="29"/>
        <v>0</v>
      </c>
      <c r="P210" s="42">
        <f t="shared" si="30"/>
        <v>0</v>
      </c>
      <c r="Q210" s="41">
        <f>VLOOKUP(A210,'Mandato Smll'!$A$2:$C$215,3,0)</f>
        <v>0</v>
      </c>
      <c r="R210" s="59">
        <f t="shared" si="31"/>
        <v>0</v>
      </c>
      <c r="S210" s="15">
        <v>-0.94799999999999995</v>
      </c>
      <c r="T210" s="15">
        <v>-0.95399999999999996</v>
      </c>
      <c r="U210" s="15">
        <v>-0.81499999999999995</v>
      </c>
      <c r="V210" s="15">
        <v>-0.97299999999999998</v>
      </c>
      <c r="W210" s="15">
        <v>-0.95199999999999996</v>
      </c>
      <c r="X210" s="15">
        <v>-0.97899999999999998</v>
      </c>
      <c r="Y210" s="15">
        <v>-0.96599999999999997</v>
      </c>
      <c r="Z210" s="15">
        <v>-0.97</v>
      </c>
      <c r="AA210" s="15">
        <v>-0.64700000000000002</v>
      </c>
      <c r="AB210" s="15">
        <v>-0.64500000000000002</v>
      </c>
      <c r="AC210" s="15">
        <v>-0.219</v>
      </c>
      <c r="AD210" s="15">
        <v>-0.38100000000000001</v>
      </c>
      <c r="AE210" s="15">
        <v>-0.504</v>
      </c>
      <c r="AF210" s="14">
        <v>-0.93400000000000005</v>
      </c>
      <c r="AG210" s="15">
        <v>-0.93200000000000005</v>
      </c>
      <c r="AH210" s="15">
        <v>-0.80200000000000005</v>
      </c>
      <c r="AI210" s="15">
        <v>0.42199999999999999</v>
      </c>
      <c r="AJ210" s="15">
        <v>-0.109</v>
      </c>
      <c r="AK210" s="9">
        <v>-0.51600000000000001</v>
      </c>
      <c r="AL210" s="4">
        <v>0.221</v>
      </c>
      <c r="AM210" s="4">
        <v>-1</v>
      </c>
      <c r="AN210" s="4">
        <v>-0.47599999999999998</v>
      </c>
      <c r="AO210" s="4">
        <v>-0.27300000000000002</v>
      </c>
      <c r="AP210" s="4">
        <v>-0.82099999999999995</v>
      </c>
      <c r="AQ210" s="4">
        <v>-0.436</v>
      </c>
      <c r="AR210" s="4">
        <v>-0.502</v>
      </c>
      <c r="AS210" s="4">
        <v>-0.69299999999999995</v>
      </c>
      <c r="AT210" s="4">
        <v>-0.48499999999999999</v>
      </c>
      <c r="AU210" s="4">
        <v>-0.252</v>
      </c>
      <c r="AV210" s="4">
        <v>-0.46899999999999997</v>
      </c>
      <c r="AW210" s="4">
        <v>-0.53900000000000003</v>
      </c>
      <c r="AX210" s="4">
        <v>-0.22</v>
      </c>
      <c r="AY210" s="4">
        <v>-0.68899999999999995</v>
      </c>
      <c r="AZ210" s="4">
        <v>-0.107</v>
      </c>
      <c r="BA210" s="4">
        <v>1.7000000000000001E-2</v>
      </c>
      <c r="BB210" s="4">
        <v>4.2999999999999997E-2</v>
      </c>
      <c r="BC210" s="4">
        <v>0.65200000000000002</v>
      </c>
      <c r="BD210" s="4">
        <v>0.26300000000000001</v>
      </c>
      <c r="BE210" s="4">
        <v>-0.16</v>
      </c>
      <c r="BF210" s="4">
        <v>1</v>
      </c>
      <c r="BG210" s="4">
        <v>-0.433</v>
      </c>
      <c r="BH210" s="4">
        <v>-0.48299999999999998</v>
      </c>
      <c r="BI210" s="4">
        <v>0.26500000000000001</v>
      </c>
      <c r="BJ210" s="4">
        <v>-1.9E-2</v>
      </c>
      <c r="BK210" s="4">
        <v>0.90600000000000003</v>
      </c>
      <c r="BL210" s="4">
        <v>0.67</v>
      </c>
      <c r="BM210" s="4"/>
    </row>
    <row r="211" spans="1:65" hidden="1" x14ac:dyDescent="0.3">
      <c r="A211" s="19" t="s">
        <v>258</v>
      </c>
      <c r="B211" s="53">
        <f t="shared" si="25"/>
        <v>0</v>
      </c>
      <c r="C211" s="53">
        <f t="shared" si="26"/>
        <v>-1E-3</v>
      </c>
      <c r="D211" s="53">
        <f t="shared" si="27"/>
        <v>0</v>
      </c>
      <c r="E211" s="53">
        <f t="shared" si="28"/>
        <v>1E-3</v>
      </c>
      <c r="F211" s="15">
        <v>0.48</v>
      </c>
      <c r="G211" s="19">
        <v>0.34899999999999998</v>
      </c>
      <c r="H211" s="24" t="s">
        <v>57</v>
      </c>
      <c r="I211" t="str">
        <f>VLOOKUP(A211,Planilha6!$BL$9:$BN$222,2,0)</f>
        <v>consumer_durables</v>
      </c>
      <c r="J211" t="str">
        <f>VLOOKUP(A211,Planilha6!$BL$9:$BN$222,3,0)</f>
        <v>very_high_beta</v>
      </c>
      <c r="K211" s="2">
        <v>0</v>
      </c>
      <c r="L211" s="2">
        <v>-1E-3</v>
      </c>
      <c r="M211" s="15">
        <v>84</v>
      </c>
      <c r="N211" s="41">
        <f>VLOOKUP(A211,'Mandato Smll'!$A$2:$C$215,2,0)</f>
        <v>0</v>
      </c>
      <c r="O211" s="59">
        <f t="shared" si="29"/>
        <v>0</v>
      </c>
      <c r="P211" s="42">
        <f t="shared" si="30"/>
        <v>0</v>
      </c>
      <c r="Q211" s="41">
        <f>VLOOKUP(A211,'Mandato Smll'!$A$2:$C$215,3,0)</f>
        <v>0</v>
      </c>
      <c r="R211" s="59">
        <f t="shared" si="31"/>
        <v>0</v>
      </c>
      <c r="S211" s="15">
        <v>-0.93799999999999994</v>
      </c>
      <c r="T211" s="15">
        <v>-0.93600000000000005</v>
      </c>
      <c r="U211" s="15">
        <v>-0.89500000000000002</v>
      </c>
      <c r="V211" s="15">
        <v>-0.96899999999999997</v>
      </c>
      <c r="W211" s="15">
        <v>-0.95399999999999996</v>
      </c>
      <c r="X211" s="15">
        <v>-0.95599999999999996</v>
      </c>
      <c r="Y211" s="15">
        <v>-0.94</v>
      </c>
      <c r="Z211" s="15">
        <v>-0.95099999999999996</v>
      </c>
      <c r="AA211" s="15">
        <v>-0.59</v>
      </c>
      <c r="AB211" s="15">
        <v>-0.59199999999999997</v>
      </c>
      <c r="AC211" s="15">
        <v>-0.48499999999999999</v>
      </c>
      <c r="AD211" s="15">
        <v>-0.41699999999999998</v>
      </c>
      <c r="AE211" s="15">
        <v>-0.55800000000000005</v>
      </c>
      <c r="AF211" s="14">
        <v>-0.85599999999999998</v>
      </c>
      <c r="AG211" s="15">
        <v>-0.90500000000000003</v>
      </c>
      <c r="AH211" s="15">
        <v>-0.86299999999999999</v>
      </c>
      <c r="AI211" s="15">
        <v>0.30599999999999999</v>
      </c>
      <c r="AJ211" s="15">
        <v>-0.184</v>
      </c>
      <c r="AK211" s="9">
        <v>-0.51200000000000001</v>
      </c>
      <c r="AL211" s="4">
        <v>7.4999999999999997E-2</v>
      </c>
      <c r="AM211" s="4">
        <v>-0.68500000000000005</v>
      </c>
      <c r="AN211" s="4">
        <v>-0.28899999999999998</v>
      </c>
      <c r="AO211" s="4">
        <v>-0.61399999999999999</v>
      </c>
      <c r="AP211" s="4">
        <v>-0.60799999999999998</v>
      </c>
      <c r="AQ211" s="4">
        <v>-0.66900000000000004</v>
      </c>
      <c r="AR211" s="4">
        <v>-0.48899999999999999</v>
      </c>
      <c r="AS211" s="4">
        <v>-1</v>
      </c>
      <c r="AT211" s="4">
        <v>-0.48499999999999999</v>
      </c>
      <c r="AU211" s="4">
        <v>-0.14000000000000001</v>
      </c>
      <c r="AV211" s="4">
        <v>-0.378</v>
      </c>
      <c r="AW211" s="4">
        <v>-0.52900000000000003</v>
      </c>
      <c r="AX211" s="4">
        <v>-0.69399999999999995</v>
      </c>
      <c r="AY211" s="4">
        <v>0.24199999999999999</v>
      </c>
      <c r="AZ211" s="4">
        <v>0.34799999999999998</v>
      </c>
      <c r="BA211" s="4">
        <v>-0.14099999999999999</v>
      </c>
      <c r="BB211" s="4">
        <v>-9.6000000000000002E-2</v>
      </c>
      <c r="BC211" s="4">
        <v>0.54500000000000004</v>
      </c>
      <c r="BD211" s="4">
        <v>0.39</v>
      </c>
      <c r="BE211" s="4">
        <v>-3.9E-2</v>
      </c>
      <c r="BF211" s="4">
        <v>-0.47199999999999998</v>
      </c>
      <c r="BG211" s="4">
        <v>-1</v>
      </c>
      <c r="BH211" s="4">
        <v>-0.157</v>
      </c>
      <c r="BI211" s="4">
        <v>0.53400000000000003</v>
      </c>
      <c r="BJ211" s="4">
        <v>0.69699999999999995</v>
      </c>
      <c r="BK211" s="4">
        <v>-0.20100000000000001</v>
      </c>
      <c r="BL211" s="4">
        <v>0.96299999999999997</v>
      </c>
      <c r="BM211" s="4"/>
    </row>
    <row r="212" spans="1:65" hidden="1" x14ac:dyDescent="0.3">
      <c r="A212" s="19" t="s">
        <v>265</v>
      </c>
      <c r="B212" s="53">
        <f t="shared" si="25"/>
        <v>0</v>
      </c>
      <c r="C212" s="53">
        <f t="shared" si="26"/>
        <v>0</v>
      </c>
      <c r="D212" s="53">
        <f t="shared" si="27"/>
        <v>0</v>
      </c>
      <c r="E212" s="53">
        <f t="shared" si="28"/>
        <v>0</v>
      </c>
      <c r="F212" s="15">
        <v>0.47499999999999998</v>
      </c>
      <c r="G212" s="19">
        <v>0.32500000000000001</v>
      </c>
      <c r="H212" s="24" t="s">
        <v>68</v>
      </c>
      <c r="I212" t="str">
        <f>VLOOKUP(A212,Planilha6!$BL$9:$BN$222,2,0)</f>
        <v>capital_goods</v>
      </c>
      <c r="J212" t="str">
        <f>VLOOKUP(A212,Planilha6!$BL$9:$BN$222,3,0)</f>
        <v>very_low_beta</v>
      </c>
      <c r="K212" s="2">
        <v>0</v>
      </c>
      <c r="L212" s="2">
        <v>0</v>
      </c>
      <c r="M212" s="15">
        <v>84</v>
      </c>
      <c r="N212" s="41">
        <f>VLOOKUP(A212,'Mandato Smll'!$A$2:$C$215,2,0)</f>
        <v>0</v>
      </c>
      <c r="O212" s="59">
        <f t="shared" si="29"/>
        <v>0</v>
      </c>
      <c r="P212" s="42">
        <f t="shared" si="30"/>
        <v>0</v>
      </c>
      <c r="Q212" s="41">
        <f>VLOOKUP(A212,'Mandato Smll'!$A$2:$C$215,3,0)</f>
        <v>0</v>
      </c>
      <c r="R212" s="59">
        <f t="shared" si="31"/>
        <v>0</v>
      </c>
      <c r="S212" s="15">
        <v>-0.92300000000000004</v>
      </c>
      <c r="T212" s="15">
        <v>-0.94199999999999995</v>
      </c>
      <c r="U212" s="15">
        <v>-0.82499999999999996</v>
      </c>
      <c r="V212" s="15">
        <v>-0.98199999999999998</v>
      </c>
      <c r="W212" s="15">
        <v>-0.95599999999999996</v>
      </c>
      <c r="X212" s="15">
        <v>-0.94899999999999995</v>
      </c>
      <c r="Y212" s="15">
        <v>-0.93</v>
      </c>
      <c r="Z212" s="15">
        <v>-0.97899999999999998</v>
      </c>
      <c r="AA212" s="15">
        <v>-0.97699999999999998</v>
      </c>
      <c r="AB212" s="15">
        <v>-0.98099999999999998</v>
      </c>
      <c r="AC212" s="15">
        <v>-1</v>
      </c>
      <c r="AD212" s="15">
        <v>-0.81</v>
      </c>
      <c r="AE212" s="15">
        <v>-0.46500000000000002</v>
      </c>
      <c r="AF212" s="14">
        <v>-1</v>
      </c>
      <c r="AG212" s="15">
        <v>-1</v>
      </c>
      <c r="AH212" s="15">
        <v>-0.91900000000000004</v>
      </c>
      <c r="AI212" s="15">
        <v>-0.54700000000000004</v>
      </c>
      <c r="AJ212" s="15">
        <v>1</v>
      </c>
      <c r="AK212" s="9">
        <v>-0.51600000000000001</v>
      </c>
      <c r="AL212" s="4">
        <v>-0.81299999999999994</v>
      </c>
      <c r="AM212" s="4">
        <v>-1</v>
      </c>
      <c r="AN212" s="4">
        <v>-0.91300000000000003</v>
      </c>
      <c r="AO212" s="4">
        <v>-0.26700000000000002</v>
      </c>
      <c r="AP212" s="4">
        <v>0.40600000000000003</v>
      </c>
      <c r="AQ212" s="4">
        <v>-0.85499999999999998</v>
      </c>
      <c r="AR212" s="4">
        <v>-0.224</v>
      </c>
      <c r="AS212" s="4">
        <v>0.28399999999999997</v>
      </c>
      <c r="AT212" s="4">
        <v>0.33800000000000002</v>
      </c>
      <c r="AU212" s="4">
        <v>-1</v>
      </c>
      <c r="AV212" s="4">
        <v>-0.95599999999999996</v>
      </c>
      <c r="AW212" s="4">
        <v>-1</v>
      </c>
      <c r="AX212" s="4">
        <v>-0.46800000000000003</v>
      </c>
      <c r="AY212" s="4">
        <v>-0.67100000000000004</v>
      </c>
      <c r="AZ212" s="4">
        <v>-1</v>
      </c>
      <c r="BA212" s="4">
        <v>-1</v>
      </c>
      <c r="BB212" s="4">
        <v>0.95199999999999996</v>
      </c>
      <c r="BC212" s="4">
        <v>0.98699999999999999</v>
      </c>
      <c r="BD212" s="4">
        <v>0.54900000000000004</v>
      </c>
      <c r="BE212" s="4">
        <v>8.8999999999999996E-2</v>
      </c>
      <c r="BF212" s="4">
        <v>0.99099999999999999</v>
      </c>
      <c r="BG212" s="4">
        <v>-0.246</v>
      </c>
      <c r="BH212" s="4">
        <v>0.71599999999999997</v>
      </c>
      <c r="BI212" s="4">
        <v>1</v>
      </c>
      <c r="BJ212" s="4">
        <v>-0.39700000000000002</v>
      </c>
      <c r="BK212" s="4">
        <v>0.433</v>
      </c>
      <c r="BL212" s="4">
        <v>1</v>
      </c>
      <c r="BM212" s="4"/>
    </row>
    <row r="213" spans="1:65" hidden="1" x14ac:dyDescent="0.3">
      <c r="A213" s="19" t="s">
        <v>261</v>
      </c>
      <c r="B213" s="53">
        <f t="shared" si="25"/>
        <v>0</v>
      </c>
      <c r="C213" s="53">
        <f t="shared" si="26"/>
        <v>-7.0000000000000001E-3</v>
      </c>
      <c r="D213" s="53">
        <f t="shared" si="27"/>
        <v>0</v>
      </c>
      <c r="E213" s="53">
        <f t="shared" si="28"/>
        <v>7.0000000000000001E-3</v>
      </c>
      <c r="F213" s="15">
        <v>0.47499999999999998</v>
      </c>
      <c r="G213" s="19">
        <v>0.34399999999999997</v>
      </c>
      <c r="H213" s="24" t="s">
        <v>68</v>
      </c>
      <c r="I213" t="str">
        <f>VLOOKUP(A213,Planilha6!$BL$9:$BN$222,2,0)</f>
        <v>chemicals</v>
      </c>
      <c r="J213" t="str">
        <f>VLOOKUP(A213,Planilha6!$BL$9:$BN$222,3,0)</f>
        <v>very_low_beta</v>
      </c>
      <c r="K213" s="2">
        <v>0</v>
      </c>
      <c r="L213" s="2">
        <v>-7.0000000000000001E-3</v>
      </c>
      <c r="M213" s="15">
        <v>79</v>
      </c>
      <c r="N213" s="41">
        <f>VLOOKUP(A213,'Mandato Smll'!$A$2:$C$215,2,0)</f>
        <v>0</v>
      </c>
      <c r="O213" s="59">
        <f t="shared" si="29"/>
        <v>0</v>
      </c>
      <c r="P213" s="42">
        <f t="shared" si="30"/>
        <v>0</v>
      </c>
      <c r="Q213" s="41">
        <f>VLOOKUP(A213,'Mandato Smll'!$A$2:$C$215,3,0)</f>
        <v>0</v>
      </c>
      <c r="R213" s="59">
        <f t="shared" si="31"/>
        <v>0</v>
      </c>
      <c r="S213" s="15">
        <v>-1</v>
      </c>
      <c r="T213" s="15">
        <v>-0.96499999999999997</v>
      </c>
      <c r="U213" s="15">
        <v>-0.99399999999999999</v>
      </c>
      <c r="V213" s="15">
        <v>-1</v>
      </c>
      <c r="W213" s="15">
        <v>-0.99099999999999999</v>
      </c>
      <c r="X213" s="15">
        <v>-1</v>
      </c>
      <c r="Y213" s="15">
        <v>-0.997</v>
      </c>
      <c r="Z213" s="15">
        <v>-0.98399999999999999</v>
      </c>
      <c r="AA213" s="15">
        <v>-0.7</v>
      </c>
      <c r="AB213" s="15">
        <v>-0.70299999999999996</v>
      </c>
      <c r="AC213" s="15">
        <v>-0.57699999999999996</v>
      </c>
      <c r="AD213" s="15">
        <v>-0.376</v>
      </c>
      <c r="AE213" s="15">
        <v>-0.59399999999999997</v>
      </c>
      <c r="AF213" s="14">
        <v>-1</v>
      </c>
      <c r="AG213" s="15">
        <v>-1</v>
      </c>
      <c r="AH213" s="15">
        <v>-0.91500000000000004</v>
      </c>
      <c r="AI213" s="15">
        <v>-0.94199999999999995</v>
      </c>
      <c r="AJ213" s="15">
        <v>-1.6E-2</v>
      </c>
      <c r="AK213" s="9">
        <v>-0.88500000000000001</v>
      </c>
      <c r="AL213" s="4">
        <v>-0.78200000000000003</v>
      </c>
      <c r="AM213" s="4">
        <v>-1</v>
      </c>
      <c r="AN213" s="4">
        <v>-0.48199999999999998</v>
      </c>
      <c r="AO213" s="4">
        <v>-0.86699999999999999</v>
      </c>
      <c r="AP213" s="4">
        <v>0.35899999999999999</v>
      </c>
      <c r="AQ213" s="4">
        <v>0.48699999999999999</v>
      </c>
      <c r="AR213" s="4">
        <v>-0.94199999999999995</v>
      </c>
      <c r="AS213" s="4">
        <v>-1.2999999999999999E-2</v>
      </c>
      <c r="AT213" s="4">
        <v>-0.20499999999999999</v>
      </c>
      <c r="AU213" s="4">
        <v>-0.83399999999999996</v>
      </c>
      <c r="AV213" s="4">
        <v>-0.755</v>
      </c>
      <c r="AW213" s="4">
        <v>-0.84599999999999997</v>
      </c>
      <c r="AX213" s="4">
        <v>-0.45</v>
      </c>
      <c r="AY213" s="4">
        <v>-0.372</v>
      </c>
      <c r="AZ213" s="4">
        <v>0.126</v>
      </c>
      <c r="BA213" s="4">
        <v>-0.249</v>
      </c>
      <c r="BB213" s="4">
        <v>-2E-3</v>
      </c>
      <c r="BC213" s="4">
        <v>0.76</v>
      </c>
      <c r="BD213" s="4">
        <v>0.193</v>
      </c>
      <c r="BE213" s="4">
        <v>4.8000000000000001E-2</v>
      </c>
      <c r="BF213" s="4">
        <v>1</v>
      </c>
      <c r="BG213" s="4">
        <v>0.82299999999999995</v>
      </c>
      <c r="BH213" s="4">
        <v>-0.17599999999999999</v>
      </c>
      <c r="BI213" s="4">
        <v>0.45200000000000001</v>
      </c>
      <c r="BJ213" s="4">
        <v>-0.28000000000000003</v>
      </c>
      <c r="BK213" s="4">
        <v>-2.8000000000000001E-2</v>
      </c>
      <c r="BL213" s="4">
        <v>-0.109</v>
      </c>
      <c r="BM213" s="4"/>
    </row>
    <row r="214" spans="1:65" hidden="1" x14ac:dyDescent="0.3">
      <c r="A214" s="19" t="s">
        <v>255</v>
      </c>
      <c r="B214" s="53">
        <f t="shared" si="25"/>
        <v>0</v>
      </c>
      <c r="C214" s="53">
        <f t="shared" si="26"/>
        <v>0</v>
      </c>
      <c r="D214" s="53">
        <f t="shared" si="27"/>
        <v>0</v>
      </c>
      <c r="E214" s="53">
        <f t="shared" si="28"/>
        <v>0</v>
      </c>
      <c r="F214" s="15">
        <v>0.47299999999999998</v>
      </c>
      <c r="G214" s="19">
        <v>0.36399999999999999</v>
      </c>
      <c r="H214" s="24" t="s">
        <v>57</v>
      </c>
      <c r="I214" t="str">
        <f>VLOOKUP(A214,Planilha6!$BL$9:$BN$222,2,0)</f>
        <v>education</v>
      </c>
      <c r="J214" t="str">
        <f>VLOOKUP(A214,Planilha6!$BL$9:$BN$222,3,0)</f>
        <v>low_beta</v>
      </c>
      <c r="K214" s="2">
        <v>0</v>
      </c>
      <c r="L214" s="2">
        <v>0</v>
      </c>
      <c r="M214" s="15">
        <v>84</v>
      </c>
      <c r="N214" s="41">
        <f>VLOOKUP(A214,'Mandato Smll'!$A$2:$C$215,2,0)</f>
        <v>0</v>
      </c>
      <c r="O214" s="59">
        <f t="shared" si="29"/>
        <v>0</v>
      </c>
      <c r="P214" s="42">
        <f t="shared" si="30"/>
        <v>0</v>
      </c>
      <c r="Q214" s="41">
        <f>VLOOKUP(A214,'Mandato Smll'!$A$2:$C$215,3,0)</f>
        <v>0</v>
      </c>
      <c r="R214" s="59">
        <f t="shared" si="31"/>
        <v>0</v>
      </c>
      <c r="S214" s="15">
        <v>-0.97699999999999998</v>
      </c>
      <c r="T214" s="15">
        <v>-0.95699999999999996</v>
      </c>
      <c r="U214" s="15">
        <v>-0.95399999999999996</v>
      </c>
      <c r="V214" s="15">
        <v>-0.98399999999999999</v>
      </c>
      <c r="W214" s="15">
        <v>-0.97</v>
      </c>
      <c r="X214" s="15">
        <v>-0.94199999999999995</v>
      </c>
      <c r="Y214" s="15">
        <v>-0.90200000000000002</v>
      </c>
      <c r="Z214" s="15">
        <v>-0.94799999999999995</v>
      </c>
      <c r="AA214" s="15">
        <v>-0.92200000000000004</v>
      </c>
      <c r="AB214" s="15">
        <v>-0.92</v>
      </c>
      <c r="AC214" s="15">
        <v>-0.72</v>
      </c>
      <c r="AD214" s="15">
        <v>-0.47699999999999998</v>
      </c>
      <c r="AE214" s="15">
        <v>-0.72399999999999998</v>
      </c>
      <c r="AF214" s="14">
        <v>-1</v>
      </c>
      <c r="AG214" s="15">
        <v>-0.28399999999999997</v>
      </c>
      <c r="AH214" s="15">
        <v>-1</v>
      </c>
      <c r="AI214" s="15">
        <v>-0.71399999999999997</v>
      </c>
      <c r="AJ214" s="15">
        <v>-0.75700000000000001</v>
      </c>
      <c r="AK214" s="9">
        <v>-0.55500000000000005</v>
      </c>
      <c r="AL214" s="4">
        <v>-0.96399999999999997</v>
      </c>
      <c r="AM214" s="4">
        <v>-0.68799999999999994</v>
      </c>
      <c r="AN214" s="4">
        <v>-0.66100000000000003</v>
      </c>
      <c r="AO214" s="4">
        <v>0.104</v>
      </c>
      <c r="AP214" s="4">
        <v>-0.80400000000000005</v>
      </c>
      <c r="AQ214" s="4">
        <v>-0.76200000000000001</v>
      </c>
      <c r="AR214" s="4">
        <v>6.8000000000000005E-2</v>
      </c>
      <c r="AS214" s="4">
        <v>4.4999999999999998E-2</v>
      </c>
      <c r="AT214" s="4">
        <v>0.16</v>
      </c>
      <c r="AU214" s="4">
        <v>-0.98799999999999999</v>
      </c>
      <c r="AV214" s="4">
        <v>-0.69599999999999995</v>
      </c>
      <c r="AW214" s="4">
        <v>-0.64900000000000002</v>
      </c>
      <c r="AX214" s="4">
        <v>-0.32700000000000001</v>
      </c>
      <c r="AY214" s="4">
        <v>-0.40799999999999997</v>
      </c>
      <c r="AZ214" s="4">
        <v>9.6000000000000002E-2</v>
      </c>
      <c r="BA214" s="4">
        <v>-0.20399999999999999</v>
      </c>
      <c r="BB214" s="4">
        <v>0.72199999999999998</v>
      </c>
      <c r="BC214" s="4">
        <v>-0.04</v>
      </c>
      <c r="BD214" s="4">
        <v>-0.11</v>
      </c>
      <c r="BE214" s="4">
        <v>5.0999999999999997E-2</v>
      </c>
      <c r="BF214" s="4">
        <v>0.19500000000000001</v>
      </c>
      <c r="BG214" s="4">
        <v>8.5999999999999993E-2</v>
      </c>
      <c r="BH214" s="4">
        <v>0.5</v>
      </c>
      <c r="BI214" s="4">
        <v>0.105</v>
      </c>
      <c r="BJ214" s="4">
        <v>-0.32100000000000001</v>
      </c>
      <c r="BK214" s="4">
        <v>0.19700000000000001</v>
      </c>
      <c r="BL214" s="4">
        <v>0.26900000000000002</v>
      </c>
      <c r="BM214" s="4"/>
    </row>
    <row r="215" spans="1:65" hidden="1" x14ac:dyDescent="0.3">
      <c r="A215" s="19" t="s">
        <v>264</v>
      </c>
      <c r="B215" s="53">
        <f t="shared" si="25"/>
        <v>0</v>
      </c>
      <c r="C215" s="53">
        <f t="shared" si="26"/>
        <v>0</v>
      </c>
      <c r="D215" s="53">
        <f t="shared" si="27"/>
        <v>0</v>
      </c>
      <c r="E215" s="53">
        <f t="shared" si="28"/>
        <v>0</v>
      </c>
      <c r="F215" s="15">
        <v>0.47</v>
      </c>
      <c r="G215" s="19">
        <v>0.32200000000000001</v>
      </c>
      <c r="H215" s="24" t="s">
        <v>68</v>
      </c>
      <c r="I215" t="str">
        <f>VLOOKUP(A215,Planilha6!$BL$9:$BN$222,2,0)</f>
        <v>building_materials</v>
      </c>
      <c r="J215" t="str">
        <f>VLOOKUP(A215,Planilha6!$BL$9:$BN$222,3,0)</f>
        <v>neutral_beta</v>
      </c>
      <c r="K215" s="2">
        <v>0</v>
      </c>
      <c r="L215" s="2">
        <v>0</v>
      </c>
      <c r="M215" s="15">
        <v>84</v>
      </c>
      <c r="N215" s="41">
        <f>VLOOKUP(A215,'Mandato Smll'!$A$2:$C$215,2,0)</f>
        <v>0</v>
      </c>
      <c r="O215" s="59">
        <f t="shared" si="29"/>
        <v>0</v>
      </c>
      <c r="P215" s="42">
        <f t="shared" si="30"/>
        <v>0</v>
      </c>
      <c r="Q215" s="41">
        <f>VLOOKUP(A215,'Mandato Smll'!$A$2:$C$215,3,0)</f>
        <v>0</v>
      </c>
      <c r="R215" s="59">
        <f t="shared" si="31"/>
        <v>0</v>
      </c>
      <c r="S215" s="15">
        <v>-0.94599999999999995</v>
      </c>
      <c r="T215" s="15">
        <v>-1</v>
      </c>
      <c r="U215" s="15">
        <v>-0.81399999999999995</v>
      </c>
      <c r="V215" s="15">
        <v>-0.97399999999999998</v>
      </c>
      <c r="W215" s="15">
        <v>-0.97699999999999998</v>
      </c>
      <c r="X215" s="15">
        <v>-0.997</v>
      </c>
      <c r="Y215" s="15">
        <v>-0.99399999999999999</v>
      </c>
      <c r="Z215" s="15">
        <v>-1</v>
      </c>
      <c r="AA215" s="15">
        <v>-1</v>
      </c>
      <c r="AB215" s="15">
        <v>-1</v>
      </c>
      <c r="AC215" s="15">
        <v>-0.39400000000000002</v>
      </c>
      <c r="AD215" s="15">
        <v>-0.35</v>
      </c>
      <c r="AE215" s="15">
        <v>-1</v>
      </c>
      <c r="AF215" s="14">
        <v>-0.9</v>
      </c>
      <c r="AG215" s="15">
        <v>-0.438</v>
      </c>
      <c r="AH215" s="15">
        <v>-1</v>
      </c>
      <c r="AI215" s="15">
        <v>-0.36399999999999999</v>
      </c>
      <c r="AJ215" s="15">
        <v>-0.46</v>
      </c>
      <c r="AK215" s="9">
        <v>-8.8999999999999996E-2</v>
      </c>
      <c r="AL215" s="4">
        <v>-1</v>
      </c>
      <c r="AM215" s="4">
        <v>-1</v>
      </c>
      <c r="AN215" s="4">
        <v>0.216</v>
      </c>
      <c r="AO215" s="4">
        <v>-0.47</v>
      </c>
      <c r="AP215" s="4">
        <v>-0.93200000000000005</v>
      </c>
      <c r="AQ215" s="4">
        <v>-1</v>
      </c>
      <c r="AR215" s="4">
        <v>0.51300000000000001</v>
      </c>
      <c r="AS215" s="4">
        <v>0.77500000000000002</v>
      </c>
      <c r="AT215" s="4">
        <v>0.498</v>
      </c>
      <c r="AU215" s="4">
        <v>-0.81399999999999995</v>
      </c>
      <c r="AV215" s="4">
        <v>-0.70599999999999996</v>
      </c>
      <c r="AW215" s="4">
        <v>-0.26700000000000002</v>
      </c>
      <c r="AX215" s="4">
        <v>-0.55700000000000005</v>
      </c>
      <c r="AY215" s="4">
        <v>-0.88900000000000001</v>
      </c>
      <c r="AZ215" s="4">
        <v>-1</v>
      </c>
      <c r="BA215" s="4">
        <v>-0.27100000000000002</v>
      </c>
      <c r="BB215" s="4">
        <v>0.752</v>
      </c>
      <c r="BC215" s="4">
        <v>0.104</v>
      </c>
      <c r="BD215" s="4">
        <v>0.14699999999999999</v>
      </c>
      <c r="BE215" s="4">
        <v>-0.95599999999999996</v>
      </c>
      <c r="BF215" s="4">
        <v>1</v>
      </c>
      <c r="BG215" s="4">
        <v>0.872</v>
      </c>
      <c r="BH215" s="4">
        <v>-0.67700000000000005</v>
      </c>
      <c r="BI215" s="4">
        <v>1</v>
      </c>
      <c r="BJ215" s="4">
        <v>9.2999999999999999E-2</v>
      </c>
      <c r="BK215" s="4">
        <v>0.216</v>
      </c>
      <c r="BL215" s="4">
        <v>0.89800000000000002</v>
      </c>
      <c r="BM215" s="4"/>
    </row>
    <row r="216" spans="1:65" hidden="1" x14ac:dyDescent="0.3">
      <c r="A216" s="19" t="s">
        <v>259</v>
      </c>
      <c r="B216" s="53">
        <f t="shared" si="25"/>
        <v>0</v>
      </c>
      <c r="C216" s="53">
        <f t="shared" si="26"/>
        <v>0</v>
      </c>
      <c r="D216" s="53">
        <f t="shared" si="27"/>
        <v>0</v>
      </c>
      <c r="E216" s="53">
        <f t="shared" si="28"/>
        <v>0</v>
      </c>
      <c r="F216" s="15">
        <v>0.46899999999999997</v>
      </c>
      <c r="G216" s="19">
        <v>0.32200000000000001</v>
      </c>
      <c r="H216" s="24" t="s">
        <v>57</v>
      </c>
      <c r="I216" t="str">
        <f>VLOOKUP(A216,Planilha6!$BL$9:$BN$222,2,0)</f>
        <v>homebuilders</v>
      </c>
      <c r="J216" t="str">
        <f>VLOOKUP(A216,Planilha6!$BL$9:$BN$222,3,0)</f>
        <v>high_beta</v>
      </c>
      <c r="K216" s="2">
        <v>0</v>
      </c>
      <c r="L216" s="2">
        <v>0</v>
      </c>
      <c r="M216" s="15">
        <v>84</v>
      </c>
      <c r="N216" s="41">
        <f>VLOOKUP(A216,'Mandato Smll'!$A$2:$C$215,2,0)</f>
        <v>0</v>
      </c>
      <c r="O216" s="59">
        <f t="shared" si="29"/>
        <v>0</v>
      </c>
      <c r="P216" s="42">
        <f t="shared" si="30"/>
        <v>0</v>
      </c>
      <c r="Q216" s="41">
        <f>VLOOKUP(A216,'Mandato Smll'!$A$2:$C$215,3,0)</f>
        <v>0</v>
      </c>
      <c r="R216" s="59">
        <f t="shared" si="31"/>
        <v>0</v>
      </c>
      <c r="S216" s="15">
        <v>-1</v>
      </c>
      <c r="T216" s="15">
        <v>-1</v>
      </c>
      <c r="U216" s="15">
        <v>-1</v>
      </c>
      <c r="V216" s="15">
        <v>-1</v>
      </c>
      <c r="W216" s="15">
        <v>-1</v>
      </c>
      <c r="X216" s="15">
        <v>-1</v>
      </c>
      <c r="Y216" s="15">
        <v>-1</v>
      </c>
      <c r="Z216" s="15">
        <v>-1</v>
      </c>
      <c r="AA216" s="15">
        <v>-0.79900000000000004</v>
      </c>
      <c r="AB216" s="15">
        <v>-0.79700000000000004</v>
      </c>
      <c r="AC216" s="15">
        <v>-1</v>
      </c>
      <c r="AD216" s="15">
        <v>-0.14499999999999999</v>
      </c>
      <c r="AE216" s="15">
        <v>-1</v>
      </c>
      <c r="AF216" s="14">
        <v>-0.88800000000000001</v>
      </c>
      <c r="AG216" s="15">
        <v>-0.97499999999999998</v>
      </c>
      <c r="AH216" s="15">
        <v>-0.88300000000000001</v>
      </c>
      <c r="AI216" s="15">
        <v>0.27200000000000002</v>
      </c>
      <c r="AJ216" s="15">
        <v>-0.501</v>
      </c>
      <c r="AK216" s="9">
        <v>-0.499</v>
      </c>
      <c r="AL216" s="4">
        <v>-0.83199999999999996</v>
      </c>
      <c r="AM216" s="4">
        <v>-1</v>
      </c>
      <c r="AN216" s="4">
        <v>1</v>
      </c>
      <c r="AO216" s="4">
        <v>-0.94899999999999995</v>
      </c>
      <c r="AP216" s="4">
        <v>-0.92300000000000004</v>
      </c>
      <c r="AQ216" s="4">
        <v>-1</v>
      </c>
      <c r="AR216" s="4">
        <v>-0.9</v>
      </c>
      <c r="AS216" s="4">
        <v>-1</v>
      </c>
      <c r="AT216" s="4">
        <v>-0.98499999999999999</v>
      </c>
      <c r="AU216" s="4">
        <v>-0.84599999999999997</v>
      </c>
      <c r="AV216" s="4">
        <v>-1</v>
      </c>
      <c r="AW216" s="4">
        <v>-0.98299999999999998</v>
      </c>
      <c r="AX216" s="4">
        <v>-0.60799999999999998</v>
      </c>
      <c r="AY216" s="4">
        <v>-0.61399999999999999</v>
      </c>
      <c r="AZ216" s="4">
        <v>-0.35899999999999999</v>
      </c>
      <c r="BA216" s="4">
        <v>-1</v>
      </c>
      <c r="BB216" s="4">
        <v>-0.51200000000000001</v>
      </c>
      <c r="BC216" s="4">
        <v>0.58699999999999997</v>
      </c>
      <c r="BD216" s="4">
        <v>0.39700000000000002</v>
      </c>
      <c r="BE216" s="4">
        <v>0.217</v>
      </c>
      <c r="BF216" s="4">
        <v>1</v>
      </c>
      <c r="BG216" s="4">
        <v>0.05</v>
      </c>
      <c r="BH216" s="4">
        <v>0.183</v>
      </c>
      <c r="BI216" s="4">
        <v>1</v>
      </c>
      <c r="BJ216" s="4">
        <v>0.54700000000000004</v>
      </c>
      <c r="BK216" s="4">
        <v>-0.24399999999999999</v>
      </c>
      <c r="BL216" s="4">
        <v>1</v>
      </c>
      <c r="BM216" s="4"/>
    </row>
    <row r="217" spans="1:65" hidden="1" x14ac:dyDescent="0.3">
      <c r="A217" s="19" t="s">
        <v>263</v>
      </c>
      <c r="B217" s="53">
        <f t="shared" si="25"/>
        <v>0</v>
      </c>
      <c r="C217" s="53">
        <f t="shared" si="26"/>
        <v>0</v>
      </c>
      <c r="D217" s="53">
        <f t="shared" si="27"/>
        <v>0</v>
      </c>
      <c r="E217" s="53">
        <f t="shared" si="28"/>
        <v>0</v>
      </c>
      <c r="F217" s="15">
        <v>0.46800000000000003</v>
      </c>
      <c r="G217" s="19">
        <v>0.32100000000000001</v>
      </c>
      <c r="H217" s="24" t="s">
        <v>68</v>
      </c>
      <c r="I217" t="str">
        <f>VLOOKUP(A217,Planilha6!$BL$9:$BN$222,2,0)</f>
        <v>capital_goods</v>
      </c>
      <c r="J217" t="str">
        <f>VLOOKUP(A217,Planilha6!$BL$9:$BN$222,3,0)</f>
        <v>very_low_beta</v>
      </c>
      <c r="K217" s="2">
        <v>0</v>
      </c>
      <c r="L217" s="2">
        <v>0</v>
      </c>
      <c r="M217" s="15">
        <v>84</v>
      </c>
      <c r="N217" s="41">
        <f>VLOOKUP(A217,'Mandato Smll'!$A$2:$C$215,2,0)</f>
        <v>0</v>
      </c>
      <c r="O217" s="59">
        <f t="shared" si="29"/>
        <v>0</v>
      </c>
      <c r="P217" s="42">
        <f t="shared" si="30"/>
        <v>0</v>
      </c>
      <c r="Q217" s="41">
        <f>VLOOKUP(A217,'Mandato Smll'!$A$2:$C$215,3,0)</f>
        <v>0</v>
      </c>
      <c r="R217" s="59">
        <f t="shared" si="31"/>
        <v>0</v>
      </c>
      <c r="S217" s="15">
        <v>-0.995</v>
      </c>
      <c r="T217" s="15">
        <v>-0.99199999999999999</v>
      </c>
      <c r="U217" s="15">
        <v>-0.98599999999999999</v>
      </c>
      <c r="V217" s="15">
        <v>-0.99</v>
      </c>
      <c r="W217" s="15">
        <v>-0.99399999999999999</v>
      </c>
      <c r="X217" s="15">
        <v>-1</v>
      </c>
      <c r="Y217" s="15">
        <v>-1</v>
      </c>
      <c r="Z217" s="15">
        <v>-1</v>
      </c>
      <c r="AA217" s="15">
        <v>-1</v>
      </c>
      <c r="AB217" s="15">
        <v>-1</v>
      </c>
      <c r="AC217" s="15">
        <v>-1</v>
      </c>
      <c r="AD217" s="15">
        <v>-1</v>
      </c>
      <c r="AE217" s="15">
        <v>-0.98499999999999999</v>
      </c>
      <c r="AF217" s="14">
        <v>-1</v>
      </c>
      <c r="AG217" s="15">
        <v>-1</v>
      </c>
      <c r="AH217" s="15">
        <v>-0.76500000000000001</v>
      </c>
      <c r="AI217" s="15">
        <v>-0.54700000000000004</v>
      </c>
      <c r="AJ217" s="15">
        <v>1</v>
      </c>
      <c r="AK217" s="9">
        <v>-0.51600000000000001</v>
      </c>
      <c r="AL217" s="4">
        <v>-0.81299999999999994</v>
      </c>
      <c r="AM217" s="4">
        <v>-1</v>
      </c>
      <c r="AN217" s="4">
        <v>-0.91300000000000003</v>
      </c>
      <c r="AO217" s="4">
        <v>-0.19800000000000001</v>
      </c>
      <c r="AP217" s="4">
        <v>0.54300000000000004</v>
      </c>
      <c r="AQ217" s="4">
        <v>-1</v>
      </c>
      <c r="AR217" s="4">
        <v>-0.224</v>
      </c>
      <c r="AS217" s="4">
        <v>0.28399999999999997</v>
      </c>
      <c r="AT217" s="4">
        <v>0.33800000000000002</v>
      </c>
      <c r="AU217" s="4">
        <v>-1</v>
      </c>
      <c r="AV217" s="4">
        <v>-0.95599999999999996</v>
      </c>
      <c r="AW217" s="4">
        <v>-0.84599999999999997</v>
      </c>
      <c r="AX217" s="4">
        <v>-0.33900000000000002</v>
      </c>
      <c r="AY217" s="4">
        <v>-0.69099999999999995</v>
      </c>
      <c r="AZ217" s="4">
        <v>-1</v>
      </c>
      <c r="BA217" s="4">
        <v>-1</v>
      </c>
      <c r="BB217" s="4">
        <v>5.1999999999999998E-2</v>
      </c>
      <c r="BC217" s="4">
        <v>0.98699999999999999</v>
      </c>
      <c r="BD217" s="4">
        <v>0.54600000000000004</v>
      </c>
      <c r="BE217" s="4">
        <v>0.52600000000000002</v>
      </c>
      <c r="BF217" s="4">
        <v>1</v>
      </c>
      <c r="BG217" s="4">
        <v>-0.16200000000000001</v>
      </c>
      <c r="BH217" s="4">
        <v>-0.746</v>
      </c>
      <c r="BI217" s="4">
        <v>0.38500000000000001</v>
      </c>
      <c r="BJ217" s="4">
        <v>-0.39700000000000002</v>
      </c>
      <c r="BK217" s="4">
        <v>-0.58899999999999997</v>
      </c>
      <c r="BL217" s="4">
        <v>1</v>
      </c>
      <c r="BM217" s="4"/>
    </row>
    <row r="218" spans="1:65" hidden="1" x14ac:dyDescent="0.3">
      <c r="A218" s="19" t="s">
        <v>266</v>
      </c>
      <c r="B218" s="53">
        <f t="shared" si="25"/>
        <v>0</v>
      </c>
      <c r="C218" s="53">
        <f t="shared" si="26"/>
        <v>0</v>
      </c>
      <c r="D218" s="53">
        <f t="shared" si="27"/>
        <v>0</v>
      </c>
      <c r="E218" s="53">
        <f t="shared" si="28"/>
        <v>0</v>
      </c>
      <c r="F218" s="15">
        <v>0.46800000000000003</v>
      </c>
      <c r="G218" s="19">
        <v>0.32400000000000001</v>
      </c>
      <c r="H218" s="24" t="s">
        <v>57</v>
      </c>
      <c r="I218" t="str">
        <f>VLOOKUP(A218,Planilha6!$BL$9:$BN$222,2,0)</f>
        <v>consumer_services</v>
      </c>
      <c r="J218" t="str">
        <f>VLOOKUP(A218,Planilha6!$BL$9:$BN$222,3,0)</f>
        <v>very_high_beta</v>
      </c>
      <c r="K218" s="2">
        <v>0</v>
      </c>
      <c r="L218" s="2">
        <v>0</v>
      </c>
      <c r="M218" s="15">
        <v>84</v>
      </c>
      <c r="N218" s="41">
        <f>VLOOKUP(A218,'Mandato Smll'!$A$2:$C$215,2,0)</f>
        <v>0</v>
      </c>
      <c r="O218" s="59">
        <f t="shared" si="29"/>
        <v>0</v>
      </c>
      <c r="P218" s="42">
        <f t="shared" si="30"/>
        <v>0</v>
      </c>
      <c r="Q218" s="41">
        <f>VLOOKUP(A218,'Mandato Smll'!$A$2:$C$215,3,0)</f>
        <v>0</v>
      </c>
      <c r="R218" s="59">
        <f t="shared" si="31"/>
        <v>0</v>
      </c>
      <c r="S218" s="15">
        <v>-1</v>
      </c>
      <c r="T218" s="15">
        <v>-1</v>
      </c>
      <c r="U218" s="15">
        <v>-0.96799999999999997</v>
      </c>
      <c r="V218" s="15">
        <v>-1</v>
      </c>
      <c r="W218" s="15">
        <v>-1</v>
      </c>
      <c r="X218" s="15">
        <v>-1</v>
      </c>
      <c r="Y218" s="15">
        <v>-1</v>
      </c>
      <c r="Z218" s="15">
        <v>-0.998</v>
      </c>
      <c r="AA218" s="15">
        <v>-1</v>
      </c>
      <c r="AB218" s="15">
        <v>-1</v>
      </c>
      <c r="AC218" s="15">
        <v>-0.746</v>
      </c>
      <c r="AD218" s="15">
        <v>-0.76600000000000001</v>
      </c>
      <c r="AE218" s="15">
        <v>-1</v>
      </c>
      <c r="AF218" s="14">
        <v>-1</v>
      </c>
      <c r="AG218" s="15">
        <v>-0.82599999999999996</v>
      </c>
      <c r="AH218" s="15">
        <v>-1</v>
      </c>
      <c r="AI218" s="15">
        <v>-0.122</v>
      </c>
      <c r="AJ218" s="15">
        <v>-0.49399999999999999</v>
      </c>
      <c r="AK218" s="9">
        <v>0.23</v>
      </c>
      <c r="AL218" s="4">
        <v>-0.33</v>
      </c>
      <c r="AM218" s="4">
        <v>-0.75700000000000001</v>
      </c>
      <c r="AN218" s="4">
        <v>-0.53700000000000003</v>
      </c>
      <c r="AO218" s="4">
        <v>-0.64300000000000002</v>
      </c>
      <c r="AP218" s="4">
        <v>-0.74199999999999999</v>
      </c>
      <c r="AQ218" s="4">
        <v>-1</v>
      </c>
      <c r="AR218" s="4">
        <v>-0.32100000000000001</v>
      </c>
      <c r="AS218" s="4">
        <v>-1</v>
      </c>
      <c r="AT218" s="4">
        <v>-0.38600000000000001</v>
      </c>
      <c r="AU218" s="4">
        <v>-0.41399999999999998</v>
      </c>
      <c r="AV218" s="4">
        <v>-0.27100000000000002</v>
      </c>
      <c r="AW218" s="4">
        <v>-0.70599999999999996</v>
      </c>
      <c r="AX218" s="4">
        <v>-0.42599999999999999</v>
      </c>
      <c r="AY218" s="4">
        <v>0.109</v>
      </c>
      <c r="AZ218" s="4">
        <v>0.13</v>
      </c>
      <c r="BA218" s="4">
        <v>-0.59499999999999997</v>
      </c>
      <c r="BB218" s="4">
        <v>-0.151</v>
      </c>
      <c r="BC218" s="4">
        <v>0.47799999999999998</v>
      </c>
      <c r="BD218" s="4">
        <v>-0.23</v>
      </c>
      <c r="BE218" s="4">
        <v>-4.3999999999999997E-2</v>
      </c>
      <c r="BF218" s="4">
        <v>-0.60499999999999998</v>
      </c>
      <c r="BG218" s="4">
        <v>-0.81299999999999994</v>
      </c>
      <c r="BH218" s="4">
        <v>-1</v>
      </c>
      <c r="BI218" s="4">
        <v>0.55800000000000005</v>
      </c>
      <c r="BJ218" s="4">
        <v>0.32500000000000001</v>
      </c>
      <c r="BK218" s="4">
        <v>-0.17599999999999999</v>
      </c>
      <c r="BL218" s="4">
        <v>1</v>
      </c>
      <c r="BM218" s="4"/>
    </row>
    <row r="219" spans="1:65" hidden="1" x14ac:dyDescent="0.3">
      <c r="A219" s="19" t="s">
        <v>262</v>
      </c>
      <c r="B219" s="53">
        <f t="shared" si="25"/>
        <v>0</v>
      </c>
      <c r="C219" s="53">
        <f t="shared" si="26"/>
        <v>0</v>
      </c>
      <c r="D219" s="53">
        <f t="shared" si="27"/>
        <v>0</v>
      </c>
      <c r="E219" s="53">
        <f t="shared" si="28"/>
        <v>0</v>
      </c>
      <c r="F219" s="15">
        <v>0.46800000000000003</v>
      </c>
      <c r="G219" s="19">
        <v>0.34499999999999997</v>
      </c>
      <c r="H219" s="24" t="s">
        <v>68</v>
      </c>
      <c r="I219" t="str">
        <f>VLOOKUP(A219,Planilha6!$BL$9:$BN$222,2,0)</f>
        <v>capital_goods</v>
      </c>
      <c r="J219" t="str">
        <f>VLOOKUP(A219,Planilha6!$BL$9:$BN$222,3,0)</f>
        <v>very_low_beta</v>
      </c>
      <c r="K219" s="2">
        <v>0</v>
      </c>
      <c r="L219" s="2">
        <v>0</v>
      </c>
      <c r="M219" s="15">
        <v>84</v>
      </c>
      <c r="N219" s="41">
        <f>VLOOKUP(A219,'Mandato Smll'!$A$2:$C$215,2,0)</f>
        <v>0</v>
      </c>
      <c r="O219" s="59">
        <f t="shared" si="29"/>
        <v>0</v>
      </c>
      <c r="P219" s="42">
        <f t="shared" si="30"/>
        <v>0</v>
      </c>
      <c r="Q219" s="41">
        <f>VLOOKUP(A219,'Mandato Smll'!$A$2:$C$215,3,0)</f>
        <v>0</v>
      </c>
      <c r="R219" s="59">
        <f t="shared" si="31"/>
        <v>0</v>
      </c>
      <c r="S219" s="15">
        <v>-1</v>
      </c>
      <c r="T219" s="15">
        <v>-1</v>
      </c>
      <c r="U219" s="15">
        <v>-0.92400000000000004</v>
      </c>
      <c r="V219" s="15">
        <v>-1</v>
      </c>
      <c r="W219" s="15">
        <v>-1</v>
      </c>
      <c r="X219" s="15">
        <v>-0.997</v>
      </c>
      <c r="Y219" s="15">
        <v>-0.96299999999999997</v>
      </c>
      <c r="Z219" s="15">
        <v>-1</v>
      </c>
      <c r="AA219" s="15">
        <v>-1</v>
      </c>
      <c r="AB219" s="15">
        <v>-1</v>
      </c>
      <c r="AC219" s="15">
        <v>-0.88</v>
      </c>
      <c r="AD219" s="15">
        <v>-0.84099999999999997</v>
      </c>
      <c r="AE219" s="15">
        <v>-0.81299999999999994</v>
      </c>
      <c r="AF219" s="14">
        <v>-1</v>
      </c>
      <c r="AG219" s="15">
        <v>-1</v>
      </c>
      <c r="AH219" s="15">
        <v>-1</v>
      </c>
      <c r="AI219" s="15">
        <v>-0.61599999999999999</v>
      </c>
      <c r="AJ219" s="15">
        <v>-0.46300000000000002</v>
      </c>
      <c r="AK219" s="9">
        <v>-0.51600000000000001</v>
      </c>
      <c r="AL219" s="4">
        <v>-0.98799999999999999</v>
      </c>
      <c r="AM219" s="4">
        <v>-1</v>
      </c>
      <c r="AN219" s="4">
        <v>-0.51900000000000002</v>
      </c>
      <c r="AO219" s="4">
        <v>-0.64200000000000002</v>
      </c>
      <c r="AP219" s="4">
        <v>-0.94399999999999995</v>
      </c>
      <c r="AQ219" s="4">
        <v>-0.65200000000000002</v>
      </c>
      <c r="AR219" s="4">
        <v>-1</v>
      </c>
      <c r="AS219" s="4">
        <v>0.59099999999999997</v>
      </c>
      <c r="AT219" s="4">
        <v>0.19400000000000001</v>
      </c>
      <c r="AU219" s="4">
        <v>-0.94899999999999995</v>
      </c>
      <c r="AV219" s="4">
        <v>-0.77500000000000002</v>
      </c>
      <c r="AW219" s="4">
        <v>-0.84599999999999997</v>
      </c>
      <c r="AX219" s="4">
        <v>-8.5000000000000006E-2</v>
      </c>
      <c r="AY219" s="4">
        <v>-0.92900000000000005</v>
      </c>
      <c r="AZ219" s="4">
        <v>-1</v>
      </c>
      <c r="BA219" s="4">
        <v>-0.88400000000000001</v>
      </c>
      <c r="BB219" s="4">
        <v>5.6000000000000001E-2</v>
      </c>
      <c r="BC219" s="4">
        <v>0.97799999999999998</v>
      </c>
      <c r="BD219" s="4">
        <v>0.246</v>
      </c>
      <c r="BE219" s="4">
        <v>-6.8000000000000005E-2</v>
      </c>
      <c r="BF219" s="4">
        <v>1</v>
      </c>
      <c r="BG219" s="4">
        <v>-0.68600000000000005</v>
      </c>
      <c r="BH219" s="4">
        <v>0.45700000000000002</v>
      </c>
      <c r="BI219" s="4">
        <v>1</v>
      </c>
      <c r="BJ219" s="4">
        <v>-0.159</v>
      </c>
      <c r="BK219" s="4">
        <v>0.94499999999999995</v>
      </c>
      <c r="BL219" s="4">
        <v>0.95799999999999996</v>
      </c>
      <c r="BM219" s="4"/>
    </row>
    <row r="220" spans="1:65" hidden="1" x14ac:dyDescent="0.3">
      <c r="A220" s="19" t="s">
        <v>260</v>
      </c>
      <c r="B220" s="53">
        <f t="shared" si="25"/>
        <v>0</v>
      </c>
      <c r="C220" s="53">
        <f t="shared" si="26"/>
        <v>0</v>
      </c>
      <c r="D220" s="53">
        <f t="shared" si="27"/>
        <v>0</v>
      </c>
      <c r="E220" s="53">
        <f t="shared" si="28"/>
        <v>0</v>
      </c>
      <c r="F220" s="15">
        <v>0.46800000000000003</v>
      </c>
      <c r="G220" s="19">
        <v>0.32300000000000001</v>
      </c>
      <c r="H220" s="24" t="s">
        <v>57</v>
      </c>
      <c r="I220" t="str">
        <f>VLOOKUP(A220,Planilha6!$BL$9:$BN$222,2,0)</f>
        <v>consumer_services</v>
      </c>
      <c r="J220" t="str">
        <f>VLOOKUP(A220,Planilha6!$BL$9:$BN$222,3,0)</f>
        <v>very_high_beta</v>
      </c>
      <c r="K220" s="2">
        <v>0</v>
      </c>
      <c r="L220" s="2">
        <v>0</v>
      </c>
      <c r="M220" s="15">
        <v>84</v>
      </c>
      <c r="N220" s="41">
        <f>VLOOKUP(A220,'Mandato Smll'!$A$2:$C$215,2,0)</f>
        <v>0</v>
      </c>
      <c r="O220" s="59">
        <f t="shared" si="29"/>
        <v>0</v>
      </c>
      <c r="P220" s="42">
        <f t="shared" si="30"/>
        <v>0</v>
      </c>
      <c r="Q220" s="41">
        <f>VLOOKUP(A220,'Mandato Smll'!$A$2:$C$215,3,0)</f>
        <v>0</v>
      </c>
      <c r="R220" s="59">
        <f t="shared" si="31"/>
        <v>0</v>
      </c>
      <c r="S220" s="15">
        <v>-0.98399999999999999</v>
      </c>
      <c r="T220" s="15">
        <v>-1</v>
      </c>
      <c r="U220" s="15">
        <v>-0.97799999999999998</v>
      </c>
      <c r="V220" s="15">
        <v>-0.98299999999999998</v>
      </c>
      <c r="W220" s="15">
        <v>-1</v>
      </c>
      <c r="X220" s="15">
        <v>-1</v>
      </c>
      <c r="Y220" s="15">
        <v>-1</v>
      </c>
      <c r="Z220" s="15">
        <v>-0.996</v>
      </c>
      <c r="AA220" s="15">
        <v>-0.76100000000000001</v>
      </c>
      <c r="AB220" s="15">
        <v>-0.76400000000000001</v>
      </c>
      <c r="AC220" s="15">
        <v>-0.78100000000000003</v>
      </c>
      <c r="AD220" s="15">
        <v>-1</v>
      </c>
      <c r="AE220" s="15">
        <v>-1</v>
      </c>
      <c r="AF220" s="14">
        <v>-0.79900000000000004</v>
      </c>
      <c r="AG220" s="15">
        <v>-0.45200000000000001</v>
      </c>
      <c r="AH220" s="15">
        <v>-0.871</v>
      </c>
      <c r="AI220" s="15">
        <v>-0.14000000000000001</v>
      </c>
      <c r="AJ220" s="15">
        <v>-0.94099999999999995</v>
      </c>
      <c r="AK220" s="9">
        <v>-0.86899999999999999</v>
      </c>
      <c r="AL220" s="4">
        <v>0.20399999999999999</v>
      </c>
      <c r="AM220" s="4">
        <v>-0.56000000000000005</v>
      </c>
      <c r="AN220" s="4">
        <v>-3.6999999999999998E-2</v>
      </c>
      <c r="AO220" s="4">
        <v>-0.29099999999999998</v>
      </c>
      <c r="AP220" s="4">
        <v>-0.76900000000000002</v>
      </c>
      <c r="AQ220" s="4">
        <v>-0.874</v>
      </c>
      <c r="AR220" s="4">
        <v>-0.57699999999999996</v>
      </c>
      <c r="AS220" s="4">
        <v>-0.69899999999999995</v>
      </c>
      <c r="AT220" s="4">
        <v>-0.44600000000000001</v>
      </c>
      <c r="AU220" s="4">
        <v>-0.41399999999999998</v>
      </c>
      <c r="AV220" s="4">
        <v>-0.66</v>
      </c>
      <c r="AW220" s="4">
        <v>-0.69299999999999995</v>
      </c>
      <c r="AX220" s="4">
        <v>-0.57899999999999996</v>
      </c>
      <c r="AY220" s="4">
        <v>-4.7E-2</v>
      </c>
      <c r="AZ220" s="4">
        <v>0.28999999999999998</v>
      </c>
      <c r="BA220" s="4">
        <v>-0.94099999999999995</v>
      </c>
      <c r="BB220" s="4">
        <v>0.189</v>
      </c>
      <c r="BC220" s="4">
        <v>0.78800000000000003</v>
      </c>
      <c r="BD220" s="4">
        <v>0.29299999999999998</v>
      </c>
      <c r="BE220" s="4">
        <v>-0.28599999999999998</v>
      </c>
      <c r="BF220" s="4">
        <v>-0.79300000000000004</v>
      </c>
      <c r="BG220" s="4">
        <v>-1</v>
      </c>
      <c r="BH220" s="4">
        <v>-1</v>
      </c>
      <c r="BI220" s="4">
        <v>0.98199999999999998</v>
      </c>
      <c r="BJ220" s="4">
        <v>0.69699999999999995</v>
      </c>
      <c r="BK220" s="4">
        <v>0.28199999999999997</v>
      </c>
      <c r="BL220" s="4">
        <v>6.6000000000000003E-2</v>
      </c>
      <c r="BM220" s="4"/>
    </row>
    <row r="221" spans="1:65" hidden="1" x14ac:dyDescent="0.3">
      <c r="A221" s="19" t="s">
        <v>267</v>
      </c>
      <c r="B221" s="53">
        <f t="shared" si="25"/>
        <v>0</v>
      </c>
      <c r="C221" s="53">
        <f t="shared" si="26"/>
        <v>-4.0000000000000001E-3</v>
      </c>
      <c r="D221" s="53">
        <f t="shared" si="27"/>
        <v>0</v>
      </c>
      <c r="E221" s="53">
        <f t="shared" si="28"/>
        <v>4.0000000000000001E-3</v>
      </c>
      <c r="F221" s="15">
        <v>0.46800000000000003</v>
      </c>
      <c r="G221" s="19">
        <v>0.32600000000000001</v>
      </c>
      <c r="H221" s="24" t="s">
        <v>53</v>
      </c>
      <c r="I221" t="str">
        <f>VLOOKUP(A221,Planilha6!$BL$9:$BN$222,2,0)</f>
        <v>healthcare</v>
      </c>
      <c r="J221" t="str">
        <f>VLOOKUP(A221,Planilha6!$BL$9:$BN$222,3,0)</f>
        <v>high_beta</v>
      </c>
      <c r="K221" s="2">
        <v>0</v>
      </c>
      <c r="L221" s="2">
        <v>-4.0000000000000001E-3</v>
      </c>
      <c r="M221" s="15">
        <v>84</v>
      </c>
      <c r="N221" s="41">
        <f>VLOOKUP(A221,'Mandato Smll'!$A$2:$C$215,2,0)</f>
        <v>0</v>
      </c>
      <c r="O221" s="59">
        <f t="shared" si="29"/>
        <v>0</v>
      </c>
      <c r="P221" s="42">
        <f t="shared" si="30"/>
        <v>0</v>
      </c>
      <c r="Q221" s="41">
        <f>VLOOKUP(A221,'Mandato Smll'!$A$2:$C$215,3,0)</f>
        <v>0</v>
      </c>
      <c r="R221" s="59">
        <f t="shared" si="31"/>
        <v>0</v>
      </c>
      <c r="S221" s="15">
        <v>-1</v>
      </c>
      <c r="T221" s="15">
        <v>-1</v>
      </c>
      <c r="U221" s="15">
        <v>-0.996</v>
      </c>
      <c r="V221" s="15">
        <v>-1</v>
      </c>
      <c r="W221" s="15">
        <v>-1</v>
      </c>
      <c r="X221" s="15">
        <v>-1</v>
      </c>
      <c r="Y221" s="15">
        <v>-1</v>
      </c>
      <c r="Z221" s="15">
        <v>-1</v>
      </c>
      <c r="AA221" s="15">
        <v>-1</v>
      </c>
      <c r="AB221" s="15">
        <v>-1</v>
      </c>
      <c r="AC221" s="15">
        <v>-1</v>
      </c>
      <c r="AD221" s="15">
        <v>-1</v>
      </c>
      <c r="AE221" s="15">
        <v>-1</v>
      </c>
      <c r="AF221" s="14">
        <v>-0.86499999999999999</v>
      </c>
      <c r="AG221" s="15">
        <v>-0.73199999999999998</v>
      </c>
      <c r="AH221" s="15">
        <v>-1</v>
      </c>
      <c r="AI221" s="15">
        <v>-0.23499999999999999</v>
      </c>
      <c r="AJ221" s="15">
        <v>-0.46200000000000002</v>
      </c>
      <c r="AK221" s="9">
        <v>-0.68700000000000006</v>
      </c>
      <c r="AL221" s="4">
        <v>-0.38800000000000001</v>
      </c>
      <c r="AM221" s="4">
        <v>-1</v>
      </c>
      <c r="AN221" s="4">
        <v>-0.39300000000000002</v>
      </c>
      <c r="AO221" s="4">
        <v>-0.69399999999999995</v>
      </c>
      <c r="AP221" s="4">
        <v>-0.47299999999999998</v>
      </c>
      <c r="AQ221" s="4">
        <v>-0.80800000000000005</v>
      </c>
      <c r="AR221" s="4">
        <v>-0.46700000000000003</v>
      </c>
      <c r="AS221" s="4">
        <v>-0.77200000000000002</v>
      </c>
      <c r="AT221" s="4">
        <v>-0.28399999999999997</v>
      </c>
      <c r="AU221" s="4">
        <v>-0.66100000000000003</v>
      </c>
      <c r="AV221" s="4">
        <v>-0.63100000000000001</v>
      </c>
      <c r="AW221" s="4">
        <v>-0.69099999999999995</v>
      </c>
      <c r="AX221" s="4">
        <v>-0.60699999999999998</v>
      </c>
      <c r="AY221" s="4">
        <v>-1</v>
      </c>
      <c r="AZ221" s="4">
        <v>-0.18099999999999999</v>
      </c>
      <c r="BA221" s="4">
        <v>-0.879</v>
      </c>
      <c r="BB221" s="4">
        <v>7.0999999999999994E-2</v>
      </c>
      <c r="BC221" s="4">
        <v>0.97899999999999998</v>
      </c>
      <c r="BD221" s="4">
        <v>0.54300000000000004</v>
      </c>
      <c r="BE221" s="4">
        <v>0.21199999999999999</v>
      </c>
      <c r="BF221" s="4">
        <v>1</v>
      </c>
      <c r="BG221" s="4">
        <v>-1</v>
      </c>
      <c r="BH221" s="4">
        <v>-1</v>
      </c>
      <c r="BI221" s="4">
        <v>0.96799999999999997</v>
      </c>
      <c r="BJ221" s="4">
        <v>0.187</v>
      </c>
      <c r="BK221" s="4">
        <v>0.33800000000000002</v>
      </c>
      <c r="BL221" s="4">
        <v>0.53800000000000003</v>
      </c>
      <c r="BM221" s="4"/>
    </row>
    <row r="222" spans="1:65" ht="15" hidden="1" thickBot="1" x14ac:dyDescent="0.35">
      <c r="A222" s="19" t="s">
        <v>268</v>
      </c>
      <c r="B222" s="53">
        <f t="shared" si="25"/>
        <v>0</v>
      </c>
      <c r="C222" s="53">
        <f t="shared" si="26"/>
        <v>0</v>
      </c>
      <c r="D222" s="53">
        <f t="shared" si="27"/>
        <v>0</v>
      </c>
      <c r="E222" s="53">
        <f t="shared" si="28"/>
        <v>0</v>
      </c>
      <c r="F222" s="15">
        <v>0.46800000000000003</v>
      </c>
      <c r="G222" s="19">
        <v>0.32100000000000001</v>
      </c>
      <c r="H222" s="24" t="s">
        <v>71</v>
      </c>
      <c r="I222" t="str">
        <f>VLOOKUP(A222,Planilha6!$BL$9:$BN$222,2,0)</f>
        <v>basic_materials</v>
      </c>
      <c r="J222" t="str">
        <f>VLOOKUP(A222,Planilha6!$BL$9:$BN$222,3,0)</f>
        <v>very_high_beta</v>
      </c>
      <c r="K222" s="2">
        <v>0</v>
      </c>
      <c r="L222" s="2">
        <v>0</v>
      </c>
      <c r="M222" s="15">
        <v>84</v>
      </c>
      <c r="N222" s="43">
        <f>VLOOKUP(A222,'Mandato Smll'!$A$2:$C$215,2,0)</f>
        <v>0</v>
      </c>
      <c r="O222" s="60">
        <f t="shared" si="29"/>
        <v>0</v>
      </c>
      <c r="P222" s="44">
        <f t="shared" si="30"/>
        <v>0</v>
      </c>
      <c r="Q222" s="43">
        <f>VLOOKUP(A222,'Mandato Smll'!$A$2:$C$215,3,0)</f>
        <v>0</v>
      </c>
      <c r="R222" s="60">
        <f t="shared" si="31"/>
        <v>0</v>
      </c>
      <c r="S222" s="15">
        <v>-0.97</v>
      </c>
      <c r="T222" s="15">
        <v>-1</v>
      </c>
      <c r="U222" s="15">
        <v>-0.91300000000000003</v>
      </c>
      <c r="V222" s="15">
        <v>-0.997</v>
      </c>
      <c r="W222" s="15">
        <v>-0.998</v>
      </c>
      <c r="X222" s="15">
        <v>-0.99299999999999999</v>
      </c>
      <c r="Y222" s="15">
        <v>-1</v>
      </c>
      <c r="Z222" s="15">
        <v>-1</v>
      </c>
      <c r="AA222" s="15">
        <v>-1</v>
      </c>
      <c r="AB222" s="15">
        <v>-1</v>
      </c>
      <c r="AC222" s="15">
        <v>-1</v>
      </c>
      <c r="AD222" s="15">
        <v>-1</v>
      </c>
      <c r="AE222" s="15">
        <v>-1</v>
      </c>
      <c r="AF222" s="14">
        <v>-0.995</v>
      </c>
      <c r="AG222" s="15">
        <v>-0.871</v>
      </c>
      <c r="AH222" s="15">
        <v>-1</v>
      </c>
      <c r="AI222" s="15">
        <v>-0.505</v>
      </c>
      <c r="AJ222" s="15">
        <v>-0.35099999999999998</v>
      </c>
      <c r="AK222" s="9">
        <v>-0.58299999999999996</v>
      </c>
      <c r="AL222" s="4">
        <v>-0.623</v>
      </c>
      <c r="AM222" s="4">
        <v>-1</v>
      </c>
      <c r="AN222" s="4">
        <v>-0.97299999999999998</v>
      </c>
      <c r="AO222" s="4">
        <v>-8.6999999999999994E-2</v>
      </c>
      <c r="AP222" s="4">
        <v>-0.68799999999999994</v>
      </c>
      <c r="AQ222" s="4">
        <v>-0.40500000000000003</v>
      </c>
      <c r="AR222" s="4">
        <v>-8.3000000000000004E-2</v>
      </c>
      <c r="AS222" s="4">
        <v>0.24199999999999999</v>
      </c>
      <c r="AT222" s="4">
        <v>0.13900000000000001</v>
      </c>
      <c r="AU222" s="4">
        <v>-0.77400000000000002</v>
      </c>
      <c r="AV222" s="4">
        <v>-0.83499999999999996</v>
      </c>
      <c r="AW222" s="4">
        <v>-0.52500000000000002</v>
      </c>
      <c r="AX222" s="4">
        <v>-0.50600000000000001</v>
      </c>
      <c r="AY222" s="4">
        <v>-0.68300000000000005</v>
      </c>
      <c r="AZ222" s="4">
        <v>-0.443</v>
      </c>
      <c r="BA222" s="4">
        <v>-0.35299999999999998</v>
      </c>
      <c r="BB222" s="4">
        <v>0.46400000000000002</v>
      </c>
      <c r="BC222" s="4">
        <v>0.93700000000000006</v>
      </c>
      <c r="BD222" s="4">
        <v>0.70799999999999996</v>
      </c>
      <c r="BE222" s="4">
        <v>-0.219</v>
      </c>
      <c r="BF222" s="4">
        <v>-0.70399999999999996</v>
      </c>
      <c r="BG222" s="4">
        <v>-0.98799999999999999</v>
      </c>
      <c r="BH222" s="4">
        <v>-0.95599999999999996</v>
      </c>
      <c r="BI222" s="4">
        <v>1</v>
      </c>
      <c r="BJ222" s="4">
        <v>0.19</v>
      </c>
      <c r="BK222" s="4">
        <v>0.67700000000000005</v>
      </c>
      <c r="BL222" s="4">
        <v>0.90600000000000003</v>
      </c>
      <c r="BM222" s="4"/>
    </row>
    <row r="223" spans="1:65" x14ac:dyDescent="0.3">
      <c r="F223" s="15"/>
      <c r="K223" s="2"/>
      <c r="L223" s="2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4"/>
      <c r="AG223" s="15"/>
      <c r="AH223" s="15"/>
      <c r="AI223" s="15"/>
      <c r="AJ223" s="15"/>
      <c r="AK223" s="9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</row>
    <row r="224" spans="1:65" x14ac:dyDescent="0.3">
      <c r="F224" s="15"/>
      <c r="K224" s="2"/>
      <c r="L224" s="2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4"/>
      <c r="AG224" s="15"/>
      <c r="AH224" s="15"/>
      <c r="AI224" s="15"/>
      <c r="AJ224" s="15"/>
      <c r="AK224" s="9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</row>
    <row r="225" spans="6:65" x14ac:dyDescent="0.3">
      <c r="F225" s="15"/>
      <c r="K225" s="2"/>
      <c r="L225" s="2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4"/>
      <c r="AG225" s="15"/>
      <c r="AH225" s="15"/>
      <c r="AI225" s="15"/>
      <c r="AJ225" s="15"/>
      <c r="AK225" s="9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</row>
    <row r="226" spans="6:65" x14ac:dyDescent="0.3">
      <c r="F226" s="15"/>
      <c r="K226" s="2"/>
      <c r="L226" s="2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4"/>
      <c r="AG226" s="15"/>
      <c r="AH226" s="15"/>
      <c r="AI226" s="15"/>
      <c r="AJ226" s="15"/>
      <c r="AK226" s="9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</row>
    <row r="241" spans="8:14" x14ac:dyDescent="0.3">
      <c r="H241" s="23" t="s">
        <v>308</v>
      </c>
      <c r="I241" t="s">
        <v>329</v>
      </c>
      <c r="J241" t="s">
        <v>753</v>
      </c>
      <c r="K241" t="s">
        <v>754</v>
      </c>
      <c r="L241" t="s">
        <v>310</v>
      </c>
      <c r="M241" t="s">
        <v>325</v>
      </c>
      <c r="N241" t="s">
        <v>326</v>
      </c>
    </row>
    <row r="242" spans="8:14" x14ac:dyDescent="0.3">
      <c r="H242" s="24" t="s">
        <v>55</v>
      </c>
      <c r="I242" s="26">
        <v>0.26700000000000002</v>
      </c>
      <c r="J242" s="26">
        <v>3.8000000000000006E-2</v>
      </c>
      <c r="K242" s="26">
        <v>0.26699999999999996</v>
      </c>
      <c r="L242" s="26">
        <v>3.8000000000000013E-2</v>
      </c>
      <c r="M242" s="26">
        <v>0.27085841716603659</v>
      </c>
      <c r="N242" s="26">
        <v>0.53511187381279435</v>
      </c>
    </row>
    <row r="243" spans="8:14" x14ac:dyDescent="0.3">
      <c r="H243" s="25" t="s">
        <v>295</v>
      </c>
      <c r="I243" s="26">
        <v>0.08</v>
      </c>
      <c r="J243" s="26">
        <v>-1.4999999999999999E-2</v>
      </c>
      <c r="K243" s="26">
        <v>6.5000000000000002E-2</v>
      </c>
      <c r="L243" s="26">
        <v>-0.03</v>
      </c>
      <c r="M243" s="26">
        <v>8.7114794170949708E-2</v>
      </c>
      <c r="N243" s="26">
        <v>0.12903410425104428</v>
      </c>
    </row>
    <row r="244" spans="8:14" x14ac:dyDescent="0.3">
      <c r="H244" s="25" t="s">
        <v>302</v>
      </c>
      <c r="I244" s="26">
        <v>4.2999999999999997E-2</v>
      </c>
      <c r="J244" s="26">
        <v>4.0999999999999995E-2</v>
      </c>
      <c r="K244" s="26">
        <v>4.2999999999999997E-2</v>
      </c>
      <c r="L244" s="26">
        <v>4.0999999999999995E-2</v>
      </c>
      <c r="M244" s="26">
        <v>3.2842835115396797E-2</v>
      </c>
      <c r="N244" s="26">
        <v>3.1838860240772197E-2</v>
      </c>
    </row>
    <row r="245" spans="8:14" x14ac:dyDescent="0.3">
      <c r="H245" s="25" t="s">
        <v>285</v>
      </c>
      <c r="I245" s="26">
        <v>0</v>
      </c>
      <c r="J245" s="26">
        <v>-8.9999999999999993E-3</v>
      </c>
      <c r="K245" s="26">
        <v>0</v>
      </c>
      <c r="L245" s="26">
        <v>-8.9999999999999993E-3</v>
      </c>
      <c r="M245" s="26">
        <v>0</v>
      </c>
      <c r="N245" s="26">
        <v>2.1061987677873199E-2</v>
      </c>
    </row>
    <row r="246" spans="8:14" x14ac:dyDescent="0.3">
      <c r="H246" s="25" t="s">
        <v>280</v>
      </c>
      <c r="I246" s="26">
        <v>0.14400000000000002</v>
      </c>
      <c r="J246" s="26">
        <v>2.1000000000000015E-2</v>
      </c>
      <c r="K246" s="26">
        <v>0.15899999999999997</v>
      </c>
      <c r="L246" s="26">
        <v>3.6000000000000018E-2</v>
      </c>
      <c r="M246" s="26">
        <v>0.15090078787969008</v>
      </c>
      <c r="N246" s="26">
        <v>0.35317692164310466</v>
      </c>
    </row>
    <row r="247" spans="8:14" x14ac:dyDescent="0.3">
      <c r="H247" s="24" t="s">
        <v>71</v>
      </c>
      <c r="I247" s="26">
        <v>7.8E-2</v>
      </c>
      <c r="J247" s="26">
        <v>-6.6000000000000003E-2</v>
      </c>
      <c r="K247" s="26">
        <v>7.0000000000000007E-2</v>
      </c>
      <c r="L247" s="26">
        <v>-7.3999999999999996E-2</v>
      </c>
      <c r="M247" s="26">
        <v>6.9582029528185915E-2</v>
      </c>
      <c r="N247" s="26">
        <v>6.7589911623614551E-2</v>
      </c>
    </row>
    <row r="248" spans="8:14" x14ac:dyDescent="0.3">
      <c r="H248" s="25" t="s">
        <v>284</v>
      </c>
      <c r="I248" s="26">
        <v>4.4999999999999998E-2</v>
      </c>
      <c r="J248" s="26">
        <v>-2.7999999999999997E-2</v>
      </c>
      <c r="K248" s="26">
        <v>4.4999999999999998E-2</v>
      </c>
      <c r="L248" s="26">
        <v>-2.7999999999999997E-2</v>
      </c>
      <c r="M248" s="26">
        <v>3.8371988275999643E-2</v>
      </c>
      <c r="N248" s="26">
        <v>0</v>
      </c>
    </row>
    <row r="249" spans="8:14" x14ac:dyDescent="0.3">
      <c r="H249" s="25" t="s">
        <v>300</v>
      </c>
      <c r="I249" s="26">
        <v>3.3000000000000002E-2</v>
      </c>
      <c r="J249" s="26">
        <v>-5.000000000000001E-3</v>
      </c>
      <c r="K249" s="26">
        <v>2.5000000000000001E-2</v>
      </c>
      <c r="L249" s="26">
        <v>-1.3000000000000001E-2</v>
      </c>
      <c r="M249" s="26">
        <v>3.1210041252186269E-2</v>
      </c>
      <c r="N249" s="26">
        <v>6.7589911623614551E-2</v>
      </c>
    </row>
    <row r="250" spans="8:14" x14ac:dyDescent="0.3">
      <c r="H250" s="25" t="s">
        <v>292</v>
      </c>
      <c r="I250" s="26">
        <v>0</v>
      </c>
      <c r="J250" s="26">
        <v>-3.3000000000000002E-2</v>
      </c>
      <c r="K250" s="26">
        <v>0</v>
      </c>
      <c r="L250" s="26">
        <v>-3.3000000000000002E-2</v>
      </c>
      <c r="M250" s="26">
        <v>0</v>
      </c>
      <c r="N250" s="26">
        <v>0</v>
      </c>
    </row>
    <row r="251" spans="8:14" x14ac:dyDescent="0.3">
      <c r="H251" s="24" t="s">
        <v>53</v>
      </c>
      <c r="I251" s="26">
        <v>0.114</v>
      </c>
      <c r="J251" s="26">
        <v>-5.4999999999999993E-2</v>
      </c>
      <c r="K251" s="26">
        <v>0.104</v>
      </c>
      <c r="L251" s="26">
        <v>-6.5000000000000002E-2</v>
      </c>
      <c r="M251" s="26">
        <v>9.4020909674208841E-2</v>
      </c>
      <c r="N251" s="26">
        <v>6.4933591833653978E-2</v>
      </c>
    </row>
    <row r="252" spans="8:14" x14ac:dyDescent="0.3">
      <c r="H252" s="25" t="s">
        <v>288</v>
      </c>
      <c r="I252" s="26">
        <v>1.7000000000000001E-2</v>
      </c>
      <c r="J252" s="26">
        <v>-0.06</v>
      </c>
      <c r="K252" s="26">
        <v>1.7000000000000001E-2</v>
      </c>
      <c r="L252" s="26">
        <v>-0.06</v>
      </c>
      <c r="M252" s="26">
        <v>7.4959301045983504E-3</v>
      </c>
      <c r="N252" s="26">
        <v>0</v>
      </c>
    </row>
    <row r="253" spans="8:14" x14ac:dyDescent="0.3">
      <c r="H253" s="25" t="s">
        <v>299</v>
      </c>
      <c r="I253" s="26">
        <v>1.6E-2</v>
      </c>
      <c r="J253" s="26">
        <v>1.6E-2</v>
      </c>
      <c r="K253" s="26">
        <v>1.6E-2</v>
      </c>
      <c r="L253" s="26">
        <v>1.6E-2</v>
      </c>
      <c r="M253" s="26">
        <v>1.3288999873824901E-2</v>
      </c>
      <c r="N253" s="26">
        <v>8.5259172201202493E-3</v>
      </c>
    </row>
    <row r="254" spans="8:14" x14ac:dyDescent="0.3">
      <c r="H254" s="25" t="s">
        <v>301</v>
      </c>
      <c r="I254" s="26">
        <v>2.4E-2</v>
      </c>
      <c r="J254" s="26">
        <v>1.1000000000000001E-2</v>
      </c>
      <c r="K254" s="26">
        <v>2.4E-2</v>
      </c>
      <c r="L254" s="26">
        <v>1.1000000000000001E-2</v>
      </c>
      <c r="M254" s="26">
        <v>1.3572753169528291E-2</v>
      </c>
      <c r="N254" s="26">
        <v>2.5680404588206328E-2</v>
      </c>
    </row>
    <row r="255" spans="8:14" x14ac:dyDescent="0.3">
      <c r="H255" s="25" t="s">
        <v>290</v>
      </c>
      <c r="I255" s="26">
        <v>5.7000000000000002E-2</v>
      </c>
      <c r="J255" s="26">
        <v>-2.1999999999999995E-2</v>
      </c>
      <c r="K255" s="26">
        <v>4.6999999999999993E-2</v>
      </c>
      <c r="L255" s="26">
        <v>-3.2000000000000001E-2</v>
      </c>
      <c r="M255" s="26">
        <v>5.9663226526257294E-2</v>
      </c>
      <c r="N255" s="26">
        <v>3.0727270025327401E-2</v>
      </c>
    </row>
    <row r="256" spans="8:14" x14ac:dyDescent="0.3">
      <c r="H256" s="24" t="s">
        <v>68</v>
      </c>
      <c r="I256" s="26">
        <v>7.5999999999999998E-2</v>
      </c>
      <c r="J256" s="26">
        <v>-1.8000000000000002E-2</v>
      </c>
      <c r="K256" s="26">
        <v>6.5000000000000002E-2</v>
      </c>
      <c r="L256" s="26">
        <v>-2.9000000000000001E-2</v>
      </c>
      <c r="M256" s="26">
        <v>9.3901905334186506E-2</v>
      </c>
      <c r="N256" s="26">
        <v>2.5299649543812912E-2</v>
      </c>
    </row>
    <row r="257" spans="8:14" x14ac:dyDescent="0.3">
      <c r="H257" s="25" t="s">
        <v>298</v>
      </c>
      <c r="I257" s="26">
        <v>0</v>
      </c>
      <c r="J257" s="26">
        <v>-9.0000000000000011E-3</v>
      </c>
      <c r="K257" s="26">
        <v>0</v>
      </c>
      <c r="L257" s="26">
        <v>-9.0000000000000011E-3</v>
      </c>
      <c r="M257" s="26">
        <v>0</v>
      </c>
      <c r="N257" s="26">
        <v>0</v>
      </c>
    </row>
    <row r="258" spans="8:14" x14ac:dyDescent="0.3">
      <c r="H258" s="25" t="s">
        <v>293</v>
      </c>
      <c r="I258" s="26">
        <v>6.3E-2</v>
      </c>
      <c r="J258" s="26">
        <v>-6.0000000000000001E-3</v>
      </c>
      <c r="K258" s="26">
        <v>5.1999999999999998E-2</v>
      </c>
      <c r="L258" s="26">
        <v>-1.7000000000000001E-2</v>
      </c>
      <c r="M258" s="26">
        <v>8.2372799048601605E-2</v>
      </c>
      <c r="N258" s="26">
        <v>2.5299649543812912E-2</v>
      </c>
    </row>
    <row r="259" spans="8:14" x14ac:dyDescent="0.3">
      <c r="H259" s="25" t="s">
        <v>303</v>
      </c>
      <c r="I259" s="26">
        <v>1.2999999999999999E-2</v>
      </c>
      <c r="J259" s="26">
        <v>-3.0000000000000001E-3</v>
      </c>
      <c r="K259" s="26">
        <v>1.2999999999999999E-2</v>
      </c>
      <c r="L259" s="26">
        <v>-3.0000000000000001E-3</v>
      </c>
      <c r="M259" s="26">
        <v>1.15291062855849E-2</v>
      </c>
      <c r="N259" s="26">
        <v>0</v>
      </c>
    </row>
    <row r="260" spans="8:14" x14ac:dyDescent="0.3">
      <c r="H260" s="24" t="s">
        <v>57</v>
      </c>
      <c r="I260" s="26">
        <v>0.46450000000000002</v>
      </c>
      <c r="J260" s="26">
        <v>0.10250000000000001</v>
      </c>
      <c r="K260" s="26">
        <v>0.49200000000000005</v>
      </c>
      <c r="L260" s="26">
        <v>0.13</v>
      </c>
      <c r="M260" s="26">
        <v>0.47163673829738162</v>
      </c>
      <c r="N260" s="26">
        <v>0.30706497318612397</v>
      </c>
    </row>
    <row r="261" spans="8:14" x14ac:dyDescent="0.3">
      <c r="H261" s="25" t="s">
        <v>289</v>
      </c>
      <c r="I261" s="26">
        <v>9.8000000000000004E-2</v>
      </c>
      <c r="J261" s="26">
        <v>1.2999999999999999E-2</v>
      </c>
      <c r="K261" s="26">
        <v>9.8000000000000004E-2</v>
      </c>
      <c r="L261" s="26">
        <v>1.2999999999999992E-2</v>
      </c>
      <c r="M261" s="26">
        <v>0.10558469813431939</v>
      </c>
      <c r="N261" s="26">
        <v>3.2888614773165389E-2</v>
      </c>
    </row>
    <row r="262" spans="8:14" x14ac:dyDescent="0.3">
      <c r="H262" s="25" t="s">
        <v>286</v>
      </c>
      <c r="I262" s="26">
        <v>0.10100000000000001</v>
      </c>
      <c r="J262" s="26">
        <v>8.2000000000000003E-2</v>
      </c>
      <c r="K262" s="26">
        <v>0.13700000000000001</v>
      </c>
      <c r="L262" s="26">
        <v>0.11800000000000001</v>
      </c>
      <c r="M262" s="26">
        <v>0.11137088871411907</v>
      </c>
      <c r="N262" s="26">
        <v>0.10414306709515977</v>
      </c>
    </row>
    <row r="263" spans="8:14" x14ac:dyDescent="0.3">
      <c r="H263" s="25" t="s">
        <v>296</v>
      </c>
      <c r="I263" s="26">
        <v>7.0000000000000001E-3</v>
      </c>
      <c r="J263" s="26">
        <v>-1.3000000000000001E-2</v>
      </c>
      <c r="K263" s="26">
        <v>7.0000000000000001E-3</v>
      </c>
      <c r="L263" s="26">
        <v>-1.3000000000000001E-2</v>
      </c>
      <c r="M263" s="26">
        <v>1.3288999873824901E-2</v>
      </c>
      <c r="N263" s="26">
        <v>7.3549029246943202E-3</v>
      </c>
    </row>
    <row r="264" spans="8:14" x14ac:dyDescent="0.3">
      <c r="H264" s="25" t="s">
        <v>278</v>
      </c>
      <c r="I264" s="26">
        <v>0</v>
      </c>
      <c r="J264" s="26">
        <v>-6.5000000000000002E-2</v>
      </c>
      <c r="K264" s="26">
        <v>0</v>
      </c>
      <c r="L264" s="26">
        <v>-6.5000000000000002E-2</v>
      </c>
      <c r="M264" s="26">
        <v>0</v>
      </c>
      <c r="N264" s="26">
        <v>1.7029099039371602E-2</v>
      </c>
    </row>
    <row r="265" spans="8:14" x14ac:dyDescent="0.3">
      <c r="H265" s="25" t="s">
        <v>297</v>
      </c>
      <c r="I265" s="26">
        <v>2.6000000000000002E-2</v>
      </c>
      <c r="J265" s="26">
        <v>-5.9999999999999967E-3</v>
      </c>
      <c r="K265" s="26">
        <v>2.6000000000000002E-2</v>
      </c>
      <c r="L265" s="26">
        <v>-5.9999999999999967E-3</v>
      </c>
      <c r="M265" s="26">
        <v>2.1152632882953569E-2</v>
      </c>
      <c r="N265" s="26">
        <v>1.76038229190097E-2</v>
      </c>
    </row>
    <row r="266" spans="8:14" x14ac:dyDescent="0.3">
      <c r="H266" s="25" t="s">
        <v>299</v>
      </c>
      <c r="I266" s="26">
        <v>0</v>
      </c>
      <c r="J266" s="26">
        <v>0</v>
      </c>
      <c r="K266" s="26">
        <v>0</v>
      </c>
      <c r="L266" s="26">
        <v>0</v>
      </c>
      <c r="M266" s="26">
        <v>0</v>
      </c>
      <c r="N266" s="26">
        <v>0</v>
      </c>
    </row>
    <row r="267" spans="8:14" x14ac:dyDescent="0.3">
      <c r="H267" s="25" t="s">
        <v>294</v>
      </c>
      <c r="I267" s="26">
        <v>0.1555</v>
      </c>
      <c r="J267" s="26">
        <v>5.2499999999999998E-2</v>
      </c>
      <c r="K267" s="26">
        <v>0.14699999999999999</v>
      </c>
      <c r="L267" s="26">
        <v>4.3999999999999991E-2</v>
      </c>
      <c r="M267" s="26">
        <v>0.16120357045171349</v>
      </c>
      <c r="N267" s="26">
        <v>9.3549453867270024E-2</v>
      </c>
    </row>
    <row r="268" spans="8:14" x14ac:dyDescent="0.3">
      <c r="H268" s="25" t="s">
        <v>291</v>
      </c>
      <c r="I268" s="26">
        <v>7.6999999999999999E-2</v>
      </c>
      <c r="J268" s="26">
        <v>5.5000000000000007E-2</v>
      </c>
      <c r="K268" s="26">
        <v>7.6999999999999999E-2</v>
      </c>
      <c r="L268" s="26">
        <v>5.5000000000000007E-2</v>
      </c>
      <c r="M268" s="26">
        <v>5.9035948240451226E-2</v>
      </c>
      <c r="N268" s="26">
        <v>3.4496012567453174E-2</v>
      </c>
    </row>
    <row r="269" spans="8:14" x14ac:dyDescent="0.3">
      <c r="H269" s="25" t="s">
        <v>285</v>
      </c>
      <c r="I269" s="26">
        <v>0</v>
      </c>
      <c r="J269" s="26">
        <v>-1.6E-2</v>
      </c>
      <c r="K269" s="26">
        <v>0</v>
      </c>
      <c r="L269" s="26">
        <v>-1.6E-2</v>
      </c>
      <c r="M269" s="26">
        <v>0</v>
      </c>
      <c r="N269" s="26">
        <v>0</v>
      </c>
    </row>
    <row r="270" spans="8:14" x14ac:dyDescent="0.3">
      <c r="H270" s="24" t="s">
        <v>309</v>
      </c>
      <c r="I270" s="26">
        <v>0.99949999999999994</v>
      </c>
      <c r="J270" s="26">
        <v>1.5000000000000083E-3</v>
      </c>
      <c r="K270" s="26">
        <v>0.998</v>
      </c>
      <c r="L270" s="26">
        <v>0</v>
      </c>
      <c r="M270" s="26">
        <v>0.99999999999999944</v>
      </c>
      <c r="N270" s="26">
        <v>0.99999999999999967</v>
      </c>
    </row>
  </sheetData>
  <autoFilter ref="A8:BL222" xr:uid="{19D4759A-463B-4552-8112-D01FBA942D97}">
    <filterColumn colId="3">
      <filters>
        <filter val="0.40%"/>
        <filter val="0.45%"/>
        <filter val="0.60%"/>
        <filter val="0.80%"/>
        <filter val="1.00%"/>
        <filter val="-1.00%"/>
        <filter val="1.10%"/>
        <filter val="-1.10%"/>
        <filter val="1.50%"/>
        <filter val="2.10%"/>
        <filter val="-2.10%"/>
        <filter val="-2.50%"/>
      </filters>
    </filterColumn>
    <sortState xmlns:xlrd2="http://schemas.microsoft.com/office/spreadsheetml/2017/richdata2" ref="A9:BL222">
      <sortCondition descending="1" ref="F8:F222"/>
    </sortState>
  </autoFilter>
  <mergeCells count="3">
    <mergeCell ref="S1:AE3"/>
    <mergeCell ref="AF1:AK3"/>
    <mergeCell ref="AL1:BL3"/>
  </mergeCells>
  <conditionalFormatting sqref="F9:F60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9:F226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7:G7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:K226"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:L22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8:M60">
    <cfRule type="colorScale" priority="15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8">
    <cfRule type="colorScale" priority="15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9:S60">
    <cfRule type="colorScale" priority="10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9:S226">
    <cfRule type="colorScale" priority="10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8">
    <cfRule type="colorScale" priority="14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9:T60">
    <cfRule type="colorScale" priority="10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9:T226">
    <cfRule type="colorScale" priority="10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">
    <cfRule type="colorScale" priority="14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9:U60">
    <cfRule type="colorScale" priority="10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9:U226">
    <cfRule type="colorScale" priority="10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8">
    <cfRule type="colorScale" priority="14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9:V60">
    <cfRule type="colorScale" priority="10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9:V226">
    <cfRule type="colorScale" priority="10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8">
    <cfRule type="colorScale" priority="1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9:W60">
    <cfRule type="colorScale" priority="10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9:W226">
    <cfRule type="colorScale" priority="9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8">
    <cfRule type="colorScale" priority="14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9:X60">
    <cfRule type="colorScale" priority="9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9:X226">
    <cfRule type="colorScale" priority="9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8">
    <cfRule type="colorScale" priority="14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9:Y60">
    <cfRule type="colorScale" priority="9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9:Y226">
    <cfRule type="colorScale" priority="9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8">
    <cfRule type="colorScale" priority="14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9:Z60">
    <cfRule type="colorScale" priority="9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9:Z226">
    <cfRule type="colorScale" priority="9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8">
    <cfRule type="colorScale" priority="14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9:AA60">
    <cfRule type="colorScale" priority="9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9:AA226">
    <cfRule type="colorScale" priority="9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8">
    <cfRule type="colorScale" priority="1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9:AB60">
    <cfRule type="colorScale" priority="9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9:AB226">
    <cfRule type="colorScale" priority="8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8">
    <cfRule type="colorScale" priority="14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9:AC60">
    <cfRule type="colorScale" priority="8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9:AC226">
    <cfRule type="colorScale" priority="8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8">
    <cfRule type="colorScale" priority="1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9:AD60">
    <cfRule type="colorScale" priority="8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9:AD226">
    <cfRule type="colorScale" priority="8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8">
    <cfRule type="colorScale" priority="13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9:AE60">
    <cfRule type="colorScale" priority="8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9:AE226">
    <cfRule type="colorScale" priority="8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8">
    <cfRule type="colorScale" priority="13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9:AF60">
    <cfRule type="colorScale" priority="8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9:AF226">
    <cfRule type="colorScale" priority="8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8">
    <cfRule type="colorScale" priority="13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9:AG60">
    <cfRule type="colorScale" priority="8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9:AG226">
    <cfRule type="colorScale" priority="7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8">
    <cfRule type="colorScale" priority="13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9:AH60">
    <cfRule type="colorScale" priority="7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9:AH226">
    <cfRule type="colorScale" priority="7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8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9:AI60">
    <cfRule type="colorScale" priority="7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9:AI226">
    <cfRule type="colorScale" priority="7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8">
    <cfRule type="colorScale" priority="1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9:AJ60">
    <cfRule type="colorScale" priority="7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9:AJ226">
    <cfRule type="colorScale" priority="7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8">
    <cfRule type="colorScale" priority="1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9:AK60">
    <cfRule type="colorScale" priority="7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9:AK226">
    <cfRule type="colorScale" priority="7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8">
    <cfRule type="colorScale" priority="13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9:AL60">
    <cfRule type="colorScale" priority="7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9:AL226">
    <cfRule type="colorScale" priority="6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8">
    <cfRule type="colorScale" priority="13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9:AM60">
    <cfRule type="colorScale" priority="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9:AM226">
    <cfRule type="colorScale" priority="6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8"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9:AN60">
    <cfRule type="colorScale" priority="6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9:AN226">
    <cfRule type="colorScale" priority="6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8">
    <cfRule type="colorScale" priority="1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9:AO60">
    <cfRule type="colorScale" priority="6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9:AO226">
    <cfRule type="colorScale" priority="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8">
    <cfRule type="colorScale" priority="1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9:AP60">
    <cfRule type="colorScale" priority="6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9:AP226">
    <cfRule type="colorScale" priority="6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8">
    <cfRule type="colorScale" priority="1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9:AQ60">
    <cfRule type="colorScale" priority="6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9:AQ226">
    <cfRule type="colorScale" priority="5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8">
    <cfRule type="colorScale" priority="1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9:AR60">
    <cfRule type="colorScale" priority="5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9:AR226">
    <cfRule type="colorScale" priority="5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8">
    <cfRule type="colorScale" priority="1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9:AS60">
    <cfRule type="colorScale" priority="5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9:AS226">
    <cfRule type="colorScale" priority="5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8">
    <cfRule type="colorScale" priority="1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9:AT60">
    <cfRule type="colorScale" priority="5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9:AT226">
    <cfRule type="colorScale" priority="5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8">
    <cfRule type="colorScale" priority="1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9:AU60">
    <cfRule type="colorScale" priority="5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9:AU226">
    <cfRule type="colorScale" priority="5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8">
    <cfRule type="colorScale" priority="1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9:AV60">
    <cfRule type="colorScale" priority="5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9:AV226">
    <cfRule type="colorScale" priority="4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8">
    <cfRule type="colorScale" priority="1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9:AW60">
    <cfRule type="colorScale" priority="4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9:AW226">
    <cfRule type="colorScale" priority="4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8">
    <cfRule type="colorScale" priority="1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9:AX60">
    <cfRule type="colorScale" priority="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9:AX226">
    <cfRule type="colorScale" priority="4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8">
    <cfRule type="colorScale" priority="1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9:AY60">
    <cfRule type="colorScale" priority="4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9:AY226">
    <cfRule type="colorScale" priority="4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8">
    <cfRule type="colorScale" priority="1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9:AZ60">
    <cfRule type="colorScale" priority="4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9:AZ226">
    <cfRule type="colorScale" priority="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8">
    <cfRule type="colorScale" priority="1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9:BA60">
    <cfRule type="colorScale" priority="4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9:BA226">
    <cfRule type="colorScale" priority="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8">
    <cfRule type="colorScale" priority="1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9:BB60">
    <cfRule type="colorScale" priority="3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9:BB226">
    <cfRule type="colorScale" priority="3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8">
    <cfRule type="colorScale" priority="1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9:BC60">
    <cfRule type="colorScale" priority="3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9:BC226">
    <cfRule type="colorScale" priority="3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8">
    <cfRule type="colorScale" priority="1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9:BD60">
    <cfRule type="colorScale" priority="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9:BD226">
    <cfRule type="colorScale" priority="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8">
    <cfRule type="colorScale" priority="1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9:BE60">
    <cfRule type="colorScale" priority="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9:BE226">
    <cfRule type="colorScale" priority="3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8">
    <cfRule type="colorScale" priority="1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9:BF60">
    <cfRule type="colorScale" priority="3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9:BF226">
    <cfRule type="colorScale" priority="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G8">
    <cfRule type="colorScale" priority="1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G9:BG60">
    <cfRule type="colorScale" priority="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G9:BG226"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H9:BH60">
    <cfRule type="colorScale" priority="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H9:BH226"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I9:BI60">
    <cfRule type="colorScale" priority="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I9:BI226">
    <cfRule type="colorScale" priority="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J9:BJ60">
    <cfRule type="colorScale" priority="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J9:BJ226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K9:BK60"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K9:BK226"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L9:BL60">
    <cfRule type="colorScale" priority="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L9:BL226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M9:BM60"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M9:BM226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L242:L27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9:P22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S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:BL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E22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:G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:BL7 M6:Q6 M7 O7:P7"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:BL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23:R226 M9:M222">
    <cfRule type="colorScale" priority="15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9:R222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J242:J27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9779-290C-47E1-A815-D7A501A3DBF1}">
  <sheetPr>
    <tabColor theme="3" tint="0.499984740745262"/>
  </sheetPr>
  <dimension ref="A1:BN508"/>
  <sheetViews>
    <sheetView showGridLines="0" zoomScaleNormal="100" workbookViewId="0">
      <pane xSplit="1" ySplit="8" topLeftCell="B27" activePane="bottomRight" state="frozen"/>
      <selection pane="topRight" activeCell="B1" sqref="B1"/>
      <selection pane="bottomLeft" activeCell="A6" sqref="A6"/>
      <selection pane="bottomRight" activeCell="I39" sqref="I39"/>
    </sheetView>
  </sheetViews>
  <sheetFormatPr defaultRowHeight="14.4" x14ac:dyDescent="0.3"/>
  <cols>
    <col min="5" max="5" width="13.88671875" customWidth="1"/>
    <col min="8" max="8" width="14" customWidth="1"/>
    <col min="9" max="9" width="21.109375" bestFit="1" customWidth="1"/>
    <col min="10" max="10" width="11" bestFit="1" customWidth="1"/>
    <col min="11" max="11" width="14.5546875" bestFit="1" customWidth="1"/>
    <col min="12" max="12" width="13.33203125" bestFit="1" customWidth="1"/>
    <col min="13" max="13" width="18.44140625" bestFit="1" customWidth="1"/>
    <col min="14" max="14" width="15.88671875" bestFit="1" customWidth="1"/>
    <col min="15" max="15" width="17.88671875" bestFit="1" customWidth="1"/>
    <col min="16" max="16" width="18.5546875" customWidth="1"/>
    <col min="18" max="18" width="15" bestFit="1" customWidth="1"/>
  </cols>
  <sheetData>
    <row r="1" spans="1:66" ht="14.4" customHeight="1" x14ac:dyDescent="0.3">
      <c r="B1" s="30">
        <f>COUNTIF(B9:B222,"&gt;0")</f>
        <v>70</v>
      </c>
      <c r="E1" s="30">
        <f>COUNTIF(E9:E222,"&gt;0")</f>
        <v>106</v>
      </c>
      <c r="K1" s="51" t="s">
        <v>322</v>
      </c>
      <c r="L1" s="52" t="s">
        <v>323</v>
      </c>
      <c r="M1" s="52" t="s">
        <v>314</v>
      </c>
      <c r="N1" s="52" t="s">
        <v>315</v>
      </c>
      <c r="O1" s="52" t="s">
        <v>324</v>
      </c>
      <c r="S1" s="82" t="s">
        <v>269</v>
      </c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93" t="s">
        <v>270</v>
      </c>
      <c r="AG1" s="94"/>
      <c r="AH1" s="94"/>
      <c r="AI1" s="94"/>
      <c r="AJ1" s="94"/>
      <c r="AK1" s="95"/>
      <c r="AL1" s="84" t="s">
        <v>271</v>
      </c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</row>
    <row r="2" spans="1:66" ht="14.4" customHeight="1" x14ac:dyDescent="0.3">
      <c r="K2" s="28" t="s">
        <v>324</v>
      </c>
      <c r="L2" s="2">
        <f>SQRT(SUMSQ(L9:L222)^2)</f>
        <v>2.2127000000000008E-2</v>
      </c>
      <c r="M2" s="2">
        <f>SQRT(SUMSQ(O9:O222)^2)</f>
        <v>6.8304946430326145E-3</v>
      </c>
      <c r="N2" s="2">
        <f>SQRT(SUMSQ(R9:R222)^2)</f>
        <v>1.2873276298955088E-2</v>
      </c>
      <c r="O2" s="2"/>
      <c r="P2" s="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96"/>
      <c r="AG2" s="112"/>
      <c r="AH2" s="112"/>
      <c r="AI2" s="112"/>
      <c r="AJ2" s="112"/>
      <c r="AK2" s="97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</row>
    <row r="3" spans="1:66" ht="14.4" customHeight="1" x14ac:dyDescent="0.3">
      <c r="E3" s="30" t="s">
        <v>333</v>
      </c>
      <c r="F3" s="5">
        <f>SUMPRODUCT($D$9:$D$222,F9:F222)</f>
        <v>4.8759999999999889E-3</v>
      </c>
      <c r="K3" s="28" t="s">
        <v>327</v>
      </c>
      <c r="L3" s="2">
        <f>SQRT(SUMSQ(C9:C222)^2)</f>
        <v>2.074497105630559E-2</v>
      </c>
      <c r="M3" s="2">
        <f>SQRT(SUMSQ(P9:P222)^2)</f>
        <v>7.0616550334312109E-3</v>
      </c>
      <c r="O3" s="2">
        <f>SQRT(SUMSQ(D9:D222)^2)</f>
        <v>1.5059999999999997E-3</v>
      </c>
      <c r="P3" s="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96"/>
      <c r="AG3" s="112"/>
      <c r="AH3" s="112"/>
      <c r="AI3" s="112"/>
      <c r="AJ3" s="112"/>
      <c r="AK3" s="97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</row>
    <row r="4" spans="1:66" ht="14.4" customHeight="1" x14ac:dyDescent="0.3">
      <c r="E4" s="32" t="s">
        <v>319</v>
      </c>
      <c r="F4" s="5">
        <f>SUMPRODUCT($R$9:$R$222,F9:F222)</f>
        <v>0.1792447989921889</v>
      </c>
      <c r="K4" s="28"/>
      <c r="R4" s="32" t="s">
        <v>333</v>
      </c>
      <c r="S4" s="5">
        <f>SUMPRODUCT($D$9:$D$226,S9:S226)</f>
        <v>-2.2550000000000035E-3</v>
      </c>
      <c r="T4" s="5">
        <f t="shared" ref="T4:BM4" si="0">SUMPRODUCT($D$9:$D$226,T9:T226)</f>
        <v>1.0879999999999952E-3</v>
      </c>
      <c r="U4" s="5">
        <f t="shared" si="0"/>
        <v>-7.8830000000000029E-3</v>
      </c>
      <c r="V4" s="5">
        <f t="shared" si="0"/>
        <v>7.973999999999988E-3</v>
      </c>
      <c r="W4" s="5">
        <f t="shared" si="0"/>
        <v>1.8879999999999965E-3</v>
      </c>
      <c r="X4" s="5">
        <f t="shared" si="0"/>
        <v>4.9999999999995361E-5</v>
      </c>
      <c r="Y4" s="5">
        <f t="shared" si="0"/>
        <v>-3.9910000000000032E-3</v>
      </c>
      <c r="Z4" s="5">
        <f t="shared" si="0"/>
        <v>3.0179999999999946E-3</v>
      </c>
      <c r="AA4" s="5">
        <f t="shared" si="0"/>
        <v>-3.1000000000005849E-5</v>
      </c>
      <c r="AB4" s="5">
        <f t="shared" si="0"/>
        <v>-1.8700000000000574E-4</v>
      </c>
      <c r="AC4" s="5">
        <f t="shared" si="0"/>
        <v>3.5819999999999992E-3</v>
      </c>
      <c r="AD4" s="5">
        <f t="shared" si="0"/>
        <v>6.5859999999999981E-3</v>
      </c>
      <c r="AE4" s="5">
        <f t="shared" si="0"/>
        <v>-5.8399999999999772E-4</v>
      </c>
      <c r="AF4" s="39">
        <f t="shared" si="0"/>
        <v>1.0268999999999997E-2</v>
      </c>
      <c r="AG4" s="6">
        <f t="shared" si="0"/>
        <v>3.5750000000000018E-3</v>
      </c>
      <c r="AH4" s="6">
        <f t="shared" si="0"/>
        <v>6.2149999999999957E-3</v>
      </c>
      <c r="AI4" s="6">
        <f t="shared" si="0"/>
        <v>-5.165999999999997E-3</v>
      </c>
      <c r="AJ4" s="6">
        <f t="shared" si="0"/>
        <v>-8.9009999999999992E-3</v>
      </c>
      <c r="AK4" s="7">
        <f t="shared" si="0"/>
        <v>-3.9459999999999964E-3</v>
      </c>
      <c r="AL4" s="5">
        <f t="shared" si="0"/>
        <v>1.1221999999999998E-2</v>
      </c>
      <c r="AM4" s="5">
        <f t="shared" si="0"/>
        <v>6.7289999999999954E-3</v>
      </c>
      <c r="AN4" s="5">
        <f t="shared" si="0"/>
        <v>-5.5140000000000007E-3</v>
      </c>
      <c r="AO4" s="5">
        <f t="shared" si="0"/>
        <v>-6.398E-3</v>
      </c>
      <c r="AP4" s="5">
        <f t="shared" si="0"/>
        <v>6.5950000000000002E-3</v>
      </c>
      <c r="AQ4" s="5">
        <f t="shared" si="0"/>
        <v>1.0421999999999994E-2</v>
      </c>
      <c r="AR4" s="5">
        <f t="shared" si="0"/>
        <v>-2.3110000000000006E-3</v>
      </c>
      <c r="AS4" s="5">
        <f t="shared" si="0"/>
        <v>8.1559999999999896E-3</v>
      </c>
      <c r="AT4" s="5">
        <f t="shared" si="0"/>
        <v>3.160999999999998E-3</v>
      </c>
      <c r="AU4" s="5">
        <f t="shared" si="0"/>
        <v>8.0639999999999965E-3</v>
      </c>
      <c r="AV4" s="5">
        <f t="shared" si="0"/>
        <v>1.446999999999998E-3</v>
      </c>
      <c r="AW4" s="5">
        <f t="shared" si="0"/>
        <v>7.3089999999999969E-3</v>
      </c>
      <c r="AX4" s="5">
        <f t="shared" si="0"/>
        <v>-7.5730000000000025E-3</v>
      </c>
      <c r="AY4" s="5">
        <f t="shared" si="0"/>
        <v>6.051E-3</v>
      </c>
      <c r="AZ4" s="5">
        <f t="shared" si="0"/>
        <v>-1.2000000000000049E-3</v>
      </c>
      <c r="BA4" s="5">
        <f t="shared" si="0"/>
        <v>9.9299999999999389E-4</v>
      </c>
      <c r="BB4" s="5">
        <f t="shared" si="0"/>
        <v>-3.9387000000000005E-2</v>
      </c>
      <c r="BC4" s="5">
        <f t="shared" si="0"/>
        <v>4.277000000000003E-3</v>
      </c>
      <c r="BD4" s="5">
        <f t="shared" si="0"/>
        <v>1.7290000000000018E-3</v>
      </c>
      <c r="BE4" s="5">
        <f t="shared" si="0"/>
        <v>2.5750000000000009E-3</v>
      </c>
      <c r="BF4" s="5">
        <f t="shared" si="0"/>
        <v>-8.6500000000000014E-3</v>
      </c>
      <c r="BG4" s="5">
        <f t="shared" si="0"/>
        <v>2.2517999999999996E-2</v>
      </c>
      <c r="BH4" s="5">
        <f t="shared" si="0"/>
        <v>-5.7530000000000003E-3</v>
      </c>
      <c r="BI4" s="5">
        <f t="shared" si="0"/>
        <v>-4.9479999999999958E-3</v>
      </c>
      <c r="BJ4" s="5">
        <f t="shared" si="0"/>
        <v>-3.2729999999999981E-3</v>
      </c>
      <c r="BK4" s="5">
        <f t="shared" si="0"/>
        <v>-4.0398000000000003E-2</v>
      </c>
      <c r="BL4" s="5">
        <f t="shared" si="0"/>
        <v>-1.7999000000000001E-2</v>
      </c>
      <c r="BM4" s="5">
        <f t="shared" si="0"/>
        <v>3.4809999999999967E-3</v>
      </c>
    </row>
    <row r="5" spans="1:66" ht="14.4" customHeight="1" x14ac:dyDescent="0.3">
      <c r="E5" s="32" t="s">
        <v>320</v>
      </c>
      <c r="F5" s="5">
        <f>SUMPRODUCT($O$9:$O$222,F9:F222)</f>
        <v>-0.239856599263747</v>
      </c>
      <c r="K5" s="28"/>
      <c r="R5" s="32" t="s">
        <v>319</v>
      </c>
      <c r="S5" s="5">
        <f>SUMPRODUCT($R$9:$R$226,S9:S226)</f>
        <v>0.14988470579220331</v>
      </c>
      <c r="T5" s="5">
        <f t="shared" ref="T5:BM5" si="1">SUMPRODUCT($R$9:$R$226,T9:T226)</f>
        <v>-3.015414191010278E-3</v>
      </c>
      <c r="U5" s="5">
        <f t="shared" si="1"/>
        <v>0.21186298746386642</v>
      </c>
      <c r="V5" s="5">
        <f t="shared" si="1"/>
        <v>4.3224075753617162E-2</v>
      </c>
      <c r="W5" s="5">
        <f t="shared" si="1"/>
        <v>7.0367167138414899E-2</v>
      </c>
      <c r="X5" s="5">
        <f t="shared" si="1"/>
        <v>9.113922858342903E-2</v>
      </c>
      <c r="Y5" s="5">
        <f t="shared" si="1"/>
        <v>6.1639681515943873E-2</v>
      </c>
      <c r="Z5" s="5">
        <f t="shared" si="1"/>
        <v>5.3704116800624237E-2</v>
      </c>
      <c r="AA5" s="5">
        <f t="shared" si="1"/>
        <v>-1.166938357112594E-2</v>
      </c>
      <c r="AB5" s="5">
        <f t="shared" si="1"/>
        <v>-1.2558979704902148E-2</v>
      </c>
      <c r="AC5" s="5">
        <f t="shared" si="1"/>
        <v>3.0513311980706514E-2</v>
      </c>
      <c r="AD5" s="5">
        <f t="shared" si="1"/>
        <v>8.7095838549563001E-3</v>
      </c>
      <c r="AE5" s="5">
        <f t="shared" si="1"/>
        <v>2.490557403846419E-2</v>
      </c>
      <c r="AF5" s="39">
        <f t="shared" si="1"/>
        <v>0.12171626527338257</v>
      </c>
      <c r="AG5" s="6">
        <f t="shared" si="1"/>
        <v>2.5545141422167621E-2</v>
      </c>
      <c r="AH5" s="6">
        <f t="shared" si="1"/>
        <v>-0.12533763418184721</v>
      </c>
      <c r="AI5" s="6">
        <f t="shared" si="1"/>
        <v>0.20730286547734272</v>
      </c>
      <c r="AJ5" s="6">
        <f t="shared" si="1"/>
        <v>0.14233388115358636</v>
      </c>
      <c r="AK5" s="7">
        <f t="shared" si="1"/>
        <v>0.17048124262594852</v>
      </c>
      <c r="AL5" s="5">
        <f t="shared" si="1"/>
        <v>9.5853057525532963E-3</v>
      </c>
      <c r="AM5" s="5">
        <f t="shared" si="1"/>
        <v>9.5387481495196005E-2</v>
      </c>
      <c r="AN5" s="5">
        <f t="shared" si="1"/>
        <v>8.5597147490148337E-2</v>
      </c>
      <c r="AO5" s="5">
        <f t="shared" si="1"/>
        <v>0.10942066517492699</v>
      </c>
      <c r="AP5" s="5">
        <f t="shared" si="1"/>
        <v>-0.10877695789040186</v>
      </c>
      <c r="AQ5" s="5">
        <f t="shared" si="1"/>
        <v>-0.16251592989147937</v>
      </c>
      <c r="AR5" s="5">
        <f t="shared" si="1"/>
        <v>-0.10074126594201735</v>
      </c>
      <c r="AS5" s="5">
        <f t="shared" si="1"/>
        <v>-9.7798061532478872E-2</v>
      </c>
      <c r="AT5" s="5">
        <f t="shared" si="1"/>
        <v>-3.4607963432973982E-2</v>
      </c>
      <c r="AU5" s="5">
        <f t="shared" si="1"/>
        <v>-4.3311852790890698E-2</v>
      </c>
      <c r="AV5" s="5">
        <f t="shared" si="1"/>
        <v>-2.4049219946607126E-2</v>
      </c>
      <c r="AW5" s="5">
        <f t="shared" si="1"/>
        <v>2.5129586068869041E-2</v>
      </c>
      <c r="AX5" s="5">
        <f t="shared" si="1"/>
        <v>2.18114800178996E-3</v>
      </c>
      <c r="AY5" s="5">
        <f t="shared" si="1"/>
        <v>0.12449336817295446</v>
      </c>
      <c r="AZ5" s="5">
        <f t="shared" si="1"/>
        <v>-3.0088451048155166E-2</v>
      </c>
      <c r="BA5" s="5">
        <f t="shared" si="1"/>
        <v>-2.9420135938193363E-2</v>
      </c>
      <c r="BB5" s="5">
        <f t="shared" si="1"/>
        <v>0.1514758885111411</v>
      </c>
      <c r="BC5" s="5">
        <f t="shared" si="1"/>
        <v>7.8816220333902134E-2</v>
      </c>
      <c r="BD5" s="5">
        <f t="shared" si="1"/>
        <v>0.11274104200569604</v>
      </c>
      <c r="BE5" s="5">
        <f t="shared" si="1"/>
        <v>-2.0531176908982304E-2</v>
      </c>
      <c r="BF5" s="5">
        <f t="shared" si="1"/>
        <v>9.0624387001711632E-2</v>
      </c>
      <c r="BG5" s="5">
        <f t="shared" si="1"/>
        <v>-6.4203046906102623E-2</v>
      </c>
      <c r="BH5" s="5">
        <f t="shared" si="1"/>
        <v>1.8992841623843355E-2</v>
      </c>
      <c r="BI5" s="5">
        <f t="shared" si="1"/>
        <v>0.10649885170303848</v>
      </c>
      <c r="BJ5" s="5">
        <f t="shared" si="1"/>
        <v>1.3003709853728731E-2</v>
      </c>
      <c r="BK5" s="5">
        <f t="shared" si="1"/>
        <v>0.17246782005001701</v>
      </c>
      <c r="BL5" s="5">
        <f t="shared" si="1"/>
        <v>0.20590128896534293</v>
      </c>
      <c r="BM5" s="5">
        <f t="shared" si="1"/>
        <v>0.14038564800154285</v>
      </c>
    </row>
    <row r="6" spans="1:66" ht="14.4" customHeight="1" x14ac:dyDescent="0.3">
      <c r="E6" s="32" t="s">
        <v>321</v>
      </c>
      <c r="F6" s="5">
        <f>SUMPRODUCT($L$9:$L$222,F9:F222)</f>
        <v>0.72687600000000008</v>
      </c>
      <c r="G6" s="5">
        <f>SUMPRODUCT($L$9:$L$222,G9:G222)</f>
        <v>0.28326299999999993</v>
      </c>
      <c r="O6" s="2"/>
      <c r="P6" s="2"/>
      <c r="R6" s="32" t="s">
        <v>320</v>
      </c>
      <c r="S6" s="5">
        <f>SUMPRODUCT($O$9:$O$226,S9:S226)</f>
        <v>-0.14305642769476951</v>
      </c>
      <c r="T6" s="5">
        <f t="shared" ref="T6:BM6" si="2">SUMPRODUCT($O$9:$O$226,T9:T226)</f>
        <v>-0.13533378726263559</v>
      </c>
      <c r="U6" s="5">
        <f t="shared" si="2"/>
        <v>-8.096989311638067E-2</v>
      </c>
      <c r="V6" s="5">
        <f t="shared" si="2"/>
        <v>-0.18544563617461735</v>
      </c>
      <c r="W6" s="5">
        <f t="shared" si="2"/>
        <v>-0.15376210134772866</v>
      </c>
      <c r="X6" s="5">
        <f t="shared" si="2"/>
        <v>-0.13730618485702384</v>
      </c>
      <c r="Y6" s="5">
        <f t="shared" si="2"/>
        <v>-0.10542861839549113</v>
      </c>
      <c r="Z6" s="5">
        <f t="shared" si="2"/>
        <v>-0.10662852859379734</v>
      </c>
      <c r="AA6" s="5">
        <f t="shared" si="2"/>
        <v>-1.8090946944924101E-2</v>
      </c>
      <c r="AB6" s="5">
        <f t="shared" si="2"/>
        <v>-1.8296982398693519E-2</v>
      </c>
      <c r="AC6" s="5">
        <f t="shared" si="2"/>
        <v>-1.3697756412076649E-2</v>
      </c>
      <c r="AD6" s="5">
        <f t="shared" si="2"/>
        <v>-9.786347066429401E-3</v>
      </c>
      <c r="AE6" s="5">
        <f t="shared" si="2"/>
        <v>-2.1541194010837997E-2</v>
      </c>
      <c r="AF6" s="39">
        <f t="shared" si="2"/>
        <v>-0.19167516819282937</v>
      </c>
      <c r="AG6" s="6">
        <f t="shared" si="2"/>
        <v>-0.15228746936940471</v>
      </c>
      <c r="AH6" s="6">
        <f t="shared" si="2"/>
        <v>-4.5546335755953259E-2</v>
      </c>
      <c r="AI6" s="6">
        <f t="shared" si="2"/>
        <v>-6.8016066610911592E-3</v>
      </c>
      <c r="AJ6" s="6">
        <f t="shared" si="2"/>
        <v>3.570479139612269E-2</v>
      </c>
      <c r="AK6" s="7">
        <f t="shared" si="2"/>
        <v>-6.5186684870539843E-2</v>
      </c>
      <c r="AL6" s="5">
        <f t="shared" si="2"/>
        <v>-8.5548832938622338E-2</v>
      </c>
      <c r="AM6" s="5">
        <f t="shared" si="2"/>
        <v>-9.1000587058750314E-3</v>
      </c>
      <c r="AN6" s="5">
        <f t="shared" si="2"/>
        <v>5.3426838820465044E-3</v>
      </c>
      <c r="AO6" s="5">
        <f t="shared" si="2"/>
        <v>-3.6254043468587314E-2</v>
      </c>
      <c r="AP6" s="5">
        <f t="shared" si="2"/>
        <v>5.2295615708756356E-3</v>
      </c>
      <c r="AQ6" s="5">
        <f t="shared" si="2"/>
        <v>-2.3867357631949138E-2</v>
      </c>
      <c r="AR6" s="5">
        <f t="shared" si="2"/>
        <v>-0.10679342424106675</v>
      </c>
      <c r="AS6" s="5">
        <f t="shared" si="2"/>
        <v>-9.6220700695840211E-2</v>
      </c>
      <c r="AT6" s="5">
        <f t="shared" si="2"/>
        <v>-4.4926924816066055E-2</v>
      </c>
      <c r="AU6" s="5">
        <f t="shared" si="2"/>
        <v>-7.4701108273290087E-2</v>
      </c>
      <c r="AV6" s="5">
        <f t="shared" si="2"/>
        <v>-4.9157218747452373E-2</v>
      </c>
      <c r="AW6" s="5">
        <f t="shared" si="2"/>
        <v>-0.11640305069989898</v>
      </c>
      <c r="AX6" s="5">
        <f t="shared" si="2"/>
        <v>4.0000966618060595E-2</v>
      </c>
      <c r="AY6" s="5">
        <f t="shared" si="2"/>
        <v>-4.7573493925529182E-2</v>
      </c>
      <c r="AZ6" s="5">
        <f t="shared" si="2"/>
        <v>6.4310799655819192E-3</v>
      </c>
      <c r="BA6" s="5">
        <f t="shared" si="2"/>
        <v>-9.7420075483286628E-2</v>
      </c>
      <c r="BB6" s="5">
        <f t="shared" si="2"/>
        <v>1.8230549058994662E-2</v>
      </c>
      <c r="BC6" s="5">
        <f t="shared" si="2"/>
        <v>-1.113176821748077E-2</v>
      </c>
      <c r="BD6" s="5">
        <f t="shared" si="2"/>
        <v>-2.2391392099416388E-2</v>
      </c>
      <c r="BE6" s="5">
        <f t="shared" si="2"/>
        <v>-3.5863570249682349E-2</v>
      </c>
      <c r="BF6" s="5">
        <f t="shared" si="2"/>
        <v>-1.1749804044717337E-2</v>
      </c>
      <c r="BG6" s="5">
        <f t="shared" si="2"/>
        <v>-9.2424394386090444E-2</v>
      </c>
      <c r="BH6" s="5">
        <f t="shared" si="2"/>
        <v>3.8312653428878622E-2</v>
      </c>
      <c r="BI6" s="5">
        <f t="shared" si="2"/>
        <v>5.4073333872507762E-2</v>
      </c>
      <c r="BJ6" s="5">
        <f t="shared" si="2"/>
        <v>-1.1777749496003256E-2</v>
      </c>
      <c r="BK6" s="5">
        <f t="shared" si="2"/>
        <v>7.0431116427868021E-2</v>
      </c>
      <c r="BL6" s="5">
        <f t="shared" si="2"/>
        <v>4.3986829199238103E-2</v>
      </c>
      <c r="BM6" s="5">
        <f t="shared" si="2"/>
        <v>6.9163532468860769E-2</v>
      </c>
    </row>
    <row r="7" spans="1:66" ht="15" thickBot="1" x14ac:dyDescent="0.35">
      <c r="B7" s="54">
        <f>SUM(B9:B222)</f>
        <v>1.0000000000000004</v>
      </c>
      <c r="E7" s="54">
        <f>SUM(E9:E222)</f>
        <v>0.99999731999999975</v>
      </c>
      <c r="F7" s="5">
        <f>SUMPRODUCT($L$9:$L$226,F9:F226)</f>
        <v>0.72687600000000008</v>
      </c>
      <c r="G7" s="5">
        <f>SUMPRODUCT($L$9:$L$226,G9:G226)</f>
        <v>0.28326299999999993</v>
      </c>
      <c r="K7" s="54">
        <f>SUM(K9:K222)</f>
        <v>0.99800000000000066</v>
      </c>
      <c r="N7" s="54">
        <f>SUM(N9:N222)</f>
        <v>1</v>
      </c>
      <c r="Q7" s="54">
        <f>SUM(Q9:Q222)</f>
        <v>1.0000000000000004</v>
      </c>
      <c r="R7" s="32" t="s">
        <v>321</v>
      </c>
      <c r="S7" s="5">
        <f>SUMPRODUCT($L$9:$L$226,S9:S226)</f>
        <v>0.52936000000000016</v>
      </c>
      <c r="T7" s="5">
        <f t="shared" ref="T7:BM7" si="3">SUMPRODUCT($L$9:$L$226,T9:T226)</f>
        <v>0.32568100000000022</v>
      </c>
      <c r="U7" s="5">
        <f t="shared" si="3"/>
        <v>0.59090700000000018</v>
      </c>
      <c r="V7" s="5">
        <f t="shared" si="3"/>
        <v>0.38945099999999988</v>
      </c>
      <c r="W7" s="5">
        <f t="shared" si="3"/>
        <v>0.44685100000000016</v>
      </c>
      <c r="X7" s="5">
        <f t="shared" si="3"/>
        <v>0.39493799999999996</v>
      </c>
      <c r="Y7" s="5">
        <f t="shared" si="3"/>
        <v>0.31097800000000009</v>
      </c>
      <c r="Z7" s="5">
        <f t="shared" si="3"/>
        <v>0.281165</v>
      </c>
      <c r="AA7" s="5">
        <f t="shared" si="3"/>
        <v>5.8196999999999922E-2</v>
      </c>
      <c r="AB7" s="5">
        <f t="shared" si="3"/>
        <v>5.7928000000000049E-2</v>
      </c>
      <c r="AC7" s="5">
        <f t="shared" si="3"/>
        <v>0.10910200000000012</v>
      </c>
      <c r="AD7" s="5">
        <f t="shared" si="3"/>
        <v>7.6657000000000239E-2</v>
      </c>
      <c r="AE7" s="5">
        <f t="shared" si="3"/>
        <v>0.15150499999999997</v>
      </c>
      <c r="AF7" s="39">
        <f t="shared" si="3"/>
        <v>0.35911000000000004</v>
      </c>
      <c r="AG7" s="6">
        <f t="shared" si="3"/>
        <v>0.26051799999999992</v>
      </c>
      <c r="AH7" s="6">
        <f t="shared" si="3"/>
        <v>4.4100000000000028E-2</v>
      </c>
      <c r="AI7" s="6">
        <f t="shared" si="3"/>
        <v>0.4108679999999999</v>
      </c>
      <c r="AJ7" s="6">
        <f t="shared" si="3"/>
        <v>0.5049769999999999</v>
      </c>
      <c r="AK7" s="7">
        <f t="shared" si="3"/>
        <v>0.49499899999999991</v>
      </c>
      <c r="AL7" s="5">
        <f t="shared" si="3"/>
        <v>5.3955999999999976E-2</v>
      </c>
      <c r="AM7" s="5">
        <f t="shared" si="3"/>
        <v>8.7352000000000041E-2</v>
      </c>
      <c r="AN7" s="5">
        <f t="shared" si="3"/>
        <v>9.4183999999999976E-2</v>
      </c>
      <c r="AO7" s="5">
        <f t="shared" si="3"/>
        <v>0.20288500000000001</v>
      </c>
      <c r="AP7" s="5">
        <f t="shared" si="3"/>
        <v>-5.0107999999999937E-2</v>
      </c>
      <c r="AQ7" s="5">
        <f t="shared" si="3"/>
        <v>-9.142399999999995E-2</v>
      </c>
      <c r="AR7" s="5">
        <f t="shared" si="3"/>
        <v>8.7738000000000052E-2</v>
      </c>
      <c r="AS7" s="5">
        <f t="shared" si="3"/>
        <v>5.2492999999999998E-2</v>
      </c>
      <c r="AT7" s="5">
        <f t="shared" si="3"/>
        <v>6.7513000000000004E-2</v>
      </c>
      <c r="AU7" s="5">
        <f t="shared" si="3"/>
        <v>4.2278999999999949E-2</v>
      </c>
      <c r="AV7" s="5">
        <f t="shared" si="3"/>
        <v>2.4253999999999998E-2</v>
      </c>
      <c r="AW7" s="5">
        <f t="shared" si="3"/>
        <v>0.19421700000000006</v>
      </c>
      <c r="AX7" s="5">
        <f t="shared" si="3"/>
        <v>-5.9359999999999812E-3</v>
      </c>
      <c r="AY7" s="5">
        <f t="shared" si="3"/>
        <v>0.15173500000000001</v>
      </c>
      <c r="AZ7" s="5">
        <f t="shared" si="3"/>
        <v>-3.8539999999999866E-2</v>
      </c>
      <c r="BA7" s="5">
        <f t="shared" si="3"/>
        <v>0.15803</v>
      </c>
      <c r="BB7" s="5">
        <f t="shared" si="3"/>
        <v>0.30239100000000002</v>
      </c>
      <c r="BC7" s="5">
        <f t="shared" si="3"/>
        <v>3.3484E-2</v>
      </c>
      <c r="BD7" s="5">
        <f t="shared" si="3"/>
        <v>8.7016999999999997E-2</v>
      </c>
      <c r="BE7" s="5">
        <f t="shared" si="3"/>
        <v>-2.0013999999999976E-2</v>
      </c>
      <c r="BF7" s="5">
        <f t="shared" si="3"/>
        <v>7.3218000000000019E-2</v>
      </c>
      <c r="BG7" s="5">
        <f t="shared" si="3"/>
        <v>-3.7637000000000011E-2</v>
      </c>
      <c r="BH7" s="5">
        <f t="shared" si="3"/>
        <v>3.4010000000001725E-3</v>
      </c>
      <c r="BI7" s="5">
        <f t="shared" si="3"/>
        <v>4.7652999999999994E-2</v>
      </c>
      <c r="BJ7" s="5">
        <f t="shared" si="3"/>
        <v>8.0370999999999998E-2</v>
      </c>
      <c r="BK7" s="5">
        <f t="shared" si="3"/>
        <v>0.38241200000000009</v>
      </c>
      <c r="BL7" s="5">
        <f t="shared" si="3"/>
        <v>0.47200900000000007</v>
      </c>
      <c r="BM7" s="5">
        <f t="shared" si="3"/>
        <v>0.10219499999999995</v>
      </c>
    </row>
    <row r="8" spans="1:66" x14ac:dyDescent="0.3">
      <c r="A8" s="1" t="s">
        <v>0</v>
      </c>
      <c r="B8" s="55" t="s">
        <v>327</v>
      </c>
      <c r="C8" s="56" t="s">
        <v>536</v>
      </c>
      <c r="D8" s="56" t="s">
        <v>332</v>
      </c>
      <c r="E8" s="57" t="s">
        <v>323</v>
      </c>
      <c r="F8" s="1" t="s">
        <v>1</v>
      </c>
      <c r="G8" s="1" t="s">
        <v>2</v>
      </c>
      <c r="H8" s="1" t="s">
        <v>3</v>
      </c>
      <c r="I8" s="22" t="s">
        <v>305</v>
      </c>
      <c r="J8" s="22" t="s">
        <v>307</v>
      </c>
      <c r="K8" s="30" t="s">
        <v>537</v>
      </c>
      <c r="L8" s="1" t="s">
        <v>5</v>
      </c>
      <c r="M8" s="1" t="s">
        <v>273</v>
      </c>
      <c r="N8" s="80" t="s">
        <v>316</v>
      </c>
      <c r="O8" s="61" t="s">
        <v>320</v>
      </c>
      <c r="P8" s="46" t="s">
        <v>756</v>
      </c>
      <c r="Q8" s="45" t="s">
        <v>317</v>
      </c>
      <c r="R8" s="46" t="s">
        <v>319</v>
      </c>
      <c r="S8" s="3" t="s">
        <v>6</v>
      </c>
      <c r="T8" s="3" t="s">
        <v>7</v>
      </c>
      <c r="U8" s="3" t="s">
        <v>8</v>
      </c>
      <c r="V8" s="3" t="s">
        <v>9</v>
      </c>
      <c r="W8" s="3" t="s">
        <v>10</v>
      </c>
      <c r="X8" s="3" t="s">
        <v>11</v>
      </c>
      <c r="Y8" s="3" t="s">
        <v>12</v>
      </c>
      <c r="Z8" s="3" t="s">
        <v>13</v>
      </c>
      <c r="AA8" s="3" t="s">
        <v>14</v>
      </c>
      <c r="AB8" s="3" t="s">
        <v>15</v>
      </c>
      <c r="AC8" s="3" t="s">
        <v>16</v>
      </c>
      <c r="AD8" s="3" t="s">
        <v>17</v>
      </c>
      <c r="AE8" s="3" t="s">
        <v>18</v>
      </c>
      <c r="AF8" s="14" t="s">
        <v>19</v>
      </c>
      <c r="AG8" s="14" t="s">
        <v>20</v>
      </c>
      <c r="AH8" s="110" t="s">
        <v>21</v>
      </c>
      <c r="AI8" s="110" t="s">
        <v>22</v>
      </c>
      <c r="AJ8" s="110" t="s">
        <v>23</v>
      </c>
      <c r="AK8" s="16" t="s">
        <v>24</v>
      </c>
      <c r="AL8" s="8" t="s">
        <v>25</v>
      </c>
      <c r="AM8" s="3" t="s">
        <v>26</v>
      </c>
      <c r="AN8" s="3" t="s">
        <v>27</v>
      </c>
      <c r="AO8" s="3" t="s">
        <v>28</v>
      </c>
      <c r="AP8" s="3" t="s">
        <v>29</v>
      </c>
      <c r="AQ8" s="3" t="s">
        <v>30</v>
      </c>
      <c r="AR8" s="3" t="s">
        <v>31</v>
      </c>
      <c r="AS8" s="3" t="s">
        <v>32</v>
      </c>
      <c r="AT8" s="3" t="s">
        <v>33</v>
      </c>
      <c r="AU8" s="3" t="s">
        <v>34</v>
      </c>
      <c r="AV8" s="3" t="s">
        <v>35</v>
      </c>
      <c r="AW8" s="3" t="s">
        <v>36</v>
      </c>
      <c r="AX8" s="3" t="s">
        <v>37</v>
      </c>
      <c r="AY8" s="3" t="s">
        <v>38</v>
      </c>
      <c r="AZ8" s="3" t="s">
        <v>39</v>
      </c>
      <c r="BA8" s="3" t="s">
        <v>40</v>
      </c>
      <c r="BB8" s="3" t="s">
        <v>41</v>
      </c>
      <c r="BC8" s="3" t="s">
        <v>42</v>
      </c>
      <c r="BD8" s="3" t="s">
        <v>43</v>
      </c>
      <c r="BE8" s="3" t="s">
        <v>44</v>
      </c>
      <c r="BF8" s="3" t="s">
        <v>45</v>
      </c>
      <c r="BG8" s="3" t="s">
        <v>46</v>
      </c>
      <c r="BH8" s="3" t="s">
        <v>47</v>
      </c>
      <c r="BI8" s="3" t="s">
        <v>48</v>
      </c>
      <c r="BJ8" s="3" t="s">
        <v>49</v>
      </c>
      <c r="BK8" s="3" t="s">
        <v>50</v>
      </c>
      <c r="BL8" s="3" t="s">
        <v>51</v>
      </c>
      <c r="BM8" t="s">
        <v>51</v>
      </c>
    </row>
    <row r="9" spans="1:66" x14ac:dyDescent="0.3">
      <c r="A9" t="s">
        <v>52</v>
      </c>
      <c r="B9" s="53">
        <f>K9</f>
        <v>1.4E-2</v>
      </c>
      <c r="C9" s="53">
        <f>B9-E9</f>
        <v>1.4E-2</v>
      </c>
      <c r="D9" s="53">
        <f>B9-K9</f>
        <v>0</v>
      </c>
      <c r="E9" s="53">
        <f>VLOOKUP(A9,$J$295:$K$508,2,0)</f>
        <v>0</v>
      </c>
      <c r="F9" s="15">
        <v>3.2610000000000001</v>
      </c>
      <c r="G9">
        <v>3.4220000000000002</v>
      </c>
      <c r="H9" t="s">
        <v>53</v>
      </c>
      <c r="I9" t="str">
        <f>VLOOKUP(A9,Planilha6!$BL$9:$BN$222,2,0)</f>
        <v>financial_services</v>
      </c>
      <c r="J9" t="str">
        <f>VLOOKUP(A9,Planilha6!$BL$9:$BN$222,3,0)</f>
        <v>low_beta</v>
      </c>
      <c r="K9" s="17">
        <v>1.4E-2</v>
      </c>
      <c r="L9" s="2">
        <v>1.4E-2</v>
      </c>
      <c r="M9" s="5">
        <v>0.41928211937333298</v>
      </c>
      <c r="N9" s="41">
        <f>VLOOKUP(A9,'Mandato LP'!$A$2:$B$215,2,0)</f>
        <v>1.22931154954909E-2</v>
      </c>
      <c r="O9" s="59">
        <f>K9-N9</f>
        <v>1.7068845045091E-3</v>
      </c>
      <c r="P9" s="42">
        <f>B9-N9</f>
        <v>1.7068845045091E-3</v>
      </c>
      <c r="Q9" s="41">
        <f>VLOOKUP(A9,'Mandato LP'!$A$2:$C$215,3,0)</f>
        <v>9.8665773843535608E-3</v>
      </c>
      <c r="R9" s="42">
        <f>K9-Q9</f>
        <v>4.1334226156464395E-3</v>
      </c>
      <c r="S9" s="15">
        <v>1</v>
      </c>
      <c r="T9" s="15">
        <v>1</v>
      </c>
      <c r="U9" s="15">
        <v>1</v>
      </c>
      <c r="V9" s="15">
        <v>1</v>
      </c>
      <c r="W9" s="15">
        <v>1</v>
      </c>
      <c r="X9" s="15">
        <v>1</v>
      </c>
      <c r="Y9" s="15">
        <v>1</v>
      </c>
      <c r="Z9" s="15">
        <v>0.90300000000000002</v>
      </c>
      <c r="AA9" s="15">
        <v>0.81699999999999995</v>
      </c>
      <c r="AB9" s="15">
        <v>0.82599999999999996</v>
      </c>
      <c r="AC9" s="15">
        <v>1</v>
      </c>
      <c r="AD9" s="15">
        <v>1</v>
      </c>
      <c r="AE9" s="15">
        <v>1</v>
      </c>
      <c r="AF9" s="14">
        <v>1</v>
      </c>
      <c r="AG9" s="110">
        <v>0.24099999999999999</v>
      </c>
      <c r="AH9" s="110">
        <v>0.49</v>
      </c>
      <c r="AI9" s="110">
        <v>0.44700000000000001</v>
      </c>
      <c r="AJ9" s="110">
        <v>0.84099999999999997</v>
      </c>
      <c r="AK9" s="16">
        <v>1</v>
      </c>
      <c r="AL9" s="111">
        <v>0.47699999999999998</v>
      </c>
      <c r="AM9" s="111">
        <v>-0.27100000000000002</v>
      </c>
      <c r="AN9" s="4">
        <v>-0.23599999999999999</v>
      </c>
      <c r="AO9" s="4">
        <v>-5.6000000000000001E-2</v>
      </c>
      <c r="AP9" s="4">
        <v>0.114</v>
      </c>
      <c r="AQ9" s="4">
        <v>1.4999999999999999E-2</v>
      </c>
      <c r="AR9" s="4">
        <v>0.30399999999999999</v>
      </c>
      <c r="AS9" s="4">
        <v>0.17299999999999999</v>
      </c>
      <c r="AT9" s="4">
        <v>0.23300000000000001</v>
      </c>
      <c r="AU9" s="4">
        <v>0.84699999999999998</v>
      </c>
      <c r="AV9" s="4">
        <v>0.51700000000000002</v>
      </c>
      <c r="AW9" s="4">
        <v>0.75900000000000001</v>
      </c>
      <c r="AX9" s="4">
        <v>0.41799999999999998</v>
      </c>
      <c r="AY9" s="4">
        <v>-6.6000000000000003E-2</v>
      </c>
      <c r="AZ9" s="4">
        <v>0.63600000000000001</v>
      </c>
      <c r="BA9" s="4">
        <v>1</v>
      </c>
      <c r="BB9" s="4">
        <v>0.85099999999999998</v>
      </c>
      <c r="BC9" s="4">
        <v>-0.17699999999999999</v>
      </c>
      <c r="BD9" s="4">
        <v>6.0000000000000001E-3</v>
      </c>
      <c r="BE9" s="4">
        <v>0.39300000000000002</v>
      </c>
      <c r="BF9" s="4">
        <v>0.13400000000000001</v>
      </c>
      <c r="BG9" s="4">
        <v>0.78300000000000003</v>
      </c>
      <c r="BH9" s="4">
        <v>0.80900000000000005</v>
      </c>
      <c r="BI9" s="4">
        <v>-0.46899999999999997</v>
      </c>
      <c r="BJ9" s="4">
        <v>-0.20200000000000001</v>
      </c>
      <c r="BK9" s="4">
        <v>0.61499999999999999</v>
      </c>
      <c r="BL9" s="4">
        <v>0.79800000000000004</v>
      </c>
      <c r="BM9" s="4">
        <v>0.27800000000000002</v>
      </c>
      <c r="BN9" s="4"/>
    </row>
    <row r="10" spans="1:66" x14ac:dyDescent="0.3">
      <c r="A10" t="s">
        <v>69</v>
      </c>
      <c r="B10" s="53">
        <f t="shared" ref="B10:B73" si="4">K10</f>
        <v>0.01</v>
      </c>
      <c r="C10" s="53">
        <f t="shared" ref="C10:C73" si="5">B10-E10</f>
        <v>0.01</v>
      </c>
      <c r="D10" s="53">
        <f t="shared" ref="D10:D73" si="6">B10-K10</f>
        <v>0</v>
      </c>
      <c r="E10" s="53">
        <f t="shared" ref="E10:E73" si="7">VLOOKUP(A10,$J$295:$K$508,2,0)</f>
        <v>0</v>
      </c>
      <c r="F10" s="15">
        <v>3.2610000000000001</v>
      </c>
      <c r="G10">
        <v>3.3159999999999998</v>
      </c>
      <c r="H10" t="s">
        <v>57</v>
      </c>
      <c r="I10" t="str">
        <f>VLOOKUP(A10,Planilha6!$BL$9:$BN$222,2,0)</f>
        <v>banks</v>
      </c>
      <c r="J10" t="str">
        <f>VLOOKUP(A10,Planilha6!$BL$9:$BN$222,3,0)</f>
        <v>high_beta</v>
      </c>
      <c r="K10" s="17">
        <v>0.01</v>
      </c>
      <c r="L10" s="2">
        <v>0.01</v>
      </c>
      <c r="M10" s="5">
        <v>0.43086666666666701</v>
      </c>
      <c r="N10" s="41">
        <f>VLOOKUP(A10,'Mandato LP'!$A$2:$B$215,2,0)</f>
        <v>1.22931154954909E-2</v>
      </c>
      <c r="O10" s="59">
        <f t="shared" ref="O10:O73" si="8">K10-N10</f>
        <v>-2.2931154954909001E-3</v>
      </c>
      <c r="P10" s="42">
        <f t="shared" ref="P10:P73" si="9">B10-N10</f>
        <v>-2.2931154954909001E-3</v>
      </c>
      <c r="Q10" s="41">
        <f>VLOOKUP(A10,'Mandato LP'!$A$2:$C$215,3,0)</f>
        <v>9.8665773843535608E-3</v>
      </c>
      <c r="R10" s="42">
        <f t="shared" ref="R10:R73" si="10">K10-Q10</f>
        <v>1.3342261564643944E-4</v>
      </c>
      <c r="S10" s="15">
        <v>0.91600000000000004</v>
      </c>
      <c r="T10" s="15">
        <v>0.88200000000000001</v>
      </c>
      <c r="U10" s="15">
        <v>0.78900000000000003</v>
      </c>
      <c r="V10" s="15">
        <v>0.877</v>
      </c>
      <c r="W10" s="15">
        <v>0.97499999999999998</v>
      </c>
      <c r="X10" s="15">
        <v>0.70099999999999996</v>
      </c>
      <c r="Y10" s="15">
        <v>0.54200000000000004</v>
      </c>
      <c r="Z10" s="15">
        <v>0.73199999999999998</v>
      </c>
      <c r="AA10" s="15">
        <v>1</v>
      </c>
      <c r="AB10" s="15">
        <v>1</v>
      </c>
      <c r="AC10" s="15">
        <v>1</v>
      </c>
      <c r="AD10" s="15">
        <v>0.97299999999999998</v>
      </c>
      <c r="AE10" s="15">
        <v>1</v>
      </c>
      <c r="AF10" s="14">
        <v>5.2999999999999999E-2</v>
      </c>
      <c r="AG10" s="110">
        <v>1</v>
      </c>
      <c r="AH10" s="110">
        <v>1</v>
      </c>
      <c r="AI10" s="110">
        <v>6.0999999999999999E-2</v>
      </c>
      <c r="AJ10" s="110">
        <v>0.60899999999999999</v>
      </c>
      <c r="AK10" s="16">
        <v>0.34499999999999997</v>
      </c>
      <c r="AL10" s="111">
        <v>7.5999999999999998E-2</v>
      </c>
      <c r="AM10" s="111">
        <v>0.43</v>
      </c>
      <c r="AN10" s="4">
        <v>0.45300000000000001</v>
      </c>
      <c r="AO10" s="4">
        <v>5.7000000000000002E-2</v>
      </c>
      <c r="AP10" s="4">
        <v>0.65200000000000002</v>
      </c>
      <c r="AQ10" s="4">
        <v>0.106</v>
      </c>
      <c r="AR10" s="4">
        <v>0.54400000000000004</v>
      </c>
      <c r="AS10" s="4">
        <v>1</v>
      </c>
      <c r="AT10" s="4">
        <v>-3.1E-2</v>
      </c>
      <c r="AU10" s="4">
        <v>5.6000000000000001E-2</v>
      </c>
      <c r="AV10" s="4">
        <v>-0.20399999999999999</v>
      </c>
      <c r="AW10" s="4">
        <v>-0.217</v>
      </c>
      <c r="AX10" s="4">
        <v>0.52500000000000002</v>
      </c>
      <c r="AY10" s="4">
        <v>-0.14000000000000001</v>
      </c>
      <c r="AZ10" s="4">
        <v>0.81200000000000006</v>
      </c>
      <c r="BA10" s="4">
        <v>0.15</v>
      </c>
      <c r="BB10" s="4">
        <v>-0.23799999999999999</v>
      </c>
      <c r="BC10" s="4">
        <v>6.4000000000000001E-2</v>
      </c>
      <c r="BD10" s="4">
        <v>1E-3</v>
      </c>
      <c r="BE10" s="4">
        <v>0.64700000000000002</v>
      </c>
      <c r="BF10" s="4">
        <v>-0.45700000000000002</v>
      </c>
      <c r="BG10" s="4">
        <v>-0.309</v>
      </c>
      <c r="BH10" s="4">
        <v>0.33700000000000002</v>
      </c>
      <c r="BI10" s="4">
        <v>-0.754</v>
      </c>
      <c r="BJ10" s="4">
        <v>7.0000000000000007E-2</v>
      </c>
      <c r="BK10" s="4">
        <v>0.65400000000000003</v>
      </c>
      <c r="BL10" s="4">
        <v>0.64200000000000002</v>
      </c>
      <c r="BM10" s="4">
        <v>0.42699999999999999</v>
      </c>
      <c r="BN10" s="4"/>
    </row>
    <row r="11" spans="1:66" x14ac:dyDescent="0.3">
      <c r="A11" t="s">
        <v>91</v>
      </c>
      <c r="B11" s="53">
        <f t="shared" si="4"/>
        <v>8.9999999999999993E-3</v>
      </c>
      <c r="C11" s="53">
        <f t="shared" si="5"/>
        <v>4.1311099999999995E-3</v>
      </c>
      <c r="D11" s="53">
        <f t="shared" si="6"/>
        <v>0</v>
      </c>
      <c r="E11" s="53">
        <f t="shared" si="7"/>
        <v>4.8688899999999998E-3</v>
      </c>
      <c r="F11" s="15">
        <v>3.2610000000000001</v>
      </c>
      <c r="G11">
        <v>3.726</v>
      </c>
      <c r="H11" t="s">
        <v>57</v>
      </c>
      <c r="I11" t="str">
        <f>VLOOKUP(A11,Planilha6!$BL$9:$BN$222,2,0)</f>
        <v>homebuilders</v>
      </c>
      <c r="J11" t="str">
        <f>VLOOKUP(A11,Planilha6!$BL$9:$BN$222,3,0)</f>
        <v>very_high_beta</v>
      </c>
      <c r="K11" s="17">
        <v>8.9999999999999993E-3</v>
      </c>
      <c r="L11" s="2">
        <v>4.0000000000000001E-3</v>
      </c>
      <c r="M11" s="5">
        <v>0.44186093789999997</v>
      </c>
      <c r="N11" s="41">
        <f>VLOOKUP(A11,'Mandato LP'!$A$2:$B$215,2,0)</f>
        <v>1.8813622700624699E-2</v>
      </c>
      <c r="O11" s="59">
        <f t="shared" si="8"/>
        <v>-9.8136227006246999E-3</v>
      </c>
      <c r="P11" s="42">
        <f t="shared" si="9"/>
        <v>-9.8136227006246999E-3</v>
      </c>
      <c r="Q11" s="41">
        <f>VLOOKUP(A11,'Mandato LP'!$A$2:$C$215,3,0)</f>
        <v>1.51000016492021E-2</v>
      </c>
      <c r="R11" s="42">
        <f t="shared" si="10"/>
        <v>-6.1000016492021008E-3</v>
      </c>
      <c r="S11" s="15">
        <v>1</v>
      </c>
      <c r="T11" s="15">
        <v>1</v>
      </c>
      <c r="U11" s="15">
        <v>0.90700000000000003</v>
      </c>
      <c r="V11" s="15">
        <v>1</v>
      </c>
      <c r="W11" s="15">
        <v>1</v>
      </c>
      <c r="X11" s="15">
        <v>1</v>
      </c>
      <c r="Y11" s="15">
        <v>1</v>
      </c>
      <c r="Z11" s="15">
        <v>0.98899999999999999</v>
      </c>
      <c r="AA11" s="15">
        <v>0.91900000000000004</v>
      </c>
      <c r="AB11" s="15">
        <v>0.92200000000000004</v>
      </c>
      <c r="AC11" s="15">
        <v>0.90800000000000003</v>
      </c>
      <c r="AD11" s="15">
        <v>0.95199999999999996</v>
      </c>
      <c r="AE11" s="15">
        <v>1</v>
      </c>
      <c r="AF11" s="14">
        <v>1</v>
      </c>
      <c r="AG11" s="110">
        <v>1</v>
      </c>
      <c r="AH11" s="110">
        <v>1</v>
      </c>
      <c r="AI11" s="110">
        <v>-0.45</v>
      </c>
      <c r="AJ11" s="110">
        <v>0.31</v>
      </c>
      <c r="AK11" s="16">
        <v>0.34</v>
      </c>
      <c r="AL11" s="111">
        <v>0.28699999999999998</v>
      </c>
      <c r="AM11" s="111">
        <v>-0.104</v>
      </c>
      <c r="AN11" s="4">
        <v>-0.45500000000000002</v>
      </c>
      <c r="AO11" s="4">
        <v>0.13600000000000001</v>
      </c>
      <c r="AP11" s="4">
        <v>0.8</v>
      </c>
      <c r="AQ11" s="4">
        <v>0.76900000000000002</v>
      </c>
      <c r="AR11" s="4">
        <v>0.61499999999999999</v>
      </c>
      <c r="AS11" s="4">
        <v>0.41399999999999998</v>
      </c>
      <c r="AT11" s="4">
        <v>0.97599999999999998</v>
      </c>
      <c r="AU11" s="4">
        <v>0.52500000000000002</v>
      </c>
      <c r="AV11" s="4">
        <v>0.91300000000000003</v>
      </c>
      <c r="AW11" s="4">
        <v>0.997</v>
      </c>
      <c r="AX11" s="4">
        <v>-2.9000000000000001E-2</v>
      </c>
      <c r="AY11" s="4">
        <v>0.216</v>
      </c>
      <c r="AZ11" s="4">
        <v>0.188</v>
      </c>
      <c r="BA11" s="4">
        <v>0.76300000000000001</v>
      </c>
      <c r="BB11" s="4">
        <v>0.14899999999999999</v>
      </c>
      <c r="BC11" s="4">
        <v>-0.1</v>
      </c>
      <c r="BD11" s="4">
        <v>0.57299999999999995</v>
      </c>
      <c r="BE11" s="4">
        <v>0.30599999999999999</v>
      </c>
      <c r="BF11" s="4">
        <v>-1</v>
      </c>
      <c r="BG11" s="4">
        <v>0.248</v>
      </c>
      <c r="BH11" s="4">
        <v>-0.13200000000000001</v>
      </c>
      <c r="BI11" s="4">
        <v>-0.67200000000000004</v>
      </c>
      <c r="BJ11" s="4">
        <v>0.63100000000000001</v>
      </c>
      <c r="BK11" s="4">
        <v>2.5000000000000001E-2</v>
      </c>
      <c r="BL11" s="4">
        <v>-0.26800000000000002</v>
      </c>
      <c r="BM11" s="4">
        <v>-0.89700000000000002</v>
      </c>
      <c r="BN11" s="4"/>
    </row>
    <row r="12" spans="1:66" x14ac:dyDescent="0.3">
      <c r="A12" t="s">
        <v>60</v>
      </c>
      <c r="B12" s="53">
        <f t="shared" si="4"/>
        <v>8.0000000000000002E-3</v>
      </c>
      <c r="C12" s="53">
        <f t="shared" si="5"/>
        <v>8.0000000000000002E-3</v>
      </c>
      <c r="D12" s="53">
        <f t="shared" si="6"/>
        <v>0</v>
      </c>
      <c r="E12" s="53">
        <f t="shared" si="7"/>
        <v>0</v>
      </c>
      <c r="F12" s="15">
        <v>3.2610000000000001</v>
      </c>
      <c r="G12">
        <v>2.5329999999999999</v>
      </c>
      <c r="H12" t="s">
        <v>57</v>
      </c>
      <c r="I12" t="str">
        <f>VLOOKUP(A12,Planilha6!$BL$9:$BN$222,2,0)</f>
        <v>apparel</v>
      </c>
      <c r="J12" t="str">
        <f>VLOOKUP(A12,Planilha6!$BL$9:$BN$222,3,0)</f>
        <v>very_high_beta</v>
      </c>
      <c r="K12" s="17">
        <v>8.0000000000000002E-3</v>
      </c>
      <c r="L12" s="2">
        <v>8.0000000000000002E-3</v>
      </c>
      <c r="M12" s="5">
        <v>1.1045107836233301</v>
      </c>
      <c r="N12" s="41">
        <f>VLOOKUP(A12,'Mandato LP'!$A$2:$B$215,2,0)</f>
        <v>1.22931154954909E-2</v>
      </c>
      <c r="O12" s="59">
        <f t="shared" si="8"/>
        <v>-4.2931154954909002E-3</v>
      </c>
      <c r="P12" s="42">
        <f t="shared" si="9"/>
        <v>-4.2931154954909002E-3</v>
      </c>
      <c r="Q12" s="41">
        <f>VLOOKUP(A12,'Mandato LP'!$A$2:$C$215,3,0)</f>
        <v>9.8665773843535608E-3</v>
      </c>
      <c r="R12" s="42">
        <f t="shared" si="10"/>
        <v>-1.8665773843535606E-3</v>
      </c>
      <c r="S12" s="15">
        <v>1</v>
      </c>
      <c r="T12" s="15">
        <v>1</v>
      </c>
      <c r="U12" s="15">
        <v>1</v>
      </c>
      <c r="V12" s="15">
        <v>1</v>
      </c>
      <c r="W12" s="15">
        <v>1</v>
      </c>
      <c r="X12" s="15">
        <v>0.97499999999999998</v>
      </c>
      <c r="Y12" s="15">
        <v>0.68799999999999994</v>
      </c>
      <c r="Z12" s="15">
        <v>0.58599999999999997</v>
      </c>
      <c r="AA12" s="15">
        <v>0.95499999999999996</v>
      </c>
      <c r="AB12" s="15">
        <v>0.95899999999999996</v>
      </c>
      <c r="AC12" s="15">
        <v>0.80400000000000005</v>
      </c>
      <c r="AD12" s="15">
        <v>0.85499999999999998</v>
      </c>
      <c r="AE12" s="15">
        <v>0.96799999999999997</v>
      </c>
      <c r="AF12" s="14">
        <v>1</v>
      </c>
      <c r="AG12" s="110">
        <v>1</v>
      </c>
      <c r="AH12" s="110">
        <v>0.65200000000000002</v>
      </c>
      <c r="AI12" s="110">
        <v>0.03</v>
      </c>
      <c r="AJ12" s="110">
        <v>0.26500000000000001</v>
      </c>
      <c r="AK12" s="16">
        <v>0.68100000000000005</v>
      </c>
      <c r="AL12" s="111">
        <v>0.45900000000000002</v>
      </c>
      <c r="AM12" s="111">
        <v>0.10100000000000001</v>
      </c>
      <c r="AN12" s="4">
        <v>-0.14799999999999999</v>
      </c>
      <c r="AO12" s="4">
        <v>0.505</v>
      </c>
      <c r="AP12" s="4">
        <v>0.28199999999999997</v>
      </c>
      <c r="AQ12" s="4">
        <v>0.441</v>
      </c>
      <c r="AR12" s="4">
        <v>0.61199999999999999</v>
      </c>
      <c r="AS12" s="4">
        <v>0.999</v>
      </c>
      <c r="AT12" s="4">
        <v>0.66200000000000003</v>
      </c>
      <c r="AU12" s="4">
        <v>0.65700000000000003</v>
      </c>
      <c r="AV12" s="4">
        <v>0.11799999999999999</v>
      </c>
      <c r="AW12" s="4">
        <v>0.78200000000000003</v>
      </c>
      <c r="AX12" s="4">
        <v>-0.56699999999999995</v>
      </c>
      <c r="AY12" s="4">
        <v>0.214</v>
      </c>
      <c r="AZ12" s="4">
        <v>0.626</v>
      </c>
      <c r="BA12" s="4">
        <v>0.55300000000000005</v>
      </c>
      <c r="BB12" s="4">
        <v>-0.497</v>
      </c>
      <c r="BC12" s="4">
        <v>0.17899999999999999</v>
      </c>
      <c r="BD12" s="4">
        <v>5.7000000000000002E-2</v>
      </c>
      <c r="BE12" s="4">
        <v>0.60899999999999999</v>
      </c>
      <c r="BF12" s="4">
        <v>-0.77300000000000002</v>
      </c>
      <c r="BG12" s="4">
        <v>-0.53700000000000003</v>
      </c>
      <c r="BH12" s="4">
        <v>0.24199999999999999</v>
      </c>
      <c r="BI12" s="4">
        <v>-0.52300000000000002</v>
      </c>
      <c r="BJ12" s="4">
        <v>0.42799999999999999</v>
      </c>
      <c r="BK12" s="4">
        <v>0.23499999999999999</v>
      </c>
      <c r="BL12" s="4">
        <v>0.13100000000000001</v>
      </c>
      <c r="BM12" s="4">
        <v>-0.51800000000000002</v>
      </c>
      <c r="BN12" s="4"/>
    </row>
    <row r="13" spans="1:66" x14ac:dyDescent="0.3">
      <c r="A13" t="s">
        <v>59</v>
      </c>
      <c r="B13" s="53">
        <f t="shared" si="4"/>
        <v>7.0000000000000001E-3</v>
      </c>
      <c r="C13" s="53">
        <f t="shared" si="5"/>
        <v>7.0000000000000001E-3</v>
      </c>
      <c r="D13" s="53">
        <f t="shared" si="6"/>
        <v>0</v>
      </c>
      <c r="E13" s="53">
        <f t="shared" si="7"/>
        <v>0</v>
      </c>
      <c r="F13" s="15">
        <v>3.2610000000000001</v>
      </c>
      <c r="G13">
        <v>2.5329999999999999</v>
      </c>
      <c r="H13" t="s">
        <v>57</v>
      </c>
      <c r="I13" t="str">
        <f>VLOOKUP(A13,Planilha6!$BL$9:$BN$222,2,0)</f>
        <v>consumer_durables</v>
      </c>
      <c r="J13" t="str">
        <f>VLOOKUP(A13,Planilha6!$BL$9:$BN$222,3,0)</f>
        <v>very_low_beta</v>
      </c>
      <c r="K13" s="17">
        <v>7.0000000000000001E-3</v>
      </c>
      <c r="L13" s="2">
        <v>7.0000000000000001E-3</v>
      </c>
      <c r="M13" s="5">
        <v>2.1306249228366698</v>
      </c>
      <c r="N13" s="41">
        <f>VLOOKUP(A13,'Mandato LP'!$A$2:$B$215,2,0)</f>
        <v>1.22931154954909E-2</v>
      </c>
      <c r="O13" s="59">
        <f t="shared" si="8"/>
        <v>-5.2931154954909002E-3</v>
      </c>
      <c r="P13" s="42">
        <f t="shared" si="9"/>
        <v>-5.2931154954909002E-3</v>
      </c>
      <c r="Q13" s="41">
        <f>VLOOKUP(A13,'Mandato LP'!$A$2:$C$215,3,0)</f>
        <v>7.8704699683066707E-3</v>
      </c>
      <c r="R13" s="42">
        <f t="shared" si="10"/>
        <v>-8.7046996830667054E-4</v>
      </c>
      <c r="S13" s="15">
        <v>1</v>
      </c>
      <c r="T13" s="15">
        <v>0.90600000000000003</v>
      </c>
      <c r="U13" s="15">
        <v>1</v>
      </c>
      <c r="V13" s="15">
        <v>1</v>
      </c>
      <c r="W13" s="15">
        <v>1</v>
      </c>
      <c r="X13" s="15">
        <v>1</v>
      </c>
      <c r="Y13" s="15">
        <v>1</v>
      </c>
      <c r="Z13" s="15">
        <v>1</v>
      </c>
      <c r="AA13" s="15">
        <v>1</v>
      </c>
      <c r="AB13" s="15">
        <v>1</v>
      </c>
      <c r="AC13" s="15">
        <v>0.84699999999999998</v>
      </c>
      <c r="AD13" s="15">
        <v>0.80900000000000005</v>
      </c>
      <c r="AE13" s="15">
        <v>0.96599999999999997</v>
      </c>
      <c r="AF13" s="14">
        <v>1</v>
      </c>
      <c r="AG13" s="110">
        <v>1</v>
      </c>
      <c r="AH13" s="110">
        <v>0.17399999999999999</v>
      </c>
      <c r="AI13" s="110">
        <v>1</v>
      </c>
      <c r="AJ13" s="110">
        <v>-3.5999999999999997E-2</v>
      </c>
      <c r="AK13" s="16">
        <v>1</v>
      </c>
      <c r="AL13" s="111">
        <v>0.89300000000000002</v>
      </c>
      <c r="AM13" s="111">
        <v>1</v>
      </c>
      <c r="AN13" s="4">
        <v>0.503</v>
      </c>
      <c r="AO13" s="4">
        <v>0.72199999999999998</v>
      </c>
      <c r="AP13" s="4">
        <v>-0.35399999999999998</v>
      </c>
      <c r="AQ13" s="4">
        <v>-0.49299999999999999</v>
      </c>
      <c r="AR13" s="4">
        <v>0.36899999999999999</v>
      </c>
      <c r="AS13" s="4">
        <v>-0.124</v>
      </c>
      <c r="AT13" s="4">
        <v>-6.0000000000000001E-3</v>
      </c>
      <c r="AU13" s="4">
        <v>0.80800000000000005</v>
      </c>
      <c r="AV13" s="4">
        <v>-0.377</v>
      </c>
      <c r="AW13" s="4">
        <v>0.63700000000000001</v>
      </c>
      <c r="AX13" s="4">
        <v>0.36099999999999999</v>
      </c>
      <c r="AY13" s="4">
        <v>9.7000000000000003E-2</v>
      </c>
      <c r="AZ13" s="4">
        <v>0.67400000000000004</v>
      </c>
      <c r="BA13" s="4">
        <v>0.223</v>
      </c>
      <c r="BB13" s="4">
        <v>0.65500000000000003</v>
      </c>
      <c r="BC13" s="4">
        <v>0.318</v>
      </c>
      <c r="BD13" s="4">
        <v>0.317</v>
      </c>
      <c r="BE13" s="4">
        <v>0.50900000000000001</v>
      </c>
      <c r="BF13" s="4">
        <v>0.86399999999999999</v>
      </c>
      <c r="BG13" s="4">
        <v>1</v>
      </c>
      <c r="BH13" s="4">
        <v>0.73199999999999998</v>
      </c>
      <c r="BI13" s="4">
        <v>-0.45600000000000002</v>
      </c>
      <c r="BJ13" s="4">
        <v>-0.442</v>
      </c>
      <c r="BK13" s="4">
        <v>0.47099999999999997</v>
      </c>
      <c r="BL13" s="4">
        <v>0.79200000000000004</v>
      </c>
      <c r="BM13" s="4">
        <v>-3.5000000000000003E-2</v>
      </c>
      <c r="BN13" s="4"/>
    </row>
    <row r="14" spans="1:66" x14ac:dyDescent="0.3">
      <c r="A14" t="s">
        <v>77</v>
      </c>
      <c r="B14" s="53">
        <f t="shared" si="4"/>
        <v>7.0000000000000001E-3</v>
      </c>
      <c r="C14" s="53">
        <f t="shared" si="5"/>
        <v>7.0000000000000001E-3</v>
      </c>
      <c r="D14" s="53">
        <f t="shared" si="6"/>
        <v>0</v>
      </c>
      <c r="E14" s="53">
        <f t="shared" si="7"/>
        <v>0</v>
      </c>
      <c r="F14" s="15">
        <v>3.2610000000000001</v>
      </c>
      <c r="G14">
        <v>2.5790000000000002</v>
      </c>
      <c r="H14" t="s">
        <v>57</v>
      </c>
      <c r="I14" t="str">
        <f>VLOOKUP(A14,Planilha6!$BL$9:$BN$222,2,0)</f>
        <v>education</v>
      </c>
      <c r="J14" t="str">
        <f>VLOOKUP(A14,Planilha6!$BL$9:$BN$222,3,0)</f>
        <v>high_beta</v>
      </c>
      <c r="K14" s="17">
        <v>7.0000000000000001E-3</v>
      </c>
      <c r="L14" s="2">
        <v>7.0000000000000001E-3</v>
      </c>
      <c r="M14" s="5">
        <v>0.349371251736667</v>
      </c>
      <c r="N14" s="41">
        <f>VLOOKUP(A14,'Mandato LP'!$A$2:$B$215,2,0)</f>
        <v>1.22931154954909E-2</v>
      </c>
      <c r="O14" s="59">
        <f t="shared" si="8"/>
        <v>-5.2931154954909002E-3</v>
      </c>
      <c r="P14" s="42">
        <f t="shared" si="9"/>
        <v>-5.2931154954909002E-3</v>
      </c>
      <c r="Q14" s="41">
        <f>VLOOKUP(A14,'Mandato LP'!$A$2:$C$215,3,0)</f>
        <v>8.4903833908052707E-3</v>
      </c>
      <c r="R14" s="42">
        <f t="shared" si="10"/>
        <v>-1.4903833908052706E-3</v>
      </c>
      <c r="S14" s="15">
        <v>1</v>
      </c>
      <c r="T14" s="15">
        <v>1</v>
      </c>
      <c r="U14" s="15">
        <v>1</v>
      </c>
      <c r="V14" s="15">
        <v>1</v>
      </c>
      <c r="W14" s="15">
        <v>1</v>
      </c>
      <c r="X14" s="15">
        <v>1</v>
      </c>
      <c r="Y14" s="15">
        <v>0.94099999999999995</v>
      </c>
      <c r="Z14" s="15">
        <v>0.76800000000000002</v>
      </c>
      <c r="AA14" s="15">
        <v>0.61399999999999999</v>
      </c>
      <c r="AB14" s="15">
        <v>0.61599999999999999</v>
      </c>
      <c r="AC14" s="15">
        <v>1</v>
      </c>
      <c r="AD14" s="15">
        <v>0.95099999999999996</v>
      </c>
      <c r="AE14" s="15">
        <v>0.93500000000000005</v>
      </c>
      <c r="AF14" s="14">
        <v>1</v>
      </c>
      <c r="AG14" s="110">
        <v>1</v>
      </c>
      <c r="AH14" s="110">
        <v>0.124</v>
      </c>
      <c r="AI14" s="110">
        <v>0.20599999999999999</v>
      </c>
      <c r="AJ14" s="110">
        <v>0.40300000000000002</v>
      </c>
      <c r="AK14" s="16">
        <v>1</v>
      </c>
      <c r="AL14" s="111">
        <v>0.371</v>
      </c>
      <c r="AM14" s="111">
        <v>9.9000000000000005E-2</v>
      </c>
      <c r="AN14" s="4">
        <v>-0.60299999999999998</v>
      </c>
      <c r="AO14" s="4">
        <v>0.33100000000000002</v>
      </c>
      <c r="AP14" s="4">
        <v>0.06</v>
      </c>
      <c r="AQ14" s="4">
        <v>-0.193</v>
      </c>
      <c r="AR14" s="4">
        <v>0.8</v>
      </c>
      <c r="AS14" s="4">
        <v>1</v>
      </c>
      <c r="AT14" s="4">
        <v>0.84899999999999998</v>
      </c>
      <c r="AU14" s="4">
        <v>0.50600000000000001</v>
      </c>
      <c r="AV14" s="4">
        <v>4.2000000000000003E-2</v>
      </c>
      <c r="AW14" s="4">
        <v>0.92600000000000005</v>
      </c>
      <c r="AX14" s="4">
        <v>-0.17</v>
      </c>
      <c r="AY14" s="4">
        <v>-5.1999999999999998E-2</v>
      </c>
      <c r="AZ14" s="4">
        <v>0.81</v>
      </c>
      <c r="BA14" s="4">
        <v>0.998</v>
      </c>
      <c r="BB14" s="4">
        <v>0.872</v>
      </c>
      <c r="BC14" s="4">
        <v>-5.0999999999999997E-2</v>
      </c>
      <c r="BD14" s="4">
        <v>-0.10299999999999999</v>
      </c>
      <c r="BE14" s="4">
        <v>0.23200000000000001</v>
      </c>
      <c r="BF14" s="4">
        <v>0.29799999999999999</v>
      </c>
      <c r="BG14" s="4">
        <v>1</v>
      </c>
      <c r="BH14" s="4">
        <v>0.51700000000000002</v>
      </c>
      <c r="BI14" s="4">
        <v>-0.44500000000000001</v>
      </c>
      <c r="BJ14" s="4">
        <v>0.13900000000000001</v>
      </c>
      <c r="BK14" s="4">
        <v>0.71499999999999997</v>
      </c>
      <c r="BL14" s="4">
        <v>0.318</v>
      </c>
      <c r="BM14" s="4">
        <v>-0.65800000000000003</v>
      </c>
      <c r="BN14" s="4"/>
    </row>
    <row r="15" spans="1:66" x14ac:dyDescent="0.3">
      <c r="A15" t="s">
        <v>66</v>
      </c>
      <c r="B15" s="53">
        <f t="shared" si="4"/>
        <v>8.0000000000000002E-3</v>
      </c>
      <c r="C15" s="53">
        <f t="shared" si="5"/>
        <v>7.6609800000000004E-3</v>
      </c>
      <c r="D15" s="53">
        <f t="shared" si="6"/>
        <v>0</v>
      </c>
      <c r="E15" s="53">
        <f t="shared" si="7"/>
        <v>3.3901999999999999E-4</v>
      </c>
      <c r="F15" s="15">
        <v>3.2570000000000001</v>
      </c>
      <c r="G15">
        <v>2.5489999999999999</v>
      </c>
      <c r="H15" t="s">
        <v>55</v>
      </c>
      <c r="I15" t="str">
        <f>VLOOKUP(A15,Planilha6!$BL$9:$BN$222,2,0)</f>
        <v>real_estate</v>
      </c>
      <c r="J15" t="str">
        <f>VLOOKUP(A15,Planilha6!$BL$9:$BN$222,3,0)</f>
        <v>neutral_beta</v>
      </c>
      <c r="K15" s="17">
        <v>8.0000000000000002E-3</v>
      </c>
      <c r="L15" s="2">
        <v>7.0000000000000001E-3</v>
      </c>
      <c r="M15" s="5">
        <v>3.19697189111</v>
      </c>
      <c r="N15" s="41">
        <f>VLOOKUP(A15,'Mandato LP'!$A$2:$B$215,2,0)</f>
        <v>1.24681403633661E-2</v>
      </c>
      <c r="O15" s="59">
        <f t="shared" si="8"/>
        <v>-4.4681403633661E-3</v>
      </c>
      <c r="P15" s="42">
        <f t="shared" si="9"/>
        <v>-4.4681403633661E-3</v>
      </c>
      <c r="Q15" s="41">
        <f>VLOOKUP(A15,'Mandato LP'!$A$2:$C$215,3,0)</f>
        <v>0</v>
      </c>
      <c r="R15" s="42">
        <f t="shared" si="10"/>
        <v>8.0000000000000002E-3</v>
      </c>
      <c r="S15" s="15">
        <v>0.97699999999999998</v>
      </c>
      <c r="T15" s="15">
        <v>0.59</v>
      </c>
      <c r="U15" s="15">
        <v>1</v>
      </c>
      <c r="V15" s="15">
        <v>0.90700000000000003</v>
      </c>
      <c r="W15" s="15">
        <v>0.96599999999999997</v>
      </c>
      <c r="X15" s="15">
        <v>0.96399999999999997</v>
      </c>
      <c r="Y15" s="15">
        <v>0.95899999999999996</v>
      </c>
      <c r="Z15" s="15">
        <v>0.97299999999999998</v>
      </c>
      <c r="AA15" s="15">
        <v>0.64200000000000002</v>
      </c>
      <c r="AB15" s="15">
        <v>0.64200000000000002</v>
      </c>
      <c r="AC15" s="15">
        <v>0.626</v>
      </c>
      <c r="AD15" s="15">
        <v>0.45700000000000002</v>
      </c>
      <c r="AE15" s="15">
        <v>0.79900000000000004</v>
      </c>
      <c r="AF15" s="14">
        <v>1</v>
      </c>
      <c r="AG15" s="110">
        <v>1</v>
      </c>
      <c r="AH15" s="110">
        <v>-0.379</v>
      </c>
      <c r="AI15" s="110">
        <v>1</v>
      </c>
      <c r="AJ15" s="110">
        <v>0.193</v>
      </c>
      <c r="AK15" s="16">
        <v>1</v>
      </c>
      <c r="AL15" s="111">
        <v>0.33400000000000002</v>
      </c>
      <c r="AM15" s="111">
        <v>1</v>
      </c>
      <c r="AN15" s="4">
        <v>0.19900000000000001</v>
      </c>
      <c r="AO15" s="4">
        <v>-0.22500000000000001</v>
      </c>
      <c r="AP15" s="4">
        <v>-0.224</v>
      </c>
      <c r="AQ15" s="4">
        <v>-0.27800000000000002</v>
      </c>
      <c r="AR15" s="4">
        <v>0.71899999999999997</v>
      </c>
      <c r="AS15" s="4">
        <v>-0.751</v>
      </c>
      <c r="AT15" s="4">
        <v>1.0999999999999999E-2</v>
      </c>
      <c r="AU15" s="4">
        <v>4.0000000000000001E-3</v>
      </c>
      <c r="AV15" s="4">
        <v>0.18</v>
      </c>
      <c r="AW15" s="4">
        <v>0.53300000000000003</v>
      </c>
      <c r="AX15" s="4">
        <v>0.247</v>
      </c>
      <c r="AY15" s="4">
        <v>-0.371</v>
      </c>
      <c r="AZ15" s="4">
        <v>0.35199999999999998</v>
      </c>
      <c r="BA15" s="4">
        <v>0.25600000000000001</v>
      </c>
      <c r="BB15" s="4">
        <v>0.14499999999999999</v>
      </c>
      <c r="BC15" s="4">
        <v>0.68600000000000005</v>
      </c>
      <c r="BD15" s="4">
        <v>1</v>
      </c>
      <c r="BE15" s="4">
        <v>0.72</v>
      </c>
      <c r="BF15" s="4">
        <v>0.83399999999999996</v>
      </c>
      <c r="BG15" s="4">
        <v>1</v>
      </c>
      <c r="BH15" s="4">
        <v>0.33500000000000002</v>
      </c>
      <c r="BI15" s="4">
        <v>-0.90600000000000003</v>
      </c>
      <c r="BJ15" s="4">
        <v>0.26</v>
      </c>
      <c r="BK15" s="4">
        <v>0.61799999999999999</v>
      </c>
      <c r="BL15" s="4">
        <v>0.77100000000000002</v>
      </c>
      <c r="BM15" s="4">
        <v>0.39</v>
      </c>
      <c r="BN15" s="4"/>
    </row>
    <row r="16" spans="1:66" x14ac:dyDescent="0.3">
      <c r="A16" t="s">
        <v>67</v>
      </c>
      <c r="B16" s="53">
        <f t="shared" si="4"/>
        <v>8.9999999999999993E-3</v>
      </c>
      <c r="C16" s="53">
        <f t="shared" si="5"/>
        <v>8.9999999999999993E-3</v>
      </c>
      <c r="D16" s="53">
        <f t="shared" si="6"/>
        <v>0</v>
      </c>
      <c r="E16" s="53">
        <f t="shared" si="7"/>
        <v>0</v>
      </c>
      <c r="F16" s="15">
        <v>3.2280000000000002</v>
      </c>
      <c r="G16">
        <v>2.9430000000000001</v>
      </c>
      <c r="H16" t="s">
        <v>68</v>
      </c>
      <c r="I16" t="str">
        <f>VLOOKUP(A16,Planilha6!$BL$9:$BN$222,2,0)</f>
        <v>capital_goods</v>
      </c>
      <c r="J16" t="str">
        <f>VLOOKUP(A16,Planilha6!$BL$9:$BN$222,3,0)</f>
        <v>neutral_beta</v>
      </c>
      <c r="K16" s="17">
        <v>8.9999999999999993E-3</v>
      </c>
      <c r="L16" s="2">
        <v>8.9999999999999993E-3</v>
      </c>
      <c r="M16" s="5">
        <v>0.62851010115700001</v>
      </c>
      <c r="N16" s="41">
        <f>VLOOKUP(A16,'Mandato LP'!$A$2:$B$215,2,0)</f>
        <v>1.2169950228357099E-2</v>
      </c>
      <c r="O16" s="59">
        <f t="shared" si="8"/>
        <v>-3.1699502283571001E-3</v>
      </c>
      <c r="P16" s="42">
        <f t="shared" si="9"/>
        <v>-3.1699502283571001E-3</v>
      </c>
      <c r="Q16" s="41">
        <f>VLOOKUP(A16,'Mandato LP'!$A$2:$C$215,3,0)</f>
        <v>5.4404261476151501E-3</v>
      </c>
      <c r="R16" s="42">
        <f t="shared" si="10"/>
        <v>3.5595738523848492E-3</v>
      </c>
      <c r="S16" s="15">
        <v>0.83899999999999997</v>
      </c>
      <c r="T16" s="15">
        <v>0.877</v>
      </c>
      <c r="U16" s="15">
        <v>0.67200000000000004</v>
      </c>
      <c r="V16" s="15">
        <v>0.93200000000000005</v>
      </c>
      <c r="W16" s="15">
        <v>1</v>
      </c>
      <c r="X16" s="15">
        <v>1</v>
      </c>
      <c r="Y16" s="15">
        <v>1</v>
      </c>
      <c r="Z16" s="15">
        <v>1</v>
      </c>
      <c r="AA16" s="15">
        <v>0.64200000000000002</v>
      </c>
      <c r="AB16" s="15">
        <v>0.64700000000000002</v>
      </c>
      <c r="AC16" s="15">
        <v>0.80800000000000005</v>
      </c>
      <c r="AD16" s="15">
        <v>0.75600000000000001</v>
      </c>
      <c r="AE16" s="15">
        <v>0.70399999999999996</v>
      </c>
      <c r="AF16" s="14">
        <v>1</v>
      </c>
      <c r="AG16" s="110">
        <v>1</v>
      </c>
      <c r="AH16" s="110">
        <v>-0.19700000000000001</v>
      </c>
      <c r="AI16" s="110">
        <v>-0.41899999999999998</v>
      </c>
      <c r="AJ16" s="110">
        <v>-0.26100000000000001</v>
      </c>
      <c r="AK16" s="16">
        <v>0.40500000000000003</v>
      </c>
      <c r="AL16" s="111">
        <v>-3.0000000000000001E-3</v>
      </c>
      <c r="AM16" s="111">
        <v>0.60099999999999998</v>
      </c>
      <c r="AN16" s="4">
        <v>-0.61399999999999999</v>
      </c>
      <c r="AO16" s="4">
        <v>0.42899999999999999</v>
      </c>
      <c r="AP16" s="4">
        <v>-0.10299999999999999</v>
      </c>
      <c r="AQ16" s="4">
        <v>0.28599999999999998</v>
      </c>
      <c r="AR16" s="4">
        <v>0.94099999999999995</v>
      </c>
      <c r="AS16" s="4">
        <v>0.126</v>
      </c>
      <c r="AT16" s="4">
        <v>-0.52700000000000002</v>
      </c>
      <c r="AU16" s="4">
        <v>0.71899999999999997</v>
      </c>
      <c r="AV16" s="4">
        <v>-2.9000000000000001E-2</v>
      </c>
      <c r="AW16" s="4">
        <v>0.53900000000000003</v>
      </c>
      <c r="AX16" s="4">
        <v>0.42</v>
      </c>
      <c r="AY16" s="4">
        <v>0.16300000000000001</v>
      </c>
      <c r="AZ16" s="4">
        <v>0.91</v>
      </c>
      <c r="BA16" s="4">
        <v>1</v>
      </c>
      <c r="BB16" s="4">
        <v>0.58099999999999996</v>
      </c>
      <c r="BC16" s="4">
        <v>-4.5999999999999999E-2</v>
      </c>
      <c r="BD16" s="4">
        <v>-0.16700000000000001</v>
      </c>
      <c r="BE16" s="4">
        <v>0.22</v>
      </c>
      <c r="BF16" s="4">
        <v>-0.34499999999999997</v>
      </c>
      <c r="BG16" s="4">
        <v>-0.61699999999999999</v>
      </c>
      <c r="BH16" s="4">
        <v>0.56299999999999994</v>
      </c>
      <c r="BI16" s="4">
        <v>-0.98899999999999999</v>
      </c>
      <c r="BJ16" s="4">
        <v>0.35499999999999998</v>
      </c>
      <c r="BK16" s="4">
        <v>0.72</v>
      </c>
      <c r="BL16" s="4">
        <v>-0.20899999999999999</v>
      </c>
      <c r="BM16" s="4">
        <v>4.8000000000000001E-2</v>
      </c>
      <c r="BN16" s="4"/>
    </row>
    <row r="17" spans="1:66" x14ac:dyDescent="0.3">
      <c r="A17" t="s">
        <v>100</v>
      </c>
      <c r="B17" s="53">
        <f t="shared" si="4"/>
        <v>1.2999999999999999E-2</v>
      </c>
      <c r="C17" s="53">
        <f t="shared" si="5"/>
        <v>1.2999999999999999E-2</v>
      </c>
      <c r="D17" s="53">
        <f t="shared" si="6"/>
        <v>0</v>
      </c>
      <c r="E17" s="53">
        <f t="shared" si="7"/>
        <v>0</v>
      </c>
      <c r="F17" s="15">
        <v>3.1320000000000001</v>
      </c>
      <c r="G17">
        <v>3.839</v>
      </c>
      <c r="H17" t="s">
        <v>68</v>
      </c>
      <c r="I17" t="str">
        <f>VLOOKUP(A17,Planilha6!$BL$9:$BN$222,2,0)</f>
        <v>capital_goods</v>
      </c>
      <c r="J17" t="str">
        <f>VLOOKUP(A17,Planilha6!$BL$9:$BN$222,3,0)</f>
        <v>low_beta</v>
      </c>
      <c r="K17" s="17">
        <v>1.2999999999999999E-2</v>
      </c>
      <c r="L17" s="2">
        <v>1.2999999999999999E-2</v>
      </c>
      <c r="M17" s="5">
        <v>0.45066247266666698</v>
      </c>
      <c r="N17" s="41">
        <f>VLOOKUP(A17,'Mandato LP'!$A$2:$B$215,2,0)</f>
        <v>1.1808870192153501E-2</v>
      </c>
      <c r="O17" s="59">
        <f t="shared" si="8"/>
        <v>1.1911298078464989E-3</v>
      </c>
      <c r="P17" s="42">
        <f t="shared" si="9"/>
        <v>1.1911298078464989E-3</v>
      </c>
      <c r="Q17" s="41">
        <f>VLOOKUP(A17,'Mandato LP'!$A$2:$C$215,3,0)</f>
        <v>7.8343946817996998E-3</v>
      </c>
      <c r="R17" s="42">
        <f t="shared" si="10"/>
        <v>5.1656053182002996E-3</v>
      </c>
      <c r="S17" s="15">
        <v>0.72099999999999997</v>
      </c>
      <c r="T17" s="15">
        <v>0.878</v>
      </c>
      <c r="U17" s="15">
        <v>0.70799999999999996</v>
      </c>
      <c r="V17" s="15">
        <v>0.28199999999999997</v>
      </c>
      <c r="W17" s="15">
        <v>0.70599999999999996</v>
      </c>
      <c r="X17" s="15">
        <v>0.77800000000000002</v>
      </c>
      <c r="Y17" s="15">
        <v>0.84</v>
      </c>
      <c r="Z17" s="15">
        <v>0.77</v>
      </c>
      <c r="AA17" s="15">
        <v>0.98199999999999998</v>
      </c>
      <c r="AB17" s="15">
        <v>0.98199999999999998</v>
      </c>
      <c r="AC17" s="15">
        <v>0.92100000000000004</v>
      </c>
      <c r="AD17" s="15">
        <v>0.97399999999999998</v>
      </c>
      <c r="AE17" s="15">
        <v>0.97599999999999998</v>
      </c>
      <c r="AF17" s="14">
        <v>-0.33400000000000002</v>
      </c>
      <c r="AG17" s="110">
        <v>-0.29599999999999999</v>
      </c>
      <c r="AH17" s="110">
        <v>0.308</v>
      </c>
      <c r="AI17" s="110">
        <v>0.127</v>
      </c>
      <c r="AJ17" s="110">
        <v>0.94699999999999995</v>
      </c>
      <c r="AK17" s="16">
        <v>-0.13500000000000001</v>
      </c>
      <c r="AL17" s="111">
        <v>-4.5999999999999999E-2</v>
      </c>
      <c r="AM17" s="111">
        <v>0.33</v>
      </c>
      <c r="AN17" s="4">
        <v>-0.42599999999999999</v>
      </c>
      <c r="AO17" s="4">
        <v>0.436</v>
      </c>
      <c r="AP17" s="4">
        <v>0.439</v>
      </c>
      <c r="AQ17" s="4">
        <v>0.29399999999999998</v>
      </c>
      <c r="AR17" s="4">
        <v>-4.3999999999999997E-2</v>
      </c>
      <c r="AS17" s="4">
        <v>0.28000000000000003</v>
      </c>
      <c r="AT17" s="4">
        <v>0.16900000000000001</v>
      </c>
      <c r="AU17" s="4">
        <v>0.36</v>
      </c>
      <c r="AV17" s="4">
        <v>-0.14299999999999999</v>
      </c>
      <c r="AW17" s="4">
        <v>-0.152</v>
      </c>
      <c r="AX17" s="4">
        <v>0.73299999999999998</v>
      </c>
      <c r="AY17" s="4">
        <v>0.49399999999999999</v>
      </c>
      <c r="AZ17" s="4">
        <v>0.90500000000000003</v>
      </c>
      <c r="BA17" s="4">
        <v>0.70599999999999996</v>
      </c>
      <c r="BB17" s="4">
        <v>0.81399999999999995</v>
      </c>
      <c r="BC17" s="4">
        <v>-0.14399999999999999</v>
      </c>
      <c r="BD17" s="4">
        <v>-0.183</v>
      </c>
      <c r="BE17" s="4">
        <v>-4.4999999999999998E-2</v>
      </c>
      <c r="BF17" s="4">
        <v>0.26900000000000002</v>
      </c>
      <c r="BG17" s="4">
        <v>0.31</v>
      </c>
      <c r="BH17" s="4">
        <v>1</v>
      </c>
      <c r="BI17" s="4">
        <v>-0.443</v>
      </c>
      <c r="BJ17" s="4">
        <v>-2.3E-2</v>
      </c>
      <c r="BK17" s="4">
        <v>0.85799999999999998</v>
      </c>
      <c r="BL17" s="4">
        <v>0.28599999999999998</v>
      </c>
      <c r="BM17" s="4">
        <v>-1</v>
      </c>
      <c r="BN17" s="4"/>
    </row>
    <row r="18" spans="1:66" x14ac:dyDescent="0.3">
      <c r="A18" t="s">
        <v>54</v>
      </c>
      <c r="B18" s="53">
        <f t="shared" si="4"/>
        <v>0.01</v>
      </c>
      <c r="C18" s="53">
        <f t="shared" si="5"/>
        <v>0.01</v>
      </c>
      <c r="D18" s="53">
        <f t="shared" si="6"/>
        <v>0</v>
      </c>
      <c r="E18" s="53">
        <f t="shared" si="7"/>
        <v>0</v>
      </c>
      <c r="F18" s="15">
        <v>3.0819999999999999</v>
      </c>
      <c r="G18">
        <v>3.1539999999999999</v>
      </c>
      <c r="H18" t="s">
        <v>55</v>
      </c>
      <c r="I18" t="str">
        <f>VLOOKUP(A18,Planilha6!$BL$9:$BN$222,2,0)</f>
        <v>telecom</v>
      </c>
      <c r="J18" t="str">
        <f>VLOOKUP(A18,Planilha6!$BL$9:$BN$222,3,0)</f>
        <v>low_beta</v>
      </c>
      <c r="K18" s="17">
        <v>0.01</v>
      </c>
      <c r="L18" s="2">
        <v>0.01</v>
      </c>
      <c r="M18" s="5">
        <v>0.362970655454667</v>
      </c>
      <c r="N18" s="41">
        <f>VLOOKUP(A18,'Mandato LP'!$A$2:$B$215,2,0)</f>
        <v>1.16198837125663E-2</v>
      </c>
      <c r="O18" s="59">
        <f t="shared" si="8"/>
        <v>-1.6198837125663001E-3</v>
      </c>
      <c r="P18" s="42">
        <f t="shared" si="9"/>
        <v>-1.6198837125663001E-3</v>
      </c>
      <c r="Q18" s="41">
        <f>VLOOKUP(A18,'Mandato LP'!$A$2:$C$215,3,0)</f>
        <v>9.8665773843535608E-3</v>
      </c>
      <c r="R18" s="42">
        <f t="shared" si="10"/>
        <v>1.3342261564643944E-4</v>
      </c>
      <c r="S18" s="15">
        <v>0.88600000000000001</v>
      </c>
      <c r="T18" s="15">
        <v>0.82299999999999995</v>
      </c>
      <c r="U18" s="15">
        <v>0.71299999999999997</v>
      </c>
      <c r="V18" s="15">
        <v>0.99399999999999999</v>
      </c>
      <c r="W18" s="15">
        <v>0.95199999999999996</v>
      </c>
      <c r="X18" s="15">
        <v>0.64200000000000002</v>
      </c>
      <c r="Y18" s="15">
        <v>0.61599999999999999</v>
      </c>
      <c r="Z18" s="15">
        <v>0.58499999999999996</v>
      </c>
      <c r="AA18" s="15">
        <v>0.66800000000000004</v>
      </c>
      <c r="AB18" s="15">
        <v>0.67600000000000005</v>
      </c>
      <c r="AC18" s="15">
        <v>1</v>
      </c>
      <c r="AD18" s="15">
        <v>1</v>
      </c>
      <c r="AE18" s="15">
        <v>1</v>
      </c>
      <c r="AF18" s="14">
        <v>0.629</v>
      </c>
      <c r="AG18" s="110">
        <v>-1.2E-2</v>
      </c>
      <c r="AH18" s="110">
        <v>0.84699999999999998</v>
      </c>
      <c r="AI18" s="110">
        <v>-0.23400000000000001</v>
      </c>
      <c r="AJ18" s="110">
        <v>1</v>
      </c>
      <c r="AK18" s="16">
        <v>1</v>
      </c>
      <c r="AL18" s="111">
        <v>-0.23</v>
      </c>
      <c r="AM18" s="111">
        <v>9.0999999999999998E-2</v>
      </c>
      <c r="AN18" s="4">
        <v>-0.76800000000000002</v>
      </c>
      <c r="AO18" s="4">
        <v>8.9999999999999993E-3</v>
      </c>
      <c r="AP18" s="4">
        <v>0.871</v>
      </c>
      <c r="AQ18" s="4">
        <v>0.81299999999999994</v>
      </c>
      <c r="AR18" s="4">
        <v>0.29799999999999999</v>
      </c>
      <c r="AS18" s="4">
        <v>0.19900000000000001</v>
      </c>
      <c r="AT18" s="4">
        <v>0.439</v>
      </c>
      <c r="AU18" s="4">
        <v>0.52300000000000002</v>
      </c>
      <c r="AV18" s="4">
        <v>0.36</v>
      </c>
      <c r="AW18" s="4">
        <v>0.72199999999999998</v>
      </c>
      <c r="AX18" s="4">
        <v>0.44600000000000001</v>
      </c>
      <c r="AY18" s="4">
        <v>-6.8000000000000005E-2</v>
      </c>
      <c r="AZ18" s="4">
        <v>0.93</v>
      </c>
      <c r="BA18" s="4">
        <v>-0.66100000000000003</v>
      </c>
      <c r="BB18" s="4">
        <v>0.85099999999999998</v>
      </c>
      <c r="BC18" s="4">
        <v>-0.161</v>
      </c>
      <c r="BD18" s="4">
        <v>-0.29699999999999999</v>
      </c>
      <c r="BE18" s="4">
        <v>0.59699999999999998</v>
      </c>
      <c r="BF18" s="4">
        <v>-1</v>
      </c>
      <c r="BG18" s="4">
        <v>-0.32</v>
      </c>
      <c r="BH18" s="4">
        <v>-0.17</v>
      </c>
      <c r="BI18" s="4">
        <v>-0.54100000000000004</v>
      </c>
      <c r="BJ18" s="4">
        <v>-0.36099999999999999</v>
      </c>
      <c r="BK18" s="4">
        <v>0.7</v>
      </c>
      <c r="BL18" s="4">
        <v>0.46800000000000003</v>
      </c>
      <c r="BM18" s="4">
        <v>4.8000000000000001E-2</v>
      </c>
      <c r="BN18" s="4"/>
    </row>
    <row r="19" spans="1:66" x14ac:dyDescent="0.3">
      <c r="A19" t="s">
        <v>86</v>
      </c>
      <c r="B19" s="53">
        <f t="shared" si="4"/>
        <v>1.4E-2</v>
      </c>
      <c r="C19" s="53">
        <f t="shared" si="5"/>
        <v>1.4E-2</v>
      </c>
      <c r="D19" s="53">
        <f t="shared" si="6"/>
        <v>0</v>
      </c>
      <c r="E19" s="53">
        <f t="shared" si="7"/>
        <v>0</v>
      </c>
      <c r="F19" s="15">
        <v>3.077</v>
      </c>
      <c r="G19">
        <v>3.0779999999999998</v>
      </c>
      <c r="H19" t="s">
        <v>57</v>
      </c>
      <c r="I19" t="str">
        <f>VLOOKUP(A19,Planilha6!$BL$9:$BN$222,2,0)</f>
        <v>homebuilders</v>
      </c>
      <c r="J19" t="str">
        <f>VLOOKUP(A19,Planilha6!$BL$9:$BN$222,3,0)</f>
        <v>neutral_beta</v>
      </c>
      <c r="K19" s="17">
        <v>1.4E-2</v>
      </c>
      <c r="L19" s="2">
        <v>1.4E-2</v>
      </c>
      <c r="M19" s="5">
        <v>0.52897668937333298</v>
      </c>
      <c r="N19" s="41">
        <f>VLOOKUP(A19,'Mandato LP'!$A$2:$B$215,2,0)</f>
        <v>1.1601552229383701E-2</v>
      </c>
      <c r="O19" s="59">
        <f t="shared" si="8"/>
        <v>2.3984477706162997E-3</v>
      </c>
      <c r="P19" s="42">
        <f t="shared" si="9"/>
        <v>2.3984477706162997E-3</v>
      </c>
      <c r="Q19" s="41">
        <f>VLOOKUP(A19,'Mandato LP'!$A$2:$C$215,3,0)</f>
        <v>8.7508389748659904E-3</v>
      </c>
      <c r="R19" s="42">
        <f t="shared" si="10"/>
        <v>5.2491610251340099E-3</v>
      </c>
      <c r="S19" s="15">
        <v>0.879</v>
      </c>
      <c r="T19" s="15">
        <v>0.60399999999999998</v>
      </c>
      <c r="U19" s="15">
        <v>0.94699999999999995</v>
      </c>
      <c r="V19" s="15">
        <v>0.57799999999999996</v>
      </c>
      <c r="W19" s="15">
        <v>0.76</v>
      </c>
      <c r="X19" s="15">
        <v>0.77</v>
      </c>
      <c r="Y19" s="15">
        <v>0.73199999999999998</v>
      </c>
      <c r="Z19" s="15">
        <v>0.68500000000000005</v>
      </c>
      <c r="AA19" s="15">
        <v>0.68500000000000005</v>
      </c>
      <c r="AB19" s="15">
        <v>0.68700000000000006</v>
      </c>
      <c r="AC19" s="15">
        <v>1</v>
      </c>
      <c r="AD19" s="15">
        <v>0.95299999999999996</v>
      </c>
      <c r="AE19" s="15">
        <v>0.91700000000000004</v>
      </c>
      <c r="AF19" s="14">
        <v>0.52700000000000002</v>
      </c>
      <c r="AG19" s="110">
        <v>0.46500000000000002</v>
      </c>
      <c r="AH19" s="110">
        <v>0.502</v>
      </c>
      <c r="AI19" s="110">
        <v>1</v>
      </c>
      <c r="AJ19" s="110">
        <v>0.96599999999999997</v>
      </c>
      <c r="AK19" s="16">
        <v>1.7999999999999999E-2</v>
      </c>
      <c r="AL19" s="111">
        <v>-0.107</v>
      </c>
      <c r="AM19" s="111">
        <v>0.71399999999999997</v>
      </c>
      <c r="AN19" s="4">
        <v>0.31900000000000001</v>
      </c>
      <c r="AO19" s="4">
        <v>0.34899999999999998</v>
      </c>
      <c r="AP19" s="4">
        <v>1.0999999999999999E-2</v>
      </c>
      <c r="AQ19" s="4">
        <v>0.21</v>
      </c>
      <c r="AR19" s="4">
        <v>0.26300000000000001</v>
      </c>
      <c r="AS19" s="4">
        <v>0.13600000000000001</v>
      </c>
      <c r="AT19" s="4">
        <v>-8.1000000000000003E-2</v>
      </c>
      <c r="AU19" s="4">
        <v>1.2999999999999999E-2</v>
      </c>
      <c r="AV19" s="4">
        <v>-0.221</v>
      </c>
      <c r="AW19" s="4">
        <v>7.6999999999999999E-2</v>
      </c>
      <c r="AX19" s="4">
        <v>-6.4000000000000001E-2</v>
      </c>
      <c r="AY19" s="4">
        <v>-0.28499999999999998</v>
      </c>
      <c r="AZ19" s="4">
        <v>0.76500000000000001</v>
      </c>
      <c r="BA19" s="4">
        <v>0.183</v>
      </c>
      <c r="BB19" s="4">
        <v>0.55800000000000005</v>
      </c>
      <c r="BC19" s="4">
        <v>4.8000000000000001E-2</v>
      </c>
      <c r="BD19" s="4">
        <v>-0.27500000000000002</v>
      </c>
      <c r="BE19" s="4">
        <v>0.13100000000000001</v>
      </c>
      <c r="BF19" s="4">
        <v>6.4000000000000001E-2</v>
      </c>
      <c r="BG19" s="4">
        <v>3.0000000000000001E-3</v>
      </c>
      <c r="BH19" s="4">
        <v>0.91700000000000004</v>
      </c>
      <c r="BI19" s="4">
        <v>-0.14199999999999999</v>
      </c>
      <c r="BJ19" s="4">
        <v>0.23300000000000001</v>
      </c>
      <c r="BK19" s="4">
        <v>0.59499999999999997</v>
      </c>
      <c r="BL19" s="4">
        <v>0.83699999999999997</v>
      </c>
      <c r="BM19" s="4">
        <v>8.3000000000000004E-2</v>
      </c>
      <c r="BN19" s="4"/>
    </row>
    <row r="20" spans="1:66" x14ac:dyDescent="0.3">
      <c r="A20" t="s">
        <v>73</v>
      </c>
      <c r="B20" s="53">
        <f t="shared" si="4"/>
        <v>1.2E-2</v>
      </c>
      <c r="C20" s="53">
        <f t="shared" si="5"/>
        <v>7.3877200000000004E-3</v>
      </c>
      <c r="D20" s="53">
        <f t="shared" si="6"/>
        <v>0</v>
      </c>
      <c r="E20" s="53">
        <f t="shared" si="7"/>
        <v>4.6122799999999999E-3</v>
      </c>
      <c r="F20" s="15">
        <v>3.0529999999999999</v>
      </c>
      <c r="G20">
        <v>3.7949999999999999</v>
      </c>
      <c r="H20" t="s">
        <v>57</v>
      </c>
      <c r="I20" t="str">
        <f>VLOOKUP(A20,Planilha6!$BL$9:$BN$222,2,0)</f>
        <v>banks</v>
      </c>
      <c r="J20" t="str">
        <f>VLOOKUP(A20,Planilha6!$BL$9:$BN$222,3,0)</f>
        <v>high_beta</v>
      </c>
      <c r="K20" s="17">
        <v>1.2E-2</v>
      </c>
      <c r="L20" s="2">
        <v>8.0000000000000002E-3</v>
      </c>
      <c r="M20" s="5">
        <v>1.12281471466667</v>
      </c>
      <c r="N20" s="41">
        <f>VLOOKUP(A20,'Mandato LP'!$A$2:$B$215,2,0)</f>
        <v>1.7124788720639099E-2</v>
      </c>
      <c r="O20" s="59">
        <f t="shared" si="8"/>
        <v>-5.1247887206390987E-3</v>
      </c>
      <c r="P20" s="42">
        <f t="shared" si="9"/>
        <v>-5.1247887206390987E-3</v>
      </c>
      <c r="Q20" s="41">
        <f>VLOOKUP(A20,'Mandato LP'!$A$2:$C$215,3,0)</f>
        <v>1.3995960713463E-2</v>
      </c>
      <c r="R20" s="42">
        <f t="shared" si="10"/>
        <v>-1.9959607134630002E-3</v>
      </c>
      <c r="S20" s="15">
        <v>0.72199999999999998</v>
      </c>
      <c r="T20" s="15">
        <v>0.82199999999999995</v>
      </c>
      <c r="U20" s="15">
        <v>0.38300000000000001</v>
      </c>
      <c r="V20" s="15">
        <v>0.77</v>
      </c>
      <c r="W20" s="15">
        <v>0.83499999999999996</v>
      </c>
      <c r="X20" s="15">
        <v>0.66200000000000003</v>
      </c>
      <c r="Y20" s="15">
        <v>0.56899999999999995</v>
      </c>
      <c r="Z20" s="15">
        <v>0.68200000000000005</v>
      </c>
      <c r="AA20" s="15">
        <v>1</v>
      </c>
      <c r="AB20" s="15">
        <v>1</v>
      </c>
      <c r="AC20" s="15">
        <v>0.95699999999999996</v>
      </c>
      <c r="AD20" s="15">
        <v>0.98499999999999999</v>
      </c>
      <c r="AE20" s="15">
        <v>1</v>
      </c>
      <c r="AF20" s="14">
        <v>2E-3</v>
      </c>
      <c r="AG20" s="110">
        <v>0.92</v>
      </c>
      <c r="AH20" s="110">
        <v>1</v>
      </c>
      <c r="AI20" s="110">
        <v>-9.1999999999999998E-2</v>
      </c>
      <c r="AJ20" s="110">
        <v>0.3</v>
      </c>
      <c r="AK20" s="16">
        <v>-0.51600000000000001</v>
      </c>
      <c r="AL20" s="111">
        <v>6.7000000000000004E-2</v>
      </c>
      <c r="AM20" s="111">
        <v>0.28399999999999997</v>
      </c>
      <c r="AN20" s="4">
        <v>0.45600000000000002</v>
      </c>
      <c r="AO20" s="4">
        <v>0.40100000000000002</v>
      </c>
      <c r="AP20" s="4">
        <v>0.626</v>
      </c>
      <c r="AQ20" s="4">
        <v>0.129</v>
      </c>
      <c r="AR20" s="4">
        <v>0.23899999999999999</v>
      </c>
      <c r="AS20" s="4">
        <v>0.56599999999999995</v>
      </c>
      <c r="AT20" s="4">
        <v>0.68300000000000005</v>
      </c>
      <c r="AU20" s="4">
        <v>7.3999999999999996E-2</v>
      </c>
      <c r="AV20" s="4">
        <v>-0.17599999999999999</v>
      </c>
      <c r="AW20" s="4">
        <v>-0.128</v>
      </c>
      <c r="AX20" s="4">
        <v>0.45500000000000002</v>
      </c>
      <c r="AY20" s="4">
        <v>-0.56299999999999994</v>
      </c>
      <c r="AZ20" s="4">
        <v>0.71399999999999997</v>
      </c>
      <c r="BA20" s="4">
        <v>0.39700000000000002</v>
      </c>
      <c r="BB20" s="4">
        <v>0.39</v>
      </c>
      <c r="BC20" s="4">
        <v>-0.151</v>
      </c>
      <c r="BD20" s="4">
        <v>-6.6000000000000003E-2</v>
      </c>
      <c r="BE20" s="4">
        <v>0.45400000000000001</v>
      </c>
      <c r="BF20" s="4">
        <v>0.49399999999999999</v>
      </c>
      <c r="BG20" s="4">
        <v>1</v>
      </c>
      <c r="BH20" s="4">
        <v>0.46600000000000003</v>
      </c>
      <c r="BI20" s="4">
        <v>-0.57999999999999996</v>
      </c>
      <c r="BJ20" s="4">
        <v>3.5000000000000003E-2</v>
      </c>
      <c r="BK20" s="4">
        <v>0.20699999999999999</v>
      </c>
      <c r="BL20" s="4">
        <v>0.40300000000000002</v>
      </c>
      <c r="BM20" s="4">
        <v>0.16200000000000001</v>
      </c>
      <c r="BN20" s="4"/>
    </row>
    <row r="21" spans="1:66" x14ac:dyDescent="0.3">
      <c r="A21" t="s">
        <v>58</v>
      </c>
      <c r="B21" s="53">
        <f t="shared" si="4"/>
        <v>0.01</v>
      </c>
      <c r="C21" s="53">
        <f t="shared" si="5"/>
        <v>8.3846300000000006E-3</v>
      </c>
      <c r="D21" s="53">
        <f t="shared" si="6"/>
        <v>0</v>
      </c>
      <c r="E21" s="53">
        <f t="shared" si="7"/>
        <v>1.6153700000000001E-3</v>
      </c>
      <c r="F21" s="15">
        <v>3.0070000000000001</v>
      </c>
      <c r="G21">
        <v>3.2109999999999999</v>
      </c>
      <c r="H21" t="s">
        <v>57</v>
      </c>
      <c r="I21" t="str">
        <f>VLOOKUP(A21,Planilha6!$BL$9:$BN$222,2,0)</f>
        <v>apparel</v>
      </c>
      <c r="J21" t="str">
        <f>VLOOKUP(A21,Planilha6!$BL$9:$BN$222,3,0)</f>
        <v>very_low_beta</v>
      </c>
      <c r="K21" s="17">
        <v>0.01</v>
      </c>
      <c r="L21" s="2">
        <v>8.0000000000000002E-3</v>
      </c>
      <c r="M21" s="5">
        <v>1.1666069113333299</v>
      </c>
      <c r="N21" s="41">
        <f>VLOOKUP(A21,'Mandato LP'!$A$2:$B$215,2,0)</f>
        <v>1.24295189691779E-2</v>
      </c>
      <c r="O21" s="59">
        <f t="shared" si="8"/>
        <v>-2.4295189691778997E-3</v>
      </c>
      <c r="P21" s="42">
        <f t="shared" si="9"/>
        <v>-2.4295189691778997E-3</v>
      </c>
      <c r="Q21" s="41">
        <f>VLOOKUP(A21,'Mandato LP'!$A$2:$C$215,3,0)</f>
        <v>7.9398298805718106E-3</v>
      </c>
      <c r="R21" s="42">
        <f t="shared" si="10"/>
        <v>2.0601701194281896E-3</v>
      </c>
      <c r="S21" s="15">
        <v>0.69</v>
      </c>
      <c r="T21" s="15">
        <v>0.625</v>
      </c>
      <c r="U21" s="15">
        <v>0.44800000000000001</v>
      </c>
      <c r="V21" s="15">
        <v>0.53200000000000003</v>
      </c>
      <c r="W21" s="15">
        <v>0.623</v>
      </c>
      <c r="X21" s="15">
        <v>0.90700000000000003</v>
      </c>
      <c r="Y21" s="15">
        <v>1</v>
      </c>
      <c r="Z21" s="15">
        <v>1</v>
      </c>
      <c r="AA21" s="15">
        <v>0.59</v>
      </c>
      <c r="AB21" s="15">
        <v>0.59699999999999998</v>
      </c>
      <c r="AC21" s="15">
        <v>0.79100000000000004</v>
      </c>
      <c r="AD21" s="15">
        <v>0.77</v>
      </c>
      <c r="AE21" s="15">
        <v>0.747</v>
      </c>
      <c r="AF21" s="14">
        <v>0.93400000000000005</v>
      </c>
      <c r="AG21" s="110">
        <v>-5.0999999999999997E-2</v>
      </c>
      <c r="AH21" s="110">
        <v>-0.36499999999999999</v>
      </c>
      <c r="AI21" s="110">
        <v>-8.2000000000000003E-2</v>
      </c>
      <c r="AJ21" s="110">
        <v>-0.23</v>
      </c>
      <c r="AK21" s="16">
        <v>1</v>
      </c>
      <c r="AL21" s="111">
        <v>-9.4E-2</v>
      </c>
      <c r="AM21" s="111">
        <v>0.94799999999999995</v>
      </c>
      <c r="AN21" s="4">
        <v>-0.50600000000000001</v>
      </c>
      <c r="AO21" s="4">
        <v>0.65700000000000003</v>
      </c>
      <c r="AP21" s="4">
        <v>0.14000000000000001</v>
      </c>
      <c r="AQ21" s="4">
        <v>1.2999999999999999E-2</v>
      </c>
      <c r="AR21" s="4">
        <v>8.1000000000000003E-2</v>
      </c>
      <c r="AS21" s="4">
        <v>-1E-3</v>
      </c>
      <c r="AT21" s="4">
        <v>-0.46700000000000003</v>
      </c>
      <c r="AU21" s="4">
        <v>0.308</v>
      </c>
      <c r="AV21" s="4">
        <v>-7.0000000000000001E-3</v>
      </c>
      <c r="AW21" s="4">
        <v>0.38600000000000001</v>
      </c>
      <c r="AX21" s="4">
        <v>0.495</v>
      </c>
      <c r="AY21" s="4">
        <v>0.83499999999999996</v>
      </c>
      <c r="AZ21" s="4">
        <v>0.66</v>
      </c>
      <c r="BA21" s="4">
        <v>-0.10199999999999999</v>
      </c>
      <c r="BB21" s="4">
        <v>0.44600000000000001</v>
      </c>
      <c r="BC21" s="4">
        <v>0.82599999999999996</v>
      </c>
      <c r="BD21" s="4">
        <v>0.45300000000000001</v>
      </c>
      <c r="BE21" s="4">
        <v>0.58299999999999996</v>
      </c>
      <c r="BF21" s="4">
        <v>0.17599999999999999</v>
      </c>
      <c r="BG21" s="4">
        <v>5.0000000000000001E-3</v>
      </c>
      <c r="BH21" s="4">
        <v>0.93</v>
      </c>
      <c r="BI21" s="4">
        <v>-0.23499999999999999</v>
      </c>
      <c r="BJ21" s="4">
        <v>-0.371</v>
      </c>
      <c r="BK21" s="4">
        <v>0.129</v>
      </c>
      <c r="BL21" s="4">
        <v>0.29299999999999998</v>
      </c>
      <c r="BM21" s="4">
        <v>-0.216</v>
      </c>
      <c r="BN21" s="4"/>
    </row>
    <row r="22" spans="1:66" x14ac:dyDescent="0.3">
      <c r="A22" t="s">
        <v>81</v>
      </c>
      <c r="B22" s="53">
        <f t="shared" si="4"/>
        <v>2.3E-2</v>
      </c>
      <c r="C22" s="53">
        <f t="shared" si="5"/>
        <v>-3.5127000000000005E-3</v>
      </c>
      <c r="D22" s="53">
        <f t="shared" si="6"/>
        <v>0</v>
      </c>
      <c r="E22" s="53">
        <f t="shared" si="7"/>
        <v>2.65127E-2</v>
      </c>
      <c r="F22" s="15">
        <v>2.9980000000000002</v>
      </c>
      <c r="G22">
        <v>5.8970000000000002</v>
      </c>
      <c r="H22" t="s">
        <v>55</v>
      </c>
      <c r="I22" t="str">
        <f>VLOOKUP(A22,Planilha6!$BL$9:$BN$222,2,0)</f>
        <v>telecom</v>
      </c>
      <c r="J22" t="str">
        <f>VLOOKUP(A22,Planilha6!$BL$9:$BN$222,3,0)</f>
        <v>very_low_beta</v>
      </c>
      <c r="K22" s="17">
        <v>2.3E-2</v>
      </c>
      <c r="L22" s="2">
        <v>-3.0000000000000001E-3</v>
      </c>
      <c r="M22" s="5">
        <v>1.49231119656333</v>
      </c>
      <c r="N22" s="41">
        <f>VLOOKUP(A22,'Mandato LP'!$A$2:$B$215,2,0)</f>
        <v>5.8182099503771699E-2</v>
      </c>
      <c r="O22" s="59">
        <f t="shared" si="8"/>
        <v>-3.5182099503771699E-2</v>
      </c>
      <c r="P22" s="42">
        <f t="shared" si="9"/>
        <v>-3.5182099503771699E-2</v>
      </c>
      <c r="Q22" s="41">
        <f>VLOOKUP(A22,'Mandato LP'!$A$2:$C$215,3,0)</f>
        <v>3.5251617178582099E-2</v>
      </c>
      <c r="R22" s="42">
        <f t="shared" si="10"/>
        <v>-1.22516171785821E-2</v>
      </c>
      <c r="S22" s="15">
        <v>0.54200000000000004</v>
      </c>
      <c r="T22" s="15">
        <v>1</v>
      </c>
      <c r="U22" s="15">
        <v>-0.20100000000000001</v>
      </c>
      <c r="V22" s="15">
        <v>0.85499999999999998</v>
      </c>
      <c r="W22" s="15">
        <v>0.79500000000000004</v>
      </c>
      <c r="X22" s="15">
        <v>1</v>
      </c>
      <c r="Y22" s="15">
        <v>1</v>
      </c>
      <c r="Z22" s="15">
        <v>0.89800000000000002</v>
      </c>
      <c r="AA22" s="15">
        <v>0.80200000000000005</v>
      </c>
      <c r="AB22" s="15">
        <v>0.81</v>
      </c>
      <c r="AC22" s="15">
        <v>0.85</v>
      </c>
      <c r="AD22" s="15">
        <v>0.84499999999999997</v>
      </c>
      <c r="AE22" s="15">
        <v>0.79</v>
      </c>
      <c r="AF22" s="14">
        <v>0.83799999999999997</v>
      </c>
      <c r="AG22" s="110">
        <v>3.4000000000000002E-2</v>
      </c>
      <c r="AH22" s="110">
        <v>0.28699999999999998</v>
      </c>
      <c r="AI22" s="110">
        <v>-0.92</v>
      </c>
      <c r="AJ22" s="110">
        <v>-0.58199999999999996</v>
      </c>
      <c r="AK22" s="16">
        <v>-0.42299999999999999</v>
      </c>
      <c r="AL22" s="111">
        <v>0.23100000000000001</v>
      </c>
      <c r="AM22" s="111">
        <v>-6.8000000000000005E-2</v>
      </c>
      <c r="AN22" s="4">
        <v>-0.84799999999999998</v>
      </c>
      <c r="AO22" s="4">
        <v>-0.47799999999999998</v>
      </c>
      <c r="AP22" s="4">
        <v>0.38200000000000001</v>
      </c>
      <c r="AQ22" s="4">
        <v>0.67100000000000004</v>
      </c>
      <c r="AR22" s="4">
        <v>0.57899999999999996</v>
      </c>
      <c r="AS22" s="4">
        <v>0.23699999999999999</v>
      </c>
      <c r="AT22" s="4">
        <v>0.14899999999999999</v>
      </c>
      <c r="AU22" s="4">
        <v>0.55200000000000005</v>
      </c>
      <c r="AV22" s="4">
        <v>0.40699999999999997</v>
      </c>
      <c r="AW22" s="4">
        <v>1</v>
      </c>
      <c r="AX22" s="4">
        <v>0.76600000000000001</v>
      </c>
      <c r="AY22" s="4">
        <v>0.16300000000000001</v>
      </c>
      <c r="AZ22" s="4">
        <v>0.84599999999999997</v>
      </c>
      <c r="BA22" s="4">
        <v>0.27700000000000002</v>
      </c>
      <c r="BB22" s="4">
        <v>0.81299999999999994</v>
      </c>
      <c r="BC22" s="4">
        <v>0.36</v>
      </c>
      <c r="BD22" s="4">
        <v>0.37</v>
      </c>
      <c r="BE22" s="4">
        <v>0.67</v>
      </c>
      <c r="BF22" s="4">
        <v>0.27100000000000002</v>
      </c>
      <c r="BG22" s="4">
        <v>0.39</v>
      </c>
      <c r="BH22" s="4">
        <v>0.94599999999999995</v>
      </c>
      <c r="BI22" s="4">
        <v>-0.77100000000000002</v>
      </c>
      <c r="BJ22" s="4">
        <v>-0.35899999999999999</v>
      </c>
      <c r="BK22" s="4">
        <v>-1.7000000000000001E-2</v>
      </c>
      <c r="BL22" s="4">
        <v>-0.54700000000000004</v>
      </c>
      <c r="BM22" s="4">
        <v>6.2E-2</v>
      </c>
      <c r="BN22" s="4"/>
    </row>
    <row r="23" spans="1:66" x14ac:dyDescent="0.3">
      <c r="A23" t="s">
        <v>56</v>
      </c>
      <c r="B23" s="53">
        <f t="shared" si="4"/>
        <v>1.0999999999999999E-2</v>
      </c>
      <c r="C23" s="53">
        <f t="shared" si="5"/>
        <v>1.0999999999999999E-2</v>
      </c>
      <c r="D23" s="53">
        <f t="shared" si="6"/>
        <v>0</v>
      </c>
      <c r="E23" s="53">
        <f t="shared" si="7"/>
        <v>0</v>
      </c>
      <c r="F23" s="15">
        <v>2.9329999999999998</v>
      </c>
      <c r="G23">
        <v>3.141</v>
      </c>
      <c r="H23" t="s">
        <v>55</v>
      </c>
      <c r="I23" t="str">
        <f>VLOOKUP(A23,Planilha6!$BL$9:$BN$222,2,0)</f>
        <v>utilities</v>
      </c>
      <c r="J23" t="str">
        <f>VLOOKUP(A23,Planilha6!$BL$9:$BN$222,3,0)</f>
        <v>low_beta</v>
      </c>
      <c r="K23" s="17">
        <v>1.0999999999999999E-2</v>
      </c>
      <c r="L23" s="2">
        <v>1.0999999999999999E-2</v>
      </c>
      <c r="M23" s="5">
        <v>0.34131741066666699</v>
      </c>
      <c r="N23" s="41">
        <f>VLOOKUP(A23,'Mandato LP'!$A$2:$B$215,2,0)</f>
        <v>1.10599095072657E-2</v>
      </c>
      <c r="O23" s="59">
        <f t="shared" si="8"/>
        <v>-5.9909507265700282E-5</v>
      </c>
      <c r="P23" s="42">
        <f t="shared" si="9"/>
        <v>-5.9909507265700282E-5</v>
      </c>
      <c r="Q23" s="41">
        <f>VLOOKUP(A23,'Mandato LP'!$A$2:$C$215,3,0)</f>
        <v>5.8453806896521599E-3</v>
      </c>
      <c r="R23" s="42">
        <f t="shared" si="10"/>
        <v>5.1546193103478395E-3</v>
      </c>
      <c r="S23" s="15">
        <v>0.57499999999999996</v>
      </c>
      <c r="T23" s="15">
        <v>0.876</v>
      </c>
      <c r="U23" s="15">
        <v>0.247</v>
      </c>
      <c r="V23" s="15">
        <v>0.80600000000000005</v>
      </c>
      <c r="W23" s="15">
        <v>0.88500000000000001</v>
      </c>
      <c r="X23" s="15">
        <v>0.81200000000000006</v>
      </c>
      <c r="Y23" s="15">
        <v>0.89900000000000002</v>
      </c>
      <c r="Z23" s="15">
        <v>0.77600000000000002</v>
      </c>
      <c r="AA23" s="15">
        <v>0.753</v>
      </c>
      <c r="AB23" s="15">
        <v>0.76300000000000001</v>
      </c>
      <c r="AC23" s="15">
        <v>0.86299999999999999</v>
      </c>
      <c r="AD23" s="15">
        <v>0.84599999999999997</v>
      </c>
      <c r="AE23" s="15">
        <v>0.79500000000000004</v>
      </c>
      <c r="AF23" s="14">
        <v>0.875</v>
      </c>
      <c r="AG23" s="110">
        <v>0.438</v>
      </c>
      <c r="AH23" s="110">
        <v>0.58199999999999996</v>
      </c>
      <c r="AI23" s="110">
        <v>-0.45200000000000001</v>
      </c>
      <c r="AJ23" s="110">
        <v>-0.55600000000000005</v>
      </c>
      <c r="AK23" s="16">
        <v>-0.14499999999999999</v>
      </c>
      <c r="AL23" s="111">
        <v>0.48399999999999999</v>
      </c>
      <c r="AM23" s="111">
        <v>-0.20200000000000001</v>
      </c>
      <c r="AN23" s="4">
        <v>-0.316</v>
      </c>
      <c r="AO23" s="4">
        <v>-5.1999999999999998E-2</v>
      </c>
      <c r="AP23" s="4">
        <v>0.21199999999999999</v>
      </c>
      <c r="AQ23" s="4">
        <v>-0.20499999999999999</v>
      </c>
      <c r="AR23" s="4">
        <v>0.27600000000000002</v>
      </c>
      <c r="AS23" s="4">
        <v>-0.09</v>
      </c>
      <c r="AT23" s="4">
        <v>-6.0999999999999999E-2</v>
      </c>
      <c r="AU23" s="4">
        <v>0.39500000000000002</v>
      </c>
      <c r="AV23" s="4">
        <v>0.42399999999999999</v>
      </c>
      <c r="AW23" s="4">
        <v>0.53200000000000003</v>
      </c>
      <c r="AX23" s="4">
        <v>0.75600000000000001</v>
      </c>
      <c r="AY23" s="4">
        <v>-0.08</v>
      </c>
      <c r="AZ23" s="4">
        <v>0.14899999999999999</v>
      </c>
      <c r="BA23" s="4">
        <v>0.83699999999999997</v>
      </c>
      <c r="BB23" s="4">
        <v>0.89800000000000002</v>
      </c>
      <c r="BC23" s="4">
        <v>-0.13300000000000001</v>
      </c>
      <c r="BD23" s="4">
        <v>0.17899999999999999</v>
      </c>
      <c r="BE23" s="4">
        <v>0.183</v>
      </c>
      <c r="BF23" s="4">
        <v>0.246</v>
      </c>
      <c r="BG23" s="4">
        <v>1</v>
      </c>
      <c r="BH23" s="4">
        <v>0.439</v>
      </c>
      <c r="BI23" s="4">
        <v>-0.752</v>
      </c>
      <c r="BJ23" s="4">
        <v>-8.5000000000000006E-2</v>
      </c>
      <c r="BK23" s="4">
        <v>0.6</v>
      </c>
      <c r="BL23" s="4">
        <v>0.11799999999999999</v>
      </c>
      <c r="BM23" s="4">
        <v>0.76</v>
      </c>
      <c r="BN23" s="4"/>
    </row>
    <row r="24" spans="1:66" x14ac:dyDescent="0.3">
      <c r="A24" t="s">
        <v>74</v>
      </c>
      <c r="B24" s="53">
        <f t="shared" si="4"/>
        <v>8.9999999999999993E-3</v>
      </c>
      <c r="C24" s="53">
        <f t="shared" si="5"/>
        <v>8.9999999999999993E-3</v>
      </c>
      <c r="D24" s="53">
        <f t="shared" si="6"/>
        <v>0</v>
      </c>
      <c r="E24" s="53">
        <f t="shared" si="7"/>
        <v>0</v>
      </c>
      <c r="F24" s="15">
        <v>2.887</v>
      </c>
      <c r="G24">
        <v>2.3069999999999999</v>
      </c>
      <c r="H24" t="s">
        <v>53</v>
      </c>
      <c r="I24" t="str">
        <f>VLOOKUP(A24,Planilha6!$BL$9:$BN$222,2,0)</f>
        <v>healthcare</v>
      </c>
      <c r="J24" t="str">
        <f>VLOOKUP(A24,Planilha6!$BL$9:$BN$222,3,0)</f>
        <v>high_beta</v>
      </c>
      <c r="K24" s="17">
        <v>8.9999999999999993E-3</v>
      </c>
      <c r="L24" s="2">
        <v>8.9999999999999993E-3</v>
      </c>
      <c r="M24" s="5">
        <v>0.53502726880999996</v>
      </c>
      <c r="N24" s="41">
        <f>VLOOKUP(A24,'Mandato LP'!$A$2:$B$215,2,0)</f>
        <v>1.08840916853793E-2</v>
      </c>
      <c r="O24" s="59">
        <f t="shared" si="8"/>
        <v>-1.8840916853793011E-3</v>
      </c>
      <c r="P24" s="42">
        <f t="shared" si="9"/>
        <v>-1.8840916853793011E-3</v>
      </c>
      <c r="Q24" s="41">
        <f>VLOOKUP(A24,'Mandato LP'!$A$2:$C$215,3,0)</f>
        <v>8.1674537517602008E-3</v>
      </c>
      <c r="R24" s="42">
        <f t="shared" si="10"/>
        <v>8.3254624823979849E-4</v>
      </c>
      <c r="S24" s="15">
        <v>1</v>
      </c>
      <c r="T24" s="15">
        <v>0.46400000000000002</v>
      </c>
      <c r="U24" s="15">
        <v>1</v>
      </c>
      <c r="V24" s="15">
        <v>1</v>
      </c>
      <c r="W24" s="15">
        <v>0.93</v>
      </c>
      <c r="X24" s="15">
        <v>0.61299999999999999</v>
      </c>
      <c r="Y24" s="15">
        <v>0.377</v>
      </c>
      <c r="Z24" s="15">
        <v>0.37</v>
      </c>
      <c r="AA24" s="15">
        <v>0.624</v>
      </c>
      <c r="AB24" s="15">
        <v>0.63</v>
      </c>
      <c r="AC24" s="15">
        <v>0.94699999999999995</v>
      </c>
      <c r="AD24" s="15">
        <v>0.81899999999999995</v>
      </c>
      <c r="AE24" s="15">
        <v>0.92600000000000005</v>
      </c>
      <c r="AF24" s="14">
        <v>1</v>
      </c>
      <c r="AG24" s="110">
        <v>0.97699999999999998</v>
      </c>
      <c r="AH24" s="110">
        <v>0.58099999999999996</v>
      </c>
      <c r="AI24" s="110">
        <v>1</v>
      </c>
      <c r="AJ24" s="110">
        <v>0.69399999999999995</v>
      </c>
      <c r="AK24" s="16">
        <v>0.71899999999999997</v>
      </c>
      <c r="AL24" s="111">
        <v>0.65500000000000003</v>
      </c>
      <c r="AM24" s="111">
        <v>0.1</v>
      </c>
      <c r="AN24" s="4">
        <v>0.107</v>
      </c>
      <c r="AO24" s="4">
        <v>7.4999999999999997E-2</v>
      </c>
      <c r="AP24" s="4">
        <v>0.13800000000000001</v>
      </c>
      <c r="AQ24" s="4">
        <v>-3.7999999999999999E-2</v>
      </c>
      <c r="AR24" s="4">
        <v>0.41699999999999998</v>
      </c>
      <c r="AS24" s="4">
        <v>0.11799999999999999</v>
      </c>
      <c r="AT24" s="4">
        <v>-0.218</v>
      </c>
      <c r="AU24" s="4">
        <v>0.47499999999999998</v>
      </c>
      <c r="AV24" s="4">
        <v>-0.48099999999999998</v>
      </c>
      <c r="AW24" s="4">
        <v>0.45700000000000002</v>
      </c>
      <c r="AX24" s="4">
        <v>0.29099999999999998</v>
      </c>
      <c r="AY24" s="4">
        <v>-0.128</v>
      </c>
      <c r="AZ24" s="4">
        <v>0.91900000000000004</v>
      </c>
      <c r="BA24" s="4">
        <v>-0.17199999999999999</v>
      </c>
      <c r="BB24" s="4">
        <v>0.74099999999999999</v>
      </c>
      <c r="BC24" s="4">
        <v>-0.122</v>
      </c>
      <c r="BD24" s="4">
        <v>-3.7999999999999999E-2</v>
      </c>
      <c r="BE24" s="4">
        <v>0.10100000000000001</v>
      </c>
      <c r="BF24" s="4">
        <v>0.46300000000000002</v>
      </c>
      <c r="BG24" s="4">
        <v>-9.9000000000000005E-2</v>
      </c>
      <c r="BH24" s="4">
        <v>0.161</v>
      </c>
      <c r="BI24" s="4">
        <v>-0.68799999999999994</v>
      </c>
      <c r="BJ24" s="4">
        <v>8.1000000000000003E-2</v>
      </c>
      <c r="BK24" s="4">
        <v>0.81499999999999995</v>
      </c>
      <c r="BL24" s="4">
        <v>0.71499999999999997</v>
      </c>
      <c r="BM24" s="4">
        <v>-9.7000000000000003E-2</v>
      </c>
      <c r="BN24" s="4"/>
    </row>
    <row r="25" spans="1:66" x14ac:dyDescent="0.3">
      <c r="A25" t="s">
        <v>64</v>
      </c>
      <c r="B25" s="53">
        <f t="shared" si="4"/>
        <v>8.0000000000000002E-3</v>
      </c>
      <c r="C25" s="53">
        <f t="shared" si="5"/>
        <v>8.0000000000000002E-3</v>
      </c>
      <c r="D25" s="53">
        <f t="shared" si="6"/>
        <v>0</v>
      </c>
      <c r="E25" s="53">
        <f t="shared" si="7"/>
        <v>0</v>
      </c>
      <c r="F25" s="15">
        <v>2.85</v>
      </c>
      <c r="G25">
        <v>2.4540000000000002</v>
      </c>
      <c r="H25" t="s">
        <v>55</v>
      </c>
      <c r="I25" t="str">
        <f>VLOOKUP(A25,Planilha6!$BL$9:$BN$222,2,0)</f>
        <v>utilities</v>
      </c>
      <c r="J25" t="str">
        <f>VLOOKUP(A25,Planilha6!$BL$9:$BN$222,3,0)</f>
        <v>high_beta</v>
      </c>
      <c r="K25" s="17">
        <v>8.0000000000000002E-3</v>
      </c>
      <c r="L25" s="2">
        <v>8.0000000000000002E-3</v>
      </c>
      <c r="M25" s="5">
        <v>0.31028855466666699</v>
      </c>
      <c r="N25" s="41">
        <f>VLOOKUP(A25,'Mandato LP'!$A$2:$B$215,2,0)</f>
        <v>1.07467489075778E-2</v>
      </c>
      <c r="O25" s="59">
        <f t="shared" si="8"/>
        <v>-2.7467489075777996E-3</v>
      </c>
      <c r="P25" s="42">
        <f t="shared" si="9"/>
        <v>-2.7467489075777996E-3</v>
      </c>
      <c r="Q25" s="41">
        <f>VLOOKUP(A25,'Mandato LP'!$A$2:$C$215,3,0)</f>
        <v>6.1663395248289397E-3</v>
      </c>
      <c r="R25" s="42">
        <f t="shared" si="10"/>
        <v>1.8336604751710605E-3</v>
      </c>
      <c r="S25" s="15">
        <v>0.55800000000000005</v>
      </c>
      <c r="T25" s="15">
        <v>0.86399999999999999</v>
      </c>
      <c r="U25" s="15">
        <v>0.32700000000000001</v>
      </c>
      <c r="V25" s="15">
        <v>0.80200000000000005</v>
      </c>
      <c r="W25" s="15">
        <v>0.90300000000000002</v>
      </c>
      <c r="X25" s="15">
        <v>0.68899999999999995</v>
      </c>
      <c r="Y25" s="15">
        <v>0.70599999999999996</v>
      </c>
      <c r="Z25" s="15">
        <v>0.66700000000000004</v>
      </c>
      <c r="AA25" s="15">
        <v>0.83499999999999996</v>
      </c>
      <c r="AB25" s="15">
        <v>0.84499999999999997</v>
      </c>
      <c r="AC25" s="15">
        <v>0.874</v>
      </c>
      <c r="AD25" s="15">
        <v>0.81399999999999995</v>
      </c>
      <c r="AE25" s="15">
        <v>0.82699999999999996</v>
      </c>
      <c r="AF25" s="14">
        <v>0.81100000000000005</v>
      </c>
      <c r="AG25" s="110">
        <v>0.4</v>
      </c>
      <c r="AH25" s="110">
        <v>0.73899999999999999</v>
      </c>
      <c r="AI25" s="110">
        <v>-0.46700000000000003</v>
      </c>
      <c r="AJ25" s="110">
        <v>-0.51800000000000002</v>
      </c>
      <c r="AK25" s="16">
        <v>-0.14499999999999999</v>
      </c>
      <c r="AL25" s="111">
        <v>0.48399999999999999</v>
      </c>
      <c r="AM25" s="111">
        <v>-0.33300000000000002</v>
      </c>
      <c r="AN25" s="4">
        <v>-0.316</v>
      </c>
      <c r="AO25" s="4">
        <v>-0.10299999999999999</v>
      </c>
      <c r="AP25" s="4">
        <v>0.30399999999999999</v>
      </c>
      <c r="AQ25" s="4">
        <v>-0.214</v>
      </c>
      <c r="AR25" s="4">
        <v>0.27600000000000002</v>
      </c>
      <c r="AS25" s="4">
        <v>-0.09</v>
      </c>
      <c r="AT25" s="4">
        <v>-6.0999999999999999E-2</v>
      </c>
      <c r="AU25" s="4">
        <v>0.39500000000000002</v>
      </c>
      <c r="AV25" s="4">
        <v>0.42399999999999999</v>
      </c>
      <c r="AW25" s="4">
        <v>0.53200000000000003</v>
      </c>
      <c r="AX25" s="4">
        <v>0.64800000000000002</v>
      </c>
      <c r="AY25" s="4">
        <v>-0.08</v>
      </c>
      <c r="AZ25" s="4">
        <v>0.14899999999999999</v>
      </c>
      <c r="BA25" s="4">
        <v>0.95399999999999996</v>
      </c>
      <c r="BB25" s="4">
        <v>0.45600000000000002</v>
      </c>
      <c r="BC25" s="4">
        <v>-0.13300000000000001</v>
      </c>
      <c r="BD25" s="4">
        <v>0.17899999999999999</v>
      </c>
      <c r="BE25" s="4">
        <v>0.29299999999999998</v>
      </c>
      <c r="BF25" s="4">
        <v>8.0000000000000002E-3</v>
      </c>
      <c r="BG25" s="4">
        <v>0.44900000000000001</v>
      </c>
      <c r="BH25" s="4">
        <v>0.23899999999999999</v>
      </c>
      <c r="BI25" s="4">
        <v>-0.872</v>
      </c>
      <c r="BJ25" s="4">
        <v>0.109</v>
      </c>
      <c r="BK25" s="4">
        <v>0.96199999999999997</v>
      </c>
      <c r="BL25" s="4">
        <v>0.11799999999999999</v>
      </c>
      <c r="BM25" s="4">
        <v>0.121</v>
      </c>
      <c r="BN25" s="4"/>
    </row>
    <row r="26" spans="1:66" x14ac:dyDescent="0.3">
      <c r="A26" t="s">
        <v>89</v>
      </c>
      <c r="B26" s="53">
        <f t="shared" si="4"/>
        <v>0.01</v>
      </c>
      <c r="C26" s="53">
        <f t="shared" si="5"/>
        <v>0.01</v>
      </c>
      <c r="D26" s="53">
        <f t="shared" si="6"/>
        <v>0</v>
      </c>
      <c r="E26" s="53">
        <f t="shared" si="7"/>
        <v>0</v>
      </c>
      <c r="F26" s="15">
        <v>2.8290000000000002</v>
      </c>
      <c r="G26">
        <v>2.681</v>
      </c>
      <c r="H26" t="s">
        <v>68</v>
      </c>
      <c r="I26" t="str">
        <f>VLOOKUP(A26,Planilha6!$BL$9:$BN$222,2,0)</f>
        <v>chemicals</v>
      </c>
      <c r="J26" t="str">
        <f>VLOOKUP(A26,Planilha6!$BL$9:$BN$222,3,0)</f>
        <v>very_low_beta</v>
      </c>
      <c r="K26" s="17">
        <v>0.01</v>
      </c>
      <c r="L26" s="2">
        <v>0.01</v>
      </c>
      <c r="M26" s="5">
        <v>0.586486629314667</v>
      </c>
      <c r="N26" s="41">
        <f>VLOOKUP(A26,'Mandato LP'!$A$2:$B$215,2,0)</f>
        <v>1.0665109223730601E-2</v>
      </c>
      <c r="O26" s="59">
        <f t="shared" si="8"/>
        <v>-6.6510922373060055E-4</v>
      </c>
      <c r="P26" s="42">
        <f t="shared" si="9"/>
        <v>-6.6510922373060055E-4</v>
      </c>
      <c r="Q26" s="41">
        <f>VLOOKUP(A26,'Mandato LP'!$A$2:$C$215,3,0)</f>
        <v>0</v>
      </c>
      <c r="R26" s="42">
        <f t="shared" si="10"/>
        <v>0.01</v>
      </c>
      <c r="S26" s="15">
        <v>0.69</v>
      </c>
      <c r="T26" s="15">
        <v>0.58399999999999996</v>
      </c>
      <c r="U26" s="15">
        <v>0.85499999999999998</v>
      </c>
      <c r="V26" s="15">
        <v>0.28799999999999998</v>
      </c>
      <c r="W26" s="15">
        <v>0.627</v>
      </c>
      <c r="X26" s="15">
        <v>0.63900000000000001</v>
      </c>
      <c r="Y26" s="15">
        <v>0.65200000000000002</v>
      </c>
      <c r="Z26" s="15">
        <v>0.61299999999999999</v>
      </c>
      <c r="AA26" s="15">
        <v>0.88500000000000001</v>
      </c>
      <c r="AB26" s="15">
        <v>0.89</v>
      </c>
      <c r="AC26" s="15">
        <v>0.86499999999999999</v>
      </c>
      <c r="AD26" s="15">
        <v>0.77700000000000002</v>
      </c>
      <c r="AE26" s="15">
        <v>0.83799999999999997</v>
      </c>
      <c r="AF26" s="14">
        <v>0.54700000000000004</v>
      </c>
      <c r="AG26" s="110">
        <v>-0.46300000000000002</v>
      </c>
      <c r="AH26" s="110">
        <v>-0.245</v>
      </c>
      <c r="AI26" s="110">
        <v>0.75</v>
      </c>
      <c r="AJ26" s="110">
        <v>0.26200000000000001</v>
      </c>
      <c r="AK26" s="16">
        <v>0.52</v>
      </c>
      <c r="AL26" s="111">
        <v>0.35199999999999998</v>
      </c>
      <c r="AM26" s="111">
        <v>0.183</v>
      </c>
      <c r="AN26" s="4">
        <v>-9.2999999999999999E-2</v>
      </c>
      <c r="AO26" s="4">
        <v>0.36</v>
      </c>
      <c r="AP26" s="4">
        <v>9.6000000000000002E-2</v>
      </c>
      <c r="AQ26" s="4">
        <v>-0.436</v>
      </c>
      <c r="AR26" s="4">
        <v>-5.7000000000000002E-2</v>
      </c>
      <c r="AS26" s="4">
        <v>-0.17</v>
      </c>
      <c r="AT26" s="4">
        <v>-0.47899999999999998</v>
      </c>
      <c r="AU26" s="4">
        <v>0.55100000000000005</v>
      </c>
      <c r="AV26" s="4">
        <v>-0.246</v>
      </c>
      <c r="AW26" s="4">
        <v>0.248</v>
      </c>
      <c r="AX26" s="4">
        <v>0.58299999999999996</v>
      </c>
      <c r="AY26" s="4">
        <v>0.47899999999999998</v>
      </c>
      <c r="AZ26" s="4">
        <v>0.86899999999999999</v>
      </c>
      <c r="BA26" s="4">
        <v>0.77300000000000002</v>
      </c>
      <c r="BB26" s="4">
        <v>0.88100000000000001</v>
      </c>
      <c r="BC26" s="4">
        <v>-3.6999999999999998E-2</v>
      </c>
      <c r="BD26" s="4">
        <v>-9.4E-2</v>
      </c>
      <c r="BE26" s="4">
        <v>0.248</v>
      </c>
      <c r="BF26" s="4">
        <v>0.27200000000000002</v>
      </c>
      <c r="BG26" s="4">
        <v>-9.0999999999999998E-2</v>
      </c>
      <c r="BH26" s="4">
        <v>0.91800000000000004</v>
      </c>
      <c r="BI26" s="4">
        <v>-0.312</v>
      </c>
      <c r="BJ26" s="4">
        <v>-0.254</v>
      </c>
      <c r="BK26" s="4">
        <v>0.92700000000000005</v>
      </c>
      <c r="BL26" s="4">
        <v>0.88300000000000001</v>
      </c>
      <c r="BM26" s="4">
        <v>0.371</v>
      </c>
      <c r="BN26" s="4"/>
    </row>
    <row r="27" spans="1:66" x14ac:dyDescent="0.3">
      <c r="A27" t="s">
        <v>136</v>
      </c>
      <c r="B27" s="53">
        <v>4.3999999999999997E-2</v>
      </c>
      <c r="C27" s="53">
        <f t="shared" si="5"/>
        <v>-2.3948129999999998E-2</v>
      </c>
      <c r="D27" s="53">
        <f t="shared" si="6"/>
        <v>9.999999999999995E-3</v>
      </c>
      <c r="E27" s="53">
        <f t="shared" si="7"/>
        <v>6.7948129999999995E-2</v>
      </c>
      <c r="F27" s="15">
        <v>2.806</v>
      </c>
      <c r="G27">
        <v>5.6420000000000003</v>
      </c>
      <c r="H27" t="s">
        <v>71</v>
      </c>
      <c r="I27" t="str">
        <f>VLOOKUP(A27,Planilha6!$BL$9:$BN$222,2,0)</f>
        <v>crude_oil</v>
      </c>
      <c r="J27" t="str">
        <f>VLOOKUP(A27,Planilha6!$BL$9:$BN$222,3,0)</f>
        <v>very_low_beta</v>
      </c>
      <c r="K27" s="17">
        <v>3.4000000000000002E-2</v>
      </c>
      <c r="L27" s="2">
        <v>-3.4000000000000002E-2</v>
      </c>
      <c r="M27" s="5">
        <v>6.1427917787033302</v>
      </c>
      <c r="N27" s="41">
        <f>VLOOKUP(A27,'Mandato LP'!$A$2:$B$215,2,0)</f>
        <v>5.8817199021885001E-2</v>
      </c>
      <c r="O27" s="59">
        <f t="shared" si="8"/>
        <v>-2.4817199021884999E-2</v>
      </c>
      <c r="P27" s="42">
        <f t="shared" si="9"/>
        <v>-1.4817199021885004E-2</v>
      </c>
      <c r="Q27" s="41">
        <f>VLOOKUP(A27,'Mandato LP'!$A$2:$C$215,3,0)</f>
        <v>5.3259641996780897E-2</v>
      </c>
      <c r="R27" s="42">
        <f t="shared" si="10"/>
        <v>-1.9259641996780895E-2</v>
      </c>
      <c r="S27" s="15">
        <v>0.112</v>
      </c>
      <c r="T27" s="15">
        <v>1</v>
      </c>
      <c r="U27" s="15">
        <v>-0.54400000000000004</v>
      </c>
      <c r="V27" s="15">
        <v>0.65100000000000002</v>
      </c>
      <c r="W27" s="15">
        <v>0.72899999999999998</v>
      </c>
      <c r="X27" s="15">
        <v>0.84199999999999997</v>
      </c>
      <c r="Y27" s="15">
        <v>0.86899999999999999</v>
      </c>
      <c r="Z27" s="15">
        <v>1</v>
      </c>
      <c r="AA27" s="15">
        <v>1</v>
      </c>
      <c r="AB27" s="15">
        <v>1</v>
      </c>
      <c r="AC27" s="15">
        <v>0.64400000000000002</v>
      </c>
      <c r="AD27" s="15">
        <v>0.86699999999999999</v>
      </c>
      <c r="AE27" s="15">
        <v>0.91200000000000003</v>
      </c>
      <c r="AF27" s="14">
        <v>0.39900000000000002</v>
      </c>
      <c r="AG27" s="110">
        <v>-0.30599999999999999</v>
      </c>
      <c r="AH27" s="110">
        <v>1</v>
      </c>
      <c r="AI27" s="110">
        <v>-0.91200000000000003</v>
      </c>
      <c r="AJ27" s="110">
        <v>-0.55500000000000005</v>
      </c>
      <c r="AK27" s="16">
        <v>-0.90600000000000003</v>
      </c>
      <c r="AL27" s="111">
        <v>0.218</v>
      </c>
      <c r="AM27" s="111">
        <v>0.45300000000000001</v>
      </c>
      <c r="AN27" s="4">
        <v>-0.51400000000000001</v>
      </c>
      <c r="AO27" s="4">
        <v>-0.65200000000000002</v>
      </c>
      <c r="AP27" s="4">
        <v>0.98499999999999999</v>
      </c>
      <c r="AQ27" s="4">
        <v>1</v>
      </c>
      <c r="AR27" s="4">
        <v>-0.24099999999999999</v>
      </c>
      <c r="AS27" s="4">
        <v>0.66900000000000004</v>
      </c>
      <c r="AT27" s="4">
        <v>0.46500000000000002</v>
      </c>
      <c r="AU27" s="4">
        <v>0.46500000000000002</v>
      </c>
      <c r="AV27" s="4">
        <v>0.34399999999999997</v>
      </c>
      <c r="AW27" s="4">
        <v>0.372</v>
      </c>
      <c r="AX27" s="4">
        <v>0.496</v>
      </c>
      <c r="AY27" s="4">
        <v>-0.23100000000000001</v>
      </c>
      <c r="AZ27" s="4">
        <v>0.81399999999999995</v>
      </c>
      <c r="BA27" s="4">
        <v>0.629</v>
      </c>
      <c r="BB27" s="4">
        <v>0.47899999999999998</v>
      </c>
      <c r="BC27" s="4">
        <v>-0.14799999999999999</v>
      </c>
      <c r="BD27" s="4">
        <v>-0.27300000000000002</v>
      </c>
      <c r="BE27" s="4">
        <v>0.33800000000000002</v>
      </c>
      <c r="BF27" s="4">
        <v>0.191</v>
      </c>
      <c r="BG27" s="4">
        <v>0.74399999999999999</v>
      </c>
      <c r="BH27" s="4">
        <v>0.70799999999999996</v>
      </c>
      <c r="BI27" s="4">
        <v>-0.95399999999999996</v>
      </c>
      <c r="BJ27" s="4">
        <v>-0.997</v>
      </c>
      <c r="BK27" s="4">
        <v>-0.25900000000000001</v>
      </c>
      <c r="BL27" s="4">
        <v>-0.89</v>
      </c>
      <c r="BM27" s="4">
        <v>0.66</v>
      </c>
      <c r="BN27" s="4"/>
    </row>
    <row r="28" spans="1:66" x14ac:dyDescent="0.3">
      <c r="A28" t="s">
        <v>79</v>
      </c>
      <c r="B28" s="53">
        <f t="shared" si="4"/>
        <v>1.0999999999999999E-2</v>
      </c>
      <c r="C28" s="53">
        <f t="shared" si="5"/>
        <v>8.3273699999999989E-3</v>
      </c>
      <c r="D28" s="53">
        <f t="shared" si="6"/>
        <v>0</v>
      </c>
      <c r="E28" s="53">
        <f t="shared" si="7"/>
        <v>2.6726300000000001E-3</v>
      </c>
      <c r="F28" s="15">
        <v>2.6960000000000002</v>
      </c>
      <c r="G28">
        <v>3.44</v>
      </c>
      <c r="H28" t="s">
        <v>68</v>
      </c>
      <c r="I28" t="str">
        <f>VLOOKUP(A28,Planilha6!$BL$9:$BN$222,2,0)</f>
        <v>capital_goods</v>
      </c>
      <c r="J28" t="str">
        <f>VLOOKUP(A28,Planilha6!$BL$9:$BN$222,3,0)</f>
        <v>very_low_beta</v>
      </c>
      <c r="K28" s="17">
        <v>1.0999999999999999E-2</v>
      </c>
      <c r="L28" s="2">
        <v>8.9999999999999993E-3</v>
      </c>
      <c r="M28" s="5">
        <v>4.9885805947000001</v>
      </c>
      <c r="N28" s="41">
        <f>VLOOKUP(A28,'Mandato LP'!$A$2:$B$215,2,0)</f>
        <v>1.2247467571982701E-2</v>
      </c>
      <c r="O28" s="59">
        <f t="shared" si="8"/>
        <v>-1.2474675719827012E-3</v>
      </c>
      <c r="P28" s="42">
        <f t="shared" si="9"/>
        <v>-1.2474675719827012E-3</v>
      </c>
      <c r="Q28" s="41">
        <f>VLOOKUP(A28,'Mandato LP'!$A$2:$C$215,3,0)</f>
        <v>1.16261364000412E-2</v>
      </c>
      <c r="R28" s="42">
        <f t="shared" si="10"/>
        <v>-6.2613640004120091E-4</v>
      </c>
      <c r="S28" s="15">
        <v>0.30299999999999999</v>
      </c>
      <c r="T28" s="15">
        <v>0.75</v>
      </c>
      <c r="U28" s="15">
        <v>0.35799999999999998</v>
      </c>
      <c r="V28" s="15">
        <v>0.35899999999999999</v>
      </c>
      <c r="W28" s="15">
        <v>0.72</v>
      </c>
      <c r="X28" s="15">
        <v>0.55600000000000005</v>
      </c>
      <c r="Y28" s="15">
        <v>0.69799999999999995</v>
      </c>
      <c r="Z28" s="15">
        <v>0.82499999999999996</v>
      </c>
      <c r="AA28" s="15">
        <v>0.88300000000000001</v>
      </c>
      <c r="AB28" s="15">
        <v>0.88800000000000001</v>
      </c>
      <c r="AC28" s="15">
        <v>0.78100000000000003</v>
      </c>
      <c r="AD28" s="15">
        <v>0.80400000000000005</v>
      </c>
      <c r="AE28" s="15">
        <v>0.78800000000000003</v>
      </c>
      <c r="AF28" s="14">
        <v>3.5999999999999997E-2</v>
      </c>
      <c r="AG28" s="110">
        <v>-0.32600000000000001</v>
      </c>
      <c r="AH28" s="110">
        <v>0.11700000000000001</v>
      </c>
      <c r="AI28" s="110">
        <v>-0.48799999999999999</v>
      </c>
      <c r="AJ28" s="110">
        <v>0.317</v>
      </c>
      <c r="AK28" s="16">
        <v>0.437</v>
      </c>
      <c r="AL28" s="111">
        <v>-0.13</v>
      </c>
      <c r="AM28" s="111">
        <v>0.26400000000000001</v>
      </c>
      <c r="AN28" s="4">
        <v>-0.79500000000000004</v>
      </c>
      <c r="AO28" s="4">
        <v>-8.8999999999999996E-2</v>
      </c>
      <c r="AP28" s="4">
        <v>0.503</v>
      </c>
      <c r="AQ28" s="4">
        <v>0.221</v>
      </c>
      <c r="AR28" s="4">
        <v>0.32300000000000001</v>
      </c>
      <c r="AS28" s="4">
        <v>0.151</v>
      </c>
      <c r="AT28" s="4">
        <v>-7.1999999999999995E-2</v>
      </c>
      <c r="AU28" s="4">
        <v>0.98899999999999999</v>
      </c>
      <c r="AV28" s="4">
        <v>-6.5000000000000002E-2</v>
      </c>
      <c r="AW28" s="4">
        <v>0.35699999999999998</v>
      </c>
      <c r="AX28" s="4">
        <v>0.66400000000000003</v>
      </c>
      <c r="AY28" s="4">
        <v>-5.7000000000000002E-2</v>
      </c>
      <c r="AZ28" s="4">
        <v>0.80400000000000005</v>
      </c>
      <c r="BA28" s="4">
        <v>1</v>
      </c>
      <c r="BB28" s="4">
        <v>0.4</v>
      </c>
      <c r="BC28" s="4">
        <v>-0.20300000000000001</v>
      </c>
      <c r="BD28" s="4">
        <v>-0.46500000000000002</v>
      </c>
      <c r="BE28" s="4">
        <v>-0.42099999999999999</v>
      </c>
      <c r="BF28" s="4">
        <v>0.114</v>
      </c>
      <c r="BG28" s="4">
        <v>-0.40300000000000002</v>
      </c>
      <c r="BH28" s="4">
        <v>0.80200000000000005</v>
      </c>
      <c r="BI28" s="4">
        <v>-0.60399999999999998</v>
      </c>
      <c r="BJ28" s="4">
        <v>-0.108</v>
      </c>
      <c r="BK28" s="4">
        <v>0.45100000000000001</v>
      </c>
      <c r="BL28" s="4">
        <v>-3.4000000000000002E-2</v>
      </c>
      <c r="BM28" s="4">
        <v>-0.48699999999999999</v>
      </c>
      <c r="BN28" s="4"/>
    </row>
    <row r="29" spans="1:66" x14ac:dyDescent="0.3">
      <c r="A29" t="s">
        <v>146</v>
      </c>
      <c r="B29" s="53">
        <v>0.04</v>
      </c>
      <c r="C29" s="53">
        <f t="shared" si="5"/>
        <v>-2.0663389999999997E-2</v>
      </c>
      <c r="D29" s="53">
        <f t="shared" si="6"/>
        <v>8.0000000000000002E-3</v>
      </c>
      <c r="E29" s="53">
        <f t="shared" si="7"/>
        <v>6.0663389999999998E-2</v>
      </c>
      <c r="F29" s="15">
        <v>2.6859999999999999</v>
      </c>
      <c r="G29">
        <v>5.0529999999999999</v>
      </c>
      <c r="H29" t="s">
        <v>71</v>
      </c>
      <c r="I29" t="str">
        <f>VLOOKUP(A29,Planilha6!$BL$9:$BN$222,2,0)</f>
        <v>crude_oil</v>
      </c>
      <c r="J29" t="str">
        <f>VLOOKUP(A29,Planilha6!$BL$9:$BN$222,3,0)</f>
        <v>very_low_beta</v>
      </c>
      <c r="K29" s="17">
        <v>3.2000000000000001E-2</v>
      </c>
      <c r="L29" s="2">
        <v>-2.9000000000000001E-2</v>
      </c>
      <c r="M29" s="5">
        <v>6.1738518153699999</v>
      </c>
      <c r="N29" s="41">
        <f>VLOOKUP(A29,'Mandato LP'!$A$2:$B$215,2,0)</f>
        <v>5.6289874083668298E-2</v>
      </c>
      <c r="O29" s="59">
        <f t="shared" si="8"/>
        <v>-2.4289874083668297E-2</v>
      </c>
      <c r="P29" s="42">
        <f t="shared" si="9"/>
        <v>-1.6289874083668297E-2</v>
      </c>
      <c r="Q29" s="41">
        <f>VLOOKUP(A29,'Mandato LP'!$A$2:$C$215,3,0)</f>
        <v>5.24423738795343E-2</v>
      </c>
      <c r="R29" s="42">
        <f t="shared" si="10"/>
        <v>-2.0442373879534299E-2</v>
      </c>
      <c r="S29" s="15">
        <v>5.0000000000000001E-3</v>
      </c>
      <c r="T29" s="15">
        <v>0.98099999999999998</v>
      </c>
      <c r="U29" s="15">
        <v>-0.56200000000000006</v>
      </c>
      <c r="V29" s="15">
        <v>0.58599999999999997</v>
      </c>
      <c r="W29" s="15">
        <v>0.67900000000000005</v>
      </c>
      <c r="X29" s="15">
        <v>0.73099999999999998</v>
      </c>
      <c r="Y29" s="15">
        <v>0.753</v>
      </c>
      <c r="Z29" s="15">
        <v>1</v>
      </c>
      <c r="AA29" s="15">
        <v>1</v>
      </c>
      <c r="AB29" s="15">
        <v>1</v>
      </c>
      <c r="AC29" s="15">
        <v>0.67900000000000005</v>
      </c>
      <c r="AD29" s="15">
        <v>0.79</v>
      </c>
      <c r="AE29" s="15">
        <v>0.89900000000000002</v>
      </c>
      <c r="AF29" s="14">
        <v>0.34799999999999998</v>
      </c>
      <c r="AG29" s="110">
        <v>-0.32500000000000001</v>
      </c>
      <c r="AH29" s="110">
        <v>1</v>
      </c>
      <c r="AI29" s="110">
        <v>-0.91600000000000004</v>
      </c>
      <c r="AJ29" s="110">
        <v>-0.56899999999999995</v>
      </c>
      <c r="AK29" s="16">
        <v>-0.91100000000000003</v>
      </c>
      <c r="AL29" s="111">
        <v>0.218</v>
      </c>
      <c r="AM29" s="111">
        <v>0.41299999999999998</v>
      </c>
      <c r="AN29" s="4">
        <v>-0.51400000000000001</v>
      </c>
      <c r="AO29" s="4">
        <v>-0.65800000000000003</v>
      </c>
      <c r="AP29" s="4">
        <v>0.98499999999999999</v>
      </c>
      <c r="AQ29" s="4">
        <v>1</v>
      </c>
      <c r="AR29" s="4">
        <v>-0.24099999999999999</v>
      </c>
      <c r="AS29" s="4">
        <v>0.66900000000000004</v>
      </c>
      <c r="AT29" s="4">
        <v>0.46500000000000002</v>
      </c>
      <c r="AU29" s="4">
        <v>0.46500000000000002</v>
      </c>
      <c r="AV29" s="4">
        <v>0.34399999999999997</v>
      </c>
      <c r="AW29" s="4">
        <v>0.36499999999999999</v>
      </c>
      <c r="AX29" s="4">
        <v>0.41099999999999998</v>
      </c>
      <c r="AY29" s="4">
        <v>-0.23100000000000001</v>
      </c>
      <c r="AZ29" s="4">
        <v>0.81399999999999995</v>
      </c>
      <c r="BA29" s="4">
        <v>0.65400000000000003</v>
      </c>
      <c r="BB29" s="4">
        <v>-0.157</v>
      </c>
      <c r="BC29" s="4">
        <v>-0.14799999999999999</v>
      </c>
      <c r="BD29" s="4">
        <v>-0.27300000000000002</v>
      </c>
      <c r="BE29" s="4">
        <v>0.35399999999999998</v>
      </c>
      <c r="BF29" s="4">
        <v>0.22500000000000001</v>
      </c>
      <c r="BG29" s="4">
        <v>0.997</v>
      </c>
      <c r="BH29" s="4">
        <v>0.69599999999999995</v>
      </c>
      <c r="BI29" s="4">
        <v>-0.93</v>
      </c>
      <c r="BJ29" s="4">
        <v>-0.997</v>
      </c>
      <c r="BK29" s="4">
        <v>-0.111</v>
      </c>
      <c r="BL29" s="4">
        <v>-0.89</v>
      </c>
      <c r="BM29" s="4">
        <v>6.2E-2</v>
      </c>
      <c r="BN29" s="4"/>
    </row>
    <row r="30" spans="1:66" x14ac:dyDescent="0.3">
      <c r="A30" t="s">
        <v>97</v>
      </c>
      <c r="B30" s="53">
        <f t="shared" si="4"/>
        <v>1.4999999999999999E-2</v>
      </c>
      <c r="C30" s="53">
        <f t="shared" si="5"/>
        <v>1.199572E-2</v>
      </c>
      <c r="D30" s="53">
        <f t="shared" si="6"/>
        <v>0</v>
      </c>
      <c r="E30" s="53">
        <f t="shared" si="7"/>
        <v>3.0042799999999998E-3</v>
      </c>
      <c r="F30" s="15">
        <v>2.6669999999999998</v>
      </c>
      <c r="G30">
        <v>3.7490000000000001</v>
      </c>
      <c r="H30" t="s">
        <v>57</v>
      </c>
      <c r="I30" t="str">
        <f>VLOOKUP(A30,Planilha6!$BL$9:$BN$222,2,0)</f>
        <v>banks</v>
      </c>
      <c r="J30" t="str">
        <f>VLOOKUP(A30,Planilha6!$BL$9:$BN$222,3,0)</f>
        <v>neutral_beta</v>
      </c>
      <c r="K30" s="17">
        <v>1.4999999999999999E-2</v>
      </c>
      <c r="L30" s="2">
        <v>1.2E-2</v>
      </c>
      <c r="M30" s="5">
        <v>1.9466666100000001</v>
      </c>
      <c r="N30" s="41">
        <f>VLOOKUP(A30,'Mandato LP'!$A$2:$B$215,2,0)</f>
        <v>1.25201656196942E-2</v>
      </c>
      <c r="O30" s="59">
        <f t="shared" si="8"/>
        <v>2.4798343803057992E-3</v>
      </c>
      <c r="P30" s="42">
        <f t="shared" si="9"/>
        <v>2.4798343803057992E-3</v>
      </c>
      <c r="Q30" s="41">
        <f>VLOOKUP(A30,'Mandato LP'!$A$2:$C$215,3,0)</f>
        <v>8.8939794121524508E-3</v>
      </c>
      <c r="R30" s="42">
        <f t="shared" si="10"/>
        <v>6.1060205878475486E-3</v>
      </c>
      <c r="S30" s="15">
        <v>0.36399999999999999</v>
      </c>
      <c r="T30" s="15">
        <v>0.748</v>
      </c>
      <c r="U30" s="15">
        <v>6.3E-2</v>
      </c>
      <c r="V30" s="15">
        <v>0.314</v>
      </c>
      <c r="W30" s="15">
        <v>0.53400000000000003</v>
      </c>
      <c r="X30" s="15">
        <v>0.51700000000000002</v>
      </c>
      <c r="Y30" s="15">
        <v>0.56100000000000005</v>
      </c>
      <c r="Z30" s="15">
        <v>0.61</v>
      </c>
      <c r="AA30" s="15">
        <v>1</v>
      </c>
      <c r="AB30" s="15">
        <v>1</v>
      </c>
      <c r="AC30" s="15">
        <v>0.90800000000000003</v>
      </c>
      <c r="AD30" s="15">
        <v>0.93</v>
      </c>
      <c r="AE30" s="15">
        <v>0.99399999999999999</v>
      </c>
      <c r="AF30" s="14">
        <v>-0.44600000000000001</v>
      </c>
      <c r="AG30" s="110">
        <v>0.49199999999999999</v>
      </c>
      <c r="AH30" s="110">
        <v>1</v>
      </c>
      <c r="AI30" s="110">
        <v>-0.26200000000000001</v>
      </c>
      <c r="AJ30" s="110">
        <v>0.59699999999999998</v>
      </c>
      <c r="AK30" s="16">
        <v>-0.72699999999999998</v>
      </c>
      <c r="AL30" s="111">
        <v>-5.1999999999999998E-2</v>
      </c>
      <c r="AM30" s="111">
        <v>0.23</v>
      </c>
      <c r="AN30" s="4">
        <v>-8.9999999999999993E-3</v>
      </c>
      <c r="AO30" s="4">
        <v>0.214</v>
      </c>
      <c r="AP30" s="4">
        <v>0.58499999999999996</v>
      </c>
      <c r="AQ30" s="4">
        <v>0.45800000000000002</v>
      </c>
      <c r="AR30" s="4">
        <v>0.10199999999999999</v>
      </c>
      <c r="AS30" s="4">
        <v>0.16900000000000001</v>
      </c>
      <c r="AT30" s="4">
        <v>-0.314</v>
      </c>
      <c r="AU30" s="4">
        <v>-6.0000000000000001E-3</v>
      </c>
      <c r="AV30" s="4">
        <v>-0.224</v>
      </c>
      <c r="AW30" s="4">
        <v>-0.28100000000000003</v>
      </c>
      <c r="AX30" s="4">
        <v>0.65400000000000003</v>
      </c>
      <c r="AY30" s="4">
        <v>-0.39600000000000002</v>
      </c>
      <c r="AZ30" s="4">
        <v>0.81799999999999995</v>
      </c>
      <c r="BA30" s="4">
        <v>0.432</v>
      </c>
      <c r="BB30" s="4">
        <v>0.57599999999999996</v>
      </c>
      <c r="BC30" s="4">
        <v>6.5000000000000002E-2</v>
      </c>
      <c r="BD30" s="4">
        <v>3.7999999999999999E-2</v>
      </c>
      <c r="BE30" s="4">
        <v>0.39200000000000002</v>
      </c>
      <c r="BF30" s="4">
        <v>0.122</v>
      </c>
      <c r="BG30" s="4">
        <v>-0.16700000000000001</v>
      </c>
      <c r="BH30" s="4">
        <v>0.875</v>
      </c>
      <c r="BI30" s="4">
        <v>-0.64100000000000001</v>
      </c>
      <c r="BJ30" s="4">
        <v>-9.5000000000000001E-2</v>
      </c>
      <c r="BK30" s="4">
        <v>0.43099999999999999</v>
      </c>
      <c r="BL30" s="4">
        <v>0.43</v>
      </c>
      <c r="BM30" s="4">
        <v>0.50800000000000001</v>
      </c>
      <c r="BN30" s="4"/>
    </row>
    <row r="31" spans="1:66" x14ac:dyDescent="0.3">
      <c r="A31" t="s">
        <v>72</v>
      </c>
      <c r="B31" s="53">
        <f t="shared" si="4"/>
        <v>8.0000000000000002E-3</v>
      </c>
      <c r="C31" s="53">
        <f t="shared" si="5"/>
        <v>8.0000000000000002E-3</v>
      </c>
      <c r="D31" s="53">
        <f t="shared" si="6"/>
        <v>0</v>
      </c>
      <c r="E31" s="53">
        <f t="shared" si="7"/>
        <v>0</v>
      </c>
      <c r="F31" s="15">
        <v>2.6120000000000001</v>
      </c>
      <c r="G31">
        <v>2.177</v>
      </c>
      <c r="H31" t="s">
        <v>57</v>
      </c>
      <c r="I31" t="str">
        <f>VLOOKUP(A31,Planilha6!$BL$9:$BN$222,2,0)</f>
        <v>apparel</v>
      </c>
      <c r="J31" t="str">
        <f>VLOOKUP(A31,Planilha6!$BL$9:$BN$222,3,0)</f>
        <v>high_beta</v>
      </c>
      <c r="K31" s="17">
        <v>8.0000000000000002E-3</v>
      </c>
      <c r="L31" s="2">
        <v>8.0000000000000002E-3</v>
      </c>
      <c r="M31" s="5">
        <v>0.63377817559666705</v>
      </c>
      <c r="N31" s="41">
        <f>VLOOKUP(A31,'Mandato LP'!$A$2:$B$215,2,0)</f>
        <v>9.8471322749146498E-3</v>
      </c>
      <c r="O31" s="59">
        <f t="shared" si="8"/>
        <v>-1.8471322749146497E-3</v>
      </c>
      <c r="P31" s="42">
        <f t="shared" si="9"/>
        <v>-1.8471322749146497E-3</v>
      </c>
      <c r="Q31" s="41">
        <f>VLOOKUP(A31,'Mandato LP'!$A$2:$C$215,3,0)</f>
        <v>6.0394483683184601E-3</v>
      </c>
      <c r="R31" s="42">
        <f t="shared" si="10"/>
        <v>1.96055163168154E-3</v>
      </c>
      <c r="S31" s="15">
        <v>0.76900000000000002</v>
      </c>
      <c r="T31" s="15">
        <v>0.503</v>
      </c>
      <c r="U31" s="15">
        <v>0.53900000000000003</v>
      </c>
      <c r="V31" s="15">
        <v>0.85399999999999998</v>
      </c>
      <c r="W31" s="15">
        <v>0.76500000000000001</v>
      </c>
      <c r="X31" s="15">
        <v>0.622</v>
      </c>
      <c r="Y31" s="15">
        <v>0.52100000000000002</v>
      </c>
      <c r="Z31" s="15">
        <v>0.39200000000000002</v>
      </c>
      <c r="AA31" s="15">
        <v>0.46</v>
      </c>
      <c r="AB31" s="15">
        <v>0.46200000000000002</v>
      </c>
      <c r="AC31" s="15">
        <v>0.84599999999999997</v>
      </c>
      <c r="AD31" s="15">
        <v>0.81799999999999995</v>
      </c>
      <c r="AE31" s="15">
        <v>0.79400000000000004</v>
      </c>
      <c r="AF31" s="14">
        <v>1</v>
      </c>
      <c r="AG31" s="110">
        <v>0.94699999999999995</v>
      </c>
      <c r="AH31" s="110">
        <v>-0.19900000000000001</v>
      </c>
      <c r="AI31" s="110">
        <v>-0.51800000000000002</v>
      </c>
      <c r="AJ31" s="110">
        <v>-0.122</v>
      </c>
      <c r="AK31" s="16">
        <v>0.311</v>
      </c>
      <c r="AL31" s="111">
        <v>-0.40600000000000003</v>
      </c>
      <c r="AM31" s="111">
        <v>-8.3000000000000004E-2</v>
      </c>
      <c r="AN31" s="4">
        <v>-0.77100000000000002</v>
      </c>
      <c r="AO31" s="4">
        <v>0.57499999999999996</v>
      </c>
      <c r="AP31" s="4">
        <v>0.373</v>
      </c>
      <c r="AQ31" s="4">
        <v>-0.36599999999999999</v>
      </c>
      <c r="AR31" s="4">
        <v>0.71399999999999997</v>
      </c>
      <c r="AS31" s="4">
        <v>1</v>
      </c>
      <c r="AT31" s="4">
        <v>0.997</v>
      </c>
      <c r="AU31" s="4">
        <v>0.32500000000000001</v>
      </c>
      <c r="AV31" s="4">
        <v>-5.6000000000000001E-2</v>
      </c>
      <c r="AW31" s="4">
        <v>0.77800000000000002</v>
      </c>
      <c r="AX31" s="4">
        <v>1.4999999999999999E-2</v>
      </c>
      <c r="AY31" s="4">
        <v>-5.1999999999999998E-2</v>
      </c>
      <c r="AZ31" s="4">
        <v>0.26100000000000001</v>
      </c>
      <c r="BA31" s="4">
        <v>0.36199999999999999</v>
      </c>
      <c r="BB31" s="4">
        <v>0.47099999999999997</v>
      </c>
      <c r="BC31" s="4">
        <v>0.45700000000000002</v>
      </c>
      <c r="BD31" s="4">
        <v>-0.16</v>
      </c>
      <c r="BE31" s="4">
        <v>0.70299999999999996</v>
      </c>
      <c r="BF31" s="4">
        <v>6.2E-2</v>
      </c>
      <c r="BG31" s="4">
        <v>-0.29699999999999999</v>
      </c>
      <c r="BH31" s="4">
        <v>0.377</v>
      </c>
      <c r="BI31" s="4">
        <v>-0.188</v>
      </c>
      <c r="BJ31" s="4">
        <v>9.2999999999999999E-2</v>
      </c>
      <c r="BK31" s="4">
        <v>0.20100000000000001</v>
      </c>
      <c r="BL31" s="4">
        <v>-0.21099999999999999</v>
      </c>
      <c r="BM31" s="4">
        <v>-0.35699999999999998</v>
      </c>
      <c r="BN31" s="4"/>
    </row>
    <row r="32" spans="1:66" x14ac:dyDescent="0.3">
      <c r="A32" t="s">
        <v>62</v>
      </c>
      <c r="B32" s="53">
        <f t="shared" si="4"/>
        <v>1.0999999999999999E-2</v>
      </c>
      <c r="C32" s="53">
        <f t="shared" si="5"/>
        <v>-5.7827000000000052E-4</v>
      </c>
      <c r="D32" s="53">
        <f t="shared" si="6"/>
        <v>0</v>
      </c>
      <c r="E32" s="53">
        <f t="shared" si="7"/>
        <v>1.157827E-2</v>
      </c>
      <c r="F32" s="15">
        <v>2.581</v>
      </c>
      <c r="G32">
        <v>3.8759999999999999</v>
      </c>
      <c r="H32" t="s">
        <v>55</v>
      </c>
      <c r="I32" t="str">
        <f>VLOOKUP(A32,Planilha6!$BL$9:$BN$222,2,0)</f>
        <v>utilities</v>
      </c>
      <c r="J32" t="str">
        <f>VLOOKUP(A32,Planilha6!$BL$9:$BN$222,3,0)</f>
        <v>neutral_beta</v>
      </c>
      <c r="K32" s="17">
        <v>1.0999999999999999E-2</v>
      </c>
      <c r="L32" s="2">
        <v>0</v>
      </c>
      <c r="M32" s="5">
        <v>1.675558197</v>
      </c>
      <c r="N32" s="41">
        <f>VLOOKUP(A32,'Mandato LP'!$A$2:$B$215,2,0)</f>
        <v>2.5805571372611101E-2</v>
      </c>
      <c r="O32" s="59">
        <f t="shared" si="8"/>
        <v>-1.4805571372611102E-2</v>
      </c>
      <c r="P32" s="42">
        <f t="shared" si="9"/>
        <v>-1.4805571372611102E-2</v>
      </c>
      <c r="Q32" s="41">
        <f>VLOOKUP(A32,'Mandato LP'!$A$2:$C$215,3,0)</f>
        <v>1.5954457725169301E-2</v>
      </c>
      <c r="R32" s="42">
        <f t="shared" si="10"/>
        <v>-4.954457725169302E-3</v>
      </c>
      <c r="S32" s="15">
        <v>0.34</v>
      </c>
      <c r="T32" s="15">
        <v>0.749</v>
      </c>
      <c r="U32" s="15">
        <v>-4.2999999999999997E-2</v>
      </c>
      <c r="V32" s="15">
        <v>0.70899999999999996</v>
      </c>
      <c r="W32" s="15">
        <v>0.73799999999999999</v>
      </c>
      <c r="X32" s="15">
        <v>0.64</v>
      </c>
      <c r="Y32" s="15">
        <v>0.76</v>
      </c>
      <c r="Z32" s="15">
        <v>0.67600000000000005</v>
      </c>
      <c r="AA32" s="15">
        <v>0.72399999999999998</v>
      </c>
      <c r="AB32" s="15">
        <v>0.73299999999999998</v>
      </c>
      <c r="AC32" s="15">
        <v>0.79300000000000004</v>
      </c>
      <c r="AD32" s="15">
        <v>0.82299999999999995</v>
      </c>
      <c r="AE32" s="15">
        <v>0.73</v>
      </c>
      <c r="AF32" s="14">
        <v>0.85299999999999998</v>
      </c>
      <c r="AG32" s="110">
        <v>0.42699999999999999</v>
      </c>
      <c r="AH32" s="110">
        <v>0.61199999999999999</v>
      </c>
      <c r="AI32" s="110">
        <v>-0.45700000000000002</v>
      </c>
      <c r="AJ32" s="110">
        <v>-0.55300000000000005</v>
      </c>
      <c r="AK32" s="16">
        <v>-0.14799999999999999</v>
      </c>
      <c r="AL32" s="111">
        <v>0.48399999999999999</v>
      </c>
      <c r="AM32" s="111">
        <v>-0.22800000000000001</v>
      </c>
      <c r="AN32" s="4">
        <v>-0.316</v>
      </c>
      <c r="AO32" s="4">
        <v>-7.4999999999999997E-2</v>
      </c>
      <c r="AP32" s="4">
        <v>0.21</v>
      </c>
      <c r="AQ32" s="4">
        <v>-0.219</v>
      </c>
      <c r="AR32" s="4">
        <v>0.27600000000000002</v>
      </c>
      <c r="AS32" s="4">
        <v>-0.09</v>
      </c>
      <c r="AT32" s="4">
        <v>-6.0999999999999999E-2</v>
      </c>
      <c r="AU32" s="4">
        <v>0.39500000000000002</v>
      </c>
      <c r="AV32" s="4">
        <v>0.42399999999999999</v>
      </c>
      <c r="AW32" s="4">
        <v>0.53</v>
      </c>
      <c r="AX32" s="4">
        <v>0.72599999999999998</v>
      </c>
      <c r="AY32" s="4">
        <v>-0.08</v>
      </c>
      <c r="AZ32" s="4">
        <v>0.14899999999999999</v>
      </c>
      <c r="BA32" s="4">
        <v>0.78</v>
      </c>
      <c r="BB32" s="4">
        <v>0.21199999999999999</v>
      </c>
      <c r="BC32" s="4">
        <v>-0.13300000000000001</v>
      </c>
      <c r="BD32" s="4">
        <v>0.17899999999999999</v>
      </c>
      <c r="BE32" s="4">
        <v>0.20899999999999999</v>
      </c>
      <c r="BF32" s="4">
        <v>0.13100000000000001</v>
      </c>
      <c r="BG32" s="4">
        <v>1</v>
      </c>
      <c r="BH32" s="4">
        <v>0.42299999999999999</v>
      </c>
      <c r="BI32" s="4">
        <v>-0.83299999999999996</v>
      </c>
      <c r="BJ32" s="4">
        <v>-6.0000000000000001E-3</v>
      </c>
      <c r="BK32" s="4">
        <v>-3.2000000000000001E-2</v>
      </c>
      <c r="BL32" s="4">
        <v>0.11799999999999999</v>
      </c>
      <c r="BM32" s="4">
        <v>0.22700000000000001</v>
      </c>
      <c r="BN32" s="4"/>
    </row>
    <row r="33" spans="1:66" x14ac:dyDescent="0.3">
      <c r="A33" t="s">
        <v>90</v>
      </c>
      <c r="B33" s="53">
        <f t="shared" si="4"/>
        <v>0.01</v>
      </c>
      <c r="C33" s="53">
        <f t="shared" si="5"/>
        <v>2.8933700000000001E-3</v>
      </c>
      <c r="D33" s="53">
        <f t="shared" si="6"/>
        <v>0</v>
      </c>
      <c r="E33" s="53">
        <f t="shared" si="7"/>
        <v>7.1066300000000001E-3</v>
      </c>
      <c r="F33" s="15">
        <v>2.5640000000000001</v>
      </c>
      <c r="G33">
        <v>2.9369999999999998</v>
      </c>
      <c r="H33" t="s">
        <v>68</v>
      </c>
      <c r="I33" t="str">
        <f>VLOOKUP(A33,Planilha6!$BL$9:$BN$222,2,0)</f>
        <v>capital_goods</v>
      </c>
      <c r="J33" t="str">
        <f>VLOOKUP(A33,Planilha6!$BL$9:$BN$222,3,0)</f>
        <v>high_beta</v>
      </c>
      <c r="K33" s="17">
        <v>0.01</v>
      </c>
      <c r="L33" s="2">
        <v>3.0000000000000001E-3</v>
      </c>
      <c r="M33" s="5">
        <v>0.60851010131500005</v>
      </c>
      <c r="N33" s="41">
        <f>VLOOKUP(A33,'Mandato LP'!$A$2:$B$215,2,0)</f>
        <v>1.840632866493E-2</v>
      </c>
      <c r="O33" s="59">
        <f t="shared" si="8"/>
        <v>-8.4063286649299993E-3</v>
      </c>
      <c r="P33" s="42">
        <f t="shared" si="9"/>
        <v>-8.4063286649299993E-3</v>
      </c>
      <c r="Q33" s="41">
        <f>VLOOKUP(A33,'Mandato LP'!$A$2:$C$215,3,0)</f>
        <v>0</v>
      </c>
      <c r="R33" s="42">
        <f t="shared" si="10"/>
        <v>0.01</v>
      </c>
      <c r="S33" s="15">
        <v>0.55800000000000005</v>
      </c>
      <c r="T33" s="15">
        <v>0.60699999999999998</v>
      </c>
      <c r="U33" s="15">
        <v>0.20699999999999999</v>
      </c>
      <c r="V33" s="15">
        <v>0.68600000000000005</v>
      </c>
      <c r="W33" s="15">
        <v>0.68400000000000005</v>
      </c>
      <c r="X33" s="15">
        <v>0.80100000000000005</v>
      </c>
      <c r="Y33" s="15">
        <v>0.85199999999999998</v>
      </c>
      <c r="Z33" s="15">
        <v>0.79600000000000004</v>
      </c>
      <c r="AA33" s="15">
        <v>0.26900000000000002</v>
      </c>
      <c r="AB33" s="15">
        <v>0.27500000000000002</v>
      </c>
      <c r="AC33" s="15">
        <v>0.69799999999999995</v>
      </c>
      <c r="AD33" s="15">
        <v>0.64500000000000002</v>
      </c>
      <c r="AE33" s="15">
        <v>0.53600000000000003</v>
      </c>
      <c r="AF33" s="14">
        <v>0.97699999999999998</v>
      </c>
      <c r="AG33" s="110">
        <v>1</v>
      </c>
      <c r="AH33" s="110">
        <v>-0.373</v>
      </c>
      <c r="AI33" s="110">
        <v>-0.438</v>
      </c>
      <c r="AJ33" s="110">
        <v>-0.40400000000000003</v>
      </c>
      <c r="AK33" s="16">
        <v>0.40500000000000003</v>
      </c>
      <c r="AL33" s="111">
        <v>-3.0000000000000001E-3</v>
      </c>
      <c r="AM33" s="111">
        <v>0.38400000000000001</v>
      </c>
      <c r="AN33" s="4">
        <v>-0.61399999999999999</v>
      </c>
      <c r="AO33" s="4">
        <v>0.46800000000000003</v>
      </c>
      <c r="AP33" s="4">
        <v>-0.36399999999999999</v>
      </c>
      <c r="AQ33" s="4">
        <v>0.378</v>
      </c>
      <c r="AR33" s="4">
        <v>0.94099999999999995</v>
      </c>
      <c r="AS33" s="4">
        <v>0.126</v>
      </c>
      <c r="AT33" s="4">
        <v>-0.52700000000000002</v>
      </c>
      <c r="AU33" s="4">
        <v>0.71899999999999997</v>
      </c>
      <c r="AV33" s="4">
        <v>-2.9000000000000001E-2</v>
      </c>
      <c r="AW33" s="4">
        <v>0.53900000000000003</v>
      </c>
      <c r="AX33" s="4">
        <v>0.40899999999999997</v>
      </c>
      <c r="AY33" s="4">
        <v>0.16300000000000001</v>
      </c>
      <c r="AZ33" s="4">
        <v>0.91</v>
      </c>
      <c r="BA33" s="4">
        <v>1</v>
      </c>
      <c r="BB33" s="4">
        <v>0.83699999999999997</v>
      </c>
      <c r="BC33" s="4">
        <v>-4.5999999999999999E-2</v>
      </c>
      <c r="BD33" s="4">
        <v>-0.16700000000000001</v>
      </c>
      <c r="BE33" s="4">
        <v>8.4000000000000005E-2</v>
      </c>
      <c r="BF33" s="4">
        <v>-0.34499999999999997</v>
      </c>
      <c r="BG33" s="4">
        <v>-0.59799999999999998</v>
      </c>
      <c r="BH33" s="4">
        <v>0.55400000000000005</v>
      </c>
      <c r="BI33" s="4">
        <v>-0.92300000000000004</v>
      </c>
      <c r="BJ33" s="4">
        <v>0.35399999999999998</v>
      </c>
      <c r="BK33" s="4">
        <v>-0.49399999999999999</v>
      </c>
      <c r="BL33" s="4">
        <v>-0.20899999999999999</v>
      </c>
      <c r="BM33" s="4">
        <v>0.56899999999999995</v>
      </c>
      <c r="BN33" s="4"/>
    </row>
    <row r="34" spans="1:66" x14ac:dyDescent="0.3">
      <c r="A34" t="s">
        <v>87</v>
      </c>
      <c r="B34" s="53">
        <f t="shared" si="4"/>
        <v>8.9999999999999993E-3</v>
      </c>
      <c r="C34" s="53">
        <f t="shared" si="5"/>
        <v>7.0322099999999988E-3</v>
      </c>
      <c r="D34" s="53">
        <f t="shared" si="6"/>
        <v>0</v>
      </c>
      <c r="E34" s="53">
        <f t="shared" si="7"/>
        <v>1.9677900000000001E-3</v>
      </c>
      <c r="F34" s="15">
        <v>2.512</v>
      </c>
      <c r="G34">
        <v>2.871</v>
      </c>
      <c r="H34" t="s">
        <v>55</v>
      </c>
      <c r="I34" t="str">
        <f>VLOOKUP(A34,Planilha6!$BL$9:$BN$222,2,0)</f>
        <v>real_estate</v>
      </c>
      <c r="J34" t="str">
        <f>VLOOKUP(A34,Planilha6!$BL$9:$BN$222,3,0)</f>
        <v>low_beta</v>
      </c>
      <c r="K34" s="17">
        <v>8.9999999999999993E-3</v>
      </c>
      <c r="L34" s="2">
        <v>8.0000000000000002E-3</v>
      </c>
      <c r="M34" s="5">
        <v>2.1265445133133301</v>
      </c>
      <c r="N34" s="41">
        <f>VLOOKUP(A34,'Mandato LP'!$A$2:$B$215,2,0)</f>
        <v>1.06894933207549E-2</v>
      </c>
      <c r="O34" s="59">
        <f t="shared" si="8"/>
        <v>-1.6894933207549003E-3</v>
      </c>
      <c r="P34" s="42">
        <f t="shared" si="9"/>
        <v>-1.6894933207549003E-3</v>
      </c>
      <c r="Q34" s="41">
        <f>VLOOKUP(A34,'Mandato LP'!$A$2:$C$215,3,0)</f>
        <v>7.5987481941277501E-3</v>
      </c>
      <c r="R34" s="42">
        <f t="shared" si="10"/>
        <v>1.4012518058722492E-3</v>
      </c>
      <c r="S34" s="15">
        <v>0.23400000000000001</v>
      </c>
      <c r="T34" s="15">
        <v>0.71099999999999997</v>
      </c>
      <c r="U34" s="15">
        <v>0.13500000000000001</v>
      </c>
      <c r="V34" s="15">
        <v>0.23499999999999999</v>
      </c>
      <c r="W34" s="15">
        <v>0.52500000000000002</v>
      </c>
      <c r="X34" s="15">
        <v>0.44</v>
      </c>
      <c r="Y34" s="15">
        <v>0.755</v>
      </c>
      <c r="Z34" s="15">
        <v>0.61699999999999999</v>
      </c>
      <c r="AA34" s="15">
        <v>0.75800000000000001</v>
      </c>
      <c r="AB34" s="15">
        <v>0.76400000000000001</v>
      </c>
      <c r="AC34" s="15">
        <v>0.92800000000000005</v>
      </c>
      <c r="AD34" s="15">
        <v>0.84899999999999998</v>
      </c>
      <c r="AE34" s="15">
        <v>0.89900000000000002</v>
      </c>
      <c r="AF34" s="14">
        <v>-0.115</v>
      </c>
      <c r="AG34" s="110">
        <v>-0.27500000000000002</v>
      </c>
      <c r="AH34" s="110">
        <v>1</v>
      </c>
      <c r="AI34" s="110">
        <v>0.248</v>
      </c>
      <c r="AJ34" s="110">
        <v>1</v>
      </c>
      <c r="AK34" s="16">
        <v>-0.23899999999999999</v>
      </c>
      <c r="AL34" s="111">
        <v>-0.30499999999999999</v>
      </c>
      <c r="AM34" s="111">
        <v>0.28299999999999997</v>
      </c>
      <c r="AN34" s="4">
        <v>-0.155</v>
      </c>
      <c r="AO34" s="4">
        <v>-8.1000000000000003E-2</v>
      </c>
      <c r="AP34" s="4">
        <v>0.747</v>
      </c>
      <c r="AQ34" s="4">
        <v>6.4000000000000001E-2</v>
      </c>
      <c r="AR34" s="4">
        <v>-0.126</v>
      </c>
      <c r="AS34" s="4">
        <v>-4.2999999999999997E-2</v>
      </c>
      <c r="AT34" s="4">
        <v>-3.9E-2</v>
      </c>
      <c r="AU34" s="4">
        <v>-7.6999999999999999E-2</v>
      </c>
      <c r="AV34" s="4">
        <v>0.68799999999999994</v>
      </c>
      <c r="AW34" s="4">
        <v>-0.158</v>
      </c>
      <c r="AX34" s="4">
        <v>0.34499999999999997</v>
      </c>
      <c r="AY34" s="4">
        <v>-0.78200000000000003</v>
      </c>
      <c r="AZ34" s="4">
        <v>0.314</v>
      </c>
      <c r="BA34" s="4">
        <v>-1.2E-2</v>
      </c>
      <c r="BB34" s="4">
        <v>-0.189</v>
      </c>
      <c r="BC34" s="4">
        <v>0.18099999999999999</v>
      </c>
      <c r="BD34" s="4">
        <v>0.23499999999999999</v>
      </c>
      <c r="BE34" s="4">
        <v>0.35599999999999998</v>
      </c>
      <c r="BF34" s="4">
        <v>8.4000000000000005E-2</v>
      </c>
      <c r="BG34" s="4">
        <v>-0.185</v>
      </c>
      <c r="BH34" s="4">
        <v>0.72099999999999997</v>
      </c>
      <c r="BI34" s="4">
        <v>-0.51200000000000001</v>
      </c>
      <c r="BJ34" s="4">
        <v>6.3E-2</v>
      </c>
      <c r="BK34" s="4">
        <v>0.33300000000000002</v>
      </c>
      <c r="BL34" s="4">
        <v>0.28299999999999997</v>
      </c>
      <c r="BM34" s="4">
        <v>-0.46400000000000002</v>
      </c>
      <c r="BN34" s="4"/>
    </row>
    <row r="35" spans="1:66" x14ac:dyDescent="0.3">
      <c r="A35" t="s">
        <v>103</v>
      </c>
      <c r="B35" s="53">
        <f t="shared" si="4"/>
        <v>0.01</v>
      </c>
      <c r="C35" s="53">
        <f t="shared" si="5"/>
        <v>4.5542400000000002E-3</v>
      </c>
      <c r="D35" s="53">
        <f t="shared" si="6"/>
        <v>0</v>
      </c>
      <c r="E35" s="53">
        <f t="shared" si="7"/>
        <v>5.44576E-3</v>
      </c>
      <c r="F35" s="15">
        <v>2.4740000000000002</v>
      </c>
      <c r="G35">
        <v>2.6880000000000002</v>
      </c>
      <c r="H35" t="s">
        <v>53</v>
      </c>
      <c r="I35" t="str">
        <f>VLOOKUP(A35,Planilha6!$BL$9:$BN$222,2,0)</f>
        <v>healthcare</v>
      </c>
      <c r="J35" t="str">
        <f>VLOOKUP(A35,Planilha6!$BL$9:$BN$222,3,0)</f>
        <v>very_low_beta</v>
      </c>
      <c r="K35" s="17">
        <v>0.01</v>
      </c>
      <c r="L35" s="2">
        <v>5.0000000000000001E-3</v>
      </c>
      <c r="M35" s="5">
        <v>1.1569899796666701</v>
      </c>
      <c r="N35" s="41">
        <f>VLOOKUP(A35,'Mandato LP'!$A$2:$B$215,2,0)</f>
        <v>1.5176465705911701E-2</v>
      </c>
      <c r="O35" s="59">
        <f t="shared" si="8"/>
        <v>-5.1764657059117005E-3</v>
      </c>
      <c r="P35" s="42">
        <f t="shared" si="9"/>
        <v>-5.1764657059117005E-3</v>
      </c>
      <c r="Q35" s="41">
        <f>VLOOKUP(A35,'Mandato LP'!$A$2:$C$215,3,0)</f>
        <v>9.4637562466659397E-3</v>
      </c>
      <c r="R35" s="42">
        <f t="shared" si="10"/>
        <v>5.3624375333406055E-4</v>
      </c>
      <c r="S35" s="15">
        <v>0.34100000000000003</v>
      </c>
      <c r="T35" s="15">
        <v>0.755</v>
      </c>
      <c r="U35" s="15">
        <v>4.2999999999999997E-2</v>
      </c>
      <c r="V35" s="15">
        <v>0.32600000000000001</v>
      </c>
      <c r="W35" s="15">
        <v>0.51600000000000001</v>
      </c>
      <c r="X35" s="15">
        <v>0.64200000000000002</v>
      </c>
      <c r="Y35" s="15">
        <v>0.92100000000000004</v>
      </c>
      <c r="Z35" s="15">
        <v>0.69899999999999995</v>
      </c>
      <c r="AA35" s="15">
        <v>0.54300000000000004</v>
      </c>
      <c r="AB35" s="15">
        <v>0.54900000000000004</v>
      </c>
      <c r="AC35" s="15">
        <v>0.69</v>
      </c>
      <c r="AD35" s="15">
        <v>0.70199999999999996</v>
      </c>
      <c r="AE35" s="15">
        <v>0.67900000000000005</v>
      </c>
      <c r="AF35" s="14">
        <v>0.54900000000000004</v>
      </c>
      <c r="AG35" s="110">
        <v>-0.60699999999999998</v>
      </c>
      <c r="AH35" s="110">
        <v>-0.312</v>
      </c>
      <c r="AI35" s="110">
        <v>-0.751</v>
      </c>
      <c r="AJ35" s="110">
        <v>-0.03</v>
      </c>
      <c r="AK35" s="16">
        <v>0.378</v>
      </c>
      <c r="AL35" s="111">
        <v>-0.315</v>
      </c>
      <c r="AM35" s="111">
        <v>-4.4999999999999998E-2</v>
      </c>
      <c r="AN35" s="4">
        <v>-0.93</v>
      </c>
      <c r="AO35" s="4">
        <v>-0.34499999999999997</v>
      </c>
      <c r="AP35" s="4">
        <v>0.12</v>
      </c>
      <c r="AQ35" s="4">
        <v>1</v>
      </c>
      <c r="AR35" s="4">
        <v>4.0000000000000001E-3</v>
      </c>
      <c r="AS35" s="4">
        <v>0.13400000000000001</v>
      </c>
      <c r="AT35" s="4">
        <v>-0.309</v>
      </c>
      <c r="AU35" s="4">
        <v>0.96899999999999997</v>
      </c>
      <c r="AV35" s="4">
        <v>0.42599999999999999</v>
      </c>
      <c r="AW35" s="4">
        <v>1</v>
      </c>
      <c r="AX35" s="4">
        <v>0.76400000000000001</v>
      </c>
      <c r="AY35" s="4">
        <v>0.42699999999999999</v>
      </c>
      <c r="AZ35" s="4">
        <v>0.745</v>
      </c>
      <c r="BA35" s="4">
        <v>0.64600000000000002</v>
      </c>
      <c r="BB35" s="4">
        <v>0.94799999999999995</v>
      </c>
      <c r="BC35" s="4">
        <v>0.186</v>
      </c>
      <c r="BD35" s="4">
        <v>-0.13</v>
      </c>
      <c r="BE35" s="4">
        <v>0.31</v>
      </c>
      <c r="BF35" s="4">
        <v>-0.50600000000000001</v>
      </c>
      <c r="BG35" s="4">
        <v>-0.221</v>
      </c>
      <c r="BH35" s="4">
        <v>0.68700000000000006</v>
      </c>
      <c r="BI35" s="4">
        <v>-0.48399999999999999</v>
      </c>
      <c r="BJ35" s="4">
        <v>-0.43099999999999999</v>
      </c>
      <c r="BK35" s="4">
        <v>-2.8000000000000001E-2</v>
      </c>
      <c r="BL35" s="4">
        <v>-0.122</v>
      </c>
      <c r="BM35" s="4">
        <v>-0.14599999999999999</v>
      </c>
      <c r="BN35" s="4"/>
    </row>
    <row r="36" spans="1:66" x14ac:dyDescent="0.3">
      <c r="A36" t="s">
        <v>99</v>
      </c>
      <c r="B36" s="53">
        <f t="shared" si="4"/>
        <v>1.0999999999999999E-2</v>
      </c>
      <c r="C36" s="53">
        <f t="shared" si="5"/>
        <v>9.2064099999999999E-3</v>
      </c>
      <c r="D36" s="53">
        <f t="shared" si="6"/>
        <v>0</v>
      </c>
      <c r="E36" s="53">
        <f t="shared" si="7"/>
        <v>1.7935900000000001E-3</v>
      </c>
      <c r="F36" s="15">
        <v>2.3519999999999999</v>
      </c>
      <c r="G36">
        <v>2.5390000000000001</v>
      </c>
      <c r="H36" t="s">
        <v>57</v>
      </c>
      <c r="I36" t="str">
        <f>VLOOKUP(A36,Planilha6!$BL$9:$BN$222,2,0)</f>
        <v>homebuilders</v>
      </c>
      <c r="J36" t="str">
        <f>VLOOKUP(A36,Planilha6!$BL$9:$BN$222,3,0)</f>
        <v>high_beta</v>
      </c>
      <c r="K36" s="17">
        <v>1.0999999999999999E-2</v>
      </c>
      <c r="L36" s="2">
        <v>8.9999999999999993E-3</v>
      </c>
      <c r="M36" s="5">
        <v>0.72387009666666702</v>
      </c>
      <c r="N36" s="41">
        <f>VLOOKUP(A36,'Mandato LP'!$A$2:$B$215,2,0)</f>
        <v>9.8592752449806805E-3</v>
      </c>
      <c r="O36" s="59">
        <f t="shared" si="8"/>
        <v>1.1407247550193188E-3</v>
      </c>
      <c r="P36" s="42">
        <f t="shared" si="9"/>
        <v>1.1407247550193188E-3</v>
      </c>
      <c r="Q36" s="41">
        <f>VLOOKUP(A36,'Mandato LP'!$A$2:$C$215,3,0)</f>
        <v>0</v>
      </c>
      <c r="R36" s="42">
        <f t="shared" si="10"/>
        <v>1.0999999999999999E-2</v>
      </c>
      <c r="S36" s="15">
        <v>0.59</v>
      </c>
      <c r="T36" s="15">
        <v>0.187</v>
      </c>
      <c r="U36" s="15">
        <v>0.70799999999999996</v>
      </c>
      <c r="V36" s="15">
        <v>0.43099999999999999</v>
      </c>
      <c r="W36" s="15">
        <v>0.50600000000000001</v>
      </c>
      <c r="X36" s="15">
        <v>0.45900000000000002</v>
      </c>
      <c r="Y36" s="15">
        <v>0.34</v>
      </c>
      <c r="Z36" s="15">
        <v>0.30099999999999999</v>
      </c>
      <c r="AA36" s="15">
        <v>0.55400000000000005</v>
      </c>
      <c r="AB36" s="15">
        <v>0.55600000000000005</v>
      </c>
      <c r="AC36" s="15">
        <v>0.84099999999999997</v>
      </c>
      <c r="AD36" s="15">
        <v>0.92400000000000004</v>
      </c>
      <c r="AE36" s="15">
        <v>0.77600000000000002</v>
      </c>
      <c r="AF36" s="14">
        <v>0.69099999999999995</v>
      </c>
      <c r="AG36" s="110">
        <v>0.63500000000000001</v>
      </c>
      <c r="AH36" s="110">
        <v>-0.16500000000000001</v>
      </c>
      <c r="AI36" s="110">
        <v>0.39500000000000002</v>
      </c>
      <c r="AJ36" s="110">
        <v>0.19600000000000001</v>
      </c>
      <c r="AK36" s="16">
        <v>-1.4999999999999999E-2</v>
      </c>
      <c r="AL36" s="111">
        <v>-0.20200000000000001</v>
      </c>
      <c r="AM36" s="111">
        <v>0.25700000000000001</v>
      </c>
      <c r="AN36" s="4">
        <v>-3.4000000000000002E-2</v>
      </c>
      <c r="AO36" s="4">
        <v>0.219</v>
      </c>
      <c r="AP36" s="4">
        <v>-0.191</v>
      </c>
      <c r="AQ36" s="4">
        <v>-0.15</v>
      </c>
      <c r="AR36" s="4">
        <v>0.40500000000000003</v>
      </c>
      <c r="AS36" s="4">
        <v>0.92</v>
      </c>
      <c r="AT36" s="4">
        <v>0.84</v>
      </c>
      <c r="AU36" s="4">
        <v>1.6E-2</v>
      </c>
      <c r="AV36" s="4">
        <v>-0.34200000000000003</v>
      </c>
      <c r="AW36" s="4">
        <v>0.313</v>
      </c>
      <c r="AX36" s="4">
        <v>6.0999999999999999E-2</v>
      </c>
      <c r="AY36" s="4">
        <v>2.7E-2</v>
      </c>
      <c r="AZ36" s="4">
        <v>0.75700000000000001</v>
      </c>
      <c r="BA36" s="4">
        <v>0.44800000000000001</v>
      </c>
      <c r="BB36" s="4">
        <v>0.16600000000000001</v>
      </c>
      <c r="BC36" s="4">
        <v>-2.1000000000000001E-2</v>
      </c>
      <c r="BD36" s="4">
        <v>-0.28899999999999998</v>
      </c>
      <c r="BE36" s="4">
        <v>-7.2999999999999995E-2</v>
      </c>
      <c r="BF36" s="4">
        <v>0.46600000000000003</v>
      </c>
      <c r="BG36" s="4">
        <v>-0.125</v>
      </c>
      <c r="BH36" s="4">
        <v>0.625</v>
      </c>
      <c r="BI36" s="4">
        <v>-0.39300000000000002</v>
      </c>
      <c r="BJ36" s="4">
        <v>0.35899999999999999</v>
      </c>
      <c r="BK36" s="4">
        <v>0.48499999999999999</v>
      </c>
      <c r="BL36" s="4">
        <v>0.41099999999999998</v>
      </c>
      <c r="BM36" s="4">
        <v>-0.56200000000000006</v>
      </c>
      <c r="BN36" s="4"/>
    </row>
    <row r="37" spans="1:66" x14ac:dyDescent="0.3">
      <c r="A37" t="s">
        <v>96</v>
      </c>
      <c r="B37" s="53">
        <f t="shared" si="4"/>
        <v>8.9999999999999993E-3</v>
      </c>
      <c r="C37" s="53">
        <f t="shared" si="5"/>
        <v>3.8761000000000004E-4</v>
      </c>
      <c r="D37" s="53">
        <f t="shared" si="6"/>
        <v>0</v>
      </c>
      <c r="E37" s="53">
        <f t="shared" si="7"/>
        <v>8.6123899999999993E-3</v>
      </c>
      <c r="F37" s="15">
        <v>2.3519999999999999</v>
      </c>
      <c r="G37">
        <v>3.0590000000000002</v>
      </c>
      <c r="H37" t="s">
        <v>57</v>
      </c>
      <c r="I37" t="str">
        <f>VLOOKUP(A37,Planilha6!$BL$9:$BN$222,2,0)</f>
        <v>homebuilders</v>
      </c>
      <c r="J37" t="str">
        <f>VLOOKUP(A37,Planilha6!$BL$9:$BN$222,3,0)</f>
        <v>low_beta</v>
      </c>
      <c r="K37" s="17">
        <v>8.9999999999999993E-3</v>
      </c>
      <c r="L37" s="2">
        <v>1E-3</v>
      </c>
      <c r="M37" s="5">
        <v>2.61745934658</v>
      </c>
      <c r="N37" s="41">
        <f>VLOOKUP(A37,'Mandato LP'!$A$2:$B$215,2,0)</f>
        <v>1.91215187713463E-2</v>
      </c>
      <c r="O37" s="59">
        <f t="shared" si="8"/>
        <v>-1.0121518771346301E-2</v>
      </c>
      <c r="P37" s="42">
        <f t="shared" si="9"/>
        <v>-1.0121518771346301E-2</v>
      </c>
      <c r="Q37" s="41">
        <f>VLOOKUP(A37,'Mandato LP'!$A$2:$C$215,3,0)</f>
        <v>1.1549096490446701E-2</v>
      </c>
      <c r="R37" s="42">
        <f t="shared" si="10"/>
        <v>-2.5490964904467013E-3</v>
      </c>
      <c r="S37" s="15">
        <v>0.23100000000000001</v>
      </c>
      <c r="T37" s="15">
        <v>0.503</v>
      </c>
      <c r="U37" s="15">
        <v>-4.9000000000000002E-2</v>
      </c>
      <c r="V37" s="15">
        <v>0.50900000000000001</v>
      </c>
      <c r="W37" s="15">
        <v>0.56399999999999995</v>
      </c>
      <c r="X37" s="15">
        <v>0.49399999999999999</v>
      </c>
      <c r="Y37" s="15">
        <v>0.53700000000000003</v>
      </c>
      <c r="Z37" s="15">
        <v>0.72099999999999997</v>
      </c>
      <c r="AA37" s="15">
        <v>0.622</v>
      </c>
      <c r="AB37" s="15">
        <v>0.627</v>
      </c>
      <c r="AC37" s="15">
        <v>0.79400000000000004</v>
      </c>
      <c r="AD37" s="15">
        <v>0.79600000000000004</v>
      </c>
      <c r="AE37" s="15">
        <v>0.65600000000000003</v>
      </c>
      <c r="AF37" s="14">
        <v>0.71199999999999997</v>
      </c>
      <c r="AG37" s="110">
        <v>0.25700000000000001</v>
      </c>
      <c r="AH37" s="110">
        <v>-0.23799999999999999</v>
      </c>
      <c r="AI37" s="110">
        <v>-0.628</v>
      </c>
      <c r="AJ37" s="110">
        <v>-0.21</v>
      </c>
      <c r="AK37" s="16">
        <v>-3.4000000000000002E-2</v>
      </c>
      <c r="AL37" s="111">
        <v>-0.13700000000000001</v>
      </c>
      <c r="AM37" s="111">
        <v>0.38500000000000001</v>
      </c>
      <c r="AN37" s="4">
        <v>-0.85599999999999998</v>
      </c>
      <c r="AO37" s="4">
        <v>0.11899999999999999</v>
      </c>
      <c r="AP37" s="4">
        <v>0.17699999999999999</v>
      </c>
      <c r="AQ37" s="4">
        <v>0.46500000000000002</v>
      </c>
      <c r="AR37" s="4">
        <v>0.44900000000000001</v>
      </c>
      <c r="AS37" s="4">
        <v>0.193</v>
      </c>
      <c r="AT37" s="4">
        <v>0.38500000000000001</v>
      </c>
      <c r="AU37" s="4">
        <v>1</v>
      </c>
      <c r="AV37" s="4">
        <v>0.10199999999999999</v>
      </c>
      <c r="AW37" s="4">
        <v>0.54600000000000004</v>
      </c>
      <c r="AX37" s="4">
        <v>0.14399999999999999</v>
      </c>
      <c r="AY37" s="4">
        <v>0.31</v>
      </c>
      <c r="AZ37" s="4">
        <v>0.84099999999999997</v>
      </c>
      <c r="BA37" s="4">
        <v>0.96299999999999997</v>
      </c>
      <c r="BB37" s="4">
        <v>0.32600000000000001</v>
      </c>
      <c r="BC37" s="4">
        <v>-0.75900000000000001</v>
      </c>
      <c r="BD37" s="4">
        <v>-0.29499999999999998</v>
      </c>
      <c r="BE37" s="4">
        <v>-0.27400000000000002</v>
      </c>
      <c r="BF37" s="4">
        <v>0.57299999999999995</v>
      </c>
      <c r="BG37" s="4">
        <v>-4.2999999999999997E-2</v>
      </c>
      <c r="BH37" s="4">
        <v>0.33500000000000002</v>
      </c>
      <c r="BI37" s="4">
        <v>-0.98099999999999998</v>
      </c>
      <c r="BJ37" s="4">
        <v>0.17199999999999999</v>
      </c>
      <c r="BK37" s="4">
        <v>-0.42699999999999999</v>
      </c>
      <c r="BL37" s="4">
        <v>-0.33600000000000002</v>
      </c>
      <c r="BM37" s="4">
        <v>-0.65800000000000003</v>
      </c>
      <c r="BN37" s="4"/>
    </row>
    <row r="38" spans="1:66" x14ac:dyDescent="0.3">
      <c r="A38" t="s">
        <v>93</v>
      </c>
      <c r="B38" s="53">
        <f t="shared" si="4"/>
        <v>1.4E-2</v>
      </c>
      <c r="C38" s="53">
        <f t="shared" si="5"/>
        <v>-8.8190399999999985E-3</v>
      </c>
      <c r="D38" s="53">
        <f t="shared" si="6"/>
        <v>0</v>
      </c>
      <c r="E38" s="53">
        <f t="shared" si="7"/>
        <v>2.2819039999999999E-2</v>
      </c>
      <c r="F38" s="15">
        <v>2.3479999999999999</v>
      </c>
      <c r="G38">
        <v>5.0990000000000002</v>
      </c>
      <c r="H38" t="s">
        <v>55</v>
      </c>
      <c r="I38" t="str">
        <f>VLOOKUP(A38,Planilha6!$BL$9:$BN$222,2,0)</f>
        <v>real_estate</v>
      </c>
      <c r="J38" t="str">
        <f>VLOOKUP(A38,Planilha6!$BL$9:$BN$222,3,0)</f>
        <v>high_beta</v>
      </c>
      <c r="K38" s="17">
        <v>1.4E-2</v>
      </c>
      <c r="L38" s="2">
        <v>-8.9999999999999993E-3</v>
      </c>
      <c r="M38" s="5">
        <v>1.50295334857333</v>
      </c>
      <c r="N38" s="41">
        <f>VLOOKUP(A38,'Mandato LP'!$A$2:$B$215,2,0)</f>
        <v>4.0108934991352298E-2</v>
      </c>
      <c r="O38" s="59">
        <f t="shared" si="8"/>
        <v>-2.6108934991352299E-2</v>
      </c>
      <c r="P38" s="42">
        <f t="shared" si="9"/>
        <v>-2.6108934991352299E-2</v>
      </c>
      <c r="Q38" s="41">
        <f>VLOOKUP(A38,'Mandato LP'!$A$2:$C$215,3,0)</f>
        <v>3.2405264709735399E-2</v>
      </c>
      <c r="R38" s="42">
        <f t="shared" si="10"/>
        <v>-1.84052647097354E-2</v>
      </c>
      <c r="S38" s="15">
        <v>0.19</v>
      </c>
      <c r="T38" s="15">
        <v>0.83599999999999997</v>
      </c>
      <c r="U38" s="15">
        <v>-0.35</v>
      </c>
      <c r="V38" s="15">
        <v>0.44700000000000001</v>
      </c>
      <c r="W38" s="15">
        <v>0.505</v>
      </c>
      <c r="X38" s="15">
        <v>0.61299999999999999</v>
      </c>
      <c r="Y38" s="15">
        <v>0.90600000000000003</v>
      </c>
      <c r="Z38" s="15">
        <v>0.57999999999999996</v>
      </c>
      <c r="AA38" s="15">
        <v>0.67</v>
      </c>
      <c r="AB38" s="15">
        <v>0.67500000000000004</v>
      </c>
      <c r="AC38" s="15">
        <v>0.75700000000000001</v>
      </c>
      <c r="AD38" s="15">
        <v>0.72299999999999998</v>
      </c>
      <c r="AE38" s="15">
        <v>0.69299999999999995</v>
      </c>
      <c r="AF38" s="14">
        <v>0.628</v>
      </c>
      <c r="AG38" s="110">
        <v>-0.127</v>
      </c>
      <c r="AH38" s="110">
        <v>0.51800000000000002</v>
      </c>
      <c r="AI38" s="110">
        <v>-0.77200000000000002</v>
      </c>
      <c r="AJ38" s="110">
        <v>-0.114</v>
      </c>
      <c r="AK38" s="16">
        <v>-0.29299999999999998</v>
      </c>
      <c r="AL38" s="111">
        <v>-7.9000000000000001E-2</v>
      </c>
      <c r="AM38" s="111">
        <v>-0.193</v>
      </c>
      <c r="AN38" s="4">
        <v>-0.51300000000000001</v>
      </c>
      <c r="AO38" s="4">
        <v>1.7999999999999999E-2</v>
      </c>
      <c r="AP38" s="4">
        <v>0.59799999999999998</v>
      </c>
      <c r="AQ38" s="4">
        <v>0.47199999999999998</v>
      </c>
      <c r="AR38" s="4">
        <v>0.26500000000000001</v>
      </c>
      <c r="AS38" s="4">
        <v>0.28599999999999998</v>
      </c>
      <c r="AT38" s="4">
        <v>-0.13600000000000001</v>
      </c>
      <c r="AU38" s="4">
        <v>1.4999999999999999E-2</v>
      </c>
      <c r="AV38" s="4">
        <v>0.87</v>
      </c>
      <c r="AW38" s="4">
        <v>0.65600000000000003</v>
      </c>
      <c r="AX38" s="4">
        <v>0.31900000000000001</v>
      </c>
      <c r="AY38" s="4">
        <v>0.29299999999999998</v>
      </c>
      <c r="AZ38" s="4">
        <v>0.57699999999999996</v>
      </c>
      <c r="BA38" s="4">
        <v>0.41899999999999998</v>
      </c>
      <c r="BB38" s="4">
        <v>-0.7</v>
      </c>
      <c r="BC38" s="4">
        <v>-4.8000000000000001E-2</v>
      </c>
      <c r="BD38" s="4">
        <v>-0.14299999999999999</v>
      </c>
      <c r="BE38" s="4">
        <v>0.36299999999999999</v>
      </c>
      <c r="BF38" s="4">
        <v>-0.38800000000000001</v>
      </c>
      <c r="BG38" s="4">
        <v>0.155</v>
      </c>
      <c r="BH38" s="4">
        <v>0.749</v>
      </c>
      <c r="BI38" s="4">
        <v>-0.48899999999999999</v>
      </c>
      <c r="BJ38" s="4">
        <v>0.38100000000000001</v>
      </c>
      <c r="BK38" s="4">
        <v>-0.58699999999999997</v>
      </c>
      <c r="BL38" s="4">
        <v>-0.41599999999999998</v>
      </c>
      <c r="BM38" s="4">
        <v>-0.59399999999999997</v>
      </c>
      <c r="BN38" s="4"/>
    </row>
    <row r="39" spans="1:66" x14ac:dyDescent="0.3">
      <c r="A39" t="s">
        <v>109</v>
      </c>
      <c r="B39" s="53">
        <f t="shared" si="4"/>
        <v>2.1000000000000001E-2</v>
      </c>
      <c r="C39" s="53">
        <f t="shared" si="5"/>
        <v>2.1000000000000001E-2</v>
      </c>
      <c r="D39" s="53">
        <f t="shared" si="6"/>
        <v>0</v>
      </c>
      <c r="E39" s="53">
        <f t="shared" si="7"/>
        <v>0</v>
      </c>
      <c r="F39" s="15">
        <v>2.3340000000000001</v>
      </c>
      <c r="G39">
        <v>3.1059999999999999</v>
      </c>
      <c r="H39" t="s">
        <v>57</v>
      </c>
      <c r="I39" t="str">
        <f>VLOOKUP(A39,Planilha6!$BL$9:$BN$222,2,0)</f>
        <v>banks</v>
      </c>
      <c r="J39" t="str">
        <f>VLOOKUP(A39,Planilha6!$BL$9:$BN$222,3,0)</f>
        <v>neutral_beta</v>
      </c>
      <c r="K39" s="17">
        <v>2.1000000000000001E-2</v>
      </c>
      <c r="L39" s="2">
        <v>2.1000000000000001E-2</v>
      </c>
      <c r="M39" s="5">
        <v>0.99916358414566697</v>
      </c>
      <c r="N39" s="41">
        <f>VLOOKUP(A39,'Mandato LP'!$A$2:$B$215,2,0)</f>
        <v>8.80082699414079E-3</v>
      </c>
      <c r="O39" s="59">
        <f t="shared" si="8"/>
        <v>1.2199173005859211E-2</v>
      </c>
      <c r="P39" s="42">
        <f t="shared" si="9"/>
        <v>1.2199173005859211E-2</v>
      </c>
      <c r="Q39" s="41">
        <f>VLOOKUP(A39,'Mandato LP'!$A$2:$C$215,3,0)</f>
        <v>6.7839827692912401E-3</v>
      </c>
      <c r="R39" s="42">
        <f t="shared" si="10"/>
        <v>1.4216017230708762E-2</v>
      </c>
      <c r="S39" s="15">
        <v>0.126</v>
      </c>
      <c r="T39" s="15">
        <v>0.66400000000000003</v>
      </c>
      <c r="U39" s="15">
        <v>-0.309</v>
      </c>
      <c r="V39" s="15">
        <v>0.27600000000000002</v>
      </c>
      <c r="W39" s="15">
        <v>0.38900000000000001</v>
      </c>
      <c r="X39" s="15">
        <v>0.442</v>
      </c>
      <c r="Y39" s="15">
        <v>0.61599999999999999</v>
      </c>
      <c r="Z39" s="15">
        <v>0.61</v>
      </c>
      <c r="AA39" s="15">
        <v>0.752</v>
      </c>
      <c r="AB39" s="15">
        <v>0.76</v>
      </c>
      <c r="AC39" s="15">
        <v>0.8</v>
      </c>
      <c r="AD39" s="15">
        <v>0.88600000000000001</v>
      </c>
      <c r="AE39" s="15">
        <v>0.873</v>
      </c>
      <c r="AF39" s="14">
        <v>0.106</v>
      </c>
      <c r="AG39" s="110">
        <v>-0.29699999999999999</v>
      </c>
      <c r="AH39" s="110">
        <v>0.55700000000000005</v>
      </c>
      <c r="AI39" s="110">
        <v>-0.96599999999999997</v>
      </c>
      <c r="AJ39" s="110">
        <v>-0.63600000000000001</v>
      </c>
      <c r="AK39" s="16">
        <v>-0.84499999999999997</v>
      </c>
      <c r="AL39" s="111">
        <v>-0.14899999999999999</v>
      </c>
      <c r="AM39" s="111">
        <v>0.186</v>
      </c>
      <c r="AN39" s="4">
        <v>-0.66500000000000004</v>
      </c>
      <c r="AO39" s="4">
        <v>-0.39900000000000002</v>
      </c>
      <c r="AP39" s="4">
        <v>0.67100000000000004</v>
      </c>
      <c r="AQ39" s="4">
        <v>0.68500000000000005</v>
      </c>
      <c r="AR39" s="4">
        <v>-0.01</v>
      </c>
      <c r="AS39" s="4">
        <v>0.17100000000000001</v>
      </c>
      <c r="AT39" s="4">
        <v>0.41</v>
      </c>
      <c r="AU39" s="4">
        <v>5.8000000000000003E-2</v>
      </c>
      <c r="AV39" s="4">
        <v>5.0999999999999997E-2</v>
      </c>
      <c r="AW39" s="4">
        <v>0.29399999999999998</v>
      </c>
      <c r="AX39" s="4">
        <v>0.502</v>
      </c>
      <c r="AY39" s="4">
        <v>-0.45100000000000001</v>
      </c>
      <c r="AZ39" s="4">
        <v>0.93600000000000005</v>
      </c>
      <c r="BA39" s="4">
        <v>0.252</v>
      </c>
      <c r="BB39" s="4">
        <v>0.91100000000000003</v>
      </c>
      <c r="BC39" s="4">
        <v>-2.3E-2</v>
      </c>
      <c r="BD39" s="4">
        <v>0.32100000000000001</v>
      </c>
      <c r="BE39" s="4">
        <v>0.52100000000000002</v>
      </c>
      <c r="BF39" s="4">
        <v>-0.23100000000000001</v>
      </c>
      <c r="BG39" s="4">
        <v>-0.27500000000000002</v>
      </c>
      <c r="BH39" s="4">
        <v>0.83199999999999996</v>
      </c>
      <c r="BI39" s="4">
        <v>-0.66800000000000004</v>
      </c>
      <c r="BJ39" s="4">
        <v>-1.7000000000000001E-2</v>
      </c>
      <c r="BK39" s="4">
        <v>0.88500000000000001</v>
      </c>
      <c r="BL39" s="4">
        <v>-0.68899999999999995</v>
      </c>
      <c r="BM39" s="4">
        <v>-8.5000000000000006E-2</v>
      </c>
      <c r="BN39" s="4"/>
    </row>
    <row r="40" spans="1:66" x14ac:dyDescent="0.3">
      <c r="A40" t="s">
        <v>65</v>
      </c>
      <c r="B40" s="53">
        <f t="shared" si="4"/>
        <v>1.2E-2</v>
      </c>
      <c r="C40" s="53">
        <f t="shared" si="5"/>
        <v>1.2E-2</v>
      </c>
      <c r="D40" s="53">
        <f t="shared" si="6"/>
        <v>0</v>
      </c>
      <c r="E40" s="53">
        <f t="shared" si="7"/>
        <v>0</v>
      </c>
      <c r="F40" s="15">
        <v>2.3149999999999999</v>
      </c>
      <c r="G40">
        <v>2.52</v>
      </c>
      <c r="H40" t="s">
        <v>57</v>
      </c>
      <c r="I40" t="str">
        <f>VLOOKUP(A40,Planilha6!$BL$9:$BN$222,2,0)</f>
        <v>homebuilders</v>
      </c>
      <c r="J40" t="str">
        <f>VLOOKUP(A40,Planilha6!$BL$9:$BN$222,3,0)</f>
        <v>neutral_beta</v>
      </c>
      <c r="K40" s="17">
        <v>1.2E-2</v>
      </c>
      <c r="L40" s="2">
        <v>1.2E-2</v>
      </c>
      <c r="M40" s="5">
        <v>0.66794132661000005</v>
      </c>
      <c r="N40" s="41">
        <f>VLOOKUP(A40,'Mandato LP'!$A$2:$B$215,2,0)</f>
        <v>8.7295916955545498E-3</v>
      </c>
      <c r="O40" s="59">
        <f t="shared" si="8"/>
        <v>3.2704083044454504E-3</v>
      </c>
      <c r="P40" s="42">
        <f t="shared" si="9"/>
        <v>3.2704083044454504E-3</v>
      </c>
      <c r="Q40" s="41">
        <f>VLOOKUP(A40,'Mandato LP'!$A$2:$C$215,3,0)</f>
        <v>5.7226640543277599E-3</v>
      </c>
      <c r="R40" s="42">
        <f t="shared" si="10"/>
        <v>6.2773359456722404E-3</v>
      </c>
      <c r="S40" s="15">
        <v>0.20100000000000001</v>
      </c>
      <c r="T40" s="15">
        <v>0.158</v>
      </c>
      <c r="U40" s="15">
        <v>0.56999999999999995</v>
      </c>
      <c r="V40" s="15">
        <v>2.1000000000000001E-2</v>
      </c>
      <c r="W40" s="15">
        <v>0.36499999999999999</v>
      </c>
      <c r="X40" s="15">
        <v>0.36399999999999999</v>
      </c>
      <c r="Y40" s="15">
        <v>0.48599999999999999</v>
      </c>
      <c r="Z40" s="15">
        <v>0.73299999999999998</v>
      </c>
      <c r="AA40" s="15">
        <v>0.63600000000000001</v>
      </c>
      <c r="AB40" s="15">
        <v>0.63700000000000001</v>
      </c>
      <c r="AC40" s="15">
        <v>0.82499999999999996</v>
      </c>
      <c r="AD40" s="15">
        <v>0.69899999999999995</v>
      </c>
      <c r="AE40" s="15">
        <v>0.749</v>
      </c>
      <c r="AF40" s="14">
        <v>0.156</v>
      </c>
      <c r="AG40" s="110">
        <v>-0.11600000000000001</v>
      </c>
      <c r="AH40" s="110">
        <v>-0.124</v>
      </c>
      <c r="AI40" s="110">
        <v>0.97799999999999998</v>
      </c>
      <c r="AJ40" s="110">
        <v>0.64900000000000002</v>
      </c>
      <c r="AK40" s="16">
        <v>-7.6999999999999999E-2</v>
      </c>
      <c r="AL40" s="111">
        <v>-0.16500000000000001</v>
      </c>
      <c r="AM40" s="111">
        <v>0.98599999999999999</v>
      </c>
      <c r="AN40" s="4">
        <v>-3.1E-2</v>
      </c>
      <c r="AO40" s="4">
        <v>-4.9000000000000002E-2</v>
      </c>
      <c r="AP40" s="4">
        <v>-0.128</v>
      </c>
      <c r="AQ40" s="4">
        <v>-2.1999999999999999E-2</v>
      </c>
      <c r="AR40" s="4">
        <v>2.1000000000000001E-2</v>
      </c>
      <c r="AS40" s="4">
        <v>-0.13</v>
      </c>
      <c r="AT40" s="4">
        <v>-0.125</v>
      </c>
      <c r="AU40" s="4">
        <v>1.6E-2</v>
      </c>
      <c r="AV40" s="4">
        <v>-0.41199999999999998</v>
      </c>
      <c r="AW40" s="4">
        <v>-6.4000000000000001E-2</v>
      </c>
      <c r="AX40" s="4">
        <v>0.59799999999999998</v>
      </c>
      <c r="AY40" s="4">
        <v>-0.36699999999999999</v>
      </c>
      <c r="AZ40" s="4">
        <v>0.67800000000000005</v>
      </c>
      <c r="BA40" s="4">
        <v>0.41099999999999998</v>
      </c>
      <c r="BB40" s="4">
        <v>0.23100000000000001</v>
      </c>
      <c r="BC40" s="4">
        <v>-2.9000000000000001E-2</v>
      </c>
      <c r="BD40" s="4">
        <v>-0.434</v>
      </c>
      <c r="BE40" s="4">
        <v>-0.499</v>
      </c>
      <c r="BF40" s="4">
        <v>0.43</v>
      </c>
      <c r="BG40" s="4">
        <v>0.67100000000000004</v>
      </c>
      <c r="BH40" s="4">
        <v>0.88100000000000001</v>
      </c>
      <c r="BI40" s="4">
        <v>-0.40400000000000003</v>
      </c>
      <c r="BJ40" s="4">
        <v>0.26500000000000001</v>
      </c>
      <c r="BK40" s="4">
        <v>0.72899999999999998</v>
      </c>
      <c r="BL40" s="4">
        <v>0.63800000000000001</v>
      </c>
      <c r="BM40" s="4">
        <v>0.215</v>
      </c>
      <c r="BN40" s="4"/>
    </row>
    <row r="41" spans="1:66" x14ac:dyDescent="0.3">
      <c r="A41" t="s">
        <v>80</v>
      </c>
      <c r="B41" s="53">
        <f t="shared" si="4"/>
        <v>1.6E-2</v>
      </c>
      <c r="C41" s="53">
        <f t="shared" si="5"/>
        <v>1.38292E-2</v>
      </c>
      <c r="D41" s="53">
        <f t="shared" si="6"/>
        <v>0</v>
      </c>
      <c r="E41" s="53">
        <f t="shared" si="7"/>
        <v>2.1708000000000001E-3</v>
      </c>
      <c r="F41" s="15">
        <v>2.2770000000000001</v>
      </c>
      <c r="G41">
        <v>2.44</v>
      </c>
      <c r="H41" t="s">
        <v>57</v>
      </c>
      <c r="I41" t="str">
        <f>VLOOKUP(A41,Planilha6!$BL$9:$BN$222,2,0)</f>
        <v>tech</v>
      </c>
      <c r="J41" t="str">
        <f>VLOOKUP(A41,Planilha6!$BL$9:$BN$222,3,0)</f>
        <v>low_beta</v>
      </c>
      <c r="K41" s="17">
        <v>1.6E-2</v>
      </c>
      <c r="L41" s="2">
        <v>1.2999999999999999E-2</v>
      </c>
      <c r="M41" s="5">
        <v>1.93860050269333</v>
      </c>
      <c r="N41" s="41">
        <f>VLOOKUP(A41,'Mandato LP'!$A$2:$B$215,2,0)</f>
        <v>9.8707701870783295E-3</v>
      </c>
      <c r="O41" s="59">
        <f t="shared" si="8"/>
        <v>6.1292298129216709E-3</v>
      </c>
      <c r="P41" s="42">
        <f t="shared" si="9"/>
        <v>6.1292298129216709E-3</v>
      </c>
      <c r="Q41" s="41">
        <f>VLOOKUP(A41,'Mandato LP'!$A$2:$C$215,3,0)</f>
        <v>8.9554939434519296E-3</v>
      </c>
      <c r="R41" s="42">
        <f t="shared" si="10"/>
        <v>7.0445060565480708E-3</v>
      </c>
      <c r="S41" s="15">
        <v>0.45900000000000002</v>
      </c>
      <c r="T41" s="15">
        <v>0.32900000000000001</v>
      </c>
      <c r="U41" s="15">
        <v>0.60899999999999999</v>
      </c>
      <c r="V41" s="15">
        <v>0.23100000000000001</v>
      </c>
      <c r="W41" s="15">
        <v>0.442</v>
      </c>
      <c r="X41" s="15">
        <v>0.45900000000000002</v>
      </c>
      <c r="Y41" s="15">
        <v>0.496</v>
      </c>
      <c r="Z41" s="15">
        <v>0.317</v>
      </c>
      <c r="AA41" s="15">
        <v>0.58499999999999996</v>
      </c>
      <c r="AB41" s="15">
        <v>0.59199999999999997</v>
      </c>
      <c r="AC41" s="15">
        <v>0.82399999999999995</v>
      </c>
      <c r="AD41" s="15">
        <v>0.79500000000000004</v>
      </c>
      <c r="AE41" s="15">
        <v>0.74199999999999999</v>
      </c>
      <c r="AF41" s="14">
        <v>0.20799999999999999</v>
      </c>
      <c r="AG41" s="110">
        <v>0.34</v>
      </c>
      <c r="AH41" s="110">
        <v>-0.36499999999999999</v>
      </c>
      <c r="AI41" s="110">
        <v>0.246</v>
      </c>
      <c r="AJ41" s="110">
        <v>-0.13900000000000001</v>
      </c>
      <c r="AK41" s="16">
        <v>1</v>
      </c>
      <c r="AL41" s="111">
        <v>0.245</v>
      </c>
      <c r="AM41" s="111">
        <v>8.8999999999999996E-2</v>
      </c>
      <c r="AN41" s="4">
        <v>-0.32600000000000001</v>
      </c>
      <c r="AO41" s="4">
        <v>-3.7999999999999999E-2</v>
      </c>
      <c r="AP41" s="4">
        <v>-0.13700000000000001</v>
      </c>
      <c r="AQ41" s="4">
        <v>-8.7999999999999995E-2</v>
      </c>
      <c r="AR41" s="4">
        <v>0.47</v>
      </c>
      <c r="AS41" s="4">
        <v>0.27500000000000002</v>
      </c>
      <c r="AT41" s="4">
        <v>0.1</v>
      </c>
      <c r="AU41" s="4">
        <v>0.42799999999999999</v>
      </c>
      <c r="AV41" s="4">
        <v>-3.5999999999999997E-2</v>
      </c>
      <c r="AW41" s="4">
        <v>-4.1000000000000002E-2</v>
      </c>
      <c r="AX41" s="4">
        <v>0.442</v>
      </c>
      <c r="AY41" s="4">
        <v>0.223</v>
      </c>
      <c r="AZ41" s="4">
        <v>0.73299999999999998</v>
      </c>
      <c r="BA41" s="4">
        <v>0.46899999999999997</v>
      </c>
      <c r="BB41" s="4">
        <v>0.79700000000000004</v>
      </c>
      <c r="BC41" s="4">
        <v>-8.3000000000000004E-2</v>
      </c>
      <c r="BD41" s="4">
        <v>-5.6000000000000001E-2</v>
      </c>
      <c r="BE41" s="4">
        <v>-2.1000000000000001E-2</v>
      </c>
      <c r="BF41" s="4">
        <v>0.3</v>
      </c>
      <c r="BG41" s="4">
        <v>-9.1999999999999998E-2</v>
      </c>
      <c r="BH41" s="4">
        <v>0.75</v>
      </c>
      <c r="BI41" s="4">
        <v>-0.78500000000000003</v>
      </c>
      <c r="BJ41" s="4">
        <v>-0.16400000000000001</v>
      </c>
      <c r="BK41" s="4">
        <v>0.5</v>
      </c>
      <c r="BL41" s="4">
        <v>0.34899999999999998</v>
      </c>
      <c r="BM41" s="4">
        <v>0.33900000000000002</v>
      </c>
      <c r="BN41" s="4"/>
    </row>
    <row r="42" spans="1:66" x14ac:dyDescent="0.3">
      <c r="A42" t="s">
        <v>76</v>
      </c>
      <c r="B42" s="53">
        <f t="shared" si="4"/>
        <v>5.0000000000000001E-3</v>
      </c>
      <c r="C42" s="53">
        <f t="shared" si="5"/>
        <v>5.0000000000000001E-3</v>
      </c>
      <c r="D42" s="53">
        <f t="shared" si="6"/>
        <v>0</v>
      </c>
      <c r="E42" s="53">
        <f t="shared" si="7"/>
        <v>0</v>
      </c>
      <c r="F42" s="15">
        <v>2.2280000000000002</v>
      </c>
      <c r="G42">
        <v>1.6479999999999999</v>
      </c>
      <c r="H42" t="s">
        <v>57</v>
      </c>
      <c r="I42" t="str">
        <f>VLOOKUP(A42,Planilha6!$BL$9:$BN$222,2,0)</f>
        <v>homebuilders</v>
      </c>
      <c r="J42" t="str">
        <f>VLOOKUP(A42,Planilha6!$BL$9:$BN$222,3,0)</f>
        <v>high_beta</v>
      </c>
      <c r="K42" s="17">
        <v>5.0000000000000001E-3</v>
      </c>
      <c r="L42" s="2">
        <v>5.0000000000000001E-3</v>
      </c>
      <c r="M42" s="5">
        <v>0.47422446831333298</v>
      </c>
      <c r="N42" s="41">
        <f>VLOOKUP(A42,'Mandato LP'!$A$2:$B$215,2,0)</f>
        <v>8.3989649274910597E-3</v>
      </c>
      <c r="O42" s="59">
        <f t="shared" si="8"/>
        <v>-3.3989649274910596E-3</v>
      </c>
      <c r="P42" s="42">
        <f t="shared" si="9"/>
        <v>-3.3989649274910596E-3</v>
      </c>
      <c r="Q42" s="41">
        <f>VLOOKUP(A42,'Mandato LP'!$A$2:$C$215,3,0)</f>
        <v>0</v>
      </c>
      <c r="R42" s="42">
        <f t="shared" si="10"/>
        <v>5.0000000000000001E-3</v>
      </c>
      <c r="S42" s="15">
        <v>0.57599999999999996</v>
      </c>
      <c r="T42" s="15">
        <v>0.22500000000000001</v>
      </c>
      <c r="U42" s="15">
        <v>0.71</v>
      </c>
      <c r="V42" s="15">
        <v>0.35699999999999998</v>
      </c>
      <c r="W42" s="15">
        <v>0.48299999999999998</v>
      </c>
      <c r="X42" s="15">
        <v>0.40400000000000003</v>
      </c>
      <c r="Y42" s="15">
        <v>0.29199999999999998</v>
      </c>
      <c r="Z42" s="15">
        <v>0.30399999999999999</v>
      </c>
      <c r="AA42" s="15">
        <v>0.36899999999999999</v>
      </c>
      <c r="AB42" s="15">
        <v>0.36699999999999999</v>
      </c>
      <c r="AC42" s="15">
        <v>0.876</v>
      </c>
      <c r="AD42" s="15">
        <v>0.73699999999999999</v>
      </c>
      <c r="AE42" s="15">
        <v>0.71799999999999997</v>
      </c>
      <c r="AF42" s="14">
        <v>0.57899999999999996</v>
      </c>
      <c r="AG42" s="110">
        <v>0.80600000000000005</v>
      </c>
      <c r="AH42" s="110">
        <v>-0.35599999999999998</v>
      </c>
      <c r="AI42" s="110">
        <v>0.40600000000000003</v>
      </c>
      <c r="AJ42" s="110">
        <v>0.33800000000000002</v>
      </c>
      <c r="AK42" s="16">
        <v>0.34799999999999998</v>
      </c>
      <c r="AL42" s="111">
        <v>-0.186</v>
      </c>
      <c r="AM42" s="111">
        <v>0.315</v>
      </c>
      <c r="AN42" s="4">
        <v>-0.30599999999999999</v>
      </c>
      <c r="AO42" s="4">
        <v>0.58799999999999997</v>
      </c>
      <c r="AP42" s="4">
        <v>0.13700000000000001</v>
      </c>
      <c r="AQ42" s="4">
        <v>-0.187</v>
      </c>
      <c r="AR42" s="4">
        <v>0.60399999999999998</v>
      </c>
      <c r="AS42" s="4">
        <v>-8.9999999999999993E-3</v>
      </c>
      <c r="AT42" s="4">
        <v>-0.33900000000000002</v>
      </c>
      <c r="AU42" s="4">
        <v>9.1999999999999998E-2</v>
      </c>
      <c r="AV42" s="4">
        <v>-0.106</v>
      </c>
      <c r="AW42" s="4">
        <v>0.251</v>
      </c>
      <c r="AX42" s="4">
        <v>-0.26</v>
      </c>
      <c r="AY42" s="4">
        <v>3.4000000000000002E-2</v>
      </c>
      <c r="AZ42" s="4">
        <v>0.67100000000000004</v>
      </c>
      <c r="BA42" s="4">
        <v>0.61199999999999999</v>
      </c>
      <c r="BB42" s="4">
        <v>0.80400000000000005</v>
      </c>
      <c r="BC42" s="4">
        <v>-4.0000000000000001E-3</v>
      </c>
      <c r="BD42" s="4">
        <v>-0.32500000000000001</v>
      </c>
      <c r="BE42" s="4">
        <v>9.9000000000000005E-2</v>
      </c>
      <c r="BF42" s="4">
        <v>0.64100000000000001</v>
      </c>
      <c r="BG42" s="4">
        <v>-0.54100000000000004</v>
      </c>
      <c r="BH42" s="4">
        <v>0.375</v>
      </c>
      <c r="BI42" s="4">
        <v>-0.55900000000000005</v>
      </c>
      <c r="BJ42" s="4">
        <v>0.60299999999999998</v>
      </c>
      <c r="BK42" s="4">
        <v>0.75700000000000001</v>
      </c>
      <c r="BL42" s="4">
        <v>0.41299999999999998</v>
      </c>
      <c r="BM42" s="4">
        <v>0.47499999999999998</v>
      </c>
      <c r="BN42" s="4"/>
    </row>
    <row r="43" spans="1:66" x14ac:dyDescent="0.3">
      <c r="A43" t="s">
        <v>63</v>
      </c>
      <c r="B43" s="53">
        <f t="shared" si="4"/>
        <v>1.2E-2</v>
      </c>
      <c r="C43" s="53">
        <f t="shared" si="5"/>
        <v>9.3930300000000001E-3</v>
      </c>
      <c r="D43" s="53">
        <f t="shared" si="6"/>
        <v>0</v>
      </c>
      <c r="E43" s="53">
        <f t="shared" si="7"/>
        <v>2.6069700000000001E-3</v>
      </c>
      <c r="F43" s="15">
        <v>2.2240000000000002</v>
      </c>
      <c r="G43">
        <v>2.6520000000000001</v>
      </c>
      <c r="H43" t="s">
        <v>57</v>
      </c>
      <c r="I43" t="str">
        <f>VLOOKUP(A43,Planilha6!$BL$9:$BN$222,2,0)</f>
        <v>apparel</v>
      </c>
      <c r="J43" t="str">
        <f>VLOOKUP(A43,Planilha6!$BL$9:$BN$222,3,0)</f>
        <v>low_beta</v>
      </c>
      <c r="K43" s="17">
        <v>1.2E-2</v>
      </c>
      <c r="L43" s="2">
        <v>8.9999999999999993E-3</v>
      </c>
      <c r="M43" s="5">
        <v>3.15143</v>
      </c>
      <c r="N43" s="41">
        <f>VLOOKUP(A43,'Mandato LP'!$A$2:$B$215,2,0)</f>
        <v>1.0042276131745E-2</v>
      </c>
      <c r="O43" s="59">
        <f t="shared" si="8"/>
        <v>1.9577238682550006E-3</v>
      </c>
      <c r="P43" s="42">
        <f t="shared" si="9"/>
        <v>1.9577238682550006E-3</v>
      </c>
      <c r="Q43" s="41">
        <f>VLOOKUP(A43,'Mandato LP'!$A$2:$C$215,3,0)</f>
        <v>0</v>
      </c>
      <c r="R43" s="42">
        <f t="shared" si="10"/>
        <v>1.2E-2</v>
      </c>
      <c r="S43" s="15">
        <v>-0.10100000000000001</v>
      </c>
      <c r="T43" s="15">
        <v>0.22900000000000001</v>
      </c>
      <c r="U43" s="15">
        <v>3.7999999999999999E-2</v>
      </c>
      <c r="V43" s="15">
        <v>0.215</v>
      </c>
      <c r="W43" s="15">
        <v>0.45400000000000001</v>
      </c>
      <c r="X43" s="15">
        <v>0.48699999999999999</v>
      </c>
      <c r="Y43" s="15">
        <v>0.82299999999999995</v>
      </c>
      <c r="Z43" s="15">
        <v>1</v>
      </c>
      <c r="AA43" s="15">
        <v>0.61299999999999999</v>
      </c>
      <c r="AB43" s="15">
        <v>0.61899999999999999</v>
      </c>
      <c r="AC43" s="15">
        <v>0.748</v>
      </c>
      <c r="AD43" s="15">
        <v>0.64300000000000002</v>
      </c>
      <c r="AE43" s="15">
        <v>0.47399999999999998</v>
      </c>
      <c r="AF43" s="14">
        <v>0.75800000000000001</v>
      </c>
      <c r="AG43" s="110">
        <v>0.219</v>
      </c>
      <c r="AH43" s="110">
        <v>-0.64200000000000002</v>
      </c>
      <c r="AI43" s="110">
        <v>-0.23599999999999999</v>
      </c>
      <c r="AJ43" s="110">
        <v>-0.57499999999999996</v>
      </c>
      <c r="AK43" s="16">
        <v>0.38100000000000001</v>
      </c>
      <c r="AL43" s="111">
        <v>-0.27300000000000002</v>
      </c>
      <c r="AM43" s="111">
        <v>1</v>
      </c>
      <c r="AN43" s="4">
        <v>-0.745</v>
      </c>
      <c r="AO43" s="4">
        <v>0.55200000000000005</v>
      </c>
      <c r="AP43" s="4">
        <v>-0.27500000000000002</v>
      </c>
      <c r="AQ43" s="4">
        <v>-0.51400000000000001</v>
      </c>
      <c r="AR43" s="4">
        <v>0.28799999999999998</v>
      </c>
      <c r="AS43" s="4">
        <v>-5.7000000000000002E-2</v>
      </c>
      <c r="AT43" s="4">
        <v>-0.39700000000000002</v>
      </c>
      <c r="AU43" s="4">
        <v>0.83099999999999996</v>
      </c>
      <c r="AV43" s="4">
        <v>0.13800000000000001</v>
      </c>
      <c r="AW43" s="4">
        <v>0.36599999999999999</v>
      </c>
      <c r="AX43" s="4">
        <v>0.373</v>
      </c>
      <c r="AY43" s="4">
        <v>-5.8000000000000003E-2</v>
      </c>
      <c r="AZ43" s="4">
        <v>0.72399999999999998</v>
      </c>
      <c r="BA43" s="4">
        <v>1</v>
      </c>
      <c r="BB43" s="4">
        <v>7.2999999999999995E-2</v>
      </c>
      <c r="BC43" s="4">
        <v>-0.70899999999999996</v>
      </c>
      <c r="BD43" s="4">
        <v>-0.76700000000000002</v>
      </c>
      <c r="BE43" s="4">
        <v>-0.52500000000000002</v>
      </c>
      <c r="BF43" s="4">
        <v>0.109</v>
      </c>
      <c r="BG43" s="4">
        <v>-5.6000000000000001E-2</v>
      </c>
      <c r="BH43" s="4">
        <v>0.79700000000000004</v>
      </c>
      <c r="BI43" s="4">
        <v>-0.746</v>
      </c>
      <c r="BJ43" s="4">
        <v>-0.25</v>
      </c>
      <c r="BK43" s="4">
        <v>0.17100000000000001</v>
      </c>
      <c r="BL43" s="4">
        <v>8.8999999999999996E-2</v>
      </c>
      <c r="BM43" s="4">
        <v>0.53700000000000003</v>
      </c>
      <c r="BN43" s="4"/>
    </row>
    <row r="44" spans="1:66" x14ac:dyDescent="0.3">
      <c r="A44" t="s">
        <v>167</v>
      </c>
      <c r="B44" s="53">
        <f t="shared" si="4"/>
        <v>0.01</v>
      </c>
      <c r="C44" s="53">
        <f t="shared" si="5"/>
        <v>0.01</v>
      </c>
      <c r="D44" s="53">
        <f t="shared" si="6"/>
        <v>0</v>
      </c>
      <c r="E44" s="53">
        <f t="shared" si="7"/>
        <v>0</v>
      </c>
      <c r="F44" s="15">
        <v>2.2210000000000001</v>
      </c>
      <c r="G44">
        <v>2.1080000000000001</v>
      </c>
      <c r="H44" t="s">
        <v>57</v>
      </c>
      <c r="I44" t="str">
        <f>VLOOKUP(A44,Planilha6!$BL$9:$BN$222,2,0)</f>
        <v>tech</v>
      </c>
      <c r="J44" t="str">
        <f>VLOOKUP(A44,Planilha6!$BL$9:$BN$222,3,0)</f>
        <v>high_beta</v>
      </c>
      <c r="K44" s="17">
        <v>0.01</v>
      </c>
      <c r="L44" s="2">
        <v>0.01</v>
      </c>
      <c r="M44" s="5">
        <v>0.73880355937333297</v>
      </c>
      <c r="N44" s="41">
        <f>VLOOKUP(A44,'Mandato LP'!$A$2:$B$215,2,0)</f>
        <v>8.3747454570351904E-3</v>
      </c>
      <c r="O44" s="59">
        <f t="shared" si="8"/>
        <v>1.6252545429648099E-3</v>
      </c>
      <c r="P44" s="42">
        <f t="shared" si="9"/>
        <v>1.6252545429648099E-3</v>
      </c>
      <c r="Q44" s="41">
        <f>VLOOKUP(A44,'Mandato LP'!$A$2:$C$215,3,0)</f>
        <v>6.6370185864229004E-3</v>
      </c>
      <c r="R44" s="42">
        <f t="shared" si="10"/>
        <v>3.3629814135770998E-3</v>
      </c>
      <c r="S44" s="15">
        <v>0.56299999999999994</v>
      </c>
      <c r="T44" s="15">
        <v>0.54400000000000004</v>
      </c>
      <c r="U44" s="15">
        <v>0.25600000000000001</v>
      </c>
      <c r="V44" s="15">
        <v>0.33400000000000002</v>
      </c>
      <c r="W44" s="15">
        <v>0.40400000000000003</v>
      </c>
      <c r="X44" s="15">
        <v>0.39300000000000002</v>
      </c>
      <c r="Y44" s="15">
        <v>0.308</v>
      </c>
      <c r="Z44" s="15">
        <v>0.17399999999999999</v>
      </c>
      <c r="AA44" s="15">
        <v>0.53300000000000003</v>
      </c>
      <c r="AB44" s="15">
        <v>0.53700000000000003</v>
      </c>
      <c r="AC44" s="15">
        <v>0.83299999999999996</v>
      </c>
      <c r="AD44" s="15">
        <v>0.85199999999999998</v>
      </c>
      <c r="AE44" s="15">
        <v>0.82099999999999995</v>
      </c>
      <c r="AF44" s="14">
        <v>0.28499999999999998</v>
      </c>
      <c r="AG44" s="110">
        <v>-0.33900000000000002</v>
      </c>
      <c r="AH44" s="110">
        <v>0.34799999999999998</v>
      </c>
      <c r="AI44" s="110">
        <v>-0.32700000000000001</v>
      </c>
      <c r="AJ44" s="110">
        <v>0.58899999999999997</v>
      </c>
      <c r="AK44" s="16">
        <v>7.8E-2</v>
      </c>
      <c r="AL44" s="111">
        <v>9.5000000000000001E-2</v>
      </c>
      <c r="AM44" s="111">
        <v>-0.24199999999999999</v>
      </c>
      <c r="AN44" s="4">
        <v>-0.64500000000000002</v>
      </c>
      <c r="AO44" s="4">
        <v>0.76600000000000001</v>
      </c>
      <c r="AP44" s="4">
        <v>0.35899999999999999</v>
      </c>
      <c r="AQ44" s="4">
        <v>0.78900000000000003</v>
      </c>
      <c r="AR44" s="4">
        <v>7.4999999999999997E-2</v>
      </c>
      <c r="AS44" s="4">
        <v>0.13500000000000001</v>
      </c>
      <c r="AT44" s="4">
        <v>0.17299999999999999</v>
      </c>
      <c r="AU44" s="4">
        <v>0.53200000000000003</v>
      </c>
      <c r="AV44" s="4">
        <v>-9.2999999999999999E-2</v>
      </c>
      <c r="AW44" s="4">
        <v>0.35299999999999998</v>
      </c>
      <c r="AX44" s="4">
        <v>0.20799999999999999</v>
      </c>
      <c r="AY44" s="4">
        <v>0.38</v>
      </c>
      <c r="AZ44" s="4">
        <v>0.81699999999999995</v>
      </c>
      <c r="BA44" s="4">
        <v>0.29299999999999998</v>
      </c>
      <c r="BB44" s="4">
        <v>0.16400000000000001</v>
      </c>
      <c r="BC44" s="4">
        <v>0.12</v>
      </c>
      <c r="BD44" s="4">
        <v>0.09</v>
      </c>
      <c r="BE44" s="4">
        <v>0.38600000000000001</v>
      </c>
      <c r="BF44" s="4">
        <v>0.30399999999999999</v>
      </c>
      <c r="BG44" s="4">
        <v>0.443</v>
      </c>
      <c r="BH44" s="4">
        <v>0.46400000000000002</v>
      </c>
      <c r="BI44" s="4">
        <v>0.03</v>
      </c>
      <c r="BJ44" s="4">
        <v>0.09</v>
      </c>
      <c r="BK44" s="4">
        <v>2E-3</v>
      </c>
      <c r="BL44" s="4">
        <v>-0.111</v>
      </c>
      <c r="BM44" s="4">
        <v>-2E-3</v>
      </c>
      <c r="BN44" s="4"/>
    </row>
    <row r="45" spans="1:66" x14ac:dyDescent="0.3">
      <c r="A45" t="s">
        <v>145</v>
      </c>
      <c r="B45" s="53">
        <f t="shared" si="4"/>
        <v>7.0000000000000001E-3</v>
      </c>
      <c r="C45" s="53">
        <f t="shared" si="5"/>
        <v>7.0000000000000001E-3</v>
      </c>
      <c r="D45" s="53">
        <f t="shared" si="6"/>
        <v>0</v>
      </c>
      <c r="E45" s="53">
        <f t="shared" si="7"/>
        <v>0</v>
      </c>
      <c r="F45" s="15">
        <v>2.1819999999999999</v>
      </c>
      <c r="G45">
        <v>1.623</v>
      </c>
      <c r="H45" t="s">
        <v>57</v>
      </c>
      <c r="I45" t="str">
        <f>VLOOKUP(A45,Planilha6!$BL$9:$BN$222,2,0)</f>
        <v>banks</v>
      </c>
      <c r="J45" t="str">
        <f>VLOOKUP(A45,Planilha6!$BL$9:$BN$222,3,0)</f>
        <v>high_beta</v>
      </c>
      <c r="K45" s="17">
        <v>7.0000000000000001E-3</v>
      </c>
      <c r="L45" s="2">
        <v>7.0000000000000001E-3</v>
      </c>
      <c r="M45" s="5">
        <v>1.817121795</v>
      </c>
      <c r="N45" s="41">
        <f>VLOOKUP(A45,'Mandato LP'!$A$2:$B$215,2,0)</f>
        <v>8.2263608897103699E-3</v>
      </c>
      <c r="O45" s="59">
        <f t="shared" si="8"/>
        <v>-1.2263608897103697E-3</v>
      </c>
      <c r="P45" s="42">
        <f t="shared" si="9"/>
        <v>-1.2263608897103697E-3</v>
      </c>
      <c r="Q45" s="41">
        <f>VLOOKUP(A45,'Mandato LP'!$A$2:$C$215,3,0)</f>
        <v>6.6813209975065202E-3</v>
      </c>
      <c r="R45" s="42">
        <f t="shared" si="10"/>
        <v>3.1867900249347991E-4</v>
      </c>
      <c r="S45" s="15">
        <v>0.311</v>
      </c>
      <c r="T45" s="15">
        <v>0.54900000000000004</v>
      </c>
      <c r="U45" s="15">
        <v>0.41399999999999998</v>
      </c>
      <c r="V45" s="15">
        <v>0.17699999999999999</v>
      </c>
      <c r="W45" s="15">
        <v>0.504</v>
      </c>
      <c r="X45" s="15">
        <v>0.17199999999999999</v>
      </c>
      <c r="Y45" s="15">
        <v>7.0000000000000001E-3</v>
      </c>
      <c r="Z45" s="15">
        <v>0.13900000000000001</v>
      </c>
      <c r="AA45" s="15">
        <v>0.88800000000000001</v>
      </c>
      <c r="AB45" s="15">
        <v>0.88900000000000001</v>
      </c>
      <c r="AC45" s="15">
        <v>0.96199999999999997</v>
      </c>
      <c r="AD45" s="15">
        <v>0.93200000000000005</v>
      </c>
      <c r="AE45" s="15">
        <v>0.96799999999999997</v>
      </c>
      <c r="AF45" s="14">
        <v>-0.51700000000000002</v>
      </c>
      <c r="AG45" s="110">
        <v>5.0999999999999997E-2</v>
      </c>
      <c r="AH45" s="110">
        <v>0.46600000000000003</v>
      </c>
      <c r="AI45" s="110">
        <v>-0.71799999999999997</v>
      </c>
      <c r="AJ45" s="110">
        <v>0.61499999999999999</v>
      </c>
      <c r="AK45" s="16">
        <v>-5.5E-2</v>
      </c>
      <c r="AL45" s="111">
        <v>-9.7000000000000003E-2</v>
      </c>
      <c r="AM45" s="111">
        <v>-0.40600000000000003</v>
      </c>
      <c r="AN45" s="4">
        <v>-0.58699999999999997</v>
      </c>
      <c r="AO45" s="4">
        <v>-0.61299999999999999</v>
      </c>
      <c r="AP45" s="4">
        <v>0.71299999999999997</v>
      </c>
      <c r="AQ45" s="4">
        <v>0.80500000000000005</v>
      </c>
      <c r="AR45" s="4">
        <v>0.32400000000000001</v>
      </c>
      <c r="AS45" s="4">
        <v>1</v>
      </c>
      <c r="AT45" s="4">
        <v>0.68100000000000005</v>
      </c>
      <c r="AU45" s="4">
        <v>0.36299999999999999</v>
      </c>
      <c r="AV45" s="4">
        <v>-8.4000000000000005E-2</v>
      </c>
      <c r="AW45" s="4">
        <v>-5.2999999999999999E-2</v>
      </c>
      <c r="AX45" s="4">
        <v>0.38200000000000001</v>
      </c>
      <c r="AY45" s="4">
        <v>8.8999999999999996E-2</v>
      </c>
      <c r="AZ45" s="4">
        <v>0.62</v>
      </c>
      <c r="BA45" s="4">
        <v>1</v>
      </c>
      <c r="BB45" s="4">
        <v>0.23300000000000001</v>
      </c>
      <c r="BC45" s="4">
        <v>-0.53500000000000003</v>
      </c>
      <c r="BD45" s="4">
        <v>-0.20799999999999999</v>
      </c>
      <c r="BE45" s="4">
        <v>-0.46100000000000002</v>
      </c>
      <c r="BF45" s="4">
        <v>0.47699999999999998</v>
      </c>
      <c r="BG45" s="4">
        <v>0.17399999999999999</v>
      </c>
      <c r="BH45" s="4">
        <v>0.32800000000000001</v>
      </c>
      <c r="BI45" s="4">
        <v>-1</v>
      </c>
      <c r="BJ45" s="4">
        <v>0.30599999999999999</v>
      </c>
      <c r="BK45" s="4">
        <v>0.90600000000000003</v>
      </c>
      <c r="BL45" s="4">
        <v>0.39900000000000002</v>
      </c>
      <c r="BM45" s="4">
        <v>-0.78300000000000003</v>
      </c>
      <c r="BN45" s="4"/>
    </row>
    <row r="46" spans="1:66" x14ac:dyDescent="0.3">
      <c r="A46" t="s">
        <v>126</v>
      </c>
      <c r="B46" s="53">
        <f t="shared" si="4"/>
        <v>6.0000000000000001E-3</v>
      </c>
      <c r="C46" s="53">
        <f t="shared" si="5"/>
        <v>6.0000000000000001E-3</v>
      </c>
      <c r="D46" s="53">
        <f t="shared" si="6"/>
        <v>0</v>
      </c>
      <c r="E46" s="53">
        <f t="shared" si="7"/>
        <v>0</v>
      </c>
      <c r="F46" s="15">
        <v>2.15</v>
      </c>
      <c r="G46">
        <v>1.6259999999999999</v>
      </c>
      <c r="H46" t="s">
        <v>57</v>
      </c>
      <c r="I46" t="str">
        <f>VLOOKUP(A46,Planilha6!$BL$9:$BN$222,2,0)</f>
        <v>tech</v>
      </c>
      <c r="J46" t="str">
        <f>VLOOKUP(A46,Planilha6!$BL$9:$BN$222,3,0)</f>
        <v>neutral_beta</v>
      </c>
      <c r="K46" s="17">
        <v>6.0000000000000001E-3</v>
      </c>
      <c r="L46" s="2">
        <v>6.0000000000000001E-3</v>
      </c>
      <c r="M46" s="5">
        <v>1.6823221086666701E-2</v>
      </c>
      <c r="N46" s="41">
        <f>VLOOKUP(A46,'Mandato LP'!$A$2:$B$215,2,0)</f>
        <v>8.1041580724523395E-3</v>
      </c>
      <c r="O46" s="59">
        <f t="shared" si="8"/>
        <v>-2.1041580724523393E-3</v>
      </c>
      <c r="P46" s="42">
        <f t="shared" si="9"/>
        <v>-2.1041580724523393E-3</v>
      </c>
      <c r="Q46" s="41">
        <f>VLOOKUP(A46,'Mandato LP'!$A$2:$C$215,3,0)</f>
        <v>0</v>
      </c>
      <c r="R46" s="42">
        <f t="shared" si="10"/>
        <v>6.0000000000000001E-3</v>
      </c>
      <c r="S46" s="15">
        <v>0.94599999999999995</v>
      </c>
      <c r="T46" s="15">
        <v>0.20899999999999999</v>
      </c>
      <c r="U46" s="15">
        <v>0.95599999999999996</v>
      </c>
      <c r="V46" s="15">
        <v>0.49099999999999999</v>
      </c>
      <c r="W46" s="15">
        <v>0.44800000000000001</v>
      </c>
      <c r="X46" s="15">
        <v>0.17699999999999999</v>
      </c>
      <c r="Y46" s="15">
        <v>-0.253</v>
      </c>
      <c r="Z46" s="15">
        <v>-0.45900000000000002</v>
      </c>
      <c r="AA46" s="15">
        <v>0.71899999999999997</v>
      </c>
      <c r="AB46" s="15">
        <v>0.72099999999999997</v>
      </c>
      <c r="AC46" s="15">
        <v>0.98299999999999998</v>
      </c>
      <c r="AD46" s="15">
        <v>1</v>
      </c>
      <c r="AE46" s="15">
        <v>1</v>
      </c>
      <c r="AF46" s="14">
        <v>0.59199999999999997</v>
      </c>
      <c r="AG46" s="110">
        <v>0.40200000000000002</v>
      </c>
      <c r="AH46" s="110">
        <v>0.47399999999999998</v>
      </c>
      <c r="AI46" s="110">
        <v>0.26600000000000001</v>
      </c>
      <c r="AJ46" s="110">
        <v>0.38100000000000001</v>
      </c>
      <c r="AK46" s="16">
        <v>0.307</v>
      </c>
      <c r="AL46" s="111">
        <v>-0.221</v>
      </c>
      <c r="AM46" s="111">
        <v>-0.79100000000000004</v>
      </c>
      <c r="AN46" s="4">
        <v>0.55800000000000005</v>
      </c>
      <c r="AO46" s="4">
        <v>0.31</v>
      </c>
      <c r="AP46" s="4">
        <v>0.41199999999999998</v>
      </c>
      <c r="AQ46" s="4">
        <v>-0.161</v>
      </c>
      <c r="AR46" s="4">
        <v>0.28499999999999998</v>
      </c>
      <c r="AS46" s="4">
        <v>1</v>
      </c>
      <c r="AT46" s="4">
        <v>0.80300000000000005</v>
      </c>
      <c r="AU46" s="4">
        <v>1E-3</v>
      </c>
      <c r="AV46" s="4">
        <v>-0.315</v>
      </c>
      <c r="AW46" s="4">
        <v>0.38300000000000001</v>
      </c>
      <c r="AX46" s="4">
        <v>-0.45700000000000002</v>
      </c>
      <c r="AY46" s="4">
        <v>0.371</v>
      </c>
      <c r="AZ46" s="4">
        <v>0.61399999999999999</v>
      </c>
      <c r="BA46" s="4">
        <v>-4.0000000000000001E-3</v>
      </c>
      <c r="BB46" s="4">
        <v>0.88500000000000001</v>
      </c>
      <c r="BC46" s="4">
        <v>0.308</v>
      </c>
      <c r="BD46" s="4">
        <v>-0.192</v>
      </c>
      <c r="BE46" s="4">
        <v>0.66400000000000003</v>
      </c>
      <c r="BF46" s="4">
        <v>-0.495</v>
      </c>
      <c r="BG46" s="4">
        <v>0.13100000000000001</v>
      </c>
      <c r="BH46" s="4">
        <v>0.217</v>
      </c>
      <c r="BI46" s="4">
        <v>0.498</v>
      </c>
      <c r="BJ46" s="4">
        <v>-0.127</v>
      </c>
      <c r="BK46" s="4">
        <v>0.88700000000000001</v>
      </c>
      <c r="BL46" s="4">
        <v>0.48199999999999998</v>
      </c>
      <c r="BM46" s="4">
        <v>4.8000000000000001E-2</v>
      </c>
      <c r="BN46" s="4"/>
    </row>
    <row r="47" spans="1:66" x14ac:dyDescent="0.3">
      <c r="A47" t="s">
        <v>114</v>
      </c>
      <c r="B47" s="53">
        <f t="shared" si="4"/>
        <v>2.3E-2</v>
      </c>
      <c r="C47" s="53">
        <f t="shared" si="5"/>
        <v>2.3E-2</v>
      </c>
      <c r="D47" s="53">
        <f t="shared" si="6"/>
        <v>0</v>
      </c>
      <c r="E47" s="53">
        <f t="shared" si="7"/>
        <v>0</v>
      </c>
      <c r="F47" s="15">
        <v>2.081</v>
      </c>
      <c r="G47">
        <v>2.7679999999999998</v>
      </c>
      <c r="H47" t="s">
        <v>55</v>
      </c>
      <c r="I47" t="str">
        <f>VLOOKUP(A47,Planilha6!$BL$9:$BN$222,2,0)</f>
        <v>utilities</v>
      </c>
      <c r="J47" t="str">
        <f>VLOOKUP(A47,Planilha6!$BL$9:$BN$222,3,0)</f>
        <v>very_low_beta</v>
      </c>
      <c r="K47" s="17">
        <v>2.3E-2</v>
      </c>
      <c r="L47" s="2">
        <v>2.3E-2</v>
      </c>
      <c r="M47" s="5">
        <v>1.4684615384466699</v>
      </c>
      <c r="N47" s="41">
        <f>VLOOKUP(A47,'Mandato LP'!$A$2:$B$215,2,0)</f>
        <v>7.8446787663223293E-3</v>
      </c>
      <c r="O47" s="59">
        <f t="shared" si="8"/>
        <v>1.515532123367767E-2</v>
      </c>
      <c r="P47" s="42">
        <f t="shared" si="9"/>
        <v>1.515532123367767E-2</v>
      </c>
      <c r="Q47" s="41">
        <f>VLOOKUP(A47,'Mandato LP'!$A$2:$C$215,3,0)</f>
        <v>5.6054284691201203E-3</v>
      </c>
      <c r="R47" s="42">
        <f t="shared" si="10"/>
        <v>1.7394571530879879E-2</v>
      </c>
      <c r="S47" s="15">
        <v>-0.121</v>
      </c>
      <c r="T47" s="15">
        <v>0.68</v>
      </c>
      <c r="U47" s="15">
        <v>-0.33</v>
      </c>
      <c r="V47" s="15">
        <v>1.9E-2</v>
      </c>
      <c r="W47" s="15">
        <v>0.33700000000000002</v>
      </c>
      <c r="X47" s="15">
        <v>0.38300000000000001</v>
      </c>
      <c r="Y47" s="15">
        <v>0.72499999999999998</v>
      </c>
      <c r="Z47" s="15">
        <v>0.47899999999999998</v>
      </c>
      <c r="AA47" s="15">
        <v>0.88</v>
      </c>
      <c r="AB47" s="15">
        <v>0.88600000000000001</v>
      </c>
      <c r="AC47" s="15">
        <v>0.70399999999999996</v>
      </c>
      <c r="AD47" s="15">
        <v>0.90200000000000002</v>
      </c>
      <c r="AE47" s="15">
        <v>0.74399999999999999</v>
      </c>
      <c r="AF47" s="14">
        <v>0.10100000000000001</v>
      </c>
      <c r="AG47" s="110">
        <v>-0.58099999999999996</v>
      </c>
      <c r="AH47" s="110">
        <v>0.371</v>
      </c>
      <c r="AI47" s="110">
        <v>-0.70499999999999996</v>
      </c>
      <c r="AJ47" s="110">
        <v>-0.30599999999999999</v>
      </c>
      <c r="AK47" s="16">
        <v>-0.75600000000000001</v>
      </c>
      <c r="AL47" s="111">
        <v>-4.9000000000000002E-2</v>
      </c>
      <c r="AM47" s="111">
        <v>-0.42799999999999999</v>
      </c>
      <c r="AN47" s="4">
        <v>-0.28699999999999998</v>
      </c>
      <c r="AO47" s="4">
        <v>-0.36799999999999999</v>
      </c>
      <c r="AP47" s="4">
        <v>0.34699999999999998</v>
      </c>
      <c r="AQ47" s="4">
        <v>0.40300000000000002</v>
      </c>
      <c r="AR47" s="4">
        <v>-0.109</v>
      </c>
      <c r="AS47" s="4">
        <v>7.0000000000000007E-2</v>
      </c>
      <c r="AT47" s="4">
        <v>0.307</v>
      </c>
      <c r="AU47" s="4">
        <v>0.06</v>
      </c>
      <c r="AV47" s="4">
        <v>0.70799999999999996</v>
      </c>
      <c r="AW47" s="4">
        <v>0.27800000000000002</v>
      </c>
      <c r="AX47" s="4">
        <v>0.79100000000000004</v>
      </c>
      <c r="AY47" s="4">
        <v>-0.504</v>
      </c>
      <c r="AZ47" s="4">
        <v>0.81799999999999995</v>
      </c>
      <c r="BA47" s="4">
        <v>1</v>
      </c>
      <c r="BB47" s="4">
        <v>2.1000000000000001E-2</v>
      </c>
      <c r="BC47" s="4">
        <v>0.03</v>
      </c>
      <c r="BD47" s="4">
        <v>-0.223</v>
      </c>
      <c r="BE47" s="4">
        <v>0.28399999999999997</v>
      </c>
      <c r="BF47" s="4">
        <v>0.14699999999999999</v>
      </c>
      <c r="BG47" s="4">
        <v>-0.23300000000000001</v>
      </c>
      <c r="BH47" s="4">
        <v>0.93700000000000006</v>
      </c>
      <c r="BI47" s="4">
        <v>-0.49399999999999999</v>
      </c>
      <c r="BJ47" s="4">
        <v>-0.40300000000000002</v>
      </c>
      <c r="BK47" s="4">
        <v>0.29799999999999999</v>
      </c>
      <c r="BL47" s="4">
        <v>0.11799999999999999</v>
      </c>
      <c r="BM47" s="4">
        <v>0.63400000000000001</v>
      </c>
      <c r="BN47" s="4"/>
    </row>
    <row r="48" spans="1:66" x14ac:dyDescent="0.3">
      <c r="A48" t="s">
        <v>116</v>
      </c>
      <c r="B48" s="53">
        <f t="shared" si="4"/>
        <v>1.0999999999999999E-2</v>
      </c>
      <c r="C48" s="53">
        <f t="shared" si="5"/>
        <v>1.0999999999999999E-2</v>
      </c>
      <c r="D48" s="53">
        <f t="shared" si="6"/>
        <v>0</v>
      </c>
      <c r="E48" s="53">
        <f t="shared" si="7"/>
        <v>0</v>
      </c>
      <c r="F48" s="15">
        <v>2.0649999999999999</v>
      </c>
      <c r="G48">
        <v>2.238</v>
      </c>
      <c r="H48" t="s">
        <v>53</v>
      </c>
      <c r="I48" t="str">
        <f>VLOOKUP(A48,Planilha6!$BL$9:$BN$222,2,0)</f>
        <v>healthcare</v>
      </c>
      <c r="J48" t="str">
        <f>VLOOKUP(A48,Planilha6!$BL$9:$BN$222,3,0)</f>
        <v>neutral_beta</v>
      </c>
      <c r="K48" s="17">
        <v>1.0999999999999999E-2</v>
      </c>
      <c r="L48" s="2">
        <v>1.0999999999999999E-2</v>
      </c>
      <c r="M48" s="5">
        <v>0.36393998025666702</v>
      </c>
      <c r="N48" s="41">
        <f>VLOOKUP(A48,'Mandato LP'!$A$2:$B$215,2,0)</f>
        <v>7.7872363615608103E-3</v>
      </c>
      <c r="O48" s="59">
        <f t="shared" si="8"/>
        <v>3.2127636384391891E-3</v>
      </c>
      <c r="P48" s="42">
        <f t="shared" si="9"/>
        <v>3.2127636384391891E-3</v>
      </c>
      <c r="Q48" s="41">
        <f>VLOOKUP(A48,'Mandato LP'!$A$2:$C$215,3,0)</f>
        <v>9.5811356785878293E-3</v>
      </c>
      <c r="R48" s="42">
        <f t="shared" si="10"/>
        <v>1.41886432141217E-3</v>
      </c>
      <c r="S48" s="15">
        <v>0.45100000000000001</v>
      </c>
      <c r="T48" s="15">
        <v>0.49099999999999999</v>
      </c>
      <c r="U48" s="15">
        <v>0.28499999999999998</v>
      </c>
      <c r="V48" s="15">
        <v>0.33600000000000002</v>
      </c>
      <c r="W48" s="15">
        <v>0.41</v>
      </c>
      <c r="X48" s="15">
        <v>0.27600000000000002</v>
      </c>
      <c r="Y48" s="15">
        <v>0.27400000000000002</v>
      </c>
      <c r="Z48" s="15">
        <v>-8.6999999999999994E-2</v>
      </c>
      <c r="AA48" s="15">
        <v>0.55600000000000005</v>
      </c>
      <c r="AB48" s="15">
        <v>0.56000000000000005</v>
      </c>
      <c r="AC48" s="15">
        <v>0.89800000000000002</v>
      </c>
      <c r="AD48" s="15">
        <v>1</v>
      </c>
      <c r="AE48" s="15">
        <v>0.91500000000000004</v>
      </c>
      <c r="AF48" s="14">
        <v>-0.14499999999999999</v>
      </c>
      <c r="AG48" s="110">
        <v>-0.35199999999999998</v>
      </c>
      <c r="AH48" s="110">
        <v>0.78200000000000003</v>
      </c>
      <c r="AI48" s="110">
        <v>-0.374</v>
      </c>
      <c r="AJ48" s="110">
        <v>1</v>
      </c>
      <c r="AK48" s="16">
        <v>0.35199999999999998</v>
      </c>
      <c r="AL48" s="111">
        <v>-0.17299999999999999</v>
      </c>
      <c r="AM48" s="111">
        <v>-0.6</v>
      </c>
      <c r="AN48" s="4">
        <v>-0.58099999999999996</v>
      </c>
      <c r="AO48" s="4">
        <v>9.5000000000000001E-2</v>
      </c>
      <c r="AP48" s="4">
        <v>0.71899999999999997</v>
      </c>
      <c r="AQ48" s="4">
        <v>0.66500000000000004</v>
      </c>
      <c r="AR48" s="4">
        <v>0.33200000000000002</v>
      </c>
      <c r="AS48" s="4">
        <v>0.214</v>
      </c>
      <c r="AT48" s="4">
        <v>0.47499999999999998</v>
      </c>
      <c r="AU48" s="4">
        <v>0.52600000000000002</v>
      </c>
      <c r="AV48" s="4">
        <v>-0.32100000000000001</v>
      </c>
      <c r="AW48" s="4">
        <v>0.46700000000000003</v>
      </c>
      <c r="AX48" s="4">
        <v>0.39800000000000002</v>
      </c>
      <c r="AY48" s="4">
        <v>-0.129</v>
      </c>
      <c r="AZ48" s="4">
        <v>0.999</v>
      </c>
      <c r="BA48" s="4">
        <v>-0.28000000000000003</v>
      </c>
      <c r="BB48" s="4">
        <v>0.77900000000000003</v>
      </c>
      <c r="BC48" s="4">
        <v>-0.28499999999999998</v>
      </c>
      <c r="BD48" s="4">
        <v>-0.27600000000000002</v>
      </c>
      <c r="BE48" s="4">
        <v>0.16600000000000001</v>
      </c>
      <c r="BF48" s="4">
        <v>0.29899999999999999</v>
      </c>
      <c r="BG48" s="4">
        <v>-0.69199999999999995</v>
      </c>
      <c r="BH48" s="4">
        <v>0.67200000000000004</v>
      </c>
      <c r="BI48" s="4">
        <v>-0.30599999999999999</v>
      </c>
      <c r="BJ48" s="4">
        <v>-3.4000000000000002E-2</v>
      </c>
      <c r="BK48" s="4">
        <v>0.26900000000000002</v>
      </c>
      <c r="BL48" s="4">
        <v>0.40200000000000002</v>
      </c>
      <c r="BM48" s="4">
        <v>-0.39300000000000002</v>
      </c>
      <c r="BN48" s="4"/>
    </row>
    <row r="49" spans="1:66" x14ac:dyDescent="0.3">
      <c r="A49" t="s">
        <v>131</v>
      </c>
      <c r="B49" s="53">
        <f t="shared" si="4"/>
        <v>1.6E-2</v>
      </c>
      <c r="C49" s="53">
        <f t="shared" si="5"/>
        <v>1.0481030000000001E-2</v>
      </c>
      <c r="D49" s="53">
        <f t="shared" si="6"/>
        <v>0</v>
      </c>
      <c r="E49" s="53">
        <f t="shared" si="7"/>
        <v>5.5189699999999998E-3</v>
      </c>
      <c r="F49" s="15">
        <v>2.0209999999999999</v>
      </c>
      <c r="G49">
        <v>2.3340000000000001</v>
      </c>
      <c r="H49" t="s">
        <v>71</v>
      </c>
      <c r="I49" t="str">
        <f>VLOOKUP(A49,Planilha6!$BL$9:$BN$222,2,0)</f>
        <v>crude_oil</v>
      </c>
      <c r="J49" t="str">
        <f>VLOOKUP(A49,Planilha6!$BL$9:$BN$222,3,0)</f>
        <v>very_low_beta</v>
      </c>
      <c r="K49" s="17">
        <v>1.6E-2</v>
      </c>
      <c r="L49" s="2">
        <v>1.0999999999999999E-2</v>
      </c>
      <c r="M49" s="5">
        <v>1.8884688357899999</v>
      </c>
      <c r="N49" s="41">
        <f>VLOOKUP(A49,'Mandato LP'!$A$2:$B$215,2,0)</f>
        <v>1.2486418931108001E-2</v>
      </c>
      <c r="O49" s="59">
        <f t="shared" si="8"/>
        <v>3.5135810688919997E-3</v>
      </c>
      <c r="P49" s="42">
        <f t="shared" si="9"/>
        <v>3.5135810688919997E-3</v>
      </c>
      <c r="Q49" s="41">
        <f>VLOOKUP(A49,'Mandato LP'!$A$2:$C$215,3,0)</f>
        <v>1.1106755055447601E-2</v>
      </c>
      <c r="R49" s="42">
        <f t="shared" si="10"/>
        <v>4.8932449445523996E-3</v>
      </c>
      <c r="S49" s="15">
        <v>-0.17599999999999999</v>
      </c>
      <c r="T49" s="15">
        <v>0.311</v>
      </c>
      <c r="U49" s="15">
        <v>-0.40400000000000003</v>
      </c>
      <c r="V49" s="15">
        <v>2E-3</v>
      </c>
      <c r="W49" s="15">
        <v>0.17100000000000001</v>
      </c>
      <c r="X49" s="15">
        <v>0.36099999999999999</v>
      </c>
      <c r="Y49" s="15">
        <v>0.40600000000000003</v>
      </c>
      <c r="Z49" s="15">
        <v>0.65700000000000003</v>
      </c>
      <c r="AA49" s="15">
        <v>0.90500000000000003</v>
      </c>
      <c r="AB49" s="15">
        <v>0.90700000000000003</v>
      </c>
      <c r="AC49" s="15">
        <v>0.77800000000000002</v>
      </c>
      <c r="AD49" s="15">
        <v>0.82799999999999996</v>
      </c>
      <c r="AE49" s="15">
        <v>0.73599999999999999</v>
      </c>
      <c r="AF49" s="14">
        <v>-0.25600000000000001</v>
      </c>
      <c r="AG49" s="110">
        <v>-0.34100000000000003</v>
      </c>
      <c r="AH49" s="110">
        <v>0.95499999999999996</v>
      </c>
      <c r="AI49" s="110">
        <v>5.0999999999999997E-2</v>
      </c>
      <c r="AJ49" s="110">
        <v>0.52200000000000002</v>
      </c>
      <c r="AK49" s="16">
        <v>-0.66600000000000004</v>
      </c>
      <c r="AL49" s="111">
        <v>-0.24299999999999999</v>
      </c>
      <c r="AM49" s="111">
        <v>0.77</v>
      </c>
      <c r="AN49" s="4">
        <v>-0.06</v>
      </c>
      <c r="AO49" s="4">
        <v>0.33100000000000002</v>
      </c>
      <c r="AP49" s="4">
        <v>0.36699999999999999</v>
      </c>
      <c r="AQ49" s="4">
        <v>0.89600000000000002</v>
      </c>
      <c r="AR49" s="4">
        <v>-0.42699999999999999</v>
      </c>
      <c r="AS49" s="4">
        <v>0.28000000000000003</v>
      </c>
      <c r="AT49" s="4">
        <v>4.4999999999999998E-2</v>
      </c>
      <c r="AU49" s="4">
        <v>0.16300000000000001</v>
      </c>
      <c r="AV49" s="4">
        <v>0.17</v>
      </c>
      <c r="AW49" s="4">
        <v>-0.17499999999999999</v>
      </c>
      <c r="AX49" s="4">
        <v>0.312</v>
      </c>
      <c r="AY49" s="4">
        <v>0.16600000000000001</v>
      </c>
      <c r="AZ49" s="4">
        <v>0.82199999999999995</v>
      </c>
      <c r="BA49" s="4">
        <v>0.111</v>
      </c>
      <c r="BB49" s="4">
        <v>-0.317</v>
      </c>
      <c r="BC49" s="4">
        <v>-0.42199999999999999</v>
      </c>
      <c r="BD49" s="4">
        <v>-0.65600000000000003</v>
      </c>
      <c r="BE49" s="4">
        <v>-0.67400000000000004</v>
      </c>
      <c r="BF49" s="4">
        <v>0.17899999999999999</v>
      </c>
      <c r="BG49" s="4">
        <v>0.78700000000000003</v>
      </c>
      <c r="BH49" s="4">
        <v>0.624</v>
      </c>
      <c r="BI49" s="4">
        <v>-0.20200000000000001</v>
      </c>
      <c r="BJ49" s="4">
        <v>-0.78500000000000003</v>
      </c>
      <c r="BK49" s="4">
        <v>-0.54300000000000004</v>
      </c>
      <c r="BL49" s="4">
        <v>0.437</v>
      </c>
      <c r="BM49" s="4">
        <v>0.69799999999999995</v>
      </c>
      <c r="BN49" s="4"/>
    </row>
    <row r="50" spans="1:66" x14ac:dyDescent="0.3">
      <c r="A50" t="s">
        <v>101</v>
      </c>
      <c r="B50" s="53">
        <f t="shared" si="4"/>
        <v>1.2999999999999999E-2</v>
      </c>
      <c r="C50" s="53">
        <f t="shared" si="5"/>
        <v>1.2999999999999999E-2</v>
      </c>
      <c r="D50" s="53">
        <f t="shared" si="6"/>
        <v>0</v>
      </c>
      <c r="E50" s="53">
        <f t="shared" si="7"/>
        <v>0</v>
      </c>
      <c r="F50" s="15">
        <v>1.992</v>
      </c>
      <c r="G50">
        <v>2.1339999999999999</v>
      </c>
      <c r="H50" t="s">
        <v>71</v>
      </c>
      <c r="I50" t="str">
        <f>VLOOKUP(A50,Planilha6!$BL$9:$BN$222,2,0)</f>
        <v>crude_oil</v>
      </c>
      <c r="J50" t="str">
        <f>VLOOKUP(A50,Planilha6!$BL$9:$BN$222,3,0)</f>
        <v>very_low_beta</v>
      </c>
      <c r="K50" s="17">
        <v>1.2999999999999999E-2</v>
      </c>
      <c r="L50" s="2">
        <v>1.2999999999999999E-2</v>
      </c>
      <c r="M50" s="5">
        <v>3.23971833133333E-2</v>
      </c>
      <c r="N50" s="41">
        <f>VLOOKUP(A50,'Mandato LP'!$A$2:$B$215,2,0)</f>
        <v>7.5120972186490699E-3</v>
      </c>
      <c r="O50" s="59">
        <f t="shared" si="8"/>
        <v>5.4879027813509295E-3</v>
      </c>
      <c r="P50" s="42">
        <f t="shared" si="9"/>
        <v>5.4879027813509295E-3</v>
      </c>
      <c r="Q50" s="41">
        <f>VLOOKUP(A50,'Mandato LP'!$A$2:$C$215,3,0)</f>
        <v>7.6066319571425197E-3</v>
      </c>
      <c r="R50" s="42">
        <f t="shared" si="10"/>
        <v>5.3933680428574797E-3</v>
      </c>
      <c r="S50" s="15">
        <v>0.46500000000000002</v>
      </c>
      <c r="T50" s="15">
        <v>0.36099999999999999</v>
      </c>
      <c r="U50" s="15">
        <v>0.45700000000000002</v>
      </c>
      <c r="V50" s="15">
        <v>0.25800000000000001</v>
      </c>
      <c r="W50" s="15">
        <v>0.377</v>
      </c>
      <c r="X50" s="15">
        <v>0.42399999999999999</v>
      </c>
      <c r="Y50" s="15">
        <v>0.193</v>
      </c>
      <c r="Z50" s="15">
        <v>-0.24099999999999999</v>
      </c>
      <c r="AA50" s="15">
        <v>0.73399999999999999</v>
      </c>
      <c r="AB50" s="15">
        <v>0.73099999999999998</v>
      </c>
      <c r="AC50" s="15">
        <v>0.83899999999999997</v>
      </c>
      <c r="AD50" s="15">
        <v>0.86799999999999999</v>
      </c>
      <c r="AE50" s="15">
        <v>0.871</v>
      </c>
      <c r="AF50" s="14">
        <v>-0.24299999999999999</v>
      </c>
      <c r="AG50" s="110">
        <v>0.14499999999999999</v>
      </c>
      <c r="AH50" s="110">
        <v>0.13900000000000001</v>
      </c>
      <c r="AI50" s="110">
        <v>-0.43099999999999999</v>
      </c>
      <c r="AJ50" s="110">
        <v>1</v>
      </c>
      <c r="AK50" s="16">
        <v>0.46899999999999997</v>
      </c>
      <c r="AL50" s="111">
        <v>-0.29699999999999999</v>
      </c>
      <c r="AM50" s="111">
        <v>-0.94</v>
      </c>
      <c r="AN50" s="4">
        <v>-0.67100000000000004</v>
      </c>
      <c r="AO50" s="4">
        <v>0.63700000000000001</v>
      </c>
      <c r="AP50" s="4">
        <v>0.48199999999999998</v>
      </c>
      <c r="AQ50" s="4">
        <v>0.309</v>
      </c>
      <c r="AR50" s="4">
        <v>0.91700000000000004</v>
      </c>
      <c r="AS50" s="4">
        <v>0.70499999999999996</v>
      </c>
      <c r="AT50" s="4">
        <v>0.38800000000000001</v>
      </c>
      <c r="AU50" s="4">
        <v>0.25900000000000001</v>
      </c>
      <c r="AV50" s="4">
        <v>-0.13900000000000001</v>
      </c>
      <c r="AW50" s="4">
        <v>0.48699999999999999</v>
      </c>
      <c r="AX50" s="4">
        <v>0.48399999999999999</v>
      </c>
      <c r="AY50" s="4">
        <v>-6.7000000000000004E-2</v>
      </c>
      <c r="AZ50" s="4">
        <v>0.77700000000000002</v>
      </c>
      <c r="BA50" s="4">
        <v>0.28000000000000003</v>
      </c>
      <c r="BB50" s="4">
        <v>0.93</v>
      </c>
      <c r="BC50" s="4">
        <v>-0.27200000000000002</v>
      </c>
      <c r="BD50" s="4">
        <v>-0.54700000000000004</v>
      </c>
      <c r="BE50" s="4">
        <v>0.254</v>
      </c>
      <c r="BF50" s="4">
        <v>-0.215</v>
      </c>
      <c r="BG50" s="4">
        <v>-4.8000000000000001E-2</v>
      </c>
      <c r="BH50" s="4">
        <v>0.55400000000000005</v>
      </c>
      <c r="BI50" s="4">
        <v>-0.56499999999999995</v>
      </c>
      <c r="BJ50" s="4">
        <v>-0.74299999999999999</v>
      </c>
      <c r="BK50" s="4">
        <v>0.626</v>
      </c>
      <c r="BL50" s="4">
        <v>0.63500000000000001</v>
      </c>
      <c r="BM50" s="4">
        <v>0.66700000000000004</v>
      </c>
      <c r="BN50" s="4"/>
    </row>
    <row r="51" spans="1:66" x14ac:dyDescent="0.3">
      <c r="A51" t="s">
        <v>61</v>
      </c>
      <c r="B51" s="53">
        <f t="shared" si="4"/>
        <v>1.2E-2</v>
      </c>
      <c r="C51" s="53">
        <f t="shared" si="5"/>
        <v>1.044962E-2</v>
      </c>
      <c r="D51" s="53">
        <f t="shared" si="6"/>
        <v>0</v>
      </c>
      <c r="E51" s="53">
        <f t="shared" si="7"/>
        <v>1.5503800000000001E-3</v>
      </c>
      <c r="F51" s="15">
        <v>1.9830000000000001</v>
      </c>
      <c r="G51">
        <v>2.3759999999999999</v>
      </c>
      <c r="H51" t="s">
        <v>57</v>
      </c>
      <c r="I51" t="str">
        <f>VLOOKUP(A51,Planilha6!$BL$9:$BN$222,2,0)</f>
        <v>homebuilders</v>
      </c>
      <c r="J51" t="str">
        <f>VLOOKUP(A51,Planilha6!$BL$9:$BN$222,3,0)</f>
        <v>high_beta</v>
      </c>
      <c r="K51" s="17">
        <v>1.2E-2</v>
      </c>
      <c r="L51" s="2">
        <v>0.01</v>
      </c>
      <c r="M51" s="5">
        <v>1.41808382127667</v>
      </c>
      <c r="N51" s="41">
        <f>VLOOKUP(A51,'Mandato LP'!$A$2:$B$215,2,0)</f>
        <v>8.1556490035622903E-3</v>
      </c>
      <c r="O51" s="59">
        <f t="shared" si="8"/>
        <v>3.84435099643771E-3</v>
      </c>
      <c r="P51" s="42">
        <f t="shared" si="9"/>
        <v>3.84435099643771E-3</v>
      </c>
      <c r="Q51" s="41">
        <f>VLOOKUP(A51,'Mandato LP'!$A$2:$C$215,3,0)</f>
        <v>7.7964448584748602E-3</v>
      </c>
      <c r="R51" s="42">
        <f t="shared" si="10"/>
        <v>4.20355514152514E-3</v>
      </c>
      <c r="S51" s="15">
        <v>3.4000000000000002E-2</v>
      </c>
      <c r="T51" s="15">
        <v>0.27100000000000002</v>
      </c>
      <c r="U51" s="15">
        <v>0.19500000000000001</v>
      </c>
      <c r="V51" s="15">
        <v>-6.2E-2</v>
      </c>
      <c r="W51" s="15">
        <v>0.30499999999999999</v>
      </c>
      <c r="X51" s="15">
        <v>0.23499999999999999</v>
      </c>
      <c r="Y51" s="15">
        <v>0.307</v>
      </c>
      <c r="Z51" s="15">
        <v>0.58399999999999996</v>
      </c>
      <c r="AA51" s="15">
        <v>0.495</v>
      </c>
      <c r="AB51" s="15">
        <v>0.49199999999999999</v>
      </c>
      <c r="AC51" s="15">
        <v>0.70799999999999996</v>
      </c>
      <c r="AD51" s="15">
        <v>0.79700000000000004</v>
      </c>
      <c r="AE51" s="15">
        <v>0.7</v>
      </c>
      <c r="AF51" s="14">
        <v>-0.33200000000000002</v>
      </c>
      <c r="AG51" s="110">
        <v>0.32</v>
      </c>
      <c r="AH51" s="110">
        <v>0.09</v>
      </c>
      <c r="AI51" s="110">
        <v>-7.3999999999999996E-2</v>
      </c>
      <c r="AJ51" s="110">
        <v>0.88500000000000001</v>
      </c>
      <c r="AK51" s="16">
        <v>-0.17799999999999999</v>
      </c>
      <c r="AL51" s="111">
        <v>-0.29099999999999998</v>
      </c>
      <c r="AM51" s="111">
        <v>0.66100000000000003</v>
      </c>
      <c r="AN51" s="4">
        <v>-0.57199999999999995</v>
      </c>
      <c r="AO51" s="4">
        <v>0.11799999999999999</v>
      </c>
      <c r="AP51" s="4">
        <v>0.26100000000000001</v>
      </c>
      <c r="AQ51" s="4">
        <v>-0.223</v>
      </c>
      <c r="AR51" s="4">
        <v>0.40600000000000003</v>
      </c>
      <c r="AS51" s="4">
        <v>-0.122</v>
      </c>
      <c r="AT51" s="4">
        <v>-0.752</v>
      </c>
      <c r="AU51" s="4">
        <v>0.217</v>
      </c>
      <c r="AV51" s="4">
        <v>-0.14000000000000001</v>
      </c>
      <c r="AW51" s="4">
        <v>-0.27300000000000002</v>
      </c>
      <c r="AX51" s="4">
        <v>0.19900000000000001</v>
      </c>
      <c r="AY51" s="4">
        <v>0.17799999999999999</v>
      </c>
      <c r="AZ51" s="4">
        <v>0.53800000000000003</v>
      </c>
      <c r="BA51" s="4">
        <v>1</v>
      </c>
      <c r="BB51" s="4">
        <v>0.69499999999999995</v>
      </c>
      <c r="BC51" s="4">
        <v>-0.38200000000000001</v>
      </c>
      <c r="BD51" s="4">
        <v>-0.54800000000000004</v>
      </c>
      <c r="BE51" s="4">
        <v>-0.54600000000000004</v>
      </c>
      <c r="BF51" s="4">
        <v>0.441</v>
      </c>
      <c r="BG51" s="4">
        <v>3.6999999999999998E-2</v>
      </c>
      <c r="BH51" s="4">
        <v>0.60399999999999998</v>
      </c>
      <c r="BI51" s="4">
        <v>-0.89200000000000002</v>
      </c>
      <c r="BJ51" s="4">
        <v>0.61399999999999999</v>
      </c>
      <c r="BK51" s="4">
        <v>0.42499999999999999</v>
      </c>
      <c r="BL51" s="4">
        <v>0.13200000000000001</v>
      </c>
      <c r="BM51" s="4">
        <v>0.871</v>
      </c>
      <c r="BN51" s="4"/>
    </row>
    <row r="52" spans="1:66" x14ac:dyDescent="0.3">
      <c r="A52" t="s">
        <v>123</v>
      </c>
      <c r="B52" s="53">
        <f t="shared" si="4"/>
        <v>1.4999999999999999E-2</v>
      </c>
      <c r="C52" s="53">
        <f t="shared" si="5"/>
        <v>1.1495399999999999E-2</v>
      </c>
      <c r="D52" s="53">
        <f t="shared" si="6"/>
        <v>0</v>
      </c>
      <c r="E52" s="53">
        <f t="shared" si="7"/>
        <v>3.5046000000000001E-3</v>
      </c>
      <c r="F52" s="15">
        <v>1.978</v>
      </c>
      <c r="G52">
        <v>2.7170000000000001</v>
      </c>
      <c r="H52" t="s">
        <v>55</v>
      </c>
      <c r="I52" t="str">
        <f>VLOOKUP(A52,Planilha6!$BL$9:$BN$222,2,0)</f>
        <v>telecom</v>
      </c>
      <c r="J52" t="str">
        <f>VLOOKUP(A52,Planilha6!$BL$9:$BN$222,3,0)</f>
        <v>very_low_beta</v>
      </c>
      <c r="K52" s="17">
        <v>1.4999999999999999E-2</v>
      </c>
      <c r="L52" s="2">
        <v>1.2E-2</v>
      </c>
      <c r="M52" s="5">
        <v>1.6987297059333299</v>
      </c>
      <c r="N52" s="41">
        <f>VLOOKUP(A52,'Mandato LP'!$A$2:$B$215,2,0)</f>
        <v>9.7833752897460591E-3</v>
      </c>
      <c r="O52" s="59">
        <f t="shared" si="8"/>
        <v>5.2166247102539403E-3</v>
      </c>
      <c r="P52" s="42">
        <f t="shared" si="9"/>
        <v>5.2166247102539403E-3</v>
      </c>
      <c r="Q52" s="41">
        <f>VLOOKUP(A52,'Mandato LP'!$A$2:$C$215,3,0)</f>
        <v>8.8332078204465796E-3</v>
      </c>
      <c r="R52" s="42">
        <f t="shared" si="10"/>
        <v>6.1667921795534198E-3</v>
      </c>
      <c r="S52" s="15">
        <v>-6.4000000000000001E-2</v>
      </c>
      <c r="T52" s="15">
        <v>0.59</v>
      </c>
      <c r="U52" s="15">
        <v>-0.58899999999999997</v>
      </c>
      <c r="V52" s="15">
        <v>0.26500000000000001</v>
      </c>
      <c r="W52" s="15">
        <v>0.27300000000000002</v>
      </c>
      <c r="X52" s="15">
        <v>0.41</v>
      </c>
      <c r="Y52" s="15">
        <v>0.61</v>
      </c>
      <c r="Z52" s="15">
        <v>0.34</v>
      </c>
      <c r="AA52" s="15">
        <v>0.79600000000000004</v>
      </c>
      <c r="AB52" s="15">
        <v>0.80300000000000005</v>
      </c>
      <c r="AC52" s="15">
        <v>0.754</v>
      </c>
      <c r="AD52" s="15">
        <v>0.84699999999999998</v>
      </c>
      <c r="AE52" s="15">
        <v>0.76600000000000001</v>
      </c>
      <c r="AF52" s="14">
        <v>0.16200000000000001</v>
      </c>
      <c r="AG52" s="110">
        <v>-0.28599999999999998</v>
      </c>
      <c r="AH52" s="110">
        <v>0.48899999999999999</v>
      </c>
      <c r="AI52" s="110">
        <v>-1</v>
      </c>
      <c r="AJ52" s="110">
        <v>-0.54500000000000004</v>
      </c>
      <c r="AK52" s="16">
        <v>-0.72299999999999998</v>
      </c>
      <c r="AL52" s="111">
        <v>-0.24099999999999999</v>
      </c>
      <c r="AM52" s="111">
        <v>-0.41299999999999998</v>
      </c>
      <c r="AN52" s="4">
        <v>-0.54900000000000004</v>
      </c>
      <c r="AO52" s="4">
        <v>-0.79400000000000004</v>
      </c>
      <c r="AP52" s="4">
        <v>0.49399999999999999</v>
      </c>
      <c r="AQ52" s="4">
        <v>0.996</v>
      </c>
      <c r="AR52" s="4">
        <v>0.38900000000000001</v>
      </c>
      <c r="AS52" s="4">
        <v>0.12</v>
      </c>
      <c r="AT52" s="4">
        <v>0.35</v>
      </c>
      <c r="AU52" s="4">
        <v>0.248</v>
      </c>
      <c r="AV52" s="4">
        <v>6.7000000000000004E-2</v>
      </c>
      <c r="AW52" s="4">
        <v>0.748</v>
      </c>
      <c r="AX52" s="4">
        <v>0.86199999999999999</v>
      </c>
      <c r="AY52" s="4">
        <v>-0.16600000000000001</v>
      </c>
      <c r="AZ52" s="4">
        <v>0.79700000000000004</v>
      </c>
      <c r="BA52" s="4">
        <v>0.13</v>
      </c>
      <c r="BB52" s="4">
        <v>0.48</v>
      </c>
      <c r="BC52" s="4">
        <v>0.14199999999999999</v>
      </c>
      <c r="BD52" s="4">
        <v>-8.6999999999999994E-2</v>
      </c>
      <c r="BE52" s="4">
        <v>0.45300000000000001</v>
      </c>
      <c r="BF52" s="4">
        <v>0.29099999999999998</v>
      </c>
      <c r="BG52" s="4">
        <v>0.09</v>
      </c>
      <c r="BH52" s="4">
        <v>0.92</v>
      </c>
      <c r="BI52" s="4">
        <v>-0.69</v>
      </c>
      <c r="BJ52" s="4">
        <v>-0.33200000000000002</v>
      </c>
      <c r="BK52" s="4">
        <v>3.9E-2</v>
      </c>
      <c r="BL52" s="4">
        <v>-0.78100000000000003</v>
      </c>
      <c r="BM52" s="4">
        <v>0.113</v>
      </c>
      <c r="BN52" s="4"/>
    </row>
    <row r="53" spans="1:66" x14ac:dyDescent="0.3">
      <c r="A53" t="s">
        <v>84</v>
      </c>
      <c r="B53" s="53">
        <f t="shared" si="4"/>
        <v>0.01</v>
      </c>
      <c r="C53" s="53">
        <f t="shared" si="5"/>
        <v>0.01</v>
      </c>
      <c r="D53" s="53">
        <f t="shared" si="6"/>
        <v>0</v>
      </c>
      <c r="E53" s="53">
        <f t="shared" si="7"/>
        <v>0</v>
      </c>
      <c r="F53" s="15">
        <v>1.9630000000000001</v>
      </c>
      <c r="G53">
        <v>1.526</v>
      </c>
      <c r="H53" t="s">
        <v>57</v>
      </c>
      <c r="I53" t="str">
        <f>VLOOKUP(A53,Planilha6!$BL$9:$BN$222,2,0)</f>
        <v>banks</v>
      </c>
      <c r="J53" t="str">
        <f>VLOOKUP(A53,Planilha6!$BL$9:$BN$222,3,0)</f>
        <v>neutral_beta</v>
      </c>
      <c r="K53" s="17">
        <v>0.01</v>
      </c>
      <c r="L53" s="2">
        <v>0.01</v>
      </c>
      <c r="M53" s="5">
        <v>0.50115552491333304</v>
      </c>
      <c r="N53" s="41">
        <f>VLOOKUP(A53,'Mandato LP'!$A$2:$B$215,2,0)</f>
        <v>7.3994340663882004E-3</v>
      </c>
      <c r="O53" s="59">
        <f t="shared" si="8"/>
        <v>2.6005659336117998E-3</v>
      </c>
      <c r="P53" s="42">
        <f t="shared" si="9"/>
        <v>2.6005659336117998E-3</v>
      </c>
      <c r="Q53" s="41">
        <f>VLOOKUP(A53,'Mandato LP'!$A$2:$C$215,3,0)</f>
        <v>9.8665773843535608E-3</v>
      </c>
      <c r="R53" s="42">
        <f t="shared" si="10"/>
        <v>1.3342261564643944E-4</v>
      </c>
      <c r="S53" s="15">
        <v>0.19</v>
      </c>
      <c r="T53" s="15">
        <v>0.26800000000000002</v>
      </c>
      <c r="U53" s="15">
        <v>0.32600000000000001</v>
      </c>
      <c r="V53" s="15">
        <v>0.308</v>
      </c>
      <c r="W53" s="15">
        <v>0.47</v>
      </c>
      <c r="X53" s="15">
        <v>5.6000000000000001E-2</v>
      </c>
      <c r="Y53" s="15">
        <v>-3.3000000000000002E-2</v>
      </c>
      <c r="Z53" s="15">
        <v>0.159</v>
      </c>
      <c r="AA53" s="15">
        <v>0.71099999999999997</v>
      </c>
      <c r="AB53" s="15">
        <v>0.71</v>
      </c>
      <c r="AC53" s="15">
        <v>0.86799999999999999</v>
      </c>
      <c r="AD53" s="15">
        <v>0.86799999999999999</v>
      </c>
      <c r="AE53" s="15">
        <v>0.87</v>
      </c>
      <c r="AF53" s="14">
        <v>-0.18099999999999999</v>
      </c>
      <c r="AG53" s="110">
        <v>0.43099999999999999</v>
      </c>
      <c r="AH53" s="110">
        <v>0.44600000000000001</v>
      </c>
      <c r="AI53" s="110">
        <v>-0.42599999999999999</v>
      </c>
      <c r="AJ53" s="110">
        <v>0.67900000000000005</v>
      </c>
      <c r="AK53" s="16">
        <v>0.79300000000000004</v>
      </c>
      <c r="AL53" s="111">
        <v>-4.9000000000000002E-2</v>
      </c>
      <c r="AM53" s="111">
        <v>-0.159</v>
      </c>
      <c r="AN53" s="4">
        <v>-0.40300000000000002</v>
      </c>
      <c r="AO53" s="4">
        <v>-9.7000000000000003E-2</v>
      </c>
      <c r="AP53" s="4">
        <v>0.73599999999999999</v>
      </c>
      <c r="AQ53" s="4">
        <v>-0.17100000000000001</v>
      </c>
      <c r="AR53" s="4">
        <v>0.86799999999999999</v>
      </c>
      <c r="AS53" s="4">
        <v>-4.3999999999999997E-2</v>
      </c>
      <c r="AT53" s="4">
        <v>-0.317</v>
      </c>
      <c r="AU53" s="4">
        <v>0.23599999999999999</v>
      </c>
      <c r="AV53" s="4">
        <v>-0.21</v>
      </c>
      <c r="AW53" s="4">
        <v>0.23699999999999999</v>
      </c>
      <c r="AX53" s="4">
        <v>0.4</v>
      </c>
      <c r="AY53" s="4">
        <v>-0.16600000000000001</v>
      </c>
      <c r="AZ53" s="4">
        <v>-0.13500000000000001</v>
      </c>
      <c r="BA53" s="4">
        <v>0.45800000000000002</v>
      </c>
      <c r="BB53" s="4">
        <v>0.48</v>
      </c>
      <c r="BC53" s="4">
        <v>-0.189</v>
      </c>
      <c r="BD53" s="4">
        <v>-0.113</v>
      </c>
      <c r="BE53" s="4">
        <v>-0.46100000000000002</v>
      </c>
      <c r="BF53" s="4">
        <v>-1</v>
      </c>
      <c r="BG53" s="4">
        <v>-0.72799999999999998</v>
      </c>
      <c r="BH53" s="4">
        <v>0.214</v>
      </c>
      <c r="BI53" s="4">
        <v>-1</v>
      </c>
      <c r="BJ53" s="4">
        <v>-0.01</v>
      </c>
      <c r="BK53" s="4">
        <v>0.53300000000000003</v>
      </c>
      <c r="BL53" s="4">
        <v>0.65600000000000003</v>
      </c>
      <c r="BM53" s="4">
        <v>0.32300000000000001</v>
      </c>
      <c r="BN53" s="4"/>
    </row>
    <row r="54" spans="1:66" x14ac:dyDescent="0.3">
      <c r="A54" t="s">
        <v>92</v>
      </c>
      <c r="B54" s="53">
        <f t="shared" si="4"/>
        <v>0.01</v>
      </c>
      <c r="C54" s="53">
        <f t="shared" si="5"/>
        <v>0.01</v>
      </c>
      <c r="D54" s="53">
        <f t="shared" si="6"/>
        <v>0</v>
      </c>
      <c r="E54" s="53">
        <f t="shared" si="7"/>
        <v>0</v>
      </c>
      <c r="F54" s="15">
        <v>1.913</v>
      </c>
      <c r="G54">
        <v>1.87</v>
      </c>
      <c r="H54" t="s">
        <v>57</v>
      </c>
      <c r="I54" t="str">
        <f>VLOOKUP(A54,Planilha6!$BL$9:$BN$222,2,0)</f>
        <v>tech</v>
      </c>
      <c r="J54" t="str">
        <f>VLOOKUP(A54,Planilha6!$BL$9:$BN$222,3,0)</f>
        <v>high_beta</v>
      </c>
      <c r="K54" s="17">
        <v>0.01</v>
      </c>
      <c r="L54" s="2">
        <v>0.01</v>
      </c>
      <c r="M54" s="5">
        <v>1.26880815666667</v>
      </c>
      <c r="N54" s="41">
        <f>VLOOKUP(A54,'Mandato LP'!$A$2:$B$215,2,0)</f>
        <v>7.21221068869193E-3</v>
      </c>
      <c r="O54" s="59">
        <f t="shared" si="8"/>
        <v>2.7877893113080702E-3</v>
      </c>
      <c r="P54" s="42">
        <f t="shared" si="9"/>
        <v>2.7877893113080702E-3</v>
      </c>
      <c r="Q54" s="41">
        <f>VLOOKUP(A54,'Mandato LP'!$A$2:$C$215,3,0)</f>
        <v>8.19071113710685E-3</v>
      </c>
      <c r="R54" s="42">
        <f t="shared" si="10"/>
        <v>1.8092888628931502E-3</v>
      </c>
      <c r="S54" s="15">
        <v>0.43</v>
      </c>
      <c r="T54" s="15">
        <v>0.13800000000000001</v>
      </c>
      <c r="U54" s="15">
        <v>0.57399999999999995</v>
      </c>
      <c r="V54" s="15">
        <v>0.186</v>
      </c>
      <c r="W54" s="15">
        <v>0.33900000000000002</v>
      </c>
      <c r="X54" s="15">
        <v>0.20899999999999999</v>
      </c>
      <c r="Y54" s="15">
        <v>7.1999999999999995E-2</v>
      </c>
      <c r="Z54" s="15">
        <v>8.7999999999999995E-2</v>
      </c>
      <c r="AA54" s="15">
        <v>0.27300000000000002</v>
      </c>
      <c r="AB54" s="15">
        <v>0.27400000000000002</v>
      </c>
      <c r="AC54" s="15">
        <v>0.72199999999999998</v>
      </c>
      <c r="AD54" s="15">
        <v>0.93400000000000005</v>
      </c>
      <c r="AE54" s="15">
        <v>0.78800000000000003</v>
      </c>
      <c r="AF54" s="14">
        <v>0.29799999999999999</v>
      </c>
      <c r="AG54" s="110">
        <v>-0.21199999999999999</v>
      </c>
      <c r="AH54" s="110">
        <v>-0.185</v>
      </c>
      <c r="AI54" s="110">
        <v>-0.252</v>
      </c>
      <c r="AJ54" s="110">
        <v>0.92800000000000005</v>
      </c>
      <c r="AK54" s="16">
        <v>0.87</v>
      </c>
      <c r="AL54" s="111">
        <v>-0.28599999999999998</v>
      </c>
      <c r="AM54" s="111">
        <v>-0.06</v>
      </c>
      <c r="AN54" s="4">
        <v>-0.86</v>
      </c>
      <c r="AO54" s="4">
        <v>7.0999999999999994E-2</v>
      </c>
      <c r="AP54" s="4">
        <v>0.20699999999999999</v>
      </c>
      <c r="AQ54" s="4">
        <v>0.53500000000000003</v>
      </c>
      <c r="AR54" s="4">
        <v>0.28399999999999997</v>
      </c>
      <c r="AS54" s="4">
        <v>0.221</v>
      </c>
      <c r="AT54" s="4">
        <v>0.38600000000000001</v>
      </c>
      <c r="AU54" s="4">
        <v>0.51700000000000002</v>
      </c>
      <c r="AV54" s="4">
        <v>-0.27600000000000002</v>
      </c>
      <c r="AW54" s="4">
        <v>0.47899999999999998</v>
      </c>
      <c r="AX54" s="4">
        <v>0.23499999999999999</v>
      </c>
      <c r="AY54" s="4">
        <v>0.751</v>
      </c>
      <c r="AZ54" s="4">
        <v>0.96199999999999997</v>
      </c>
      <c r="BA54" s="4">
        <v>0.23300000000000001</v>
      </c>
      <c r="BB54" s="4">
        <v>0.86099999999999999</v>
      </c>
      <c r="BC54" s="4">
        <v>8.4000000000000005E-2</v>
      </c>
      <c r="BD54" s="4">
        <v>-4.8000000000000001E-2</v>
      </c>
      <c r="BE54" s="4">
        <v>-0.63800000000000001</v>
      </c>
      <c r="BF54" s="4">
        <v>-0.72599999999999998</v>
      </c>
      <c r="BG54" s="4">
        <v>-0.67500000000000004</v>
      </c>
      <c r="BH54" s="4">
        <v>0.32700000000000001</v>
      </c>
      <c r="BI54" s="4">
        <v>-0.59099999999999997</v>
      </c>
      <c r="BJ54" s="4">
        <v>9.8000000000000004E-2</v>
      </c>
      <c r="BK54" s="4">
        <v>0.316</v>
      </c>
      <c r="BL54" s="4">
        <v>0.191</v>
      </c>
      <c r="BM54" s="4">
        <v>0.63700000000000001</v>
      </c>
      <c r="BN54" s="4"/>
    </row>
    <row r="55" spans="1:66" x14ac:dyDescent="0.3">
      <c r="A55" t="s">
        <v>106</v>
      </c>
      <c r="B55" s="53">
        <f t="shared" si="4"/>
        <v>1.0999999999999999E-2</v>
      </c>
      <c r="C55" s="53">
        <f t="shared" si="5"/>
        <v>1.0999999999999999E-2</v>
      </c>
      <c r="D55" s="53">
        <f t="shared" si="6"/>
        <v>0</v>
      </c>
      <c r="E55" s="53">
        <f t="shared" si="7"/>
        <v>0</v>
      </c>
      <c r="F55" s="15">
        <v>1.847</v>
      </c>
      <c r="G55">
        <v>1.5680000000000001</v>
      </c>
      <c r="H55" t="s">
        <v>57</v>
      </c>
      <c r="I55" t="str">
        <f>VLOOKUP(A55,Planilha6!$BL$9:$BN$222,2,0)</f>
        <v>tech</v>
      </c>
      <c r="J55" t="str">
        <f>VLOOKUP(A55,Planilha6!$BL$9:$BN$222,3,0)</f>
        <v>low_beta</v>
      </c>
      <c r="K55" s="17">
        <v>1.0999999999999999E-2</v>
      </c>
      <c r="L55" s="2">
        <v>1.0999999999999999E-2</v>
      </c>
      <c r="M55" s="5">
        <v>0.46190283746999999</v>
      </c>
      <c r="N55" s="41">
        <f>VLOOKUP(A55,'Mandato LP'!$A$2:$B$215,2,0)</f>
        <v>6.96480601322573E-3</v>
      </c>
      <c r="O55" s="59">
        <f t="shared" si="8"/>
        <v>4.0351939867742694E-3</v>
      </c>
      <c r="P55" s="42">
        <f t="shared" si="9"/>
        <v>4.0351939867742694E-3</v>
      </c>
      <c r="Q55" s="41">
        <f>VLOOKUP(A55,'Mandato LP'!$A$2:$C$215,3,0)</f>
        <v>0</v>
      </c>
      <c r="R55" s="42">
        <f t="shared" si="10"/>
        <v>1.0999999999999999E-2</v>
      </c>
      <c r="S55" s="15">
        <v>0.32100000000000001</v>
      </c>
      <c r="T55" s="15">
        <v>0</v>
      </c>
      <c r="U55" s="15">
        <v>0.34300000000000003</v>
      </c>
      <c r="V55" s="15">
        <v>4.8000000000000001E-2</v>
      </c>
      <c r="W55" s="15">
        <v>9.7000000000000003E-2</v>
      </c>
      <c r="X55" s="15">
        <v>-8.0000000000000002E-3</v>
      </c>
      <c r="Y55" s="15">
        <v>-0.16800000000000001</v>
      </c>
      <c r="Z55" s="15">
        <v>-0.125</v>
      </c>
      <c r="AA55" s="15">
        <v>0.92500000000000004</v>
      </c>
      <c r="AB55" s="15">
        <v>0.92400000000000004</v>
      </c>
      <c r="AC55" s="15">
        <v>0.94299999999999995</v>
      </c>
      <c r="AD55" s="15">
        <v>1</v>
      </c>
      <c r="AE55" s="15">
        <v>0.93200000000000005</v>
      </c>
      <c r="AF55" s="14">
        <v>-0.13900000000000001</v>
      </c>
      <c r="AG55" s="110">
        <v>0.19</v>
      </c>
      <c r="AH55" s="110">
        <v>0.80300000000000005</v>
      </c>
      <c r="AI55" s="110">
        <v>1</v>
      </c>
      <c r="AJ55" s="110">
        <v>0.998</v>
      </c>
      <c r="AK55" s="16">
        <v>-0.46899999999999997</v>
      </c>
      <c r="AL55" s="111">
        <v>0.44900000000000001</v>
      </c>
      <c r="AM55" s="111">
        <v>0.191</v>
      </c>
      <c r="AN55" s="4">
        <v>0.68200000000000005</v>
      </c>
      <c r="AO55" s="4">
        <v>6.6000000000000003E-2</v>
      </c>
      <c r="AP55" s="4">
        <v>-3.9E-2</v>
      </c>
      <c r="AQ55" s="4">
        <v>0.40300000000000002</v>
      </c>
      <c r="AR55" s="4">
        <v>-0.502</v>
      </c>
      <c r="AS55" s="4">
        <v>0.32600000000000001</v>
      </c>
      <c r="AT55" s="4">
        <v>0.13600000000000001</v>
      </c>
      <c r="AU55" s="4">
        <v>0.1</v>
      </c>
      <c r="AV55" s="4">
        <v>-0.434</v>
      </c>
      <c r="AW55" s="4">
        <v>-0.28999999999999998</v>
      </c>
      <c r="AX55" s="4">
        <v>-0.111</v>
      </c>
      <c r="AY55" s="4">
        <v>-0.13900000000000001</v>
      </c>
      <c r="AZ55" s="4">
        <v>0.69399999999999995</v>
      </c>
      <c r="BA55" s="4">
        <v>-0.36899999999999999</v>
      </c>
      <c r="BB55" s="4">
        <v>-0.55500000000000005</v>
      </c>
      <c r="BC55" s="4">
        <v>0.21099999999999999</v>
      </c>
      <c r="BD55" s="4">
        <v>0.223</v>
      </c>
      <c r="BE55" s="4">
        <v>0.23899999999999999</v>
      </c>
      <c r="BF55" s="4">
        <v>0.44400000000000001</v>
      </c>
      <c r="BG55" s="4">
        <v>0.314</v>
      </c>
      <c r="BH55" s="4">
        <v>0.59199999999999997</v>
      </c>
      <c r="BI55" s="4">
        <v>0.13500000000000001</v>
      </c>
      <c r="BJ55" s="4">
        <v>-0.17399999999999999</v>
      </c>
      <c r="BK55" s="4">
        <v>0.21</v>
      </c>
      <c r="BL55" s="4">
        <v>0.78</v>
      </c>
      <c r="BM55" s="4">
        <v>3.7999999999999999E-2</v>
      </c>
      <c r="BN55" s="4"/>
    </row>
    <row r="56" spans="1:66" x14ac:dyDescent="0.3">
      <c r="A56" t="s">
        <v>121</v>
      </c>
      <c r="B56" s="53">
        <f t="shared" si="4"/>
        <v>2.5999999999999999E-2</v>
      </c>
      <c r="C56" s="53">
        <f t="shared" si="5"/>
        <v>-6.0139500000000005E-3</v>
      </c>
      <c r="D56" s="53">
        <f t="shared" si="6"/>
        <v>0</v>
      </c>
      <c r="E56" s="53">
        <f t="shared" si="7"/>
        <v>3.2013949999999999E-2</v>
      </c>
      <c r="F56" s="15">
        <v>1.845</v>
      </c>
      <c r="G56">
        <v>4.0519999999999996</v>
      </c>
      <c r="H56" t="s">
        <v>57</v>
      </c>
      <c r="I56" t="str">
        <f>VLOOKUP(A56,Planilha6!$BL$9:$BN$222,2,0)</f>
        <v>banks</v>
      </c>
      <c r="J56" t="str">
        <f>VLOOKUP(A56,Planilha6!$BL$9:$BN$222,3,0)</f>
        <v>neutral_beta</v>
      </c>
      <c r="K56" s="17">
        <v>2.5999999999999999E-2</v>
      </c>
      <c r="L56" s="2">
        <v>-6.0000000000000001E-3</v>
      </c>
      <c r="M56" s="5">
        <v>0.99916353841233296</v>
      </c>
      <c r="N56" s="41">
        <f>VLOOKUP(A56,'Mandato LP'!$A$2:$B$215,2,0)</f>
        <v>3.8673253253293301E-2</v>
      </c>
      <c r="O56" s="59">
        <f t="shared" si="8"/>
        <v>-1.2673253253293302E-2</v>
      </c>
      <c r="P56" s="42">
        <f t="shared" si="9"/>
        <v>-1.2673253253293302E-2</v>
      </c>
      <c r="Q56" s="41">
        <f>VLOOKUP(A56,'Mandato LP'!$A$2:$C$215,3,0)</f>
        <v>3.7223191116048202E-2</v>
      </c>
      <c r="R56" s="42">
        <f t="shared" si="10"/>
        <v>-1.1223191116048203E-2</v>
      </c>
      <c r="S56" s="15">
        <v>-0.153</v>
      </c>
      <c r="T56" s="15">
        <v>0.496</v>
      </c>
      <c r="U56" s="15">
        <v>-0.69499999999999995</v>
      </c>
      <c r="V56" s="15">
        <v>0.13100000000000001</v>
      </c>
      <c r="W56" s="15">
        <v>0.16900000000000001</v>
      </c>
      <c r="X56" s="15">
        <v>0.23400000000000001</v>
      </c>
      <c r="Y56" s="15">
        <v>0.43</v>
      </c>
      <c r="Z56" s="15">
        <v>0.49099999999999999</v>
      </c>
      <c r="AA56" s="15">
        <v>0.58799999999999997</v>
      </c>
      <c r="AB56" s="15">
        <v>0.59599999999999997</v>
      </c>
      <c r="AC56" s="15">
        <v>0.72399999999999998</v>
      </c>
      <c r="AD56" s="15">
        <v>0.83899999999999997</v>
      </c>
      <c r="AE56" s="15">
        <v>0.76</v>
      </c>
      <c r="AF56" s="14">
        <v>7.0000000000000007E-2</v>
      </c>
      <c r="AG56" s="110">
        <v>-0.3</v>
      </c>
      <c r="AH56" s="110">
        <v>0.53400000000000003</v>
      </c>
      <c r="AI56" s="110">
        <v>-0.96699999999999997</v>
      </c>
      <c r="AJ56" s="110">
        <v>-0.64500000000000002</v>
      </c>
      <c r="AK56" s="16">
        <v>-0.86</v>
      </c>
      <c r="AL56" s="111">
        <v>-0.14899999999999999</v>
      </c>
      <c r="AM56" s="111">
        <v>0.17699999999999999</v>
      </c>
      <c r="AN56" s="4">
        <v>-0.66500000000000004</v>
      </c>
      <c r="AO56" s="4">
        <v>-0.40600000000000003</v>
      </c>
      <c r="AP56" s="4">
        <v>0.61799999999999999</v>
      </c>
      <c r="AQ56" s="4">
        <v>0.68899999999999995</v>
      </c>
      <c r="AR56" s="4">
        <v>-0.01</v>
      </c>
      <c r="AS56" s="4">
        <v>0.17100000000000001</v>
      </c>
      <c r="AT56" s="4">
        <v>0.41</v>
      </c>
      <c r="AU56" s="4">
        <v>5.8000000000000003E-2</v>
      </c>
      <c r="AV56" s="4">
        <v>5.0999999999999997E-2</v>
      </c>
      <c r="AW56" s="4">
        <v>0.27300000000000002</v>
      </c>
      <c r="AX56" s="4">
        <v>0.44</v>
      </c>
      <c r="AY56" s="4">
        <v>-0.45100000000000001</v>
      </c>
      <c r="AZ56" s="4">
        <v>0.93600000000000005</v>
      </c>
      <c r="BA56" s="4">
        <v>0.29199999999999998</v>
      </c>
      <c r="BB56" s="4">
        <v>0.47399999999999998</v>
      </c>
      <c r="BC56" s="4">
        <v>-2.3E-2</v>
      </c>
      <c r="BD56" s="4">
        <v>0.32100000000000001</v>
      </c>
      <c r="BE56" s="4">
        <v>0.53200000000000003</v>
      </c>
      <c r="BF56" s="4">
        <v>-0.28499999999999998</v>
      </c>
      <c r="BG56" s="4">
        <v>-0.42799999999999999</v>
      </c>
      <c r="BH56" s="4">
        <v>0.76300000000000001</v>
      </c>
      <c r="BI56" s="4">
        <v>-0.69299999999999995</v>
      </c>
      <c r="BJ56" s="4">
        <v>3.9E-2</v>
      </c>
      <c r="BK56" s="4">
        <v>-0.2</v>
      </c>
      <c r="BL56" s="4">
        <v>-0.68899999999999995</v>
      </c>
      <c r="BM56" s="4">
        <v>0.16400000000000001</v>
      </c>
      <c r="BN56" s="4"/>
    </row>
    <row r="57" spans="1:66" x14ac:dyDescent="0.3">
      <c r="A57" t="s">
        <v>83</v>
      </c>
      <c r="B57" s="53">
        <f t="shared" si="4"/>
        <v>1.7000000000000001E-2</v>
      </c>
      <c r="C57" s="53">
        <f t="shared" si="5"/>
        <v>9.2166200000000018E-3</v>
      </c>
      <c r="D57" s="53">
        <f t="shared" si="6"/>
        <v>0</v>
      </c>
      <c r="E57" s="53">
        <f t="shared" si="7"/>
        <v>7.7833800000000003E-3</v>
      </c>
      <c r="F57" s="15">
        <v>1.8420000000000001</v>
      </c>
      <c r="G57">
        <v>3.0219999999999998</v>
      </c>
      <c r="H57" t="s">
        <v>53</v>
      </c>
      <c r="I57" t="str">
        <f>VLOOKUP(A57,Planilha6!$BL$9:$BN$222,2,0)</f>
        <v>consumer_staples</v>
      </c>
      <c r="J57" t="str">
        <f>VLOOKUP(A57,Planilha6!$BL$9:$BN$222,3,0)</f>
        <v>very_low_beta</v>
      </c>
      <c r="K57" s="17">
        <v>1.7000000000000001E-2</v>
      </c>
      <c r="L57" s="2">
        <v>8.9999999999999993E-3</v>
      </c>
      <c r="M57" s="5">
        <v>0.83730000000000004</v>
      </c>
      <c r="N57" s="41">
        <f>VLOOKUP(A57,'Mandato LP'!$A$2:$B$215,2,0)</f>
        <v>1.4011711379811199E-2</v>
      </c>
      <c r="O57" s="59">
        <f t="shared" si="8"/>
        <v>2.9882886201888018E-3</v>
      </c>
      <c r="P57" s="42">
        <f t="shared" si="9"/>
        <v>2.9882886201888018E-3</v>
      </c>
      <c r="Q57" s="41">
        <f>VLOOKUP(A57,'Mandato LP'!$A$2:$C$215,3,0)</f>
        <v>1.2187081989893499E-2</v>
      </c>
      <c r="R57" s="42">
        <f t="shared" si="10"/>
        <v>4.8129180101065018E-3</v>
      </c>
      <c r="S57" s="15">
        <v>-0.22800000000000001</v>
      </c>
      <c r="T57" s="15">
        <v>0.50800000000000001</v>
      </c>
      <c r="U57" s="15">
        <v>-0.76900000000000002</v>
      </c>
      <c r="V57" s="15">
        <v>0.14699999999999999</v>
      </c>
      <c r="W57" s="15">
        <v>0.13600000000000001</v>
      </c>
      <c r="X57" s="15">
        <v>0.34100000000000003</v>
      </c>
      <c r="Y57" s="15">
        <v>0.80200000000000005</v>
      </c>
      <c r="Z57" s="15">
        <v>0.47899999999999998</v>
      </c>
      <c r="AA57" s="15">
        <v>0.70699999999999996</v>
      </c>
      <c r="AB57" s="15">
        <v>0.71599999999999997</v>
      </c>
      <c r="AC57" s="15">
        <v>0.73099999999999998</v>
      </c>
      <c r="AD57" s="15">
        <v>0.78</v>
      </c>
      <c r="AE57" s="15">
        <v>0.621</v>
      </c>
      <c r="AF57" s="14">
        <v>0.34200000000000003</v>
      </c>
      <c r="AG57" s="110">
        <v>-0.53300000000000003</v>
      </c>
      <c r="AH57" s="110">
        <v>0.185</v>
      </c>
      <c r="AI57" s="110">
        <v>-0.999</v>
      </c>
      <c r="AJ57" s="110">
        <v>-0.78700000000000003</v>
      </c>
      <c r="AK57" s="16">
        <v>-0.58399999999999996</v>
      </c>
      <c r="AL57" s="111">
        <v>-0.30199999999999999</v>
      </c>
      <c r="AM57" s="111">
        <v>-0.121</v>
      </c>
      <c r="AN57" s="4">
        <v>-0.91200000000000003</v>
      </c>
      <c r="AO57" s="4">
        <v>-8.3000000000000004E-2</v>
      </c>
      <c r="AP57" s="4">
        <v>0.63</v>
      </c>
      <c r="AQ57" s="4">
        <v>0.40400000000000003</v>
      </c>
      <c r="AR57" s="4">
        <v>0.20899999999999999</v>
      </c>
      <c r="AS57" s="4">
        <v>0.09</v>
      </c>
      <c r="AT57" s="4">
        <v>-0.41799999999999998</v>
      </c>
      <c r="AU57" s="4">
        <v>0.498</v>
      </c>
      <c r="AV57" s="4">
        <v>0.374</v>
      </c>
      <c r="AW57" s="4">
        <v>0.69299999999999995</v>
      </c>
      <c r="AX57" s="4">
        <v>0.81799999999999995</v>
      </c>
      <c r="AY57" s="4">
        <v>0.48199999999999998</v>
      </c>
      <c r="AZ57" s="4">
        <v>0.74399999999999999</v>
      </c>
      <c r="BA57" s="4">
        <v>-0.19500000000000001</v>
      </c>
      <c r="BB57" s="4">
        <v>-0.19600000000000001</v>
      </c>
      <c r="BC57" s="4">
        <v>0.26300000000000001</v>
      </c>
      <c r="BD57" s="4">
        <v>-7.0000000000000001E-3</v>
      </c>
      <c r="BE57" s="4">
        <v>0.32300000000000001</v>
      </c>
      <c r="BF57" s="4">
        <v>0.16300000000000001</v>
      </c>
      <c r="BG57" s="4">
        <v>8.9999999999999993E-3</v>
      </c>
      <c r="BH57" s="4">
        <v>1</v>
      </c>
      <c r="BI57" s="4">
        <v>-0.30099999999999999</v>
      </c>
      <c r="BJ57" s="4">
        <v>-0.36199999999999999</v>
      </c>
      <c r="BK57" s="4">
        <v>-0.15</v>
      </c>
      <c r="BL57" s="4">
        <v>-1</v>
      </c>
      <c r="BM57" s="4">
        <v>0.375</v>
      </c>
      <c r="BN57" s="4"/>
    </row>
    <row r="58" spans="1:66" x14ac:dyDescent="0.3">
      <c r="A58" t="s">
        <v>237</v>
      </c>
      <c r="B58" s="53">
        <f t="shared" si="4"/>
        <v>4.0000000000000001E-3</v>
      </c>
      <c r="C58" s="53">
        <f t="shared" si="5"/>
        <v>4.0000000000000001E-3</v>
      </c>
      <c r="D58" s="53">
        <f t="shared" si="6"/>
        <v>0</v>
      </c>
      <c r="E58" s="53">
        <f t="shared" si="7"/>
        <v>0</v>
      </c>
      <c r="F58" s="15">
        <v>1.84</v>
      </c>
      <c r="G58">
        <v>1.2969999999999999</v>
      </c>
      <c r="H58" t="s">
        <v>53</v>
      </c>
      <c r="I58" t="str">
        <f>VLOOKUP(A58,Planilha6!$BL$9:$BN$222,2,0)</f>
        <v>healthcare</v>
      </c>
      <c r="J58" t="str">
        <f>VLOOKUP(A58,Planilha6!$BL$9:$BN$222,3,0)</f>
        <v>high_beta</v>
      </c>
      <c r="K58" s="17">
        <v>4.0000000000000001E-3</v>
      </c>
      <c r="L58" s="2">
        <v>4.0000000000000001E-3</v>
      </c>
      <c r="M58" s="5">
        <v>4.5507478033333298E-2</v>
      </c>
      <c r="N58" s="41">
        <f>VLOOKUP(A58,'Mandato LP'!$A$2:$B$215,2,0)</f>
        <v>6.9384458755534202E-3</v>
      </c>
      <c r="O58" s="59">
        <f t="shared" si="8"/>
        <v>-2.9384458755534202E-3</v>
      </c>
      <c r="P58" s="42">
        <f t="shared" si="9"/>
        <v>-2.9384458755534202E-3</v>
      </c>
      <c r="Q58" s="41">
        <f>VLOOKUP(A58,'Mandato LP'!$A$2:$C$215,3,0)</f>
        <v>0</v>
      </c>
      <c r="R58" s="42">
        <f t="shared" si="10"/>
        <v>4.0000000000000001E-3</v>
      </c>
      <c r="S58" s="15">
        <v>0.96</v>
      </c>
      <c r="T58" s="15">
        <v>4.9000000000000002E-2</v>
      </c>
      <c r="U58" s="15">
        <v>0.85899999999999999</v>
      </c>
      <c r="V58" s="15">
        <v>0.61499999999999999</v>
      </c>
      <c r="W58" s="15">
        <v>0.39100000000000001</v>
      </c>
      <c r="X58" s="15">
        <v>0.05</v>
      </c>
      <c r="Y58" s="15">
        <v>-0.40400000000000003</v>
      </c>
      <c r="Z58" s="15">
        <v>-0.60899999999999999</v>
      </c>
      <c r="AA58" s="15">
        <v>0.46800000000000003</v>
      </c>
      <c r="AB58" s="15">
        <v>0.47099999999999997</v>
      </c>
      <c r="AC58" s="15">
        <v>0.32100000000000001</v>
      </c>
      <c r="AD58" s="15">
        <v>0.879</v>
      </c>
      <c r="AE58" s="15">
        <v>0.995</v>
      </c>
      <c r="AF58" s="14">
        <v>1</v>
      </c>
      <c r="AG58" s="110">
        <v>0.67600000000000005</v>
      </c>
      <c r="AH58" s="110">
        <v>1</v>
      </c>
      <c r="AI58" s="110">
        <v>1</v>
      </c>
      <c r="AJ58" s="110">
        <v>1</v>
      </c>
      <c r="AK58" s="16">
        <v>-0.53800000000000003</v>
      </c>
      <c r="AL58" s="111">
        <v>0.86</v>
      </c>
      <c r="AM58" s="111">
        <v>-0.878</v>
      </c>
      <c r="AN58" s="4">
        <v>0.79600000000000004</v>
      </c>
      <c r="AO58" s="4">
        <v>0.23100000000000001</v>
      </c>
      <c r="AP58" s="4">
        <v>0.42699999999999999</v>
      </c>
      <c r="AQ58" s="4">
        <v>0.224</v>
      </c>
      <c r="AR58" s="4">
        <v>-0.58799999999999997</v>
      </c>
      <c r="AS58" s="4">
        <v>1</v>
      </c>
      <c r="AT58" s="4">
        <v>0.44500000000000001</v>
      </c>
      <c r="AU58" s="4">
        <v>0.184</v>
      </c>
      <c r="AV58" s="4">
        <v>-0.46600000000000003</v>
      </c>
      <c r="AW58" s="4">
        <v>7.4999999999999997E-2</v>
      </c>
      <c r="AX58" s="4">
        <v>-0.54600000000000004</v>
      </c>
      <c r="AY58" s="4">
        <v>-0.57899999999999996</v>
      </c>
      <c r="AZ58" s="4">
        <v>8.3000000000000004E-2</v>
      </c>
      <c r="BA58" s="4">
        <v>-0.70699999999999996</v>
      </c>
      <c r="BB58" s="4">
        <v>0.94199999999999995</v>
      </c>
      <c r="BC58" s="4">
        <v>0.25600000000000001</v>
      </c>
      <c r="BD58" s="4">
        <v>-0.23799999999999999</v>
      </c>
      <c r="BE58" s="4">
        <v>0.36099999999999999</v>
      </c>
      <c r="BF58" s="4">
        <v>-0.47</v>
      </c>
      <c r="BG58" s="4">
        <v>0.74099999999999999</v>
      </c>
      <c r="BH58" s="4">
        <v>0.06</v>
      </c>
      <c r="BI58" s="4">
        <v>1</v>
      </c>
      <c r="BJ58" s="4">
        <v>0.16400000000000001</v>
      </c>
      <c r="BK58" s="4">
        <v>0.60599999999999998</v>
      </c>
      <c r="BL58" s="4">
        <v>0.96599999999999997</v>
      </c>
      <c r="BM58" s="4">
        <v>-0.246</v>
      </c>
      <c r="BN58" s="4"/>
    </row>
    <row r="59" spans="1:66" x14ac:dyDescent="0.3">
      <c r="A59" t="s">
        <v>70</v>
      </c>
      <c r="B59" s="53">
        <v>0</v>
      </c>
      <c r="C59" s="53">
        <f t="shared" si="5"/>
        <v>0</v>
      </c>
      <c r="D59" s="53">
        <f t="shared" si="6"/>
        <v>-2.5999999999999999E-2</v>
      </c>
      <c r="E59" s="53">
        <f t="shared" si="7"/>
        <v>0</v>
      </c>
      <c r="F59" s="15">
        <v>1.794</v>
      </c>
      <c r="G59">
        <v>2.2650000000000001</v>
      </c>
      <c r="H59" t="s">
        <v>71</v>
      </c>
      <c r="I59" t="str">
        <f>VLOOKUP(A59,Planilha6!$BL$9:$BN$222,2,0)</f>
        <v>basic_materials</v>
      </c>
      <c r="J59" t="str">
        <f>VLOOKUP(A59,Planilha6!$BL$9:$BN$222,3,0)</f>
        <v>low_beta</v>
      </c>
      <c r="K59" s="17">
        <v>2.5999999999999999E-2</v>
      </c>
      <c r="L59" s="2">
        <v>2.5999999999999999E-2</v>
      </c>
      <c r="M59" s="5">
        <v>2.6030762376666701</v>
      </c>
      <c r="N59" s="41">
        <f>VLOOKUP(A59,'Mandato LP'!$A$2:$B$215,2,0)</f>
        <v>6.7638392995246497E-3</v>
      </c>
      <c r="O59" s="59">
        <f t="shared" si="8"/>
        <v>1.923616070047535E-2</v>
      </c>
      <c r="P59" s="42">
        <f t="shared" si="9"/>
        <v>-6.7638392995246497E-3</v>
      </c>
      <c r="Q59" s="41">
        <f>VLOOKUP(A59,'Mandato LP'!$A$2:$C$215,3,0)</f>
        <v>0</v>
      </c>
      <c r="R59" s="42">
        <f t="shared" si="10"/>
        <v>2.5999999999999999E-2</v>
      </c>
      <c r="S59" s="15">
        <v>-0.40200000000000002</v>
      </c>
      <c r="T59" s="15">
        <v>0.16500000000000001</v>
      </c>
      <c r="U59" s="15">
        <v>-0.57899999999999996</v>
      </c>
      <c r="V59" s="15">
        <v>-0.34799999999999998</v>
      </c>
      <c r="W59" s="15">
        <v>-0.11600000000000001</v>
      </c>
      <c r="X59" s="15">
        <v>0.28299999999999997</v>
      </c>
      <c r="Y59" s="15">
        <v>0.61099999999999999</v>
      </c>
      <c r="Z59" s="15">
        <v>0.66300000000000003</v>
      </c>
      <c r="AA59" s="15">
        <v>0.77300000000000002</v>
      </c>
      <c r="AB59" s="15">
        <v>0.77400000000000002</v>
      </c>
      <c r="AC59" s="15">
        <v>0.626</v>
      </c>
      <c r="AD59" s="15">
        <v>0.65700000000000003</v>
      </c>
      <c r="AE59" s="15">
        <v>0.81</v>
      </c>
      <c r="AF59" s="14">
        <v>-0.223</v>
      </c>
      <c r="AG59" s="110">
        <v>-0.92</v>
      </c>
      <c r="AH59" s="110">
        <v>0.36</v>
      </c>
      <c r="AI59" s="110">
        <v>-0.55300000000000005</v>
      </c>
      <c r="AJ59" s="110">
        <v>8.5000000000000006E-2</v>
      </c>
      <c r="AK59" s="16">
        <v>-0.51800000000000002</v>
      </c>
      <c r="AL59" s="111">
        <v>-0.34</v>
      </c>
      <c r="AM59" s="111">
        <v>0.89900000000000002</v>
      </c>
      <c r="AN59" s="4">
        <v>-0.42699999999999999</v>
      </c>
      <c r="AO59" s="4">
        <v>-0.52600000000000002</v>
      </c>
      <c r="AP59" s="4">
        <v>0.76700000000000002</v>
      </c>
      <c r="AQ59" s="4">
        <v>0.14000000000000001</v>
      </c>
      <c r="AR59" s="4">
        <v>-0.93600000000000005</v>
      </c>
      <c r="AS59" s="4">
        <v>-1</v>
      </c>
      <c r="AT59" s="4">
        <v>-0.67100000000000004</v>
      </c>
      <c r="AU59" s="4">
        <v>-0.26900000000000002</v>
      </c>
      <c r="AV59" s="4">
        <v>0.309</v>
      </c>
      <c r="AW59" s="4">
        <v>-8.2000000000000003E-2</v>
      </c>
      <c r="AX59" s="4">
        <v>0.67800000000000005</v>
      </c>
      <c r="AY59" s="4">
        <v>0.04</v>
      </c>
      <c r="AZ59" s="4">
        <v>0.70099999999999996</v>
      </c>
      <c r="BA59" s="4">
        <v>-0.90700000000000003</v>
      </c>
      <c r="BB59" s="4">
        <v>0.98299999999999998</v>
      </c>
      <c r="BC59" s="4">
        <v>-0.14799999999999999</v>
      </c>
      <c r="BD59" s="4">
        <v>0.46800000000000003</v>
      </c>
      <c r="BE59" s="4">
        <v>0.35099999999999998</v>
      </c>
      <c r="BF59" s="4">
        <v>7.0000000000000001E-3</v>
      </c>
      <c r="BG59" s="4">
        <v>5.8000000000000003E-2</v>
      </c>
      <c r="BH59" s="4">
        <v>0.998</v>
      </c>
      <c r="BI59" s="4">
        <v>-0.35199999999999998</v>
      </c>
      <c r="BJ59" s="4">
        <v>-0.34699999999999998</v>
      </c>
      <c r="BK59" s="4">
        <v>1</v>
      </c>
      <c r="BL59" s="4">
        <v>8.5000000000000006E-2</v>
      </c>
      <c r="BM59" s="4">
        <v>9.0999999999999998E-2</v>
      </c>
      <c r="BN59" s="4"/>
    </row>
    <row r="60" spans="1:66" x14ac:dyDescent="0.3">
      <c r="A60" t="s">
        <v>118</v>
      </c>
      <c r="B60" s="53">
        <f t="shared" si="4"/>
        <v>7.0000000000000001E-3</v>
      </c>
      <c r="C60" s="53">
        <f t="shared" si="5"/>
        <v>7.0000000000000001E-3</v>
      </c>
      <c r="D60" s="53">
        <f t="shared" si="6"/>
        <v>0</v>
      </c>
      <c r="E60" s="53">
        <f t="shared" si="7"/>
        <v>0</v>
      </c>
      <c r="F60" s="15">
        <v>1.792</v>
      </c>
      <c r="G60">
        <v>1.4079999999999999</v>
      </c>
      <c r="H60" t="s">
        <v>57</v>
      </c>
      <c r="I60" t="str">
        <f>VLOOKUP(A60,Planilha6!$BL$9:$BN$222,2,0)</f>
        <v>homebuilders</v>
      </c>
      <c r="J60" t="str">
        <f>VLOOKUP(A60,Planilha6!$BL$9:$BN$222,3,0)</f>
        <v>very_high_beta</v>
      </c>
      <c r="K60" s="17">
        <v>7.0000000000000001E-3</v>
      </c>
      <c r="L60" s="2">
        <v>7.0000000000000001E-3</v>
      </c>
      <c r="M60" s="5">
        <v>2.00116862771333</v>
      </c>
      <c r="N60" s="41">
        <f>VLOOKUP(A60,'Mandato LP'!$A$2:$B$215,2,0)</f>
        <v>6.75803137302827E-3</v>
      </c>
      <c r="O60" s="59">
        <f t="shared" si="8"/>
        <v>2.4196862697173013E-4</v>
      </c>
      <c r="P60" s="42">
        <f t="shared" si="9"/>
        <v>2.4196862697173013E-4</v>
      </c>
      <c r="Q60" s="41">
        <f>VLOOKUP(A60,'Mandato LP'!$A$2:$C$215,3,0)</f>
        <v>7.1416139043459096E-3</v>
      </c>
      <c r="R60" s="42">
        <f t="shared" si="10"/>
        <v>-1.4161390434590942E-4</v>
      </c>
      <c r="S60" s="15">
        <v>0.34599999999999997</v>
      </c>
      <c r="T60" s="15">
        <v>0.23</v>
      </c>
      <c r="U60" s="15">
        <v>0.22800000000000001</v>
      </c>
      <c r="V60" s="15">
        <v>0.28899999999999998</v>
      </c>
      <c r="W60" s="15">
        <v>0.33700000000000002</v>
      </c>
      <c r="X60" s="15">
        <v>0.14299999999999999</v>
      </c>
      <c r="Y60" s="15">
        <v>-0.03</v>
      </c>
      <c r="Z60" s="15">
        <v>1.7000000000000001E-2</v>
      </c>
      <c r="AA60" s="15">
        <v>0.26600000000000001</v>
      </c>
      <c r="AB60" s="15">
        <v>0.26400000000000001</v>
      </c>
      <c r="AC60" s="15">
        <v>0.85899999999999999</v>
      </c>
      <c r="AD60" s="15">
        <v>0.92700000000000005</v>
      </c>
      <c r="AE60" s="15">
        <v>0.78800000000000003</v>
      </c>
      <c r="AF60" s="14">
        <v>-1.7999999999999999E-2</v>
      </c>
      <c r="AG60" s="110">
        <v>0.70199999999999996</v>
      </c>
      <c r="AH60" s="110">
        <v>0.26800000000000002</v>
      </c>
      <c r="AI60" s="110">
        <v>-0.06</v>
      </c>
      <c r="AJ60" s="110">
        <v>1</v>
      </c>
      <c r="AK60" s="16">
        <v>-0.125</v>
      </c>
      <c r="AL60" s="111">
        <v>-0.309</v>
      </c>
      <c r="AM60" s="111">
        <v>-1.0999999999999999E-2</v>
      </c>
      <c r="AN60" s="4">
        <v>-0.57999999999999996</v>
      </c>
      <c r="AO60" s="4">
        <v>0.25900000000000001</v>
      </c>
      <c r="AP60" s="4">
        <v>0.34100000000000003</v>
      </c>
      <c r="AQ60" s="4">
        <v>0.76100000000000001</v>
      </c>
      <c r="AR60" s="4">
        <v>0.51500000000000001</v>
      </c>
      <c r="AS60" s="4">
        <v>0.51100000000000001</v>
      </c>
      <c r="AT60" s="4">
        <v>0.97</v>
      </c>
      <c r="AU60" s="4">
        <v>0.16</v>
      </c>
      <c r="AV60" s="4">
        <v>-0.10100000000000001</v>
      </c>
      <c r="AW60" s="4">
        <v>4.2999999999999997E-2</v>
      </c>
      <c r="AX60" s="4">
        <v>-0.251</v>
      </c>
      <c r="AY60" s="4">
        <v>-0.123</v>
      </c>
      <c r="AZ60" s="4">
        <v>0.85699999999999998</v>
      </c>
      <c r="BA60" s="4">
        <v>0.53</v>
      </c>
      <c r="BB60" s="4">
        <v>0.375</v>
      </c>
      <c r="BC60" s="4">
        <v>-0.56399999999999995</v>
      </c>
      <c r="BD60" s="4">
        <v>-0.35399999999999998</v>
      </c>
      <c r="BE60" s="4">
        <v>-0.27300000000000002</v>
      </c>
      <c r="BF60" s="4">
        <v>-0.05</v>
      </c>
      <c r="BG60" s="4">
        <v>-1.7999999999999999E-2</v>
      </c>
      <c r="BH60" s="4">
        <v>0.122</v>
      </c>
      <c r="BI60" s="4">
        <v>-0.999</v>
      </c>
      <c r="BJ60" s="4">
        <v>0.84299999999999997</v>
      </c>
      <c r="BK60" s="4">
        <v>-0.51500000000000001</v>
      </c>
      <c r="BL60" s="4">
        <v>0.16</v>
      </c>
      <c r="BM60" s="4">
        <v>0.74399999999999999</v>
      </c>
      <c r="BN60" s="4"/>
    </row>
    <row r="61" spans="1:66" x14ac:dyDescent="0.3">
      <c r="A61" t="s">
        <v>127</v>
      </c>
      <c r="B61" s="53">
        <f t="shared" si="4"/>
        <v>1.4E-2</v>
      </c>
      <c r="C61" s="53">
        <f t="shared" si="5"/>
        <v>1.2913640000000001E-2</v>
      </c>
      <c r="D61" s="53">
        <f t="shared" si="6"/>
        <v>0</v>
      </c>
      <c r="E61" s="53">
        <f t="shared" si="7"/>
        <v>1.08636E-3</v>
      </c>
      <c r="F61" s="15">
        <v>1.7889999999999999</v>
      </c>
      <c r="G61">
        <v>2.0760000000000001</v>
      </c>
      <c r="H61" t="s">
        <v>53</v>
      </c>
      <c r="I61" t="str">
        <f>VLOOKUP(A61,Planilha6!$BL$9:$BN$222,2,0)</f>
        <v>float_financials</v>
      </c>
      <c r="J61" t="str">
        <f>VLOOKUP(A61,Planilha6!$BL$9:$BN$222,3,0)</f>
        <v>very_low_beta</v>
      </c>
      <c r="K61" s="17">
        <v>1.4E-2</v>
      </c>
      <c r="L61" s="2">
        <v>1.2999999999999999E-2</v>
      </c>
      <c r="M61" s="5">
        <v>2.3115818062</v>
      </c>
      <c r="N61" s="41">
        <f>VLOOKUP(A61,'Mandato LP'!$A$2:$B$215,2,0)</f>
        <v>7.1314083555547901E-3</v>
      </c>
      <c r="O61" s="59">
        <f t="shared" si="8"/>
        <v>6.8685916444452101E-3</v>
      </c>
      <c r="P61" s="42">
        <f t="shared" si="9"/>
        <v>6.8685916444452101E-3</v>
      </c>
      <c r="Q61" s="41">
        <f>VLOOKUP(A61,'Mandato LP'!$A$2:$C$215,3,0)</f>
        <v>6.1066632254909497E-3</v>
      </c>
      <c r="R61" s="42">
        <f t="shared" si="10"/>
        <v>7.8933367745090514E-3</v>
      </c>
      <c r="S61" s="15">
        <v>-8.2000000000000003E-2</v>
      </c>
      <c r="T61" s="15">
        <v>0.312</v>
      </c>
      <c r="U61" s="15">
        <v>-0.34</v>
      </c>
      <c r="V61" s="15">
        <v>0.123</v>
      </c>
      <c r="W61" s="15">
        <v>0.246</v>
      </c>
      <c r="X61" s="15">
        <v>0.33300000000000002</v>
      </c>
      <c r="Y61" s="15">
        <v>0.56799999999999995</v>
      </c>
      <c r="Z61" s="15">
        <v>0.32800000000000001</v>
      </c>
      <c r="AA61" s="15">
        <v>0.59599999999999997</v>
      </c>
      <c r="AB61" s="15">
        <v>0.6</v>
      </c>
      <c r="AC61" s="15">
        <v>0.69599999999999995</v>
      </c>
      <c r="AD61" s="15">
        <v>0.82199999999999995</v>
      </c>
      <c r="AE61" s="15">
        <v>0.61299999999999999</v>
      </c>
      <c r="AF61" s="14">
        <v>6.6000000000000003E-2</v>
      </c>
      <c r="AG61" s="110">
        <v>0.186</v>
      </c>
      <c r="AH61" s="110">
        <v>-0.17499999999999999</v>
      </c>
      <c r="AI61" s="110">
        <v>-0.88100000000000001</v>
      </c>
      <c r="AJ61" s="110">
        <v>-0.72799999999999998</v>
      </c>
      <c r="AK61" s="16">
        <v>-0.28199999999999997</v>
      </c>
      <c r="AL61" s="111">
        <v>-0.23</v>
      </c>
      <c r="AM61" s="111">
        <v>-0.27600000000000002</v>
      </c>
      <c r="AN61" s="4">
        <v>-0.71699999999999997</v>
      </c>
      <c r="AO61" s="4">
        <v>0.03</v>
      </c>
      <c r="AP61" s="4">
        <v>0.155</v>
      </c>
      <c r="AQ61" s="4">
        <v>0.375</v>
      </c>
      <c r="AR61" s="4">
        <v>0.55800000000000005</v>
      </c>
      <c r="AS61" s="4">
        <v>0.127</v>
      </c>
      <c r="AT61" s="4">
        <v>0.495</v>
      </c>
      <c r="AU61" s="4">
        <v>0.45700000000000002</v>
      </c>
      <c r="AV61" s="4">
        <v>0.24199999999999999</v>
      </c>
      <c r="AW61" s="4">
        <v>0.38600000000000001</v>
      </c>
      <c r="AX61" s="4">
        <v>0.78400000000000003</v>
      </c>
      <c r="AY61" s="4">
        <v>0.66800000000000004</v>
      </c>
      <c r="AZ61" s="4">
        <v>0.91300000000000003</v>
      </c>
      <c r="BA61" s="4">
        <v>0.70899999999999996</v>
      </c>
      <c r="BB61" s="4">
        <v>0.35899999999999999</v>
      </c>
      <c r="BC61" s="4">
        <v>-9.8000000000000004E-2</v>
      </c>
      <c r="BD61" s="4">
        <v>-6.5000000000000002E-2</v>
      </c>
      <c r="BE61" s="4">
        <v>-0.82</v>
      </c>
      <c r="BF61" s="4">
        <v>-0.159</v>
      </c>
      <c r="BG61" s="4">
        <v>0.61699999999999999</v>
      </c>
      <c r="BH61" s="4">
        <v>0.73199999999999998</v>
      </c>
      <c r="BI61" s="4">
        <v>-0.71699999999999997</v>
      </c>
      <c r="BJ61" s="4">
        <v>-0.48899999999999999</v>
      </c>
      <c r="BK61" s="4">
        <v>5.5E-2</v>
      </c>
      <c r="BL61" s="4">
        <v>-0.26700000000000002</v>
      </c>
      <c r="BM61" s="4">
        <v>6.0999999999999999E-2</v>
      </c>
      <c r="BN61" s="4"/>
    </row>
    <row r="62" spans="1:66" x14ac:dyDescent="0.3">
      <c r="A62" t="s">
        <v>115</v>
      </c>
      <c r="B62" s="53">
        <v>0</v>
      </c>
      <c r="C62" s="53">
        <f t="shared" si="5"/>
        <v>0</v>
      </c>
      <c r="D62" s="53">
        <f t="shared" si="6"/>
        <v>-1.6E-2</v>
      </c>
      <c r="E62" s="53">
        <f t="shared" si="7"/>
        <v>0</v>
      </c>
      <c r="F62" s="15">
        <v>1.7529999999999999</v>
      </c>
      <c r="G62">
        <v>2.1059999999999999</v>
      </c>
      <c r="H62" t="s">
        <v>55</v>
      </c>
      <c r="I62" t="str">
        <f>VLOOKUP(A62,Planilha6!$BL$9:$BN$222,2,0)</f>
        <v>utilities</v>
      </c>
      <c r="J62" t="str">
        <f>VLOOKUP(A62,Planilha6!$BL$9:$BN$222,3,0)</f>
        <v>very_low_beta</v>
      </c>
      <c r="K62" s="17">
        <v>1.6E-2</v>
      </c>
      <c r="L62" s="2">
        <v>1.6E-2</v>
      </c>
      <c r="M62" s="5">
        <v>1.1514342917</v>
      </c>
      <c r="N62" s="41">
        <f>VLOOKUP(A62,'Mandato LP'!$A$2:$B$215,2,0)</f>
        <v>6.6091899143988003E-3</v>
      </c>
      <c r="O62" s="59">
        <f t="shared" si="8"/>
        <v>9.3908100856011992E-3</v>
      </c>
      <c r="P62" s="42">
        <f t="shared" si="9"/>
        <v>-6.6091899143988003E-3</v>
      </c>
      <c r="Q62" s="41">
        <f>VLOOKUP(A62,'Mandato LP'!$A$2:$C$215,3,0)</f>
        <v>6.8352940954510199E-3</v>
      </c>
      <c r="R62" s="42">
        <f t="shared" si="10"/>
        <v>9.1647059045489795E-3</v>
      </c>
      <c r="S62" s="15">
        <v>-0.311</v>
      </c>
      <c r="T62" s="15">
        <v>0.57199999999999995</v>
      </c>
      <c r="U62" s="15">
        <v>-0.626</v>
      </c>
      <c r="V62" s="15">
        <v>-0.107</v>
      </c>
      <c r="W62" s="15">
        <v>0.17799999999999999</v>
      </c>
      <c r="X62" s="15">
        <v>0.183</v>
      </c>
      <c r="Y62" s="15">
        <v>0.33900000000000002</v>
      </c>
      <c r="Z62" s="15">
        <v>0.35</v>
      </c>
      <c r="AA62" s="15">
        <v>0.876</v>
      </c>
      <c r="AB62" s="15">
        <v>0.88500000000000001</v>
      </c>
      <c r="AC62" s="15">
        <v>0.67600000000000005</v>
      </c>
      <c r="AD62" s="15">
        <v>0.74</v>
      </c>
      <c r="AE62" s="15">
        <v>0.84499999999999997</v>
      </c>
      <c r="AF62" s="14">
        <v>-0.45800000000000002</v>
      </c>
      <c r="AG62" s="110">
        <v>-0.63</v>
      </c>
      <c r="AH62" s="110">
        <v>1</v>
      </c>
      <c r="AI62" s="110">
        <v>-0.92800000000000005</v>
      </c>
      <c r="AJ62" s="110">
        <v>-0.13900000000000001</v>
      </c>
      <c r="AK62" s="16">
        <v>-0.98599999999999999</v>
      </c>
      <c r="AL62" s="111">
        <v>-0.42899999999999999</v>
      </c>
      <c r="AM62" s="111">
        <v>-0.35899999999999999</v>
      </c>
      <c r="AN62" s="4">
        <v>-0.308</v>
      </c>
      <c r="AO62" s="4">
        <v>-0.45</v>
      </c>
      <c r="AP62" s="4">
        <v>0.86299999999999999</v>
      </c>
      <c r="AQ62" s="4">
        <v>0.64100000000000001</v>
      </c>
      <c r="AR62" s="4">
        <v>-0.128</v>
      </c>
      <c r="AS62" s="4">
        <v>0.34699999999999998</v>
      </c>
      <c r="AT62" s="4">
        <v>0.38500000000000001</v>
      </c>
      <c r="AU62" s="4">
        <v>0.11799999999999999</v>
      </c>
      <c r="AV62" s="4">
        <v>-0.17100000000000001</v>
      </c>
      <c r="AW62" s="4">
        <v>-7.9000000000000001E-2</v>
      </c>
      <c r="AX62" s="4">
        <v>0.82699999999999996</v>
      </c>
      <c r="AY62" s="4">
        <v>-0.71299999999999997</v>
      </c>
      <c r="AZ62" s="4">
        <v>0.98899999999999999</v>
      </c>
      <c r="BA62" s="4">
        <v>0.76300000000000001</v>
      </c>
      <c r="BB62" s="4">
        <v>1</v>
      </c>
      <c r="BC62" s="4">
        <v>-0.23300000000000001</v>
      </c>
      <c r="BD62" s="4">
        <v>-0.53200000000000003</v>
      </c>
      <c r="BE62" s="4">
        <v>0.312</v>
      </c>
      <c r="BF62" s="4">
        <v>0.36599999999999999</v>
      </c>
      <c r="BG62" s="4">
        <v>-0.29799999999999999</v>
      </c>
      <c r="BH62" s="4">
        <v>1</v>
      </c>
      <c r="BI62" s="4">
        <v>-0.752</v>
      </c>
      <c r="BJ62" s="4">
        <v>-0.70099999999999996</v>
      </c>
      <c r="BK62" s="4">
        <v>8.6999999999999994E-2</v>
      </c>
      <c r="BL62" s="4">
        <v>-0.35099999999999998</v>
      </c>
      <c r="BM62" s="4">
        <v>0.94</v>
      </c>
      <c r="BN62" s="4"/>
    </row>
    <row r="63" spans="1:66" x14ac:dyDescent="0.3">
      <c r="A63" t="s">
        <v>137</v>
      </c>
      <c r="B63" s="53">
        <f t="shared" si="4"/>
        <v>6.0000000000000001E-3</v>
      </c>
      <c r="C63" s="53">
        <f t="shared" si="5"/>
        <v>6.0000000000000001E-3</v>
      </c>
      <c r="D63" s="53">
        <f t="shared" si="6"/>
        <v>0</v>
      </c>
      <c r="E63" s="53">
        <f t="shared" si="7"/>
        <v>0</v>
      </c>
      <c r="F63" s="15">
        <v>1.7250000000000001</v>
      </c>
      <c r="G63">
        <v>1.252</v>
      </c>
      <c r="H63" t="s">
        <v>57</v>
      </c>
      <c r="I63" t="str">
        <f>VLOOKUP(A63,Planilha6!$BL$9:$BN$222,2,0)</f>
        <v>education</v>
      </c>
      <c r="J63" t="str">
        <f>VLOOKUP(A63,Planilha6!$BL$9:$BN$222,3,0)</f>
        <v>neutral_beta</v>
      </c>
      <c r="K63" s="17">
        <v>6.0000000000000001E-3</v>
      </c>
      <c r="L63" s="2">
        <v>6.0000000000000001E-3</v>
      </c>
      <c r="M63" s="5">
        <v>0.21056898030000001</v>
      </c>
      <c r="N63" s="41">
        <f>VLOOKUP(A63,'Mandato LP'!$A$2:$B$215,2,0)</f>
        <v>6.5030694189052501E-3</v>
      </c>
      <c r="O63" s="59">
        <f t="shared" si="8"/>
        <v>-5.0306941890524998E-4</v>
      </c>
      <c r="P63" s="42">
        <f t="shared" si="9"/>
        <v>-5.0306941890524998E-4</v>
      </c>
      <c r="Q63" s="41">
        <f>VLOOKUP(A63,'Mandato LP'!$A$2:$C$215,3,0)</f>
        <v>6.0971787781913603E-3</v>
      </c>
      <c r="R63" s="42">
        <f t="shared" si="10"/>
        <v>-9.7178778191360157E-5</v>
      </c>
      <c r="S63" s="15">
        <v>0.72699999999999998</v>
      </c>
      <c r="T63" s="15">
        <v>0.111</v>
      </c>
      <c r="U63" s="15">
        <v>0.68300000000000005</v>
      </c>
      <c r="V63" s="15">
        <v>0.61399999999999999</v>
      </c>
      <c r="W63" s="15">
        <v>0.44800000000000001</v>
      </c>
      <c r="X63" s="15">
        <v>-2.5999999999999999E-2</v>
      </c>
      <c r="Y63" s="15">
        <v>-0.40200000000000002</v>
      </c>
      <c r="Z63" s="15">
        <v>-0.39700000000000002</v>
      </c>
      <c r="AA63" s="15">
        <v>0.24299999999999999</v>
      </c>
      <c r="AB63" s="15">
        <v>0.24399999999999999</v>
      </c>
      <c r="AC63" s="15">
        <v>0.93100000000000005</v>
      </c>
      <c r="AD63" s="15">
        <v>0.77700000000000002</v>
      </c>
      <c r="AE63" s="15">
        <v>0.78700000000000003</v>
      </c>
      <c r="AF63" s="14">
        <v>0.86499999999999999</v>
      </c>
      <c r="AG63" s="110">
        <v>0.57199999999999995</v>
      </c>
      <c r="AH63" s="110">
        <v>7.0000000000000001E-3</v>
      </c>
      <c r="AI63" s="110">
        <v>-2.8000000000000001E-2</v>
      </c>
      <c r="AJ63" s="110">
        <v>0.75800000000000001</v>
      </c>
      <c r="AK63" s="16">
        <v>1</v>
      </c>
      <c r="AL63" s="111">
        <v>0.108</v>
      </c>
      <c r="AM63" s="111">
        <v>-0.69899999999999995</v>
      </c>
      <c r="AN63" s="4">
        <v>-0.54200000000000004</v>
      </c>
      <c r="AO63" s="4">
        <v>0.53</v>
      </c>
      <c r="AP63" s="4">
        <v>0.125</v>
      </c>
      <c r="AQ63" s="4">
        <v>0.122</v>
      </c>
      <c r="AR63" s="4">
        <v>0.49</v>
      </c>
      <c r="AS63" s="4">
        <v>0.93400000000000005</v>
      </c>
      <c r="AT63" s="4">
        <v>0.441</v>
      </c>
      <c r="AU63" s="4">
        <v>0.50900000000000001</v>
      </c>
      <c r="AV63" s="4">
        <v>7.9000000000000001E-2</v>
      </c>
      <c r="AW63" s="4">
        <v>0.88700000000000001</v>
      </c>
      <c r="AX63" s="4">
        <v>-0.57099999999999995</v>
      </c>
      <c r="AY63" s="4">
        <v>-0.16400000000000001</v>
      </c>
      <c r="AZ63" s="4">
        <v>0.78100000000000003</v>
      </c>
      <c r="BA63" s="4">
        <v>0.44500000000000001</v>
      </c>
      <c r="BB63" s="4">
        <v>0.61099999999999999</v>
      </c>
      <c r="BC63" s="4">
        <v>8.5999999999999993E-2</v>
      </c>
      <c r="BD63" s="4">
        <v>-9.4E-2</v>
      </c>
      <c r="BE63" s="4">
        <v>0.93400000000000005</v>
      </c>
      <c r="BF63" s="4">
        <v>-1</v>
      </c>
      <c r="BG63" s="4">
        <v>-1</v>
      </c>
      <c r="BH63" s="4">
        <v>-0.61</v>
      </c>
      <c r="BI63" s="4">
        <v>-0.64200000000000002</v>
      </c>
      <c r="BJ63" s="4">
        <v>-0.01</v>
      </c>
      <c r="BK63" s="4">
        <v>-1E-3</v>
      </c>
      <c r="BL63" s="4">
        <v>0.55400000000000005</v>
      </c>
      <c r="BM63" s="4">
        <v>-0.51900000000000002</v>
      </c>
      <c r="BN63" s="4"/>
    </row>
    <row r="64" spans="1:66" x14ac:dyDescent="0.3">
      <c r="A64" t="s">
        <v>111</v>
      </c>
      <c r="B64" s="53">
        <f t="shared" si="4"/>
        <v>8.9999999999999993E-3</v>
      </c>
      <c r="C64" s="53">
        <f t="shared" si="5"/>
        <v>8.9999999999999993E-3</v>
      </c>
      <c r="D64" s="53">
        <f t="shared" si="6"/>
        <v>0</v>
      </c>
      <c r="E64" s="53">
        <f t="shared" si="7"/>
        <v>0</v>
      </c>
      <c r="F64" s="15">
        <v>1.641</v>
      </c>
      <c r="G64">
        <v>1.552</v>
      </c>
      <c r="H64" t="s">
        <v>53</v>
      </c>
      <c r="I64" t="str">
        <f>VLOOKUP(A64,Planilha6!$BL$9:$BN$222,2,0)</f>
        <v>consumer_staples</v>
      </c>
      <c r="J64" t="str">
        <f>VLOOKUP(A64,Planilha6!$BL$9:$BN$222,3,0)</f>
        <v>very_high_beta</v>
      </c>
      <c r="K64" s="17">
        <v>8.9999999999999993E-3</v>
      </c>
      <c r="L64" s="2">
        <v>8.9999999999999993E-3</v>
      </c>
      <c r="M64" s="5">
        <v>0.27955455352000003</v>
      </c>
      <c r="N64" s="41">
        <f>VLOOKUP(A64,'Mandato LP'!$A$2:$B$215,2,0)</f>
        <v>6.18654880386613E-3</v>
      </c>
      <c r="O64" s="59">
        <f t="shared" si="8"/>
        <v>2.8134511961338694E-3</v>
      </c>
      <c r="P64" s="42">
        <f t="shared" si="9"/>
        <v>2.8134511961338694E-3</v>
      </c>
      <c r="Q64" s="41">
        <f>VLOOKUP(A64,'Mandato LP'!$A$2:$C$215,3,0)</f>
        <v>0</v>
      </c>
      <c r="R64" s="42">
        <f t="shared" si="10"/>
        <v>8.9999999999999993E-3</v>
      </c>
      <c r="S64" s="15">
        <v>0.30599999999999999</v>
      </c>
      <c r="T64" s="15">
        <v>0.20100000000000001</v>
      </c>
      <c r="U64" s="15">
        <v>0.23300000000000001</v>
      </c>
      <c r="V64" s="15">
        <v>0.14000000000000001</v>
      </c>
      <c r="W64" s="15">
        <v>0.223</v>
      </c>
      <c r="X64" s="15">
        <v>-6.9000000000000006E-2</v>
      </c>
      <c r="Y64" s="15">
        <v>-0.26200000000000001</v>
      </c>
      <c r="Z64" s="15">
        <v>-0.154</v>
      </c>
      <c r="AA64" s="15">
        <v>0.47299999999999998</v>
      </c>
      <c r="AB64" s="15">
        <v>0.47699999999999998</v>
      </c>
      <c r="AC64" s="15">
        <v>0.88200000000000001</v>
      </c>
      <c r="AD64" s="15">
        <v>0.91500000000000004</v>
      </c>
      <c r="AE64" s="15">
        <v>0.82299999999999995</v>
      </c>
      <c r="AF64" s="14">
        <v>-8.8999999999999996E-2</v>
      </c>
      <c r="AG64" s="110">
        <v>2.4E-2</v>
      </c>
      <c r="AH64" s="110">
        <v>1</v>
      </c>
      <c r="AI64" s="110">
        <v>0.19</v>
      </c>
      <c r="AJ64" s="110">
        <v>0.747</v>
      </c>
      <c r="AK64" s="16">
        <v>-0.51300000000000001</v>
      </c>
      <c r="AL64" s="111">
        <v>0.16200000000000001</v>
      </c>
      <c r="AM64" s="111">
        <v>-0.39700000000000002</v>
      </c>
      <c r="AN64" s="4">
        <v>0.09</v>
      </c>
      <c r="AO64" s="4">
        <v>-6.0999999999999999E-2</v>
      </c>
      <c r="AP64" s="4">
        <v>0.311</v>
      </c>
      <c r="AQ64" s="4">
        <v>0.312</v>
      </c>
      <c r="AR64" s="4">
        <v>-2.5999999999999999E-2</v>
      </c>
      <c r="AS64" s="4">
        <v>7.9000000000000001E-2</v>
      </c>
      <c r="AT64" s="4">
        <v>-0.33700000000000002</v>
      </c>
      <c r="AU64" s="4">
        <v>0.24199999999999999</v>
      </c>
      <c r="AV64" s="4">
        <v>-0.45800000000000002</v>
      </c>
      <c r="AW64" s="4">
        <v>2.1999999999999999E-2</v>
      </c>
      <c r="AX64" s="4">
        <v>0.34599999999999997</v>
      </c>
      <c r="AY64" s="4">
        <v>-0.26500000000000001</v>
      </c>
      <c r="AZ64" s="4">
        <v>0.72199999999999998</v>
      </c>
      <c r="BA64" s="4">
        <v>0.308</v>
      </c>
      <c r="BB64" s="4">
        <v>0.245</v>
      </c>
      <c r="BC64" s="4">
        <v>7.0000000000000001E-3</v>
      </c>
      <c r="BD64" s="4">
        <v>9.5000000000000001E-2</v>
      </c>
      <c r="BE64" s="4">
        <v>0.28599999999999998</v>
      </c>
      <c r="BF64" s="4">
        <v>-0.46800000000000003</v>
      </c>
      <c r="BG64" s="4">
        <v>-0.23899999999999999</v>
      </c>
      <c r="BH64" s="4">
        <v>5.2999999999999999E-2</v>
      </c>
      <c r="BI64" s="4">
        <v>-5.2999999999999999E-2</v>
      </c>
      <c r="BJ64" s="4">
        <v>0.55000000000000004</v>
      </c>
      <c r="BK64" s="4">
        <v>0.56499999999999995</v>
      </c>
      <c r="BL64" s="4">
        <v>0.47599999999999998</v>
      </c>
      <c r="BM64" s="4">
        <v>-0.73699999999999999</v>
      </c>
      <c r="BN64" s="4"/>
    </row>
    <row r="65" spans="1:66" x14ac:dyDescent="0.3">
      <c r="A65" t="s">
        <v>75</v>
      </c>
      <c r="B65" s="53">
        <f t="shared" si="4"/>
        <v>7.0000000000000001E-3</v>
      </c>
      <c r="C65" s="53">
        <f t="shared" si="5"/>
        <v>7.0000000000000001E-3</v>
      </c>
      <c r="D65" s="53">
        <f t="shared" si="6"/>
        <v>0</v>
      </c>
      <c r="E65" s="53">
        <f t="shared" si="7"/>
        <v>0</v>
      </c>
      <c r="F65" s="15">
        <v>1.6180000000000001</v>
      </c>
      <c r="G65">
        <v>1.2529999999999999</v>
      </c>
      <c r="H65" t="s">
        <v>55</v>
      </c>
      <c r="I65" t="str">
        <f>VLOOKUP(A65,Planilha6!$BL$9:$BN$222,2,0)</f>
        <v>real_estate</v>
      </c>
      <c r="J65" t="str">
        <f>VLOOKUP(A65,Planilha6!$BL$9:$BN$222,3,0)</f>
        <v>very_high_beta</v>
      </c>
      <c r="K65" s="17">
        <v>7.0000000000000001E-3</v>
      </c>
      <c r="L65" s="2">
        <v>7.0000000000000001E-3</v>
      </c>
      <c r="M65" s="5">
        <v>0.38847621060999998</v>
      </c>
      <c r="N65" s="41">
        <f>VLOOKUP(A65,'Mandato LP'!$A$2:$B$215,2,0)</f>
        <v>6.0986003048774601E-3</v>
      </c>
      <c r="O65" s="59">
        <f t="shared" si="8"/>
        <v>9.0139969512254003E-4</v>
      </c>
      <c r="P65" s="42">
        <f t="shared" si="9"/>
        <v>9.0139969512254003E-4</v>
      </c>
      <c r="Q65" s="41">
        <f>VLOOKUP(A65,'Mandato LP'!$A$2:$C$215,3,0)</f>
        <v>0</v>
      </c>
      <c r="R65" s="42">
        <f t="shared" si="10"/>
        <v>7.0000000000000001E-3</v>
      </c>
      <c r="S65" s="15">
        <v>0.375</v>
      </c>
      <c r="T65" s="15">
        <v>-0.26</v>
      </c>
      <c r="U65" s="15">
        <v>0.44</v>
      </c>
      <c r="V65" s="15">
        <v>3.5000000000000003E-2</v>
      </c>
      <c r="W65" s="15">
        <v>1.4999999999999999E-2</v>
      </c>
      <c r="X65" s="15">
        <v>6.3E-2</v>
      </c>
      <c r="Y65" s="15">
        <v>4.2000000000000003E-2</v>
      </c>
      <c r="Z65" s="15">
        <v>-0.22900000000000001</v>
      </c>
      <c r="AA65" s="15">
        <v>0.59399999999999997</v>
      </c>
      <c r="AB65" s="15">
        <v>0.59399999999999997</v>
      </c>
      <c r="AC65" s="15">
        <v>0.70899999999999996</v>
      </c>
      <c r="AD65" s="15">
        <v>0.95399999999999996</v>
      </c>
      <c r="AE65" s="15">
        <v>0.71</v>
      </c>
      <c r="AF65" s="14">
        <v>0.33300000000000002</v>
      </c>
      <c r="AG65" s="110">
        <v>0.59299999999999997</v>
      </c>
      <c r="AH65" s="110">
        <v>-8.0000000000000002E-3</v>
      </c>
      <c r="AI65" s="110">
        <v>1</v>
      </c>
      <c r="AJ65" s="110">
        <v>-4.2999999999999997E-2</v>
      </c>
      <c r="AK65" s="16">
        <v>-0.32500000000000001</v>
      </c>
      <c r="AL65" s="111">
        <v>0.23100000000000001</v>
      </c>
      <c r="AM65" s="111">
        <v>-1.0999999999999999E-2</v>
      </c>
      <c r="AN65" s="4">
        <v>1</v>
      </c>
      <c r="AO65" s="4">
        <v>0.497</v>
      </c>
      <c r="AP65" s="4">
        <v>-0.19400000000000001</v>
      </c>
      <c r="AQ65" s="4">
        <v>-0.72599999999999998</v>
      </c>
      <c r="AR65" s="4">
        <v>-0.39900000000000002</v>
      </c>
      <c r="AS65" s="4">
        <v>0.121</v>
      </c>
      <c r="AT65" s="4">
        <v>0.38200000000000001</v>
      </c>
      <c r="AU65" s="4">
        <v>-6.5000000000000002E-2</v>
      </c>
      <c r="AV65" s="4">
        <v>8.2000000000000003E-2</v>
      </c>
      <c r="AW65" s="4">
        <v>-0.22900000000000001</v>
      </c>
      <c r="AX65" s="4">
        <v>2E-3</v>
      </c>
      <c r="AY65" s="4">
        <v>-0.79400000000000004</v>
      </c>
      <c r="AZ65" s="4">
        <v>-0.11700000000000001</v>
      </c>
      <c r="BA65" s="4">
        <v>-0.38100000000000001</v>
      </c>
      <c r="BB65" s="4">
        <v>0.85499999999999998</v>
      </c>
      <c r="BC65" s="4">
        <v>-8.4000000000000005E-2</v>
      </c>
      <c r="BD65" s="4">
        <v>0.122</v>
      </c>
      <c r="BE65" s="4">
        <v>9.9000000000000005E-2</v>
      </c>
      <c r="BF65" s="4">
        <v>-0.36699999999999999</v>
      </c>
      <c r="BG65" s="4">
        <v>0.28799999999999998</v>
      </c>
      <c r="BH65" s="4">
        <v>0.14199999999999999</v>
      </c>
      <c r="BI65" s="4">
        <v>0.16400000000000001</v>
      </c>
      <c r="BJ65" s="4">
        <v>0.8</v>
      </c>
      <c r="BK65" s="4">
        <v>0.61299999999999999</v>
      </c>
      <c r="BL65" s="4">
        <v>0.96</v>
      </c>
      <c r="BM65" s="4">
        <v>1.0999999999999999E-2</v>
      </c>
      <c r="BN65" s="4"/>
    </row>
    <row r="66" spans="1:66" x14ac:dyDescent="0.3">
      <c r="A66" t="s">
        <v>110</v>
      </c>
      <c r="B66" s="53">
        <f t="shared" si="4"/>
        <v>2.5999999999999999E-2</v>
      </c>
      <c r="C66" s="53">
        <f t="shared" si="5"/>
        <v>-1.8894200000000028E-3</v>
      </c>
      <c r="D66" s="53">
        <f t="shared" si="6"/>
        <v>0</v>
      </c>
      <c r="E66" s="53">
        <f t="shared" si="7"/>
        <v>2.7889420000000002E-2</v>
      </c>
      <c r="F66" s="15">
        <v>1.5840000000000001</v>
      </c>
      <c r="G66">
        <v>3.4780000000000002</v>
      </c>
      <c r="H66" t="s">
        <v>57</v>
      </c>
      <c r="I66" t="str">
        <f>VLOOKUP(A66,Planilha6!$BL$9:$BN$222,2,0)</f>
        <v>banks</v>
      </c>
      <c r="J66" t="str">
        <f>VLOOKUP(A66,Planilha6!$BL$9:$BN$222,3,0)</f>
        <v>neutral_beta</v>
      </c>
      <c r="K66" s="17">
        <v>2.5999999999999999E-2</v>
      </c>
      <c r="L66" s="2">
        <v>-2E-3</v>
      </c>
      <c r="M66" s="5">
        <v>2.7209537527666701</v>
      </c>
      <c r="N66" s="41">
        <f>VLOOKUP(A66,'Mandato LP'!$A$2:$B$215,2,0)</f>
        <v>3.2110809835316598E-2</v>
      </c>
      <c r="O66" s="59">
        <f t="shared" si="8"/>
        <v>-6.1108098353165989E-3</v>
      </c>
      <c r="P66" s="42">
        <f t="shared" si="9"/>
        <v>-6.1108098353165989E-3</v>
      </c>
      <c r="Q66" s="41">
        <f>VLOOKUP(A66,'Mandato LP'!$A$2:$C$215,3,0)</f>
        <v>4.2334635815924997E-2</v>
      </c>
      <c r="R66" s="42">
        <f t="shared" si="10"/>
        <v>-1.6334635815924998E-2</v>
      </c>
      <c r="S66" s="15">
        <v>-0.40500000000000003</v>
      </c>
      <c r="T66" s="15">
        <v>0.42399999999999999</v>
      </c>
      <c r="U66" s="15">
        <v>-0.73399999999999999</v>
      </c>
      <c r="V66" s="15">
        <v>-3.4000000000000002E-2</v>
      </c>
      <c r="W66" s="15">
        <v>0.09</v>
      </c>
      <c r="X66" s="15">
        <v>2.7E-2</v>
      </c>
      <c r="Y66" s="15">
        <v>0.19</v>
      </c>
      <c r="Z66" s="15">
        <v>0.33500000000000002</v>
      </c>
      <c r="AA66" s="15">
        <v>0.86699999999999999</v>
      </c>
      <c r="AB66" s="15">
        <v>0.875</v>
      </c>
      <c r="AC66" s="15">
        <v>0.68200000000000005</v>
      </c>
      <c r="AD66" s="15">
        <v>0.77500000000000002</v>
      </c>
      <c r="AE66" s="15">
        <v>0.77700000000000002</v>
      </c>
      <c r="AF66" s="14">
        <v>-0.58299999999999996</v>
      </c>
      <c r="AG66" s="110">
        <v>4.2000000000000003E-2</v>
      </c>
      <c r="AH66" s="110">
        <v>0.94399999999999995</v>
      </c>
      <c r="AI66" s="110">
        <v>-0.96299999999999997</v>
      </c>
      <c r="AJ66" s="110">
        <v>-0.60299999999999998</v>
      </c>
      <c r="AK66" s="16">
        <v>-0.96699999999999997</v>
      </c>
      <c r="AL66" s="111">
        <v>-0.19400000000000001</v>
      </c>
      <c r="AM66" s="111">
        <v>9.8000000000000004E-2</v>
      </c>
      <c r="AN66" s="4">
        <v>-0.54800000000000004</v>
      </c>
      <c r="AO66" s="4">
        <v>-0.309</v>
      </c>
      <c r="AP66" s="4">
        <v>0.753</v>
      </c>
      <c r="AQ66" s="4">
        <v>0.80700000000000005</v>
      </c>
      <c r="AR66" s="4">
        <v>0.27400000000000002</v>
      </c>
      <c r="AS66" s="4">
        <v>0.11899999999999999</v>
      </c>
      <c r="AT66" s="4">
        <v>-6.3E-2</v>
      </c>
      <c r="AU66" s="4">
        <v>5.1999999999999998E-2</v>
      </c>
      <c r="AV66" s="4">
        <v>-0.185</v>
      </c>
      <c r="AW66" s="4">
        <v>-0.18099999999999999</v>
      </c>
      <c r="AX66" s="4">
        <v>0.48099999999999998</v>
      </c>
      <c r="AY66" s="4">
        <v>-0.53500000000000003</v>
      </c>
      <c r="AZ66" s="4">
        <v>0.89300000000000002</v>
      </c>
      <c r="BA66" s="4">
        <v>0.36</v>
      </c>
      <c r="BB66" s="4">
        <v>-0.26700000000000002</v>
      </c>
      <c r="BC66" s="4">
        <v>-0.24199999999999999</v>
      </c>
      <c r="BD66" s="4">
        <v>-0.24199999999999999</v>
      </c>
      <c r="BE66" s="4">
        <v>0.39700000000000002</v>
      </c>
      <c r="BF66" s="4">
        <v>-0.28399999999999997</v>
      </c>
      <c r="BG66" s="4">
        <v>0.13100000000000001</v>
      </c>
      <c r="BH66" s="4">
        <v>0.83399999999999996</v>
      </c>
      <c r="BI66" s="4">
        <v>-0.82399999999999995</v>
      </c>
      <c r="BJ66" s="4">
        <v>-5.7000000000000002E-2</v>
      </c>
      <c r="BK66" s="4">
        <v>0.35099999999999998</v>
      </c>
      <c r="BL66" s="4">
        <v>-0.92300000000000004</v>
      </c>
      <c r="BM66" s="4">
        <v>6.2E-2</v>
      </c>
      <c r="BN66" s="4"/>
    </row>
    <row r="67" spans="1:66" x14ac:dyDescent="0.3">
      <c r="A67" t="s">
        <v>95</v>
      </c>
      <c r="B67" s="53">
        <f t="shared" si="4"/>
        <v>0.03</v>
      </c>
      <c r="C67" s="53">
        <f t="shared" si="5"/>
        <v>-1.9589600000000026E-3</v>
      </c>
      <c r="D67" s="53">
        <f t="shared" si="6"/>
        <v>0</v>
      </c>
      <c r="E67" s="53">
        <f t="shared" si="7"/>
        <v>3.1958960000000002E-2</v>
      </c>
      <c r="F67" s="15">
        <v>1.5409999999999999</v>
      </c>
      <c r="G67">
        <v>3.3839999999999999</v>
      </c>
      <c r="H67" t="s">
        <v>53</v>
      </c>
      <c r="I67" t="str">
        <f>VLOOKUP(A67,Planilha6!$BL$9:$BN$222,2,0)</f>
        <v>float_financials</v>
      </c>
      <c r="J67" t="str">
        <f>VLOOKUP(A67,Planilha6!$BL$9:$BN$222,3,0)</f>
        <v>very_low_beta</v>
      </c>
      <c r="K67" s="17">
        <v>0.03</v>
      </c>
      <c r="L67" s="2">
        <v>-2E-3</v>
      </c>
      <c r="M67" s="5">
        <v>3.7350504844666701</v>
      </c>
      <c r="N67" s="41">
        <f>VLOOKUP(A67,'Mandato LP'!$A$2:$B$215,2,0)</f>
        <v>3.2301011995927602E-2</v>
      </c>
      <c r="O67" s="59">
        <f t="shared" si="8"/>
        <v>-2.3010119959276029E-3</v>
      </c>
      <c r="P67" s="42">
        <f t="shared" si="9"/>
        <v>-2.3010119959276029E-3</v>
      </c>
      <c r="Q67" s="41">
        <f>VLOOKUP(A67,'Mandato LP'!$A$2:$C$215,3,0)</f>
        <v>2.9982021530997702E-2</v>
      </c>
      <c r="R67" s="42">
        <f t="shared" si="10"/>
        <v>1.7978469002297159E-5</v>
      </c>
      <c r="S67" s="15">
        <v>-0.54</v>
      </c>
      <c r="T67" s="15">
        <v>-1.2999999999999999E-2</v>
      </c>
      <c r="U67" s="15">
        <v>-0.81799999999999995</v>
      </c>
      <c r="V67" s="15">
        <v>4.2000000000000003E-2</v>
      </c>
      <c r="W67" s="15">
        <v>-0.03</v>
      </c>
      <c r="X67" s="15">
        <v>0.25600000000000001</v>
      </c>
      <c r="Y67" s="15">
        <v>0.85399999999999998</v>
      </c>
      <c r="Z67" s="15">
        <v>0.57999999999999996</v>
      </c>
      <c r="AA67" s="15">
        <v>0.57299999999999995</v>
      </c>
      <c r="AB67" s="15">
        <v>0.58199999999999996</v>
      </c>
      <c r="AC67" s="15">
        <v>0.71099999999999997</v>
      </c>
      <c r="AD67" s="15">
        <v>0.76700000000000002</v>
      </c>
      <c r="AE67" s="15">
        <v>0.48</v>
      </c>
      <c r="AF67" s="14">
        <v>0.155</v>
      </c>
      <c r="AG67" s="110">
        <v>0.75</v>
      </c>
      <c r="AH67" s="110">
        <v>-0.14099999999999999</v>
      </c>
      <c r="AI67" s="110">
        <v>-0.80600000000000005</v>
      </c>
      <c r="AJ67" s="110">
        <v>-0.84699999999999998</v>
      </c>
      <c r="AK67" s="16">
        <v>-0.61199999999999999</v>
      </c>
      <c r="AL67" s="111">
        <v>-0.27700000000000002</v>
      </c>
      <c r="AM67" s="111">
        <v>0.61599999999999999</v>
      </c>
      <c r="AN67" s="4">
        <v>-0.94799999999999995</v>
      </c>
      <c r="AO67" s="4">
        <v>0.374</v>
      </c>
      <c r="AP67" s="4">
        <v>0.22900000000000001</v>
      </c>
      <c r="AQ67" s="4">
        <v>0.35599999999999998</v>
      </c>
      <c r="AR67" s="4">
        <v>0.17199999999999999</v>
      </c>
      <c r="AS67" s="4">
        <v>5.1999999999999998E-2</v>
      </c>
      <c r="AT67" s="4">
        <v>-0.33100000000000002</v>
      </c>
      <c r="AU67" s="4">
        <v>0.66900000000000004</v>
      </c>
      <c r="AV67" s="4">
        <v>0.36499999999999999</v>
      </c>
      <c r="AW67" s="4">
        <v>-0.27900000000000003</v>
      </c>
      <c r="AX67" s="4">
        <v>0.93</v>
      </c>
      <c r="AY67" s="4">
        <v>0.371</v>
      </c>
      <c r="AZ67" s="4">
        <v>0.83399999999999996</v>
      </c>
      <c r="BA67" s="4">
        <v>-0.92700000000000005</v>
      </c>
      <c r="BB67" s="4">
        <v>-0.53200000000000003</v>
      </c>
      <c r="BC67" s="4">
        <v>-6.6000000000000003E-2</v>
      </c>
      <c r="BD67" s="4">
        <v>-6.6000000000000003E-2</v>
      </c>
      <c r="BE67" s="4">
        <v>-0.99299999999999999</v>
      </c>
      <c r="BF67" s="4">
        <v>0.44400000000000001</v>
      </c>
      <c r="BG67" s="4">
        <v>0.20799999999999999</v>
      </c>
      <c r="BH67" s="4">
        <v>1</v>
      </c>
      <c r="BI67" s="4">
        <v>-0.45900000000000002</v>
      </c>
      <c r="BJ67" s="4">
        <v>-0.59199999999999997</v>
      </c>
      <c r="BK67" s="4">
        <v>-9.7000000000000003E-2</v>
      </c>
      <c r="BL67" s="4">
        <v>-0.57499999999999996</v>
      </c>
      <c r="BM67" s="4">
        <v>0.85799999999999998</v>
      </c>
      <c r="BN67" s="4"/>
    </row>
    <row r="68" spans="1:66" x14ac:dyDescent="0.3">
      <c r="A68" t="s">
        <v>108</v>
      </c>
      <c r="B68" s="53">
        <f t="shared" si="4"/>
        <v>1.9E-2</v>
      </c>
      <c r="C68" s="53">
        <f t="shared" si="5"/>
        <v>1.9E-2</v>
      </c>
      <c r="D68" s="53">
        <f t="shared" si="6"/>
        <v>0</v>
      </c>
      <c r="E68" s="53">
        <f t="shared" si="7"/>
        <v>0</v>
      </c>
      <c r="F68" s="15">
        <v>1.478</v>
      </c>
      <c r="G68">
        <v>1.948</v>
      </c>
      <c r="H68" t="s">
        <v>55</v>
      </c>
      <c r="I68" t="str">
        <f>VLOOKUP(A68,Planilha6!$BL$9:$BN$222,2,0)</f>
        <v>utilities</v>
      </c>
      <c r="J68" t="str">
        <f>VLOOKUP(A68,Planilha6!$BL$9:$BN$222,3,0)</f>
        <v>low_beta</v>
      </c>
      <c r="K68" s="17">
        <v>1.9E-2</v>
      </c>
      <c r="L68" s="2">
        <v>1.9E-2</v>
      </c>
      <c r="M68" s="5">
        <v>0.92677222987333296</v>
      </c>
      <c r="N68" s="41">
        <f>VLOOKUP(A68,'Mandato LP'!$A$2:$B$215,2,0)</f>
        <v>5.5731778295989897E-3</v>
      </c>
      <c r="O68" s="59">
        <f t="shared" si="8"/>
        <v>1.3426822170401011E-2</v>
      </c>
      <c r="P68" s="42">
        <f t="shared" si="9"/>
        <v>1.3426822170401011E-2</v>
      </c>
      <c r="Q68" s="41">
        <f>VLOOKUP(A68,'Mandato LP'!$A$2:$C$215,3,0)</f>
        <v>6.2475638733621797E-3</v>
      </c>
      <c r="R68" s="42">
        <f t="shared" si="10"/>
        <v>1.2752436126637821E-2</v>
      </c>
      <c r="S68" s="15">
        <v>-0.58399999999999996</v>
      </c>
      <c r="T68" s="15">
        <v>0.21099999999999999</v>
      </c>
      <c r="U68" s="15">
        <v>-0.62</v>
      </c>
      <c r="V68" s="15">
        <v>-0.39100000000000001</v>
      </c>
      <c r="W68" s="15">
        <v>-8.7999999999999995E-2</v>
      </c>
      <c r="X68" s="15">
        <v>5.6000000000000001E-2</v>
      </c>
      <c r="Y68" s="15">
        <v>0.58199999999999996</v>
      </c>
      <c r="Z68" s="15">
        <v>0.39100000000000001</v>
      </c>
      <c r="AA68" s="15">
        <v>0.90400000000000003</v>
      </c>
      <c r="AB68" s="15">
        <v>0.90800000000000003</v>
      </c>
      <c r="AC68" s="15">
        <v>0.65100000000000002</v>
      </c>
      <c r="AD68" s="15">
        <v>0.71099999999999997</v>
      </c>
      <c r="AE68" s="15">
        <v>0.64900000000000002</v>
      </c>
      <c r="AF68" s="14">
        <v>-0.54300000000000004</v>
      </c>
      <c r="AG68" s="110">
        <v>-0.67500000000000004</v>
      </c>
      <c r="AH68" s="110">
        <v>2E-3</v>
      </c>
      <c r="AI68" s="110">
        <v>-0.79</v>
      </c>
      <c r="AJ68" s="110">
        <v>-0.34200000000000003</v>
      </c>
      <c r="AK68" s="16">
        <v>-0.88800000000000001</v>
      </c>
      <c r="AL68" s="111">
        <v>-0.26900000000000002</v>
      </c>
      <c r="AM68" s="111">
        <v>0.155</v>
      </c>
      <c r="AN68" s="4">
        <v>-0.59299999999999997</v>
      </c>
      <c r="AO68" s="4">
        <v>-0.435</v>
      </c>
      <c r="AP68" s="4">
        <v>0.373</v>
      </c>
      <c r="AQ68" s="4">
        <v>0.45200000000000001</v>
      </c>
      <c r="AR68" s="4">
        <v>-0.16600000000000001</v>
      </c>
      <c r="AS68" s="4">
        <v>-0.14199999999999999</v>
      </c>
      <c r="AT68" s="4">
        <v>0.17499999999999999</v>
      </c>
      <c r="AU68" s="4">
        <v>0.191</v>
      </c>
      <c r="AV68" s="4">
        <v>0.503</v>
      </c>
      <c r="AW68" s="4">
        <v>-0.157</v>
      </c>
      <c r="AX68" s="4">
        <v>0.92500000000000004</v>
      </c>
      <c r="AY68" s="4">
        <v>-0.92800000000000005</v>
      </c>
      <c r="AZ68" s="4">
        <v>0.495</v>
      </c>
      <c r="BA68" s="4">
        <v>7.2999999999999995E-2</v>
      </c>
      <c r="BB68" s="4">
        <v>-2E-3</v>
      </c>
      <c r="BC68" s="4">
        <v>-0.41599999999999998</v>
      </c>
      <c r="BD68" s="4">
        <v>-0.52100000000000002</v>
      </c>
      <c r="BE68" s="4">
        <v>0.18</v>
      </c>
      <c r="BF68" s="4">
        <v>7.0000000000000007E-2</v>
      </c>
      <c r="BG68" s="4">
        <v>-0.189</v>
      </c>
      <c r="BH68" s="4">
        <v>0.93100000000000005</v>
      </c>
      <c r="BI68" s="4">
        <v>-0.435</v>
      </c>
      <c r="BJ68" s="4">
        <v>-0.27400000000000002</v>
      </c>
      <c r="BK68" s="4">
        <v>1</v>
      </c>
      <c r="BL68" s="4">
        <v>4.3999999999999997E-2</v>
      </c>
      <c r="BM68" s="4">
        <v>0.67</v>
      </c>
      <c r="BN68" s="4"/>
    </row>
    <row r="69" spans="1:66" x14ac:dyDescent="0.3">
      <c r="A69" t="s">
        <v>104</v>
      </c>
      <c r="B69" s="53">
        <f t="shared" si="4"/>
        <v>2.1000000000000001E-2</v>
      </c>
      <c r="C69" s="53">
        <f t="shared" si="5"/>
        <v>2.1000000000000001E-2</v>
      </c>
      <c r="D69" s="53">
        <f t="shared" si="6"/>
        <v>0</v>
      </c>
      <c r="E69" s="53">
        <f t="shared" si="7"/>
        <v>0</v>
      </c>
      <c r="F69" s="15">
        <v>1.4590000000000001</v>
      </c>
      <c r="G69">
        <v>1.9419999999999999</v>
      </c>
      <c r="H69" t="s">
        <v>55</v>
      </c>
      <c r="I69" t="str">
        <f>VLOOKUP(A69,Planilha6!$BL$9:$BN$222,2,0)</f>
        <v>utilities</v>
      </c>
      <c r="J69" t="str">
        <f>VLOOKUP(A69,Planilha6!$BL$9:$BN$222,3,0)</f>
        <v>low_beta</v>
      </c>
      <c r="K69" s="17">
        <v>2.1000000000000001E-2</v>
      </c>
      <c r="L69" s="2">
        <v>2.1000000000000001E-2</v>
      </c>
      <c r="M69" s="5">
        <v>0.92808671304666701</v>
      </c>
      <c r="N69" s="41">
        <f>VLOOKUP(A69,'Mandato LP'!$A$2:$B$215,2,0)</f>
        <v>5.5022486196948002E-3</v>
      </c>
      <c r="O69" s="59">
        <f t="shared" si="8"/>
        <v>1.5497751380305201E-2</v>
      </c>
      <c r="P69" s="42">
        <f t="shared" si="9"/>
        <v>1.5497751380305201E-2</v>
      </c>
      <c r="Q69" s="41">
        <f>VLOOKUP(A69,'Mandato LP'!$A$2:$C$215,3,0)</f>
        <v>6.6468270517203096E-3</v>
      </c>
      <c r="R69" s="42">
        <f t="shared" si="10"/>
        <v>1.4353172948279692E-2</v>
      </c>
      <c r="S69" s="15">
        <v>-0.55600000000000005</v>
      </c>
      <c r="T69" s="15">
        <v>0.219</v>
      </c>
      <c r="U69" s="15">
        <v>-0.63600000000000001</v>
      </c>
      <c r="V69" s="15">
        <v>-0.36</v>
      </c>
      <c r="W69" s="15">
        <v>-8.7999999999999995E-2</v>
      </c>
      <c r="X69" s="15">
        <v>4.2999999999999997E-2</v>
      </c>
      <c r="Y69" s="15">
        <v>0.54500000000000004</v>
      </c>
      <c r="Z69" s="15">
        <v>0.374</v>
      </c>
      <c r="AA69" s="15">
        <v>0.85199999999999998</v>
      </c>
      <c r="AB69" s="15">
        <v>0.85599999999999998</v>
      </c>
      <c r="AC69" s="15">
        <v>0.64200000000000002</v>
      </c>
      <c r="AD69" s="15">
        <v>0.65200000000000002</v>
      </c>
      <c r="AE69" s="15">
        <v>0.66100000000000003</v>
      </c>
      <c r="AF69" s="14">
        <v>-0.54800000000000004</v>
      </c>
      <c r="AG69" s="110">
        <v>-0.68</v>
      </c>
      <c r="AH69" s="110">
        <v>9.5000000000000001E-2</v>
      </c>
      <c r="AI69" s="110">
        <v>-0.79300000000000004</v>
      </c>
      <c r="AJ69" s="110">
        <v>-0.28199999999999997</v>
      </c>
      <c r="AK69" s="16">
        <v>-0.88800000000000001</v>
      </c>
      <c r="AL69" s="111">
        <v>-0.26900000000000002</v>
      </c>
      <c r="AM69" s="111">
        <v>0.14499999999999999</v>
      </c>
      <c r="AN69" s="4">
        <v>-0.59299999999999997</v>
      </c>
      <c r="AO69" s="4">
        <v>-0.44</v>
      </c>
      <c r="AP69" s="4">
        <v>0.41699999999999998</v>
      </c>
      <c r="AQ69" s="4">
        <v>0.49199999999999999</v>
      </c>
      <c r="AR69" s="4">
        <v>-0.16600000000000001</v>
      </c>
      <c r="AS69" s="4">
        <v>-0.14199999999999999</v>
      </c>
      <c r="AT69" s="4">
        <v>0.17499999999999999</v>
      </c>
      <c r="AU69" s="4">
        <v>0.191</v>
      </c>
      <c r="AV69" s="4">
        <v>0.503</v>
      </c>
      <c r="AW69" s="4">
        <v>-0.157</v>
      </c>
      <c r="AX69" s="4">
        <v>0.91700000000000004</v>
      </c>
      <c r="AY69" s="4">
        <v>-0.92800000000000005</v>
      </c>
      <c r="AZ69" s="4">
        <v>0.495</v>
      </c>
      <c r="BA69" s="4">
        <v>4.0000000000000001E-3</v>
      </c>
      <c r="BB69" s="4">
        <v>0.26100000000000001</v>
      </c>
      <c r="BC69" s="4">
        <v>-0.41599999999999998</v>
      </c>
      <c r="BD69" s="4">
        <v>-0.52100000000000002</v>
      </c>
      <c r="BE69" s="4">
        <v>0.188</v>
      </c>
      <c r="BF69" s="4">
        <v>7.4999999999999997E-2</v>
      </c>
      <c r="BG69" s="4">
        <v>-0.58799999999999997</v>
      </c>
      <c r="BH69" s="4">
        <v>0.82299999999999995</v>
      </c>
      <c r="BI69" s="4">
        <v>-0.44400000000000001</v>
      </c>
      <c r="BJ69" s="4">
        <v>-0.247</v>
      </c>
      <c r="BK69" s="4">
        <v>0.90300000000000002</v>
      </c>
      <c r="BL69" s="4">
        <v>4.3999999999999997E-2</v>
      </c>
      <c r="BM69" s="4">
        <v>0.69</v>
      </c>
      <c r="BN69" s="4"/>
    </row>
    <row r="70" spans="1:66" x14ac:dyDescent="0.3">
      <c r="A70" t="s">
        <v>232</v>
      </c>
      <c r="B70" s="53">
        <f t="shared" si="4"/>
        <v>7.0000000000000001E-3</v>
      </c>
      <c r="C70" s="53">
        <f t="shared" si="5"/>
        <v>6.6640600000000003E-3</v>
      </c>
      <c r="D70" s="53">
        <f t="shared" si="6"/>
        <v>0</v>
      </c>
      <c r="E70" s="53">
        <f t="shared" si="7"/>
        <v>3.3594000000000001E-4</v>
      </c>
      <c r="F70" s="15">
        <v>1.4379999999999999</v>
      </c>
      <c r="G70">
        <v>1.111</v>
      </c>
      <c r="H70" t="s">
        <v>57</v>
      </c>
      <c r="I70" t="str">
        <f>VLOOKUP(A70,Planilha6!$BL$9:$BN$222,2,0)</f>
        <v>apparel</v>
      </c>
      <c r="J70" t="str">
        <f>VLOOKUP(A70,Planilha6!$BL$9:$BN$222,3,0)</f>
        <v>neutral_beta</v>
      </c>
      <c r="K70" s="17">
        <v>7.0000000000000001E-3</v>
      </c>
      <c r="L70" s="2">
        <v>7.0000000000000001E-3</v>
      </c>
      <c r="M70" s="5">
        <v>1.8415181742</v>
      </c>
      <c r="N70" s="41">
        <f>VLOOKUP(A70,'Mandato LP'!$A$2:$B$215,2,0)</f>
        <v>5.5051006115204902E-3</v>
      </c>
      <c r="O70" s="59">
        <f t="shared" si="8"/>
        <v>1.4948993884795099E-3</v>
      </c>
      <c r="P70" s="42">
        <f t="shared" si="9"/>
        <v>1.4948993884795099E-3</v>
      </c>
      <c r="Q70" s="41">
        <f>VLOOKUP(A70,'Mandato LP'!$A$2:$C$215,3,0)</f>
        <v>0</v>
      </c>
      <c r="R70" s="42">
        <f t="shared" si="10"/>
        <v>7.0000000000000001E-3</v>
      </c>
      <c r="S70" s="15">
        <v>9.0999999999999998E-2</v>
      </c>
      <c r="T70" s="15">
        <v>-6.8000000000000005E-2</v>
      </c>
      <c r="U70" s="15">
        <v>-6.9000000000000006E-2</v>
      </c>
      <c r="V70" s="15">
        <v>7.6999999999999999E-2</v>
      </c>
      <c r="W70" s="15">
        <v>5.8000000000000003E-2</v>
      </c>
      <c r="X70" s="15">
        <v>1.4999999999999999E-2</v>
      </c>
      <c r="Y70" s="15">
        <v>-2.1999999999999999E-2</v>
      </c>
      <c r="Z70" s="15">
        <v>-8.1000000000000003E-2</v>
      </c>
      <c r="AA70" s="15">
        <v>0.52</v>
      </c>
      <c r="AB70" s="15">
        <v>0.52200000000000002</v>
      </c>
      <c r="AC70" s="15">
        <v>0.78300000000000003</v>
      </c>
      <c r="AD70" s="15">
        <v>0.91100000000000003</v>
      </c>
      <c r="AE70" s="15">
        <v>0.59499999999999997</v>
      </c>
      <c r="AF70" s="14">
        <v>0.29599999999999999</v>
      </c>
      <c r="AG70" s="110">
        <v>0.434</v>
      </c>
      <c r="AH70" s="110">
        <v>0.38200000000000001</v>
      </c>
      <c r="AI70" s="110">
        <v>8.9999999999999993E-3</v>
      </c>
      <c r="AJ70" s="110">
        <v>3.0000000000000001E-3</v>
      </c>
      <c r="AK70" s="16">
        <v>-0.255</v>
      </c>
      <c r="AL70" s="111">
        <v>0.17799999999999999</v>
      </c>
      <c r="AM70" s="111">
        <v>-4.4999999999999998E-2</v>
      </c>
      <c r="AN70" s="4">
        <v>0.33500000000000002</v>
      </c>
      <c r="AO70" s="4">
        <v>1</v>
      </c>
      <c r="AP70" s="4">
        <v>-0.26500000000000001</v>
      </c>
      <c r="AQ70" s="4">
        <v>0.17199999999999999</v>
      </c>
      <c r="AR70" s="4">
        <v>-5.0000000000000001E-3</v>
      </c>
      <c r="AS70" s="4">
        <v>0.76100000000000001</v>
      </c>
      <c r="AT70" s="4">
        <v>0.312</v>
      </c>
      <c r="AU70" s="4">
        <v>0.21199999999999999</v>
      </c>
      <c r="AV70" s="4">
        <v>3.1E-2</v>
      </c>
      <c r="AW70" s="4">
        <v>6.8000000000000005E-2</v>
      </c>
      <c r="AX70" s="4">
        <v>-0.27600000000000002</v>
      </c>
      <c r="AY70" s="4">
        <v>-0.186</v>
      </c>
      <c r="AZ70" s="4">
        <v>0.86599999999999999</v>
      </c>
      <c r="BA70" s="4">
        <v>0.49199999999999999</v>
      </c>
      <c r="BB70" s="4">
        <v>-0.66700000000000004</v>
      </c>
      <c r="BC70" s="4">
        <v>-0.47399999999999998</v>
      </c>
      <c r="BD70" s="4">
        <v>-0.30499999999999999</v>
      </c>
      <c r="BE70" s="4">
        <v>-0.58699999999999997</v>
      </c>
      <c r="BF70" s="4">
        <v>1</v>
      </c>
      <c r="BG70" s="4">
        <v>1</v>
      </c>
      <c r="BH70" s="4">
        <v>0.43</v>
      </c>
      <c r="BI70" s="4">
        <v>0.33600000000000002</v>
      </c>
      <c r="BJ70" s="4">
        <v>-3.3000000000000002E-2</v>
      </c>
      <c r="BK70" s="4">
        <v>-0.74299999999999999</v>
      </c>
      <c r="BL70" s="4">
        <v>0.22500000000000001</v>
      </c>
      <c r="BM70" s="4">
        <v>0.18</v>
      </c>
      <c r="BN70" s="4"/>
    </row>
    <row r="71" spans="1:66" x14ac:dyDescent="0.3">
      <c r="A71" t="s">
        <v>188</v>
      </c>
      <c r="B71" s="53">
        <f t="shared" si="4"/>
        <v>1.9E-2</v>
      </c>
      <c r="C71" s="53">
        <f t="shared" si="5"/>
        <v>1.672003E-2</v>
      </c>
      <c r="D71" s="53">
        <f t="shared" si="6"/>
        <v>0</v>
      </c>
      <c r="E71" s="53">
        <f t="shared" si="7"/>
        <v>2.2799700000000001E-3</v>
      </c>
      <c r="F71" s="15">
        <v>1.4339999999999999</v>
      </c>
      <c r="G71">
        <v>1.909</v>
      </c>
      <c r="H71" t="s">
        <v>55</v>
      </c>
      <c r="I71" t="str">
        <f>VLOOKUP(A71,Planilha6!$BL$9:$BN$222,2,0)</f>
        <v>utilities</v>
      </c>
      <c r="J71" t="str">
        <f>VLOOKUP(A71,Planilha6!$BL$9:$BN$222,3,0)</f>
        <v>high_beta</v>
      </c>
      <c r="K71" s="17">
        <v>1.9E-2</v>
      </c>
      <c r="L71" s="2">
        <v>1.6E-2</v>
      </c>
      <c r="M71" s="5">
        <v>2.8015332251033298</v>
      </c>
      <c r="N71" s="41">
        <f>VLOOKUP(A71,'Mandato LP'!$A$2:$B$215,2,0)</f>
        <v>6.2770234370053404E-3</v>
      </c>
      <c r="O71" s="59">
        <f t="shared" si="8"/>
        <v>1.2722976562994658E-2</v>
      </c>
      <c r="P71" s="42">
        <f t="shared" si="9"/>
        <v>1.2722976562994658E-2</v>
      </c>
      <c r="Q71" s="41">
        <f>VLOOKUP(A71,'Mandato LP'!$A$2:$C$215,3,0)</f>
        <v>9.4616072201836598E-3</v>
      </c>
      <c r="R71" s="42">
        <f t="shared" si="10"/>
        <v>9.5383927798163397E-3</v>
      </c>
      <c r="S71" s="15">
        <v>-0.26400000000000001</v>
      </c>
      <c r="T71" s="15">
        <v>0.48</v>
      </c>
      <c r="U71" s="15">
        <v>-0.64900000000000002</v>
      </c>
      <c r="V71" s="15">
        <v>-0.22800000000000001</v>
      </c>
      <c r="W71" s="15">
        <v>-7.0000000000000001E-3</v>
      </c>
      <c r="X71" s="15">
        <v>8.4000000000000005E-2</v>
      </c>
      <c r="Y71" s="15">
        <v>0.158</v>
      </c>
      <c r="Z71" s="15">
        <v>0.112</v>
      </c>
      <c r="AA71" s="15">
        <v>0.63</v>
      </c>
      <c r="AB71" s="15">
        <v>0.63800000000000001</v>
      </c>
      <c r="AC71" s="15">
        <v>0.72</v>
      </c>
      <c r="AD71" s="15">
        <v>0.82299999999999995</v>
      </c>
      <c r="AE71" s="15">
        <v>0.71</v>
      </c>
      <c r="AF71" s="14">
        <v>-0.65700000000000003</v>
      </c>
      <c r="AG71" s="110">
        <v>-0.442</v>
      </c>
      <c r="AH71" s="110">
        <v>0.55700000000000005</v>
      </c>
      <c r="AI71" s="110">
        <v>-1</v>
      </c>
      <c r="AJ71" s="110">
        <v>-0.57999999999999996</v>
      </c>
      <c r="AK71" s="16">
        <v>-0.998</v>
      </c>
      <c r="AL71" s="111">
        <v>-0.371</v>
      </c>
      <c r="AM71" s="111">
        <v>-0.36399999999999999</v>
      </c>
      <c r="AN71" s="4">
        <v>-0.56399999999999995</v>
      </c>
      <c r="AO71" s="4">
        <v>-0.52700000000000002</v>
      </c>
      <c r="AP71" s="4">
        <v>0.82599999999999996</v>
      </c>
      <c r="AQ71" s="4">
        <v>0.90900000000000003</v>
      </c>
      <c r="AR71" s="4">
        <v>0.13900000000000001</v>
      </c>
      <c r="AS71" s="4">
        <v>1</v>
      </c>
      <c r="AT71" s="4">
        <v>0.31</v>
      </c>
      <c r="AU71" s="4">
        <v>-4.8000000000000001E-2</v>
      </c>
      <c r="AV71" s="4">
        <v>-3.0000000000000001E-3</v>
      </c>
      <c r="AW71" s="4">
        <v>-9.8000000000000004E-2</v>
      </c>
      <c r="AX71" s="4">
        <v>0.35799999999999998</v>
      </c>
      <c r="AY71" s="4">
        <v>-0.68400000000000005</v>
      </c>
      <c r="AZ71" s="4">
        <v>0.74399999999999999</v>
      </c>
      <c r="BA71" s="4">
        <v>0.92600000000000005</v>
      </c>
      <c r="BB71" s="4">
        <v>0.61599999999999999</v>
      </c>
      <c r="BC71" s="4">
        <v>0.12</v>
      </c>
      <c r="BD71" s="4">
        <v>-0.26100000000000001</v>
      </c>
      <c r="BE71" s="4">
        <v>0.63</v>
      </c>
      <c r="BF71" s="4">
        <v>-0.32100000000000001</v>
      </c>
      <c r="BG71" s="4">
        <v>5.0999999999999997E-2</v>
      </c>
      <c r="BH71" s="4">
        <v>0.69499999999999995</v>
      </c>
      <c r="BI71" s="4">
        <v>-0.73899999999999999</v>
      </c>
      <c r="BJ71" s="4">
        <v>6.5000000000000002E-2</v>
      </c>
      <c r="BK71" s="4">
        <v>0.182</v>
      </c>
      <c r="BL71" s="4">
        <v>-1</v>
      </c>
      <c r="BM71" s="4">
        <v>8.3000000000000004E-2</v>
      </c>
      <c r="BN71" s="4"/>
    </row>
    <row r="72" spans="1:66" x14ac:dyDescent="0.3">
      <c r="A72" t="s">
        <v>113</v>
      </c>
      <c r="B72" s="53">
        <f t="shared" si="4"/>
        <v>2.7E-2</v>
      </c>
      <c r="C72" s="53">
        <f t="shared" si="5"/>
        <v>-4.5898000000000015E-3</v>
      </c>
      <c r="D72" s="53">
        <f t="shared" si="6"/>
        <v>0</v>
      </c>
      <c r="E72" s="53">
        <f t="shared" si="7"/>
        <v>3.1589800000000001E-2</v>
      </c>
      <c r="F72" s="15">
        <v>1.429</v>
      </c>
      <c r="G72">
        <v>3.1389999999999998</v>
      </c>
      <c r="H72" t="s">
        <v>57</v>
      </c>
      <c r="I72" t="str">
        <f>VLOOKUP(A72,Planilha6!$BL$9:$BN$222,2,0)</f>
        <v>banks</v>
      </c>
      <c r="J72" t="str">
        <f>VLOOKUP(A72,Planilha6!$BL$9:$BN$222,3,0)</f>
        <v>neutral_beta</v>
      </c>
      <c r="K72" s="17">
        <v>2.7E-2</v>
      </c>
      <c r="L72" s="2">
        <v>-4.0000000000000001E-3</v>
      </c>
      <c r="M72" s="5">
        <v>1.20038977633333</v>
      </c>
      <c r="N72" s="41">
        <f>VLOOKUP(A72,'Mandato LP'!$A$2:$B$215,2,0)</f>
        <v>2.9957576786334799E-2</v>
      </c>
      <c r="O72" s="59">
        <f t="shared" si="8"/>
        <v>-2.9575767863347993E-3</v>
      </c>
      <c r="P72" s="42">
        <f t="shared" si="9"/>
        <v>-2.9575767863347993E-3</v>
      </c>
      <c r="Q72" s="41">
        <f>VLOOKUP(A72,'Mandato LP'!$A$2:$C$215,3,0)</f>
        <v>3.0666905071777498E-2</v>
      </c>
      <c r="R72" s="42">
        <f t="shared" si="10"/>
        <v>-3.6669050717774987E-3</v>
      </c>
      <c r="S72" s="15">
        <v>-0.34799999999999998</v>
      </c>
      <c r="T72" s="15">
        <v>0.16900000000000001</v>
      </c>
      <c r="U72" s="15">
        <v>-0.67500000000000004</v>
      </c>
      <c r="V72" s="15">
        <v>-0.22500000000000001</v>
      </c>
      <c r="W72" s="15">
        <v>-0.11700000000000001</v>
      </c>
      <c r="X72" s="15">
        <v>-7.0000000000000001E-3</v>
      </c>
      <c r="Y72" s="15">
        <v>0.156</v>
      </c>
      <c r="Z72" s="15">
        <v>0.154</v>
      </c>
      <c r="AA72" s="15">
        <v>0.84799999999999998</v>
      </c>
      <c r="AB72" s="15">
        <v>0.85399999999999998</v>
      </c>
      <c r="AC72" s="15">
        <v>0.73399999999999999</v>
      </c>
      <c r="AD72" s="15">
        <v>0.96899999999999997</v>
      </c>
      <c r="AE72" s="15">
        <v>0.71499999999999997</v>
      </c>
      <c r="AF72" s="14">
        <v>-0.59699999999999998</v>
      </c>
      <c r="AG72" s="110">
        <v>-0.151</v>
      </c>
      <c r="AH72" s="110">
        <v>0.53700000000000003</v>
      </c>
      <c r="AI72" s="110">
        <v>-0.92700000000000005</v>
      </c>
      <c r="AJ72" s="110">
        <v>-0.84399999999999997</v>
      </c>
      <c r="AK72" s="16">
        <v>-1</v>
      </c>
      <c r="AL72" s="111">
        <v>-0.11799999999999999</v>
      </c>
      <c r="AM72" s="111">
        <v>0.155</v>
      </c>
      <c r="AN72" s="4">
        <v>-7.9000000000000001E-2</v>
      </c>
      <c r="AO72" s="4">
        <v>-3.0000000000000001E-3</v>
      </c>
      <c r="AP72" s="4">
        <v>0.22700000000000001</v>
      </c>
      <c r="AQ72" s="4">
        <v>0.38400000000000001</v>
      </c>
      <c r="AR72" s="4">
        <v>5.7000000000000002E-2</v>
      </c>
      <c r="AS72" s="4">
        <v>0.27600000000000002</v>
      </c>
      <c r="AT72" s="4">
        <v>0.77500000000000002</v>
      </c>
      <c r="AU72" s="4">
        <v>-4.2000000000000003E-2</v>
      </c>
      <c r="AV72" s="4">
        <v>-0.115</v>
      </c>
      <c r="AW72" s="4">
        <v>-0.317</v>
      </c>
      <c r="AX72" s="4">
        <v>0.316</v>
      </c>
      <c r="AY72" s="4">
        <v>-0.374</v>
      </c>
      <c r="AZ72" s="4">
        <v>0.84</v>
      </c>
      <c r="BA72" s="4">
        <v>0.39800000000000002</v>
      </c>
      <c r="BB72" s="4">
        <v>1E-3</v>
      </c>
      <c r="BC72" s="4">
        <v>-0.20699999999999999</v>
      </c>
      <c r="BD72" s="4">
        <v>-0.08</v>
      </c>
      <c r="BE72" s="4">
        <v>0.34599999999999997</v>
      </c>
      <c r="BF72" s="4">
        <v>-0.122</v>
      </c>
      <c r="BG72" s="4">
        <v>-0.45400000000000001</v>
      </c>
      <c r="BH72" s="4">
        <v>0.81699999999999995</v>
      </c>
      <c r="BI72" s="4">
        <v>-0.42199999999999999</v>
      </c>
      <c r="BJ72" s="4">
        <v>-0.03</v>
      </c>
      <c r="BK72" s="4">
        <v>0.16200000000000001</v>
      </c>
      <c r="BL72" s="4">
        <v>-0.754</v>
      </c>
      <c r="BM72" s="4">
        <v>0.312</v>
      </c>
      <c r="BN72" s="4"/>
    </row>
    <row r="73" spans="1:66" x14ac:dyDescent="0.3">
      <c r="A73" t="s">
        <v>122</v>
      </c>
      <c r="B73" s="53">
        <f t="shared" si="4"/>
        <v>1.0999999999999999E-2</v>
      </c>
      <c r="C73" s="53">
        <f t="shared" si="5"/>
        <v>9.6894800000000003E-3</v>
      </c>
      <c r="D73" s="53">
        <f t="shared" si="6"/>
        <v>0</v>
      </c>
      <c r="E73" s="53">
        <f t="shared" si="7"/>
        <v>1.3105199999999999E-3</v>
      </c>
      <c r="F73" s="15">
        <v>1.37</v>
      </c>
      <c r="G73">
        <v>1.39</v>
      </c>
      <c r="H73" t="s">
        <v>57</v>
      </c>
      <c r="I73" t="str">
        <f>VLOOKUP(A73,Planilha6!$BL$9:$BN$222,2,0)</f>
        <v>banks</v>
      </c>
      <c r="J73" t="str">
        <f>VLOOKUP(A73,Planilha6!$BL$9:$BN$222,3,0)</f>
        <v>very_low_beta</v>
      </c>
      <c r="K73" s="17">
        <v>1.0999999999999999E-2</v>
      </c>
      <c r="L73" s="2">
        <v>0.01</v>
      </c>
      <c r="M73" s="5">
        <v>1.61</v>
      </c>
      <c r="N73" s="41">
        <f>VLOOKUP(A73,'Mandato LP'!$A$2:$B$215,2,0)</f>
        <v>5.5410634338436404E-3</v>
      </c>
      <c r="O73" s="59">
        <f t="shared" si="8"/>
        <v>5.4589365661563589E-3</v>
      </c>
      <c r="P73" s="42">
        <f t="shared" si="9"/>
        <v>5.4589365661563589E-3</v>
      </c>
      <c r="Q73" s="41">
        <f>VLOOKUP(A73,'Mandato LP'!$A$2:$C$215,3,0)</f>
        <v>0</v>
      </c>
      <c r="R73" s="42">
        <f t="shared" si="10"/>
        <v>1.0999999999999999E-2</v>
      </c>
      <c r="S73" s="15">
        <v>-0.14199999999999999</v>
      </c>
      <c r="T73" s="15">
        <v>-0.08</v>
      </c>
      <c r="U73" s="15">
        <v>0.14099999999999999</v>
      </c>
      <c r="V73" s="15">
        <v>-0.56499999999999995</v>
      </c>
      <c r="W73" s="15">
        <v>-0.155</v>
      </c>
      <c r="X73" s="15">
        <v>-7.5999999999999998E-2</v>
      </c>
      <c r="Y73" s="15">
        <v>8.1000000000000003E-2</v>
      </c>
      <c r="Z73" s="15">
        <v>0.182</v>
      </c>
      <c r="AA73" s="15">
        <v>0.36199999999999999</v>
      </c>
      <c r="AB73" s="15">
        <v>0.36299999999999999</v>
      </c>
      <c r="AC73" s="15">
        <v>0.64500000000000002</v>
      </c>
      <c r="AD73" s="15">
        <v>0.622</v>
      </c>
      <c r="AE73" s="15">
        <v>0.70899999999999996</v>
      </c>
      <c r="AF73" s="14">
        <v>-0.43099999999999999</v>
      </c>
      <c r="AG73" s="110">
        <v>-0.74</v>
      </c>
      <c r="AH73" s="110">
        <v>-0.66800000000000004</v>
      </c>
      <c r="AI73" s="110">
        <v>-0.35599999999999998</v>
      </c>
      <c r="AJ73" s="110">
        <v>0.26200000000000001</v>
      </c>
      <c r="AK73" s="16">
        <v>0.68100000000000005</v>
      </c>
      <c r="AL73" s="111">
        <v>-0.79900000000000004</v>
      </c>
      <c r="AM73" s="111">
        <v>0.33800000000000002</v>
      </c>
      <c r="AN73" s="4">
        <v>-0.64800000000000002</v>
      </c>
      <c r="AO73" s="4">
        <v>-9.6000000000000002E-2</v>
      </c>
      <c r="AP73" s="4">
        <v>0.112</v>
      </c>
      <c r="AQ73" s="4">
        <v>6.9000000000000006E-2</v>
      </c>
      <c r="AR73" s="4">
        <v>-0.23799999999999999</v>
      </c>
      <c r="AS73" s="4">
        <v>0.08</v>
      </c>
      <c r="AT73" s="4">
        <v>0.34699999999999998</v>
      </c>
      <c r="AU73" s="4">
        <v>-0.23499999999999999</v>
      </c>
      <c r="AV73" s="4">
        <v>0.21299999999999999</v>
      </c>
      <c r="AW73" s="4">
        <v>-0.217</v>
      </c>
      <c r="AX73" s="4">
        <v>0.55700000000000005</v>
      </c>
      <c r="AY73" s="4">
        <v>1</v>
      </c>
      <c r="AZ73" s="4">
        <v>2.8000000000000001E-2</v>
      </c>
      <c r="BA73" s="4">
        <v>0.46400000000000002</v>
      </c>
      <c r="BB73" s="4">
        <v>0.61399999999999999</v>
      </c>
      <c r="BC73" s="4">
        <v>0.20499999999999999</v>
      </c>
      <c r="BD73" s="4">
        <v>0.253</v>
      </c>
      <c r="BE73" s="4">
        <v>4.0000000000000001E-3</v>
      </c>
      <c r="BF73" s="4">
        <v>0.156</v>
      </c>
      <c r="BG73" s="4">
        <v>-0.20200000000000001</v>
      </c>
      <c r="BH73" s="4">
        <v>0.51900000000000002</v>
      </c>
      <c r="BI73" s="4">
        <v>-0.65200000000000002</v>
      </c>
      <c r="BJ73" s="4">
        <v>-0.38100000000000001</v>
      </c>
      <c r="BK73" s="4">
        <v>0.58599999999999997</v>
      </c>
      <c r="BL73" s="4">
        <v>0.746</v>
      </c>
      <c r="BM73" s="4">
        <v>-0.15</v>
      </c>
      <c r="BN73" s="4"/>
    </row>
    <row r="74" spans="1:66" x14ac:dyDescent="0.3">
      <c r="A74" t="s">
        <v>185</v>
      </c>
      <c r="B74" s="53">
        <f t="shared" ref="B74:B137" si="11">K74</f>
        <v>1.7999999999999999E-2</v>
      </c>
      <c r="C74" s="53">
        <f t="shared" ref="C74:C137" si="12">B74-E74</f>
        <v>1.4682839999999999E-2</v>
      </c>
      <c r="D74" s="53">
        <f t="shared" ref="D74:D137" si="13">B74-K74</f>
        <v>0</v>
      </c>
      <c r="E74" s="53">
        <f t="shared" ref="E74:E137" si="14">VLOOKUP(A74,$J$295:$K$508,2,0)</f>
        <v>3.31716E-3</v>
      </c>
      <c r="F74" s="15">
        <v>1.355</v>
      </c>
      <c r="G74">
        <v>1.964</v>
      </c>
      <c r="H74" t="s">
        <v>55</v>
      </c>
      <c r="I74" t="str">
        <f>VLOOKUP(A74,Planilha6!$BL$9:$BN$222,2,0)</f>
        <v>utilities</v>
      </c>
      <c r="J74" t="str">
        <f>VLOOKUP(A74,Planilha6!$BL$9:$BN$222,3,0)</f>
        <v>neutral_beta</v>
      </c>
      <c r="K74" s="17">
        <v>1.7999999999999999E-2</v>
      </c>
      <c r="L74" s="2">
        <v>1.4E-2</v>
      </c>
      <c r="M74" s="5">
        <v>0.63777645766666702</v>
      </c>
      <c r="N74" s="41">
        <f>VLOOKUP(A74,'Mandato LP'!$A$2:$B$215,2,0)</f>
        <v>6.5708499058699703E-3</v>
      </c>
      <c r="O74" s="59">
        <f t="shared" ref="O74:O137" si="15">K74-N74</f>
        <v>1.1429150094130029E-2</v>
      </c>
      <c r="P74" s="42">
        <f t="shared" ref="P74:P137" si="16">B74-N74</f>
        <v>1.1429150094130029E-2</v>
      </c>
      <c r="Q74" s="41">
        <f>VLOOKUP(A74,'Mandato LP'!$A$2:$C$215,3,0)</f>
        <v>1.0962730591200299E-2</v>
      </c>
      <c r="R74" s="42">
        <f t="shared" ref="R74:R137" si="17">K74-Q74</f>
        <v>7.0372694087996995E-3</v>
      </c>
      <c r="S74" s="15">
        <v>-0.36499999999999999</v>
      </c>
      <c r="T74" s="15">
        <v>0.28999999999999998</v>
      </c>
      <c r="U74" s="15">
        <v>-0.71299999999999997</v>
      </c>
      <c r="V74" s="15">
        <v>-0.13800000000000001</v>
      </c>
      <c r="W74" s="15">
        <v>-2.1999999999999999E-2</v>
      </c>
      <c r="X74" s="15">
        <v>2.9000000000000001E-2</v>
      </c>
      <c r="Y74" s="15">
        <v>0.109</v>
      </c>
      <c r="Z74" s="15">
        <v>0.14899999999999999</v>
      </c>
      <c r="AA74" s="15">
        <v>0.60199999999999998</v>
      </c>
      <c r="AB74" s="15">
        <v>0.60799999999999998</v>
      </c>
      <c r="AC74" s="15">
        <v>0.70899999999999996</v>
      </c>
      <c r="AD74" s="15">
        <v>0.871</v>
      </c>
      <c r="AE74" s="15">
        <v>0.7</v>
      </c>
      <c r="AF74" s="14">
        <v>-0.54600000000000004</v>
      </c>
      <c r="AG74" s="110">
        <v>-0.32900000000000001</v>
      </c>
      <c r="AH74" s="110">
        <v>0.39100000000000001</v>
      </c>
      <c r="AI74" s="110">
        <v>-0.93799999999999994</v>
      </c>
      <c r="AJ74" s="110">
        <v>-0.39700000000000002</v>
      </c>
      <c r="AK74" s="16">
        <v>-0.92500000000000004</v>
      </c>
      <c r="AL74" s="111">
        <v>-0.34200000000000003</v>
      </c>
      <c r="AM74" s="111">
        <v>-0.188</v>
      </c>
      <c r="AN74" s="4">
        <v>-0.64500000000000002</v>
      </c>
      <c r="AO74" s="4">
        <v>-0.56699999999999995</v>
      </c>
      <c r="AP74" s="4">
        <v>0.69599999999999995</v>
      </c>
      <c r="AQ74" s="4">
        <v>0.86899999999999999</v>
      </c>
      <c r="AR74" s="4">
        <v>0.34399999999999997</v>
      </c>
      <c r="AS74" s="4">
        <v>0.439</v>
      </c>
      <c r="AT74" s="4">
        <v>0.92300000000000004</v>
      </c>
      <c r="AU74" s="4">
        <v>0.121</v>
      </c>
      <c r="AV74" s="4">
        <v>-0.22</v>
      </c>
      <c r="AW74" s="4">
        <v>-6.3E-2</v>
      </c>
      <c r="AX74" s="4">
        <v>0.66300000000000003</v>
      </c>
      <c r="AY74" s="4">
        <v>-0.59299999999999997</v>
      </c>
      <c r="AZ74" s="4">
        <v>0.96699999999999997</v>
      </c>
      <c r="BA74" s="4">
        <v>0.56299999999999994</v>
      </c>
      <c r="BB74" s="4">
        <v>0.6</v>
      </c>
      <c r="BC74" s="4">
        <v>0.17299999999999999</v>
      </c>
      <c r="BD74" s="4">
        <v>-0.29799999999999999</v>
      </c>
      <c r="BE74" s="4">
        <v>0.28699999999999998</v>
      </c>
      <c r="BF74" s="4">
        <v>-0.48499999999999999</v>
      </c>
      <c r="BG74" s="4">
        <v>0.16600000000000001</v>
      </c>
      <c r="BH74" s="4">
        <v>0.57299999999999995</v>
      </c>
      <c r="BI74" s="4">
        <v>-0.82599999999999996</v>
      </c>
      <c r="BJ74" s="4">
        <v>-8.3000000000000004E-2</v>
      </c>
      <c r="BK74" s="4">
        <v>-0.26600000000000001</v>
      </c>
      <c r="BL74" s="4">
        <v>-0.436</v>
      </c>
      <c r="BM74" s="4">
        <v>-0.32700000000000001</v>
      </c>
      <c r="BN74" s="4"/>
    </row>
    <row r="75" spans="1:66" x14ac:dyDescent="0.3">
      <c r="A75" t="s">
        <v>82</v>
      </c>
      <c r="B75" s="53">
        <v>4.4999999999999998E-2</v>
      </c>
      <c r="C75" s="53">
        <f t="shared" si="12"/>
        <v>3.5630729999999999E-2</v>
      </c>
      <c r="D75" s="53">
        <f t="shared" si="13"/>
        <v>1.9E-2</v>
      </c>
      <c r="E75" s="53">
        <f t="shared" si="14"/>
        <v>9.3692700000000007E-3</v>
      </c>
      <c r="F75" s="15">
        <v>1.349</v>
      </c>
      <c r="G75">
        <v>2.2400000000000002</v>
      </c>
      <c r="H75" t="s">
        <v>71</v>
      </c>
      <c r="I75" t="str">
        <f>VLOOKUP(A75,Planilha6!$BL$9:$BN$222,2,0)</f>
        <v>basic_materials</v>
      </c>
      <c r="J75" t="str">
        <f>VLOOKUP(A75,Planilha6!$BL$9:$BN$222,3,0)</f>
        <v>high_beta</v>
      </c>
      <c r="K75" s="17">
        <v>2.5999999999999999E-2</v>
      </c>
      <c r="L75" s="2">
        <v>1.7000000000000001E-2</v>
      </c>
      <c r="M75" s="5">
        <v>2.8633838616666698</v>
      </c>
      <c r="N75" s="41">
        <f>VLOOKUP(A75,'Mandato LP'!$A$2:$B$215,2,0)</f>
        <v>1.1607141175290899E-2</v>
      </c>
      <c r="O75" s="59">
        <f t="shared" si="15"/>
        <v>1.4392858824709099E-2</v>
      </c>
      <c r="P75" s="42">
        <f t="shared" si="16"/>
        <v>3.3392858824709097E-2</v>
      </c>
      <c r="Q75" s="41">
        <f>VLOOKUP(A75,'Mandato LP'!$A$2:$C$215,3,0)</f>
        <v>0</v>
      </c>
      <c r="R75" s="42">
        <f t="shared" si="17"/>
        <v>2.5999999999999999E-2</v>
      </c>
      <c r="S75" s="15">
        <v>-0.65500000000000003</v>
      </c>
      <c r="T75" s="15">
        <v>2.1000000000000001E-2</v>
      </c>
      <c r="U75" s="15">
        <v>-0.84299999999999997</v>
      </c>
      <c r="V75" s="15">
        <v>-0.44900000000000001</v>
      </c>
      <c r="W75" s="15">
        <v>-0.30199999999999999</v>
      </c>
      <c r="X75" s="15">
        <v>1.2999999999999999E-2</v>
      </c>
      <c r="Y75" s="15">
        <v>0.26900000000000002</v>
      </c>
      <c r="Z75" s="15">
        <v>0.496</v>
      </c>
      <c r="AA75" s="15">
        <v>0.628</v>
      </c>
      <c r="AB75" s="15">
        <v>0.628</v>
      </c>
      <c r="AC75" s="15">
        <v>0.75600000000000001</v>
      </c>
      <c r="AD75" s="15">
        <v>0.84299999999999997</v>
      </c>
      <c r="AE75" s="15">
        <v>0.73399999999999999</v>
      </c>
      <c r="AF75" s="14">
        <v>-0.26300000000000001</v>
      </c>
      <c r="AG75" s="110">
        <v>-0.93500000000000005</v>
      </c>
      <c r="AH75" s="110">
        <v>0.60099999999999998</v>
      </c>
      <c r="AI75" s="110">
        <v>-0.57599999999999996</v>
      </c>
      <c r="AJ75" s="110">
        <v>0.32700000000000001</v>
      </c>
      <c r="AK75" s="16">
        <v>-0.51800000000000002</v>
      </c>
      <c r="AL75" s="111">
        <v>-0.34</v>
      </c>
      <c r="AM75" s="111">
        <v>0.82699999999999996</v>
      </c>
      <c r="AN75" s="4">
        <v>-0.42699999999999999</v>
      </c>
      <c r="AO75" s="4">
        <v>-0.52900000000000003</v>
      </c>
      <c r="AP75" s="4">
        <v>0.89</v>
      </c>
      <c r="AQ75" s="4">
        <v>0.25700000000000001</v>
      </c>
      <c r="AR75" s="4">
        <v>-0.93600000000000005</v>
      </c>
      <c r="AS75" s="4">
        <v>-1</v>
      </c>
      <c r="AT75" s="4">
        <v>-0.66</v>
      </c>
      <c r="AU75" s="4">
        <v>-0.26900000000000002</v>
      </c>
      <c r="AV75" s="4">
        <v>6.3E-2</v>
      </c>
      <c r="AW75" s="4">
        <v>-8.2000000000000003E-2</v>
      </c>
      <c r="AX75" s="4">
        <v>0.56899999999999995</v>
      </c>
      <c r="AY75" s="4">
        <v>4.1000000000000002E-2</v>
      </c>
      <c r="AZ75" s="4">
        <v>0.70799999999999996</v>
      </c>
      <c r="BA75" s="4">
        <v>-0.82599999999999996</v>
      </c>
      <c r="BB75" s="4">
        <v>0.02</v>
      </c>
      <c r="BC75" s="4">
        <v>-0.14799999999999999</v>
      </c>
      <c r="BD75" s="4">
        <v>0.46800000000000003</v>
      </c>
      <c r="BE75" s="4">
        <v>0.433</v>
      </c>
      <c r="BF75" s="4">
        <v>-0.26200000000000001</v>
      </c>
      <c r="BG75" s="4">
        <v>0.2</v>
      </c>
      <c r="BH75" s="4">
        <v>0.92100000000000004</v>
      </c>
      <c r="BI75" s="4">
        <v>-0.35899999999999999</v>
      </c>
      <c r="BJ75" s="4">
        <v>-0.182</v>
      </c>
      <c r="BK75" s="4">
        <v>-0.35299999999999998</v>
      </c>
      <c r="BL75" s="4">
        <v>8.5000000000000006E-2</v>
      </c>
      <c r="BM75" s="4">
        <v>0.69599999999999995</v>
      </c>
      <c r="BN75" s="4"/>
    </row>
    <row r="76" spans="1:66" x14ac:dyDescent="0.3">
      <c r="A76" t="s">
        <v>151</v>
      </c>
      <c r="B76" s="53">
        <f t="shared" si="11"/>
        <v>8.9999999999999993E-3</v>
      </c>
      <c r="C76" s="53">
        <f t="shared" si="12"/>
        <v>1.9579099999999993E-3</v>
      </c>
      <c r="D76" s="53">
        <f t="shared" si="13"/>
        <v>0</v>
      </c>
      <c r="E76" s="53">
        <f t="shared" si="14"/>
        <v>7.04209E-3</v>
      </c>
      <c r="F76" s="15">
        <v>1.3340000000000001</v>
      </c>
      <c r="G76">
        <v>1.6439999999999999</v>
      </c>
      <c r="H76" t="s">
        <v>57</v>
      </c>
      <c r="I76" t="str">
        <f>VLOOKUP(A76,Planilha6!$BL$9:$BN$222,2,0)</f>
        <v>homebuilders</v>
      </c>
      <c r="J76" t="str">
        <f>VLOOKUP(A76,Planilha6!$BL$9:$BN$222,3,0)</f>
        <v>high_beta</v>
      </c>
      <c r="K76" s="17">
        <v>8.9999999999999993E-3</v>
      </c>
      <c r="L76" s="2">
        <v>2E-3</v>
      </c>
      <c r="M76" s="5">
        <v>2.0055555555333302</v>
      </c>
      <c r="N76" s="41">
        <f>VLOOKUP(A76,'Mandato LP'!$A$2:$B$215,2,0)</f>
        <v>9.5214972237470299E-3</v>
      </c>
      <c r="O76" s="59">
        <f t="shared" si="15"/>
        <v>-5.2149722374703056E-4</v>
      </c>
      <c r="P76" s="42">
        <f t="shared" si="16"/>
        <v>-5.2149722374703056E-4</v>
      </c>
      <c r="Q76" s="41">
        <f>VLOOKUP(A76,'Mandato LP'!$A$2:$C$215,3,0)</f>
        <v>0</v>
      </c>
      <c r="R76" s="42">
        <f t="shared" si="17"/>
        <v>8.9999999999999993E-3</v>
      </c>
      <c r="S76" s="15">
        <v>-0.24299999999999999</v>
      </c>
      <c r="T76" s="15">
        <v>-4.5999999999999999E-2</v>
      </c>
      <c r="U76" s="15">
        <v>-0.50700000000000001</v>
      </c>
      <c r="V76" s="15">
        <v>-6.6000000000000003E-2</v>
      </c>
      <c r="W76" s="15">
        <v>-3.3000000000000002E-2</v>
      </c>
      <c r="X76" s="15">
        <v>8.8999999999999996E-2</v>
      </c>
      <c r="Y76" s="15">
        <v>0.21</v>
      </c>
      <c r="Z76" s="15">
        <v>0.39</v>
      </c>
      <c r="AA76" s="15">
        <v>0.251</v>
      </c>
      <c r="AB76" s="15">
        <v>0.25</v>
      </c>
      <c r="AC76" s="15">
        <v>0.68799999999999994</v>
      </c>
      <c r="AD76" s="15">
        <v>0.70199999999999996</v>
      </c>
      <c r="AE76" s="15">
        <v>0.43099999999999999</v>
      </c>
      <c r="AF76" s="14">
        <v>0.21299999999999999</v>
      </c>
      <c r="AG76" s="110">
        <v>0.42099999999999999</v>
      </c>
      <c r="AH76" s="110">
        <v>-0.59899999999999998</v>
      </c>
      <c r="AI76" s="110">
        <v>-0.44900000000000001</v>
      </c>
      <c r="AJ76" s="110">
        <v>-0.46100000000000002</v>
      </c>
      <c r="AK76" s="16">
        <v>-0.55800000000000005</v>
      </c>
      <c r="AL76" s="111">
        <v>-0.16</v>
      </c>
      <c r="AM76" s="111">
        <v>0.57699999999999996</v>
      </c>
      <c r="AN76" s="4">
        <v>-0.71199999999999997</v>
      </c>
      <c r="AO76" s="4">
        <v>0.51500000000000001</v>
      </c>
      <c r="AP76" s="4">
        <v>-0.20200000000000001</v>
      </c>
      <c r="AQ76" s="4">
        <v>0.158</v>
      </c>
      <c r="AR76" s="4">
        <v>0.49399999999999999</v>
      </c>
      <c r="AS76" s="4">
        <v>0.17799999999999999</v>
      </c>
      <c r="AT76" s="4">
        <v>0.111</v>
      </c>
      <c r="AU76" s="4">
        <v>0.28999999999999998</v>
      </c>
      <c r="AV76" s="4">
        <v>3.9E-2</v>
      </c>
      <c r="AW76" s="4">
        <v>0.16400000000000001</v>
      </c>
      <c r="AX76" s="4">
        <v>4.2999999999999997E-2</v>
      </c>
      <c r="AY76" s="4">
        <v>-7.1999999999999995E-2</v>
      </c>
      <c r="AZ76" s="4">
        <v>0.76300000000000001</v>
      </c>
      <c r="BA76" s="4">
        <v>1</v>
      </c>
      <c r="BB76" s="4">
        <v>0.26</v>
      </c>
      <c r="BC76" s="4">
        <v>-0.44700000000000001</v>
      </c>
      <c r="BD76" s="4">
        <v>-0.248</v>
      </c>
      <c r="BE76" s="4">
        <v>-0.247</v>
      </c>
      <c r="BF76" s="4">
        <v>0.122</v>
      </c>
      <c r="BG76" s="4">
        <v>-0.14599999999999999</v>
      </c>
      <c r="BH76" s="4">
        <v>0.28699999999999998</v>
      </c>
      <c r="BI76" s="4">
        <v>-0.92600000000000005</v>
      </c>
      <c r="BJ76" s="4">
        <v>0.54300000000000004</v>
      </c>
      <c r="BK76" s="4">
        <v>-0.66100000000000003</v>
      </c>
      <c r="BL76" s="4">
        <v>-0.20200000000000001</v>
      </c>
      <c r="BM76" s="4">
        <v>0.50800000000000001</v>
      </c>
      <c r="BN76" s="4"/>
    </row>
    <row r="77" spans="1:66" x14ac:dyDescent="0.3">
      <c r="A77" t="s">
        <v>154</v>
      </c>
      <c r="B77" s="53">
        <f t="shared" si="11"/>
        <v>0.03</v>
      </c>
      <c r="C77" s="53">
        <f t="shared" si="12"/>
        <v>-8.2081800000000024E-3</v>
      </c>
      <c r="D77" s="53">
        <f t="shared" si="13"/>
        <v>0</v>
      </c>
      <c r="E77" s="53">
        <f t="shared" si="14"/>
        <v>3.8208180000000001E-2</v>
      </c>
      <c r="F77" s="15">
        <v>1.3129999999999999</v>
      </c>
      <c r="G77">
        <v>2.883</v>
      </c>
      <c r="H77" t="s">
        <v>55</v>
      </c>
      <c r="I77" t="str">
        <f>VLOOKUP(A77,Planilha6!$BL$9:$BN$222,2,0)</f>
        <v>utilities</v>
      </c>
      <c r="J77" t="str">
        <f>VLOOKUP(A77,Planilha6!$BL$9:$BN$222,3,0)</f>
        <v>low_beta</v>
      </c>
      <c r="K77" s="17">
        <v>0.03</v>
      </c>
      <c r="L77" s="2">
        <v>-8.0000000000000002E-3</v>
      </c>
      <c r="M77" s="5">
        <v>1.41458520109667</v>
      </c>
      <c r="N77" s="41">
        <f>VLOOKUP(A77,'Mandato LP'!$A$2:$B$215,2,0)</f>
        <v>2.7522425157542999E-2</v>
      </c>
      <c r="O77" s="59">
        <f t="shared" si="15"/>
        <v>2.4775748424569997E-3</v>
      </c>
      <c r="P77" s="42">
        <f t="shared" si="16"/>
        <v>2.4775748424569997E-3</v>
      </c>
      <c r="Q77" s="41">
        <f>VLOOKUP(A77,'Mandato LP'!$A$2:$C$215,3,0)</f>
        <v>3.6697239273837001E-2</v>
      </c>
      <c r="R77" s="42">
        <f t="shared" si="17"/>
        <v>-6.6972392738370023E-3</v>
      </c>
      <c r="S77" s="15">
        <v>-0.71699999999999997</v>
      </c>
      <c r="T77" s="15">
        <v>0.121</v>
      </c>
      <c r="U77" s="15">
        <v>-0.81299999999999994</v>
      </c>
      <c r="V77" s="15">
        <v>-0.41</v>
      </c>
      <c r="W77" s="15">
        <v>-0.14199999999999999</v>
      </c>
      <c r="X77" s="15">
        <v>-4.2999999999999997E-2</v>
      </c>
      <c r="Y77" s="15">
        <v>0.20699999999999999</v>
      </c>
      <c r="Z77" s="15">
        <v>0.58199999999999996</v>
      </c>
      <c r="AA77" s="15">
        <v>0.80700000000000005</v>
      </c>
      <c r="AB77" s="15">
        <v>0.81299999999999994</v>
      </c>
      <c r="AC77" s="15">
        <v>0.64800000000000002</v>
      </c>
      <c r="AD77" s="15">
        <v>0.71</v>
      </c>
      <c r="AE77" s="15">
        <v>0.54100000000000004</v>
      </c>
      <c r="AF77" s="14">
        <v>-0.6</v>
      </c>
      <c r="AG77" s="110">
        <v>-0.42799999999999999</v>
      </c>
      <c r="AH77" s="110">
        <v>0.33500000000000002</v>
      </c>
      <c r="AI77" s="110">
        <v>-0.86399999999999999</v>
      </c>
      <c r="AJ77" s="110">
        <v>-0.55600000000000005</v>
      </c>
      <c r="AK77" s="16">
        <v>-0.95799999999999996</v>
      </c>
      <c r="AL77" s="111">
        <v>-0.38400000000000001</v>
      </c>
      <c r="AM77" s="111">
        <v>0.70499999999999996</v>
      </c>
      <c r="AN77" s="4">
        <v>-0.51900000000000002</v>
      </c>
      <c r="AO77" s="4">
        <v>-0.59099999999999997</v>
      </c>
      <c r="AP77" s="4">
        <v>0.439</v>
      </c>
      <c r="AQ77" s="4">
        <v>0.79</v>
      </c>
      <c r="AR77" s="4">
        <v>-0.106</v>
      </c>
      <c r="AS77" s="4">
        <v>0.38800000000000001</v>
      </c>
      <c r="AT77" s="4">
        <v>-0.15</v>
      </c>
      <c r="AU77" s="4">
        <v>0.33600000000000002</v>
      </c>
      <c r="AV77" s="4">
        <v>-0.27300000000000002</v>
      </c>
      <c r="AW77" s="4">
        <v>-0.29699999999999999</v>
      </c>
      <c r="AX77" s="4">
        <v>0.55900000000000005</v>
      </c>
      <c r="AY77" s="4">
        <v>-0.55800000000000005</v>
      </c>
      <c r="AZ77" s="4">
        <v>0.90800000000000003</v>
      </c>
      <c r="BA77" s="4">
        <v>0.745</v>
      </c>
      <c r="BB77" s="4">
        <v>-0.57799999999999996</v>
      </c>
      <c r="BC77" s="4">
        <v>-0.46899999999999997</v>
      </c>
      <c r="BD77" s="4">
        <v>-0.66100000000000003</v>
      </c>
      <c r="BE77" s="4">
        <v>-0.127</v>
      </c>
      <c r="BF77" s="4">
        <v>-0.44700000000000001</v>
      </c>
      <c r="BG77" s="4">
        <v>-0.13600000000000001</v>
      </c>
      <c r="BH77" s="4">
        <v>0.85</v>
      </c>
      <c r="BI77" s="4">
        <v>-0.68600000000000005</v>
      </c>
      <c r="BJ77" s="4">
        <v>-0.247</v>
      </c>
      <c r="BK77" s="4">
        <v>-9.7000000000000003E-2</v>
      </c>
      <c r="BL77" s="4">
        <v>-0.38600000000000001</v>
      </c>
      <c r="BM77" s="4">
        <v>0.33200000000000002</v>
      </c>
      <c r="BN77" s="4"/>
    </row>
    <row r="78" spans="1:66" x14ac:dyDescent="0.3">
      <c r="A78" t="s">
        <v>138</v>
      </c>
      <c r="B78" s="53">
        <f t="shared" si="11"/>
        <v>0.01</v>
      </c>
      <c r="C78" s="53">
        <f t="shared" si="12"/>
        <v>8.3256700000000003E-3</v>
      </c>
      <c r="D78" s="53">
        <f t="shared" si="13"/>
        <v>0</v>
      </c>
      <c r="E78" s="53">
        <f t="shared" si="14"/>
        <v>1.6743299999999999E-3</v>
      </c>
      <c r="F78" s="15">
        <v>1.292</v>
      </c>
      <c r="G78">
        <v>1.393</v>
      </c>
      <c r="H78" t="s">
        <v>71</v>
      </c>
      <c r="I78" t="str">
        <f>VLOOKUP(A78,Planilha6!$BL$9:$BN$222,2,0)</f>
        <v>basic_materials</v>
      </c>
      <c r="J78" t="str">
        <f>VLOOKUP(A78,Planilha6!$BL$9:$BN$222,3,0)</f>
        <v>low_beta</v>
      </c>
      <c r="K78" s="17">
        <v>0.01</v>
      </c>
      <c r="L78" s="2">
        <v>8.0000000000000002E-3</v>
      </c>
      <c r="M78" s="5">
        <v>0.64699784929166704</v>
      </c>
      <c r="N78" s="41">
        <f>VLOOKUP(A78,'Mandato LP'!$A$2:$B$215,2,0)</f>
        <v>5.36657253996065E-3</v>
      </c>
      <c r="O78" s="59">
        <f t="shared" si="15"/>
        <v>4.6334274600393502E-3</v>
      </c>
      <c r="P78" s="42">
        <f t="shared" si="16"/>
        <v>4.6334274600393502E-3</v>
      </c>
      <c r="Q78" s="41">
        <f>VLOOKUP(A78,'Mandato LP'!$A$2:$C$215,3,0)</f>
        <v>0</v>
      </c>
      <c r="R78" s="42">
        <f t="shared" si="17"/>
        <v>0.01</v>
      </c>
      <c r="S78" s="15">
        <v>-0.22500000000000001</v>
      </c>
      <c r="T78" s="15">
        <v>-0.14199999999999999</v>
      </c>
      <c r="U78" s="15">
        <v>-0.19700000000000001</v>
      </c>
      <c r="V78" s="15">
        <v>-0.505</v>
      </c>
      <c r="W78" s="15">
        <v>-0.26800000000000002</v>
      </c>
      <c r="X78" s="15">
        <v>2E-3</v>
      </c>
      <c r="Y78" s="15">
        <v>-0.127</v>
      </c>
      <c r="Z78" s="15">
        <v>3.1E-2</v>
      </c>
      <c r="AA78" s="15">
        <v>0.73</v>
      </c>
      <c r="AB78" s="15">
        <v>0.72699999999999998</v>
      </c>
      <c r="AC78" s="15">
        <v>0.68</v>
      </c>
      <c r="AD78" s="15">
        <v>0.66600000000000004</v>
      </c>
      <c r="AE78" s="15">
        <v>0.75900000000000001</v>
      </c>
      <c r="AF78" s="14">
        <v>-0.33400000000000002</v>
      </c>
      <c r="AG78" s="110">
        <v>-0.90700000000000003</v>
      </c>
      <c r="AH78" s="110">
        <v>-0.16</v>
      </c>
      <c r="AI78" s="110">
        <v>-0.28299999999999997</v>
      </c>
      <c r="AJ78" s="110">
        <v>0.184</v>
      </c>
      <c r="AK78" s="16">
        <v>-0.35099999999999998</v>
      </c>
      <c r="AL78" s="111">
        <v>-0.22500000000000001</v>
      </c>
      <c r="AM78" s="111">
        <v>0.17699999999999999</v>
      </c>
      <c r="AN78" s="4">
        <v>-0.308</v>
      </c>
      <c r="AO78" s="4">
        <v>-0.22700000000000001</v>
      </c>
      <c r="AP78" s="4">
        <v>0.35499999999999998</v>
      </c>
      <c r="AQ78" s="4">
        <v>0.313</v>
      </c>
      <c r="AR78" s="4">
        <v>-0.92800000000000005</v>
      </c>
      <c r="AS78" s="4">
        <v>-4.2000000000000003E-2</v>
      </c>
      <c r="AT78" s="4">
        <v>0.14499999999999999</v>
      </c>
      <c r="AU78" s="4">
        <v>0.13800000000000001</v>
      </c>
      <c r="AV78" s="4">
        <v>-0.32700000000000001</v>
      </c>
      <c r="AW78" s="4">
        <v>-1.2E-2</v>
      </c>
      <c r="AX78" s="4">
        <v>0.48699999999999999</v>
      </c>
      <c r="AY78" s="4">
        <v>0.45900000000000002</v>
      </c>
      <c r="AZ78" s="4">
        <v>0.85299999999999998</v>
      </c>
      <c r="BA78" s="4">
        <v>2.8000000000000001E-2</v>
      </c>
      <c r="BB78" s="4">
        <v>0.83199999999999996</v>
      </c>
      <c r="BC78" s="4">
        <v>0.14899999999999999</v>
      </c>
      <c r="BD78" s="4">
        <v>8.3000000000000004E-2</v>
      </c>
      <c r="BE78" s="4">
        <v>0.36099999999999999</v>
      </c>
      <c r="BF78" s="4">
        <v>-5.8999999999999997E-2</v>
      </c>
      <c r="BG78" s="4">
        <v>-4.9000000000000002E-2</v>
      </c>
      <c r="BH78" s="4">
        <v>0.53500000000000003</v>
      </c>
      <c r="BI78" s="4">
        <v>-0.108</v>
      </c>
      <c r="BJ78" s="4">
        <v>-0.39600000000000002</v>
      </c>
      <c r="BK78" s="4">
        <v>0.625</v>
      </c>
      <c r="BL78" s="4">
        <v>0.505</v>
      </c>
      <c r="BM78" s="4">
        <v>0.77200000000000002</v>
      </c>
      <c r="BN78" s="4"/>
    </row>
    <row r="79" spans="1:66" x14ac:dyDescent="0.3">
      <c r="A79" t="s">
        <v>147</v>
      </c>
      <c r="B79" s="53">
        <f t="shared" si="11"/>
        <v>1.0999999999999999E-2</v>
      </c>
      <c r="C79" s="53">
        <f t="shared" si="12"/>
        <v>9.23648E-3</v>
      </c>
      <c r="D79" s="53">
        <f t="shared" si="13"/>
        <v>0</v>
      </c>
      <c r="E79" s="53">
        <f t="shared" si="14"/>
        <v>1.76352E-3</v>
      </c>
      <c r="F79" s="15">
        <v>1.278</v>
      </c>
      <c r="G79">
        <v>1.3360000000000001</v>
      </c>
      <c r="H79" t="s">
        <v>57</v>
      </c>
      <c r="I79" t="str">
        <f>VLOOKUP(A79,Planilha6!$BL$9:$BN$222,2,0)</f>
        <v>apparel</v>
      </c>
      <c r="J79" t="str">
        <f>VLOOKUP(A79,Planilha6!$BL$9:$BN$222,3,0)</f>
        <v>neutral_beta</v>
      </c>
      <c r="K79" s="17">
        <v>1.0999999999999999E-2</v>
      </c>
      <c r="L79" s="2">
        <v>0.01</v>
      </c>
      <c r="M79" s="5">
        <v>0.78340575868266704</v>
      </c>
      <c r="N79" s="41">
        <f>VLOOKUP(A79,'Mandato LP'!$A$2:$B$215,2,0)</f>
        <v>5.3465127095911804E-3</v>
      </c>
      <c r="O79" s="59">
        <f t="shared" si="15"/>
        <v>5.653487290408819E-3</v>
      </c>
      <c r="P79" s="42">
        <f t="shared" si="16"/>
        <v>5.653487290408819E-3</v>
      </c>
      <c r="Q79" s="41">
        <f>VLOOKUP(A79,'Mandato LP'!$A$2:$C$215,3,0)</f>
        <v>0</v>
      </c>
      <c r="R79" s="42">
        <f t="shared" si="17"/>
        <v>1.0999999999999999E-2</v>
      </c>
      <c r="S79" s="15">
        <v>1.4999999999999999E-2</v>
      </c>
      <c r="T79" s="15">
        <v>2.3E-2</v>
      </c>
      <c r="U79" s="15">
        <v>-0.495</v>
      </c>
      <c r="V79" s="15">
        <v>0.14899999999999999</v>
      </c>
      <c r="W79" s="15">
        <v>-5.6000000000000001E-2</v>
      </c>
      <c r="X79" s="15">
        <v>0.11600000000000001</v>
      </c>
      <c r="Y79" s="15">
        <v>0.14899999999999999</v>
      </c>
      <c r="Z79" s="15">
        <v>-6.8000000000000005E-2</v>
      </c>
      <c r="AA79" s="15">
        <v>0.29899999999999999</v>
      </c>
      <c r="AB79" s="15">
        <v>0.30199999999999999</v>
      </c>
      <c r="AC79" s="15">
        <v>0.73399999999999999</v>
      </c>
      <c r="AD79" s="15">
        <v>0.69599999999999995</v>
      </c>
      <c r="AE79" s="15">
        <v>0.501</v>
      </c>
      <c r="AF79" s="14">
        <v>0.94099999999999995</v>
      </c>
      <c r="AG79" s="110">
        <v>-0.11</v>
      </c>
      <c r="AH79" s="110">
        <v>-0.41499999999999998</v>
      </c>
      <c r="AI79" s="110">
        <v>-0.76900000000000002</v>
      </c>
      <c r="AJ79" s="110">
        <v>-0.67300000000000004</v>
      </c>
      <c r="AK79" s="16">
        <v>1E-3</v>
      </c>
      <c r="AL79" s="111">
        <v>5.0999999999999997E-2</v>
      </c>
      <c r="AM79" s="111">
        <v>-0.24399999999999999</v>
      </c>
      <c r="AN79" s="4">
        <v>-0.54600000000000004</v>
      </c>
      <c r="AO79" s="4">
        <v>0.49199999999999999</v>
      </c>
      <c r="AP79" s="4">
        <v>-0.22800000000000001</v>
      </c>
      <c r="AQ79" s="4">
        <v>0.48899999999999999</v>
      </c>
      <c r="AR79" s="4">
        <v>0.251</v>
      </c>
      <c r="AS79" s="4">
        <v>0.17100000000000001</v>
      </c>
      <c r="AT79" s="4">
        <v>0.16</v>
      </c>
      <c r="AU79" s="4">
        <v>0.45200000000000001</v>
      </c>
      <c r="AV79" s="4">
        <v>0.04</v>
      </c>
      <c r="AW79" s="4">
        <v>1</v>
      </c>
      <c r="AX79" s="4">
        <v>-0.192</v>
      </c>
      <c r="AY79" s="4">
        <v>0.48599999999999999</v>
      </c>
      <c r="AZ79" s="4">
        <v>0.91700000000000004</v>
      </c>
      <c r="BA79" s="4">
        <v>0.28499999999999998</v>
      </c>
      <c r="BB79" s="4">
        <v>-9.9000000000000005E-2</v>
      </c>
      <c r="BC79" s="4">
        <v>0.189</v>
      </c>
      <c r="BD79" s="4">
        <v>8.0000000000000002E-3</v>
      </c>
      <c r="BE79" s="4">
        <v>0.66700000000000004</v>
      </c>
      <c r="BF79" s="4">
        <v>0.186</v>
      </c>
      <c r="BG79" s="4">
        <v>-0.53300000000000003</v>
      </c>
      <c r="BH79" s="4">
        <v>0.51600000000000001</v>
      </c>
      <c r="BI79" s="4">
        <v>-0.10100000000000001</v>
      </c>
      <c r="BJ79" s="4">
        <v>-0.06</v>
      </c>
      <c r="BK79" s="4">
        <v>-0.95399999999999996</v>
      </c>
      <c r="BL79" s="4">
        <v>-0.58099999999999996</v>
      </c>
      <c r="BM79" s="4">
        <v>-8.5000000000000006E-2</v>
      </c>
      <c r="BN79" s="4"/>
    </row>
    <row r="80" spans="1:66" x14ac:dyDescent="0.3">
      <c r="A80" t="s">
        <v>88</v>
      </c>
      <c r="B80" s="53">
        <f t="shared" si="11"/>
        <v>0</v>
      </c>
      <c r="C80" s="53">
        <f t="shared" si="12"/>
        <v>-1.2917600000000001E-3</v>
      </c>
      <c r="D80" s="53">
        <f t="shared" si="13"/>
        <v>0</v>
      </c>
      <c r="E80" s="53">
        <f t="shared" si="14"/>
        <v>1.2917600000000001E-3</v>
      </c>
      <c r="F80" s="15">
        <v>1.268</v>
      </c>
      <c r="G80">
        <v>1.5389999999999999</v>
      </c>
      <c r="H80" t="s">
        <v>53</v>
      </c>
      <c r="I80" t="str">
        <f>VLOOKUP(A80,Planilha6!$BL$9:$BN$222,2,0)</f>
        <v>consumer_staples</v>
      </c>
      <c r="J80" t="str">
        <f>VLOOKUP(A80,Planilha6!$BL$9:$BN$222,3,0)</f>
        <v>low_beta</v>
      </c>
      <c r="K80" s="17">
        <v>0</v>
      </c>
      <c r="L80" s="2">
        <v>-1E-3</v>
      </c>
      <c r="M80" s="5">
        <v>0.68932573413333298</v>
      </c>
      <c r="N80" s="41">
        <f>VLOOKUP(A80,'Mandato LP'!$A$2:$B$215,2,0)</f>
        <v>0</v>
      </c>
      <c r="O80" s="59">
        <f t="shared" si="15"/>
        <v>0</v>
      </c>
      <c r="P80" s="42">
        <f t="shared" si="16"/>
        <v>0</v>
      </c>
      <c r="Q80" s="41">
        <f>VLOOKUP(A80,'Mandato LP'!$A$2:$C$215,3,0)</f>
        <v>0</v>
      </c>
      <c r="R80" s="42">
        <f t="shared" si="17"/>
        <v>0</v>
      </c>
      <c r="S80" s="15">
        <v>-0.32500000000000001</v>
      </c>
      <c r="T80" s="15">
        <v>6.8000000000000005E-2</v>
      </c>
      <c r="U80" s="15">
        <v>-0.25900000000000001</v>
      </c>
      <c r="V80" s="15">
        <v>-0.495</v>
      </c>
      <c r="W80" s="15">
        <v>-0.14799999999999999</v>
      </c>
      <c r="X80" s="15">
        <v>-2.5000000000000001E-2</v>
      </c>
      <c r="Y80" s="15">
        <v>0.29099999999999998</v>
      </c>
      <c r="Z80" s="15">
        <v>0.20699999999999999</v>
      </c>
      <c r="AA80" s="15">
        <v>0.41</v>
      </c>
      <c r="AB80" s="15">
        <v>0.41099999999999998</v>
      </c>
      <c r="AC80" s="15">
        <v>0.625</v>
      </c>
      <c r="AD80" s="15">
        <v>0.59799999999999998</v>
      </c>
      <c r="AE80" s="15">
        <v>0.58499999999999996</v>
      </c>
      <c r="AF80" s="14">
        <v>-0.28000000000000003</v>
      </c>
      <c r="AG80" s="110">
        <v>-0.77700000000000002</v>
      </c>
      <c r="AH80" s="110">
        <v>-0.311</v>
      </c>
      <c r="AI80" s="110">
        <v>-0.1</v>
      </c>
      <c r="AJ80" s="110">
        <v>0.27100000000000002</v>
      </c>
      <c r="AK80" s="16">
        <v>-0.495</v>
      </c>
      <c r="AL80" s="111">
        <v>-0.109</v>
      </c>
      <c r="AM80" s="111">
        <v>7.1999999999999995E-2</v>
      </c>
      <c r="AN80" s="4">
        <v>-0.54200000000000004</v>
      </c>
      <c r="AO80" s="4">
        <v>-0.12</v>
      </c>
      <c r="AP80" s="4">
        <v>-0.13200000000000001</v>
      </c>
      <c r="AQ80" s="4">
        <v>0.19</v>
      </c>
      <c r="AR80" s="4">
        <v>-0.159</v>
      </c>
      <c r="AS80" s="4">
        <v>-0.752</v>
      </c>
      <c r="AT80" s="4">
        <v>-0.495</v>
      </c>
      <c r="AU80" s="4">
        <v>0.25700000000000001</v>
      </c>
      <c r="AV80" s="4">
        <v>0.153</v>
      </c>
      <c r="AW80" s="4">
        <v>1.4E-2</v>
      </c>
      <c r="AX80" s="4">
        <v>0.66400000000000003</v>
      </c>
      <c r="AY80" s="4">
        <v>2.1000000000000001E-2</v>
      </c>
      <c r="AZ80" s="4">
        <v>0.67100000000000004</v>
      </c>
      <c r="BA80" s="4">
        <v>0.73</v>
      </c>
      <c r="BB80" s="4">
        <v>0.81899999999999995</v>
      </c>
      <c r="BC80" s="4">
        <v>-0.14599999999999999</v>
      </c>
      <c r="BD80" s="4">
        <v>-0.223</v>
      </c>
      <c r="BE80" s="4">
        <v>0.245</v>
      </c>
      <c r="BF80" s="4">
        <v>0.29199999999999998</v>
      </c>
      <c r="BG80" s="4">
        <v>-0.60199999999999998</v>
      </c>
      <c r="BH80" s="4">
        <v>0.72699999999999998</v>
      </c>
      <c r="BI80" s="4">
        <v>-0.51800000000000002</v>
      </c>
      <c r="BJ80" s="4">
        <v>-0.21199999999999999</v>
      </c>
      <c r="BK80" s="4">
        <v>0.55500000000000005</v>
      </c>
      <c r="BL80" s="4">
        <v>0.52500000000000002</v>
      </c>
      <c r="BM80" s="4">
        <v>-0.77</v>
      </c>
      <c r="BN80" s="4"/>
    </row>
    <row r="81" spans="1:66" x14ac:dyDescent="0.3">
      <c r="A81" t="s">
        <v>112</v>
      </c>
      <c r="B81" s="53">
        <f t="shared" si="11"/>
        <v>0</v>
      </c>
      <c r="C81" s="53">
        <f t="shared" si="12"/>
        <v>-1.5989090000000001E-2</v>
      </c>
      <c r="D81" s="53">
        <f t="shared" si="13"/>
        <v>0</v>
      </c>
      <c r="E81" s="53">
        <f t="shared" si="14"/>
        <v>1.5989090000000001E-2</v>
      </c>
      <c r="F81" s="15">
        <v>1.2310000000000001</v>
      </c>
      <c r="G81">
        <v>2.0230000000000001</v>
      </c>
      <c r="H81" t="s">
        <v>55</v>
      </c>
      <c r="I81" t="str">
        <f>VLOOKUP(A81,Planilha6!$BL$9:$BN$222,2,0)</f>
        <v>utilities</v>
      </c>
      <c r="J81" t="str">
        <f>VLOOKUP(A81,Planilha6!$BL$9:$BN$222,3,0)</f>
        <v>low_beta</v>
      </c>
      <c r="K81" s="17">
        <v>0</v>
      </c>
      <c r="L81" s="2">
        <v>-1.6E-2</v>
      </c>
      <c r="M81" s="5">
        <v>2.4749152128333298</v>
      </c>
      <c r="N81" s="41">
        <f>VLOOKUP(A81,'Mandato LP'!$A$2:$B$215,2,0)</f>
        <v>0</v>
      </c>
      <c r="O81" s="59">
        <f t="shared" si="15"/>
        <v>0</v>
      </c>
      <c r="P81" s="42">
        <f t="shared" si="16"/>
        <v>0</v>
      </c>
      <c r="Q81" s="41">
        <f>VLOOKUP(A81,'Mandato LP'!$A$2:$C$215,3,0)</f>
        <v>2.8687088981288501E-2</v>
      </c>
      <c r="R81" s="42">
        <f t="shared" si="17"/>
        <v>-2.8687088981288501E-2</v>
      </c>
      <c r="S81" s="15">
        <v>-0.68300000000000005</v>
      </c>
      <c r="T81" s="15">
        <v>0.35199999999999998</v>
      </c>
      <c r="U81" s="15">
        <v>-0.82899999999999996</v>
      </c>
      <c r="V81" s="15">
        <v>-0.246</v>
      </c>
      <c r="W81" s="15">
        <v>-3.5999999999999997E-2</v>
      </c>
      <c r="X81" s="15">
        <v>-0.16900000000000001</v>
      </c>
      <c r="Y81" s="15">
        <v>9.8000000000000004E-2</v>
      </c>
      <c r="Z81" s="15">
        <v>0.25800000000000001</v>
      </c>
      <c r="AA81" s="15">
        <v>0.875</v>
      </c>
      <c r="AB81" s="15">
        <v>0.88200000000000001</v>
      </c>
      <c r="AC81" s="15">
        <v>0.58899999999999997</v>
      </c>
      <c r="AD81" s="15">
        <v>0.62</v>
      </c>
      <c r="AE81" s="15">
        <v>0.69099999999999995</v>
      </c>
      <c r="AF81" s="14">
        <v>-0.73299999999999998</v>
      </c>
      <c r="AG81" s="110">
        <v>-0.48099999999999998</v>
      </c>
      <c r="AH81" s="110">
        <v>0.80900000000000005</v>
      </c>
      <c r="AI81" s="110">
        <v>-0.91100000000000003</v>
      </c>
      <c r="AJ81" s="110">
        <v>0.13</v>
      </c>
      <c r="AK81" s="16">
        <v>-0.73099999999999998</v>
      </c>
      <c r="AL81" s="111">
        <v>-0.38</v>
      </c>
      <c r="AM81" s="111">
        <v>-3.2000000000000001E-2</v>
      </c>
      <c r="AN81" s="4">
        <v>-0.70399999999999996</v>
      </c>
      <c r="AO81" s="4">
        <v>-0.88500000000000001</v>
      </c>
      <c r="AP81" s="4">
        <v>0.91400000000000003</v>
      </c>
      <c r="AQ81" s="4">
        <v>0.93400000000000005</v>
      </c>
      <c r="AR81" s="4">
        <v>0.37</v>
      </c>
      <c r="AS81" s="4">
        <v>0.14599999999999999</v>
      </c>
      <c r="AT81" s="4">
        <v>-8.2000000000000003E-2</v>
      </c>
      <c r="AU81" s="4">
        <v>0.35199999999999998</v>
      </c>
      <c r="AV81" s="4">
        <v>0.10199999999999999</v>
      </c>
      <c r="AW81" s="4">
        <v>-0.252</v>
      </c>
      <c r="AX81" s="4">
        <v>0.61599999999999999</v>
      </c>
      <c r="AY81" s="4">
        <v>-0.61899999999999999</v>
      </c>
      <c r="AZ81" s="4">
        <v>1</v>
      </c>
      <c r="BA81" s="4">
        <v>0.379</v>
      </c>
      <c r="BB81" s="4">
        <v>-0.90100000000000002</v>
      </c>
      <c r="BC81" s="4">
        <v>-0.26200000000000001</v>
      </c>
      <c r="BD81" s="4">
        <v>-0.64100000000000001</v>
      </c>
      <c r="BE81" s="4">
        <v>0.35699999999999998</v>
      </c>
      <c r="BF81" s="4">
        <v>-0.13300000000000001</v>
      </c>
      <c r="BG81" s="4">
        <v>0.442</v>
      </c>
      <c r="BH81" s="4">
        <v>0.67800000000000005</v>
      </c>
      <c r="BI81" s="4">
        <v>-1</v>
      </c>
      <c r="BJ81" s="4">
        <v>-0.247</v>
      </c>
      <c r="BK81" s="4">
        <v>-0.316</v>
      </c>
      <c r="BL81" s="4">
        <v>-9.8000000000000004E-2</v>
      </c>
      <c r="BM81" s="4">
        <v>-0.35799999999999998</v>
      </c>
      <c r="BN81" s="4"/>
    </row>
    <row r="82" spans="1:66" x14ac:dyDescent="0.3">
      <c r="A82" t="s">
        <v>94</v>
      </c>
      <c r="B82" s="53">
        <f t="shared" si="11"/>
        <v>0</v>
      </c>
      <c r="C82" s="53">
        <f t="shared" si="12"/>
        <v>-7.1082000000000003E-4</v>
      </c>
      <c r="D82" s="53">
        <f t="shared" si="13"/>
        <v>0</v>
      </c>
      <c r="E82" s="53">
        <f t="shared" si="14"/>
        <v>7.1082000000000003E-4</v>
      </c>
      <c r="F82" s="15">
        <v>1.1499999999999999</v>
      </c>
      <c r="G82">
        <v>1.516</v>
      </c>
      <c r="H82" t="s">
        <v>55</v>
      </c>
      <c r="I82" t="str">
        <f>VLOOKUP(A82,Planilha6!$BL$9:$BN$222,2,0)</f>
        <v>real_estate</v>
      </c>
      <c r="J82" t="str">
        <f>VLOOKUP(A82,Planilha6!$BL$9:$BN$222,3,0)</f>
        <v>high_beta</v>
      </c>
      <c r="K82" s="17">
        <v>0</v>
      </c>
      <c r="L82" s="2">
        <v>-1E-3</v>
      </c>
      <c r="M82" s="5">
        <v>0.65326720599999999</v>
      </c>
      <c r="N82" s="41">
        <f>VLOOKUP(A82,'Mandato LP'!$A$2:$B$215,2,0)</f>
        <v>0</v>
      </c>
      <c r="O82" s="59">
        <f t="shared" si="15"/>
        <v>0</v>
      </c>
      <c r="P82" s="42">
        <f t="shared" si="16"/>
        <v>0</v>
      </c>
      <c r="Q82" s="41">
        <f>VLOOKUP(A82,'Mandato LP'!$A$2:$C$215,3,0)</f>
        <v>7.5170242417019403E-3</v>
      </c>
      <c r="R82" s="42">
        <f t="shared" si="17"/>
        <v>-7.5170242417019403E-3</v>
      </c>
      <c r="S82" s="15">
        <v>-0.19800000000000001</v>
      </c>
      <c r="T82" s="15">
        <v>0.21299999999999999</v>
      </c>
      <c r="U82" s="15">
        <v>-0.47199999999999998</v>
      </c>
      <c r="V82" s="15">
        <v>-0.126</v>
      </c>
      <c r="W82" s="15">
        <v>-0.05</v>
      </c>
      <c r="X82" s="15">
        <v>4.0000000000000001E-3</v>
      </c>
      <c r="Y82" s="15">
        <v>0.224</v>
      </c>
      <c r="Z82" s="15">
        <v>-0.16600000000000001</v>
      </c>
      <c r="AA82" s="15">
        <v>0.35</v>
      </c>
      <c r="AB82" s="15">
        <v>0.35199999999999998</v>
      </c>
      <c r="AC82" s="15">
        <v>0.70699999999999996</v>
      </c>
      <c r="AD82" s="15">
        <v>0.73299999999999998</v>
      </c>
      <c r="AE82" s="15">
        <v>0.55700000000000005</v>
      </c>
      <c r="AF82" s="14">
        <v>-0.19400000000000001</v>
      </c>
      <c r="AG82" s="110">
        <v>-0.23699999999999999</v>
      </c>
      <c r="AH82" s="110">
        <v>5.0000000000000001E-3</v>
      </c>
      <c r="AI82" s="110">
        <v>-0.78800000000000003</v>
      </c>
      <c r="AJ82" s="110">
        <v>7.6999999999999999E-2</v>
      </c>
      <c r="AK82" s="16">
        <v>-7.9000000000000001E-2</v>
      </c>
      <c r="AL82" s="111">
        <v>-0.439</v>
      </c>
      <c r="AM82" s="111">
        <v>-0.59299999999999997</v>
      </c>
      <c r="AN82" s="4">
        <v>-0.64300000000000002</v>
      </c>
      <c r="AO82" s="4">
        <v>-0.128</v>
      </c>
      <c r="AP82" s="4">
        <v>0.39600000000000002</v>
      </c>
      <c r="AQ82" s="4">
        <v>0.45900000000000002</v>
      </c>
      <c r="AR82" s="4">
        <v>0.82699999999999996</v>
      </c>
      <c r="AS82" s="4">
        <v>4.8000000000000001E-2</v>
      </c>
      <c r="AT82" s="4">
        <v>-2.8000000000000001E-2</v>
      </c>
      <c r="AU82" s="4">
        <v>0.16200000000000001</v>
      </c>
      <c r="AV82" s="4">
        <v>0.53400000000000003</v>
      </c>
      <c r="AW82" s="4">
        <v>0.438</v>
      </c>
      <c r="AX82" s="4">
        <v>0.22600000000000001</v>
      </c>
      <c r="AY82" s="4">
        <v>-0.28399999999999997</v>
      </c>
      <c r="AZ82" s="4">
        <v>0.65800000000000003</v>
      </c>
      <c r="BA82" s="4">
        <v>0.33800000000000002</v>
      </c>
      <c r="BB82" s="4">
        <v>-0.26300000000000001</v>
      </c>
      <c r="BC82" s="4">
        <v>-0.51500000000000001</v>
      </c>
      <c r="BD82" s="4">
        <v>-3.2000000000000001E-2</v>
      </c>
      <c r="BE82" s="4">
        <v>0.27800000000000002</v>
      </c>
      <c r="BF82" s="4">
        <v>-0.30299999999999999</v>
      </c>
      <c r="BG82" s="4">
        <v>0.113</v>
      </c>
      <c r="BH82" s="4">
        <v>0.48</v>
      </c>
      <c r="BI82" s="4">
        <v>-0.432</v>
      </c>
      <c r="BJ82" s="4">
        <v>0.47099999999999997</v>
      </c>
      <c r="BK82" s="4">
        <v>-0.314</v>
      </c>
      <c r="BL82" s="4">
        <v>-0.16</v>
      </c>
      <c r="BM82" s="4">
        <v>0.89200000000000002</v>
      </c>
      <c r="BN82" s="4"/>
    </row>
    <row r="83" spans="1:66" x14ac:dyDescent="0.3">
      <c r="A83" t="s">
        <v>166</v>
      </c>
      <c r="B83" s="53">
        <f t="shared" si="11"/>
        <v>0</v>
      </c>
      <c r="C83" s="53">
        <f t="shared" si="12"/>
        <v>0</v>
      </c>
      <c r="D83" s="53">
        <f t="shared" si="13"/>
        <v>0</v>
      </c>
      <c r="E83" s="53">
        <f t="shared" si="14"/>
        <v>0</v>
      </c>
      <c r="F83" s="15">
        <v>1.105</v>
      </c>
      <c r="G83">
        <v>1.1850000000000001</v>
      </c>
      <c r="H83" t="s">
        <v>55</v>
      </c>
      <c r="I83" t="str">
        <f>VLOOKUP(A83,Planilha6!$BL$9:$BN$222,2,0)</f>
        <v>utilities</v>
      </c>
      <c r="J83" t="str">
        <f>VLOOKUP(A83,Planilha6!$BL$9:$BN$222,3,0)</f>
        <v>very_low_beta</v>
      </c>
      <c r="K83" s="17">
        <v>0</v>
      </c>
      <c r="L83" s="2">
        <v>0</v>
      </c>
      <c r="M83" s="5">
        <v>1.44211891254667</v>
      </c>
      <c r="N83" s="41">
        <f>VLOOKUP(A83,'Mandato LP'!$A$2:$B$215,2,0)</f>
        <v>0</v>
      </c>
      <c r="O83" s="59">
        <f t="shared" si="15"/>
        <v>0</v>
      </c>
      <c r="P83" s="42">
        <f t="shared" si="16"/>
        <v>0</v>
      </c>
      <c r="Q83" s="41">
        <f>VLOOKUP(A83,'Mandato LP'!$A$2:$C$215,3,0)</f>
        <v>6.7034430974183103E-3</v>
      </c>
      <c r="R83" s="42">
        <f t="shared" si="17"/>
        <v>-6.7034430974183103E-3</v>
      </c>
      <c r="S83" s="15">
        <v>-0.67400000000000004</v>
      </c>
      <c r="T83" s="15">
        <v>-0.02</v>
      </c>
      <c r="U83" s="15">
        <v>-0.7</v>
      </c>
      <c r="V83" s="15">
        <v>-0.47</v>
      </c>
      <c r="W83" s="15">
        <v>-0.20899999999999999</v>
      </c>
      <c r="X83" s="15">
        <v>-0.22600000000000001</v>
      </c>
      <c r="Y83" s="15">
        <v>-7.8E-2</v>
      </c>
      <c r="Z83" s="15">
        <v>0.26600000000000001</v>
      </c>
      <c r="AA83" s="15">
        <v>0.82799999999999996</v>
      </c>
      <c r="AB83" s="15">
        <v>0.83399999999999996</v>
      </c>
      <c r="AC83" s="15">
        <v>0.69099999999999995</v>
      </c>
      <c r="AD83" s="15">
        <v>0.77300000000000002</v>
      </c>
      <c r="AE83" s="15">
        <v>0.60599999999999998</v>
      </c>
      <c r="AF83" s="14">
        <v>-0.67600000000000005</v>
      </c>
      <c r="AG83" s="110">
        <v>-0.53800000000000003</v>
      </c>
      <c r="AH83" s="110">
        <v>0.27700000000000002</v>
      </c>
      <c r="AI83" s="110">
        <v>-0.90100000000000002</v>
      </c>
      <c r="AJ83" s="110">
        <v>-0.64800000000000002</v>
      </c>
      <c r="AK83" s="16">
        <v>-0.95399999999999996</v>
      </c>
      <c r="AL83" s="111">
        <v>-0.38400000000000001</v>
      </c>
      <c r="AM83" s="111">
        <v>0.29899999999999999</v>
      </c>
      <c r="AN83" s="4">
        <v>-0.51900000000000002</v>
      </c>
      <c r="AO83" s="4">
        <v>-0.621</v>
      </c>
      <c r="AP83" s="4">
        <v>0.54200000000000004</v>
      </c>
      <c r="AQ83" s="4">
        <v>0.78400000000000003</v>
      </c>
      <c r="AR83" s="4">
        <v>-0.106</v>
      </c>
      <c r="AS83" s="4">
        <v>0.38800000000000001</v>
      </c>
      <c r="AT83" s="4">
        <v>-0.15</v>
      </c>
      <c r="AU83" s="4">
        <v>0.33600000000000002</v>
      </c>
      <c r="AV83" s="4">
        <v>-0.27300000000000002</v>
      </c>
      <c r="AW83" s="4">
        <v>-0.28499999999999998</v>
      </c>
      <c r="AX83" s="4">
        <v>0.61899999999999999</v>
      </c>
      <c r="AY83" s="4">
        <v>-0.55800000000000005</v>
      </c>
      <c r="AZ83" s="4">
        <v>0.90800000000000003</v>
      </c>
      <c r="BA83" s="4">
        <v>0.58299999999999996</v>
      </c>
      <c r="BB83" s="4">
        <v>9.8000000000000004E-2</v>
      </c>
      <c r="BC83" s="4">
        <v>-0.46899999999999997</v>
      </c>
      <c r="BD83" s="4">
        <v>-0.66100000000000003</v>
      </c>
      <c r="BE83" s="4">
        <v>-0.14799999999999999</v>
      </c>
      <c r="BF83" s="4">
        <v>-0.751</v>
      </c>
      <c r="BG83" s="4">
        <v>-0.58199999999999996</v>
      </c>
      <c r="BH83" s="4">
        <v>0.502</v>
      </c>
      <c r="BI83" s="4">
        <v>-0.59799999999999998</v>
      </c>
      <c r="BJ83" s="4">
        <v>-0.35699999999999998</v>
      </c>
      <c r="BK83" s="4">
        <v>0.91500000000000004</v>
      </c>
      <c r="BL83" s="4">
        <v>-0.38600000000000001</v>
      </c>
      <c r="BM83" s="4">
        <v>9.5000000000000001E-2</v>
      </c>
      <c r="BN83" s="4"/>
    </row>
    <row r="84" spans="1:66" x14ac:dyDescent="0.3">
      <c r="A84" t="s">
        <v>124</v>
      </c>
      <c r="B84" s="53">
        <f t="shared" si="11"/>
        <v>0</v>
      </c>
      <c r="C84" s="53">
        <f t="shared" si="12"/>
        <v>-1.458743E-2</v>
      </c>
      <c r="D84" s="53">
        <f t="shared" si="13"/>
        <v>0</v>
      </c>
      <c r="E84" s="53">
        <f t="shared" si="14"/>
        <v>1.458743E-2</v>
      </c>
      <c r="F84" s="15">
        <v>1.101</v>
      </c>
      <c r="G84">
        <v>2.1480000000000001</v>
      </c>
      <c r="H84" t="s">
        <v>55</v>
      </c>
      <c r="I84" t="str">
        <f>VLOOKUP(A84,Planilha6!$BL$9:$BN$222,2,0)</f>
        <v>utilities</v>
      </c>
      <c r="J84" t="str">
        <f>VLOOKUP(A84,Planilha6!$BL$9:$BN$222,3,0)</f>
        <v>low_beta</v>
      </c>
      <c r="K84" s="17">
        <v>0</v>
      </c>
      <c r="L84" s="2">
        <v>-1.4999999999999999E-2</v>
      </c>
      <c r="M84" s="5">
        <v>2.7842601391366699</v>
      </c>
      <c r="N84" s="41">
        <f>VLOOKUP(A84,'Mandato LP'!$A$2:$B$215,2,0)</f>
        <v>0</v>
      </c>
      <c r="O84" s="59">
        <f t="shared" si="15"/>
        <v>0</v>
      </c>
      <c r="P84" s="42">
        <f t="shared" si="16"/>
        <v>0</v>
      </c>
      <c r="Q84" s="41">
        <f>VLOOKUP(A84,'Mandato LP'!$A$2:$C$215,3,0)</f>
        <v>2.06063436114419E-2</v>
      </c>
      <c r="R84" s="42">
        <f t="shared" si="17"/>
        <v>-2.06063436114419E-2</v>
      </c>
      <c r="S84" s="15">
        <v>-0.73799999999999999</v>
      </c>
      <c r="T84" s="15">
        <v>7.5999999999999998E-2</v>
      </c>
      <c r="U84" s="15">
        <v>-0.85099999999999998</v>
      </c>
      <c r="V84" s="15">
        <v>-0.495</v>
      </c>
      <c r="W84" s="15">
        <v>-0.27500000000000002</v>
      </c>
      <c r="X84" s="15">
        <v>-0.13500000000000001</v>
      </c>
      <c r="Y84" s="15">
        <v>0.40799999999999997</v>
      </c>
      <c r="Z84" s="15">
        <v>0.29599999999999999</v>
      </c>
      <c r="AA84" s="15">
        <v>0.73699999999999999</v>
      </c>
      <c r="AB84" s="15">
        <v>0.74099999999999999</v>
      </c>
      <c r="AC84" s="15">
        <v>0.60399999999999998</v>
      </c>
      <c r="AD84" s="15">
        <v>0.6</v>
      </c>
      <c r="AE84" s="15">
        <v>0.54900000000000004</v>
      </c>
      <c r="AF84" s="14">
        <v>-0.54800000000000004</v>
      </c>
      <c r="AG84" s="110">
        <v>-0.67900000000000005</v>
      </c>
      <c r="AH84" s="110">
        <v>5.8000000000000003E-2</v>
      </c>
      <c r="AI84" s="110">
        <v>-0.79300000000000004</v>
      </c>
      <c r="AJ84" s="110">
        <v>-0.317</v>
      </c>
      <c r="AK84" s="16">
        <v>-0.88800000000000001</v>
      </c>
      <c r="AL84" s="111">
        <v>-0.26900000000000002</v>
      </c>
      <c r="AM84" s="111">
        <v>0.14499999999999999</v>
      </c>
      <c r="AN84" s="4">
        <v>-0.59299999999999997</v>
      </c>
      <c r="AO84" s="4">
        <v>-0.44</v>
      </c>
      <c r="AP84" s="4">
        <v>0.36899999999999999</v>
      </c>
      <c r="AQ84" s="4">
        <v>0.443</v>
      </c>
      <c r="AR84" s="4">
        <v>-0.16600000000000001</v>
      </c>
      <c r="AS84" s="4">
        <v>-0.14199999999999999</v>
      </c>
      <c r="AT84" s="4">
        <v>0.17499999999999999</v>
      </c>
      <c r="AU84" s="4">
        <v>0.191</v>
      </c>
      <c r="AV84" s="4">
        <v>0.503</v>
      </c>
      <c r="AW84" s="4">
        <v>-0.157</v>
      </c>
      <c r="AX84" s="4">
        <v>0.85699999999999998</v>
      </c>
      <c r="AY84" s="4">
        <v>-0.92800000000000005</v>
      </c>
      <c r="AZ84" s="4">
        <v>0.495</v>
      </c>
      <c r="BA84" s="4">
        <v>0.1</v>
      </c>
      <c r="BB84" s="4">
        <v>-0.41299999999999998</v>
      </c>
      <c r="BC84" s="4">
        <v>-0.41599999999999998</v>
      </c>
      <c r="BD84" s="4">
        <v>-0.52100000000000002</v>
      </c>
      <c r="BE84" s="4">
        <v>0.186</v>
      </c>
      <c r="BF84" s="4">
        <v>4.2999999999999997E-2</v>
      </c>
      <c r="BG84" s="4">
        <v>-7.3999999999999996E-2</v>
      </c>
      <c r="BH84" s="4">
        <v>0.86099999999999999</v>
      </c>
      <c r="BI84" s="4">
        <v>-0.437</v>
      </c>
      <c r="BJ84" s="4">
        <v>-0.253</v>
      </c>
      <c r="BK84" s="4">
        <v>-0.155</v>
      </c>
      <c r="BL84" s="4">
        <v>4.3999999999999997E-2</v>
      </c>
      <c r="BM84" s="4">
        <v>0.12</v>
      </c>
      <c r="BN84" s="4"/>
    </row>
    <row r="85" spans="1:66" x14ac:dyDescent="0.3">
      <c r="A85" t="s">
        <v>163</v>
      </c>
      <c r="B85" s="53">
        <f t="shared" si="11"/>
        <v>0</v>
      </c>
      <c r="C85" s="53">
        <f t="shared" si="12"/>
        <v>0</v>
      </c>
      <c r="D85" s="53">
        <f t="shared" si="13"/>
        <v>0</v>
      </c>
      <c r="E85" s="53">
        <f t="shared" si="14"/>
        <v>0</v>
      </c>
      <c r="F85" s="15">
        <v>1.0900000000000001</v>
      </c>
      <c r="G85">
        <v>1.355</v>
      </c>
      <c r="H85" t="s">
        <v>68</v>
      </c>
      <c r="I85" t="str">
        <f>VLOOKUP(A85,Planilha6!$BL$9:$BN$222,2,0)</f>
        <v>building_materials</v>
      </c>
      <c r="J85" t="str">
        <f>VLOOKUP(A85,Planilha6!$BL$9:$BN$222,3,0)</f>
        <v>neutral_beta</v>
      </c>
      <c r="K85" s="17">
        <v>0</v>
      </c>
      <c r="L85" s="2">
        <v>0</v>
      </c>
      <c r="M85" s="5">
        <v>0.43622823112999998</v>
      </c>
      <c r="N85" s="41">
        <f>VLOOKUP(A85,'Mandato LP'!$A$2:$B$215,2,0)</f>
        <v>0</v>
      </c>
      <c r="O85" s="59">
        <f t="shared" si="15"/>
        <v>0</v>
      </c>
      <c r="P85" s="42">
        <f t="shared" si="16"/>
        <v>0</v>
      </c>
      <c r="Q85" s="41">
        <f>VLOOKUP(A85,'Mandato LP'!$A$2:$C$215,3,0)</f>
        <v>0</v>
      </c>
      <c r="R85" s="42">
        <f t="shared" si="17"/>
        <v>0</v>
      </c>
      <c r="S85" s="15">
        <v>-0.29599999999999999</v>
      </c>
      <c r="T85" s="15">
        <v>0.157</v>
      </c>
      <c r="U85" s="15">
        <v>-0.4</v>
      </c>
      <c r="V85" s="15">
        <v>-0.52</v>
      </c>
      <c r="W85" s="15">
        <v>-0.23499999999999999</v>
      </c>
      <c r="X85" s="15">
        <v>-0.125</v>
      </c>
      <c r="Y85" s="15">
        <v>0.25800000000000001</v>
      </c>
      <c r="Z85" s="15">
        <v>-0.22800000000000001</v>
      </c>
      <c r="AA85" s="15">
        <v>0.61</v>
      </c>
      <c r="AB85" s="15">
        <v>0.60899999999999999</v>
      </c>
      <c r="AC85" s="15">
        <v>0.69</v>
      </c>
      <c r="AD85" s="15">
        <v>0.63400000000000001</v>
      </c>
      <c r="AE85" s="15">
        <v>0.64600000000000002</v>
      </c>
      <c r="AF85" s="14">
        <v>-0.77200000000000002</v>
      </c>
      <c r="AG85" s="110">
        <v>-0.57199999999999995</v>
      </c>
      <c r="AH85" s="110">
        <v>-0.11899999999999999</v>
      </c>
      <c r="AI85" s="110">
        <v>-0.52900000000000003</v>
      </c>
      <c r="AJ85" s="110">
        <v>0.63400000000000001</v>
      </c>
      <c r="AK85" s="16">
        <v>-0.52500000000000002</v>
      </c>
      <c r="AL85" s="111">
        <v>-0.14899999999999999</v>
      </c>
      <c r="AM85" s="111">
        <v>-0.54900000000000004</v>
      </c>
      <c r="AN85" s="4">
        <v>-0.65600000000000003</v>
      </c>
      <c r="AO85" s="4">
        <v>0.17599999999999999</v>
      </c>
      <c r="AP85" s="4">
        <v>0.17799999999999999</v>
      </c>
      <c r="AQ85" s="4">
        <v>-1.4999999999999999E-2</v>
      </c>
      <c r="AR85" s="4">
        <v>0.25600000000000001</v>
      </c>
      <c r="AS85" s="4">
        <v>6.5000000000000002E-2</v>
      </c>
      <c r="AT85" s="4">
        <v>-0.24099999999999999</v>
      </c>
      <c r="AU85" s="4">
        <v>0.379</v>
      </c>
      <c r="AV85" s="4">
        <v>0.54400000000000004</v>
      </c>
      <c r="AW85" s="4">
        <v>-0.247</v>
      </c>
      <c r="AX85" s="4">
        <v>0.40600000000000003</v>
      </c>
      <c r="AY85" s="4">
        <v>-4.7E-2</v>
      </c>
      <c r="AZ85" s="4">
        <v>0.64900000000000002</v>
      </c>
      <c r="BA85" s="4">
        <v>0.33200000000000002</v>
      </c>
      <c r="BB85" s="4">
        <v>0.442</v>
      </c>
      <c r="BC85" s="4">
        <v>-0.23100000000000001</v>
      </c>
      <c r="BD85" s="4">
        <v>-0.46700000000000003</v>
      </c>
      <c r="BE85" s="4">
        <v>0.22600000000000001</v>
      </c>
      <c r="BF85" s="4">
        <v>0.25700000000000001</v>
      </c>
      <c r="BG85" s="4">
        <v>-5.8000000000000003E-2</v>
      </c>
      <c r="BH85" s="4">
        <v>0.871</v>
      </c>
      <c r="BI85" s="4">
        <v>-0.52800000000000002</v>
      </c>
      <c r="BJ85" s="4">
        <v>0.33</v>
      </c>
      <c r="BK85" s="4">
        <v>0.249</v>
      </c>
      <c r="BL85" s="4">
        <v>-6.4000000000000001E-2</v>
      </c>
      <c r="BM85" s="4">
        <v>-0.104</v>
      </c>
      <c r="BN85" s="4"/>
    </row>
    <row r="86" spans="1:66" x14ac:dyDescent="0.3">
      <c r="A86" t="s">
        <v>135</v>
      </c>
      <c r="B86" s="53">
        <f t="shared" si="11"/>
        <v>0</v>
      </c>
      <c r="C86" s="53">
        <f t="shared" si="12"/>
        <v>-4.9271570000000001E-2</v>
      </c>
      <c r="D86" s="53">
        <f t="shared" si="13"/>
        <v>0</v>
      </c>
      <c r="E86" s="53">
        <f t="shared" si="14"/>
        <v>4.9271570000000001E-2</v>
      </c>
      <c r="F86" s="15">
        <v>1.046</v>
      </c>
      <c r="G86">
        <v>2.2970000000000002</v>
      </c>
      <c r="H86" t="s">
        <v>57</v>
      </c>
      <c r="I86" t="str">
        <f>VLOOKUP(A86,Planilha6!$BL$9:$BN$222,2,0)</f>
        <v>banks</v>
      </c>
      <c r="J86" t="str">
        <f>VLOOKUP(A86,Planilha6!$BL$9:$BN$222,3,0)</f>
        <v>neutral_beta</v>
      </c>
      <c r="K86" s="17">
        <v>0</v>
      </c>
      <c r="L86" s="2">
        <v>-4.9000000000000002E-2</v>
      </c>
      <c r="M86" s="5">
        <v>2.7211310861000002</v>
      </c>
      <c r="N86" s="41">
        <f>VLOOKUP(A86,'Mandato LP'!$A$2:$B$215,2,0)</f>
        <v>0</v>
      </c>
      <c r="O86" s="59">
        <f t="shared" si="15"/>
        <v>0</v>
      </c>
      <c r="P86" s="42">
        <f t="shared" si="16"/>
        <v>0</v>
      </c>
      <c r="Q86" s="41">
        <f>VLOOKUP(A86,'Mandato LP'!$A$2:$C$215,3,0)</f>
        <v>3.0146667203923401E-2</v>
      </c>
      <c r="R86" s="42">
        <f t="shared" si="17"/>
        <v>-3.0146667203923401E-2</v>
      </c>
      <c r="S86" s="15">
        <v>-0.56100000000000005</v>
      </c>
      <c r="T86" s="15">
        <v>8.5000000000000006E-2</v>
      </c>
      <c r="U86" s="15">
        <v>-0.84799999999999998</v>
      </c>
      <c r="V86" s="15">
        <v>-0.30099999999999999</v>
      </c>
      <c r="W86" s="15">
        <v>-0.255</v>
      </c>
      <c r="X86" s="15">
        <v>-0.13800000000000001</v>
      </c>
      <c r="Y86" s="15">
        <v>7.0000000000000007E-2</v>
      </c>
      <c r="Z86" s="15">
        <v>7.8E-2</v>
      </c>
      <c r="AA86" s="15">
        <v>0.56200000000000006</v>
      </c>
      <c r="AB86" s="15">
        <v>0.56699999999999995</v>
      </c>
      <c r="AC86" s="15">
        <v>0.69499999999999995</v>
      </c>
      <c r="AD86" s="15">
        <v>0.79200000000000004</v>
      </c>
      <c r="AE86" s="15">
        <v>0.627</v>
      </c>
      <c r="AF86" s="14">
        <v>-0.61</v>
      </c>
      <c r="AG86" s="110">
        <v>3.9E-2</v>
      </c>
      <c r="AH86" s="110">
        <v>0.44900000000000001</v>
      </c>
      <c r="AI86" s="110">
        <v>-0.96399999999999997</v>
      </c>
      <c r="AJ86" s="110">
        <v>-0.751</v>
      </c>
      <c r="AK86" s="16">
        <v>-0.97899999999999998</v>
      </c>
      <c r="AL86" s="111">
        <v>-0.183</v>
      </c>
      <c r="AM86" s="111">
        <v>2.8000000000000001E-2</v>
      </c>
      <c r="AN86" s="4">
        <v>-0.53600000000000003</v>
      </c>
      <c r="AO86" s="4">
        <v>-0.16500000000000001</v>
      </c>
      <c r="AP86" s="4">
        <v>0.40699999999999997</v>
      </c>
      <c r="AQ86" s="4">
        <v>0.53700000000000003</v>
      </c>
      <c r="AR86" s="4">
        <v>0.27900000000000003</v>
      </c>
      <c r="AS86" s="4">
        <v>0.11899999999999999</v>
      </c>
      <c r="AT86" s="4">
        <v>-6.3E-2</v>
      </c>
      <c r="AU86" s="4">
        <v>4.1000000000000002E-2</v>
      </c>
      <c r="AV86" s="4">
        <v>-0.16900000000000001</v>
      </c>
      <c r="AW86" s="4">
        <v>-0.20599999999999999</v>
      </c>
      <c r="AX86" s="4">
        <v>0.44400000000000001</v>
      </c>
      <c r="AY86" s="4">
        <v>-0.47099999999999997</v>
      </c>
      <c r="AZ86" s="4">
        <v>0.85599999999999998</v>
      </c>
      <c r="BA86" s="4">
        <v>0.251</v>
      </c>
      <c r="BB86" s="4">
        <v>0.34200000000000003</v>
      </c>
      <c r="BC86" s="4">
        <v>-0.159</v>
      </c>
      <c r="BD86" s="4">
        <v>-5.1999999999999998E-2</v>
      </c>
      <c r="BE86" s="4">
        <v>0.30299999999999999</v>
      </c>
      <c r="BF86" s="4">
        <v>-0.14299999999999999</v>
      </c>
      <c r="BG86" s="4">
        <v>-0.26500000000000001</v>
      </c>
      <c r="BH86" s="4">
        <v>0.80100000000000005</v>
      </c>
      <c r="BI86" s="4">
        <v>-0.72499999999999998</v>
      </c>
      <c r="BJ86" s="4">
        <v>8.0000000000000002E-3</v>
      </c>
      <c r="BK86" s="4">
        <v>-0.19900000000000001</v>
      </c>
      <c r="BL86" s="4">
        <v>-0.92300000000000004</v>
      </c>
      <c r="BM86" s="4">
        <v>3.5999999999999997E-2</v>
      </c>
      <c r="BN86" s="4"/>
    </row>
    <row r="87" spans="1:66" x14ac:dyDescent="0.3">
      <c r="A87" t="s">
        <v>143</v>
      </c>
      <c r="B87" s="53">
        <f t="shared" si="11"/>
        <v>0</v>
      </c>
      <c r="C87" s="53">
        <f t="shared" si="12"/>
        <v>-1.1622159999999999E-2</v>
      </c>
      <c r="D87" s="53">
        <f t="shared" si="13"/>
        <v>0</v>
      </c>
      <c r="E87" s="53">
        <f t="shared" si="14"/>
        <v>1.1622159999999999E-2</v>
      </c>
      <c r="F87" s="15">
        <v>1.0289999999999999</v>
      </c>
      <c r="G87">
        <v>1.593</v>
      </c>
      <c r="H87" t="s">
        <v>53</v>
      </c>
      <c r="I87" t="str">
        <f>VLOOKUP(A87,Planilha6!$BL$9:$BN$222,2,0)</f>
        <v>healthcare</v>
      </c>
      <c r="J87" t="str">
        <f>VLOOKUP(A87,Planilha6!$BL$9:$BN$222,3,0)</f>
        <v>low_beta</v>
      </c>
      <c r="K87" s="17">
        <v>0</v>
      </c>
      <c r="L87" s="2">
        <v>-1.2E-2</v>
      </c>
      <c r="M87" s="5">
        <v>0.93633607016333298</v>
      </c>
      <c r="N87" s="41">
        <f>VLOOKUP(A87,'Mandato LP'!$A$2:$B$215,2,0)</f>
        <v>0</v>
      </c>
      <c r="O87" s="59">
        <f t="shared" si="15"/>
        <v>0</v>
      </c>
      <c r="P87" s="42">
        <f t="shared" si="16"/>
        <v>0</v>
      </c>
      <c r="Q87" s="41">
        <f>VLOOKUP(A87,'Mandato LP'!$A$2:$C$215,3,0)</f>
        <v>0</v>
      </c>
      <c r="R87" s="42">
        <f t="shared" si="17"/>
        <v>0</v>
      </c>
      <c r="S87" s="15">
        <v>-0.36299999999999999</v>
      </c>
      <c r="T87" s="15">
        <v>-5.7000000000000002E-2</v>
      </c>
      <c r="U87" s="15">
        <v>-0.60499999999999998</v>
      </c>
      <c r="V87" s="15">
        <v>-0.35299999999999998</v>
      </c>
      <c r="W87" s="15">
        <v>-0.254</v>
      </c>
      <c r="X87" s="15">
        <v>-6.0999999999999999E-2</v>
      </c>
      <c r="Y87" s="15">
        <v>0.17100000000000001</v>
      </c>
      <c r="Z87" s="15">
        <v>-0.02</v>
      </c>
      <c r="AA87" s="15">
        <v>0.38500000000000001</v>
      </c>
      <c r="AB87" s="15">
        <v>0.38800000000000001</v>
      </c>
      <c r="AC87" s="15">
        <v>0.71499999999999997</v>
      </c>
      <c r="AD87" s="15">
        <v>0.77600000000000002</v>
      </c>
      <c r="AE87" s="15">
        <v>0.50900000000000001</v>
      </c>
      <c r="AF87" s="14">
        <v>-0.20599999999999999</v>
      </c>
      <c r="AG87" s="110">
        <v>-0.378</v>
      </c>
      <c r="AH87" s="110">
        <v>-0.29399999999999998</v>
      </c>
      <c r="AI87" s="110">
        <v>-0.60899999999999999</v>
      </c>
      <c r="AJ87" s="110">
        <v>-0.43</v>
      </c>
      <c r="AK87" s="16">
        <v>-0.74</v>
      </c>
      <c r="AL87" s="111">
        <v>-1.6E-2</v>
      </c>
      <c r="AM87" s="111">
        <v>-0.10100000000000001</v>
      </c>
      <c r="AN87" s="4">
        <v>-0.61699999999999999</v>
      </c>
      <c r="AO87" s="4">
        <v>0.20799999999999999</v>
      </c>
      <c r="AP87" s="4">
        <v>-2.3E-2</v>
      </c>
      <c r="AQ87" s="4">
        <v>0.17199999999999999</v>
      </c>
      <c r="AR87" s="4">
        <v>9.4E-2</v>
      </c>
      <c r="AS87" s="4">
        <v>0.20699999999999999</v>
      </c>
      <c r="AT87" s="4">
        <v>0.20399999999999999</v>
      </c>
      <c r="AU87" s="4">
        <v>0.28000000000000003</v>
      </c>
      <c r="AV87" s="4">
        <v>-0.106</v>
      </c>
      <c r="AW87" s="4">
        <v>8.5000000000000006E-2</v>
      </c>
      <c r="AX87" s="4">
        <v>0.45600000000000002</v>
      </c>
      <c r="AY87" s="4">
        <v>-0.17799999999999999</v>
      </c>
      <c r="AZ87" s="4">
        <v>0.95899999999999996</v>
      </c>
      <c r="BA87" s="4">
        <v>0.47799999999999998</v>
      </c>
      <c r="BB87" s="4">
        <v>0.13800000000000001</v>
      </c>
      <c r="BC87" s="4">
        <v>-2.3E-2</v>
      </c>
      <c r="BD87" s="4">
        <v>7.0000000000000001E-3</v>
      </c>
      <c r="BE87" s="4">
        <v>0.27900000000000003</v>
      </c>
      <c r="BF87" s="4">
        <v>-0.09</v>
      </c>
      <c r="BG87" s="4">
        <v>0.16900000000000001</v>
      </c>
      <c r="BH87" s="4">
        <v>0.73799999999999999</v>
      </c>
      <c r="BI87" s="4">
        <v>-0.21199999999999999</v>
      </c>
      <c r="BJ87" s="4">
        <v>-0.13400000000000001</v>
      </c>
      <c r="BK87" s="4">
        <v>-4.7E-2</v>
      </c>
      <c r="BL87" s="4">
        <v>-0.152</v>
      </c>
      <c r="BM87" s="4">
        <v>-0.42899999999999999</v>
      </c>
      <c r="BN87" s="4"/>
    </row>
    <row r="88" spans="1:66" x14ac:dyDescent="0.3">
      <c r="A88" t="s">
        <v>119</v>
      </c>
      <c r="B88" s="53">
        <f t="shared" si="11"/>
        <v>0</v>
      </c>
      <c r="C88" s="53">
        <f t="shared" si="12"/>
        <v>-2.6089799999999999E-3</v>
      </c>
      <c r="D88" s="53">
        <f t="shared" si="13"/>
        <v>0</v>
      </c>
      <c r="E88" s="53">
        <f t="shared" si="14"/>
        <v>2.6089799999999999E-3</v>
      </c>
      <c r="F88" s="15">
        <v>1.018</v>
      </c>
      <c r="G88">
        <v>1.069</v>
      </c>
      <c r="H88" t="s">
        <v>57</v>
      </c>
      <c r="I88" t="str">
        <f>VLOOKUP(A88,Planilha6!$BL$9:$BN$222,2,0)</f>
        <v>homebuilders</v>
      </c>
      <c r="J88" t="str">
        <f>VLOOKUP(A88,Planilha6!$BL$9:$BN$222,3,0)</f>
        <v>high_beta</v>
      </c>
      <c r="K88" s="17">
        <v>0</v>
      </c>
      <c r="L88" s="2">
        <v>-3.0000000000000001E-3</v>
      </c>
      <c r="M88" s="5">
        <v>0.83411031256666701</v>
      </c>
      <c r="N88" s="41">
        <f>VLOOKUP(A88,'Mandato LP'!$A$2:$B$215,2,0)</f>
        <v>0</v>
      </c>
      <c r="O88" s="59">
        <f t="shared" si="15"/>
        <v>0</v>
      </c>
      <c r="P88" s="42">
        <f t="shared" si="16"/>
        <v>0</v>
      </c>
      <c r="Q88" s="41">
        <f>VLOOKUP(A88,'Mandato LP'!$A$2:$C$215,3,0)</f>
        <v>0</v>
      </c>
      <c r="R88" s="42">
        <f t="shared" si="17"/>
        <v>0</v>
      </c>
      <c r="S88" s="15">
        <v>-0.21099999999999999</v>
      </c>
      <c r="T88" s="15">
        <v>-8.8999999999999996E-2</v>
      </c>
      <c r="U88" s="15">
        <v>-0.39400000000000002</v>
      </c>
      <c r="V88" s="15">
        <v>-0.23200000000000001</v>
      </c>
      <c r="W88" s="15">
        <v>-0.189</v>
      </c>
      <c r="X88" s="15">
        <v>-0.16500000000000001</v>
      </c>
      <c r="Y88" s="15">
        <v>0.04</v>
      </c>
      <c r="Z88" s="15">
        <v>-0.24399999999999999</v>
      </c>
      <c r="AA88" s="15">
        <v>0.41199999999999998</v>
      </c>
      <c r="AB88" s="15">
        <v>0.41299999999999998</v>
      </c>
      <c r="AC88" s="15">
        <v>0.72699999999999998</v>
      </c>
      <c r="AD88" s="15">
        <v>0.76400000000000001</v>
      </c>
      <c r="AE88" s="15">
        <v>0.57599999999999996</v>
      </c>
      <c r="AF88" s="14">
        <v>-0.02</v>
      </c>
      <c r="AG88" s="110">
        <v>-0.06</v>
      </c>
      <c r="AH88" s="110">
        <v>-5.1999999999999998E-2</v>
      </c>
      <c r="AI88" s="110">
        <v>-0.38300000000000001</v>
      </c>
      <c r="AJ88" s="110">
        <v>-0.158</v>
      </c>
      <c r="AK88" s="16">
        <v>-0.30199999999999999</v>
      </c>
      <c r="AL88" s="111">
        <v>-0.26900000000000002</v>
      </c>
      <c r="AM88" s="111">
        <v>-0.33900000000000002</v>
      </c>
      <c r="AN88" s="4">
        <v>-0.28399999999999997</v>
      </c>
      <c r="AO88" s="4">
        <v>0.56299999999999994</v>
      </c>
      <c r="AP88" s="4">
        <v>0.20699999999999999</v>
      </c>
      <c r="AQ88" s="4">
        <v>1.0999999999999999E-2</v>
      </c>
      <c r="AR88" s="4">
        <v>0.39300000000000002</v>
      </c>
      <c r="AS88" s="4">
        <v>-5.0000000000000001E-3</v>
      </c>
      <c r="AT88" s="4">
        <v>-6.6000000000000003E-2</v>
      </c>
      <c r="AU88" s="4">
        <v>2E-3</v>
      </c>
      <c r="AV88" s="4">
        <v>0.51600000000000001</v>
      </c>
      <c r="AW88" s="4">
        <v>0.19500000000000001</v>
      </c>
      <c r="AX88" s="4">
        <v>-0.09</v>
      </c>
      <c r="AY88" s="4">
        <v>9.9000000000000005E-2</v>
      </c>
      <c r="AZ88" s="4">
        <v>0.60299999999999998</v>
      </c>
      <c r="BA88" s="4">
        <v>0.15</v>
      </c>
      <c r="BB88" s="4">
        <v>5.5E-2</v>
      </c>
      <c r="BC88" s="4">
        <v>-0.20899999999999999</v>
      </c>
      <c r="BD88" s="4">
        <v>-0.30599999999999999</v>
      </c>
      <c r="BE88" s="4">
        <v>-0.3</v>
      </c>
      <c r="BF88" s="4">
        <v>-0.376</v>
      </c>
      <c r="BG88" s="4">
        <v>0.27300000000000002</v>
      </c>
      <c r="BH88" s="4">
        <v>0.44</v>
      </c>
      <c r="BI88" s="4">
        <v>-0.18</v>
      </c>
      <c r="BJ88" s="4">
        <v>0.41299999999999998</v>
      </c>
      <c r="BK88" s="4">
        <v>-2.8000000000000001E-2</v>
      </c>
      <c r="BL88" s="4">
        <v>-1.0999999999999999E-2</v>
      </c>
      <c r="BM88" s="4">
        <v>-0.26700000000000002</v>
      </c>
      <c r="BN88" s="4"/>
    </row>
    <row r="89" spans="1:66" x14ac:dyDescent="0.3">
      <c r="A89" t="s">
        <v>125</v>
      </c>
      <c r="B89" s="53">
        <f t="shared" si="11"/>
        <v>0</v>
      </c>
      <c r="C89" s="53">
        <f t="shared" si="12"/>
        <v>-1.25862E-3</v>
      </c>
      <c r="D89" s="53">
        <f t="shared" si="13"/>
        <v>0</v>
      </c>
      <c r="E89" s="53">
        <f t="shared" si="14"/>
        <v>1.25862E-3</v>
      </c>
      <c r="F89" s="15">
        <v>1.0149999999999999</v>
      </c>
      <c r="G89">
        <v>1.3979999999999999</v>
      </c>
      <c r="H89" t="s">
        <v>55</v>
      </c>
      <c r="I89" t="str">
        <f>VLOOKUP(A89,Planilha6!$BL$9:$BN$222,2,0)</f>
        <v>real_estate</v>
      </c>
      <c r="J89" t="str">
        <f>VLOOKUP(A89,Planilha6!$BL$9:$BN$222,3,0)</f>
        <v>high_beta</v>
      </c>
      <c r="K89" s="17">
        <v>0</v>
      </c>
      <c r="L89" s="2">
        <v>-1E-3</v>
      </c>
      <c r="M89" s="5">
        <v>1.1477801859300001</v>
      </c>
      <c r="N89" s="41">
        <f>VLOOKUP(A89,'Mandato LP'!$A$2:$B$215,2,0)</f>
        <v>0</v>
      </c>
      <c r="O89" s="59">
        <f t="shared" si="15"/>
        <v>0</v>
      </c>
      <c r="P89" s="42">
        <f t="shared" si="16"/>
        <v>0</v>
      </c>
      <c r="Q89" s="41">
        <f>VLOOKUP(A89,'Mandato LP'!$A$2:$C$215,3,0)</f>
        <v>5.6973828030730403E-3</v>
      </c>
      <c r="R89" s="42">
        <f t="shared" si="17"/>
        <v>-5.6973828030730403E-3</v>
      </c>
      <c r="S89" s="15">
        <v>-0.47399999999999998</v>
      </c>
      <c r="T89" s="15">
        <v>0.20599999999999999</v>
      </c>
      <c r="U89" s="15">
        <v>-0.78100000000000003</v>
      </c>
      <c r="V89" s="15">
        <v>-0.36</v>
      </c>
      <c r="W89" s="15">
        <v>-0.23100000000000001</v>
      </c>
      <c r="X89" s="15">
        <v>5.0000000000000001E-3</v>
      </c>
      <c r="Y89" s="15">
        <v>0.499</v>
      </c>
      <c r="Z89" s="15">
        <v>5.0000000000000001E-3</v>
      </c>
      <c r="AA89" s="15">
        <v>0.40200000000000002</v>
      </c>
      <c r="AB89" s="15">
        <v>0.40699999999999997</v>
      </c>
      <c r="AC89" s="15">
        <v>0.59799999999999998</v>
      </c>
      <c r="AD89" s="15">
        <v>0.63700000000000001</v>
      </c>
      <c r="AE89" s="15">
        <v>0.44</v>
      </c>
      <c r="AF89" s="14">
        <v>-0.20200000000000001</v>
      </c>
      <c r="AG89" s="110">
        <v>-0.57199999999999995</v>
      </c>
      <c r="AH89" s="110">
        <v>-0.20399999999999999</v>
      </c>
      <c r="AI89" s="110">
        <v>-0.874</v>
      </c>
      <c r="AJ89" s="110">
        <v>-0.45</v>
      </c>
      <c r="AK89" s="16">
        <v>-0.51800000000000002</v>
      </c>
      <c r="AL89" s="111">
        <v>-0.3</v>
      </c>
      <c r="AM89" s="111">
        <v>-0.42099999999999999</v>
      </c>
      <c r="AN89" s="4">
        <v>-0.76200000000000001</v>
      </c>
      <c r="AO89" s="4">
        <v>1.4999999999999999E-2</v>
      </c>
      <c r="AP89" s="4">
        <v>0.214</v>
      </c>
      <c r="AQ89" s="4">
        <v>0.54</v>
      </c>
      <c r="AR89" s="4">
        <v>0.16200000000000001</v>
      </c>
      <c r="AS89" s="4">
        <v>-6.2E-2</v>
      </c>
      <c r="AT89" s="4">
        <v>-0.42299999999999999</v>
      </c>
      <c r="AU89" s="4">
        <v>0.5</v>
      </c>
      <c r="AV89" s="4">
        <v>0.98599999999999999</v>
      </c>
      <c r="AW89" s="4">
        <v>0.34399999999999997</v>
      </c>
      <c r="AX89" s="4">
        <v>0.315</v>
      </c>
      <c r="AY89" s="4">
        <v>-0.63100000000000001</v>
      </c>
      <c r="AZ89" s="4">
        <v>0.874</v>
      </c>
      <c r="BA89" s="4">
        <v>0.318</v>
      </c>
      <c r="BB89" s="4">
        <v>-0.36799999999999999</v>
      </c>
      <c r="BC89" s="4">
        <v>-0.28399999999999997</v>
      </c>
      <c r="BD89" s="4">
        <v>0.28399999999999997</v>
      </c>
      <c r="BE89" s="4">
        <v>0.184</v>
      </c>
      <c r="BF89" s="4">
        <v>-0.36599999999999999</v>
      </c>
      <c r="BG89" s="4">
        <v>-0.17499999999999999</v>
      </c>
      <c r="BH89" s="4">
        <v>0.64800000000000002</v>
      </c>
      <c r="BI89" s="4">
        <v>-0.39800000000000002</v>
      </c>
      <c r="BJ89" s="4">
        <v>0.52500000000000002</v>
      </c>
      <c r="BK89" s="4">
        <v>-0.28999999999999998</v>
      </c>
      <c r="BL89" s="4">
        <v>-0.434</v>
      </c>
      <c r="BM89" s="4">
        <v>0.12</v>
      </c>
      <c r="BN89" s="4"/>
    </row>
    <row r="90" spans="1:66" x14ac:dyDescent="0.3">
      <c r="A90" t="s">
        <v>177</v>
      </c>
      <c r="B90" s="53">
        <f t="shared" si="11"/>
        <v>0</v>
      </c>
      <c r="C90" s="53">
        <f t="shared" si="12"/>
        <v>0</v>
      </c>
      <c r="D90" s="53">
        <f t="shared" si="13"/>
        <v>0</v>
      </c>
      <c r="E90" s="53">
        <f t="shared" si="14"/>
        <v>0</v>
      </c>
      <c r="F90" s="15">
        <v>1.0069999999999999</v>
      </c>
      <c r="G90">
        <v>1.2170000000000001</v>
      </c>
      <c r="H90" t="s">
        <v>71</v>
      </c>
      <c r="I90" t="str">
        <f>VLOOKUP(A90,Planilha6!$BL$9:$BN$222,2,0)</f>
        <v>basic_materials</v>
      </c>
      <c r="J90" t="str">
        <f>VLOOKUP(A90,Planilha6!$BL$9:$BN$222,3,0)</f>
        <v>very_low_beta</v>
      </c>
      <c r="K90" s="17">
        <v>0</v>
      </c>
      <c r="L90" s="2">
        <v>0</v>
      </c>
      <c r="M90" s="5">
        <v>0.27103129237833301</v>
      </c>
      <c r="N90" s="41">
        <f>VLOOKUP(A90,'Mandato LP'!$A$2:$B$215,2,0)</f>
        <v>0</v>
      </c>
      <c r="O90" s="59">
        <f t="shared" si="15"/>
        <v>0</v>
      </c>
      <c r="P90" s="42">
        <f t="shared" si="16"/>
        <v>0</v>
      </c>
      <c r="Q90" s="41">
        <f>VLOOKUP(A90,'Mandato LP'!$A$2:$C$215,3,0)</f>
        <v>0</v>
      </c>
      <c r="R90" s="42">
        <f t="shared" si="17"/>
        <v>0</v>
      </c>
      <c r="S90" s="15">
        <v>-0.70399999999999996</v>
      </c>
      <c r="T90" s="15">
        <v>-0.22700000000000001</v>
      </c>
      <c r="U90" s="15">
        <v>-0.81299999999999994</v>
      </c>
      <c r="V90" s="15">
        <v>-0.51600000000000001</v>
      </c>
      <c r="W90" s="15">
        <v>-0.41499999999999998</v>
      </c>
      <c r="X90" s="15">
        <v>-5.7000000000000002E-2</v>
      </c>
      <c r="Y90" s="15">
        <v>0.19500000000000001</v>
      </c>
      <c r="Z90" s="15">
        <v>0.113</v>
      </c>
      <c r="AA90" s="15">
        <v>0.88</v>
      </c>
      <c r="AB90" s="15">
        <v>0.88200000000000001</v>
      </c>
      <c r="AC90" s="15">
        <v>0.61399999999999999</v>
      </c>
      <c r="AD90" s="15">
        <v>0.68300000000000005</v>
      </c>
      <c r="AE90" s="15">
        <v>0.59</v>
      </c>
      <c r="AF90" s="14">
        <v>-1E-3</v>
      </c>
      <c r="AG90" s="110">
        <v>-0.82899999999999996</v>
      </c>
      <c r="AH90" s="110">
        <v>-0.186</v>
      </c>
      <c r="AI90" s="110">
        <v>-0.754</v>
      </c>
      <c r="AJ90" s="110">
        <v>-0.74099999999999999</v>
      </c>
      <c r="AK90" s="16">
        <v>-0.97499999999999998</v>
      </c>
      <c r="AL90" s="111">
        <v>0.122</v>
      </c>
      <c r="AM90" s="111">
        <v>2.8000000000000001E-2</v>
      </c>
      <c r="AN90" s="4">
        <v>-0.42299999999999999</v>
      </c>
      <c r="AO90" s="4">
        <v>-5.3999999999999999E-2</v>
      </c>
      <c r="AP90" s="4">
        <v>0.28199999999999997</v>
      </c>
      <c r="AQ90" s="4">
        <v>-2E-3</v>
      </c>
      <c r="AR90" s="4">
        <v>-0.38700000000000001</v>
      </c>
      <c r="AS90" s="4">
        <v>-0.65300000000000002</v>
      </c>
      <c r="AT90" s="4">
        <v>-0.49</v>
      </c>
      <c r="AU90" s="4">
        <v>0.184</v>
      </c>
      <c r="AV90" s="4">
        <v>-7.0999999999999994E-2</v>
      </c>
      <c r="AW90" s="4">
        <v>1.7000000000000001E-2</v>
      </c>
      <c r="AX90" s="4">
        <v>0.97899999999999998</v>
      </c>
      <c r="AY90" s="4">
        <v>-0.34599999999999997</v>
      </c>
      <c r="AZ90" s="4">
        <v>0.75800000000000001</v>
      </c>
      <c r="BA90" s="4">
        <v>-0.33600000000000002</v>
      </c>
      <c r="BB90" s="4">
        <v>0.23400000000000001</v>
      </c>
      <c r="BC90" s="4">
        <v>9.2999999999999999E-2</v>
      </c>
      <c r="BD90" s="4">
        <v>-7.0000000000000007E-2</v>
      </c>
      <c r="BE90" s="4">
        <v>0.20499999999999999</v>
      </c>
      <c r="BF90" s="4">
        <v>0.45800000000000002</v>
      </c>
      <c r="BG90" s="4">
        <v>0.45100000000000001</v>
      </c>
      <c r="BH90" s="4">
        <v>0.94799999999999995</v>
      </c>
      <c r="BI90" s="4">
        <v>-0.29599999999999999</v>
      </c>
      <c r="BJ90" s="4">
        <v>-0.62</v>
      </c>
      <c r="BK90" s="4">
        <v>0.85399999999999998</v>
      </c>
      <c r="BL90" s="4">
        <v>-0.29599999999999999</v>
      </c>
      <c r="BM90" s="4">
        <v>0.61</v>
      </c>
      <c r="BN90" s="4"/>
    </row>
    <row r="91" spans="1:66" x14ac:dyDescent="0.3">
      <c r="A91" t="s">
        <v>159</v>
      </c>
      <c r="B91" s="53">
        <f t="shared" si="11"/>
        <v>0</v>
      </c>
      <c r="C91" s="53">
        <f t="shared" si="12"/>
        <v>0</v>
      </c>
      <c r="D91" s="53">
        <f t="shared" si="13"/>
        <v>0</v>
      </c>
      <c r="E91" s="53">
        <f t="shared" si="14"/>
        <v>0</v>
      </c>
      <c r="F91" s="15">
        <v>1.0049999999999999</v>
      </c>
      <c r="G91">
        <v>1.25</v>
      </c>
      <c r="H91" t="s">
        <v>71</v>
      </c>
      <c r="I91" t="str">
        <f>VLOOKUP(A91,Planilha6!$BL$9:$BN$222,2,0)</f>
        <v>basic_materials</v>
      </c>
      <c r="J91" t="str">
        <f>VLOOKUP(A91,Planilha6!$BL$9:$BN$222,3,0)</f>
        <v>low_beta</v>
      </c>
      <c r="K91" s="17">
        <v>0</v>
      </c>
      <c r="L91" s="2">
        <v>0</v>
      </c>
      <c r="M91" s="5">
        <v>0.27103129237833301</v>
      </c>
      <c r="N91" s="41">
        <f>VLOOKUP(A91,'Mandato LP'!$A$2:$B$215,2,0)</f>
        <v>0</v>
      </c>
      <c r="O91" s="59">
        <f t="shared" si="15"/>
        <v>0</v>
      </c>
      <c r="P91" s="42">
        <f t="shared" si="16"/>
        <v>0</v>
      </c>
      <c r="Q91" s="41">
        <f>VLOOKUP(A91,'Mandato LP'!$A$2:$C$215,3,0)</f>
        <v>0</v>
      </c>
      <c r="R91" s="42">
        <f t="shared" si="17"/>
        <v>0</v>
      </c>
      <c r="S91" s="15">
        <v>-0.68600000000000005</v>
      </c>
      <c r="T91" s="15">
        <v>-0.20100000000000001</v>
      </c>
      <c r="U91" s="15">
        <v>-0.84199999999999997</v>
      </c>
      <c r="V91" s="15">
        <v>-0.495</v>
      </c>
      <c r="W91" s="15">
        <v>-0.42799999999999999</v>
      </c>
      <c r="X91" s="15">
        <v>-3.4000000000000002E-2</v>
      </c>
      <c r="Y91" s="15">
        <v>0.21299999999999999</v>
      </c>
      <c r="Z91" s="15">
        <v>0.122</v>
      </c>
      <c r="AA91" s="15">
        <v>0.79100000000000004</v>
      </c>
      <c r="AB91" s="15">
        <v>0.79400000000000004</v>
      </c>
      <c r="AC91" s="15">
        <v>0.63300000000000001</v>
      </c>
      <c r="AD91" s="15">
        <v>0.68</v>
      </c>
      <c r="AE91" s="15">
        <v>0.58699999999999997</v>
      </c>
      <c r="AF91" s="14">
        <v>-3.0000000000000001E-3</v>
      </c>
      <c r="AG91" s="110">
        <v>-0.83</v>
      </c>
      <c r="AH91" s="110">
        <v>-0.13</v>
      </c>
      <c r="AI91" s="110">
        <v>-0.754</v>
      </c>
      <c r="AJ91" s="110">
        <v>-0.71899999999999997</v>
      </c>
      <c r="AK91" s="16">
        <v>-0.97499999999999998</v>
      </c>
      <c r="AL91" s="111">
        <v>0.122</v>
      </c>
      <c r="AM91" s="111">
        <v>4.2999999999999997E-2</v>
      </c>
      <c r="AN91" s="4">
        <v>-0.42299999999999999</v>
      </c>
      <c r="AO91" s="4">
        <v>-0.06</v>
      </c>
      <c r="AP91" s="4">
        <v>0.308</v>
      </c>
      <c r="AQ91" s="4">
        <v>5.7000000000000002E-2</v>
      </c>
      <c r="AR91" s="4">
        <v>-0.38700000000000001</v>
      </c>
      <c r="AS91" s="4">
        <v>-0.65300000000000002</v>
      </c>
      <c r="AT91" s="4">
        <v>-0.49</v>
      </c>
      <c r="AU91" s="4">
        <v>0.184</v>
      </c>
      <c r="AV91" s="4">
        <v>-7.0999999999999994E-2</v>
      </c>
      <c r="AW91" s="4">
        <v>1.7000000000000001E-2</v>
      </c>
      <c r="AX91" s="4">
        <v>0.97599999999999998</v>
      </c>
      <c r="AY91" s="4">
        <v>-0.34599999999999997</v>
      </c>
      <c r="AZ91" s="4">
        <v>0.75800000000000001</v>
      </c>
      <c r="BA91" s="4">
        <v>-0.39800000000000002</v>
      </c>
      <c r="BB91" s="4">
        <v>0.627</v>
      </c>
      <c r="BC91" s="4">
        <v>9.2999999999999999E-2</v>
      </c>
      <c r="BD91" s="4">
        <v>-7.0000000000000007E-2</v>
      </c>
      <c r="BE91" s="4">
        <v>0.222</v>
      </c>
      <c r="BF91" s="4">
        <v>0.41699999999999998</v>
      </c>
      <c r="BG91" s="4">
        <v>0.15</v>
      </c>
      <c r="BH91" s="4">
        <v>0.91</v>
      </c>
      <c r="BI91" s="4">
        <v>-0.30299999999999999</v>
      </c>
      <c r="BJ91" s="4">
        <v>-0.58899999999999997</v>
      </c>
      <c r="BK91" s="4">
        <v>0.56299999999999994</v>
      </c>
      <c r="BL91" s="4">
        <v>-0.29599999999999999</v>
      </c>
      <c r="BM91" s="4">
        <v>-0.73699999999999999</v>
      </c>
      <c r="BN91" s="4"/>
    </row>
    <row r="92" spans="1:66" x14ac:dyDescent="0.3">
      <c r="A92" t="s">
        <v>196</v>
      </c>
      <c r="B92" s="53">
        <f t="shared" si="11"/>
        <v>0</v>
      </c>
      <c r="C92" s="53">
        <f t="shared" si="12"/>
        <v>0</v>
      </c>
      <c r="D92" s="53">
        <f t="shared" si="13"/>
        <v>0</v>
      </c>
      <c r="E92" s="53">
        <f t="shared" si="14"/>
        <v>0</v>
      </c>
      <c r="F92" s="15">
        <v>0.99099999999999999</v>
      </c>
      <c r="G92">
        <v>0.71599999999999997</v>
      </c>
      <c r="H92" t="s">
        <v>57</v>
      </c>
      <c r="I92" t="str">
        <f>VLOOKUP(A92,Planilha6!$BL$9:$BN$222,2,0)</f>
        <v>education</v>
      </c>
      <c r="J92" t="str">
        <f>VLOOKUP(A92,Planilha6!$BL$9:$BN$222,3,0)</f>
        <v>very_high_beta</v>
      </c>
      <c r="K92" s="17">
        <v>0</v>
      </c>
      <c r="L92" s="2">
        <v>0</v>
      </c>
      <c r="M92" s="5">
        <v>0.174936445686667</v>
      </c>
      <c r="N92" s="41">
        <f>VLOOKUP(A92,'Mandato LP'!$A$2:$B$215,2,0)</f>
        <v>0</v>
      </c>
      <c r="O92" s="59">
        <f t="shared" si="15"/>
        <v>0</v>
      </c>
      <c r="P92" s="42">
        <f t="shared" si="16"/>
        <v>0</v>
      </c>
      <c r="Q92" s="41">
        <f>VLOOKUP(A92,'Mandato LP'!$A$2:$C$215,3,0)</f>
        <v>7.1728208345121502E-3</v>
      </c>
      <c r="R92" s="42">
        <f t="shared" si="17"/>
        <v>-7.1728208345121502E-3</v>
      </c>
      <c r="S92" s="15">
        <v>0.34</v>
      </c>
      <c r="T92" s="15">
        <v>-1.9E-2</v>
      </c>
      <c r="U92" s="15">
        <v>0.25</v>
      </c>
      <c r="V92" s="15">
        <v>0.34300000000000003</v>
      </c>
      <c r="W92" s="15">
        <v>0.20300000000000001</v>
      </c>
      <c r="X92" s="15">
        <v>-0.17199999999999999</v>
      </c>
      <c r="Y92" s="15">
        <v>-0.45</v>
      </c>
      <c r="Z92" s="15">
        <v>-0.57399999999999995</v>
      </c>
      <c r="AA92" s="15">
        <v>-3.5000000000000003E-2</v>
      </c>
      <c r="AB92" s="15">
        <v>-3.2000000000000001E-2</v>
      </c>
      <c r="AC92" s="15">
        <v>0.317</v>
      </c>
      <c r="AD92" s="15">
        <v>0.44700000000000001</v>
      </c>
      <c r="AE92" s="15">
        <v>0.56100000000000005</v>
      </c>
      <c r="AF92" s="14">
        <v>0.76500000000000001</v>
      </c>
      <c r="AG92" s="110">
        <v>0.623</v>
      </c>
      <c r="AH92" s="110">
        <v>0.53</v>
      </c>
      <c r="AI92" s="110">
        <v>0.159</v>
      </c>
      <c r="AJ92" s="110">
        <v>0.434</v>
      </c>
      <c r="AK92" s="16">
        <v>0.76900000000000002</v>
      </c>
      <c r="AL92" s="111">
        <v>9.0999999999999998E-2</v>
      </c>
      <c r="AM92" s="111">
        <v>-0.81499999999999995</v>
      </c>
      <c r="AN92" s="4">
        <v>0.14000000000000001</v>
      </c>
      <c r="AO92" s="4">
        <v>0.125</v>
      </c>
      <c r="AP92" s="4">
        <v>0.14299999999999999</v>
      </c>
      <c r="AQ92" s="4">
        <v>7.6999999999999999E-2</v>
      </c>
      <c r="AR92" s="4">
        <v>0.77200000000000002</v>
      </c>
      <c r="AS92" s="4">
        <v>-0.68799999999999994</v>
      </c>
      <c r="AT92" s="4">
        <v>-8.0000000000000002E-3</v>
      </c>
      <c r="AU92" s="4">
        <v>0.13300000000000001</v>
      </c>
      <c r="AV92" s="4">
        <v>-5.7000000000000002E-2</v>
      </c>
      <c r="AW92" s="4">
        <v>0.70299999999999996</v>
      </c>
      <c r="AX92" s="4">
        <v>-0.92800000000000005</v>
      </c>
      <c r="AY92" s="4">
        <v>-0.48099999999999998</v>
      </c>
      <c r="AZ92" s="4">
        <v>0.72799999999999998</v>
      </c>
      <c r="BA92" s="4">
        <v>0.39700000000000002</v>
      </c>
      <c r="BB92" s="4">
        <v>0.78300000000000003</v>
      </c>
      <c r="BC92" s="4">
        <v>0.151</v>
      </c>
      <c r="BD92" s="4">
        <v>-0.182</v>
      </c>
      <c r="BE92" s="4">
        <v>0.41599999999999998</v>
      </c>
      <c r="BF92" s="4">
        <v>3.7999999999999999E-2</v>
      </c>
      <c r="BG92" s="4">
        <v>-0.47199999999999998</v>
      </c>
      <c r="BH92" s="4">
        <v>7.9000000000000001E-2</v>
      </c>
      <c r="BI92" s="4">
        <v>-0.214</v>
      </c>
      <c r="BJ92" s="4">
        <v>0.54700000000000004</v>
      </c>
      <c r="BK92" s="4">
        <v>-0.67</v>
      </c>
      <c r="BL92" s="4">
        <v>0.51400000000000001</v>
      </c>
      <c r="BM92" s="4">
        <v>-0.42599999999999999</v>
      </c>
      <c r="BN92" s="4"/>
    </row>
    <row r="93" spans="1:66" x14ac:dyDescent="0.3">
      <c r="A93" t="s">
        <v>158</v>
      </c>
      <c r="B93" s="53">
        <f t="shared" si="11"/>
        <v>0</v>
      </c>
      <c r="C93" s="53">
        <f t="shared" si="12"/>
        <v>-6.3166699999999999E-3</v>
      </c>
      <c r="D93" s="53">
        <f t="shared" si="13"/>
        <v>0</v>
      </c>
      <c r="E93" s="53">
        <f t="shared" si="14"/>
        <v>6.3166699999999999E-3</v>
      </c>
      <c r="F93" s="15">
        <v>0.98099999999999998</v>
      </c>
      <c r="G93">
        <v>1.4590000000000001</v>
      </c>
      <c r="H93" t="s">
        <v>71</v>
      </c>
      <c r="I93" t="str">
        <f>VLOOKUP(A93,Planilha6!$BL$9:$BN$222,2,0)</f>
        <v>food</v>
      </c>
      <c r="J93" t="str">
        <f>VLOOKUP(A93,Planilha6!$BL$9:$BN$222,3,0)</f>
        <v>very_low_beta</v>
      </c>
      <c r="K93" s="17">
        <v>0</v>
      </c>
      <c r="L93" s="2">
        <v>-6.0000000000000001E-3</v>
      </c>
      <c r="M93" s="5">
        <v>1.1184537427200001</v>
      </c>
      <c r="N93" s="41">
        <f>VLOOKUP(A93,'Mandato LP'!$A$2:$B$215,2,0)</f>
        <v>0</v>
      </c>
      <c r="O93" s="59">
        <f t="shared" si="15"/>
        <v>0</v>
      </c>
      <c r="P93" s="42">
        <f t="shared" si="16"/>
        <v>0</v>
      </c>
      <c r="Q93" s="41">
        <f>VLOOKUP(A93,'Mandato LP'!$A$2:$C$215,3,0)</f>
        <v>0</v>
      </c>
      <c r="R93" s="42">
        <f t="shared" si="17"/>
        <v>0</v>
      </c>
      <c r="S93" s="15">
        <v>-0.68400000000000005</v>
      </c>
      <c r="T93" s="15">
        <v>-0.14199999999999999</v>
      </c>
      <c r="U93" s="15">
        <v>-0.80900000000000005</v>
      </c>
      <c r="V93" s="15">
        <v>-0.41599999999999998</v>
      </c>
      <c r="W93" s="15">
        <v>-0.34</v>
      </c>
      <c r="X93" s="15">
        <v>-0.10199999999999999</v>
      </c>
      <c r="Y93" s="15">
        <v>9.0999999999999998E-2</v>
      </c>
      <c r="Z93" s="15">
        <v>2.7E-2</v>
      </c>
      <c r="AA93" s="15">
        <v>0.85099999999999998</v>
      </c>
      <c r="AB93" s="15">
        <v>0.85299999999999998</v>
      </c>
      <c r="AC93" s="15">
        <v>0.57499999999999996</v>
      </c>
      <c r="AD93" s="15">
        <v>0.61399999999999999</v>
      </c>
      <c r="AE93" s="15">
        <v>0.65700000000000003</v>
      </c>
      <c r="AF93" s="14">
        <v>-0.24299999999999999</v>
      </c>
      <c r="AG93" s="110">
        <v>-0.78800000000000003</v>
      </c>
      <c r="AH93" s="110">
        <v>0.27900000000000003</v>
      </c>
      <c r="AI93" s="110">
        <v>-0.68500000000000005</v>
      </c>
      <c r="AJ93" s="110">
        <v>3.2000000000000001E-2</v>
      </c>
      <c r="AK93" s="16">
        <v>-0.85199999999999998</v>
      </c>
      <c r="AL93" s="111">
        <v>-0.24199999999999999</v>
      </c>
      <c r="AM93" s="111">
        <v>-0.125</v>
      </c>
      <c r="AN93" s="4">
        <v>-0.55900000000000005</v>
      </c>
      <c r="AO93" s="4">
        <v>2.1000000000000001E-2</v>
      </c>
      <c r="AP93" s="4">
        <v>0.47</v>
      </c>
      <c r="AQ93" s="4">
        <v>0.79</v>
      </c>
      <c r="AR93" s="4">
        <v>-0.23599999999999999</v>
      </c>
      <c r="AS93" s="4">
        <v>4.9000000000000002E-2</v>
      </c>
      <c r="AT93" s="4">
        <v>2.5000000000000001E-2</v>
      </c>
      <c r="AU93" s="4">
        <v>7.6999999999999999E-2</v>
      </c>
      <c r="AV93" s="4">
        <v>-3.3000000000000002E-2</v>
      </c>
      <c r="AW93" s="4">
        <v>9.6000000000000002E-2</v>
      </c>
      <c r="AX93" s="4">
        <v>1</v>
      </c>
      <c r="AY93" s="4">
        <v>-0.13400000000000001</v>
      </c>
      <c r="AZ93" s="4">
        <v>0.59899999999999998</v>
      </c>
      <c r="BA93" s="4">
        <v>-0.496</v>
      </c>
      <c r="BB93" s="4">
        <v>-0.28499999999999998</v>
      </c>
      <c r="BC93" s="4">
        <v>-0.63900000000000001</v>
      </c>
      <c r="BD93" s="4">
        <v>-0.748</v>
      </c>
      <c r="BE93" s="4">
        <v>-0.27100000000000002</v>
      </c>
      <c r="BF93" s="4">
        <v>0.34399999999999997</v>
      </c>
      <c r="BG93" s="4">
        <v>1</v>
      </c>
      <c r="BH93" s="4">
        <v>0.82699999999999996</v>
      </c>
      <c r="BI93" s="4">
        <v>-0.31</v>
      </c>
      <c r="BJ93" s="4">
        <v>-0.88400000000000001</v>
      </c>
      <c r="BK93" s="4">
        <v>8.3000000000000004E-2</v>
      </c>
      <c r="BL93" s="4">
        <v>-8.5000000000000006E-2</v>
      </c>
      <c r="BM93" s="4">
        <v>-0.57599999999999996</v>
      </c>
      <c r="BN93" s="4"/>
    </row>
    <row r="94" spans="1:66" x14ac:dyDescent="0.3">
      <c r="A94" t="s">
        <v>78</v>
      </c>
      <c r="B94" s="53">
        <f t="shared" si="11"/>
        <v>0</v>
      </c>
      <c r="C94" s="53">
        <f t="shared" si="12"/>
        <v>-1.48204E-3</v>
      </c>
      <c r="D94" s="53">
        <f t="shared" si="13"/>
        <v>0</v>
      </c>
      <c r="E94" s="53">
        <f t="shared" si="14"/>
        <v>1.48204E-3</v>
      </c>
      <c r="F94" s="15">
        <v>0.97099999999999997</v>
      </c>
      <c r="G94">
        <v>1.125</v>
      </c>
      <c r="H94" t="s">
        <v>57</v>
      </c>
      <c r="I94" t="str">
        <f>VLOOKUP(A94,Planilha6!$BL$9:$BN$222,2,0)</f>
        <v>transportation</v>
      </c>
      <c r="J94" t="str">
        <f>VLOOKUP(A94,Planilha6!$BL$9:$BN$222,3,0)</f>
        <v>neutral_beta</v>
      </c>
      <c r="K94" s="17">
        <v>0</v>
      </c>
      <c r="L94" s="2">
        <v>-1E-3</v>
      </c>
      <c r="M94" s="5">
        <v>2.75</v>
      </c>
      <c r="N94" s="41">
        <f>VLOOKUP(A94,'Mandato LP'!$A$2:$B$215,2,0)</f>
        <v>0</v>
      </c>
      <c r="O94" s="59">
        <f t="shared" si="15"/>
        <v>0</v>
      </c>
      <c r="P94" s="42">
        <f t="shared" si="16"/>
        <v>0</v>
      </c>
      <c r="Q94" s="41">
        <f>VLOOKUP(A94,'Mandato LP'!$A$2:$C$215,3,0)</f>
        <v>0</v>
      </c>
      <c r="R94" s="42">
        <f t="shared" si="17"/>
        <v>0</v>
      </c>
      <c r="S94" s="15">
        <v>-0.33900000000000002</v>
      </c>
      <c r="T94" s="15">
        <v>-0.29499999999999998</v>
      </c>
      <c r="U94" s="15">
        <v>-7.6999999999999999E-2</v>
      </c>
      <c r="V94" s="15">
        <v>-0.373</v>
      </c>
      <c r="W94" s="15">
        <v>-0.17599999999999999</v>
      </c>
      <c r="X94" s="15">
        <v>-0.20599999999999999</v>
      </c>
      <c r="Y94" s="15">
        <v>-7.4999999999999997E-2</v>
      </c>
      <c r="Z94" s="15">
        <v>0.09</v>
      </c>
      <c r="AA94" s="15">
        <v>0.26200000000000001</v>
      </c>
      <c r="AB94" s="15">
        <v>0.26900000000000002</v>
      </c>
      <c r="AC94" s="15">
        <v>0.65800000000000003</v>
      </c>
      <c r="AD94" s="15">
        <v>0.58899999999999997</v>
      </c>
      <c r="AE94" s="15">
        <v>0.41099999999999998</v>
      </c>
      <c r="AF94" s="14">
        <v>2.4E-2</v>
      </c>
      <c r="AG94" s="110">
        <v>-0.19</v>
      </c>
      <c r="AH94" s="110">
        <v>-0.85399999999999998</v>
      </c>
      <c r="AI94" s="110">
        <v>-9.8000000000000004E-2</v>
      </c>
      <c r="AJ94" s="110">
        <v>-0.46200000000000002</v>
      </c>
      <c r="AK94" s="16">
        <v>0.98399999999999999</v>
      </c>
      <c r="AL94" s="111">
        <v>-0.159</v>
      </c>
      <c r="AM94" s="111">
        <v>0.318</v>
      </c>
      <c r="AN94" s="4">
        <v>-0.874</v>
      </c>
      <c r="AO94" s="4">
        <v>0.14099999999999999</v>
      </c>
      <c r="AP94" s="4">
        <v>-0.16900000000000001</v>
      </c>
      <c r="AQ94" s="4">
        <v>-0.34799999999999998</v>
      </c>
      <c r="AR94" s="4">
        <v>0.26600000000000001</v>
      </c>
      <c r="AS94" s="4">
        <v>-0.161</v>
      </c>
      <c r="AT94" s="4">
        <v>-0.96599999999999997</v>
      </c>
      <c r="AU94" s="4">
        <v>0.90900000000000003</v>
      </c>
      <c r="AV94" s="4">
        <v>-0.28000000000000003</v>
      </c>
      <c r="AW94" s="4">
        <v>4.2000000000000003E-2</v>
      </c>
      <c r="AX94" s="4">
        <v>0.38100000000000001</v>
      </c>
      <c r="AY94" s="4">
        <v>7.4999999999999997E-2</v>
      </c>
      <c r="AZ94" s="4">
        <v>0.90700000000000003</v>
      </c>
      <c r="BA94" s="4">
        <v>0.47299999999999998</v>
      </c>
      <c r="BB94" s="4">
        <v>0.35799999999999998</v>
      </c>
      <c r="BC94" s="4">
        <v>-0.09</v>
      </c>
      <c r="BD94" s="4">
        <v>-0.42</v>
      </c>
      <c r="BE94" s="4">
        <v>4.8000000000000001E-2</v>
      </c>
      <c r="BF94" s="4">
        <v>-3.9E-2</v>
      </c>
      <c r="BG94" s="4">
        <v>0.38</v>
      </c>
      <c r="BH94" s="4">
        <v>0.34899999999999998</v>
      </c>
      <c r="BI94" s="4">
        <v>-0.59899999999999998</v>
      </c>
      <c r="BJ94" s="4">
        <v>0.27</v>
      </c>
      <c r="BK94" s="4">
        <v>0.34499999999999997</v>
      </c>
      <c r="BL94" s="4">
        <v>0.59399999999999997</v>
      </c>
      <c r="BM94" s="4">
        <v>0.74</v>
      </c>
      <c r="BN94" s="4"/>
    </row>
    <row r="95" spans="1:66" x14ac:dyDescent="0.3">
      <c r="A95" t="s">
        <v>142</v>
      </c>
      <c r="B95" s="53">
        <f t="shared" si="11"/>
        <v>0</v>
      </c>
      <c r="C95" s="53">
        <f t="shared" si="12"/>
        <v>0</v>
      </c>
      <c r="D95" s="53">
        <f t="shared" si="13"/>
        <v>0</v>
      </c>
      <c r="E95" s="53">
        <f t="shared" si="14"/>
        <v>0</v>
      </c>
      <c r="F95" s="15">
        <v>0.96699999999999997</v>
      </c>
      <c r="G95">
        <v>0.85799999999999998</v>
      </c>
      <c r="H95" t="s">
        <v>53</v>
      </c>
      <c r="I95" t="str">
        <f>VLOOKUP(A95,Planilha6!$BL$9:$BN$222,2,0)</f>
        <v>consumer_staples</v>
      </c>
      <c r="J95" t="str">
        <f>VLOOKUP(A95,Planilha6!$BL$9:$BN$222,3,0)</f>
        <v>low_beta</v>
      </c>
      <c r="K95" s="17">
        <v>0</v>
      </c>
      <c r="L95" s="2">
        <v>0</v>
      </c>
      <c r="M95" s="5">
        <v>0.78897617743000004</v>
      </c>
      <c r="N95" s="41">
        <f>VLOOKUP(A95,'Mandato LP'!$A$2:$B$215,2,0)</f>
        <v>0</v>
      </c>
      <c r="O95" s="59">
        <f t="shared" si="15"/>
        <v>0</v>
      </c>
      <c r="P95" s="42">
        <f t="shared" si="16"/>
        <v>0</v>
      </c>
      <c r="Q95" s="41">
        <f>VLOOKUP(A95,'Mandato LP'!$A$2:$C$215,3,0)</f>
        <v>0</v>
      </c>
      <c r="R95" s="42">
        <f t="shared" si="17"/>
        <v>0</v>
      </c>
      <c r="S95" s="15">
        <v>-9.5000000000000001E-2</v>
      </c>
      <c r="T95" s="15">
        <v>-0.27600000000000002</v>
      </c>
      <c r="U95" s="15">
        <v>-0.106</v>
      </c>
      <c r="V95" s="15">
        <v>-0.248</v>
      </c>
      <c r="W95" s="15">
        <v>-0.20799999999999999</v>
      </c>
      <c r="X95" s="15">
        <v>-8.0000000000000002E-3</v>
      </c>
      <c r="Y95" s="15">
        <v>0.105</v>
      </c>
      <c r="Z95" s="15">
        <v>-0.28999999999999998</v>
      </c>
      <c r="AA95" s="15">
        <v>0.27700000000000002</v>
      </c>
      <c r="AB95" s="15">
        <v>0.28100000000000003</v>
      </c>
      <c r="AC95" s="15">
        <v>0.65100000000000002</v>
      </c>
      <c r="AD95" s="15">
        <v>0.49399999999999999</v>
      </c>
      <c r="AE95" s="15">
        <v>0.45400000000000001</v>
      </c>
      <c r="AF95" s="14">
        <v>0.36799999999999999</v>
      </c>
      <c r="AG95" s="110">
        <v>-4.8000000000000001E-2</v>
      </c>
      <c r="AH95" s="110">
        <v>-0.88500000000000001</v>
      </c>
      <c r="AI95" s="110">
        <v>-0.59799999999999998</v>
      </c>
      <c r="AJ95" s="110">
        <v>-0.92500000000000004</v>
      </c>
      <c r="AK95" s="16">
        <v>0.11899999999999999</v>
      </c>
      <c r="AL95" s="111">
        <v>-0.11799999999999999</v>
      </c>
      <c r="AM95" s="111">
        <v>-0.53900000000000003</v>
      </c>
      <c r="AN95" s="4">
        <v>-0.27500000000000002</v>
      </c>
      <c r="AO95" s="4">
        <v>0.36899999999999999</v>
      </c>
      <c r="AP95" s="4">
        <v>-0.623</v>
      </c>
      <c r="AQ95" s="4">
        <v>-0.45800000000000002</v>
      </c>
      <c r="AR95" s="4">
        <v>0.42599999999999999</v>
      </c>
      <c r="AS95" s="4">
        <v>2.1000000000000001E-2</v>
      </c>
      <c r="AT95" s="4">
        <v>0.22800000000000001</v>
      </c>
      <c r="AU95" s="4">
        <v>0.25</v>
      </c>
      <c r="AV95" s="4">
        <v>-0.28199999999999997</v>
      </c>
      <c r="AW95" s="4">
        <v>0.52800000000000002</v>
      </c>
      <c r="AX95" s="4">
        <v>0.60599999999999998</v>
      </c>
      <c r="AY95" s="4">
        <v>0.24</v>
      </c>
      <c r="AZ95" s="4">
        <v>0.91200000000000003</v>
      </c>
      <c r="BA95" s="4">
        <v>0.55700000000000005</v>
      </c>
      <c r="BB95" s="4">
        <v>0.58899999999999997</v>
      </c>
      <c r="BC95" s="4">
        <v>0.14799999999999999</v>
      </c>
      <c r="BD95" s="4">
        <v>1.6E-2</v>
      </c>
      <c r="BE95" s="4">
        <v>0.53100000000000003</v>
      </c>
      <c r="BF95" s="4">
        <v>0.03</v>
      </c>
      <c r="BG95" s="4">
        <v>-0.77300000000000002</v>
      </c>
      <c r="BH95" s="4">
        <v>0.67</v>
      </c>
      <c r="BI95" s="4">
        <v>-0.11899999999999999</v>
      </c>
      <c r="BJ95" s="4">
        <v>-0.17699999999999999</v>
      </c>
      <c r="BK95" s="4">
        <v>0.45500000000000002</v>
      </c>
      <c r="BL95" s="4">
        <v>4.5999999999999999E-2</v>
      </c>
      <c r="BM95" s="4">
        <v>-0.32700000000000001</v>
      </c>
      <c r="BN95" s="4"/>
    </row>
    <row r="96" spans="1:66" x14ac:dyDescent="0.3">
      <c r="A96" t="s">
        <v>134</v>
      </c>
      <c r="B96" s="53">
        <f t="shared" si="11"/>
        <v>0</v>
      </c>
      <c r="C96" s="53">
        <f t="shared" si="12"/>
        <v>-3.9805020000000003E-2</v>
      </c>
      <c r="D96" s="53">
        <f t="shared" si="13"/>
        <v>0</v>
      </c>
      <c r="E96" s="53">
        <f t="shared" si="14"/>
        <v>3.9805020000000003E-2</v>
      </c>
      <c r="F96" s="15">
        <v>0.96199999999999997</v>
      </c>
      <c r="G96">
        <v>2.0640000000000001</v>
      </c>
      <c r="H96" t="s">
        <v>57</v>
      </c>
      <c r="I96" t="str">
        <f>VLOOKUP(A96,Planilha6!$BL$9:$BN$222,2,0)</f>
        <v>banks</v>
      </c>
      <c r="J96" t="str">
        <f>VLOOKUP(A96,Planilha6!$BL$9:$BN$222,3,0)</f>
        <v>neutral_beta</v>
      </c>
      <c r="K96" s="17">
        <v>0</v>
      </c>
      <c r="L96" s="2">
        <v>-0.04</v>
      </c>
      <c r="M96" s="5">
        <v>1.3204287593333299</v>
      </c>
      <c r="N96" s="41">
        <f>VLOOKUP(A96,'Mandato LP'!$A$2:$B$215,2,0)</f>
        <v>0</v>
      </c>
      <c r="O96" s="59">
        <f t="shared" si="15"/>
        <v>0</v>
      </c>
      <c r="P96" s="42">
        <f t="shared" si="16"/>
        <v>0</v>
      </c>
      <c r="Q96" s="41">
        <f>VLOOKUP(A96,'Mandato LP'!$A$2:$C$215,3,0)</f>
        <v>0</v>
      </c>
      <c r="R96" s="42">
        <f t="shared" si="17"/>
        <v>0</v>
      </c>
      <c r="S96" s="15">
        <v>-0.58199999999999996</v>
      </c>
      <c r="T96" s="15">
        <v>-6.5000000000000002E-2</v>
      </c>
      <c r="U96" s="15">
        <v>-0.80600000000000005</v>
      </c>
      <c r="V96" s="15">
        <v>-0.40200000000000002</v>
      </c>
      <c r="W96" s="15">
        <v>-0.33900000000000002</v>
      </c>
      <c r="X96" s="15">
        <v>-0.24099999999999999</v>
      </c>
      <c r="Y96" s="15">
        <v>-6.6000000000000003E-2</v>
      </c>
      <c r="Z96" s="15">
        <v>-3.7999999999999999E-2</v>
      </c>
      <c r="AA96" s="15">
        <v>0.78400000000000003</v>
      </c>
      <c r="AB96" s="15">
        <v>0.78900000000000003</v>
      </c>
      <c r="AC96" s="15">
        <v>0.69899999999999995</v>
      </c>
      <c r="AD96" s="15">
        <v>0.81100000000000005</v>
      </c>
      <c r="AE96" s="15">
        <v>0.629</v>
      </c>
      <c r="AF96" s="14">
        <v>-0.62</v>
      </c>
      <c r="AG96" s="110">
        <v>-0.17499999999999999</v>
      </c>
      <c r="AH96" s="110">
        <v>0.35899999999999999</v>
      </c>
      <c r="AI96" s="110">
        <v>-0.93200000000000005</v>
      </c>
      <c r="AJ96" s="110">
        <v>-0.878</v>
      </c>
      <c r="AK96" s="16">
        <v>-1</v>
      </c>
      <c r="AL96" s="111">
        <v>-0.154</v>
      </c>
      <c r="AM96" s="111">
        <v>9.8000000000000004E-2</v>
      </c>
      <c r="AN96" s="4">
        <v>-5.3999999999999999E-2</v>
      </c>
      <c r="AO96" s="4">
        <v>-1.0999999999999999E-2</v>
      </c>
      <c r="AP96" s="4">
        <v>0.154</v>
      </c>
      <c r="AQ96" s="4">
        <v>0.314</v>
      </c>
      <c r="AR96" s="4">
        <v>5.7000000000000002E-2</v>
      </c>
      <c r="AS96" s="4">
        <v>0.27600000000000002</v>
      </c>
      <c r="AT96" s="4">
        <v>0.77500000000000002</v>
      </c>
      <c r="AU96" s="4">
        <v>-4.2000000000000003E-2</v>
      </c>
      <c r="AV96" s="4">
        <v>-0.115</v>
      </c>
      <c r="AW96" s="4">
        <v>-0.33500000000000002</v>
      </c>
      <c r="AX96" s="4">
        <v>0.23100000000000001</v>
      </c>
      <c r="AY96" s="4">
        <v>-0.33700000000000002</v>
      </c>
      <c r="AZ96" s="4">
        <v>0.84</v>
      </c>
      <c r="BA96" s="4">
        <v>0.35499999999999998</v>
      </c>
      <c r="BB96" s="4">
        <v>-0.39</v>
      </c>
      <c r="BC96" s="4">
        <v>-0.20699999999999999</v>
      </c>
      <c r="BD96" s="4">
        <v>-0.2</v>
      </c>
      <c r="BE96" s="4">
        <v>0.36899999999999999</v>
      </c>
      <c r="BF96" s="4">
        <v>-0.11700000000000001</v>
      </c>
      <c r="BG96" s="4">
        <v>-0.56999999999999995</v>
      </c>
      <c r="BH96" s="4">
        <v>0.72099999999999997</v>
      </c>
      <c r="BI96" s="4">
        <v>-0.42899999999999999</v>
      </c>
      <c r="BJ96" s="4">
        <v>0.04</v>
      </c>
      <c r="BK96" s="4">
        <v>-0.25900000000000001</v>
      </c>
      <c r="BL96" s="4">
        <v>-0.754</v>
      </c>
      <c r="BM96" s="4">
        <v>1</v>
      </c>
      <c r="BN96" s="4"/>
    </row>
    <row r="97" spans="1:66" x14ac:dyDescent="0.3">
      <c r="A97" t="s">
        <v>107</v>
      </c>
      <c r="B97" s="53">
        <f t="shared" si="11"/>
        <v>0</v>
      </c>
      <c r="C97" s="53">
        <f t="shared" si="12"/>
        <v>-1.742956E-2</v>
      </c>
      <c r="D97" s="53">
        <f t="shared" si="13"/>
        <v>0</v>
      </c>
      <c r="E97" s="53">
        <f t="shared" si="14"/>
        <v>1.742956E-2</v>
      </c>
      <c r="F97" s="15">
        <v>0.95599999999999996</v>
      </c>
      <c r="G97">
        <v>1.8360000000000001</v>
      </c>
      <c r="H97" t="s">
        <v>53</v>
      </c>
      <c r="I97" t="str">
        <f>VLOOKUP(A97,Planilha6!$BL$9:$BN$222,2,0)</f>
        <v>float_financials</v>
      </c>
      <c r="J97" t="str">
        <f>VLOOKUP(A97,Planilha6!$BL$9:$BN$222,3,0)</f>
        <v>very_low_beta</v>
      </c>
      <c r="K97" s="17">
        <v>0</v>
      </c>
      <c r="L97" s="2">
        <v>-1.7000000000000001E-2</v>
      </c>
      <c r="M97" s="5">
        <v>1.2349029146666699</v>
      </c>
      <c r="N97" s="41">
        <f>VLOOKUP(A97,'Mandato LP'!$A$2:$B$215,2,0)</f>
        <v>0</v>
      </c>
      <c r="O97" s="59">
        <f t="shared" si="15"/>
        <v>0</v>
      </c>
      <c r="P97" s="42">
        <f t="shared" si="16"/>
        <v>0</v>
      </c>
      <c r="Q97" s="41">
        <f>VLOOKUP(A97,'Mandato LP'!$A$2:$C$215,3,0)</f>
        <v>2.4933616933467701E-2</v>
      </c>
      <c r="R97" s="42">
        <f t="shared" si="17"/>
        <v>-2.4933616933467701E-2</v>
      </c>
      <c r="S97" s="15">
        <v>-0.69</v>
      </c>
      <c r="T97" s="15">
        <v>-0.17299999999999999</v>
      </c>
      <c r="U97" s="15">
        <v>-0.86699999999999999</v>
      </c>
      <c r="V97" s="15">
        <v>-0.252</v>
      </c>
      <c r="W97" s="15">
        <v>-0.30599999999999999</v>
      </c>
      <c r="X97" s="15">
        <v>-0.192</v>
      </c>
      <c r="Y97" s="15">
        <v>0.33700000000000002</v>
      </c>
      <c r="Z97" s="15">
        <v>8.8999999999999996E-2</v>
      </c>
      <c r="AA97" s="15">
        <v>0.49199999999999999</v>
      </c>
      <c r="AB97" s="15">
        <v>0.5</v>
      </c>
      <c r="AC97" s="15">
        <v>0.70799999999999996</v>
      </c>
      <c r="AD97" s="15">
        <v>0.86299999999999999</v>
      </c>
      <c r="AE97" s="15">
        <v>0.54600000000000004</v>
      </c>
      <c r="AF97" s="14">
        <v>-0.193</v>
      </c>
      <c r="AG97" s="110">
        <v>-0.14000000000000001</v>
      </c>
      <c r="AH97" s="110">
        <v>0.23400000000000001</v>
      </c>
      <c r="AI97" s="110">
        <v>-0.91400000000000003</v>
      </c>
      <c r="AJ97" s="110">
        <v>-0.57999999999999996</v>
      </c>
      <c r="AK97" s="16">
        <v>-0.54900000000000004</v>
      </c>
      <c r="AL97" s="111">
        <v>-0.312</v>
      </c>
      <c r="AM97" s="111">
        <v>9.2999999999999999E-2</v>
      </c>
      <c r="AN97" s="4">
        <v>-0.872</v>
      </c>
      <c r="AO97" s="4">
        <v>-0.20100000000000001</v>
      </c>
      <c r="AP97" s="4">
        <v>0.52600000000000002</v>
      </c>
      <c r="AQ97" s="4">
        <v>0.61499999999999999</v>
      </c>
      <c r="AR97" s="4">
        <v>0.11899999999999999</v>
      </c>
      <c r="AS97" s="4">
        <v>1.0999999999999999E-2</v>
      </c>
      <c r="AT97" s="4">
        <v>-0.32100000000000001</v>
      </c>
      <c r="AU97" s="4">
        <v>0.29099999999999998</v>
      </c>
      <c r="AV97" s="4">
        <v>0.33300000000000002</v>
      </c>
      <c r="AW97" s="4">
        <v>6.4000000000000001E-2</v>
      </c>
      <c r="AX97" s="4">
        <v>0.79400000000000004</v>
      </c>
      <c r="AY97" s="4">
        <v>3.4000000000000002E-2</v>
      </c>
      <c r="AZ97" s="4">
        <v>0.88400000000000001</v>
      </c>
      <c r="BA97" s="4">
        <v>-1</v>
      </c>
      <c r="BB97" s="4">
        <v>-3.5999999999999997E-2</v>
      </c>
      <c r="BC97" s="4">
        <v>-9.9000000000000005E-2</v>
      </c>
      <c r="BD97" s="4">
        <v>-0.223</v>
      </c>
      <c r="BE97" s="4">
        <v>-0.85899999999999999</v>
      </c>
      <c r="BF97" s="4">
        <v>0.24099999999999999</v>
      </c>
      <c r="BG97" s="4">
        <v>0.38900000000000001</v>
      </c>
      <c r="BH97" s="4">
        <v>0.73699999999999999</v>
      </c>
      <c r="BI97" s="4">
        <v>-0.70599999999999996</v>
      </c>
      <c r="BJ97" s="4">
        <v>-0.36299999999999999</v>
      </c>
      <c r="BK97" s="4">
        <v>0.20100000000000001</v>
      </c>
      <c r="BL97" s="4">
        <v>-0.48099999999999998</v>
      </c>
      <c r="BM97" s="4">
        <v>-0.88</v>
      </c>
      <c r="BN97" s="4"/>
    </row>
    <row r="98" spans="1:66" x14ac:dyDescent="0.3">
      <c r="A98" t="s">
        <v>152</v>
      </c>
      <c r="B98" s="53">
        <f t="shared" si="11"/>
        <v>0</v>
      </c>
      <c r="C98" s="53">
        <f t="shared" si="12"/>
        <v>0</v>
      </c>
      <c r="D98" s="53">
        <f t="shared" si="13"/>
        <v>0</v>
      </c>
      <c r="E98" s="53">
        <f t="shared" si="14"/>
        <v>0</v>
      </c>
      <c r="F98" s="15">
        <v>0.95399999999999996</v>
      </c>
      <c r="G98">
        <v>0.72799999999999998</v>
      </c>
      <c r="H98" t="s">
        <v>57</v>
      </c>
      <c r="I98" t="str">
        <f>VLOOKUP(A98,Planilha6!$BL$9:$BN$222,2,0)</f>
        <v>homebuilders</v>
      </c>
      <c r="J98" t="str">
        <f>VLOOKUP(A98,Planilha6!$BL$9:$BN$222,3,0)</f>
        <v>neutral_beta</v>
      </c>
      <c r="K98" s="17">
        <v>0</v>
      </c>
      <c r="L98" s="2">
        <v>0</v>
      </c>
      <c r="M98" s="5">
        <v>0.46791070033333299</v>
      </c>
      <c r="N98" s="41">
        <f>VLOOKUP(A98,'Mandato LP'!$A$2:$B$215,2,0)</f>
        <v>0</v>
      </c>
      <c r="O98" s="59">
        <f t="shared" si="15"/>
        <v>0</v>
      </c>
      <c r="P98" s="42">
        <f t="shared" si="16"/>
        <v>0</v>
      </c>
      <c r="Q98" s="41">
        <f>VLOOKUP(A98,'Mandato LP'!$A$2:$C$215,3,0)</f>
        <v>6.5045216903351702E-3</v>
      </c>
      <c r="R98" s="42">
        <f t="shared" si="17"/>
        <v>-6.5045216903351702E-3</v>
      </c>
      <c r="S98" s="15">
        <v>0.20200000000000001</v>
      </c>
      <c r="T98" s="15">
        <v>2.4E-2</v>
      </c>
      <c r="U98" s="15">
        <v>-0.20300000000000001</v>
      </c>
      <c r="V98" s="15">
        <v>8.2000000000000003E-2</v>
      </c>
      <c r="W98" s="15">
        <v>-7.0999999999999994E-2</v>
      </c>
      <c r="X98" s="15">
        <v>-0.216</v>
      </c>
      <c r="Y98" s="15">
        <v>-0.46100000000000002</v>
      </c>
      <c r="Z98" s="15">
        <v>-0.56200000000000006</v>
      </c>
      <c r="AA98" s="15">
        <v>0.219</v>
      </c>
      <c r="AB98" s="15">
        <v>0.218</v>
      </c>
      <c r="AC98" s="15">
        <v>0.77200000000000002</v>
      </c>
      <c r="AD98" s="15">
        <v>0.79300000000000004</v>
      </c>
      <c r="AE98" s="15">
        <v>0.51600000000000001</v>
      </c>
      <c r="AF98" s="14">
        <v>-7.1999999999999995E-2</v>
      </c>
      <c r="AG98" s="110">
        <v>0.15</v>
      </c>
      <c r="AH98" s="110">
        <v>3.5000000000000003E-2</v>
      </c>
      <c r="AI98" s="110">
        <v>-0.57099999999999995</v>
      </c>
      <c r="AJ98" s="110">
        <v>0.71399999999999997</v>
      </c>
      <c r="AK98" s="16">
        <v>-5.0000000000000001E-3</v>
      </c>
      <c r="AL98" s="111">
        <v>-0.16800000000000001</v>
      </c>
      <c r="AM98" s="111">
        <v>-0.77</v>
      </c>
      <c r="AN98" s="4">
        <v>-0.73299999999999998</v>
      </c>
      <c r="AO98" s="4">
        <v>0.42399999999999999</v>
      </c>
      <c r="AP98" s="4">
        <v>0.32200000000000001</v>
      </c>
      <c r="AQ98" s="4">
        <v>0.83499999999999996</v>
      </c>
      <c r="AR98" s="4">
        <v>0.81399999999999995</v>
      </c>
      <c r="AS98" s="4">
        <v>0.82899999999999996</v>
      </c>
      <c r="AT98" s="4">
        <v>0.39800000000000002</v>
      </c>
      <c r="AU98" s="4">
        <v>0.432</v>
      </c>
      <c r="AV98" s="4">
        <v>-0.192</v>
      </c>
      <c r="AW98" s="4">
        <v>0.45</v>
      </c>
      <c r="AX98" s="4">
        <v>-0.29099999999999998</v>
      </c>
      <c r="AY98" s="4">
        <v>3.5000000000000003E-2</v>
      </c>
      <c r="AZ98" s="4">
        <v>-0.21299999999999999</v>
      </c>
      <c r="BA98" s="4">
        <v>0.37</v>
      </c>
      <c r="BB98" s="4">
        <v>0.53800000000000003</v>
      </c>
      <c r="BC98" s="4">
        <v>-0.23599999999999999</v>
      </c>
      <c r="BD98" s="4">
        <v>-0.151</v>
      </c>
      <c r="BE98" s="4">
        <v>0.69399999999999995</v>
      </c>
      <c r="BF98" s="4">
        <v>-0.35499999999999998</v>
      </c>
      <c r="BG98" s="4">
        <v>-0.55200000000000005</v>
      </c>
      <c r="BH98" s="4">
        <v>-0.17100000000000001</v>
      </c>
      <c r="BI98" s="4">
        <v>-0.68799999999999994</v>
      </c>
      <c r="BJ98" s="4">
        <v>0.34499999999999997</v>
      </c>
      <c r="BK98" s="4">
        <v>-0.79200000000000004</v>
      </c>
      <c r="BL98" s="4">
        <v>1.2999999999999999E-2</v>
      </c>
      <c r="BM98" s="4">
        <v>-1</v>
      </c>
      <c r="BN98" s="4"/>
    </row>
    <row r="99" spans="1:66" x14ac:dyDescent="0.3">
      <c r="A99" t="s">
        <v>132</v>
      </c>
      <c r="B99" s="53">
        <f t="shared" si="11"/>
        <v>0</v>
      </c>
      <c r="C99" s="53">
        <f t="shared" si="12"/>
        <v>-2.1426599999999998E-3</v>
      </c>
      <c r="D99" s="53">
        <f t="shared" si="13"/>
        <v>0</v>
      </c>
      <c r="E99" s="53">
        <f t="shared" si="14"/>
        <v>2.1426599999999998E-3</v>
      </c>
      <c r="F99" s="15">
        <v>0.93300000000000005</v>
      </c>
      <c r="G99">
        <v>0.78500000000000003</v>
      </c>
      <c r="H99" t="s">
        <v>53</v>
      </c>
      <c r="I99" t="str">
        <f>VLOOKUP(A99,Planilha6!$BL$9:$BN$222,2,0)</f>
        <v>healthcare</v>
      </c>
      <c r="J99" t="str">
        <f>VLOOKUP(A99,Planilha6!$BL$9:$BN$222,3,0)</f>
        <v>high_beta</v>
      </c>
      <c r="K99" s="17">
        <v>0</v>
      </c>
      <c r="L99" s="2">
        <v>-2E-3</v>
      </c>
      <c r="M99" s="5">
        <v>0.26910933176666701</v>
      </c>
      <c r="N99" s="41">
        <f>VLOOKUP(A99,'Mandato LP'!$A$2:$B$215,2,0)</f>
        <v>0</v>
      </c>
      <c r="O99" s="59">
        <f t="shared" si="15"/>
        <v>0</v>
      </c>
      <c r="P99" s="42">
        <f t="shared" si="16"/>
        <v>0</v>
      </c>
      <c r="Q99" s="41">
        <f>VLOOKUP(A99,'Mandato LP'!$A$2:$C$215,3,0)</f>
        <v>0</v>
      </c>
      <c r="R99" s="42">
        <f t="shared" si="17"/>
        <v>0</v>
      </c>
      <c r="S99" s="15">
        <v>-0.318</v>
      </c>
      <c r="T99" s="15">
        <v>-0.20100000000000001</v>
      </c>
      <c r="U99" s="15">
        <v>-0.51800000000000002</v>
      </c>
      <c r="V99" s="15">
        <v>-0.26300000000000001</v>
      </c>
      <c r="W99" s="15">
        <v>-0.28100000000000003</v>
      </c>
      <c r="X99" s="15">
        <v>-0.25800000000000001</v>
      </c>
      <c r="Y99" s="15">
        <v>-0.111</v>
      </c>
      <c r="Z99" s="15">
        <v>-0.29799999999999999</v>
      </c>
      <c r="AA99" s="15">
        <v>0.55900000000000005</v>
      </c>
      <c r="AB99" s="15">
        <v>0.55600000000000005</v>
      </c>
      <c r="AC99" s="15">
        <v>0.70499999999999996</v>
      </c>
      <c r="AD99" s="15">
        <v>0.71799999999999997</v>
      </c>
      <c r="AE99" s="15">
        <v>0.68200000000000005</v>
      </c>
      <c r="AF99" s="14">
        <v>-0.27800000000000002</v>
      </c>
      <c r="AG99" s="110">
        <v>-0.46</v>
      </c>
      <c r="AH99" s="110">
        <v>8.8999999999999996E-2</v>
      </c>
      <c r="AI99" s="110">
        <v>-0.55200000000000005</v>
      </c>
      <c r="AJ99" s="110">
        <v>0.63300000000000001</v>
      </c>
      <c r="AK99" s="16">
        <v>-0.54900000000000004</v>
      </c>
      <c r="AL99" s="111">
        <v>-0.253</v>
      </c>
      <c r="AM99" s="111">
        <v>-9.6000000000000002E-2</v>
      </c>
      <c r="AN99" s="4">
        <v>-0.443</v>
      </c>
      <c r="AO99" s="4">
        <v>-0.154</v>
      </c>
      <c r="AP99" s="4">
        <v>0.57799999999999996</v>
      </c>
      <c r="AQ99" s="4">
        <v>-0.34300000000000003</v>
      </c>
      <c r="AR99" s="4">
        <v>0.186</v>
      </c>
      <c r="AS99" s="4">
        <v>0.38800000000000001</v>
      </c>
      <c r="AT99" s="4">
        <v>0.17100000000000001</v>
      </c>
      <c r="AU99" s="4">
        <v>0.42499999999999999</v>
      </c>
      <c r="AV99" s="4">
        <v>-0.34</v>
      </c>
      <c r="AW99" s="4">
        <v>0.22</v>
      </c>
      <c r="AX99" s="4">
        <v>-0.13</v>
      </c>
      <c r="AY99" s="4">
        <v>-0.19</v>
      </c>
      <c r="AZ99" s="4">
        <v>0.91300000000000003</v>
      </c>
      <c r="BA99" s="4">
        <v>-0.38400000000000001</v>
      </c>
      <c r="BB99" s="4">
        <v>0.751</v>
      </c>
      <c r="BC99" s="4">
        <v>-0.28000000000000003</v>
      </c>
      <c r="BD99" s="4">
        <v>-0.41899999999999998</v>
      </c>
      <c r="BE99" s="4">
        <v>0.377</v>
      </c>
      <c r="BF99" s="4">
        <v>0.57499999999999996</v>
      </c>
      <c r="BG99" s="4">
        <v>-0.27500000000000002</v>
      </c>
      <c r="BH99" s="4">
        <v>0.63900000000000001</v>
      </c>
      <c r="BI99" s="4">
        <v>-0.45700000000000002</v>
      </c>
      <c r="BJ99" s="4">
        <v>0.20200000000000001</v>
      </c>
      <c r="BK99" s="4">
        <v>-7.6999999999999999E-2</v>
      </c>
      <c r="BL99" s="4">
        <v>0.186</v>
      </c>
      <c r="BM99" s="4">
        <v>-0.61799999999999999</v>
      </c>
      <c r="BN99" s="4"/>
    </row>
    <row r="100" spans="1:66" x14ac:dyDescent="0.3">
      <c r="A100" t="s">
        <v>172</v>
      </c>
      <c r="B100" s="53">
        <f t="shared" si="11"/>
        <v>0</v>
      </c>
      <c r="C100" s="53">
        <f t="shared" si="12"/>
        <v>-2.1720659999999999E-2</v>
      </c>
      <c r="D100" s="53">
        <f t="shared" si="13"/>
        <v>0</v>
      </c>
      <c r="E100" s="53">
        <f t="shared" si="14"/>
        <v>2.1720659999999999E-2</v>
      </c>
      <c r="F100" s="15">
        <v>0.92600000000000005</v>
      </c>
      <c r="G100">
        <v>1.833</v>
      </c>
      <c r="H100" t="s">
        <v>71</v>
      </c>
      <c r="I100" t="str">
        <f>VLOOKUP(A100,Planilha6!$BL$9:$BN$222,2,0)</f>
        <v>basic_materials</v>
      </c>
      <c r="J100" t="str">
        <f>VLOOKUP(A100,Planilha6!$BL$9:$BN$222,3,0)</f>
        <v>low_beta</v>
      </c>
      <c r="K100" s="17">
        <v>0</v>
      </c>
      <c r="L100" s="2">
        <v>-2.1999999999999999E-2</v>
      </c>
      <c r="M100" s="5">
        <v>1.35515646156333</v>
      </c>
      <c r="N100" s="41">
        <f>VLOOKUP(A100,'Mandato LP'!$A$2:$B$215,2,0)</f>
        <v>0</v>
      </c>
      <c r="O100" s="59">
        <f t="shared" si="15"/>
        <v>0</v>
      </c>
      <c r="P100" s="42">
        <f t="shared" si="16"/>
        <v>0</v>
      </c>
      <c r="Q100" s="41">
        <f>VLOOKUP(A100,'Mandato LP'!$A$2:$C$215,3,0)</f>
        <v>0</v>
      </c>
      <c r="R100" s="42">
        <f t="shared" si="17"/>
        <v>0</v>
      </c>
      <c r="S100" s="15">
        <v>-0.77100000000000002</v>
      </c>
      <c r="T100" s="15">
        <v>-0.21</v>
      </c>
      <c r="U100" s="15">
        <v>-0.91700000000000004</v>
      </c>
      <c r="V100" s="15">
        <v>-0.49399999999999999</v>
      </c>
      <c r="W100" s="15">
        <v>-0.45800000000000002</v>
      </c>
      <c r="X100" s="15">
        <v>-0.13200000000000001</v>
      </c>
      <c r="Y100" s="15">
        <v>0.14699999999999999</v>
      </c>
      <c r="Z100" s="15">
        <v>0.12</v>
      </c>
      <c r="AA100" s="15">
        <v>0.83299999999999996</v>
      </c>
      <c r="AB100" s="15">
        <v>0.83599999999999997</v>
      </c>
      <c r="AC100" s="15">
        <v>0.65200000000000002</v>
      </c>
      <c r="AD100" s="15">
        <v>0.65</v>
      </c>
      <c r="AE100" s="15">
        <v>0.56599999999999995</v>
      </c>
      <c r="AF100" s="14">
        <v>-1E-3</v>
      </c>
      <c r="AG100" s="110">
        <v>-0.82899999999999996</v>
      </c>
      <c r="AH100" s="110">
        <v>0.10199999999999999</v>
      </c>
      <c r="AI100" s="110">
        <v>-0.754</v>
      </c>
      <c r="AJ100" s="110">
        <v>-0.63300000000000001</v>
      </c>
      <c r="AK100" s="16">
        <v>-0.97499999999999998</v>
      </c>
      <c r="AL100" s="111">
        <v>0.122</v>
      </c>
      <c r="AM100" s="111">
        <v>0.04</v>
      </c>
      <c r="AN100" s="4">
        <v>-0.42299999999999999</v>
      </c>
      <c r="AO100" s="4">
        <v>-5.8000000000000003E-2</v>
      </c>
      <c r="AP100" s="4">
        <v>0.44500000000000001</v>
      </c>
      <c r="AQ100" s="4">
        <v>-1.4E-2</v>
      </c>
      <c r="AR100" s="4">
        <v>-0.38700000000000001</v>
      </c>
      <c r="AS100" s="4">
        <v>-0.65300000000000002</v>
      </c>
      <c r="AT100" s="4">
        <v>-0.49</v>
      </c>
      <c r="AU100" s="4">
        <v>0.184</v>
      </c>
      <c r="AV100" s="4">
        <v>-7.0999999999999994E-2</v>
      </c>
      <c r="AW100" s="4">
        <v>1.7000000000000001E-2</v>
      </c>
      <c r="AX100" s="4">
        <v>0.95099999999999996</v>
      </c>
      <c r="AY100" s="4">
        <v>-0.34599999999999997</v>
      </c>
      <c r="AZ100" s="4">
        <v>0.75800000000000001</v>
      </c>
      <c r="BA100" s="4">
        <v>-0.437</v>
      </c>
      <c r="BB100" s="4">
        <v>-0.22800000000000001</v>
      </c>
      <c r="BC100" s="4">
        <v>9.2999999999999999E-2</v>
      </c>
      <c r="BD100" s="4">
        <v>-7.0000000000000007E-2</v>
      </c>
      <c r="BE100" s="4">
        <v>0.217</v>
      </c>
      <c r="BF100" s="4">
        <v>0.43</v>
      </c>
      <c r="BG100" s="4">
        <v>0.31900000000000001</v>
      </c>
      <c r="BH100" s="4">
        <v>0.96099999999999997</v>
      </c>
      <c r="BI100" s="4">
        <v>-0.33900000000000002</v>
      </c>
      <c r="BJ100" s="4">
        <v>-0.55800000000000005</v>
      </c>
      <c r="BK100" s="4">
        <v>-0.06</v>
      </c>
      <c r="BL100" s="4">
        <v>-0.29599999999999999</v>
      </c>
      <c r="BM100" s="4">
        <v>-0.89700000000000002</v>
      </c>
      <c r="BN100" s="4"/>
    </row>
    <row r="101" spans="1:66" x14ac:dyDescent="0.3">
      <c r="A101" t="s">
        <v>203</v>
      </c>
      <c r="B101" s="53">
        <f t="shared" si="11"/>
        <v>0</v>
      </c>
      <c r="C101" s="53">
        <f t="shared" si="12"/>
        <v>-8.8902000000000002E-4</v>
      </c>
      <c r="D101" s="53">
        <f t="shared" si="13"/>
        <v>0</v>
      </c>
      <c r="E101" s="53">
        <f t="shared" si="14"/>
        <v>8.8902000000000002E-4</v>
      </c>
      <c r="F101" s="15">
        <v>0.91</v>
      </c>
      <c r="G101">
        <v>0.91300000000000003</v>
      </c>
      <c r="H101" t="s">
        <v>53</v>
      </c>
      <c r="I101" t="str">
        <f>VLOOKUP(A101,Planilha6!$BL$9:$BN$222,2,0)</f>
        <v>healthcare</v>
      </c>
      <c r="J101" t="str">
        <f>VLOOKUP(A101,Planilha6!$BL$9:$BN$222,3,0)</f>
        <v>low_beta</v>
      </c>
      <c r="K101" s="17">
        <v>0</v>
      </c>
      <c r="L101" s="2">
        <v>-1E-3</v>
      </c>
      <c r="M101" s="5">
        <v>1.17479</v>
      </c>
      <c r="N101" s="41">
        <f>VLOOKUP(A101,'Mandato LP'!$A$2:$B$215,2,0)</f>
        <v>0</v>
      </c>
      <c r="O101" s="59">
        <f t="shared" si="15"/>
        <v>0</v>
      </c>
      <c r="P101" s="42">
        <f t="shared" si="16"/>
        <v>0</v>
      </c>
      <c r="Q101" s="41">
        <f>VLOOKUP(A101,'Mandato LP'!$A$2:$C$215,3,0)</f>
        <v>0</v>
      </c>
      <c r="R101" s="42">
        <f t="shared" si="17"/>
        <v>0</v>
      </c>
      <c r="S101" s="15">
        <v>-0.35</v>
      </c>
      <c r="T101" s="15">
        <v>-0.14299999999999999</v>
      </c>
      <c r="U101" s="15">
        <v>-0.56799999999999995</v>
      </c>
      <c r="V101" s="15">
        <v>-0.41699999999999998</v>
      </c>
      <c r="W101" s="15">
        <v>-0.309</v>
      </c>
      <c r="X101" s="15">
        <v>-0.09</v>
      </c>
      <c r="Y101" s="15">
        <v>0.20100000000000001</v>
      </c>
      <c r="Z101" s="15">
        <v>-0.11899999999999999</v>
      </c>
      <c r="AA101" s="15">
        <v>0.32700000000000001</v>
      </c>
      <c r="AB101" s="15">
        <v>0.32900000000000001</v>
      </c>
      <c r="AC101" s="15">
        <v>0.59</v>
      </c>
      <c r="AD101" s="15">
        <v>0.72699999999999998</v>
      </c>
      <c r="AE101" s="15">
        <v>0.44900000000000001</v>
      </c>
      <c r="AF101" s="14">
        <v>-9.8000000000000004E-2</v>
      </c>
      <c r="AG101" s="110">
        <v>-0.32200000000000001</v>
      </c>
      <c r="AH101" s="110">
        <v>-0.71599999999999997</v>
      </c>
      <c r="AI101" s="110">
        <v>-0.80300000000000005</v>
      </c>
      <c r="AJ101" s="110">
        <v>-0.90600000000000003</v>
      </c>
      <c r="AK101" s="16">
        <v>-0.80200000000000005</v>
      </c>
      <c r="AL101" s="111">
        <v>-0.22500000000000001</v>
      </c>
      <c r="AM101" s="111">
        <v>-0.33400000000000002</v>
      </c>
      <c r="AN101" s="4">
        <v>-0.49399999999999999</v>
      </c>
      <c r="AO101" s="4">
        <v>0.218</v>
      </c>
      <c r="AP101" s="4">
        <v>-0.16800000000000001</v>
      </c>
      <c r="AQ101" s="4">
        <v>-0.19700000000000001</v>
      </c>
      <c r="AR101" s="4">
        <v>-5.0000000000000001E-3</v>
      </c>
      <c r="AS101" s="4">
        <v>1</v>
      </c>
      <c r="AT101" s="4">
        <v>0.68400000000000005</v>
      </c>
      <c r="AU101" s="4">
        <v>0.14399999999999999</v>
      </c>
      <c r="AV101" s="4">
        <v>0.23599999999999999</v>
      </c>
      <c r="AW101" s="4">
        <v>0.27</v>
      </c>
      <c r="AX101" s="4">
        <v>0.38500000000000001</v>
      </c>
      <c r="AY101" s="4">
        <v>-0.56200000000000006</v>
      </c>
      <c r="AZ101" s="4">
        <v>0.873</v>
      </c>
      <c r="BA101" s="4">
        <v>0.77500000000000002</v>
      </c>
      <c r="BB101" s="4">
        <v>0.80600000000000005</v>
      </c>
      <c r="BC101" s="4">
        <v>4.7E-2</v>
      </c>
      <c r="BD101" s="4">
        <v>-0.25700000000000001</v>
      </c>
      <c r="BE101" s="4">
        <v>0.29499999999999998</v>
      </c>
      <c r="BF101" s="4">
        <v>-9.1999999999999998E-2</v>
      </c>
      <c r="BG101" s="4">
        <v>-0.127</v>
      </c>
      <c r="BH101" s="4">
        <v>0.63400000000000001</v>
      </c>
      <c r="BI101" s="4">
        <v>1.2E-2</v>
      </c>
      <c r="BJ101" s="4">
        <v>-0.255</v>
      </c>
      <c r="BK101" s="4">
        <v>1.9E-2</v>
      </c>
      <c r="BL101" s="4">
        <v>-0.374</v>
      </c>
      <c r="BM101" s="4">
        <v>-0.377</v>
      </c>
      <c r="BN101" s="4"/>
    </row>
    <row r="102" spans="1:66" x14ac:dyDescent="0.3">
      <c r="A102" t="s">
        <v>210</v>
      </c>
      <c r="B102" s="53">
        <f t="shared" si="11"/>
        <v>0</v>
      </c>
      <c r="C102" s="53">
        <f t="shared" si="12"/>
        <v>-1.49754E-2</v>
      </c>
      <c r="D102" s="53">
        <f t="shared" si="13"/>
        <v>0</v>
      </c>
      <c r="E102" s="53">
        <f t="shared" si="14"/>
        <v>1.49754E-2</v>
      </c>
      <c r="F102" s="15">
        <v>0.89</v>
      </c>
      <c r="G102">
        <v>1.6459999999999999</v>
      </c>
      <c r="H102" t="s">
        <v>55</v>
      </c>
      <c r="I102" t="str">
        <f>VLOOKUP(A102,Planilha6!$BL$9:$BN$222,2,0)</f>
        <v>utilities</v>
      </c>
      <c r="J102" t="str">
        <f>VLOOKUP(A102,Planilha6!$BL$9:$BN$222,3,0)</f>
        <v>high_beta</v>
      </c>
      <c r="K102" s="17">
        <v>0</v>
      </c>
      <c r="L102" s="2">
        <v>-1.4999999999999999E-2</v>
      </c>
      <c r="M102" s="5">
        <v>1.6948969920133301</v>
      </c>
      <c r="N102" s="41">
        <f>VLOOKUP(A102,'Mandato LP'!$A$2:$B$215,2,0)</f>
        <v>0</v>
      </c>
      <c r="O102" s="59">
        <f t="shared" si="15"/>
        <v>0</v>
      </c>
      <c r="P102" s="42">
        <f t="shared" si="16"/>
        <v>0</v>
      </c>
      <c r="Q102" s="41">
        <f>VLOOKUP(A102,'Mandato LP'!$A$2:$C$215,3,0)</f>
        <v>2.1864692175429901E-2</v>
      </c>
      <c r="R102" s="42">
        <f t="shared" si="17"/>
        <v>-2.1864692175429901E-2</v>
      </c>
      <c r="S102" s="15">
        <v>-0.497</v>
      </c>
      <c r="T102" s="15">
        <v>0.19400000000000001</v>
      </c>
      <c r="U102" s="15">
        <v>-0.81200000000000006</v>
      </c>
      <c r="V102" s="15">
        <v>-0.40300000000000002</v>
      </c>
      <c r="W102" s="15">
        <v>-0.28000000000000003</v>
      </c>
      <c r="X102" s="15">
        <v>-0.161</v>
      </c>
      <c r="Y102" s="15">
        <v>-5.3999999999999999E-2</v>
      </c>
      <c r="Z102" s="15">
        <v>-0.19900000000000001</v>
      </c>
      <c r="AA102" s="15">
        <v>0.48</v>
      </c>
      <c r="AB102" s="15">
        <v>0.48799999999999999</v>
      </c>
      <c r="AC102" s="15">
        <v>0.67600000000000005</v>
      </c>
      <c r="AD102" s="15">
        <v>0.83799999999999997</v>
      </c>
      <c r="AE102" s="15">
        <v>0.61699999999999999</v>
      </c>
      <c r="AF102" s="14">
        <v>-0.64500000000000002</v>
      </c>
      <c r="AG102" s="110">
        <v>-0.40200000000000002</v>
      </c>
      <c r="AH102" s="110">
        <v>0.441</v>
      </c>
      <c r="AI102" s="110">
        <v>-1</v>
      </c>
      <c r="AJ102" s="110">
        <v>-0.621</v>
      </c>
      <c r="AK102" s="16">
        <v>-1</v>
      </c>
      <c r="AL102" s="111">
        <v>-0.371</v>
      </c>
      <c r="AM102" s="111">
        <v>-0.56399999999999995</v>
      </c>
      <c r="AN102" s="4">
        <v>-0.56399999999999995</v>
      </c>
      <c r="AO102" s="4">
        <v>-0.38100000000000001</v>
      </c>
      <c r="AP102" s="4">
        <v>0.71699999999999997</v>
      </c>
      <c r="AQ102" s="4">
        <v>0.78</v>
      </c>
      <c r="AR102" s="4">
        <v>0.13900000000000001</v>
      </c>
      <c r="AS102" s="4">
        <v>1</v>
      </c>
      <c r="AT102" s="4">
        <v>0.31</v>
      </c>
      <c r="AU102" s="4">
        <v>-4.8000000000000001E-2</v>
      </c>
      <c r="AV102" s="4">
        <v>-3.0000000000000001E-3</v>
      </c>
      <c r="AW102" s="4">
        <v>-0.129</v>
      </c>
      <c r="AX102" s="4">
        <v>0.27100000000000002</v>
      </c>
      <c r="AY102" s="4">
        <v>-0.68400000000000005</v>
      </c>
      <c r="AZ102" s="4">
        <v>0.74399999999999999</v>
      </c>
      <c r="BA102" s="4">
        <v>0.64500000000000002</v>
      </c>
      <c r="BB102" s="4">
        <v>0.36399999999999999</v>
      </c>
      <c r="BC102" s="4">
        <v>0.12</v>
      </c>
      <c r="BD102" s="4">
        <v>-0.26100000000000001</v>
      </c>
      <c r="BE102" s="4">
        <v>0.628</v>
      </c>
      <c r="BF102" s="4">
        <v>-0.252</v>
      </c>
      <c r="BG102" s="4">
        <v>0.104</v>
      </c>
      <c r="BH102" s="4">
        <v>0.67200000000000004</v>
      </c>
      <c r="BI102" s="4">
        <v>-0.67800000000000005</v>
      </c>
      <c r="BJ102" s="4">
        <v>8.5000000000000006E-2</v>
      </c>
      <c r="BK102" s="4">
        <v>-0.28399999999999997</v>
      </c>
      <c r="BL102" s="4">
        <v>-1</v>
      </c>
      <c r="BM102" s="4">
        <v>-0.55300000000000005</v>
      </c>
      <c r="BN102" s="4"/>
    </row>
    <row r="103" spans="1:66" x14ac:dyDescent="0.3">
      <c r="A103" t="s">
        <v>117</v>
      </c>
      <c r="B103" s="53">
        <f t="shared" si="11"/>
        <v>0</v>
      </c>
      <c r="C103" s="53">
        <f t="shared" si="12"/>
        <v>-1.5463090000000001E-2</v>
      </c>
      <c r="D103" s="53">
        <f t="shared" si="13"/>
        <v>0</v>
      </c>
      <c r="E103" s="53">
        <f t="shared" si="14"/>
        <v>1.5463090000000001E-2</v>
      </c>
      <c r="F103" s="15">
        <v>0.872</v>
      </c>
      <c r="G103">
        <v>1.6259999999999999</v>
      </c>
      <c r="H103" t="s">
        <v>55</v>
      </c>
      <c r="I103" t="str">
        <f>VLOOKUP(A103,Planilha6!$BL$9:$BN$222,2,0)</f>
        <v>utilities</v>
      </c>
      <c r="J103" t="str">
        <f>VLOOKUP(A103,Planilha6!$BL$9:$BN$222,3,0)</f>
        <v>low_beta</v>
      </c>
      <c r="K103" s="17">
        <v>0</v>
      </c>
      <c r="L103" s="2">
        <v>-1.4999999999999999E-2</v>
      </c>
      <c r="M103" s="5">
        <v>2.8112469663333299</v>
      </c>
      <c r="N103" s="41">
        <f>VLOOKUP(A103,'Mandato LP'!$A$2:$B$215,2,0)</f>
        <v>0</v>
      </c>
      <c r="O103" s="59">
        <f t="shared" si="15"/>
        <v>0</v>
      </c>
      <c r="P103" s="42">
        <f t="shared" si="16"/>
        <v>0</v>
      </c>
      <c r="Q103" s="41">
        <f>VLOOKUP(A103,'Mandato LP'!$A$2:$C$215,3,0)</f>
        <v>1.7628130189911901E-2</v>
      </c>
      <c r="R103" s="42">
        <f t="shared" si="17"/>
        <v>-1.7628130189911901E-2</v>
      </c>
      <c r="S103" s="15">
        <v>-0.76400000000000001</v>
      </c>
      <c r="T103" s="15">
        <v>-0.06</v>
      </c>
      <c r="U103" s="15">
        <v>-0.88900000000000001</v>
      </c>
      <c r="V103" s="15">
        <v>-0.53300000000000003</v>
      </c>
      <c r="W103" s="15">
        <v>-0.38200000000000001</v>
      </c>
      <c r="X103" s="15">
        <v>-0.32600000000000001</v>
      </c>
      <c r="Y103" s="15">
        <v>-8.0000000000000002E-3</v>
      </c>
      <c r="Z103" s="15">
        <v>9.8000000000000004E-2</v>
      </c>
      <c r="AA103" s="15">
        <v>0.70199999999999996</v>
      </c>
      <c r="AB103" s="15">
        <v>0.70699999999999996</v>
      </c>
      <c r="AC103" s="15">
        <v>0.69799999999999995</v>
      </c>
      <c r="AD103" s="15">
        <v>0.79600000000000004</v>
      </c>
      <c r="AE103" s="15">
        <v>0.54500000000000004</v>
      </c>
      <c r="AF103" s="14">
        <v>-0.57699999999999996</v>
      </c>
      <c r="AG103" s="110">
        <v>-0.66700000000000004</v>
      </c>
      <c r="AH103" s="110">
        <v>5.2999999999999999E-2</v>
      </c>
      <c r="AI103" s="110">
        <v>-0.96099999999999997</v>
      </c>
      <c r="AJ103" s="110">
        <v>-0.76100000000000001</v>
      </c>
      <c r="AK103" s="16">
        <v>-0.92700000000000005</v>
      </c>
      <c r="AL103" s="111">
        <v>-0.24199999999999999</v>
      </c>
      <c r="AM103" s="111">
        <v>-5.5E-2</v>
      </c>
      <c r="AN103" s="4">
        <v>-0.69599999999999995</v>
      </c>
      <c r="AO103" s="4">
        <v>-1</v>
      </c>
      <c r="AP103" s="4">
        <v>0.66</v>
      </c>
      <c r="AQ103" s="4">
        <v>1.7000000000000001E-2</v>
      </c>
      <c r="AR103" s="4">
        <v>7.0000000000000001E-3</v>
      </c>
      <c r="AS103" s="4">
        <v>4.7E-2</v>
      </c>
      <c r="AT103" s="4">
        <v>-0.36899999999999999</v>
      </c>
      <c r="AU103" s="4">
        <v>0.45900000000000002</v>
      </c>
      <c r="AV103" s="4">
        <v>-6.9000000000000006E-2</v>
      </c>
      <c r="AW103" s="4">
        <v>-4.2999999999999997E-2</v>
      </c>
      <c r="AX103" s="4">
        <v>0.751</v>
      </c>
      <c r="AY103" s="4">
        <v>-0.63900000000000001</v>
      </c>
      <c r="AZ103" s="4">
        <v>0.96299999999999997</v>
      </c>
      <c r="BA103" s="4">
        <v>0.26200000000000001</v>
      </c>
      <c r="BB103" s="4">
        <v>0.38900000000000001</v>
      </c>
      <c r="BC103" s="4">
        <v>-4.7E-2</v>
      </c>
      <c r="BD103" s="4">
        <v>-0.29499999999999998</v>
      </c>
      <c r="BE103" s="4">
        <v>0.371</v>
      </c>
      <c r="BF103" s="4">
        <v>-0.39</v>
      </c>
      <c r="BG103" s="4">
        <v>0.441</v>
      </c>
      <c r="BH103" s="4">
        <v>0.68300000000000005</v>
      </c>
      <c r="BI103" s="4">
        <v>-0.60099999999999998</v>
      </c>
      <c r="BJ103" s="4">
        <v>-0.104</v>
      </c>
      <c r="BK103" s="4">
        <v>0.11899999999999999</v>
      </c>
      <c r="BL103" s="4">
        <v>-0.54300000000000004</v>
      </c>
      <c r="BM103" s="4">
        <v>-0.24299999999999999</v>
      </c>
      <c r="BN103" s="4"/>
    </row>
    <row r="104" spans="1:66" x14ac:dyDescent="0.3">
      <c r="A104" t="s">
        <v>144</v>
      </c>
      <c r="B104" s="53">
        <f t="shared" si="11"/>
        <v>0</v>
      </c>
      <c r="C104" s="53">
        <f t="shared" si="12"/>
        <v>-1.8345710000000001E-2</v>
      </c>
      <c r="D104" s="53">
        <f t="shared" si="13"/>
        <v>0</v>
      </c>
      <c r="E104" s="53">
        <f t="shared" si="14"/>
        <v>1.8345710000000001E-2</v>
      </c>
      <c r="F104" s="15">
        <v>0.83399999999999996</v>
      </c>
      <c r="G104">
        <v>1.718</v>
      </c>
      <c r="H104" t="s">
        <v>55</v>
      </c>
      <c r="I104" t="str">
        <f>VLOOKUP(A104,Planilha6!$BL$9:$BN$222,2,0)</f>
        <v>utilities</v>
      </c>
      <c r="J104" t="str">
        <f>VLOOKUP(A104,Planilha6!$BL$9:$BN$222,3,0)</f>
        <v>low_beta</v>
      </c>
      <c r="K104" s="17">
        <v>0</v>
      </c>
      <c r="L104" s="2">
        <v>-1.7999999999999999E-2</v>
      </c>
      <c r="M104" s="5">
        <v>2.0913986666666702</v>
      </c>
      <c r="N104" s="41">
        <f>VLOOKUP(A104,'Mandato LP'!$A$2:$B$215,2,0)</f>
        <v>0</v>
      </c>
      <c r="O104" s="59">
        <f t="shared" si="15"/>
        <v>0</v>
      </c>
      <c r="P104" s="42">
        <f t="shared" si="16"/>
        <v>0</v>
      </c>
      <c r="Q104" s="41">
        <f>VLOOKUP(A104,'Mandato LP'!$A$2:$C$215,3,0)</f>
        <v>2.5133515867686699E-2</v>
      </c>
      <c r="R104" s="42">
        <f t="shared" si="17"/>
        <v>-2.5133515867686699E-2</v>
      </c>
      <c r="S104" s="15">
        <v>-0.79500000000000004</v>
      </c>
      <c r="T104" s="15">
        <v>-9.0999999999999998E-2</v>
      </c>
      <c r="U104" s="15">
        <v>-0.88200000000000001</v>
      </c>
      <c r="V104" s="15">
        <v>-0.629</v>
      </c>
      <c r="W104" s="15">
        <v>-0.44800000000000001</v>
      </c>
      <c r="X104" s="15">
        <v>-0.38500000000000001</v>
      </c>
      <c r="Y104" s="15">
        <v>-2E-3</v>
      </c>
      <c r="Z104" s="15">
        <v>6.9000000000000006E-2</v>
      </c>
      <c r="AA104" s="15">
        <v>0.65100000000000002</v>
      </c>
      <c r="AB104" s="15">
        <v>0.65900000000000003</v>
      </c>
      <c r="AC104" s="15">
        <v>0.69599999999999995</v>
      </c>
      <c r="AD104" s="15">
        <v>0.68500000000000005</v>
      </c>
      <c r="AE104" s="15">
        <v>0.61899999999999999</v>
      </c>
      <c r="AF104" s="14">
        <v>-0.72399999999999998</v>
      </c>
      <c r="AG104" s="110">
        <v>-0.83599999999999997</v>
      </c>
      <c r="AH104" s="110">
        <v>0.65200000000000002</v>
      </c>
      <c r="AI104" s="110">
        <v>-0.85899999999999999</v>
      </c>
      <c r="AJ104" s="110">
        <v>-0.27200000000000002</v>
      </c>
      <c r="AK104" s="16">
        <v>-0.93300000000000005</v>
      </c>
      <c r="AL104" s="111">
        <v>-0.46</v>
      </c>
      <c r="AM104" s="111">
        <v>4.5999999999999999E-2</v>
      </c>
      <c r="AN104" s="4">
        <v>-0.29299999999999998</v>
      </c>
      <c r="AO104" s="4">
        <v>-0.81699999999999995</v>
      </c>
      <c r="AP104" s="4">
        <v>0.58799999999999997</v>
      </c>
      <c r="AQ104" s="4">
        <v>0.71199999999999997</v>
      </c>
      <c r="AR104" s="4">
        <v>-0.35599999999999998</v>
      </c>
      <c r="AS104" s="4">
        <v>-0.21299999999999999</v>
      </c>
      <c r="AT104" s="4">
        <v>-0.20699999999999999</v>
      </c>
      <c r="AU104" s="4">
        <v>-6.6000000000000003E-2</v>
      </c>
      <c r="AV104" s="4">
        <v>2.1000000000000001E-2</v>
      </c>
      <c r="AW104" s="4">
        <v>-0.34100000000000003</v>
      </c>
      <c r="AX104" s="4">
        <v>0.85599999999999998</v>
      </c>
      <c r="AY104" s="4">
        <v>-0.73599999999999999</v>
      </c>
      <c r="AZ104" s="4">
        <v>0.82899999999999996</v>
      </c>
      <c r="BA104" s="4">
        <v>-0.153</v>
      </c>
      <c r="BB104" s="4">
        <v>0.11</v>
      </c>
      <c r="BC104" s="4">
        <v>-0.432</v>
      </c>
      <c r="BD104" s="4">
        <v>-0.65800000000000003</v>
      </c>
      <c r="BE104" s="4">
        <v>3.1E-2</v>
      </c>
      <c r="BF104" s="4">
        <v>-0.30099999999999999</v>
      </c>
      <c r="BG104" s="4">
        <v>0.16300000000000001</v>
      </c>
      <c r="BH104" s="4">
        <v>0.83599999999999997</v>
      </c>
      <c r="BI104" s="4">
        <v>-0.46100000000000002</v>
      </c>
      <c r="BJ104" s="4">
        <v>-0.255</v>
      </c>
      <c r="BK104" s="4">
        <v>9.8000000000000004E-2</v>
      </c>
      <c r="BL104" s="4">
        <v>-9.6000000000000002E-2</v>
      </c>
      <c r="BM104" s="4">
        <v>0.88100000000000001</v>
      </c>
      <c r="BN104" s="4"/>
    </row>
    <row r="105" spans="1:66" x14ac:dyDescent="0.3">
      <c r="A105" t="s">
        <v>85</v>
      </c>
      <c r="B105" s="53">
        <f t="shared" si="11"/>
        <v>0</v>
      </c>
      <c r="C105" s="53">
        <f t="shared" si="12"/>
        <v>0</v>
      </c>
      <c r="D105" s="53">
        <f t="shared" si="13"/>
        <v>0</v>
      </c>
      <c r="E105" s="53">
        <f t="shared" si="14"/>
        <v>0</v>
      </c>
      <c r="F105" s="15">
        <v>0.83</v>
      </c>
      <c r="G105">
        <v>0.64100000000000001</v>
      </c>
      <c r="H105" t="s">
        <v>57</v>
      </c>
      <c r="I105" t="str">
        <f>VLOOKUP(A105,Planilha6!$BL$9:$BN$222,2,0)</f>
        <v>education</v>
      </c>
      <c r="J105" t="str">
        <f>VLOOKUP(A105,Planilha6!$BL$9:$BN$222,3,0)</f>
        <v>low_beta</v>
      </c>
      <c r="K105" s="17">
        <v>0</v>
      </c>
      <c r="L105" s="2">
        <v>0</v>
      </c>
      <c r="M105" s="5">
        <v>0</v>
      </c>
      <c r="N105" s="41">
        <f>VLOOKUP(A105,'Mandato LP'!$A$2:$B$215,2,0)</f>
        <v>0</v>
      </c>
      <c r="O105" s="59">
        <f t="shared" si="15"/>
        <v>0</v>
      </c>
      <c r="P105" s="42">
        <f t="shared" si="16"/>
        <v>0</v>
      </c>
      <c r="Q105" s="41">
        <f>VLOOKUP(A105,'Mandato LP'!$A$2:$C$215,3,0)</f>
        <v>0</v>
      </c>
      <c r="R105" s="42">
        <f t="shared" si="17"/>
        <v>0</v>
      </c>
      <c r="S105" s="15">
        <v>-0.17499999999999999</v>
      </c>
      <c r="T105" s="15">
        <v>-0.219</v>
      </c>
      <c r="U105" s="15">
        <v>-6.8000000000000005E-2</v>
      </c>
      <c r="V105" s="15">
        <v>-0.17899999999999999</v>
      </c>
      <c r="W105" s="15">
        <v>-0.13600000000000001</v>
      </c>
      <c r="X105" s="15">
        <v>-0.53900000000000003</v>
      </c>
      <c r="Y105" s="15">
        <v>-0.54800000000000004</v>
      </c>
      <c r="Z105" s="15">
        <v>-0.59199999999999997</v>
      </c>
      <c r="AA105" s="15">
        <v>0.52100000000000002</v>
      </c>
      <c r="AB105" s="15">
        <v>0.52800000000000002</v>
      </c>
      <c r="AC105" s="15">
        <v>0.67600000000000005</v>
      </c>
      <c r="AD105" s="15">
        <v>0.627</v>
      </c>
      <c r="AE105" s="15">
        <v>0.75700000000000001</v>
      </c>
      <c r="AF105" s="14">
        <v>0.33200000000000002</v>
      </c>
      <c r="AG105" s="110">
        <v>-0.77</v>
      </c>
      <c r="AH105" s="110">
        <v>0.73499999999999999</v>
      </c>
      <c r="AI105" s="110">
        <v>9.0999999999999998E-2</v>
      </c>
      <c r="AJ105" s="110">
        <v>0.77100000000000002</v>
      </c>
      <c r="AK105" s="16">
        <v>-7.9000000000000001E-2</v>
      </c>
      <c r="AL105" s="111">
        <v>-0.04</v>
      </c>
      <c r="AM105" s="111">
        <v>-0.77300000000000002</v>
      </c>
      <c r="AN105" s="4">
        <v>0.129</v>
      </c>
      <c r="AO105" s="4">
        <v>0.35599999999999998</v>
      </c>
      <c r="AP105" s="4">
        <v>0.26100000000000001</v>
      </c>
      <c r="AQ105" s="4">
        <v>-0.40100000000000002</v>
      </c>
      <c r="AR105" s="4">
        <v>0.23300000000000001</v>
      </c>
      <c r="AS105" s="4">
        <v>-0.33800000000000002</v>
      </c>
      <c r="AT105" s="4">
        <v>0.02</v>
      </c>
      <c r="AU105" s="4">
        <v>0.19800000000000001</v>
      </c>
      <c r="AV105" s="4">
        <v>9.5000000000000001E-2</v>
      </c>
      <c r="AW105" s="4">
        <v>0.17199999999999999</v>
      </c>
      <c r="AX105" s="4">
        <v>-0.39700000000000002</v>
      </c>
      <c r="AY105" s="4">
        <v>-0.4</v>
      </c>
      <c r="AZ105" s="4">
        <v>0.63500000000000001</v>
      </c>
      <c r="BA105" s="4">
        <v>0.104</v>
      </c>
      <c r="BB105" s="4">
        <v>-0.13700000000000001</v>
      </c>
      <c r="BC105" s="4">
        <v>6.7000000000000004E-2</v>
      </c>
      <c r="BD105" s="4">
        <v>-0.311</v>
      </c>
      <c r="BE105" s="4">
        <v>0.45700000000000002</v>
      </c>
      <c r="BF105" s="4">
        <v>0.36599999999999999</v>
      </c>
      <c r="BG105" s="4">
        <v>-0.20599999999999999</v>
      </c>
      <c r="BH105" s="4">
        <v>0.13400000000000001</v>
      </c>
      <c r="BI105" s="4">
        <v>-0.14699999999999999</v>
      </c>
      <c r="BJ105" s="4">
        <v>-0.23899999999999999</v>
      </c>
      <c r="BK105" s="4">
        <v>0.374</v>
      </c>
      <c r="BL105" s="4">
        <v>0.50600000000000001</v>
      </c>
      <c r="BM105" s="4">
        <v>0.93600000000000005</v>
      </c>
      <c r="BN105" s="4"/>
    </row>
    <row r="106" spans="1:66" x14ac:dyDescent="0.3">
      <c r="A106" t="s">
        <v>205</v>
      </c>
      <c r="B106" s="53">
        <f t="shared" si="11"/>
        <v>0</v>
      </c>
      <c r="C106" s="53">
        <f t="shared" si="12"/>
        <v>-3.0782259999999999E-2</v>
      </c>
      <c r="D106" s="53">
        <f t="shared" si="13"/>
        <v>0</v>
      </c>
      <c r="E106" s="53">
        <f t="shared" si="14"/>
        <v>3.0782259999999999E-2</v>
      </c>
      <c r="F106" s="15">
        <v>0.82799999999999996</v>
      </c>
      <c r="G106">
        <v>1.716</v>
      </c>
      <c r="H106" t="s">
        <v>57</v>
      </c>
      <c r="I106" t="str">
        <f>VLOOKUP(A106,Planilha6!$BL$9:$BN$222,2,0)</f>
        <v>consumer_services</v>
      </c>
      <c r="J106" t="str">
        <f>VLOOKUP(A106,Planilha6!$BL$9:$BN$222,3,0)</f>
        <v>low_beta</v>
      </c>
      <c r="K106" s="17">
        <v>0</v>
      </c>
      <c r="L106" s="2">
        <v>-3.1E-2</v>
      </c>
      <c r="M106" s="5">
        <v>1.4101931398633301</v>
      </c>
      <c r="N106" s="41">
        <f>VLOOKUP(A106,'Mandato LP'!$A$2:$B$215,2,0)</f>
        <v>0</v>
      </c>
      <c r="O106" s="59">
        <f t="shared" si="15"/>
        <v>0</v>
      </c>
      <c r="P106" s="42">
        <f t="shared" si="16"/>
        <v>0</v>
      </c>
      <c r="Q106" s="41">
        <f>VLOOKUP(A106,'Mandato LP'!$A$2:$C$215,3,0)</f>
        <v>3.6661330408336301E-2</v>
      </c>
      <c r="R106" s="42">
        <f t="shared" si="17"/>
        <v>-3.6661330408336301E-2</v>
      </c>
      <c r="S106" s="15">
        <v>-0.67800000000000005</v>
      </c>
      <c r="T106" s="15">
        <v>2.7E-2</v>
      </c>
      <c r="U106" s="15">
        <v>-0.86199999999999999</v>
      </c>
      <c r="V106" s="15">
        <v>-0.32100000000000001</v>
      </c>
      <c r="W106" s="15">
        <v>-0.27400000000000002</v>
      </c>
      <c r="X106" s="15">
        <v>-0.432</v>
      </c>
      <c r="Y106" s="15">
        <v>-0.40400000000000003</v>
      </c>
      <c r="Z106" s="15">
        <v>-0.151</v>
      </c>
      <c r="AA106" s="15">
        <v>0.86699999999999999</v>
      </c>
      <c r="AB106" s="15">
        <v>0.872</v>
      </c>
      <c r="AC106" s="15">
        <v>0.50700000000000001</v>
      </c>
      <c r="AD106" s="15">
        <v>0.71299999999999997</v>
      </c>
      <c r="AE106" s="15">
        <v>0.69699999999999995</v>
      </c>
      <c r="AF106" s="14">
        <v>-0.54300000000000004</v>
      </c>
      <c r="AG106" s="110">
        <v>-0.505</v>
      </c>
      <c r="AH106" s="110">
        <v>0.69899999999999995</v>
      </c>
      <c r="AI106" s="110">
        <v>-0.93400000000000005</v>
      </c>
      <c r="AJ106" s="110">
        <v>-0.30199999999999999</v>
      </c>
      <c r="AK106" s="16">
        <v>-0.99399999999999999</v>
      </c>
      <c r="AL106" s="111">
        <v>-4.9000000000000002E-2</v>
      </c>
      <c r="AM106" s="111">
        <v>-0.249</v>
      </c>
      <c r="AN106" s="4">
        <v>-0.47499999999999998</v>
      </c>
      <c r="AO106" s="4">
        <v>-0.30599999999999999</v>
      </c>
      <c r="AP106" s="4">
        <v>0.70799999999999996</v>
      </c>
      <c r="AQ106" s="4">
        <v>0.82</v>
      </c>
      <c r="AR106" s="4">
        <v>0.215</v>
      </c>
      <c r="AS106" s="4">
        <v>0.17399999999999999</v>
      </c>
      <c r="AT106" s="4">
        <v>0.22900000000000001</v>
      </c>
      <c r="AU106" s="4">
        <v>0.435</v>
      </c>
      <c r="AV106" s="4">
        <v>-0.52800000000000002</v>
      </c>
      <c r="AW106" s="4">
        <v>-0.108</v>
      </c>
      <c r="AX106" s="4">
        <v>0.2</v>
      </c>
      <c r="AY106" s="4">
        <v>-0.48599999999999999</v>
      </c>
      <c r="AZ106" s="4">
        <v>0.69099999999999995</v>
      </c>
      <c r="BA106" s="4">
        <v>0.47699999999999998</v>
      </c>
      <c r="BB106" s="4">
        <v>-0.375</v>
      </c>
      <c r="BC106" s="4">
        <v>-0.71699999999999997</v>
      </c>
      <c r="BD106" s="4">
        <v>-0.79200000000000004</v>
      </c>
      <c r="BE106" s="4">
        <v>0.46800000000000003</v>
      </c>
      <c r="BF106" s="4">
        <v>-0.40300000000000002</v>
      </c>
      <c r="BG106" s="4">
        <v>0.16600000000000001</v>
      </c>
      <c r="BH106" s="4">
        <v>0.622</v>
      </c>
      <c r="BI106" s="4">
        <v>-0.73099999999999998</v>
      </c>
      <c r="BJ106" s="4">
        <v>-0.30599999999999999</v>
      </c>
      <c r="BK106" s="4">
        <v>-0.44400000000000001</v>
      </c>
      <c r="BL106" s="4">
        <v>-0.436</v>
      </c>
      <c r="BM106" s="4">
        <v>-0.35899999999999999</v>
      </c>
      <c r="BN106" s="4"/>
    </row>
    <row r="107" spans="1:66" x14ac:dyDescent="0.3">
      <c r="A107" t="s">
        <v>105</v>
      </c>
      <c r="B107" s="53">
        <f t="shared" si="11"/>
        <v>0</v>
      </c>
      <c r="C107" s="53">
        <f t="shared" si="12"/>
        <v>0</v>
      </c>
      <c r="D107" s="53">
        <f t="shared" si="13"/>
        <v>0</v>
      </c>
      <c r="E107" s="53">
        <f t="shared" si="14"/>
        <v>0</v>
      </c>
      <c r="F107" s="15">
        <v>0.82699999999999996</v>
      </c>
      <c r="G107">
        <v>0.61699999999999999</v>
      </c>
      <c r="H107" t="s">
        <v>57</v>
      </c>
      <c r="I107" t="str">
        <f>VLOOKUP(A107,Planilha6!$BL$9:$BN$222,2,0)</f>
        <v>transportation</v>
      </c>
      <c r="J107" t="str">
        <f>VLOOKUP(A107,Planilha6!$BL$9:$BN$222,3,0)</f>
        <v>very_high_beta</v>
      </c>
      <c r="K107" s="17">
        <v>0</v>
      </c>
      <c r="L107" s="2">
        <v>0</v>
      </c>
      <c r="M107" s="5">
        <v>0.98859144966666701</v>
      </c>
      <c r="N107" s="41">
        <f>VLOOKUP(A107,'Mandato LP'!$A$2:$B$215,2,0)</f>
        <v>0</v>
      </c>
      <c r="O107" s="59">
        <f t="shared" si="15"/>
        <v>0</v>
      </c>
      <c r="P107" s="42">
        <f t="shared" si="16"/>
        <v>0</v>
      </c>
      <c r="Q107" s="41">
        <f>VLOOKUP(A107,'Mandato LP'!$A$2:$C$215,3,0)</f>
        <v>6.3054283658331104E-3</v>
      </c>
      <c r="R107" s="42">
        <f t="shared" si="17"/>
        <v>-6.3054283658331104E-3</v>
      </c>
      <c r="S107" s="15">
        <v>-0.17499999999999999</v>
      </c>
      <c r="T107" s="15">
        <v>-0.378</v>
      </c>
      <c r="U107" s="15">
        <v>-0.28999999999999998</v>
      </c>
      <c r="V107" s="15">
        <v>-0.17100000000000001</v>
      </c>
      <c r="W107" s="15">
        <v>-0.29399999999999998</v>
      </c>
      <c r="X107" s="15">
        <v>-0.61</v>
      </c>
      <c r="Y107" s="15">
        <v>-0.69</v>
      </c>
      <c r="Z107" s="15">
        <v>-0.27600000000000002</v>
      </c>
      <c r="AA107" s="15">
        <v>0.378</v>
      </c>
      <c r="AB107" s="15">
        <v>0.379</v>
      </c>
      <c r="AC107" s="15">
        <v>0.73399999999999999</v>
      </c>
      <c r="AD107" s="15">
        <v>0.88800000000000001</v>
      </c>
      <c r="AE107" s="15">
        <v>0.58199999999999996</v>
      </c>
      <c r="AF107" s="14">
        <v>-0.19</v>
      </c>
      <c r="AG107" s="110">
        <v>-0.25800000000000001</v>
      </c>
      <c r="AH107" s="110">
        <v>0.73599999999999999</v>
      </c>
      <c r="AI107" s="110">
        <v>0.63700000000000001</v>
      </c>
      <c r="AJ107" s="110">
        <v>0.74199999999999999</v>
      </c>
      <c r="AK107" s="16">
        <v>-0.745</v>
      </c>
      <c r="AL107" s="111">
        <v>0.50700000000000001</v>
      </c>
      <c r="AM107" s="111">
        <v>0.53200000000000003</v>
      </c>
      <c r="AN107" s="4">
        <v>-0.17199999999999999</v>
      </c>
      <c r="AO107" s="4">
        <v>0.156</v>
      </c>
      <c r="AP107" s="4">
        <v>0.54900000000000004</v>
      </c>
      <c r="AQ107" s="4">
        <v>0.42799999999999999</v>
      </c>
      <c r="AR107" s="4">
        <v>-0.29699999999999999</v>
      </c>
      <c r="AS107" s="4">
        <v>-0.248</v>
      </c>
      <c r="AT107" s="4">
        <v>-0.65900000000000003</v>
      </c>
      <c r="AU107" s="4">
        <v>0.23400000000000001</v>
      </c>
      <c r="AV107" s="4">
        <v>-0.32</v>
      </c>
      <c r="AW107" s="4">
        <v>-0.38200000000000001</v>
      </c>
      <c r="AX107" s="4">
        <v>-0.49199999999999999</v>
      </c>
      <c r="AY107" s="4">
        <v>-0.56299999999999994</v>
      </c>
      <c r="AZ107" s="4">
        <v>0.501</v>
      </c>
      <c r="BA107" s="4">
        <v>-0.442</v>
      </c>
      <c r="BB107" s="4">
        <v>1.6E-2</v>
      </c>
      <c r="BC107" s="4">
        <v>0.14699999999999999</v>
      </c>
      <c r="BD107" s="4">
        <v>0</v>
      </c>
      <c r="BE107" s="4">
        <v>0.38300000000000001</v>
      </c>
      <c r="BF107" s="4">
        <v>-1</v>
      </c>
      <c r="BG107" s="4">
        <v>-0.84799999999999998</v>
      </c>
      <c r="BH107" s="4">
        <v>-0.751</v>
      </c>
      <c r="BI107" s="4">
        <v>-0.35799999999999998</v>
      </c>
      <c r="BJ107" s="4">
        <v>0.98799999999999999</v>
      </c>
      <c r="BK107" s="4">
        <v>0.39900000000000002</v>
      </c>
      <c r="BL107" s="4">
        <v>0.56599999999999995</v>
      </c>
      <c r="BM107" s="4">
        <v>-0.96899999999999997</v>
      </c>
      <c r="BN107" s="4"/>
    </row>
    <row r="108" spans="1:66" x14ac:dyDescent="0.3">
      <c r="A108" t="s">
        <v>161</v>
      </c>
      <c r="B108" s="53">
        <f t="shared" si="11"/>
        <v>0</v>
      </c>
      <c r="C108" s="53">
        <f t="shared" si="12"/>
        <v>0</v>
      </c>
      <c r="D108" s="53">
        <f t="shared" si="13"/>
        <v>0</v>
      </c>
      <c r="E108" s="53">
        <f t="shared" si="14"/>
        <v>0</v>
      </c>
      <c r="F108" s="15">
        <v>0.81399999999999995</v>
      </c>
      <c r="G108">
        <v>0.94</v>
      </c>
      <c r="H108" t="s">
        <v>57</v>
      </c>
      <c r="I108" t="str">
        <f>VLOOKUP(A108,Planilha6!$BL$9:$BN$222,2,0)</f>
        <v>banks</v>
      </c>
      <c r="J108" t="str">
        <f>VLOOKUP(A108,Planilha6!$BL$9:$BN$222,3,0)</f>
        <v>high_beta</v>
      </c>
      <c r="K108" s="17">
        <v>0</v>
      </c>
      <c r="L108" s="2">
        <v>0</v>
      </c>
      <c r="M108" s="5">
        <v>0.85688504058000003</v>
      </c>
      <c r="N108" s="41">
        <f>VLOOKUP(A108,'Mandato LP'!$A$2:$B$215,2,0)</f>
        <v>0</v>
      </c>
      <c r="O108" s="59">
        <f t="shared" si="15"/>
        <v>0</v>
      </c>
      <c r="P108" s="42">
        <f t="shared" si="16"/>
        <v>0</v>
      </c>
      <c r="Q108" s="41">
        <f>VLOOKUP(A108,'Mandato LP'!$A$2:$C$215,3,0)</f>
        <v>0</v>
      </c>
      <c r="R108" s="42">
        <f t="shared" si="17"/>
        <v>0</v>
      </c>
      <c r="S108" s="15">
        <v>-0.56499999999999995</v>
      </c>
      <c r="T108" s="15">
        <v>-0.35299999999999998</v>
      </c>
      <c r="U108" s="15">
        <v>-0.66100000000000003</v>
      </c>
      <c r="V108" s="15">
        <v>-0.55200000000000005</v>
      </c>
      <c r="W108" s="15">
        <v>-0.47799999999999998</v>
      </c>
      <c r="X108" s="15">
        <v>-0.34699999999999998</v>
      </c>
      <c r="Y108" s="15">
        <v>-0.13500000000000001</v>
      </c>
      <c r="Z108" s="15">
        <v>-0.29699999999999999</v>
      </c>
      <c r="AA108" s="15">
        <v>0.80200000000000005</v>
      </c>
      <c r="AB108" s="15">
        <v>0.80400000000000005</v>
      </c>
      <c r="AC108" s="15">
        <v>0.749</v>
      </c>
      <c r="AD108" s="15">
        <v>0.85299999999999998</v>
      </c>
      <c r="AE108" s="15">
        <v>0.64800000000000002</v>
      </c>
      <c r="AF108" s="14">
        <v>-0.67400000000000004</v>
      </c>
      <c r="AG108" s="110">
        <v>-1.4E-2</v>
      </c>
      <c r="AH108" s="110">
        <v>-9.5000000000000001E-2</v>
      </c>
      <c r="AI108" s="110">
        <v>-0.89900000000000002</v>
      </c>
      <c r="AJ108" s="110">
        <v>-0.999</v>
      </c>
      <c r="AK108" s="16">
        <v>-1</v>
      </c>
      <c r="AL108" s="111">
        <v>-0.159</v>
      </c>
      <c r="AM108" s="111">
        <v>-8.7999999999999995E-2</v>
      </c>
      <c r="AN108" s="4">
        <v>4.5999999999999999E-2</v>
      </c>
      <c r="AO108" s="4">
        <v>-0.106</v>
      </c>
      <c r="AP108" s="4">
        <v>0.10199999999999999</v>
      </c>
      <c r="AQ108" s="4">
        <v>-0.29399999999999998</v>
      </c>
      <c r="AR108" s="4">
        <v>9.8000000000000004E-2</v>
      </c>
      <c r="AS108" s="4">
        <v>0.19900000000000001</v>
      </c>
      <c r="AT108" s="4">
        <v>0.51600000000000001</v>
      </c>
      <c r="AU108" s="4">
        <v>-8.5999999999999993E-2</v>
      </c>
      <c r="AV108" s="4">
        <v>-0.11600000000000001</v>
      </c>
      <c r="AW108" s="4">
        <v>-0.45800000000000002</v>
      </c>
      <c r="AX108" s="4">
        <v>0.33600000000000002</v>
      </c>
      <c r="AY108" s="4">
        <v>-0.44800000000000001</v>
      </c>
      <c r="AZ108" s="4">
        <v>0.84899999999999998</v>
      </c>
      <c r="BA108" s="4">
        <v>-8.1000000000000003E-2</v>
      </c>
      <c r="BB108" s="4">
        <v>0.66400000000000003</v>
      </c>
      <c r="BC108" s="4">
        <v>-0.151</v>
      </c>
      <c r="BD108" s="4">
        <v>-0.2</v>
      </c>
      <c r="BE108" s="4">
        <v>0.183</v>
      </c>
      <c r="BF108" s="4">
        <v>0.17899999999999999</v>
      </c>
      <c r="BG108" s="4">
        <v>-0.28699999999999998</v>
      </c>
      <c r="BH108" s="4">
        <v>0.72199999999999998</v>
      </c>
      <c r="BI108" s="4">
        <v>-0.314</v>
      </c>
      <c r="BJ108" s="4">
        <v>0.11</v>
      </c>
      <c r="BK108" s="4">
        <v>1</v>
      </c>
      <c r="BL108" s="4">
        <v>-0.56899999999999995</v>
      </c>
      <c r="BM108" s="4">
        <v>-1</v>
      </c>
      <c r="BN108" s="4"/>
    </row>
    <row r="109" spans="1:66" x14ac:dyDescent="0.3">
      <c r="A109" t="s">
        <v>201</v>
      </c>
      <c r="B109" s="53">
        <f t="shared" si="11"/>
        <v>0</v>
      </c>
      <c r="C109" s="53">
        <f t="shared" si="12"/>
        <v>0</v>
      </c>
      <c r="D109" s="53">
        <f t="shared" si="13"/>
        <v>0</v>
      </c>
      <c r="E109" s="53">
        <f t="shared" si="14"/>
        <v>0</v>
      </c>
      <c r="F109" s="15">
        <v>0.79700000000000004</v>
      </c>
      <c r="G109">
        <v>0.627</v>
      </c>
      <c r="H109" t="s">
        <v>71</v>
      </c>
      <c r="I109" t="str">
        <f>VLOOKUP(A109,Planilha6!$BL$9:$BN$222,2,0)</f>
        <v>food</v>
      </c>
      <c r="J109" t="str">
        <f>VLOOKUP(A109,Planilha6!$BL$9:$BN$222,3,0)</f>
        <v>very_low_beta</v>
      </c>
      <c r="K109" s="17">
        <v>0</v>
      </c>
      <c r="L109" s="2">
        <v>0</v>
      </c>
      <c r="M109" s="5">
        <v>0.170100529986667</v>
      </c>
      <c r="N109" s="41">
        <f>VLOOKUP(A109,'Mandato LP'!$A$2:$B$215,2,0)</f>
        <v>0</v>
      </c>
      <c r="O109" s="59">
        <f t="shared" si="15"/>
        <v>0</v>
      </c>
      <c r="P109" s="42">
        <f t="shared" si="16"/>
        <v>0</v>
      </c>
      <c r="Q109" s="41">
        <f>VLOOKUP(A109,'Mandato LP'!$A$2:$C$215,3,0)</f>
        <v>0</v>
      </c>
      <c r="R109" s="42">
        <f t="shared" si="17"/>
        <v>0</v>
      </c>
      <c r="S109" s="15">
        <v>-0.14000000000000001</v>
      </c>
      <c r="T109" s="15">
        <v>-0.53200000000000003</v>
      </c>
      <c r="U109" s="15">
        <v>-2E-3</v>
      </c>
      <c r="V109" s="15">
        <v>-0.42399999999999999</v>
      </c>
      <c r="W109" s="15">
        <v>-0.39800000000000002</v>
      </c>
      <c r="X109" s="15">
        <v>-0.51300000000000001</v>
      </c>
      <c r="Y109" s="15">
        <v>-0.71</v>
      </c>
      <c r="Z109" s="15">
        <v>-0.70199999999999996</v>
      </c>
      <c r="AA109" s="15">
        <v>0.53400000000000003</v>
      </c>
      <c r="AB109" s="15">
        <v>0.53800000000000003</v>
      </c>
      <c r="AC109" s="15">
        <v>1</v>
      </c>
      <c r="AD109" s="15">
        <v>1</v>
      </c>
      <c r="AE109" s="15">
        <v>0.79800000000000004</v>
      </c>
      <c r="AF109" s="14">
        <v>-0.13100000000000001</v>
      </c>
      <c r="AG109" s="110">
        <v>-0.19</v>
      </c>
      <c r="AH109" s="110">
        <v>0.67</v>
      </c>
      <c r="AI109" s="110">
        <v>0.98199999999999998</v>
      </c>
      <c r="AJ109" s="110">
        <v>0.31900000000000001</v>
      </c>
      <c r="AK109" s="16">
        <v>-0.628</v>
      </c>
      <c r="AL109" s="111">
        <v>0.3</v>
      </c>
      <c r="AM109" s="111">
        <v>-0.86199999999999999</v>
      </c>
      <c r="AN109" s="4">
        <v>0.48099999999999998</v>
      </c>
      <c r="AO109" s="4">
        <v>-0.124</v>
      </c>
      <c r="AP109" s="4">
        <v>0.11899999999999999</v>
      </c>
      <c r="AQ109" s="4">
        <v>0.20200000000000001</v>
      </c>
      <c r="AR109" s="4">
        <v>-0.98899999999999999</v>
      </c>
      <c r="AS109" s="4">
        <v>0.64500000000000002</v>
      </c>
      <c r="AT109" s="4">
        <v>0.13800000000000001</v>
      </c>
      <c r="AU109" s="4">
        <v>-0.10100000000000001</v>
      </c>
      <c r="AV109" s="4">
        <v>-0.313</v>
      </c>
      <c r="AW109" s="4">
        <v>-0.23200000000000001</v>
      </c>
      <c r="AX109" s="4">
        <v>0.251</v>
      </c>
      <c r="AY109" s="4">
        <v>-0.13700000000000001</v>
      </c>
      <c r="AZ109" s="4">
        <v>0.29099999999999998</v>
      </c>
      <c r="BA109" s="4">
        <v>-0.28000000000000003</v>
      </c>
      <c r="BB109" s="4">
        <v>0.70599999999999996</v>
      </c>
      <c r="BC109" s="4">
        <v>4.3999999999999997E-2</v>
      </c>
      <c r="BD109" s="4">
        <v>-2.5000000000000001E-2</v>
      </c>
      <c r="BE109" s="4">
        <v>-0.17100000000000001</v>
      </c>
      <c r="BF109" s="4">
        <v>-0.11600000000000001</v>
      </c>
      <c r="BG109" s="4">
        <v>-0.34200000000000003</v>
      </c>
      <c r="BH109" s="4">
        <v>-8.8999999999999996E-2</v>
      </c>
      <c r="BI109" s="4">
        <v>0.20699999999999999</v>
      </c>
      <c r="BJ109" s="4">
        <v>-0.68600000000000005</v>
      </c>
      <c r="BK109" s="4">
        <v>0.58899999999999997</v>
      </c>
      <c r="BL109" s="4">
        <v>0.77100000000000002</v>
      </c>
      <c r="BM109" s="4">
        <v>-0.375</v>
      </c>
      <c r="BN109" s="4"/>
    </row>
    <row r="110" spans="1:66" x14ac:dyDescent="0.3">
      <c r="A110" t="s">
        <v>162</v>
      </c>
      <c r="B110" s="53">
        <f t="shared" si="11"/>
        <v>0</v>
      </c>
      <c r="C110" s="53">
        <f t="shared" si="12"/>
        <v>0</v>
      </c>
      <c r="D110" s="53">
        <f t="shared" si="13"/>
        <v>0</v>
      </c>
      <c r="E110" s="53">
        <f t="shared" si="14"/>
        <v>0</v>
      </c>
      <c r="F110" s="15">
        <v>0.78300000000000003</v>
      </c>
      <c r="G110">
        <v>0.93500000000000005</v>
      </c>
      <c r="H110" t="s">
        <v>57</v>
      </c>
      <c r="I110" t="str">
        <f>VLOOKUP(A110,Planilha6!$BL$9:$BN$222,2,0)</f>
        <v>banks</v>
      </c>
      <c r="J110" t="str">
        <f>VLOOKUP(A110,Planilha6!$BL$9:$BN$222,3,0)</f>
        <v>neutral_beta</v>
      </c>
      <c r="K110" s="17">
        <v>0</v>
      </c>
      <c r="L110" s="2">
        <v>0</v>
      </c>
      <c r="M110" s="5">
        <v>0.94257354463999998</v>
      </c>
      <c r="N110" s="41">
        <f>VLOOKUP(A110,'Mandato LP'!$A$2:$B$215,2,0)</f>
        <v>0</v>
      </c>
      <c r="O110" s="59">
        <f t="shared" si="15"/>
        <v>0</v>
      </c>
      <c r="P110" s="42">
        <f t="shared" si="16"/>
        <v>0</v>
      </c>
      <c r="Q110" s="41">
        <f>VLOOKUP(A110,'Mandato LP'!$A$2:$C$215,3,0)</f>
        <v>0</v>
      </c>
      <c r="R110" s="42">
        <f t="shared" si="17"/>
        <v>0</v>
      </c>
      <c r="S110" s="15">
        <v>-0.58599999999999997</v>
      </c>
      <c r="T110" s="15">
        <v>-0.442</v>
      </c>
      <c r="U110" s="15">
        <v>-0.68200000000000005</v>
      </c>
      <c r="V110" s="15">
        <v>-0.58799999999999997</v>
      </c>
      <c r="W110" s="15">
        <v>-0.53900000000000003</v>
      </c>
      <c r="X110" s="15">
        <v>-0.32400000000000001</v>
      </c>
      <c r="Y110" s="15">
        <v>-5.1999999999999998E-2</v>
      </c>
      <c r="Z110" s="15">
        <v>-0.32100000000000001</v>
      </c>
      <c r="AA110" s="15">
        <v>0.80300000000000005</v>
      </c>
      <c r="AB110" s="15">
        <v>0.80200000000000005</v>
      </c>
      <c r="AC110" s="15">
        <v>0.73099999999999998</v>
      </c>
      <c r="AD110" s="15">
        <v>0.80400000000000005</v>
      </c>
      <c r="AE110" s="15">
        <v>0.61699999999999999</v>
      </c>
      <c r="AF110" s="14">
        <v>-0.64700000000000002</v>
      </c>
      <c r="AG110" s="110">
        <v>2.5999999999999999E-2</v>
      </c>
      <c r="AH110" s="110">
        <v>-0.33300000000000002</v>
      </c>
      <c r="AI110" s="110">
        <v>-0.89100000000000001</v>
      </c>
      <c r="AJ110" s="110">
        <v>-1</v>
      </c>
      <c r="AK110" s="16">
        <v>-0.996</v>
      </c>
      <c r="AL110" s="111">
        <v>-0.159</v>
      </c>
      <c r="AM110" s="111">
        <v>-5.6000000000000001E-2</v>
      </c>
      <c r="AN110" s="4">
        <v>4.5999999999999999E-2</v>
      </c>
      <c r="AO110" s="4">
        <v>4.2999999999999997E-2</v>
      </c>
      <c r="AP110" s="4">
        <v>-4.3999999999999997E-2</v>
      </c>
      <c r="AQ110" s="4">
        <v>-0.35099999999999998</v>
      </c>
      <c r="AR110" s="4">
        <v>0.107</v>
      </c>
      <c r="AS110" s="4">
        <v>0.19900000000000001</v>
      </c>
      <c r="AT110" s="4">
        <v>0.51600000000000001</v>
      </c>
      <c r="AU110" s="4">
        <v>-5.3999999999999999E-2</v>
      </c>
      <c r="AV110" s="4">
        <v>-0.11600000000000001</v>
      </c>
      <c r="AW110" s="4">
        <v>-0.443</v>
      </c>
      <c r="AX110" s="4">
        <v>0.42199999999999999</v>
      </c>
      <c r="AY110" s="4">
        <v>-0.44800000000000001</v>
      </c>
      <c r="AZ110" s="4">
        <v>0.32900000000000001</v>
      </c>
      <c r="BA110" s="4">
        <v>-0.26800000000000002</v>
      </c>
      <c r="BB110" s="4">
        <v>0.76900000000000002</v>
      </c>
      <c r="BC110" s="4">
        <v>-0.13800000000000001</v>
      </c>
      <c r="BD110" s="4">
        <v>-0.2</v>
      </c>
      <c r="BE110" s="4">
        <v>0.13400000000000001</v>
      </c>
      <c r="BF110" s="4">
        <v>0.24099999999999999</v>
      </c>
      <c r="BG110" s="4">
        <v>-0.55000000000000004</v>
      </c>
      <c r="BH110" s="4">
        <v>0.82799999999999996</v>
      </c>
      <c r="BI110" s="4">
        <v>-0.28100000000000003</v>
      </c>
      <c r="BJ110" s="4">
        <v>4.0000000000000001E-3</v>
      </c>
      <c r="BK110" s="4">
        <v>0.97699999999999998</v>
      </c>
      <c r="BL110" s="4">
        <v>-0.56899999999999995</v>
      </c>
      <c r="BM110" s="4">
        <v>-0.43</v>
      </c>
      <c r="BN110" s="4"/>
    </row>
    <row r="111" spans="1:66" x14ac:dyDescent="0.3">
      <c r="A111" t="s">
        <v>180</v>
      </c>
      <c r="B111" s="53">
        <f t="shared" si="11"/>
        <v>0</v>
      </c>
      <c r="C111" s="53">
        <f t="shared" si="12"/>
        <v>0</v>
      </c>
      <c r="D111" s="53">
        <f t="shared" si="13"/>
        <v>0</v>
      </c>
      <c r="E111" s="53">
        <f t="shared" si="14"/>
        <v>0</v>
      </c>
      <c r="F111" s="15">
        <v>0.77200000000000002</v>
      </c>
      <c r="G111">
        <v>0.85499999999999998</v>
      </c>
      <c r="H111" t="s">
        <v>57</v>
      </c>
      <c r="I111" t="str">
        <f>VLOOKUP(A111,Planilha6!$BL$9:$BN$222,2,0)</f>
        <v>apparel</v>
      </c>
      <c r="J111" t="str">
        <f>VLOOKUP(A111,Planilha6!$BL$9:$BN$222,3,0)</f>
        <v>high_beta</v>
      </c>
      <c r="K111" s="17">
        <v>0</v>
      </c>
      <c r="L111" s="2">
        <v>0</v>
      </c>
      <c r="M111" s="5">
        <v>0.21848957689333301</v>
      </c>
      <c r="N111" s="41">
        <f>VLOOKUP(A111,'Mandato LP'!$A$2:$B$215,2,0)</f>
        <v>0</v>
      </c>
      <c r="O111" s="59">
        <f t="shared" si="15"/>
        <v>0</v>
      </c>
      <c r="P111" s="42">
        <f t="shared" si="16"/>
        <v>0</v>
      </c>
      <c r="Q111" s="41">
        <f>VLOOKUP(A111,'Mandato LP'!$A$2:$C$215,3,0)</f>
        <v>0</v>
      </c>
      <c r="R111" s="42">
        <f t="shared" si="17"/>
        <v>0</v>
      </c>
      <c r="S111" s="15">
        <v>-0.16400000000000001</v>
      </c>
      <c r="T111" s="15">
        <v>-0.19800000000000001</v>
      </c>
      <c r="U111" s="15">
        <v>6.5000000000000002E-2</v>
      </c>
      <c r="V111" s="15">
        <v>-0.35199999999999998</v>
      </c>
      <c r="W111" s="15">
        <v>-0.161</v>
      </c>
      <c r="X111" s="15">
        <v>-0.17899999999999999</v>
      </c>
      <c r="Y111" s="15">
        <v>-4.0000000000000001E-3</v>
      </c>
      <c r="Z111" s="15">
        <v>-0.371</v>
      </c>
      <c r="AA111" s="15">
        <v>0.20399999999999999</v>
      </c>
      <c r="AB111" s="15">
        <v>0.20799999999999999</v>
      </c>
      <c r="AC111" s="15">
        <v>0.51300000000000001</v>
      </c>
      <c r="AD111" s="15">
        <v>0.39100000000000001</v>
      </c>
      <c r="AE111" s="15">
        <v>0.216</v>
      </c>
      <c r="AF111" s="14">
        <v>0.182</v>
      </c>
      <c r="AG111" s="110">
        <v>-0.58499999999999996</v>
      </c>
      <c r="AH111" s="110">
        <v>-0.8</v>
      </c>
      <c r="AI111" s="110">
        <v>-0.51900000000000002</v>
      </c>
      <c r="AJ111" s="110">
        <v>-7.0000000000000001E-3</v>
      </c>
      <c r="AK111" s="16">
        <v>1</v>
      </c>
      <c r="AL111" s="111">
        <v>-0.46400000000000002</v>
      </c>
      <c r="AM111" s="111">
        <v>-0.75</v>
      </c>
      <c r="AN111" s="4">
        <v>-0.95</v>
      </c>
      <c r="AO111" s="4">
        <v>0.39300000000000002</v>
      </c>
      <c r="AP111" s="4">
        <v>-0.439</v>
      </c>
      <c r="AQ111" s="4">
        <v>7.3999999999999996E-2</v>
      </c>
      <c r="AR111" s="4">
        <v>0.155</v>
      </c>
      <c r="AS111" s="4">
        <v>0.03</v>
      </c>
      <c r="AT111" s="4">
        <v>-0.24099999999999999</v>
      </c>
      <c r="AU111" s="4">
        <v>0.874</v>
      </c>
      <c r="AV111" s="4">
        <v>7.6999999999999999E-2</v>
      </c>
      <c r="AW111" s="4">
        <v>0.878</v>
      </c>
      <c r="AX111" s="4">
        <v>0.39</v>
      </c>
      <c r="AY111" s="4">
        <v>2.1999999999999999E-2</v>
      </c>
      <c r="AZ111" s="4">
        <v>0.91500000000000004</v>
      </c>
      <c r="BA111" s="4">
        <v>0.54</v>
      </c>
      <c r="BB111" s="4">
        <v>0.46300000000000002</v>
      </c>
      <c r="BC111" s="4">
        <v>-0.52</v>
      </c>
      <c r="BD111" s="4">
        <v>-0.52</v>
      </c>
      <c r="BE111" s="4">
        <v>0.11700000000000001</v>
      </c>
      <c r="BF111" s="4">
        <v>0.46200000000000002</v>
      </c>
      <c r="BG111" s="4">
        <v>-0.40899999999999997</v>
      </c>
      <c r="BH111" s="4">
        <v>0.53900000000000003</v>
      </c>
      <c r="BI111" s="4">
        <v>-0.42899999999999999</v>
      </c>
      <c r="BJ111" s="4">
        <v>0.155</v>
      </c>
      <c r="BK111" s="4">
        <v>0.313</v>
      </c>
      <c r="BL111" s="4">
        <v>0.72199999999999998</v>
      </c>
      <c r="BM111" s="4">
        <v>-0.14299999999999999</v>
      </c>
      <c r="BN111" s="4"/>
    </row>
    <row r="112" spans="1:66" x14ac:dyDescent="0.3">
      <c r="A112" t="s">
        <v>176</v>
      </c>
      <c r="B112" s="53">
        <f t="shared" si="11"/>
        <v>0</v>
      </c>
      <c r="C112" s="53">
        <f t="shared" si="12"/>
        <v>-3.102E-4</v>
      </c>
      <c r="D112" s="53">
        <f t="shared" si="13"/>
        <v>0</v>
      </c>
      <c r="E112" s="53">
        <f t="shared" si="14"/>
        <v>3.102E-4</v>
      </c>
      <c r="F112" s="15">
        <v>0.76</v>
      </c>
      <c r="G112">
        <v>0.57199999999999995</v>
      </c>
      <c r="H112" t="s">
        <v>57</v>
      </c>
      <c r="I112" t="str">
        <f>VLOOKUP(A112,Planilha6!$BL$9:$BN$222,2,0)</f>
        <v>apparel</v>
      </c>
      <c r="J112" t="str">
        <f>VLOOKUP(A112,Planilha6!$BL$9:$BN$222,3,0)</f>
        <v>very_high_beta</v>
      </c>
      <c r="K112" s="17">
        <v>0</v>
      </c>
      <c r="L112" s="2">
        <v>0</v>
      </c>
      <c r="M112" s="5">
        <v>0.30135609000000002</v>
      </c>
      <c r="N112" s="41">
        <f>VLOOKUP(A112,'Mandato LP'!$A$2:$B$215,2,0)</f>
        <v>0</v>
      </c>
      <c r="O112" s="59">
        <f t="shared" si="15"/>
        <v>0</v>
      </c>
      <c r="P112" s="42">
        <f t="shared" si="16"/>
        <v>0</v>
      </c>
      <c r="Q112" s="41">
        <f>VLOOKUP(A112,'Mandato LP'!$A$2:$C$215,3,0)</f>
        <v>0</v>
      </c>
      <c r="R112" s="42">
        <f t="shared" si="17"/>
        <v>0</v>
      </c>
      <c r="S112" s="15">
        <v>0.10100000000000001</v>
      </c>
      <c r="T112" s="15">
        <v>-0.25900000000000001</v>
      </c>
      <c r="U112" s="15">
        <v>-0.14699999999999999</v>
      </c>
      <c r="V112" s="15">
        <v>0.19700000000000001</v>
      </c>
      <c r="W112" s="15">
        <v>-0.113</v>
      </c>
      <c r="X112" s="15">
        <v>-0.14000000000000001</v>
      </c>
      <c r="Y112" s="15">
        <v>-0.24399999999999999</v>
      </c>
      <c r="Z112" s="15">
        <v>-0.60199999999999998</v>
      </c>
      <c r="AA112" s="15">
        <v>4.5999999999999999E-2</v>
      </c>
      <c r="AB112" s="15">
        <v>5.1999999999999998E-2</v>
      </c>
      <c r="AC112" s="15">
        <v>0.36099999999999999</v>
      </c>
      <c r="AD112" s="15">
        <v>0.25700000000000001</v>
      </c>
      <c r="AE112" s="15">
        <v>0.34699999999999998</v>
      </c>
      <c r="AF112" s="14">
        <v>1</v>
      </c>
      <c r="AG112" s="110">
        <v>0.55100000000000005</v>
      </c>
      <c r="AH112" s="110">
        <v>-0.29499999999999998</v>
      </c>
      <c r="AI112" s="110">
        <v>-0.2</v>
      </c>
      <c r="AJ112" s="110">
        <v>-0.28299999999999997</v>
      </c>
      <c r="AK112" s="16">
        <v>0.84099999999999997</v>
      </c>
      <c r="AL112" s="111">
        <v>0.48699999999999999</v>
      </c>
      <c r="AM112" s="111">
        <v>-0.73299999999999998</v>
      </c>
      <c r="AN112" s="4">
        <v>-0.26700000000000002</v>
      </c>
      <c r="AO112" s="4">
        <v>0.254</v>
      </c>
      <c r="AP112" s="4">
        <v>-0.71099999999999997</v>
      </c>
      <c r="AQ112" s="4">
        <v>0.46700000000000003</v>
      </c>
      <c r="AR112" s="4">
        <v>0.74399999999999999</v>
      </c>
      <c r="AS112" s="4">
        <v>0.187</v>
      </c>
      <c r="AT112" s="4">
        <v>-0.26100000000000001</v>
      </c>
      <c r="AU112" s="4">
        <v>0.53</v>
      </c>
      <c r="AV112" s="4">
        <v>3.5999999999999997E-2</v>
      </c>
      <c r="AW112" s="4">
        <v>0.91200000000000003</v>
      </c>
      <c r="AX112" s="4">
        <v>-0.54500000000000004</v>
      </c>
      <c r="AY112" s="4">
        <v>0.126</v>
      </c>
      <c r="AZ112" s="4">
        <v>0.72699999999999998</v>
      </c>
      <c r="BA112" s="4">
        <v>6.5000000000000002E-2</v>
      </c>
      <c r="BB112" s="4">
        <v>-0.254</v>
      </c>
      <c r="BC112" s="4">
        <v>-0.104</v>
      </c>
      <c r="BD112" s="4">
        <v>-8.5000000000000006E-2</v>
      </c>
      <c r="BE112" s="4">
        <v>0.59</v>
      </c>
      <c r="BF112" s="4">
        <v>-0.45200000000000001</v>
      </c>
      <c r="BG112" s="4">
        <v>-0.34499999999999997</v>
      </c>
      <c r="BH112" s="4">
        <v>0.223</v>
      </c>
      <c r="BI112" s="4">
        <v>-0.67100000000000004</v>
      </c>
      <c r="BJ112" s="4">
        <v>0.36099999999999999</v>
      </c>
      <c r="BK112" s="4">
        <v>-0.92</v>
      </c>
      <c r="BL112" s="4">
        <v>0.34100000000000003</v>
      </c>
      <c r="BM112" s="4">
        <v>0.59799999999999998</v>
      </c>
      <c r="BN112" s="4"/>
    </row>
    <row r="113" spans="1:66" x14ac:dyDescent="0.3">
      <c r="A113" t="s">
        <v>150</v>
      </c>
      <c r="B113" s="53">
        <f t="shared" si="11"/>
        <v>0</v>
      </c>
      <c r="C113" s="53">
        <f t="shared" si="12"/>
        <v>0</v>
      </c>
      <c r="D113" s="53">
        <f t="shared" si="13"/>
        <v>0</v>
      </c>
      <c r="E113" s="53">
        <f t="shared" si="14"/>
        <v>0</v>
      </c>
      <c r="F113" s="15">
        <v>0.75700000000000001</v>
      </c>
      <c r="G113">
        <v>0.63400000000000001</v>
      </c>
      <c r="H113" t="s">
        <v>53</v>
      </c>
      <c r="I113" t="str">
        <f>VLOOKUP(A113,Planilha6!$BL$9:$BN$222,2,0)</f>
        <v>healthcare</v>
      </c>
      <c r="J113" t="str">
        <f>VLOOKUP(A113,Planilha6!$BL$9:$BN$222,3,0)</f>
        <v>neutral_beta</v>
      </c>
      <c r="K113" s="17">
        <v>0</v>
      </c>
      <c r="L113" s="2">
        <v>0</v>
      </c>
      <c r="M113" s="5">
        <v>0.508604645785667</v>
      </c>
      <c r="N113" s="41">
        <f>VLOOKUP(A113,'Mandato LP'!$A$2:$B$215,2,0)</f>
        <v>0</v>
      </c>
      <c r="O113" s="59">
        <f t="shared" si="15"/>
        <v>0</v>
      </c>
      <c r="P113" s="42">
        <f t="shared" si="16"/>
        <v>0</v>
      </c>
      <c r="Q113" s="41">
        <f>VLOOKUP(A113,'Mandato LP'!$A$2:$C$215,3,0)</f>
        <v>0</v>
      </c>
      <c r="R113" s="42">
        <f t="shared" si="17"/>
        <v>0</v>
      </c>
      <c r="S113" s="15">
        <v>-0.28399999999999997</v>
      </c>
      <c r="T113" s="15">
        <v>-0.254</v>
      </c>
      <c r="U113" s="15">
        <v>-0.26700000000000002</v>
      </c>
      <c r="V113" s="15">
        <v>-0.56299999999999994</v>
      </c>
      <c r="W113" s="15">
        <v>-0.41499999999999998</v>
      </c>
      <c r="X113" s="15">
        <v>-0.25600000000000001</v>
      </c>
      <c r="Y113" s="15">
        <v>-5.7000000000000002E-2</v>
      </c>
      <c r="Z113" s="15">
        <v>-0.372</v>
      </c>
      <c r="AA113" s="15">
        <v>0.16200000000000001</v>
      </c>
      <c r="AB113" s="15">
        <v>0.16400000000000001</v>
      </c>
      <c r="AC113" s="15">
        <v>0.55600000000000005</v>
      </c>
      <c r="AD113" s="15">
        <v>0.502</v>
      </c>
      <c r="AE113" s="15">
        <v>0.53300000000000003</v>
      </c>
      <c r="AF113" s="14">
        <v>-0.17499999999999999</v>
      </c>
      <c r="AG113" s="110">
        <v>-0.76900000000000002</v>
      </c>
      <c r="AH113" s="110">
        <v>-0.41899999999999998</v>
      </c>
      <c r="AI113" s="110">
        <v>-0.44800000000000001</v>
      </c>
      <c r="AJ113" s="110">
        <v>0.105</v>
      </c>
      <c r="AK113" s="16">
        <v>-6.3E-2</v>
      </c>
      <c r="AL113" s="111">
        <v>-0.32900000000000001</v>
      </c>
      <c r="AM113" s="111">
        <v>-0.35899999999999999</v>
      </c>
      <c r="AN113" s="4">
        <v>-0.60199999999999998</v>
      </c>
      <c r="AO113" s="4">
        <v>0.14299999999999999</v>
      </c>
      <c r="AP113" s="4">
        <v>0.126</v>
      </c>
      <c r="AQ113" s="4">
        <v>0.55800000000000005</v>
      </c>
      <c r="AR113" s="4">
        <v>-9.1999999999999998E-2</v>
      </c>
      <c r="AS113" s="4">
        <v>-0.16800000000000001</v>
      </c>
      <c r="AT113" s="4">
        <v>-0.58599999999999997</v>
      </c>
      <c r="AU113" s="4">
        <v>0.188</v>
      </c>
      <c r="AV113" s="4">
        <v>4.3999999999999997E-2</v>
      </c>
      <c r="AW113" s="4">
        <v>0.246</v>
      </c>
      <c r="AX113" s="4">
        <v>0.26700000000000002</v>
      </c>
      <c r="AY113" s="4">
        <v>0.28000000000000003</v>
      </c>
      <c r="AZ113" s="4">
        <v>0.872</v>
      </c>
      <c r="BA113" s="4">
        <v>-9.5000000000000001E-2</v>
      </c>
      <c r="BB113" s="4">
        <v>0.69099999999999995</v>
      </c>
      <c r="BC113" s="4">
        <v>-6.5000000000000002E-2</v>
      </c>
      <c r="BD113" s="4">
        <v>-0.22</v>
      </c>
      <c r="BE113" s="4">
        <v>8.0000000000000002E-3</v>
      </c>
      <c r="BF113" s="4">
        <v>-0.36599999999999999</v>
      </c>
      <c r="BG113" s="4">
        <v>0.26500000000000001</v>
      </c>
      <c r="BH113" s="4">
        <v>0.61199999999999999</v>
      </c>
      <c r="BI113" s="4">
        <v>0.20799999999999999</v>
      </c>
      <c r="BJ113" s="4">
        <v>-7.4999999999999997E-2</v>
      </c>
      <c r="BK113" s="4">
        <v>0.67200000000000004</v>
      </c>
      <c r="BL113" s="4">
        <v>0.23300000000000001</v>
      </c>
      <c r="BM113" s="4">
        <v>-0.96899999999999997</v>
      </c>
      <c r="BN113" s="4"/>
    </row>
    <row r="114" spans="1:66" x14ac:dyDescent="0.3">
      <c r="A114" t="s">
        <v>199</v>
      </c>
      <c r="B114" s="53">
        <f t="shared" si="11"/>
        <v>0</v>
      </c>
      <c r="C114" s="53">
        <f t="shared" si="12"/>
        <v>0</v>
      </c>
      <c r="D114" s="53">
        <f t="shared" si="13"/>
        <v>0</v>
      </c>
      <c r="E114" s="53">
        <f t="shared" si="14"/>
        <v>0</v>
      </c>
      <c r="F114" s="15">
        <v>0.748</v>
      </c>
      <c r="G114">
        <v>0.874</v>
      </c>
      <c r="H114" t="s">
        <v>55</v>
      </c>
      <c r="I114" t="str">
        <f>VLOOKUP(A114,Planilha6!$BL$9:$BN$222,2,0)</f>
        <v>utilities</v>
      </c>
      <c r="J114" t="str">
        <f>VLOOKUP(A114,Planilha6!$BL$9:$BN$222,3,0)</f>
        <v>high_beta</v>
      </c>
      <c r="K114" s="17">
        <v>0</v>
      </c>
      <c r="L114" s="2">
        <v>0</v>
      </c>
      <c r="M114" s="5">
        <v>0</v>
      </c>
      <c r="N114" s="41">
        <f>VLOOKUP(A114,'Mandato LP'!$A$2:$B$215,2,0)</f>
        <v>0</v>
      </c>
      <c r="O114" s="59">
        <f t="shared" si="15"/>
        <v>0</v>
      </c>
      <c r="P114" s="42">
        <f t="shared" si="16"/>
        <v>0</v>
      </c>
      <c r="Q114" s="41">
        <f>VLOOKUP(A114,'Mandato LP'!$A$2:$C$215,3,0)</f>
        <v>0</v>
      </c>
      <c r="R114" s="42">
        <f t="shared" si="17"/>
        <v>0</v>
      </c>
      <c r="S114" s="15">
        <v>-0.439</v>
      </c>
      <c r="T114" s="15">
        <v>3.6999999999999998E-2</v>
      </c>
      <c r="U114" s="15">
        <v>-0.55600000000000005</v>
      </c>
      <c r="V114" s="15">
        <v>-0.41699999999999998</v>
      </c>
      <c r="W114" s="15">
        <v>-0.23899999999999999</v>
      </c>
      <c r="X114" s="15">
        <v>-0.22700000000000001</v>
      </c>
      <c r="Y114" s="15">
        <v>-0.106</v>
      </c>
      <c r="Z114" s="15">
        <v>-0.44400000000000001</v>
      </c>
      <c r="AA114" s="15">
        <v>0.53800000000000003</v>
      </c>
      <c r="AB114" s="15">
        <v>0.53700000000000003</v>
      </c>
      <c r="AC114" s="15">
        <v>0.56399999999999995</v>
      </c>
      <c r="AD114" s="15">
        <v>0.58199999999999996</v>
      </c>
      <c r="AE114" s="15">
        <v>0.45</v>
      </c>
      <c r="AF114" s="14">
        <v>-0.61499999999999999</v>
      </c>
      <c r="AG114" s="110">
        <v>-0.36199999999999999</v>
      </c>
      <c r="AH114" s="110">
        <v>-0.16700000000000001</v>
      </c>
      <c r="AI114" s="110">
        <v>-0.85599999999999998</v>
      </c>
      <c r="AJ114" s="110">
        <v>0.13400000000000001</v>
      </c>
      <c r="AK114" s="16">
        <v>-0.55300000000000005</v>
      </c>
      <c r="AL114" s="111">
        <v>-0.51500000000000001</v>
      </c>
      <c r="AM114" s="111">
        <v>-1</v>
      </c>
      <c r="AN114" s="4">
        <v>-0.86199999999999999</v>
      </c>
      <c r="AO114" s="4">
        <v>0.17699999999999999</v>
      </c>
      <c r="AP114" s="4">
        <v>0.627</v>
      </c>
      <c r="AQ114" s="4">
        <v>0.25900000000000001</v>
      </c>
      <c r="AR114" s="4">
        <v>0.77100000000000002</v>
      </c>
      <c r="AS114" s="4">
        <v>0.86399999999999999</v>
      </c>
      <c r="AT114" s="4">
        <v>0.52700000000000002</v>
      </c>
      <c r="AU114" s="4">
        <v>-0.107</v>
      </c>
      <c r="AV114" s="4">
        <v>0.107</v>
      </c>
      <c r="AW114" s="4">
        <v>0.18</v>
      </c>
      <c r="AX114" s="4">
        <v>0.51500000000000001</v>
      </c>
      <c r="AY114" s="4">
        <v>-8.1000000000000003E-2</v>
      </c>
      <c r="AZ114" s="4">
        <v>0.625</v>
      </c>
      <c r="BA114" s="4">
        <v>0.73399999999999999</v>
      </c>
      <c r="BB114" s="4">
        <v>-0.34499999999999997</v>
      </c>
      <c r="BC114" s="4">
        <v>-0.68600000000000005</v>
      </c>
      <c r="BD114" s="4">
        <v>-0.92200000000000004</v>
      </c>
      <c r="BE114" s="4">
        <v>0.21099999999999999</v>
      </c>
      <c r="BF114" s="4">
        <v>-0.96299999999999997</v>
      </c>
      <c r="BG114" s="4">
        <v>0.36199999999999999</v>
      </c>
      <c r="BH114" s="4">
        <v>0.57899999999999996</v>
      </c>
      <c r="BI114" s="4">
        <v>-0.65700000000000003</v>
      </c>
      <c r="BJ114" s="4">
        <v>0.22500000000000001</v>
      </c>
      <c r="BK114" s="4">
        <v>-8.7999999999999995E-2</v>
      </c>
      <c r="BL114" s="4">
        <v>0.311</v>
      </c>
      <c r="BM114" s="4">
        <v>-0.871</v>
      </c>
      <c r="BN114" s="4"/>
    </row>
    <row r="115" spans="1:66" x14ac:dyDescent="0.3">
      <c r="A115" t="s">
        <v>174</v>
      </c>
      <c r="B115" s="53">
        <f t="shared" si="11"/>
        <v>0</v>
      </c>
      <c r="C115" s="53">
        <f t="shared" si="12"/>
        <v>0</v>
      </c>
      <c r="D115" s="53">
        <f t="shared" si="13"/>
        <v>0</v>
      </c>
      <c r="E115" s="53">
        <f t="shared" si="14"/>
        <v>0</v>
      </c>
      <c r="F115" s="15">
        <v>0.74099999999999999</v>
      </c>
      <c r="G115">
        <v>0.56599999999999995</v>
      </c>
      <c r="H115" t="s">
        <v>68</v>
      </c>
      <c r="I115" t="str">
        <f>VLOOKUP(A115,Planilha6!$BL$9:$BN$222,2,0)</f>
        <v>capital_goods</v>
      </c>
      <c r="J115" t="str">
        <f>VLOOKUP(A115,Planilha6!$BL$9:$BN$222,3,0)</f>
        <v>very_low_beta</v>
      </c>
      <c r="K115" s="17">
        <v>0</v>
      </c>
      <c r="L115" s="2">
        <v>0</v>
      </c>
      <c r="M115" s="5">
        <v>0</v>
      </c>
      <c r="N115" s="41">
        <f>VLOOKUP(A115,'Mandato LP'!$A$2:$B$215,2,0)</f>
        <v>0</v>
      </c>
      <c r="O115" s="59">
        <f t="shared" si="15"/>
        <v>0</v>
      </c>
      <c r="P115" s="42">
        <f t="shared" si="16"/>
        <v>0</v>
      </c>
      <c r="Q115" s="41">
        <f>VLOOKUP(A115,'Mandato LP'!$A$2:$C$215,3,0)</f>
        <v>0</v>
      </c>
      <c r="R115" s="42">
        <f t="shared" si="17"/>
        <v>0</v>
      </c>
      <c r="S115" s="15">
        <v>-0.20499999999999999</v>
      </c>
      <c r="T115" s="15">
        <v>-0.53400000000000003</v>
      </c>
      <c r="U115" s="15">
        <v>0.108</v>
      </c>
      <c r="V115" s="15">
        <v>-0.44900000000000001</v>
      </c>
      <c r="W115" s="15">
        <v>-0.372</v>
      </c>
      <c r="X115" s="15">
        <v>-0.65400000000000003</v>
      </c>
      <c r="Y115" s="15">
        <v>-0.71599999999999997</v>
      </c>
      <c r="Z115" s="15">
        <v>-0.67</v>
      </c>
      <c r="AA115" s="15">
        <v>0.79200000000000004</v>
      </c>
      <c r="AB115" s="15">
        <v>0.79300000000000004</v>
      </c>
      <c r="AC115" s="15">
        <v>0.64100000000000001</v>
      </c>
      <c r="AD115" s="15">
        <v>0.69</v>
      </c>
      <c r="AE115" s="15">
        <v>0.65100000000000002</v>
      </c>
      <c r="AF115" s="14">
        <v>-0.22900000000000001</v>
      </c>
      <c r="AG115" s="110">
        <v>0</v>
      </c>
      <c r="AH115" s="110">
        <v>0.26900000000000002</v>
      </c>
      <c r="AI115" s="110">
        <v>1</v>
      </c>
      <c r="AJ115" s="110">
        <v>0.19700000000000001</v>
      </c>
      <c r="AK115" s="16">
        <v>-0.374</v>
      </c>
      <c r="AL115" s="111">
        <v>0.621</v>
      </c>
      <c r="AM115" s="111">
        <v>-0.58199999999999996</v>
      </c>
      <c r="AN115" s="4">
        <v>0.90600000000000003</v>
      </c>
      <c r="AO115" s="4">
        <v>-0.26600000000000001</v>
      </c>
      <c r="AP115" s="4">
        <v>-0.14499999999999999</v>
      </c>
      <c r="AQ115" s="4">
        <v>-0.109</v>
      </c>
      <c r="AR115" s="4">
        <v>-0.38100000000000001</v>
      </c>
      <c r="AS115" s="4">
        <v>-0.1</v>
      </c>
      <c r="AT115" s="4">
        <v>-0.61699999999999999</v>
      </c>
      <c r="AU115" s="4">
        <v>0.26600000000000001</v>
      </c>
      <c r="AV115" s="4">
        <v>-0.48399999999999999</v>
      </c>
      <c r="AW115" s="4">
        <v>-0.35499999999999998</v>
      </c>
      <c r="AX115" s="4">
        <v>0.14799999999999999</v>
      </c>
      <c r="AY115" s="4">
        <v>-0.755</v>
      </c>
      <c r="AZ115" s="4">
        <v>0.82399999999999995</v>
      </c>
      <c r="BA115" s="4">
        <v>6.5000000000000002E-2</v>
      </c>
      <c r="BB115" s="4">
        <v>0.122</v>
      </c>
      <c r="BC115" s="4">
        <v>0.27800000000000002</v>
      </c>
      <c r="BD115" s="4">
        <v>-7.8E-2</v>
      </c>
      <c r="BE115" s="4">
        <v>0.30499999999999999</v>
      </c>
      <c r="BF115" s="4">
        <v>-0.46899999999999997</v>
      </c>
      <c r="BG115" s="4">
        <v>-7.5999999999999998E-2</v>
      </c>
      <c r="BH115" s="4">
        <v>-2.1000000000000001E-2</v>
      </c>
      <c r="BI115" s="4">
        <v>1.2E-2</v>
      </c>
      <c r="BJ115" s="4">
        <v>-0.11</v>
      </c>
      <c r="BK115" s="4">
        <v>0.93100000000000005</v>
      </c>
      <c r="BL115" s="4">
        <v>0.71699999999999997</v>
      </c>
      <c r="BM115" s="4">
        <v>-0.67700000000000005</v>
      </c>
      <c r="BN115" s="4"/>
    </row>
    <row r="116" spans="1:66" x14ac:dyDescent="0.3">
      <c r="A116" t="s">
        <v>214</v>
      </c>
      <c r="B116" s="53">
        <f t="shared" si="11"/>
        <v>0</v>
      </c>
      <c r="C116" s="53">
        <f t="shared" si="12"/>
        <v>-5.3954999999999997E-4</v>
      </c>
      <c r="D116" s="53">
        <f t="shared" si="13"/>
        <v>0</v>
      </c>
      <c r="E116" s="53">
        <f t="shared" si="14"/>
        <v>5.3954999999999997E-4</v>
      </c>
      <c r="F116" s="15">
        <v>0.73799999999999999</v>
      </c>
      <c r="G116">
        <v>0.74</v>
      </c>
      <c r="H116" t="s">
        <v>53</v>
      </c>
      <c r="I116" t="str">
        <f>VLOOKUP(A116,Planilha6!$BL$9:$BN$222,2,0)</f>
        <v>float_financials</v>
      </c>
      <c r="J116" t="str">
        <f>VLOOKUP(A116,Planilha6!$BL$9:$BN$222,3,0)</f>
        <v>low_beta</v>
      </c>
      <c r="K116" s="17">
        <v>0</v>
      </c>
      <c r="L116" s="2">
        <v>-1E-3</v>
      </c>
      <c r="M116" s="5">
        <v>0.205399754416667</v>
      </c>
      <c r="N116" s="41">
        <f>VLOOKUP(A116,'Mandato LP'!$A$2:$B$215,2,0)</f>
        <v>0</v>
      </c>
      <c r="O116" s="59">
        <f t="shared" si="15"/>
        <v>0</v>
      </c>
      <c r="P116" s="42">
        <f t="shared" si="16"/>
        <v>0</v>
      </c>
      <c r="Q116" s="41">
        <f>VLOOKUP(A116,'Mandato LP'!$A$2:$C$215,3,0)</f>
        <v>0</v>
      </c>
      <c r="R116" s="42">
        <f t="shared" si="17"/>
        <v>0</v>
      </c>
      <c r="S116" s="15">
        <v>-0.312</v>
      </c>
      <c r="T116" s="15">
        <v>-7.9000000000000001E-2</v>
      </c>
      <c r="U116" s="15">
        <v>-0.58399999999999996</v>
      </c>
      <c r="V116" s="15">
        <v>-0.41799999999999998</v>
      </c>
      <c r="W116" s="15">
        <v>-0.39400000000000002</v>
      </c>
      <c r="X116" s="15">
        <v>-0.28000000000000003</v>
      </c>
      <c r="Y116" s="15">
        <v>-5.2999999999999999E-2</v>
      </c>
      <c r="Z116" s="15">
        <v>-0.60899999999999999</v>
      </c>
      <c r="AA116" s="15">
        <v>0.36299999999999999</v>
      </c>
      <c r="AB116" s="15">
        <v>0.36899999999999999</v>
      </c>
      <c r="AC116" s="15">
        <v>0.63</v>
      </c>
      <c r="AD116" s="15">
        <v>0.88900000000000001</v>
      </c>
      <c r="AE116" s="15">
        <v>0.54200000000000004</v>
      </c>
      <c r="AF116" s="14">
        <v>-0.42299999999999999</v>
      </c>
      <c r="AG116" s="110">
        <v>-0.215</v>
      </c>
      <c r="AH116" s="110">
        <v>0.10100000000000001</v>
      </c>
      <c r="AI116" s="110">
        <v>-0.47599999999999998</v>
      </c>
      <c r="AJ116" s="110">
        <v>-7.0000000000000001E-3</v>
      </c>
      <c r="AK116" s="16">
        <v>5.8000000000000003E-2</v>
      </c>
      <c r="AL116" s="111">
        <v>-0.156</v>
      </c>
      <c r="AM116" s="111">
        <v>-0.93400000000000005</v>
      </c>
      <c r="AN116" s="4">
        <v>-0.26</v>
      </c>
      <c r="AO116" s="4">
        <v>0.35399999999999998</v>
      </c>
      <c r="AP116" s="4">
        <v>0.184</v>
      </c>
      <c r="AQ116" s="4">
        <v>0.39600000000000002</v>
      </c>
      <c r="AR116" s="4">
        <v>0.51100000000000001</v>
      </c>
      <c r="AS116" s="4">
        <v>-0.71199999999999997</v>
      </c>
      <c r="AT116" s="4">
        <v>-0.28999999999999998</v>
      </c>
      <c r="AU116" s="4">
        <v>0.25700000000000001</v>
      </c>
      <c r="AV116" s="4">
        <v>0.23699999999999999</v>
      </c>
      <c r="AW116" s="4">
        <v>-0.111</v>
      </c>
      <c r="AX116" s="4">
        <v>0.28599999999999998</v>
      </c>
      <c r="AY116" s="4">
        <v>0.30199999999999999</v>
      </c>
      <c r="AZ116" s="4">
        <v>0.86799999999999999</v>
      </c>
      <c r="BA116" s="4">
        <v>-0.27700000000000002</v>
      </c>
      <c r="BB116" s="4">
        <v>0.01</v>
      </c>
      <c r="BC116" s="4">
        <v>0.129</v>
      </c>
      <c r="BD116" s="4">
        <v>-6.7000000000000004E-2</v>
      </c>
      <c r="BE116" s="4">
        <v>0.66600000000000004</v>
      </c>
      <c r="BF116" s="4">
        <v>6.7000000000000004E-2</v>
      </c>
      <c r="BG116" s="4">
        <v>-0.16600000000000001</v>
      </c>
      <c r="BH116" s="4">
        <v>0.70199999999999996</v>
      </c>
      <c r="BI116" s="4">
        <v>-0.16</v>
      </c>
      <c r="BJ116" s="4">
        <v>-0.14599999999999999</v>
      </c>
      <c r="BK116" s="4">
        <v>-0.255</v>
      </c>
      <c r="BL116" s="4">
        <v>0.60299999999999998</v>
      </c>
      <c r="BM116" s="4">
        <v>0.375</v>
      </c>
      <c r="BN116" s="4"/>
    </row>
    <row r="117" spans="1:66" x14ac:dyDescent="0.3">
      <c r="A117" t="s">
        <v>209</v>
      </c>
      <c r="B117" s="53">
        <f t="shared" si="11"/>
        <v>0</v>
      </c>
      <c r="C117" s="53">
        <f t="shared" si="12"/>
        <v>-4.3358700000000003E-3</v>
      </c>
      <c r="D117" s="53">
        <f t="shared" si="13"/>
        <v>0</v>
      </c>
      <c r="E117" s="53">
        <f t="shared" si="14"/>
        <v>4.3358700000000003E-3</v>
      </c>
      <c r="F117" s="15">
        <v>0.73499999999999999</v>
      </c>
      <c r="G117">
        <v>1.0669999999999999</v>
      </c>
      <c r="H117" t="s">
        <v>55</v>
      </c>
      <c r="I117" t="str">
        <f>VLOOKUP(A117,Planilha6!$BL$9:$BN$222,2,0)</f>
        <v>utilities</v>
      </c>
      <c r="J117" t="str">
        <f>VLOOKUP(A117,Planilha6!$BL$9:$BN$222,3,0)</f>
        <v>high_beta</v>
      </c>
      <c r="K117" s="17">
        <v>0</v>
      </c>
      <c r="L117" s="2">
        <v>-4.0000000000000001E-3</v>
      </c>
      <c r="M117" s="5">
        <v>0</v>
      </c>
      <c r="N117" s="41">
        <f>VLOOKUP(A117,'Mandato LP'!$A$2:$B$215,2,0)</f>
        <v>0</v>
      </c>
      <c r="O117" s="59">
        <f t="shared" si="15"/>
        <v>0</v>
      </c>
      <c r="P117" s="42">
        <f t="shared" si="16"/>
        <v>0</v>
      </c>
      <c r="Q117" s="41">
        <f>VLOOKUP(A117,'Mandato LP'!$A$2:$C$215,3,0)</f>
        <v>0</v>
      </c>
      <c r="R117" s="42">
        <f t="shared" si="17"/>
        <v>0</v>
      </c>
      <c r="S117" s="15">
        <v>-0.57899999999999996</v>
      </c>
      <c r="T117" s="15">
        <v>3.6999999999999998E-2</v>
      </c>
      <c r="U117" s="15">
        <v>-0.80700000000000005</v>
      </c>
      <c r="V117" s="15">
        <v>-0.59399999999999997</v>
      </c>
      <c r="W117" s="15">
        <v>-0.438</v>
      </c>
      <c r="X117" s="15">
        <v>-0.32</v>
      </c>
      <c r="Y117" s="15">
        <v>-0.19400000000000001</v>
      </c>
      <c r="Z117" s="15">
        <v>-0.38800000000000001</v>
      </c>
      <c r="AA117" s="15">
        <v>0.47</v>
      </c>
      <c r="AB117" s="15">
        <v>0.48099999999999998</v>
      </c>
      <c r="AC117" s="15">
        <v>0.67</v>
      </c>
      <c r="AD117" s="15">
        <v>0.92300000000000004</v>
      </c>
      <c r="AE117" s="15">
        <v>0.62</v>
      </c>
      <c r="AF117" s="14">
        <v>-1</v>
      </c>
      <c r="AG117" s="110">
        <v>-0.45700000000000002</v>
      </c>
      <c r="AH117" s="110">
        <v>0.31</v>
      </c>
      <c r="AI117" s="110">
        <v>-1</v>
      </c>
      <c r="AJ117" s="110">
        <v>-0.66100000000000003</v>
      </c>
      <c r="AK117" s="16">
        <v>-0.96299999999999997</v>
      </c>
      <c r="AL117" s="111">
        <v>-0.371</v>
      </c>
      <c r="AM117" s="111">
        <v>-0.67900000000000005</v>
      </c>
      <c r="AN117" s="4">
        <v>-0.56399999999999995</v>
      </c>
      <c r="AO117" s="4">
        <v>-0.52300000000000002</v>
      </c>
      <c r="AP117" s="4">
        <v>0.69899999999999995</v>
      </c>
      <c r="AQ117" s="4">
        <v>0.74199999999999999</v>
      </c>
      <c r="AR117" s="4">
        <v>0.21199999999999999</v>
      </c>
      <c r="AS117" s="4">
        <v>0.80500000000000005</v>
      </c>
      <c r="AT117" s="4">
        <v>0.30599999999999999</v>
      </c>
      <c r="AU117" s="4">
        <v>0.20100000000000001</v>
      </c>
      <c r="AV117" s="4">
        <v>-3.0000000000000001E-3</v>
      </c>
      <c r="AW117" s="4">
        <v>-0.69</v>
      </c>
      <c r="AX117" s="4">
        <v>0.51100000000000001</v>
      </c>
      <c r="AY117" s="4">
        <v>-0.68799999999999994</v>
      </c>
      <c r="AZ117" s="4">
        <v>0.83899999999999997</v>
      </c>
      <c r="BA117" s="4">
        <v>0.40300000000000002</v>
      </c>
      <c r="BB117" s="4">
        <v>0.70599999999999996</v>
      </c>
      <c r="BC117" s="4">
        <v>-3.5999999999999997E-2</v>
      </c>
      <c r="BD117" s="4">
        <v>3.1E-2</v>
      </c>
      <c r="BE117" s="4">
        <v>0.36399999999999999</v>
      </c>
      <c r="BF117" s="4">
        <v>-0.26500000000000001</v>
      </c>
      <c r="BG117" s="4">
        <v>0.13100000000000001</v>
      </c>
      <c r="BH117" s="4">
        <v>0.55100000000000005</v>
      </c>
      <c r="BI117" s="4">
        <v>-0.76300000000000001</v>
      </c>
      <c r="BJ117" s="4">
        <v>0.16500000000000001</v>
      </c>
      <c r="BK117" s="4">
        <v>0.19700000000000001</v>
      </c>
      <c r="BL117" s="4">
        <v>-1</v>
      </c>
      <c r="BM117" s="4">
        <v>7.6999999999999999E-2</v>
      </c>
      <c r="BN117" s="4"/>
    </row>
    <row r="118" spans="1:66" x14ac:dyDescent="0.3">
      <c r="A118" t="s">
        <v>102</v>
      </c>
      <c r="B118" s="53">
        <f t="shared" si="11"/>
        <v>0</v>
      </c>
      <c r="C118" s="53">
        <f t="shared" si="12"/>
        <v>-7.1973000000000002E-4</v>
      </c>
      <c r="D118" s="53">
        <f t="shared" si="13"/>
        <v>0</v>
      </c>
      <c r="E118" s="53">
        <f t="shared" si="14"/>
        <v>7.1973000000000002E-4</v>
      </c>
      <c r="F118" s="15">
        <v>0.72899999999999998</v>
      </c>
      <c r="G118">
        <v>0.56999999999999995</v>
      </c>
      <c r="H118" t="s">
        <v>57</v>
      </c>
      <c r="I118" t="str">
        <f>VLOOKUP(A118,Planilha6!$BL$9:$BN$222,2,0)</f>
        <v>education</v>
      </c>
      <c r="J118" t="str">
        <f>VLOOKUP(A118,Planilha6!$BL$9:$BN$222,3,0)</f>
        <v>high_beta</v>
      </c>
      <c r="K118" s="17">
        <v>0</v>
      </c>
      <c r="L118" s="2">
        <v>-1E-3</v>
      </c>
      <c r="M118" s="5">
        <v>5.4986158006666702E-2</v>
      </c>
      <c r="N118" s="41">
        <f>VLOOKUP(A118,'Mandato LP'!$A$2:$B$215,2,0)</f>
        <v>0</v>
      </c>
      <c r="O118" s="59">
        <f t="shared" si="15"/>
        <v>0</v>
      </c>
      <c r="P118" s="42">
        <f t="shared" si="16"/>
        <v>0</v>
      </c>
      <c r="Q118" s="41">
        <f>VLOOKUP(A118,'Mandato LP'!$A$2:$C$215,3,0)</f>
        <v>0</v>
      </c>
      <c r="R118" s="42">
        <f t="shared" si="17"/>
        <v>0</v>
      </c>
      <c r="S118" s="15">
        <v>-0.29799999999999999</v>
      </c>
      <c r="T118" s="15">
        <v>-0.31900000000000001</v>
      </c>
      <c r="U118" s="15">
        <v>-0.57399999999999995</v>
      </c>
      <c r="V118" s="15">
        <v>-4.7E-2</v>
      </c>
      <c r="W118" s="15">
        <v>-0.221</v>
      </c>
      <c r="X118" s="15">
        <v>-0.33300000000000002</v>
      </c>
      <c r="Y118" s="15">
        <v>-0.29199999999999998</v>
      </c>
      <c r="Z118" s="15">
        <v>-0.51700000000000002</v>
      </c>
      <c r="AA118" s="15">
        <v>0.309</v>
      </c>
      <c r="AB118" s="15">
        <v>0.309</v>
      </c>
      <c r="AC118" s="15">
        <v>0.72799999999999998</v>
      </c>
      <c r="AD118" s="15">
        <v>0.68100000000000005</v>
      </c>
      <c r="AE118" s="15">
        <v>0.48499999999999999</v>
      </c>
      <c r="AF118" s="14">
        <v>0.63400000000000001</v>
      </c>
      <c r="AG118" s="110">
        <v>0.81100000000000005</v>
      </c>
      <c r="AH118" s="110">
        <v>5.3999999999999999E-2</v>
      </c>
      <c r="AI118" s="110">
        <v>-0.39800000000000002</v>
      </c>
      <c r="AJ118" s="110">
        <v>-0.49099999999999999</v>
      </c>
      <c r="AK118" s="16">
        <v>7.2999999999999995E-2</v>
      </c>
      <c r="AL118" s="111">
        <v>-0.13100000000000001</v>
      </c>
      <c r="AM118" s="111">
        <v>-0.68400000000000005</v>
      </c>
      <c r="AN118" s="4">
        <v>0.39800000000000002</v>
      </c>
      <c r="AO118" s="4">
        <v>0.61499999999999999</v>
      </c>
      <c r="AP118" s="4">
        <v>2.8000000000000001E-2</v>
      </c>
      <c r="AQ118" s="4">
        <v>-0.60799999999999998</v>
      </c>
      <c r="AR118" s="4">
        <v>0.61599999999999999</v>
      </c>
      <c r="AS118" s="4">
        <v>-0.73599999999999999</v>
      </c>
      <c r="AT118" s="4">
        <v>-0.61</v>
      </c>
      <c r="AU118" s="4">
        <v>3.5000000000000003E-2</v>
      </c>
      <c r="AV118" s="4">
        <v>9.5000000000000001E-2</v>
      </c>
      <c r="AW118" s="4">
        <v>0.44600000000000001</v>
      </c>
      <c r="AX118" s="4">
        <v>-0.39500000000000002</v>
      </c>
      <c r="AY118" s="4">
        <v>-0.503</v>
      </c>
      <c r="AZ118" s="4">
        <v>0.84</v>
      </c>
      <c r="BA118" s="4">
        <v>0.22</v>
      </c>
      <c r="BB118" s="4">
        <v>0.39300000000000002</v>
      </c>
      <c r="BC118" s="4">
        <v>0.107</v>
      </c>
      <c r="BD118" s="4">
        <v>-0.17499999999999999</v>
      </c>
      <c r="BE118" s="4">
        <v>0.54100000000000004</v>
      </c>
      <c r="BF118" s="4">
        <v>-0.125</v>
      </c>
      <c r="BG118" s="4">
        <v>-0.38600000000000001</v>
      </c>
      <c r="BH118" s="4">
        <v>0.41</v>
      </c>
      <c r="BI118" s="4">
        <v>-0.33800000000000002</v>
      </c>
      <c r="BJ118" s="4">
        <v>0.16</v>
      </c>
      <c r="BK118" s="4">
        <v>-0.80300000000000005</v>
      </c>
      <c r="BL118" s="4">
        <v>-0.442</v>
      </c>
      <c r="BM118" s="4">
        <v>0.38100000000000001</v>
      </c>
      <c r="BN118" s="4"/>
    </row>
    <row r="119" spans="1:66" x14ac:dyDescent="0.3">
      <c r="A119" t="s">
        <v>171</v>
      </c>
      <c r="B119" s="53">
        <f t="shared" si="11"/>
        <v>0</v>
      </c>
      <c r="C119" s="53">
        <f t="shared" si="12"/>
        <v>-1.3246200000000001E-3</v>
      </c>
      <c r="D119" s="53">
        <f t="shared" si="13"/>
        <v>0</v>
      </c>
      <c r="E119" s="53">
        <f t="shared" si="14"/>
        <v>1.3246200000000001E-3</v>
      </c>
      <c r="F119" s="15">
        <v>0.71</v>
      </c>
      <c r="G119">
        <v>0.91600000000000004</v>
      </c>
      <c r="H119" t="s">
        <v>57</v>
      </c>
      <c r="I119" t="str">
        <f>VLOOKUP(A119,Planilha6!$BL$9:$BN$222,2,0)</f>
        <v>banks</v>
      </c>
      <c r="J119" t="str">
        <f>VLOOKUP(A119,Planilha6!$BL$9:$BN$222,3,0)</f>
        <v>neutral_beta</v>
      </c>
      <c r="K119" s="17">
        <v>0</v>
      </c>
      <c r="L119" s="2">
        <v>-1E-3</v>
      </c>
      <c r="M119" s="5">
        <v>1.79945858521333</v>
      </c>
      <c r="N119" s="41">
        <f>VLOOKUP(A119,'Mandato LP'!$A$2:$B$215,2,0)</f>
        <v>0</v>
      </c>
      <c r="O119" s="59">
        <f t="shared" si="15"/>
        <v>0</v>
      </c>
      <c r="P119" s="42">
        <f t="shared" si="16"/>
        <v>0</v>
      </c>
      <c r="Q119" s="41">
        <f>VLOOKUP(A119,'Mandato LP'!$A$2:$C$215,3,0)</f>
        <v>0</v>
      </c>
      <c r="R119" s="42">
        <f t="shared" si="17"/>
        <v>0</v>
      </c>
      <c r="S119" s="15">
        <v>-0.68500000000000005</v>
      </c>
      <c r="T119" s="15">
        <v>-0.42899999999999999</v>
      </c>
      <c r="U119" s="15">
        <v>-0.83499999999999996</v>
      </c>
      <c r="V119" s="15">
        <v>-0.60699999999999998</v>
      </c>
      <c r="W119" s="15">
        <v>-0.58599999999999997</v>
      </c>
      <c r="X119" s="15">
        <v>-0.39400000000000002</v>
      </c>
      <c r="Y119" s="15">
        <v>-0.106</v>
      </c>
      <c r="Z119" s="15">
        <v>-0.33500000000000002</v>
      </c>
      <c r="AA119" s="15">
        <v>0.71499999999999997</v>
      </c>
      <c r="AB119" s="15">
        <v>0.71599999999999997</v>
      </c>
      <c r="AC119" s="15">
        <v>0.69499999999999995</v>
      </c>
      <c r="AD119" s="15">
        <v>0.81399999999999995</v>
      </c>
      <c r="AE119" s="15">
        <v>0.57499999999999996</v>
      </c>
      <c r="AF119" s="14">
        <v>-0.67800000000000005</v>
      </c>
      <c r="AG119" s="110">
        <v>6.0000000000000001E-3</v>
      </c>
      <c r="AH119" s="110">
        <v>-0.109</v>
      </c>
      <c r="AI119" s="110">
        <v>-0.89500000000000002</v>
      </c>
      <c r="AJ119" s="110">
        <v>-1</v>
      </c>
      <c r="AK119" s="16">
        <v>-1</v>
      </c>
      <c r="AL119" s="111">
        <v>-0.159</v>
      </c>
      <c r="AM119" s="111">
        <v>-7.1999999999999995E-2</v>
      </c>
      <c r="AN119" s="4">
        <v>4.5999999999999999E-2</v>
      </c>
      <c r="AO119" s="4">
        <v>1.7000000000000001E-2</v>
      </c>
      <c r="AP119" s="4">
        <v>5.5E-2</v>
      </c>
      <c r="AQ119" s="4">
        <v>-0.27</v>
      </c>
      <c r="AR119" s="4">
        <v>0.107</v>
      </c>
      <c r="AS119" s="4">
        <v>0.19900000000000001</v>
      </c>
      <c r="AT119" s="4">
        <v>0.51600000000000001</v>
      </c>
      <c r="AU119" s="4">
        <v>-5.3999999999999999E-2</v>
      </c>
      <c r="AV119" s="4">
        <v>-0.11600000000000001</v>
      </c>
      <c r="AW119" s="4">
        <v>-0.47599999999999998</v>
      </c>
      <c r="AX119" s="4">
        <v>0.33200000000000002</v>
      </c>
      <c r="AY119" s="4">
        <v>-0.46899999999999997</v>
      </c>
      <c r="AZ119" s="4">
        <v>0.32900000000000001</v>
      </c>
      <c r="BA119" s="4">
        <v>-0.217</v>
      </c>
      <c r="BB119" s="4">
        <v>0.47299999999999998</v>
      </c>
      <c r="BC119" s="4">
        <v>-0.14000000000000001</v>
      </c>
      <c r="BD119" s="4">
        <v>-0.23</v>
      </c>
      <c r="BE119" s="4">
        <v>0.123</v>
      </c>
      <c r="BF119" s="4">
        <v>0.19800000000000001</v>
      </c>
      <c r="BG119" s="4">
        <v>-0.32200000000000001</v>
      </c>
      <c r="BH119" s="4">
        <v>0.89100000000000001</v>
      </c>
      <c r="BI119" s="4">
        <v>-0.30499999999999999</v>
      </c>
      <c r="BJ119" s="4">
        <v>-1.2999999999999999E-2</v>
      </c>
      <c r="BK119" s="4">
        <v>0.14099999999999999</v>
      </c>
      <c r="BL119" s="4">
        <v>-0.56899999999999995</v>
      </c>
      <c r="BM119" s="4">
        <v>-2.7E-2</v>
      </c>
      <c r="BN119" s="4"/>
    </row>
    <row r="120" spans="1:66" x14ac:dyDescent="0.3">
      <c r="A120" t="s">
        <v>120</v>
      </c>
      <c r="B120" s="53">
        <f t="shared" si="11"/>
        <v>0</v>
      </c>
      <c r="C120" s="53">
        <f t="shared" si="12"/>
        <v>-9.0717E-4</v>
      </c>
      <c r="D120" s="53">
        <f t="shared" si="13"/>
        <v>0</v>
      </c>
      <c r="E120" s="53">
        <f t="shared" si="14"/>
        <v>9.0717E-4</v>
      </c>
      <c r="F120" s="15">
        <v>0.7</v>
      </c>
      <c r="G120">
        <v>0.83199999999999996</v>
      </c>
      <c r="H120" t="s">
        <v>71</v>
      </c>
      <c r="I120" t="str">
        <f>VLOOKUP(A120,Planilha6!$BL$9:$BN$222,2,0)</f>
        <v>basic_materials</v>
      </c>
      <c r="J120" t="str">
        <f>VLOOKUP(A120,Planilha6!$BL$9:$BN$222,3,0)</f>
        <v>neutral_beta</v>
      </c>
      <c r="K120" s="17">
        <v>0</v>
      </c>
      <c r="L120" s="2">
        <v>-1E-3</v>
      </c>
      <c r="M120" s="5">
        <v>0.76750218756999999</v>
      </c>
      <c r="N120" s="41">
        <f>VLOOKUP(A120,'Mandato LP'!$A$2:$B$215,2,0)</f>
        <v>0</v>
      </c>
      <c r="O120" s="59">
        <f t="shared" si="15"/>
        <v>0</v>
      </c>
      <c r="P120" s="42">
        <f t="shared" si="16"/>
        <v>0</v>
      </c>
      <c r="Q120" s="41">
        <f>VLOOKUP(A120,'Mandato LP'!$A$2:$C$215,3,0)</f>
        <v>0</v>
      </c>
      <c r="R120" s="42">
        <f t="shared" si="17"/>
        <v>0</v>
      </c>
      <c r="S120" s="15">
        <v>-0.79</v>
      </c>
      <c r="T120" s="15">
        <v>-0.41899999999999998</v>
      </c>
      <c r="U120" s="15">
        <v>-0.88600000000000001</v>
      </c>
      <c r="V120" s="15">
        <v>-0.66100000000000003</v>
      </c>
      <c r="W120" s="15">
        <v>-0.59299999999999997</v>
      </c>
      <c r="X120" s="15">
        <v>-0.50600000000000001</v>
      </c>
      <c r="Y120" s="15">
        <v>-0.50800000000000001</v>
      </c>
      <c r="Z120" s="15">
        <v>-0.223</v>
      </c>
      <c r="AA120" s="15">
        <v>0.94799999999999995</v>
      </c>
      <c r="AB120" s="15">
        <v>0.95199999999999996</v>
      </c>
      <c r="AC120" s="15">
        <v>0.59799999999999998</v>
      </c>
      <c r="AD120" s="15">
        <v>0.73899999999999999</v>
      </c>
      <c r="AE120" s="15">
        <v>0.64</v>
      </c>
      <c r="AF120" s="14">
        <v>-0.53</v>
      </c>
      <c r="AG120" s="110">
        <v>-0.71199999999999997</v>
      </c>
      <c r="AH120" s="110">
        <v>1</v>
      </c>
      <c r="AI120" s="110">
        <v>-0.35299999999999998</v>
      </c>
      <c r="AJ120" s="110">
        <v>-0.67700000000000005</v>
      </c>
      <c r="AK120" s="16">
        <v>-0.84599999999999997</v>
      </c>
      <c r="AL120" s="111">
        <v>0.41799999999999998</v>
      </c>
      <c r="AM120" s="111">
        <v>1.2E-2</v>
      </c>
      <c r="AN120" s="4">
        <v>0.68799999999999994</v>
      </c>
      <c r="AO120" s="4">
        <v>-0.63200000000000001</v>
      </c>
      <c r="AP120" s="4">
        <v>0.159</v>
      </c>
      <c r="AQ120" s="4">
        <v>-0.44500000000000001</v>
      </c>
      <c r="AR120" s="4">
        <v>-0.95199999999999996</v>
      </c>
      <c r="AS120" s="4">
        <v>-0.98599999999999999</v>
      </c>
      <c r="AT120" s="4">
        <v>-0.66500000000000004</v>
      </c>
      <c r="AU120" s="4">
        <v>0.121</v>
      </c>
      <c r="AV120" s="4">
        <v>-0.38400000000000001</v>
      </c>
      <c r="AW120" s="4">
        <v>-0.441</v>
      </c>
      <c r="AX120" s="4">
        <v>0.42299999999999999</v>
      </c>
      <c r="AY120" s="4">
        <v>-5.3999999999999999E-2</v>
      </c>
      <c r="AZ120" s="4">
        <v>0.86399999999999999</v>
      </c>
      <c r="BA120" s="4">
        <v>-2.5000000000000001E-2</v>
      </c>
      <c r="BB120" s="4">
        <v>0.23899999999999999</v>
      </c>
      <c r="BC120" s="4">
        <v>0.14299999999999999</v>
      </c>
      <c r="BD120" s="4">
        <v>-9.9000000000000005E-2</v>
      </c>
      <c r="BE120" s="4">
        <v>0.35399999999999998</v>
      </c>
      <c r="BF120" s="4">
        <v>-0.45300000000000001</v>
      </c>
      <c r="BG120" s="4">
        <v>-0.36699999999999999</v>
      </c>
      <c r="BH120" s="4">
        <v>0.57999999999999996</v>
      </c>
      <c r="BI120" s="4">
        <v>-0.27500000000000002</v>
      </c>
      <c r="BJ120" s="4">
        <v>-0.314</v>
      </c>
      <c r="BK120" s="4">
        <v>-0.19900000000000001</v>
      </c>
      <c r="BL120" s="4">
        <v>-2.9000000000000001E-2</v>
      </c>
      <c r="BM120" s="4">
        <v>0.22500000000000001</v>
      </c>
      <c r="BN120" s="4"/>
    </row>
    <row r="121" spans="1:66" x14ac:dyDescent="0.3">
      <c r="A121" t="s">
        <v>173</v>
      </c>
      <c r="B121" s="53">
        <f t="shared" si="11"/>
        <v>0</v>
      </c>
      <c r="C121" s="53">
        <f t="shared" si="12"/>
        <v>-1.993408E-2</v>
      </c>
      <c r="D121" s="53">
        <f t="shared" si="13"/>
        <v>0</v>
      </c>
      <c r="E121" s="53">
        <f t="shared" si="14"/>
        <v>1.993408E-2</v>
      </c>
      <c r="F121" s="15">
        <v>0.68400000000000005</v>
      </c>
      <c r="G121">
        <v>1.2969999999999999</v>
      </c>
      <c r="H121" t="s">
        <v>55</v>
      </c>
      <c r="I121" t="str">
        <f>VLOOKUP(A121,Planilha6!$BL$9:$BN$222,2,0)</f>
        <v>utilities</v>
      </c>
      <c r="J121" t="str">
        <f>VLOOKUP(A121,Planilha6!$BL$9:$BN$222,3,0)</f>
        <v>low_beta</v>
      </c>
      <c r="K121" s="17">
        <v>0</v>
      </c>
      <c r="L121" s="2">
        <v>-0.02</v>
      </c>
      <c r="M121" s="5">
        <v>2.3043586269066698</v>
      </c>
      <c r="N121" s="41">
        <f>VLOOKUP(A121,'Mandato LP'!$A$2:$B$215,2,0)</f>
        <v>0</v>
      </c>
      <c r="O121" s="59">
        <f t="shared" si="15"/>
        <v>0</v>
      </c>
      <c r="P121" s="42">
        <f t="shared" si="16"/>
        <v>0</v>
      </c>
      <c r="Q121" s="41">
        <f>VLOOKUP(A121,'Mandato LP'!$A$2:$C$215,3,0)</f>
        <v>0</v>
      </c>
      <c r="R121" s="42">
        <f t="shared" si="17"/>
        <v>0</v>
      </c>
      <c r="S121" s="15">
        <v>-0.83899999999999997</v>
      </c>
      <c r="T121" s="15">
        <v>-0.122</v>
      </c>
      <c r="U121" s="15">
        <v>-0.88400000000000001</v>
      </c>
      <c r="V121" s="15">
        <v>-0.76400000000000001</v>
      </c>
      <c r="W121" s="15">
        <v>-0.54200000000000004</v>
      </c>
      <c r="X121" s="15">
        <v>-0.47299999999999998</v>
      </c>
      <c r="Y121" s="15">
        <v>-0.08</v>
      </c>
      <c r="Z121" s="15">
        <v>-3.9E-2</v>
      </c>
      <c r="AA121" s="15">
        <v>0.51</v>
      </c>
      <c r="AB121" s="15">
        <v>0.51500000000000001</v>
      </c>
      <c r="AC121" s="15">
        <v>0.59499999999999997</v>
      </c>
      <c r="AD121" s="15">
        <v>0.57099999999999995</v>
      </c>
      <c r="AE121" s="15">
        <v>0.41499999999999998</v>
      </c>
      <c r="AF121" s="14">
        <v>-0.87</v>
      </c>
      <c r="AG121" s="110">
        <v>-0.81399999999999995</v>
      </c>
      <c r="AH121" s="110">
        <v>-0.17699999999999999</v>
      </c>
      <c r="AI121" s="110">
        <v>-0.96899999999999997</v>
      </c>
      <c r="AJ121" s="110">
        <v>-0.70099999999999996</v>
      </c>
      <c r="AK121" s="16">
        <v>-0.999</v>
      </c>
      <c r="AL121" s="111">
        <v>-0.377</v>
      </c>
      <c r="AM121" s="111">
        <v>-0.26800000000000002</v>
      </c>
      <c r="AN121" s="4">
        <v>-0.70399999999999996</v>
      </c>
      <c r="AO121" s="4">
        <v>-0.48799999999999999</v>
      </c>
      <c r="AP121" s="4">
        <v>0.34499999999999997</v>
      </c>
      <c r="AQ121" s="4">
        <v>0.55300000000000005</v>
      </c>
      <c r="AR121" s="4">
        <v>-8.5999999999999993E-2</v>
      </c>
      <c r="AS121" s="4">
        <v>-0.189</v>
      </c>
      <c r="AT121" s="4">
        <v>-0.41499999999999998</v>
      </c>
      <c r="AU121" s="4">
        <v>0.14299999999999999</v>
      </c>
      <c r="AV121" s="4">
        <v>0.36899999999999999</v>
      </c>
      <c r="AW121" s="4">
        <v>-0.42399999999999999</v>
      </c>
      <c r="AX121" s="4">
        <v>0.75</v>
      </c>
      <c r="AY121" s="4">
        <v>-0.66400000000000003</v>
      </c>
      <c r="AZ121" s="4">
        <v>0.83499999999999996</v>
      </c>
      <c r="BA121" s="4">
        <v>1</v>
      </c>
      <c r="BB121" s="4">
        <v>-0.28000000000000003</v>
      </c>
      <c r="BC121" s="4">
        <v>-0.47299999999999998</v>
      </c>
      <c r="BD121" s="4">
        <v>-0.71799999999999997</v>
      </c>
      <c r="BE121" s="4">
        <v>5.6000000000000001E-2</v>
      </c>
      <c r="BF121" s="4">
        <v>-0.58499999999999996</v>
      </c>
      <c r="BG121" s="4">
        <v>0.17100000000000001</v>
      </c>
      <c r="BH121" s="4">
        <v>0.68799999999999994</v>
      </c>
      <c r="BI121" s="4">
        <v>-0.36199999999999999</v>
      </c>
      <c r="BJ121" s="4">
        <v>-0.13</v>
      </c>
      <c r="BK121" s="4">
        <v>0.20300000000000001</v>
      </c>
      <c r="BL121" s="4">
        <v>-0.38100000000000001</v>
      </c>
      <c r="BM121" s="4">
        <v>-0.879</v>
      </c>
      <c r="BN121" s="4"/>
    </row>
    <row r="122" spans="1:66" x14ac:dyDescent="0.3">
      <c r="A122" t="s">
        <v>211</v>
      </c>
      <c r="B122" s="53">
        <f t="shared" si="11"/>
        <v>0</v>
      </c>
      <c r="C122" s="53">
        <f t="shared" si="12"/>
        <v>-1.018347E-2</v>
      </c>
      <c r="D122" s="53">
        <f t="shared" si="13"/>
        <v>0</v>
      </c>
      <c r="E122" s="53">
        <f t="shared" si="14"/>
        <v>1.018347E-2</v>
      </c>
      <c r="F122" s="15">
        <v>0.68300000000000005</v>
      </c>
      <c r="G122">
        <v>1.1060000000000001</v>
      </c>
      <c r="H122" t="s">
        <v>57</v>
      </c>
      <c r="I122" t="str">
        <f>VLOOKUP(A122,Planilha6!$BL$9:$BN$222,2,0)</f>
        <v>banks</v>
      </c>
      <c r="J122" t="str">
        <f>VLOOKUP(A122,Planilha6!$BL$9:$BN$222,3,0)</f>
        <v>very_high_beta</v>
      </c>
      <c r="K122" s="17">
        <v>0</v>
      </c>
      <c r="L122" s="2">
        <v>-0.01</v>
      </c>
      <c r="M122" s="5">
        <v>0.96210772099999997</v>
      </c>
      <c r="N122" s="41">
        <f>VLOOKUP(A122,'Mandato LP'!$A$2:$B$215,2,0)</f>
        <v>0</v>
      </c>
      <c r="O122" s="59">
        <f t="shared" si="15"/>
        <v>0</v>
      </c>
      <c r="P122" s="42">
        <f t="shared" si="16"/>
        <v>0</v>
      </c>
      <c r="Q122" s="41">
        <f>VLOOKUP(A122,'Mandato LP'!$A$2:$C$215,3,0)</f>
        <v>0</v>
      </c>
      <c r="R122" s="42">
        <f t="shared" si="17"/>
        <v>0</v>
      </c>
      <c r="S122" s="15">
        <v>-0.54600000000000004</v>
      </c>
      <c r="T122" s="15">
        <v>-6.2E-2</v>
      </c>
      <c r="U122" s="15">
        <v>-0.77700000000000002</v>
      </c>
      <c r="V122" s="15">
        <v>-0.438</v>
      </c>
      <c r="W122" s="15">
        <v>-0.36399999999999999</v>
      </c>
      <c r="X122" s="15">
        <v>-0.375</v>
      </c>
      <c r="Y122" s="15">
        <v>-0.28100000000000003</v>
      </c>
      <c r="Z122" s="15">
        <v>-0.40400000000000003</v>
      </c>
      <c r="AA122" s="15">
        <v>0.33900000000000002</v>
      </c>
      <c r="AB122" s="15">
        <v>0.34200000000000003</v>
      </c>
      <c r="AC122" s="15">
        <v>0.70699999999999996</v>
      </c>
      <c r="AD122" s="15">
        <v>0.748</v>
      </c>
      <c r="AE122" s="15">
        <v>0.45400000000000001</v>
      </c>
      <c r="AF122" s="14">
        <v>-0.46100000000000002</v>
      </c>
      <c r="AG122" s="110">
        <v>-0.127</v>
      </c>
      <c r="AH122" s="110">
        <v>-0.11899999999999999</v>
      </c>
      <c r="AI122" s="110">
        <v>-1</v>
      </c>
      <c r="AJ122" s="110">
        <v>-0.86299999999999999</v>
      </c>
      <c r="AK122" s="16">
        <v>-0.72599999999999998</v>
      </c>
      <c r="AL122" s="111">
        <v>-0.16</v>
      </c>
      <c r="AM122" s="111">
        <v>-0.69</v>
      </c>
      <c r="AN122" s="4">
        <v>-0.70599999999999996</v>
      </c>
      <c r="AO122" s="4">
        <v>-0.08</v>
      </c>
      <c r="AP122" s="4">
        <v>0.26700000000000002</v>
      </c>
      <c r="AQ122" s="4">
        <v>0.308</v>
      </c>
      <c r="AR122" s="4">
        <v>0.621</v>
      </c>
      <c r="AS122" s="4">
        <v>0.26800000000000002</v>
      </c>
      <c r="AT122" s="4">
        <v>0.20499999999999999</v>
      </c>
      <c r="AU122" s="4">
        <v>1.4E-2</v>
      </c>
      <c r="AV122" s="4">
        <v>0.122</v>
      </c>
      <c r="AW122" s="4">
        <v>0.17699999999999999</v>
      </c>
      <c r="AX122" s="4">
        <v>3.5000000000000003E-2</v>
      </c>
      <c r="AY122" s="4">
        <v>-0.434</v>
      </c>
      <c r="AZ122" s="4">
        <v>0.33300000000000002</v>
      </c>
      <c r="BA122" s="4">
        <v>1</v>
      </c>
      <c r="BB122" s="4">
        <v>0.16500000000000001</v>
      </c>
      <c r="BC122" s="4">
        <v>-0.55200000000000005</v>
      </c>
      <c r="BD122" s="4">
        <v>-0.05</v>
      </c>
      <c r="BE122" s="4">
        <v>0.435</v>
      </c>
      <c r="BF122" s="4">
        <v>-0.36399999999999999</v>
      </c>
      <c r="BG122" s="4">
        <v>-0.22700000000000001</v>
      </c>
      <c r="BH122" s="4">
        <v>0.45500000000000002</v>
      </c>
      <c r="BI122" s="4">
        <v>-0.73899999999999999</v>
      </c>
      <c r="BJ122" s="4">
        <v>0.31900000000000001</v>
      </c>
      <c r="BK122" s="4">
        <v>-0.14599999999999999</v>
      </c>
      <c r="BL122" s="4">
        <v>-0.82</v>
      </c>
      <c r="BM122" s="4">
        <v>-0.20200000000000001</v>
      </c>
      <c r="BN122" s="4"/>
    </row>
    <row r="123" spans="1:66" x14ac:dyDescent="0.3">
      <c r="A123" t="s">
        <v>133</v>
      </c>
      <c r="B123" s="53">
        <f t="shared" si="11"/>
        <v>0</v>
      </c>
      <c r="C123" s="53">
        <f t="shared" si="12"/>
        <v>0</v>
      </c>
      <c r="D123" s="53">
        <f t="shared" si="13"/>
        <v>0</v>
      </c>
      <c r="E123" s="53">
        <f t="shared" si="14"/>
        <v>0</v>
      </c>
      <c r="F123" s="15">
        <v>0.67600000000000005</v>
      </c>
      <c r="G123">
        <v>0.81499999999999995</v>
      </c>
      <c r="H123" t="s">
        <v>68</v>
      </c>
      <c r="I123" t="str">
        <f>VLOOKUP(A123,Planilha6!$BL$9:$BN$222,2,0)</f>
        <v>capital_goods</v>
      </c>
      <c r="J123" t="str">
        <f>VLOOKUP(A123,Planilha6!$BL$9:$BN$222,3,0)</f>
        <v>very_low_beta</v>
      </c>
      <c r="K123" s="17">
        <v>0</v>
      </c>
      <c r="L123" s="2">
        <v>0</v>
      </c>
      <c r="M123" s="5">
        <v>0.699968253973</v>
      </c>
      <c r="N123" s="41">
        <f>VLOOKUP(A123,'Mandato LP'!$A$2:$B$215,2,0)</f>
        <v>0</v>
      </c>
      <c r="O123" s="59">
        <f t="shared" si="15"/>
        <v>0</v>
      </c>
      <c r="P123" s="42">
        <f t="shared" si="16"/>
        <v>0</v>
      </c>
      <c r="Q123" s="41">
        <f>VLOOKUP(A123,'Mandato LP'!$A$2:$C$215,3,0)</f>
        <v>0</v>
      </c>
      <c r="R123" s="42">
        <f t="shared" si="17"/>
        <v>0</v>
      </c>
      <c r="S123" s="15">
        <v>-0.52500000000000002</v>
      </c>
      <c r="T123" s="15">
        <v>-0.59699999999999998</v>
      </c>
      <c r="U123" s="15">
        <v>-0.25</v>
      </c>
      <c r="V123" s="15">
        <v>-0.72399999999999998</v>
      </c>
      <c r="W123" s="15">
        <v>-0.61399999999999999</v>
      </c>
      <c r="X123" s="15">
        <v>-0.52300000000000002</v>
      </c>
      <c r="Y123" s="15">
        <v>-0.24299999999999999</v>
      </c>
      <c r="Z123" s="15">
        <v>-0.38600000000000001</v>
      </c>
      <c r="AA123" s="15">
        <v>0.46100000000000002</v>
      </c>
      <c r="AB123" s="15">
        <v>0.46200000000000002</v>
      </c>
      <c r="AC123" s="15">
        <v>0.501</v>
      </c>
      <c r="AD123" s="15">
        <v>0.47899999999999998</v>
      </c>
      <c r="AE123" s="15">
        <v>0.56000000000000005</v>
      </c>
      <c r="AF123" s="14">
        <v>-0.504</v>
      </c>
      <c r="AG123" s="110">
        <v>-0.72699999999999998</v>
      </c>
      <c r="AH123" s="110">
        <v>-0.16900000000000001</v>
      </c>
      <c r="AI123" s="110">
        <v>0.71399999999999997</v>
      </c>
      <c r="AJ123" s="110">
        <v>0.436</v>
      </c>
      <c r="AK123" s="16">
        <v>-0.29499999999999998</v>
      </c>
      <c r="AL123" s="111">
        <v>-0.17399999999999999</v>
      </c>
      <c r="AM123" s="111">
        <v>0.13100000000000001</v>
      </c>
      <c r="AN123" s="4">
        <v>0.246</v>
      </c>
      <c r="AO123" s="4">
        <v>6.3E-2</v>
      </c>
      <c r="AP123" s="4">
        <v>-0.29399999999999998</v>
      </c>
      <c r="AQ123" s="4">
        <v>-0.44800000000000001</v>
      </c>
      <c r="AR123" s="4">
        <v>-0.40500000000000003</v>
      </c>
      <c r="AS123" s="4">
        <v>-0.67200000000000004</v>
      </c>
      <c r="AT123" s="4">
        <v>-0.88100000000000001</v>
      </c>
      <c r="AU123" s="4">
        <v>-2E-3</v>
      </c>
      <c r="AV123" s="4">
        <v>-0.30399999999999999</v>
      </c>
      <c r="AW123" s="4">
        <v>-0.32300000000000001</v>
      </c>
      <c r="AX123" s="4">
        <v>0.66400000000000003</v>
      </c>
      <c r="AY123" s="4">
        <v>-0.152</v>
      </c>
      <c r="AZ123" s="4">
        <v>0.85099999999999998</v>
      </c>
      <c r="BA123" s="4">
        <v>-0.79600000000000004</v>
      </c>
      <c r="BB123" s="4">
        <v>0.83299999999999996</v>
      </c>
      <c r="BC123" s="4">
        <v>-8.6999999999999994E-2</v>
      </c>
      <c r="BD123" s="4">
        <v>-0.378</v>
      </c>
      <c r="BE123" s="4">
        <v>-9.5000000000000001E-2</v>
      </c>
      <c r="BF123" s="4">
        <v>1</v>
      </c>
      <c r="BG123" s="4">
        <v>0.97</v>
      </c>
      <c r="BH123" s="4">
        <v>0.79100000000000004</v>
      </c>
      <c r="BI123" s="4">
        <v>0.21099999999999999</v>
      </c>
      <c r="BJ123" s="4">
        <v>-0.06</v>
      </c>
      <c r="BK123" s="4">
        <v>0.82199999999999995</v>
      </c>
      <c r="BL123" s="4">
        <v>0.64800000000000002</v>
      </c>
      <c r="BM123" s="4">
        <v>-0.13900000000000001</v>
      </c>
      <c r="BN123" s="4"/>
    </row>
    <row r="124" spans="1:66" x14ac:dyDescent="0.3">
      <c r="A124" t="s">
        <v>204</v>
      </c>
      <c r="B124" s="53">
        <f t="shared" si="11"/>
        <v>0</v>
      </c>
      <c r="C124" s="53">
        <f t="shared" si="12"/>
        <v>-1.2053909999999999E-2</v>
      </c>
      <c r="D124" s="53">
        <f t="shared" si="13"/>
        <v>0</v>
      </c>
      <c r="E124" s="53">
        <f t="shared" si="14"/>
        <v>1.2053909999999999E-2</v>
      </c>
      <c r="F124" s="15">
        <v>0.65500000000000003</v>
      </c>
      <c r="G124">
        <v>1.149</v>
      </c>
      <c r="H124" t="s">
        <v>55</v>
      </c>
      <c r="I124" t="str">
        <f>VLOOKUP(A124,Planilha6!$BL$9:$BN$222,2,0)</f>
        <v>utilities</v>
      </c>
      <c r="J124" t="str">
        <f>VLOOKUP(A124,Planilha6!$BL$9:$BN$222,3,0)</f>
        <v>low_beta</v>
      </c>
      <c r="K124" s="17">
        <v>0</v>
      </c>
      <c r="L124" s="2">
        <v>-1.2E-2</v>
      </c>
      <c r="M124" s="5">
        <v>3.2432490081366701</v>
      </c>
      <c r="N124" s="41">
        <f>VLOOKUP(A124,'Mandato LP'!$A$2:$B$215,2,0)</f>
        <v>0</v>
      </c>
      <c r="O124" s="59">
        <f t="shared" si="15"/>
        <v>0</v>
      </c>
      <c r="P124" s="42">
        <f t="shared" si="16"/>
        <v>0</v>
      </c>
      <c r="Q124" s="41">
        <f>VLOOKUP(A124,'Mandato LP'!$A$2:$C$215,3,0)</f>
        <v>1.7606779285380798E-2</v>
      </c>
      <c r="R124" s="42">
        <f t="shared" si="17"/>
        <v>-1.7606779285380798E-2</v>
      </c>
      <c r="S124" s="15">
        <v>-0.77300000000000002</v>
      </c>
      <c r="T124" s="15">
        <v>-0.22</v>
      </c>
      <c r="U124" s="15">
        <v>-0.94499999999999995</v>
      </c>
      <c r="V124" s="15">
        <v>-0.57099999999999995</v>
      </c>
      <c r="W124" s="15">
        <v>-0.58199999999999996</v>
      </c>
      <c r="X124" s="15">
        <v>-0.39900000000000002</v>
      </c>
      <c r="Y124" s="15">
        <v>-5.6000000000000001E-2</v>
      </c>
      <c r="Z124" s="15">
        <v>-0.437</v>
      </c>
      <c r="AA124" s="15">
        <v>0.56499999999999995</v>
      </c>
      <c r="AB124" s="15">
        <v>0.57299999999999995</v>
      </c>
      <c r="AC124" s="15">
        <v>0.60199999999999998</v>
      </c>
      <c r="AD124" s="15">
        <v>0.72199999999999998</v>
      </c>
      <c r="AE124" s="15">
        <v>0.51900000000000002</v>
      </c>
      <c r="AF124" s="14">
        <v>-0.77200000000000002</v>
      </c>
      <c r="AG124" s="110">
        <v>-0.442</v>
      </c>
      <c r="AH124" s="110">
        <v>0.21</v>
      </c>
      <c r="AI124" s="110">
        <v>-1</v>
      </c>
      <c r="AJ124" s="110">
        <v>-0.68500000000000005</v>
      </c>
      <c r="AK124" s="16">
        <v>-0.95599999999999996</v>
      </c>
      <c r="AL124" s="111">
        <v>-0.45900000000000002</v>
      </c>
      <c r="AM124" s="111">
        <v>-0.57399999999999995</v>
      </c>
      <c r="AN124" s="4">
        <v>-0.73599999999999999</v>
      </c>
      <c r="AO124" s="4">
        <v>-9.6000000000000002E-2</v>
      </c>
      <c r="AP124" s="4">
        <v>0.58499999999999996</v>
      </c>
      <c r="AQ124" s="4">
        <v>0.88500000000000001</v>
      </c>
      <c r="AR124" s="4">
        <v>0.432</v>
      </c>
      <c r="AS124" s="4">
        <v>0.32</v>
      </c>
      <c r="AT124" s="4">
        <v>0.35299999999999998</v>
      </c>
      <c r="AU124" s="4">
        <v>0.30499999999999999</v>
      </c>
      <c r="AV124" s="4">
        <v>9.0999999999999998E-2</v>
      </c>
      <c r="AW124" s="4">
        <v>-0.19600000000000001</v>
      </c>
      <c r="AX124" s="4">
        <v>0.51100000000000001</v>
      </c>
      <c r="AY124" s="4">
        <v>-0.47799999999999998</v>
      </c>
      <c r="AZ124" s="4">
        <v>0.77600000000000002</v>
      </c>
      <c r="BA124" s="4">
        <v>-0.379</v>
      </c>
      <c r="BB124" s="4">
        <v>0.375</v>
      </c>
      <c r="BC124" s="4">
        <v>-0.54800000000000004</v>
      </c>
      <c r="BD124" s="4">
        <v>-0.73099999999999998</v>
      </c>
      <c r="BE124" s="4">
        <v>-9.6000000000000002E-2</v>
      </c>
      <c r="BF124" s="4">
        <v>-0.434</v>
      </c>
      <c r="BG124" s="4">
        <v>0.245</v>
      </c>
      <c r="BH124" s="4">
        <v>0.749</v>
      </c>
      <c r="BI124" s="4">
        <v>-0.96899999999999997</v>
      </c>
      <c r="BJ124" s="4">
        <v>-0.24399999999999999</v>
      </c>
      <c r="BK124" s="4">
        <v>-0.33</v>
      </c>
      <c r="BL124" s="4">
        <v>-0.79300000000000004</v>
      </c>
      <c r="BM124" s="4">
        <v>-5.0000000000000001E-3</v>
      </c>
      <c r="BN124" s="4"/>
    </row>
    <row r="125" spans="1:66" x14ac:dyDescent="0.3">
      <c r="A125" t="s">
        <v>98</v>
      </c>
      <c r="B125" s="53">
        <f t="shared" si="11"/>
        <v>0</v>
      </c>
      <c r="C125" s="53">
        <f t="shared" si="12"/>
        <v>-4.3630400000000003E-3</v>
      </c>
      <c r="D125" s="53">
        <f t="shared" si="13"/>
        <v>0</v>
      </c>
      <c r="E125" s="53">
        <f t="shared" si="14"/>
        <v>4.3630400000000003E-3</v>
      </c>
      <c r="F125" s="15">
        <v>0.65400000000000003</v>
      </c>
      <c r="G125">
        <v>0.69499999999999995</v>
      </c>
      <c r="H125" t="s">
        <v>68</v>
      </c>
      <c r="I125" t="str">
        <f>VLOOKUP(A125,Planilha6!$BL$9:$BN$222,2,0)</f>
        <v>chemicals</v>
      </c>
      <c r="J125" t="str">
        <f>VLOOKUP(A125,Planilha6!$BL$9:$BN$222,3,0)</f>
        <v>neutral_beta</v>
      </c>
      <c r="K125" s="17">
        <v>0</v>
      </c>
      <c r="L125" s="2">
        <v>-4.0000000000000001E-3</v>
      </c>
      <c r="M125" s="5">
        <v>6.7260909780266704</v>
      </c>
      <c r="N125" s="41">
        <f>VLOOKUP(A125,'Mandato LP'!$A$2:$B$215,2,0)</f>
        <v>0</v>
      </c>
      <c r="O125" s="59">
        <f t="shared" si="15"/>
        <v>0</v>
      </c>
      <c r="P125" s="42">
        <f t="shared" si="16"/>
        <v>0</v>
      </c>
      <c r="Q125" s="41">
        <f>VLOOKUP(A125,'Mandato LP'!$A$2:$C$215,3,0)</f>
        <v>0</v>
      </c>
      <c r="R125" s="42">
        <f t="shared" si="17"/>
        <v>0</v>
      </c>
      <c r="S125" s="15">
        <v>-0.85299999999999998</v>
      </c>
      <c r="T125" s="15">
        <v>-0.57499999999999996</v>
      </c>
      <c r="U125" s="15">
        <v>-0.80600000000000005</v>
      </c>
      <c r="V125" s="15">
        <v>-0.79</v>
      </c>
      <c r="W125" s="15">
        <v>-0.64400000000000002</v>
      </c>
      <c r="X125" s="15">
        <v>-0.61</v>
      </c>
      <c r="Y125" s="15">
        <v>-0.32200000000000001</v>
      </c>
      <c r="Z125" s="15">
        <v>8.7999999999999995E-2</v>
      </c>
      <c r="AA125" s="15">
        <v>0.56200000000000006</v>
      </c>
      <c r="AB125" s="15">
        <v>0.56200000000000006</v>
      </c>
      <c r="AC125" s="15">
        <v>0.46700000000000003</v>
      </c>
      <c r="AD125" s="15">
        <v>0.42199999999999999</v>
      </c>
      <c r="AE125" s="15">
        <v>0.36599999999999999</v>
      </c>
      <c r="AF125" s="14">
        <v>-0.58799999999999997</v>
      </c>
      <c r="AG125" s="110">
        <v>-0.81299999999999994</v>
      </c>
      <c r="AH125" s="110">
        <v>-0.72199999999999998</v>
      </c>
      <c r="AI125" s="110">
        <v>-0.43099999999999999</v>
      </c>
      <c r="AJ125" s="110">
        <v>-0.51500000000000001</v>
      </c>
      <c r="AK125" s="16">
        <v>-0.82699999999999996</v>
      </c>
      <c r="AL125" s="111">
        <v>-0.108</v>
      </c>
      <c r="AM125" s="111">
        <v>0.72</v>
      </c>
      <c r="AN125" s="4">
        <v>-0.60699999999999998</v>
      </c>
      <c r="AO125" s="4">
        <v>-0.217</v>
      </c>
      <c r="AP125" s="4">
        <v>-0.214</v>
      </c>
      <c r="AQ125" s="4">
        <v>0.185</v>
      </c>
      <c r="AR125" s="4">
        <v>-0.51600000000000001</v>
      </c>
      <c r="AS125" s="4">
        <v>-0.309</v>
      </c>
      <c r="AT125" s="4">
        <v>-0.23400000000000001</v>
      </c>
      <c r="AU125" s="4">
        <v>0.27400000000000002</v>
      </c>
      <c r="AV125" s="4">
        <v>-0.14799999999999999</v>
      </c>
      <c r="AW125" s="4">
        <v>-0.39700000000000002</v>
      </c>
      <c r="AX125" s="4">
        <v>0.48099999999999998</v>
      </c>
      <c r="AY125" s="4">
        <v>-0.20499999999999999</v>
      </c>
      <c r="AZ125" s="4">
        <v>0.755</v>
      </c>
      <c r="BA125" s="4">
        <v>0.57399999999999995</v>
      </c>
      <c r="BB125" s="4">
        <v>-1</v>
      </c>
      <c r="BC125" s="4">
        <v>-1.9E-2</v>
      </c>
      <c r="BD125" s="4">
        <v>-0.46700000000000003</v>
      </c>
      <c r="BE125" s="4">
        <v>-0.26400000000000001</v>
      </c>
      <c r="BF125" s="4">
        <v>0.69</v>
      </c>
      <c r="BG125" s="4">
        <v>0.92100000000000004</v>
      </c>
      <c r="BH125" s="4">
        <v>0.57499999999999996</v>
      </c>
      <c r="BI125" s="4">
        <v>-0.41099999999999998</v>
      </c>
      <c r="BJ125" s="4">
        <v>0.02</v>
      </c>
      <c r="BK125" s="4">
        <v>0.34100000000000003</v>
      </c>
      <c r="BL125" s="4">
        <v>-0.13900000000000001</v>
      </c>
      <c r="BM125" s="4">
        <v>0.90800000000000003</v>
      </c>
      <c r="BN125" s="4"/>
    </row>
    <row r="126" spans="1:66" x14ac:dyDescent="0.3">
      <c r="A126" t="s">
        <v>192</v>
      </c>
      <c r="B126" s="53">
        <f t="shared" si="11"/>
        <v>0</v>
      </c>
      <c r="C126" s="53">
        <f t="shared" si="12"/>
        <v>-3.6433609999999998E-2</v>
      </c>
      <c r="D126" s="53">
        <f t="shared" si="13"/>
        <v>0</v>
      </c>
      <c r="E126" s="53">
        <f t="shared" si="14"/>
        <v>3.6433609999999998E-2</v>
      </c>
      <c r="F126" s="15">
        <v>0.64900000000000002</v>
      </c>
      <c r="G126">
        <v>1.2370000000000001</v>
      </c>
      <c r="H126" t="s">
        <v>57</v>
      </c>
      <c r="I126" t="str">
        <f>VLOOKUP(A126,Planilha6!$BL$9:$BN$222,2,0)</f>
        <v>banks</v>
      </c>
      <c r="J126" t="str">
        <f>VLOOKUP(A126,Planilha6!$BL$9:$BN$222,3,0)</f>
        <v>high_beta</v>
      </c>
      <c r="K126" s="17">
        <v>0</v>
      </c>
      <c r="L126" s="2">
        <v>-3.5999999999999997E-2</v>
      </c>
      <c r="M126" s="5">
        <v>1.9285562518366699</v>
      </c>
      <c r="N126" s="41">
        <f>VLOOKUP(A126,'Mandato LP'!$A$2:$B$215,2,0)</f>
        <v>0</v>
      </c>
      <c r="O126" s="59">
        <f t="shared" si="15"/>
        <v>0</v>
      </c>
      <c r="P126" s="42">
        <f t="shared" si="16"/>
        <v>0</v>
      </c>
      <c r="Q126" s="41">
        <f>VLOOKUP(A126,'Mandato LP'!$A$2:$C$215,3,0)</f>
        <v>0</v>
      </c>
      <c r="R126" s="42">
        <f t="shared" si="17"/>
        <v>0</v>
      </c>
      <c r="S126" s="15">
        <v>-0.77</v>
      </c>
      <c r="T126" s="15">
        <v>-0.45300000000000001</v>
      </c>
      <c r="U126" s="15">
        <v>-0.91900000000000004</v>
      </c>
      <c r="V126" s="15">
        <v>-0.65100000000000002</v>
      </c>
      <c r="W126" s="15">
        <v>-0.66200000000000003</v>
      </c>
      <c r="X126" s="15">
        <v>-0.56499999999999995</v>
      </c>
      <c r="Y126" s="15">
        <v>-0.33700000000000002</v>
      </c>
      <c r="Z126" s="15">
        <v>-0.42599999999999999</v>
      </c>
      <c r="AA126" s="15">
        <v>0.74399999999999999</v>
      </c>
      <c r="AB126" s="15">
        <v>0.75</v>
      </c>
      <c r="AC126" s="15">
        <v>0.73199999999999998</v>
      </c>
      <c r="AD126" s="15">
        <v>0.76900000000000002</v>
      </c>
      <c r="AE126" s="15">
        <v>0.56499999999999995</v>
      </c>
      <c r="AF126" s="14">
        <v>-0.73799999999999999</v>
      </c>
      <c r="AG126" s="110">
        <v>-0.20300000000000001</v>
      </c>
      <c r="AH126" s="110">
        <v>0.34200000000000003</v>
      </c>
      <c r="AI126" s="110">
        <v>-0.91200000000000003</v>
      </c>
      <c r="AJ126" s="110">
        <v>-0.95399999999999996</v>
      </c>
      <c r="AK126" s="16">
        <v>-1</v>
      </c>
      <c r="AL126" s="111">
        <v>2.1000000000000001E-2</v>
      </c>
      <c r="AM126" s="111">
        <v>-3.5000000000000003E-2</v>
      </c>
      <c r="AN126" s="4">
        <v>0.375</v>
      </c>
      <c r="AO126" s="4">
        <v>-0.46800000000000003</v>
      </c>
      <c r="AP126" s="4">
        <v>2.1000000000000001E-2</v>
      </c>
      <c r="AQ126" s="4">
        <v>0.47499999999999998</v>
      </c>
      <c r="AR126" s="4">
        <v>2.9000000000000001E-2</v>
      </c>
      <c r="AS126" s="4">
        <v>0.15</v>
      </c>
      <c r="AT126" s="4">
        <v>0.23899999999999999</v>
      </c>
      <c r="AU126" s="4">
        <v>-5.5E-2</v>
      </c>
      <c r="AV126" s="4">
        <v>-7.1999999999999995E-2</v>
      </c>
      <c r="AW126" s="4">
        <v>-0.626</v>
      </c>
      <c r="AX126" s="4">
        <v>0.30299999999999999</v>
      </c>
      <c r="AY126" s="4">
        <v>-0.50600000000000001</v>
      </c>
      <c r="AZ126" s="4">
        <v>0.81</v>
      </c>
      <c r="BA126" s="4">
        <v>-0.39100000000000001</v>
      </c>
      <c r="BB126" s="4">
        <v>-0.31900000000000001</v>
      </c>
      <c r="BC126" s="4">
        <v>8.0000000000000002E-3</v>
      </c>
      <c r="BD126" s="4">
        <v>-6.0999999999999999E-2</v>
      </c>
      <c r="BE126" s="4">
        <v>5.6000000000000001E-2</v>
      </c>
      <c r="BF126" s="4">
        <v>0.317</v>
      </c>
      <c r="BG126" s="4">
        <v>-4.0000000000000001E-3</v>
      </c>
      <c r="BH126" s="4">
        <v>0.68799999999999994</v>
      </c>
      <c r="BI126" s="4">
        <v>-0.48199999999999998</v>
      </c>
      <c r="BJ126" s="4">
        <v>0.19900000000000001</v>
      </c>
      <c r="BK126" s="4">
        <v>-0.35199999999999998</v>
      </c>
      <c r="BL126" s="4">
        <v>-0.626</v>
      </c>
      <c r="BM126" s="4">
        <v>0.63200000000000001</v>
      </c>
      <c r="BN126" s="4"/>
    </row>
    <row r="127" spans="1:66" x14ac:dyDescent="0.3">
      <c r="A127" t="s">
        <v>168</v>
      </c>
      <c r="B127" s="53">
        <f t="shared" si="11"/>
        <v>0</v>
      </c>
      <c r="C127" s="53">
        <f t="shared" si="12"/>
        <v>-8.8387199999999996E-3</v>
      </c>
      <c r="D127" s="53">
        <f t="shared" si="13"/>
        <v>0</v>
      </c>
      <c r="E127" s="53">
        <f t="shared" si="14"/>
        <v>8.8387199999999996E-3</v>
      </c>
      <c r="F127" s="15">
        <v>0.64900000000000002</v>
      </c>
      <c r="G127">
        <v>0.82799999999999996</v>
      </c>
      <c r="H127" t="s">
        <v>68</v>
      </c>
      <c r="I127" t="str">
        <f>VLOOKUP(A127,Planilha6!$BL$9:$BN$222,2,0)</f>
        <v>capital_goods</v>
      </c>
      <c r="J127" t="str">
        <f>VLOOKUP(A127,Planilha6!$BL$9:$BN$222,3,0)</f>
        <v>low_beta</v>
      </c>
      <c r="K127" s="17">
        <v>0</v>
      </c>
      <c r="L127" s="2">
        <v>-8.9999999999999993E-3</v>
      </c>
      <c r="M127" s="5">
        <v>1.2139407764666701</v>
      </c>
      <c r="N127" s="41">
        <f>VLOOKUP(A127,'Mandato LP'!$A$2:$B$215,2,0)</f>
        <v>0</v>
      </c>
      <c r="O127" s="59">
        <f t="shared" si="15"/>
        <v>0</v>
      </c>
      <c r="P127" s="42">
        <f t="shared" si="16"/>
        <v>0</v>
      </c>
      <c r="Q127" s="41">
        <f>VLOOKUP(A127,'Mandato LP'!$A$2:$C$215,3,0)</f>
        <v>0</v>
      </c>
      <c r="R127" s="42">
        <f t="shared" si="17"/>
        <v>0</v>
      </c>
      <c r="S127" s="15">
        <v>-0.68799999999999994</v>
      </c>
      <c r="T127" s="15">
        <v>-0.38700000000000001</v>
      </c>
      <c r="U127" s="15">
        <v>-0.91800000000000004</v>
      </c>
      <c r="V127" s="15">
        <v>-0.55400000000000005</v>
      </c>
      <c r="W127" s="15">
        <v>-0.629</v>
      </c>
      <c r="X127" s="15">
        <v>-0.438</v>
      </c>
      <c r="Y127" s="15">
        <v>-8.5000000000000006E-2</v>
      </c>
      <c r="Z127" s="15">
        <v>-0.47599999999999998</v>
      </c>
      <c r="AA127" s="15">
        <v>0.58799999999999997</v>
      </c>
      <c r="AB127" s="15">
        <v>0.59299999999999997</v>
      </c>
      <c r="AC127" s="15">
        <v>0.64</v>
      </c>
      <c r="AD127" s="15">
        <v>0.85399999999999998</v>
      </c>
      <c r="AE127" s="15">
        <v>0.441</v>
      </c>
      <c r="AF127" s="14">
        <v>-0.30299999999999999</v>
      </c>
      <c r="AG127" s="110">
        <v>-0.51400000000000001</v>
      </c>
      <c r="AH127" s="110">
        <v>-0.51900000000000002</v>
      </c>
      <c r="AI127" s="110">
        <v>-1</v>
      </c>
      <c r="AJ127" s="110">
        <v>-0.99399999999999999</v>
      </c>
      <c r="AK127" s="16">
        <v>-0.58399999999999996</v>
      </c>
      <c r="AL127" s="111">
        <v>-0.35799999999999998</v>
      </c>
      <c r="AM127" s="111">
        <v>-0.57999999999999996</v>
      </c>
      <c r="AN127" s="4">
        <v>-0.873</v>
      </c>
      <c r="AO127" s="4">
        <v>0.46500000000000002</v>
      </c>
      <c r="AP127" s="4">
        <v>0.42199999999999999</v>
      </c>
      <c r="AQ127" s="4">
        <v>4.3999999999999997E-2</v>
      </c>
      <c r="AR127" s="4">
        <v>0.379</v>
      </c>
      <c r="AS127" s="4">
        <v>0.114</v>
      </c>
      <c r="AT127" s="4">
        <v>-0.57999999999999996</v>
      </c>
      <c r="AU127" s="4">
        <v>0.76900000000000002</v>
      </c>
      <c r="AV127" s="4">
        <v>4.0000000000000001E-3</v>
      </c>
      <c r="AW127" s="4">
        <v>0.23200000000000001</v>
      </c>
      <c r="AX127" s="4">
        <v>0.59199999999999997</v>
      </c>
      <c r="AY127" s="4">
        <v>0.50600000000000001</v>
      </c>
      <c r="AZ127" s="4">
        <v>0.96199999999999997</v>
      </c>
      <c r="BA127" s="4">
        <v>-0.63</v>
      </c>
      <c r="BB127" s="4">
        <v>1.7999999999999999E-2</v>
      </c>
      <c r="BC127" s="4">
        <v>0.245</v>
      </c>
      <c r="BD127" s="4">
        <v>4.9000000000000002E-2</v>
      </c>
      <c r="BE127" s="4">
        <v>-2.5000000000000001E-2</v>
      </c>
      <c r="BF127" s="4">
        <v>2.5999999999999999E-2</v>
      </c>
      <c r="BG127" s="4">
        <v>-0.193</v>
      </c>
      <c r="BH127" s="4">
        <v>0.69299999999999995</v>
      </c>
      <c r="BI127" s="4">
        <v>-0.36699999999999999</v>
      </c>
      <c r="BJ127" s="4">
        <v>6.0000000000000001E-3</v>
      </c>
      <c r="BK127" s="4">
        <v>-0.152</v>
      </c>
      <c r="BL127" s="4">
        <v>-1</v>
      </c>
      <c r="BM127" s="4">
        <v>-8.4000000000000005E-2</v>
      </c>
      <c r="BN127" s="4"/>
    </row>
    <row r="128" spans="1:66" x14ac:dyDescent="0.3">
      <c r="A128" t="s">
        <v>160</v>
      </c>
      <c r="B128" s="53">
        <f t="shared" si="11"/>
        <v>0</v>
      </c>
      <c r="C128" s="53">
        <f t="shared" si="12"/>
        <v>0</v>
      </c>
      <c r="D128" s="53">
        <f t="shared" si="13"/>
        <v>0</v>
      </c>
      <c r="E128" s="53">
        <f t="shared" si="14"/>
        <v>0</v>
      </c>
      <c r="F128" s="15">
        <v>0.64500000000000002</v>
      </c>
      <c r="G128">
        <v>0.49199999999999999</v>
      </c>
      <c r="H128" t="s">
        <v>57</v>
      </c>
      <c r="I128" t="str">
        <f>VLOOKUP(A128,Planilha6!$BL$9:$BN$222,2,0)</f>
        <v>financial_services</v>
      </c>
      <c r="J128" t="str">
        <f>VLOOKUP(A128,Planilha6!$BL$9:$BN$222,3,0)</f>
        <v>low_beta</v>
      </c>
      <c r="K128" s="17">
        <v>0</v>
      </c>
      <c r="L128" s="2">
        <v>0</v>
      </c>
      <c r="M128" s="5">
        <v>0.17630154166666701</v>
      </c>
      <c r="N128" s="41">
        <f>VLOOKUP(A128,'Mandato LP'!$A$2:$B$215,2,0)</f>
        <v>0</v>
      </c>
      <c r="O128" s="59">
        <f t="shared" si="15"/>
        <v>0</v>
      </c>
      <c r="P128" s="42">
        <f t="shared" si="16"/>
        <v>0</v>
      </c>
      <c r="Q128" s="41">
        <f>VLOOKUP(A128,'Mandato LP'!$A$2:$C$215,3,0)</f>
        <v>0</v>
      </c>
      <c r="R128" s="42">
        <f t="shared" si="17"/>
        <v>0</v>
      </c>
      <c r="S128" s="15">
        <v>-0.57699999999999996</v>
      </c>
      <c r="T128" s="15">
        <v>-0.51700000000000002</v>
      </c>
      <c r="U128" s="15">
        <v>-0.72099999999999997</v>
      </c>
      <c r="V128" s="15">
        <v>-0.57599999999999996</v>
      </c>
      <c r="W128" s="15">
        <v>-0.61899999999999999</v>
      </c>
      <c r="X128" s="15">
        <v>-0.51800000000000002</v>
      </c>
      <c r="Y128" s="15">
        <v>-0.17299999999999999</v>
      </c>
      <c r="Z128" s="15">
        <v>-0.65200000000000002</v>
      </c>
      <c r="AA128" s="15">
        <v>0.67300000000000004</v>
      </c>
      <c r="AB128" s="15">
        <v>0.67400000000000004</v>
      </c>
      <c r="AC128" s="15">
        <v>0.76600000000000001</v>
      </c>
      <c r="AD128" s="15">
        <v>0.79400000000000004</v>
      </c>
      <c r="AE128" s="15">
        <v>0.47599999999999998</v>
      </c>
      <c r="AF128" s="14">
        <v>-0.33100000000000002</v>
      </c>
      <c r="AG128" s="110">
        <v>0.20499999999999999</v>
      </c>
      <c r="AH128" s="110">
        <v>-0.434</v>
      </c>
      <c r="AI128" s="110">
        <v>-0.68600000000000005</v>
      </c>
      <c r="AJ128" s="110">
        <v>-0.91400000000000003</v>
      </c>
      <c r="AK128" s="16">
        <v>-0.55500000000000005</v>
      </c>
      <c r="AL128" s="111">
        <v>6.8000000000000005E-2</v>
      </c>
      <c r="AM128" s="111">
        <v>-0.70399999999999996</v>
      </c>
      <c r="AN128" s="4">
        <v>-0.09</v>
      </c>
      <c r="AO128" s="4">
        <v>0.73599999999999999</v>
      </c>
      <c r="AP128" s="4">
        <v>-9.6000000000000002E-2</v>
      </c>
      <c r="AQ128" s="4">
        <v>-0.16400000000000001</v>
      </c>
      <c r="AR128" s="4">
        <v>0.28399999999999997</v>
      </c>
      <c r="AS128" s="4">
        <v>-1.4999999999999999E-2</v>
      </c>
      <c r="AT128" s="4">
        <v>-0.89600000000000002</v>
      </c>
      <c r="AU128" s="4">
        <v>0.314</v>
      </c>
      <c r="AV128" s="4">
        <v>0.65</v>
      </c>
      <c r="AW128" s="4">
        <v>-0.158</v>
      </c>
      <c r="AX128" s="4">
        <v>0.11700000000000001</v>
      </c>
      <c r="AY128" s="4">
        <v>-0.28699999999999998</v>
      </c>
      <c r="AZ128" s="4">
        <v>0.34</v>
      </c>
      <c r="BA128" s="4">
        <v>-0.61099999999999999</v>
      </c>
      <c r="BB128" s="4">
        <v>-0.17100000000000001</v>
      </c>
      <c r="BC128" s="4">
        <v>-6.7000000000000004E-2</v>
      </c>
      <c r="BD128" s="4">
        <v>3.9E-2</v>
      </c>
      <c r="BE128" s="4">
        <v>7.0000000000000007E-2</v>
      </c>
      <c r="BF128" s="4">
        <v>-0.23300000000000001</v>
      </c>
      <c r="BG128" s="4">
        <v>3.2000000000000001E-2</v>
      </c>
      <c r="BH128" s="4">
        <v>0.434</v>
      </c>
      <c r="BI128" s="4">
        <v>0.14599999999999999</v>
      </c>
      <c r="BJ128" s="4">
        <v>-9.7000000000000003E-2</v>
      </c>
      <c r="BK128" s="4">
        <v>1</v>
      </c>
      <c r="BL128" s="4">
        <v>-5.7000000000000002E-2</v>
      </c>
      <c r="BM128" s="4">
        <v>0.91400000000000003</v>
      </c>
      <c r="BN128" s="4"/>
    </row>
    <row r="129" spans="1:66" x14ac:dyDescent="0.3">
      <c r="A129" t="s">
        <v>155</v>
      </c>
      <c r="B129" s="53">
        <f t="shared" si="11"/>
        <v>0</v>
      </c>
      <c r="C129" s="53">
        <f t="shared" si="12"/>
        <v>0</v>
      </c>
      <c r="D129" s="53">
        <f t="shared" si="13"/>
        <v>0</v>
      </c>
      <c r="E129" s="53">
        <f t="shared" si="14"/>
        <v>0</v>
      </c>
      <c r="F129" s="15">
        <v>0.64400000000000002</v>
      </c>
      <c r="G129">
        <v>0.47099999999999997</v>
      </c>
      <c r="H129" t="s">
        <v>55</v>
      </c>
      <c r="I129" t="str">
        <f>VLOOKUP(A129,Planilha6!$BL$9:$BN$222,2,0)</f>
        <v>utilities</v>
      </c>
      <c r="J129" t="str">
        <f>VLOOKUP(A129,Planilha6!$BL$9:$BN$222,3,0)</f>
        <v>low_beta</v>
      </c>
      <c r="K129" s="17">
        <v>0</v>
      </c>
      <c r="L129" s="2">
        <v>0</v>
      </c>
      <c r="M129" s="5">
        <v>0</v>
      </c>
      <c r="N129" s="41">
        <f>VLOOKUP(A129,'Mandato LP'!$A$2:$B$215,2,0)</f>
        <v>0</v>
      </c>
      <c r="O129" s="59">
        <f t="shared" si="15"/>
        <v>0</v>
      </c>
      <c r="P129" s="42">
        <f t="shared" si="16"/>
        <v>0</v>
      </c>
      <c r="Q129" s="41">
        <f>VLOOKUP(A129,'Mandato LP'!$A$2:$C$215,3,0)</f>
        <v>0</v>
      </c>
      <c r="R129" s="42">
        <f t="shared" si="17"/>
        <v>0</v>
      </c>
      <c r="S129" s="15">
        <v>-0.40200000000000002</v>
      </c>
      <c r="T129" s="15">
        <v>-0.58899999999999997</v>
      </c>
      <c r="U129" s="15">
        <v>-0.13800000000000001</v>
      </c>
      <c r="V129" s="15">
        <v>-0.35499999999999998</v>
      </c>
      <c r="W129" s="15">
        <v>-0.39700000000000002</v>
      </c>
      <c r="X129" s="15">
        <v>-0.61199999999999999</v>
      </c>
      <c r="Y129" s="15">
        <v>-0.71199999999999997</v>
      </c>
      <c r="Z129" s="15">
        <v>-0.76900000000000002</v>
      </c>
      <c r="AA129" s="15">
        <v>0.56699999999999995</v>
      </c>
      <c r="AB129" s="15">
        <v>0.56699999999999995</v>
      </c>
      <c r="AC129" s="15">
        <v>0.57999999999999996</v>
      </c>
      <c r="AD129" s="15">
        <v>0.79600000000000004</v>
      </c>
      <c r="AE129" s="15">
        <v>0.55000000000000004</v>
      </c>
      <c r="AF129" s="14">
        <v>0.23</v>
      </c>
      <c r="AG129" s="110">
        <v>0.35299999999999998</v>
      </c>
      <c r="AH129" s="110">
        <v>0.13300000000000001</v>
      </c>
      <c r="AI129" s="110">
        <v>0.375</v>
      </c>
      <c r="AJ129" s="110">
        <v>-2.5999999999999999E-2</v>
      </c>
      <c r="AK129" s="16">
        <v>-0.51600000000000001</v>
      </c>
      <c r="AL129" s="111">
        <v>0.24</v>
      </c>
      <c r="AM129" s="111">
        <v>-1</v>
      </c>
      <c r="AN129" s="4">
        <v>0.80200000000000005</v>
      </c>
      <c r="AO129" s="4">
        <v>-0.27300000000000002</v>
      </c>
      <c r="AP129" s="4">
        <v>-0.17899999999999999</v>
      </c>
      <c r="AQ129" s="4">
        <v>0.22800000000000001</v>
      </c>
      <c r="AR129" s="4">
        <v>0.502</v>
      </c>
      <c r="AS129" s="4">
        <v>-0.32700000000000001</v>
      </c>
      <c r="AT129" s="4">
        <v>4.7E-2</v>
      </c>
      <c r="AU129" s="4">
        <v>-1.2999999999999999E-2</v>
      </c>
      <c r="AV129" s="4">
        <v>-0.51400000000000001</v>
      </c>
      <c r="AW129" s="4">
        <v>-8.9999999999999993E-3</v>
      </c>
      <c r="AX129" s="4">
        <v>-0.27</v>
      </c>
      <c r="AY129" s="4">
        <v>-0.78700000000000003</v>
      </c>
      <c r="AZ129" s="4">
        <v>-0.124</v>
      </c>
      <c r="BA129" s="4">
        <v>0.33700000000000002</v>
      </c>
      <c r="BB129" s="4">
        <v>-0.39500000000000002</v>
      </c>
      <c r="BC129" s="4">
        <v>2.8000000000000001E-2</v>
      </c>
      <c r="BD129" s="4">
        <v>-0.57099999999999995</v>
      </c>
      <c r="BE129" s="4">
        <v>0.27800000000000002</v>
      </c>
      <c r="BF129" s="4">
        <v>-0.55700000000000005</v>
      </c>
      <c r="BG129" s="4">
        <v>4.3999999999999997E-2</v>
      </c>
      <c r="BH129" s="4">
        <v>0.21199999999999999</v>
      </c>
      <c r="BI129" s="4">
        <v>-0.154</v>
      </c>
      <c r="BJ129" s="4">
        <v>-0.16900000000000001</v>
      </c>
      <c r="BK129" s="4">
        <v>0.47799999999999998</v>
      </c>
      <c r="BL129" s="4">
        <v>0.75</v>
      </c>
      <c r="BM129" s="4">
        <v>-0.14399999999999999</v>
      </c>
      <c r="BN129" s="4"/>
    </row>
    <row r="130" spans="1:66" x14ac:dyDescent="0.3">
      <c r="A130" t="s">
        <v>184</v>
      </c>
      <c r="B130" s="53">
        <f t="shared" si="11"/>
        <v>0</v>
      </c>
      <c r="C130" s="53">
        <f t="shared" si="12"/>
        <v>-1.1720609999999999E-2</v>
      </c>
      <c r="D130" s="53">
        <f t="shared" si="13"/>
        <v>0</v>
      </c>
      <c r="E130" s="53">
        <f t="shared" si="14"/>
        <v>1.1720609999999999E-2</v>
      </c>
      <c r="F130" s="15">
        <v>0.64200000000000002</v>
      </c>
      <c r="G130">
        <v>1.054</v>
      </c>
      <c r="H130" t="s">
        <v>57</v>
      </c>
      <c r="I130" t="str">
        <f>VLOOKUP(A130,Planilha6!$BL$9:$BN$222,2,0)</f>
        <v>financial_services</v>
      </c>
      <c r="J130" t="str">
        <f>VLOOKUP(A130,Planilha6!$BL$9:$BN$222,3,0)</f>
        <v>very_high_beta</v>
      </c>
      <c r="K130" s="17">
        <v>0</v>
      </c>
      <c r="L130" s="2">
        <v>-1.2E-2</v>
      </c>
      <c r="M130" s="5">
        <v>0.451822583616667</v>
      </c>
      <c r="N130" s="41">
        <f>VLOOKUP(A130,'Mandato LP'!$A$2:$B$215,2,0)</f>
        <v>0</v>
      </c>
      <c r="O130" s="59">
        <f t="shared" si="15"/>
        <v>0</v>
      </c>
      <c r="P130" s="42">
        <f t="shared" si="16"/>
        <v>0</v>
      </c>
      <c r="Q130" s="41">
        <f>VLOOKUP(A130,'Mandato LP'!$A$2:$C$215,3,0)</f>
        <v>0</v>
      </c>
      <c r="R130" s="42">
        <f t="shared" si="17"/>
        <v>0</v>
      </c>
      <c r="S130" s="15">
        <v>-0.66400000000000003</v>
      </c>
      <c r="T130" s="15">
        <v>-0.06</v>
      </c>
      <c r="U130" s="15">
        <v>-0.93500000000000005</v>
      </c>
      <c r="V130" s="15">
        <v>-0.48899999999999999</v>
      </c>
      <c r="W130" s="15">
        <v>-0.54900000000000004</v>
      </c>
      <c r="X130" s="15">
        <v>-0.46100000000000002</v>
      </c>
      <c r="Y130" s="15">
        <v>-4.2000000000000003E-2</v>
      </c>
      <c r="Z130" s="15">
        <v>-0.35699999999999998</v>
      </c>
      <c r="AA130" s="15">
        <v>0.224</v>
      </c>
      <c r="AB130" s="15">
        <v>0.23</v>
      </c>
      <c r="AC130" s="15">
        <v>0.58799999999999997</v>
      </c>
      <c r="AD130" s="15">
        <v>0.63500000000000001</v>
      </c>
      <c r="AE130" s="15">
        <v>0.36599999999999999</v>
      </c>
      <c r="AF130" s="14">
        <v>-0.20100000000000001</v>
      </c>
      <c r="AG130" s="110">
        <v>-0.72299999999999998</v>
      </c>
      <c r="AH130" s="110">
        <v>-3.2000000000000001E-2</v>
      </c>
      <c r="AI130" s="110">
        <v>-1</v>
      </c>
      <c r="AJ130" s="110">
        <v>-0.68500000000000005</v>
      </c>
      <c r="AK130" s="16">
        <v>-0.79100000000000004</v>
      </c>
      <c r="AL130" s="111">
        <v>-0.45600000000000002</v>
      </c>
      <c r="AM130" s="111">
        <v>-0.54600000000000004</v>
      </c>
      <c r="AN130" s="4">
        <v>-1</v>
      </c>
      <c r="AO130" s="4">
        <v>-0.6</v>
      </c>
      <c r="AP130" s="4">
        <v>0.47699999999999998</v>
      </c>
      <c r="AQ130" s="4">
        <v>0.77900000000000003</v>
      </c>
      <c r="AR130" s="4">
        <v>0.14899999999999999</v>
      </c>
      <c r="AS130" s="4">
        <v>-0.06</v>
      </c>
      <c r="AT130" s="4">
        <v>-0.47099999999999997</v>
      </c>
      <c r="AU130" s="4">
        <v>0.38200000000000001</v>
      </c>
      <c r="AV130" s="4">
        <v>1</v>
      </c>
      <c r="AW130" s="4">
        <v>0.47599999999999998</v>
      </c>
      <c r="AX130" s="4">
        <v>-3.2000000000000001E-2</v>
      </c>
      <c r="AY130" s="4">
        <v>0.15</v>
      </c>
      <c r="AZ130" s="4">
        <v>0.44</v>
      </c>
      <c r="BA130" s="4">
        <v>-0.29399999999999998</v>
      </c>
      <c r="BB130" s="4">
        <v>0.29299999999999998</v>
      </c>
      <c r="BC130" s="4">
        <v>0.221</v>
      </c>
      <c r="BD130" s="4">
        <v>0.10199999999999999</v>
      </c>
      <c r="BE130" s="4">
        <v>0.32</v>
      </c>
      <c r="BF130" s="4">
        <v>-0.42099999999999999</v>
      </c>
      <c r="BG130" s="4">
        <v>-0.38600000000000001</v>
      </c>
      <c r="BH130" s="4">
        <v>0.315</v>
      </c>
      <c r="BI130" s="4">
        <v>-0.38200000000000001</v>
      </c>
      <c r="BJ130" s="4">
        <v>0.42099999999999999</v>
      </c>
      <c r="BK130" s="4">
        <v>-0.51600000000000001</v>
      </c>
      <c r="BL130" s="4">
        <v>-0.747</v>
      </c>
      <c r="BM130" s="4">
        <v>-0.72099999999999997</v>
      </c>
      <c r="BN130" s="4"/>
    </row>
    <row r="131" spans="1:66" x14ac:dyDescent="0.3">
      <c r="A131" t="s">
        <v>165</v>
      </c>
      <c r="B131" s="53">
        <f t="shared" si="11"/>
        <v>0</v>
      </c>
      <c r="C131" s="53">
        <f t="shared" si="12"/>
        <v>0</v>
      </c>
      <c r="D131" s="53">
        <f t="shared" si="13"/>
        <v>0</v>
      </c>
      <c r="E131" s="53">
        <f t="shared" si="14"/>
        <v>0</v>
      </c>
      <c r="F131" s="15">
        <v>0.63900000000000001</v>
      </c>
      <c r="G131">
        <v>0.495</v>
      </c>
      <c r="H131" t="s">
        <v>71</v>
      </c>
      <c r="I131" t="str">
        <f>VLOOKUP(A131,Planilha6!$BL$9:$BN$222,2,0)</f>
        <v>basic_materials</v>
      </c>
      <c r="J131" t="str">
        <f>VLOOKUP(A131,Planilha6!$BL$9:$BN$222,3,0)</f>
        <v>neutral_beta</v>
      </c>
      <c r="K131" s="17">
        <v>0</v>
      </c>
      <c r="L131" s="2">
        <v>0</v>
      </c>
      <c r="M131" s="5">
        <v>0.27117658236999997</v>
      </c>
      <c r="N131" s="41">
        <f>VLOOKUP(A131,'Mandato LP'!$A$2:$B$215,2,0)</f>
        <v>0</v>
      </c>
      <c r="O131" s="59">
        <f t="shared" si="15"/>
        <v>0</v>
      </c>
      <c r="P131" s="42">
        <f t="shared" si="16"/>
        <v>0</v>
      </c>
      <c r="Q131" s="41">
        <f>VLOOKUP(A131,'Mandato LP'!$A$2:$C$215,3,0)</f>
        <v>0</v>
      </c>
      <c r="R131" s="42">
        <f t="shared" si="17"/>
        <v>0</v>
      </c>
      <c r="S131" s="15">
        <v>-0.53400000000000003</v>
      </c>
      <c r="T131" s="15">
        <v>-0.66200000000000003</v>
      </c>
      <c r="U131" s="15">
        <v>-0.64</v>
      </c>
      <c r="V131" s="15">
        <v>-0.51800000000000002</v>
      </c>
      <c r="W131" s="15">
        <v>-0.63700000000000001</v>
      </c>
      <c r="X131" s="15">
        <v>-0.60899999999999999</v>
      </c>
      <c r="Y131" s="15">
        <v>-0.72299999999999998</v>
      </c>
      <c r="Z131" s="15">
        <v>-0.75700000000000001</v>
      </c>
      <c r="AA131" s="15">
        <v>0.69199999999999995</v>
      </c>
      <c r="AB131" s="15">
        <v>0.69599999999999995</v>
      </c>
      <c r="AC131" s="15">
        <v>0.68300000000000005</v>
      </c>
      <c r="AD131" s="15">
        <v>0.94</v>
      </c>
      <c r="AE131" s="15">
        <v>0.748</v>
      </c>
      <c r="AF131" s="14">
        <v>-0.20799999999999999</v>
      </c>
      <c r="AG131" s="110">
        <v>-0.22600000000000001</v>
      </c>
      <c r="AH131" s="110">
        <v>0.59099999999999997</v>
      </c>
      <c r="AI131" s="110">
        <v>-0.52100000000000002</v>
      </c>
      <c r="AJ131" s="110">
        <v>-0.48099999999999998</v>
      </c>
      <c r="AK131" s="16">
        <v>-0.85299999999999998</v>
      </c>
      <c r="AL131" s="111">
        <v>-0.34399999999999997</v>
      </c>
      <c r="AM131" s="111">
        <v>-0.66700000000000004</v>
      </c>
      <c r="AN131" s="4">
        <v>0.5</v>
      </c>
      <c r="AO131" s="4">
        <v>-0.52700000000000002</v>
      </c>
      <c r="AP131" s="4">
        <v>0.437</v>
      </c>
      <c r="AQ131" s="4">
        <v>-0.158</v>
      </c>
      <c r="AR131" s="4">
        <v>-0.434</v>
      </c>
      <c r="AS131" s="4">
        <v>0.748</v>
      </c>
      <c r="AT131" s="4">
        <v>0.43099999999999999</v>
      </c>
      <c r="AU131" s="4">
        <v>-0.109</v>
      </c>
      <c r="AV131" s="4">
        <v>-0.60299999999999998</v>
      </c>
      <c r="AW131" s="4">
        <v>-7.5999999999999998E-2</v>
      </c>
      <c r="AX131" s="4">
        <v>-7.0999999999999994E-2</v>
      </c>
      <c r="AY131" s="4">
        <v>-0.17399999999999999</v>
      </c>
      <c r="AZ131" s="4">
        <v>0.753</v>
      </c>
      <c r="BA131" s="4">
        <v>-1</v>
      </c>
      <c r="BB131" s="4">
        <v>0.64500000000000002</v>
      </c>
      <c r="BC131" s="4">
        <v>0.45700000000000002</v>
      </c>
      <c r="BD131" s="4">
        <v>0.18099999999999999</v>
      </c>
      <c r="BE131" s="4">
        <v>0.30199999999999999</v>
      </c>
      <c r="BF131" s="4">
        <v>0.104</v>
      </c>
      <c r="BG131" s="4">
        <v>-0.14799999999999999</v>
      </c>
      <c r="BH131" s="4">
        <v>0.191</v>
      </c>
      <c r="BI131" s="4">
        <v>6.6000000000000003E-2</v>
      </c>
      <c r="BJ131" s="4">
        <v>-0.27400000000000002</v>
      </c>
      <c r="BK131" s="4">
        <v>0.81</v>
      </c>
      <c r="BL131" s="4">
        <v>0.11799999999999999</v>
      </c>
      <c r="BM131" s="4">
        <v>-1</v>
      </c>
      <c r="BN131" s="4"/>
    </row>
    <row r="132" spans="1:66" x14ac:dyDescent="0.3">
      <c r="A132" t="s">
        <v>164</v>
      </c>
      <c r="B132" s="53">
        <f t="shared" si="11"/>
        <v>0</v>
      </c>
      <c r="C132" s="53">
        <f t="shared" si="12"/>
        <v>0</v>
      </c>
      <c r="D132" s="53">
        <f t="shared" si="13"/>
        <v>0</v>
      </c>
      <c r="E132" s="53">
        <f t="shared" si="14"/>
        <v>0</v>
      </c>
      <c r="F132" s="15">
        <v>0.63600000000000001</v>
      </c>
      <c r="G132">
        <v>0.68100000000000005</v>
      </c>
      <c r="H132" t="s">
        <v>68</v>
      </c>
      <c r="I132" t="str">
        <f>VLOOKUP(A132,Planilha6!$BL$9:$BN$222,2,0)</f>
        <v>capital_goods</v>
      </c>
      <c r="J132" t="str">
        <f>VLOOKUP(A132,Planilha6!$BL$9:$BN$222,3,0)</f>
        <v>low_beta</v>
      </c>
      <c r="K132" s="17">
        <v>0</v>
      </c>
      <c r="L132" s="2">
        <v>0</v>
      </c>
      <c r="M132" s="5">
        <v>0.36880113333333298</v>
      </c>
      <c r="N132" s="41">
        <f>VLOOKUP(A132,'Mandato LP'!$A$2:$B$215,2,0)</f>
        <v>0</v>
      </c>
      <c r="O132" s="59">
        <f t="shared" si="15"/>
        <v>0</v>
      </c>
      <c r="P132" s="42">
        <f t="shared" si="16"/>
        <v>0</v>
      </c>
      <c r="Q132" s="41">
        <f>VLOOKUP(A132,'Mandato LP'!$A$2:$C$215,3,0)</f>
        <v>0</v>
      </c>
      <c r="R132" s="42">
        <f t="shared" si="17"/>
        <v>0</v>
      </c>
      <c r="S132" s="15">
        <v>-0.55800000000000005</v>
      </c>
      <c r="T132" s="15">
        <v>-0.51400000000000001</v>
      </c>
      <c r="U132" s="15">
        <v>-0.38800000000000001</v>
      </c>
      <c r="V132" s="15">
        <v>-0.70599999999999996</v>
      </c>
      <c r="W132" s="15">
        <v>-0.57299999999999995</v>
      </c>
      <c r="X132" s="15">
        <v>-0.57999999999999996</v>
      </c>
      <c r="Y132" s="15">
        <v>-0.55000000000000004</v>
      </c>
      <c r="Z132" s="15">
        <v>-0.52800000000000002</v>
      </c>
      <c r="AA132" s="15">
        <v>0.61399999999999999</v>
      </c>
      <c r="AB132" s="15">
        <v>0.61599999999999999</v>
      </c>
      <c r="AC132" s="15">
        <v>0.48599999999999999</v>
      </c>
      <c r="AD132" s="15">
        <v>0.58499999999999996</v>
      </c>
      <c r="AE132" s="15">
        <v>0.496</v>
      </c>
      <c r="AF132" s="14">
        <v>-0.28199999999999997</v>
      </c>
      <c r="AG132" s="110">
        <v>-0.52600000000000002</v>
      </c>
      <c r="AH132" s="110">
        <v>-0.33800000000000002</v>
      </c>
      <c r="AI132" s="110">
        <v>0.36099999999999999</v>
      </c>
      <c r="AJ132" s="110">
        <v>-0.45200000000000001</v>
      </c>
      <c r="AK132" s="16">
        <v>-0.55800000000000005</v>
      </c>
      <c r="AL132" s="111">
        <v>7.2999999999999995E-2</v>
      </c>
      <c r="AM132" s="111">
        <v>-0.45900000000000002</v>
      </c>
      <c r="AN132" s="4">
        <v>0.74</v>
      </c>
      <c r="AO132" s="4">
        <v>-0.30499999999999999</v>
      </c>
      <c r="AP132" s="4">
        <v>-0.54300000000000004</v>
      </c>
      <c r="AQ132" s="4">
        <v>-0.16900000000000001</v>
      </c>
      <c r="AR132" s="4">
        <v>-0.15</v>
      </c>
      <c r="AS132" s="4">
        <v>-0.307</v>
      </c>
      <c r="AT132" s="4">
        <v>-0.252</v>
      </c>
      <c r="AU132" s="4">
        <v>9.8000000000000004E-2</v>
      </c>
      <c r="AV132" s="4">
        <v>-0.45</v>
      </c>
      <c r="AW132" s="4">
        <v>-0.23400000000000001</v>
      </c>
      <c r="AX132" s="4">
        <v>0.54900000000000004</v>
      </c>
      <c r="AY132" s="4">
        <v>-0.26100000000000001</v>
      </c>
      <c r="AZ132" s="4">
        <v>0.9</v>
      </c>
      <c r="BA132" s="4">
        <v>0.77</v>
      </c>
      <c r="BB132" s="4">
        <v>-0.16800000000000001</v>
      </c>
      <c r="BC132" s="4">
        <v>0.24199999999999999</v>
      </c>
      <c r="BD132" s="4">
        <v>-8.2000000000000003E-2</v>
      </c>
      <c r="BE132" s="4">
        <v>0.28499999999999998</v>
      </c>
      <c r="BF132" s="4">
        <v>-0.14499999999999999</v>
      </c>
      <c r="BG132" s="4">
        <v>-0.16900000000000001</v>
      </c>
      <c r="BH132" s="4">
        <v>0.55400000000000005</v>
      </c>
      <c r="BI132" s="4">
        <v>-7.6999999999999999E-2</v>
      </c>
      <c r="BJ132" s="4">
        <v>0.183</v>
      </c>
      <c r="BK132" s="4">
        <v>4.0000000000000001E-3</v>
      </c>
      <c r="BL132" s="4">
        <v>0.35</v>
      </c>
      <c r="BM132" s="4">
        <v>-8.0000000000000002E-3</v>
      </c>
      <c r="BN132" s="4"/>
    </row>
    <row r="133" spans="1:66" x14ac:dyDescent="0.3">
      <c r="A133" t="s">
        <v>182</v>
      </c>
      <c r="B133" s="53">
        <v>3.3000000000000002E-2</v>
      </c>
      <c r="C133" s="53">
        <f t="shared" si="12"/>
        <v>-3.3253469999999993E-2</v>
      </c>
      <c r="D133" s="53">
        <f t="shared" si="13"/>
        <v>7.0000000000000027E-3</v>
      </c>
      <c r="E133" s="53">
        <f t="shared" si="14"/>
        <v>6.6253469999999995E-2</v>
      </c>
      <c r="F133" s="15">
        <v>0.627</v>
      </c>
      <c r="G133">
        <v>1.333</v>
      </c>
      <c r="H133" t="s">
        <v>71</v>
      </c>
      <c r="I133" t="str">
        <f>VLOOKUP(A133,Planilha6!$BL$9:$BN$222,2,0)</f>
        <v>basic_materials</v>
      </c>
      <c r="J133" t="str">
        <f>VLOOKUP(A133,Planilha6!$BL$9:$BN$222,3,0)</f>
        <v>neutral_beta</v>
      </c>
      <c r="K133" s="17">
        <v>2.5999999999999999E-2</v>
      </c>
      <c r="L133" s="2">
        <v>-0.04</v>
      </c>
      <c r="M133" s="5">
        <v>5.7406721923333297</v>
      </c>
      <c r="N133" s="41">
        <f>VLOOKUP(A133,'Mandato LP'!$A$2:$B$215,2,0)</f>
        <v>0</v>
      </c>
      <c r="O133" s="59">
        <f t="shared" si="15"/>
        <v>2.5999999999999999E-2</v>
      </c>
      <c r="P133" s="42">
        <f t="shared" si="16"/>
        <v>3.3000000000000002E-2</v>
      </c>
      <c r="Q133" s="41">
        <f>VLOOKUP(A133,'Mandato LP'!$A$2:$C$215,3,0)</f>
        <v>0</v>
      </c>
      <c r="R133" s="42">
        <f t="shared" si="17"/>
        <v>2.5999999999999999E-2</v>
      </c>
      <c r="S133" s="15">
        <v>-0.91400000000000003</v>
      </c>
      <c r="T133" s="15">
        <v>-0.53100000000000003</v>
      </c>
      <c r="U133" s="15">
        <v>-1</v>
      </c>
      <c r="V133" s="15">
        <v>-0.77900000000000003</v>
      </c>
      <c r="W133" s="15">
        <v>-0.752</v>
      </c>
      <c r="X133" s="15">
        <v>-0.59699999999999998</v>
      </c>
      <c r="Y133" s="15">
        <v>-0.35799999999999998</v>
      </c>
      <c r="Z133" s="15">
        <v>-0.224</v>
      </c>
      <c r="AA133" s="15">
        <v>0.59299999999999997</v>
      </c>
      <c r="AB133" s="15">
        <v>0.59499999999999997</v>
      </c>
      <c r="AC133" s="15">
        <v>0.63400000000000001</v>
      </c>
      <c r="AD133" s="15">
        <v>0.64300000000000002</v>
      </c>
      <c r="AE133" s="15">
        <v>0.53400000000000003</v>
      </c>
      <c r="AF133" s="14">
        <v>-0.66200000000000003</v>
      </c>
      <c r="AG133" s="110">
        <v>-1</v>
      </c>
      <c r="AH133" s="110">
        <v>0.308</v>
      </c>
      <c r="AI133" s="110">
        <v>-1</v>
      </c>
      <c r="AJ133" s="110">
        <v>-0.71799999999999997</v>
      </c>
      <c r="AK133" s="16">
        <v>-1</v>
      </c>
      <c r="AL133" s="111">
        <v>-0.27800000000000002</v>
      </c>
      <c r="AM133" s="111">
        <v>0.11600000000000001</v>
      </c>
      <c r="AN133" s="4">
        <v>-0.59699999999999998</v>
      </c>
      <c r="AO133" s="4">
        <v>-0.77700000000000002</v>
      </c>
      <c r="AP133" s="4">
        <v>0.81499999999999995</v>
      </c>
      <c r="AQ133" s="4">
        <v>0.20499999999999999</v>
      </c>
      <c r="AR133" s="4">
        <v>-0.93899999999999995</v>
      </c>
      <c r="AS133" s="4">
        <v>-0.76200000000000001</v>
      </c>
      <c r="AT133" s="4">
        <v>-0.56499999999999995</v>
      </c>
      <c r="AU133" s="4">
        <v>-4.2999999999999997E-2</v>
      </c>
      <c r="AV133" s="4">
        <v>-9.1999999999999998E-2</v>
      </c>
      <c r="AW133" s="4">
        <v>-0.16700000000000001</v>
      </c>
      <c r="AX133" s="4">
        <v>0.60399999999999998</v>
      </c>
      <c r="AY133" s="4">
        <v>-0.13400000000000001</v>
      </c>
      <c r="AZ133" s="4">
        <v>0.67800000000000005</v>
      </c>
      <c r="BA133" s="4">
        <v>-0.88700000000000001</v>
      </c>
      <c r="BB133" s="4">
        <v>-0.249</v>
      </c>
      <c r="BC133" s="4">
        <v>0.311</v>
      </c>
      <c r="BD133" s="4">
        <v>0.20100000000000001</v>
      </c>
      <c r="BE133" s="4">
        <v>0.32200000000000001</v>
      </c>
      <c r="BF133" s="4">
        <v>-0.192</v>
      </c>
      <c r="BG133" s="4">
        <v>6.0000000000000001E-3</v>
      </c>
      <c r="BH133" s="4">
        <v>0.86399999999999999</v>
      </c>
      <c r="BI133" s="4">
        <v>-0.33300000000000002</v>
      </c>
      <c r="BJ133" s="4">
        <v>-0.30099999999999999</v>
      </c>
      <c r="BK133" s="4">
        <v>-0.40300000000000002</v>
      </c>
      <c r="BL133" s="4">
        <v>-1</v>
      </c>
      <c r="BM133" s="4">
        <v>8.1000000000000003E-2</v>
      </c>
      <c r="BN133" s="4"/>
    </row>
    <row r="134" spans="1:66" x14ac:dyDescent="0.3">
      <c r="A134" t="s">
        <v>233</v>
      </c>
      <c r="B134" s="53">
        <f t="shared" si="11"/>
        <v>0</v>
      </c>
      <c r="C134" s="53">
        <f t="shared" si="12"/>
        <v>-1.122E-3</v>
      </c>
      <c r="D134" s="53">
        <f t="shared" si="13"/>
        <v>0</v>
      </c>
      <c r="E134" s="53">
        <f t="shared" si="14"/>
        <v>1.122E-3</v>
      </c>
      <c r="F134" s="15">
        <v>0.62</v>
      </c>
      <c r="G134">
        <v>0.502</v>
      </c>
      <c r="H134" t="s">
        <v>71</v>
      </c>
      <c r="I134" t="str">
        <f>VLOOKUP(A134,Planilha6!$BL$9:$BN$222,2,0)</f>
        <v>crude_oil</v>
      </c>
      <c r="J134" t="str">
        <f>VLOOKUP(A134,Planilha6!$BL$9:$BN$222,3,0)</f>
        <v>very_low_beta</v>
      </c>
      <c r="K134" s="17">
        <v>0</v>
      </c>
      <c r="L134" s="2">
        <v>-1E-3</v>
      </c>
      <c r="M134" s="5">
        <v>0</v>
      </c>
      <c r="N134" s="41">
        <f>VLOOKUP(A134,'Mandato LP'!$A$2:$B$215,2,0)</f>
        <v>0</v>
      </c>
      <c r="O134" s="59">
        <f t="shared" si="15"/>
        <v>0</v>
      </c>
      <c r="P134" s="42">
        <f t="shared" si="16"/>
        <v>0</v>
      </c>
      <c r="Q134" s="41">
        <f>VLOOKUP(A134,'Mandato LP'!$A$2:$C$215,3,0)</f>
        <v>0</v>
      </c>
      <c r="R134" s="42">
        <f t="shared" si="17"/>
        <v>0</v>
      </c>
      <c r="S134" s="15">
        <v>-0.55000000000000004</v>
      </c>
      <c r="T134" s="15">
        <v>-0.51300000000000001</v>
      </c>
      <c r="U134" s="15">
        <v>-0.89200000000000002</v>
      </c>
      <c r="V134" s="15">
        <v>-0.23200000000000001</v>
      </c>
      <c r="W134" s="15">
        <v>-0.57699999999999996</v>
      </c>
      <c r="X134" s="15">
        <v>-0.44900000000000001</v>
      </c>
      <c r="Y134" s="15">
        <v>-0.50900000000000001</v>
      </c>
      <c r="Z134" s="15">
        <v>-0.72899999999999998</v>
      </c>
      <c r="AA134" s="15">
        <v>0.438</v>
      </c>
      <c r="AB134" s="15">
        <v>0.438</v>
      </c>
      <c r="AC134" s="15">
        <v>0.54900000000000004</v>
      </c>
      <c r="AD134" s="15">
        <v>0.81</v>
      </c>
      <c r="AE134" s="15">
        <v>0.56999999999999995</v>
      </c>
      <c r="AF134" s="14">
        <v>-0.224</v>
      </c>
      <c r="AG134" s="110">
        <v>0.505</v>
      </c>
      <c r="AH134" s="110">
        <v>0.627</v>
      </c>
      <c r="AI134" s="110">
        <v>-0.55400000000000005</v>
      </c>
      <c r="AJ134" s="110">
        <v>-0.54</v>
      </c>
      <c r="AK134" s="16">
        <v>-0.61199999999999999</v>
      </c>
      <c r="AL134" s="111">
        <v>7.6999999999999999E-2</v>
      </c>
      <c r="AM134" s="111">
        <v>-1</v>
      </c>
      <c r="AN134" s="4">
        <v>0.10299999999999999</v>
      </c>
      <c r="AO134" s="4">
        <v>0.495</v>
      </c>
      <c r="AP134" s="4">
        <v>0.44400000000000001</v>
      </c>
      <c r="AQ134" s="4">
        <v>0.317</v>
      </c>
      <c r="AR134" s="4">
        <v>0.30299999999999999</v>
      </c>
      <c r="AS134" s="4">
        <v>0.39600000000000002</v>
      </c>
      <c r="AT134" s="4">
        <v>3.5000000000000003E-2</v>
      </c>
      <c r="AU134" s="4">
        <v>-0.105</v>
      </c>
      <c r="AV134" s="4">
        <v>0.129</v>
      </c>
      <c r="AW134" s="4">
        <v>0.18099999999999999</v>
      </c>
      <c r="AX134" s="4">
        <v>9.4E-2</v>
      </c>
      <c r="AY134" s="4">
        <v>-0.32700000000000001</v>
      </c>
      <c r="AZ134" s="4">
        <v>0.51800000000000002</v>
      </c>
      <c r="BA134" s="4">
        <v>-0.95099999999999996</v>
      </c>
      <c r="BB134" s="4">
        <v>0.35899999999999999</v>
      </c>
      <c r="BC134" s="4">
        <v>-0.376</v>
      </c>
      <c r="BD134" s="4">
        <v>-3.3000000000000002E-2</v>
      </c>
      <c r="BE134" s="4">
        <v>-0.251</v>
      </c>
      <c r="BF134" s="4">
        <v>-0.44500000000000001</v>
      </c>
      <c r="BG134" s="4">
        <v>0.39</v>
      </c>
      <c r="BH134" s="4">
        <v>0.19800000000000001</v>
      </c>
      <c r="BI134" s="4">
        <v>0.16500000000000001</v>
      </c>
      <c r="BJ134" s="4">
        <v>-0.77900000000000003</v>
      </c>
      <c r="BK134" s="4">
        <v>-0.99</v>
      </c>
      <c r="BL134" s="4">
        <v>0.16500000000000001</v>
      </c>
      <c r="BM134" s="4">
        <v>0.48199999999999998</v>
      </c>
      <c r="BN134" s="4"/>
    </row>
    <row r="135" spans="1:66" x14ac:dyDescent="0.3">
      <c r="A135" t="s">
        <v>206</v>
      </c>
      <c r="B135" s="53">
        <f t="shared" si="11"/>
        <v>0</v>
      </c>
      <c r="C135" s="53">
        <f t="shared" si="12"/>
        <v>0</v>
      </c>
      <c r="D135" s="53">
        <f t="shared" si="13"/>
        <v>0</v>
      </c>
      <c r="E135" s="53">
        <f t="shared" si="14"/>
        <v>0</v>
      </c>
      <c r="F135" s="15">
        <v>0.62</v>
      </c>
      <c r="G135">
        <v>0.59899999999999998</v>
      </c>
      <c r="H135" t="s">
        <v>57</v>
      </c>
      <c r="I135" t="str">
        <f>VLOOKUP(A135,Planilha6!$BL$9:$BN$222,2,0)</f>
        <v>financial_services</v>
      </c>
      <c r="J135" t="str">
        <f>VLOOKUP(A135,Planilha6!$BL$9:$BN$222,3,0)</f>
        <v>very_high_beta</v>
      </c>
      <c r="K135" s="17">
        <v>0</v>
      </c>
      <c r="L135" s="2">
        <v>0</v>
      </c>
      <c r="M135" s="5">
        <v>3.5286688433200002</v>
      </c>
      <c r="N135" s="41">
        <f>VLOOKUP(A135,'Mandato LP'!$A$2:$B$215,2,0)</f>
        <v>0</v>
      </c>
      <c r="O135" s="59">
        <f t="shared" si="15"/>
        <v>0</v>
      </c>
      <c r="P135" s="42">
        <f t="shared" si="16"/>
        <v>0</v>
      </c>
      <c r="Q135" s="41">
        <f>VLOOKUP(A135,'Mandato LP'!$A$2:$C$215,3,0)</f>
        <v>0</v>
      </c>
      <c r="R135" s="42">
        <f t="shared" si="17"/>
        <v>0</v>
      </c>
      <c r="S135" s="15">
        <v>-0.51200000000000001</v>
      </c>
      <c r="T135" s="15">
        <v>-0.49099999999999999</v>
      </c>
      <c r="U135" s="15">
        <v>-0.747</v>
      </c>
      <c r="V135" s="15">
        <v>-0.52300000000000002</v>
      </c>
      <c r="W135" s="15">
        <v>-0.58299999999999996</v>
      </c>
      <c r="X135" s="15">
        <v>-0.48099999999999998</v>
      </c>
      <c r="Y135" s="15">
        <v>-0.42</v>
      </c>
      <c r="Z135" s="15">
        <v>-0.628</v>
      </c>
      <c r="AA135" s="15">
        <v>0.26400000000000001</v>
      </c>
      <c r="AB135" s="15">
        <v>0.26300000000000001</v>
      </c>
      <c r="AC135" s="15">
        <v>0.66500000000000004</v>
      </c>
      <c r="AD135" s="15">
        <v>0.70699999999999996</v>
      </c>
      <c r="AE135" s="15">
        <v>0.505</v>
      </c>
      <c r="AF135" s="14">
        <v>-0.439</v>
      </c>
      <c r="AG135" s="110">
        <v>0.26600000000000001</v>
      </c>
      <c r="AH135" s="110">
        <v>-0.22800000000000001</v>
      </c>
      <c r="AI135" s="110">
        <v>-0.85099999999999998</v>
      </c>
      <c r="AJ135" s="110">
        <v>-0.91500000000000004</v>
      </c>
      <c r="AK135" s="16">
        <v>-0.93600000000000005</v>
      </c>
      <c r="AL135" s="111">
        <v>0.109</v>
      </c>
      <c r="AM135" s="111">
        <v>-0.60699999999999998</v>
      </c>
      <c r="AN135" s="4">
        <v>-0.41799999999999998</v>
      </c>
      <c r="AO135" s="4">
        <v>0.35299999999999998</v>
      </c>
      <c r="AP135" s="4">
        <v>-0.13300000000000001</v>
      </c>
      <c r="AQ135" s="4">
        <v>0.28699999999999998</v>
      </c>
      <c r="AR135" s="4">
        <v>9.7000000000000003E-2</v>
      </c>
      <c r="AS135" s="4">
        <v>5.6000000000000001E-2</v>
      </c>
      <c r="AT135" s="4">
        <v>0.5</v>
      </c>
      <c r="AU135" s="4">
        <v>1.4999999999999999E-2</v>
      </c>
      <c r="AV135" s="4">
        <v>-2.1999999999999999E-2</v>
      </c>
      <c r="AW135" s="4">
        <v>-7.3999999999999996E-2</v>
      </c>
      <c r="AX135" s="4">
        <v>6.4000000000000001E-2</v>
      </c>
      <c r="AY135" s="4">
        <v>-0.10199999999999999</v>
      </c>
      <c r="AZ135" s="4">
        <v>3.9E-2</v>
      </c>
      <c r="BA135" s="4">
        <v>0.06</v>
      </c>
      <c r="BB135" s="4">
        <v>0.54200000000000004</v>
      </c>
      <c r="BC135" s="4">
        <v>-0.308</v>
      </c>
      <c r="BD135" s="4">
        <v>2.3E-2</v>
      </c>
      <c r="BE135" s="4">
        <v>-6.9000000000000006E-2</v>
      </c>
      <c r="BF135" s="4">
        <v>1E-3</v>
      </c>
      <c r="BG135" s="4">
        <v>0.155</v>
      </c>
      <c r="BH135" s="4">
        <v>0.34799999999999998</v>
      </c>
      <c r="BI135" s="4">
        <v>-0.13</v>
      </c>
      <c r="BJ135" s="4">
        <v>0.34599999999999997</v>
      </c>
      <c r="BK135" s="4">
        <v>0.18</v>
      </c>
      <c r="BL135" s="4">
        <v>-0.5</v>
      </c>
      <c r="BM135" s="4">
        <v>0.97899999999999998</v>
      </c>
      <c r="BN135" s="4"/>
    </row>
    <row r="136" spans="1:66" x14ac:dyDescent="0.3">
      <c r="A136" t="s">
        <v>130</v>
      </c>
      <c r="B136" s="53">
        <f t="shared" si="11"/>
        <v>0</v>
      </c>
      <c r="C136" s="53">
        <f t="shared" si="12"/>
        <v>0</v>
      </c>
      <c r="D136" s="53">
        <f t="shared" si="13"/>
        <v>0</v>
      </c>
      <c r="E136" s="53">
        <f t="shared" si="14"/>
        <v>0</v>
      </c>
      <c r="F136" s="15">
        <v>0.61799999999999999</v>
      </c>
      <c r="G136">
        <v>0.44500000000000001</v>
      </c>
      <c r="H136" t="s">
        <v>71</v>
      </c>
      <c r="I136" t="str">
        <f>VLOOKUP(A136,Planilha6!$BL$9:$BN$222,2,0)</f>
        <v>basic_materials</v>
      </c>
      <c r="J136" t="str">
        <f>VLOOKUP(A136,Planilha6!$BL$9:$BN$222,3,0)</f>
        <v>very_high_beta</v>
      </c>
      <c r="K136" s="17">
        <v>0</v>
      </c>
      <c r="L136" s="2">
        <v>0</v>
      </c>
      <c r="M136" s="5">
        <v>2.1689231177566701</v>
      </c>
      <c r="N136" s="41">
        <f>VLOOKUP(A136,'Mandato LP'!$A$2:$B$215,2,0)</f>
        <v>0</v>
      </c>
      <c r="O136" s="59">
        <f t="shared" si="15"/>
        <v>0</v>
      </c>
      <c r="P136" s="42">
        <f t="shared" si="16"/>
        <v>0</v>
      </c>
      <c r="Q136" s="41">
        <f>VLOOKUP(A136,'Mandato LP'!$A$2:$C$215,3,0)</f>
        <v>0</v>
      </c>
      <c r="R136" s="42">
        <f t="shared" si="17"/>
        <v>0</v>
      </c>
      <c r="S136" s="15">
        <v>-0.67500000000000004</v>
      </c>
      <c r="T136" s="15">
        <v>-0.375</v>
      </c>
      <c r="U136" s="15">
        <v>-0.90300000000000002</v>
      </c>
      <c r="V136" s="15">
        <v>-0.54900000000000004</v>
      </c>
      <c r="W136" s="15">
        <v>-0.622</v>
      </c>
      <c r="X136" s="15">
        <v>-0.627</v>
      </c>
      <c r="Y136" s="15">
        <v>-0.69099999999999995</v>
      </c>
      <c r="Z136" s="15">
        <v>-0.58199999999999996</v>
      </c>
      <c r="AA136" s="15">
        <v>0.60199999999999998</v>
      </c>
      <c r="AB136" s="15">
        <v>0.60099999999999998</v>
      </c>
      <c r="AC136" s="15">
        <v>0.52800000000000002</v>
      </c>
      <c r="AD136" s="15">
        <v>0.75700000000000001</v>
      </c>
      <c r="AE136" s="15">
        <v>0.61399999999999999</v>
      </c>
      <c r="AF136" s="14">
        <v>-0.66500000000000004</v>
      </c>
      <c r="AG136" s="110">
        <v>-0.80700000000000005</v>
      </c>
      <c r="AH136" s="110">
        <v>0.14499999999999999</v>
      </c>
      <c r="AI136" s="110">
        <v>-0.84499999999999997</v>
      </c>
      <c r="AJ136" s="110">
        <v>-0.40600000000000003</v>
      </c>
      <c r="AK136" s="16">
        <v>-0.96799999999999997</v>
      </c>
      <c r="AL136" s="111">
        <v>-7.0000000000000007E-2</v>
      </c>
      <c r="AM136" s="111">
        <v>-0.54</v>
      </c>
      <c r="AN136" s="4">
        <v>-0.496</v>
      </c>
      <c r="AO136" s="4">
        <v>-0.48199999999999998</v>
      </c>
      <c r="AP136" s="4">
        <v>0.79900000000000004</v>
      </c>
      <c r="AQ136" s="4">
        <v>0.86499999999999999</v>
      </c>
      <c r="AR136" s="4">
        <v>0.16400000000000001</v>
      </c>
      <c r="AS136" s="4">
        <v>-0.52200000000000002</v>
      </c>
      <c r="AT136" s="4">
        <v>-1.6E-2</v>
      </c>
      <c r="AU136" s="4">
        <v>0.25700000000000001</v>
      </c>
      <c r="AV136" s="4">
        <v>0.20699999999999999</v>
      </c>
      <c r="AW136" s="4">
        <v>0.14000000000000001</v>
      </c>
      <c r="AX136" s="4">
        <v>0.16400000000000001</v>
      </c>
      <c r="AY136" s="4">
        <v>0.158</v>
      </c>
      <c r="AZ136" s="4">
        <v>0.17299999999999999</v>
      </c>
      <c r="BA136" s="4">
        <v>8.0000000000000002E-3</v>
      </c>
      <c r="BB136" s="4">
        <v>0.46200000000000002</v>
      </c>
      <c r="BC136" s="4">
        <v>-9.8000000000000004E-2</v>
      </c>
      <c r="BD136" s="4">
        <v>0.42599999999999999</v>
      </c>
      <c r="BE136" s="4">
        <v>0.32600000000000001</v>
      </c>
      <c r="BF136" s="4">
        <v>-0.94599999999999995</v>
      </c>
      <c r="BG136" s="4">
        <v>0.35199999999999998</v>
      </c>
      <c r="BH136" s="4">
        <v>-0.70199999999999996</v>
      </c>
      <c r="BI136" s="4">
        <v>-1</v>
      </c>
      <c r="BJ136" s="4">
        <v>0.39300000000000002</v>
      </c>
      <c r="BK136" s="4">
        <v>-4.5999999999999999E-2</v>
      </c>
      <c r="BL136" s="4">
        <v>-0.56499999999999995</v>
      </c>
      <c r="BM136" s="4">
        <v>-0.30599999999999999</v>
      </c>
      <c r="BN136" s="4"/>
    </row>
    <row r="137" spans="1:66" x14ac:dyDescent="0.3">
      <c r="A137" t="s">
        <v>216</v>
      </c>
      <c r="B137" s="53">
        <f t="shared" si="11"/>
        <v>0</v>
      </c>
      <c r="C137" s="53">
        <f t="shared" si="12"/>
        <v>0</v>
      </c>
      <c r="D137" s="53">
        <f t="shared" si="13"/>
        <v>0</v>
      </c>
      <c r="E137" s="53">
        <f t="shared" si="14"/>
        <v>0</v>
      </c>
      <c r="F137" s="15">
        <v>0.61699999999999999</v>
      </c>
      <c r="G137">
        <v>0.45500000000000002</v>
      </c>
      <c r="H137" t="s">
        <v>71</v>
      </c>
      <c r="I137" t="str">
        <f>VLOOKUP(A137,Planilha6!$BL$9:$BN$222,2,0)</f>
        <v>basic_materials</v>
      </c>
      <c r="J137" t="str">
        <f>VLOOKUP(A137,Planilha6!$BL$9:$BN$222,3,0)</f>
        <v>very_low_beta</v>
      </c>
      <c r="K137" s="17">
        <v>0</v>
      </c>
      <c r="L137" s="2">
        <v>0</v>
      </c>
      <c r="M137" s="5">
        <v>0.11526871682000001</v>
      </c>
      <c r="N137" s="41">
        <f>VLOOKUP(A137,'Mandato LP'!$A$2:$B$215,2,0)</f>
        <v>0</v>
      </c>
      <c r="O137" s="59">
        <f t="shared" si="15"/>
        <v>0</v>
      </c>
      <c r="P137" s="42">
        <f t="shared" si="16"/>
        <v>0</v>
      </c>
      <c r="Q137" s="41">
        <f>VLOOKUP(A137,'Mandato LP'!$A$2:$C$215,3,0)</f>
        <v>0</v>
      </c>
      <c r="R137" s="42">
        <f t="shared" si="17"/>
        <v>0</v>
      </c>
      <c r="S137" s="15">
        <v>-0.71699999999999997</v>
      </c>
      <c r="T137" s="15">
        <v>-0.31</v>
      </c>
      <c r="U137" s="15">
        <v>-0.84899999999999998</v>
      </c>
      <c r="V137" s="15">
        <v>-0.67700000000000005</v>
      </c>
      <c r="W137" s="15">
        <v>-0.61699999999999999</v>
      </c>
      <c r="X137" s="15">
        <v>-0.52800000000000002</v>
      </c>
      <c r="Y137" s="15">
        <v>-0.59</v>
      </c>
      <c r="Z137" s="15">
        <v>-0.71</v>
      </c>
      <c r="AA137" s="15">
        <v>0.57699999999999996</v>
      </c>
      <c r="AB137" s="15">
        <v>0.57599999999999996</v>
      </c>
      <c r="AC137" s="15">
        <v>0.46100000000000002</v>
      </c>
      <c r="AD137" s="15">
        <v>0.627</v>
      </c>
      <c r="AE137" s="15">
        <v>0.79900000000000004</v>
      </c>
      <c r="AF137" s="14">
        <v>-0.47199999999999998</v>
      </c>
      <c r="AG137" s="110">
        <v>-0.99199999999999999</v>
      </c>
      <c r="AH137" s="110">
        <v>0.71899999999999997</v>
      </c>
      <c r="AI137" s="110">
        <v>-0.72699999999999998</v>
      </c>
      <c r="AJ137" s="110">
        <v>1</v>
      </c>
      <c r="AK137" s="16">
        <v>-0.877</v>
      </c>
      <c r="AL137" s="111">
        <v>-0.186</v>
      </c>
      <c r="AM137" s="111">
        <v>-1</v>
      </c>
      <c r="AN137" s="4">
        <v>-0.44600000000000001</v>
      </c>
      <c r="AO137" s="4">
        <v>-0.13700000000000001</v>
      </c>
      <c r="AP137" s="4">
        <v>1</v>
      </c>
      <c r="AQ137" s="4">
        <v>0.89400000000000002</v>
      </c>
      <c r="AR137" s="4">
        <v>-0.53500000000000003</v>
      </c>
      <c r="AS137" s="4">
        <v>-0.48699999999999999</v>
      </c>
      <c r="AT137" s="4">
        <v>-0.27600000000000002</v>
      </c>
      <c r="AU137" s="4">
        <v>5.5E-2</v>
      </c>
      <c r="AV137" s="4">
        <v>-0.376</v>
      </c>
      <c r="AW137" s="4">
        <v>-4.5999999999999999E-2</v>
      </c>
      <c r="AX137" s="4">
        <v>-0.22900000000000001</v>
      </c>
      <c r="AY137" s="4">
        <v>-0.247</v>
      </c>
      <c r="AZ137" s="4">
        <v>0.67900000000000005</v>
      </c>
      <c r="BA137" s="4">
        <v>-0.38600000000000001</v>
      </c>
      <c r="BB137" s="4">
        <v>0.48299999999999998</v>
      </c>
      <c r="BC137" s="4">
        <v>4.5999999999999999E-2</v>
      </c>
      <c r="BD137" s="4">
        <v>-0.25600000000000001</v>
      </c>
      <c r="BE137" s="4">
        <v>0.622</v>
      </c>
      <c r="BF137" s="4">
        <v>0.34499999999999997</v>
      </c>
      <c r="BG137" s="4">
        <v>-1.0999999999999999E-2</v>
      </c>
      <c r="BH137" s="4">
        <v>1</v>
      </c>
      <c r="BI137" s="4">
        <v>-0.39100000000000001</v>
      </c>
      <c r="BJ137" s="4">
        <v>-1</v>
      </c>
      <c r="BK137" s="4">
        <v>-0.245</v>
      </c>
      <c r="BL137" s="4">
        <v>0.20899999999999999</v>
      </c>
      <c r="BM137" s="4">
        <v>0.13200000000000001</v>
      </c>
      <c r="BN137" s="4"/>
    </row>
    <row r="138" spans="1:66" x14ac:dyDescent="0.3">
      <c r="A138" t="s">
        <v>194</v>
      </c>
      <c r="B138" s="53">
        <f t="shared" ref="B138:B201" si="18">K138</f>
        <v>0</v>
      </c>
      <c r="C138" s="53">
        <f t="shared" ref="C138:C201" si="19">B138-E138</f>
        <v>-8.2169999999999997E-4</v>
      </c>
      <c r="D138" s="53">
        <f t="shared" ref="D138:D201" si="20">B138-K138</f>
        <v>0</v>
      </c>
      <c r="E138" s="53">
        <f t="shared" ref="E138:E201" si="21">VLOOKUP(A138,$J$295:$K$508,2,0)</f>
        <v>8.2169999999999997E-4</v>
      </c>
      <c r="F138" s="15">
        <v>0.61599999999999999</v>
      </c>
      <c r="G138">
        <v>0.65100000000000002</v>
      </c>
      <c r="H138" t="s">
        <v>57</v>
      </c>
      <c r="I138" t="str">
        <f>VLOOKUP(A138,Planilha6!$BL$9:$BN$222,2,0)</f>
        <v>homebuilders</v>
      </c>
      <c r="J138" t="str">
        <f>VLOOKUP(A138,Planilha6!$BL$9:$BN$222,3,0)</f>
        <v>very_high_beta</v>
      </c>
      <c r="K138" s="17">
        <v>0</v>
      </c>
      <c r="L138" s="2">
        <v>-1E-3</v>
      </c>
      <c r="M138" s="5">
        <v>1.54502868585333</v>
      </c>
      <c r="N138" s="41">
        <f>VLOOKUP(A138,'Mandato LP'!$A$2:$B$215,2,0)</f>
        <v>0</v>
      </c>
      <c r="O138" s="59">
        <f t="shared" ref="O138:O201" si="22">K138-N138</f>
        <v>0</v>
      </c>
      <c r="P138" s="42">
        <f t="shared" ref="P138:P201" si="23">B138-N138</f>
        <v>0</v>
      </c>
      <c r="Q138" s="41">
        <f>VLOOKUP(A138,'Mandato LP'!$A$2:$C$215,3,0)</f>
        <v>0</v>
      </c>
      <c r="R138" s="42">
        <f t="shared" ref="R138:R201" si="24">K138-Q138</f>
        <v>0</v>
      </c>
      <c r="S138" s="15">
        <v>-0.64500000000000002</v>
      </c>
      <c r="T138" s="15">
        <v>-0.51200000000000001</v>
      </c>
      <c r="U138" s="15">
        <v>-0.82699999999999996</v>
      </c>
      <c r="V138" s="15">
        <v>-0.48899999999999999</v>
      </c>
      <c r="W138" s="15">
        <v>-0.57699999999999996</v>
      </c>
      <c r="X138" s="15">
        <v>-0.53600000000000003</v>
      </c>
      <c r="Y138" s="15">
        <v>-0.45100000000000001</v>
      </c>
      <c r="Z138" s="15">
        <v>-0.443</v>
      </c>
      <c r="AA138" s="15">
        <v>0.246</v>
      </c>
      <c r="AB138" s="15">
        <v>0.247</v>
      </c>
      <c r="AC138" s="15">
        <v>0.72299999999999998</v>
      </c>
      <c r="AD138" s="15">
        <v>0.66400000000000003</v>
      </c>
      <c r="AE138" s="15">
        <v>0.43099999999999999</v>
      </c>
      <c r="AF138" s="14">
        <v>-0.48299999999999998</v>
      </c>
      <c r="AG138" s="110">
        <v>0.32800000000000001</v>
      </c>
      <c r="AH138" s="110">
        <v>-0.157</v>
      </c>
      <c r="AI138" s="110">
        <v>-0.64200000000000002</v>
      </c>
      <c r="AJ138" s="110">
        <v>-0.53400000000000003</v>
      </c>
      <c r="AK138" s="16">
        <v>-0.82799999999999996</v>
      </c>
      <c r="AL138" s="111">
        <v>-0.27300000000000002</v>
      </c>
      <c r="AM138" s="111">
        <v>3.5000000000000003E-2</v>
      </c>
      <c r="AN138" s="4">
        <v>-0.38300000000000001</v>
      </c>
      <c r="AO138" s="4">
        <v>0.217</v>
      </c>
      <c r="AP138" s="4">
        <v>-6.7000000000000004E-2</v>
      </c>
      <c r="AQ138" s="4">
        <v>0.27300000000000002</v>
      </c>
      <c r="AR138" s="4">
        <v>0.45500000000000002</v>
      </c>
      <c r="AS138" s="4">
        <v>0.183</v>
      </c>
      <c r="AT138" s="4">
        <v>0.57399999999999995</v>
      </c>
      <c r="AU138" s="4">
        <v>0.14799999999999999</v>
      </c>
      <c r="AV138" s="4">
        <v>-6.9000000000000006E-2</v>
      </c>
      <c r="AW138" s="4">
        <v>-0.26200000000000001</v>
      </c>
      <c r="AX138" s="4">
        <v>-0.16200000000000001</v>
      </c>
      <c r="AY138" s="4">
        <v>-0.17199999999999999</v>
      </c>
      <c r="AZ138" s="4">
        <v>0.84399999999999997</v>
      </c>
      <c r="BA138" s="4">
        <v>9.8000000000000004E-2</v>
      </c>
      <c r="BB138" s="4">
        <v>0.107</v>
      </c>
      <c r="BC138" s="4">
        <v>-0.70899999999999996</v>
      </c>
      <c r="BD138" s="4">
        <v>-0.61299999999999999</v>
      </c>
      <c r="BE138" s="4">
        <v>-8.6999999999999994E-2</v>
      </c>
      <c r="BF138" s="4">
        <v>0.248</v>
      </c>
      <c r="BG138" s="4">
        <v>6.4000000000000001E-2</v>
      </c>
      <c r="BH138" s="4">
        <v>0.106</v>
      </c>
      <c r="BI138" s="4">
        <v>-0.61299999999999999</v>
      </c>
      <c r="BJ138" s="4">
        <v>0.80800000000000005</v>
      </c>
      <c r="BK138" s="4">
        <v>-0.73</v>
      </c>
      <c r="BL138" s="4">
        <v>-0.38700000000000001</v>
      </c>
      <c r="BM138" s="4">
        <v>2.7E-2</v>
      </c>
      <c r="BN138" s="4"/>
    </row>
    <row r="139" spans="1:66" x14ac:dyDescent="0.3">
      <c r="A139" t="s">
        <v>153</v>
      </c>
      <c r="B139" s="53">
        <f t="shared" si="18"/>
        <v>0</v>
      </c>
      <c r="C139" s="53">
        <f t="shared" si="19"/>
        <v>-3.7012799999999999E-3</v>
      </c>
      <c r="D139" s="53">
        <f t="shared" si="20"/>
        <v>0</v>
      </c>
      <c r="E139" s="53">
        <f t="shared" si="21"/>
        <v>3.7012799999999999E-3</v>
      </c>
      <c r="F139" s="15">
        <v>0.61499999999999999</v>
      </c>
      <c r="G139">
        <v>0.72799999999999998</v>
      </c>
      <c r="H139" t="s">
        <v>57</v>
      </c>
      <c r="I139" t="str">
        <f>VLOOKUP(A139,Planilha6!$BL$9:$BN$222,2,0)</f>
        <v>consumer_services</v>
      </c>
      <c r="J139" t="str">
        <f>VLOOKUP(A139,Planilha6!$BL$9:$BN$222,3,0)</f>
        <v>very_low_beta</v>
      </c>
      <c r="K139" s="17">
        <v>0</v>
      </c>
      <c r="L139" s="2">
        <v>-4.0000000000000001E-3</v>
      </c>
      <c r="M139" s="5">
        <v>0.88338808666666702</v>
      </c>
      <c r="N139" s="41">
        <f>VLOOKUP(A139,'Mandato LP'!$A$2:$B$215,2,0)</f>
        <v>0</v>
      </c>
      <c r="O139" s="59">
        <f t="shared" si="22"/>
        <v>0</v>
      </c>
      <c r="P139" s="42">
        <f t="shared" si="23"/>
        <v>0</v>
      </c>
      <c r="Q139" s="41">
        <f>VLOOKUP(A139,'Mandato LP'!$A$2:$C$215,3,0)</f>
        <v>0</v>
      </c>
      <c r="R139" s="42">
        <f t="shared" si="24"/>
        <v>0</v>
      </c>
      <c r="S139" s="15">
        <v>-0.78</v>
      </c>
      <c r="T139" s="15">
        <v>-0.36</v>
      </c>
      <c r="U139" s="15">
        <v>-0.94399999999999995</v>
      </c>
      <c r="V139" s="15">
        <v>-0.59199999999999997</v>
      </c>
      <c r="W139" s="15">
        <v>-0.63100000000000001</v>
      </c>
      <c r="X139" s="15">
        <v>-0.61499999999999999</v>
      </c>
      <c r="Y139" s="15">
        <v>-0.53100000000000003</v>
      </c>
      <c r="Z139" s="15">
        <v>-0.54600000000000004</v>
      </c>
      <c r="AA139" s="15">
        <v>0.61499999999999999</v>
      </c>
      <c r="AB139" s="15">
        <v>0.62</v>
      </c>
      <c r="AC139" s="15">
        <v>0.57499999999999996</v>
      </c>
      <c r="AD139" s="15">
        <v>0.72599999999999998</v>
      </c>
      <c r="AE139" s="15">
        <v>0.59499999999999997</v>
      </c>
      <c r="AF139" s="14">
        <v>-0.64700000000000002</v>
      </c>
      <c r="AG139" s="110">
        <v>-0.52300000000000002</v>
      </c>
      <c r="AH139" s="110">
        <v>0.53200000000000003</v>
      </c>
      <c r="AI139" s="110">
        <v>-0.91100000000000003</v>
      </c>
      <c r="AJ139" s="110">
        <v>-0.38900000000000001</v>
      </c>
      <c r="AK139" s="16">
        <v>-0.95199999999999996</v>
      </c>
      <c r="AL139" s="111">
        <v>-0.01</v>
      </c>
      <c r="AM139" s="111">
        <v>-0.45500000000000002</v>
      </c>
      <c r="AN139" s="4">
        <v>-0.47499999999999998</v>
      </c>
      <c r="AO139" s="4">
        <v>-5.5E-2</v>
      </c>
      <c r="AP139" s="4">
        <v>0.56599999999999995</v>
      </c>
      <c r="AQ139" s="4">
        <v>0.91400000000000003</v>
      </c>
      <c r="AR139" s="4">
        <v>0.32400000000000001</v>
      </c>
      <c r="AS139" s="4">
        <v>-0.63</v>
      </c>
      <c r="AT139" s="4">
        <v>-0.63700000000000001</v>
      </c>
      <c r="AU139" s="4">
        <v>0.52600000000000002</v>
      </c>
      <c r="AV139" s="4">
        <v>-0.49299999999999999</v>
      </c>
      <c r="AW139" s="4">
        <v>-0.16200000000000001</v>
      </c>
      <c r="AX139" s="4">
        <v>8.5999999999999993E-2</v>
      </c>
      <c r="AY139" s="4">
        <v>-0.224</v>
      </c>
      <c r="AZ139" s="4">
        <v>0.92700000000000005</v>
      </c>
      <c r="BA139" s="4">
        <v>-0.26700000000000002</v>
      </c>
      <c r="BB139" s="4">
        <v>0.63700000000000001</v>
      </c>
      <c r="BC139" s="4">
        <v>-0.438</v>
      </c>
      <c r="BD139" s="4">
        <v>-0.64200000000000002</v>
      </c>
      <c r="BE139" s="4">
        <v>0.17499999999999999</v>
      </c>
      <c r="BF139" s="4">
        <v>-0.39800000000000002</v>
      </c>
      <c r="BG139" s="4">
        <v>0.29699999999999999</v>
      </c>
      <c r="BH139" s="4">
        <v>0.65800000000000003</v>
      </c>
      <c r="BI139" s="4">
        <v>-0.57999999999999996</v>
      </c>
      <c r="BJ139" s="4">
        <v>-0.57599999999999996</v>
      </c>
      <c r="BK139" s="4">
        <v>-0.218</v>
      </c>
      <c r="BL139" s="4">
        <v>-0.38900000000000001</v>
      </c>
      <c r="BM139" s="4">
        <v>0.376</v>
      </c>
      <c r="BN139" s="4"/>
    </row>
    <row r="140" spans="1:66" x14ac:dyDescent="0.3">
      <c r="A140" t="s">
        <v>222</v>
      </c>
      <c r="B140" s="53">
        <f t="shared" si="18"/>
        <v>0</v>
      </c>
      <c r="C140" s="53">
        <f t="shared" si="19"/>
        <v>-3.4075799999999999E-3</v>
      </c>
      <c r="D140" s="53">
        <f t="shared" si="20"/>
        <v>0</v>
      </c>
      <c r="E140" s="53">
        <f t="shared" si="21"/>
        <v>3.4075799999999999E-3</v>
      </c>
      <c r="F140" s="15">
        <v>0.61199999999999999</v>
      </c>
      <c r="G140">
        <v>0.71199999999999997</v>
      </c>
      <c r="H140" t="s">
        <v>71</v>
      </c>
      <c r="I140" t="str">
        <f>VLOOKUP(A140,Planilha6!$BL$9:$BN$222,2,0)</f>
        <v>basic_materials</v>
      </c>
      <c r="J140" t="str">
        <f>VLOOKUP(A140,Planilha6!$BL$9:$BN$222,3,0)</f>
        <v>very_low_beta</v>
      </c>
      <c r="K140" s="17">
        <v>0</v>
      </c>
      <c r="L140" s="2">
        <v>-3.0000000000000001E-3</v>
      </c>
      <c r="M140" s="5">
        <v>1.432441611</v>
      </c>
      <c r="N140" s="41">
        <f>VLOOKUP(A140,'Mandato LP'!$A$2:$B$215,2,0)</f>
        <v>0</v>
      </c>
      <c r="O140" s="59">
        <f t="shared" si="22"/>
        <v>0</v>
      </c>
      <c r="P140" s="42">
        <f t="shared" si="23"/>
        <v>0</v>
      </c>
      <c r="Q140" s="41">
        <f>VLOOKUP(A140,'Mandato LP'!$A$2:$C$215,3,0)</f>
        <v>0</v>
      </c>
      <c r="R140" s="42">
        <f t="shared" si="24"/>
        <v>0</v>
      </c>
      <c r="S140" s="15">
        <v>-0.85699999999999998</v>
      </c>
      <c r="T140" s="15">
        <v>-0.59099999999999997</v>
      </c>
      <c r="U140" s="15">
        <v>-0.98099999999999998</v>
      </c>
      <c r="V140" s="15">
        <v>-0.71399999999999997</v>
      </c>
      <c r="W140" s="15">
        <v>-0.748</v>
      </c>
      <c r="X140" s="15">
        <v>-0.505</v>
      </c>
      <c r="Y140" s="15">
        <v>-0.13600000000000001</v>
      </c>
      <c r="Z140" s="15">
        <v>-0.55800000000000005</v>
      </c>
      <c r="AA140" s="15">
        <v>0.80300000000000005</v>
      </c>
      <c r="AB140" s="15">
        <v>0.80700000000000005</v>
      </c>
      <c r="AC140" s="15">
        <v>0.67100000000000004</v>
      </c>
      <c r="AD140" s="15">
        <v>0.68799999999999994</v>
      </c>
      <c r="AE140" s="15">
        <v>0.44600000000000001</v>
      </c>
      <c r="AF140" s="14">
        <v>-0.53300000000000003</v>
      </c>
      <c r="AG140" s="110">
        <v>-0.54800000000000004</v>
      </c>
      <c r="AH140" s="110">
        <v>-0.14899999999999999</v>
      </c>
      <c r="AI140" s="110">
        <v>-0.86799999999999999</v>
      </c>
      <c r="AJ140" s="110">
        <v>-0.94</v>
      </c>
      <c r="AK140" s="16">
        <v>-1</v>
      </c>
      <c r="AL140" s="111">
        <v>0.13200000000000001</v>
      </c>
      <c r="AM140" s="111">
        <v>-0.56999999999999995</v>
      </c>
      <c r="AN140" s="4">
        <v>-0.36399999999999999</v>
      </c>
      <c r="AO140" s="4">
        <v>9.9000000000000005E-2</v>
      </c>
      <c r="AP140" s="4">
        <v>4.8000000000000001E-2</v>
      </c>
      <c r="AQ140" s="4">
        <v>-0.16700000000000001</v>
      </c>
      <c r="AR140" s="4">
        <v>-0.312</v>
      </c>
      <c r="AS140" s="4">
        <v>0.47299999999999998</v>
      </c>
      <c r="AT140" s="4">
        <v>2.3E-2</v>
      </c>
      <c r="AU140" s="4">
        <v>0.24099999999999999</v>
      </c>
      <c r="AV140" s="4">
        <v>0.219</v>
      </c>
      <c r="AW140" s="4">
        <v>-0.23899999999999999</v>
      </c>
      <c r="AX140" s="4">
        <v>0.95799999999999996</v>
      </c>
      <c r="AY140" s="4">
        <v>-0.41099999999999998</v>
      </c>
      <c r="AZ140" s="4">
        <v>0.38700000000000001</v>
      </c>
      <c r="BA140" s="4">
        <v>-1</v>
      </c>
      <c r="BB140" s="4">
        <v>-0.48499999999999999</v>
      </c>
      <c r="BC140" s="4">
        <v>-0.123</v>
      </c>
      <c r="BD140" s="4">
        <v>-0.26300000000000001</v>
      </c>
      <c r="BE140" s="4">
        <v>0.126</v>
      </c>
      <c r="BF140" s="4">
        <v>1</v>
      </c>
      <c r="BG140" s="4">
        <v>0.88500000000000001</v>
      </c>
      <c r="BH140" s="4">
        <v>0.84399999999999997</v>
      </c>
      <c r="BI140" s="4">
        <v>-0.24399999999999999</v>
      </c>
      <c r="BJ140" s="4">
        <v>-0.64700000000000002</v>
      </c>
      <c r="BK140" s="4">
        <v>-0.34200000000000003</v>
      </c>
      <c r="BL140" s="4">
        <v>-0.67</v>
      </c>
      <c r="BM140" s="4">
        <v>0.23599999999999999</v>
      </c>
      <c r="BN140" s="4"/>
    </row>
    <row r="141" spans="1:66" x14ac:dyDescent="0.3">
      <c r="A141" t="s">
        <v>179</v>
      </c>
      <c r="B141" s="53">
        <f t="shared" si="18"/>
        <v>0</v>
      </c>
      <c r="C141" s="53">
        <f t="shared" si="19"/>
        <v>-4.1513999999999999E-4</v>
      </c>
      <c r="D141" s="53">
        <f t="shared" si="20"/>
        <v>0</v>
      </c>
      <c r="E141" s="53">
        <f t="shared" si="21"/>
        <v>4.1513999999999999E-4</v>
      </c>
      <c r="F141" s="15">
        <v>0.61</v>
      </c>
      <c r="G141">
        <v>0.48899999999999999</v>
      </c>
      <c r="H141" t="s">
        <v>71</v>
      </c>
      <c r="I141" t="str">
        <f>VLOOKUP(A141,Planilha6!$BL$9:$BN$222,2,0)</f>
        <v>basic_materials</v>
      </c>
      <c r="J141" t="str">
        <f>VLOOKUP(A141,Planilha6!$BL$9:$BN$222,3,0)</f>
        <v>neutral_beta</v>
      </c>
      <c r="K141" s="17">
        <v>0</v>
      </c>
      <c r="L141" s="2">
        <v>0</v>
      </c>
      <c r="M141" s="5">
        <v>0.29829440727000001</v>
      </c>
      <c r="N141" s="41">
        <f>VLOOKUP(A141,'Mandato LP'!$A$2:$B$215,2,0)</f>
        <v>0</v>
      </c>
      <c r="O141" s="59">
        <f t="shared" si="22"/>
        <v>0</v>
      </c>
      <c r="P141" s="42">
        <f t="shared" si="23"/>
        <v>0</v>
      </c>
      <c r="Q141" s="41">
        <f>VLOOKUP(A141,'Mandato LP'!$A$2:$C$215,3,0)</f>
        <v>0</v>
      </c>
      <c r="R141" s="42">
        <f t="shared" si="24"/>
        <v>0</v>
      </c>
      <c r="S141" s="15">
        <v>-0.65600000000000003</v>
      </c>
      <c r="T141" s="15">
        <v>-0.63600000000000001</v>
      </c>
      <c r="U141" s="15">
        <v>-0.84699999999999998</v>
      </c>
      <c r="V141" s="15">
        <v>-0.53200000000000003</v>
      </c>
      <c r="W141" s="15">
        <v>-0.67200000000000004</v>
      </c>
      <c r="X141" s="15">
        <v>-0.61099999999999999</v>
      </c>
      <c r="Y141" s="15">
        <v>-0.69899999999999995</v>
      </c>
      <c r="Z141" s="15">
        <v>-0.73699999999999999</v>
      </c>
      <c r="AA141" s="15">
        <v>0.60299999999999998</v>
      </c>
      <c r="AB141" s="15">
        <v>0.60799999999999998</v>
      </c>
      <c r="AC141" s="15">
        <v>0.61399999999999999</v>
      </c>
      <c r="AD141" s="15">
        <v>0.90600000000000003</v>
      </c>
      <c r="AE141" s="15">
        <v>0.69299999999999995</v>
      </c>
      <c r="AF141" s="14">
        <v>-0.215</v>
      </c>
      <c r="AG141" s="110">
        <v>-0.22600000000000001</v>
      </c>
      <c r="AH141" s="110">
        <v>0.77800000000000002</v>
      </c>
      <c r="AI141" s="110">
        <v>-0.52100000000000002</v>
      </c>
      <c r="AJ141" s="110">
        <v>-0.42399999999999999</v>
      </c>
      <c r="AK141" s="16">
        <v>-0.86199999999999999</v>
      </c>
      <c r="AL141" s="111">
        <v>-0.34399999999999997</v>
      </c>
      <c r="AM141" s="111">
        <v>-0.63600000000000001</v>
      </c>
      <c r="AN141" s="4">
        <v>0.5</v>
      </c>
      <c r="AO141" s="4">
        <v>-0.52800000000000002</v>
      </c>
      <c r="AP141" s="4">
        <v>0.505</v>
      </c>
      <c r="AQ141" s="4">
        <v>-9.8000000000000004E-2</v>
      </c>
      <c r="AR141" s="4">
        <v>-0.434</v>
      </c>
      <c r="AS141" s="4">
        <v>0.748</v>
      </c>
      <c r="AT141" s="4">
        <v>0.43099999999999999</v>
      </c>
      <c r="AU141" s="4">
        <v>-0.109</v>
      </c>
      <c r="AV141" s="4">
        <v>-0.60299999999999998</v>
      </c>
      <c r="AW141" s="4">
        <v>-9.2999999999999999E-2</v>
      </c>
      <c r="AX141" s="4">
        <v>-5.3999999999999999E-2</v>
      </c>
      <c r="AY141" s="4">
        <v>-0.159</v>
      </c>
      <c r="AZ141" s="4">
        <v>0.753</v>
      </c>
      <c r="BA141" s="4">
        <v>-1</v>
      </c>
      <c r="BB141" s="4">
        <v>0.26400000000000001</v>
      </c>
      <c r="BC141" s="4">
        <v>0.45700000000000002</v>
      </c>
      <c r="BD141" s="4">
        <v>0.16300000000000001</v>
      </c>
      <c r="BE141" s="4">
        <v>0.314</v>
      </c>
      <c r="BF141" s="4">
        <v>-2.5000000000000001E-2</v>
      </c>
      <c r="BG141" s="4">
        <v>0.23799999999999999</v>
      </c>
      <c r="BH141" s="4">
        <v>0.39200000000000002</v>
      </c>
      <c r="BI141" s="4">
        <v>0.03</v>
      </c>
      <c r="BJ141" s="4">
        <v>-0.26700000000000002</v>
      </c>
      <c r="BK141" s="4">
        <v>-0.40200000000000002</v>
      </c>
      <c r="BL141" s="4">
        <v>0.11799999999999999</v>
      </c>
      <c r="BM141" s="4">
        <v>-0.51</v>
      </c>
      <c r="BN141" s="4"/>
    </row>
    <row r="142" spans="1:66" x14ac:dyDescent="0.3">
      <c r="A142" t="s">
        <v>190</v>
      </c>
      <c r="B142" s="53">
        <f t="shared" si="18"/>
        <v>0</v>
      </c>
      <c r="C142" s="53">
        <f t="shared" si="19"/>
        <v>0</v>
      </c>
      <c r="D142" s="53">
        <f t="shared" si="20"/>
        <v>0</v>
      </c>
      <c r="E142" s="53">
        <f t="shared" si="21"/>
        <v>0</v>
      </c>
      <c r="F142" s="15">
        <v>0.60699999999999998</v>
      </c>
      <c r="G142">
        <v>0.439</v>
      </c>
      <c r="H142" t="s">
        <v>68</v>
      </c>
      <c r="I142" t="str">
        <f>VLOOKUP(A142,Planilha6!$BL$9:$BN$222,2,0)</f>
        <v>capital_goods</v>
      </c>
      <c r="J142" t="str">
        <f>VLOOKUP(A142,Planilha6!$BL$9:$BN$222,3,0)</f>
        <v>very_high_beta</v>
      </c>
      <c r="K142" s="17">
        <v>0</v>
      </c>
      <c r="L142" s="2">
        <v>0</v>
      </c>
      <c r="M142" s="5">
        <v>0.37920470976666698</v>
      </c>
      <c r="N142" s="41">
        <f>VLOOKUP(A142,'Mandato LP'!$A$2:$B$215,2,0)</f>
        <v>0</v>
      </c>
      <c r="O142" s="59">
        <f t="shared" si="22"/>
        <v>0</v>
      </c>
      <c r="P142" s="42">
        <f t="shared" si="23"/>
        <v>0</v>
      </c>
      <c r="Q142" s="41">
        <f>VLOOKUP(A142,'Mandato LP'!$A$2:$C$215,3,0)</f>
        <v>0</v>
      </c>
      <c r="R142" s="42">
        <f t="shared" si="24"/>
        <v>0</v>
      </c>
      <c r="S142" s="15">
        <v>-0.22900000000000001</v>
      </c>
      <c r="T142" s="15">
        <v>-0.626</v>
      </c>
      <c r="U142" s="15">
        <v>-0.24099999999999999</v>
      </c>
      <c r="V142" s="15">
        <v>-0.46300000000000002</v>
      </c>
      <c r="W142" s="15">
        <v>-0.58199999999999996</v>
      </c>
      <c r="X142" s="15">
        <v>-0.74199999999999999</v>
      </c>
      <c r="Y142" s="15">
        <v>-0.78400000000000003</v>
      </c>
      <c r="Z142" s="15">
        <v>-0.72899999999999998</v>
      </c>
      <c r="AA142" s="15">
        <v>0.193</v>
      </c>
      <c r="AB142" s="15">
        <v>0.188</v>
      </c>
      <c r="AC142" s="15">
        <v>0.64900000000000002</v>
      </c>
      <c r="AD142" s="15">
        <v>0.17899999999999999</v>
      </c>
      <c r="AE142" s="15">
        <v>0.47799999999999998</v>
      </c>
      <c r="AF142" s="14">
        <v>-0.60099999999999998</v>
      </c>
      <c r="AG142" s="110">
        <v>-0.215</v>
      </c>
      <c r="AH142" s="110">
        <v>0.26500000000000001</v>
      </c>
      <c r="AI142" s="110">
        <v>-8.6999999999999994E-2</v>
      </c>
      <c r="AJ142" s="110">
        <v>1</v>
      </c>
      <c r="AK142" s="16">
        <v>-0.68</v>
      </c>
      <c r="AL142" s="111">
        <v>-0.19800000000000001</v>
      </c>
      <c r="AM142" s="111">
        <v>-5.1999999999999998E-2</v>
      </c>
      <c r="AN142" s="4">
        <v>-0.38900000000000001</v>
      </c>
      <c r="AO142" s="4">
        <v>0.56200000000000006</v>
      </c>
      <c r="AP142" s="4">
        <v>0.54800000000000004</v>
      </c>
      <c r="AQ142" s="4">
        <v>0.58299999999999996</v>
      </c>
      <c r="AR142" s="4">
        <v>-6.5000000000000002E-2</v>
      </c>
      <c r="AS142" s="4">
        <v>0.50600000000000001</v>
      </c>
      <c r="AT142" s="4">
        <v>0.24299999999999999</v>
      </c>
      <c r="AU142" s="4">
        <v>2.1999999999999999E-2</v>
      </c>
      <c r="AV142" s="4">
        <v>-0.10100000000000001</v>
      </c>
      <c r="AW142" s="4">
        <v>-0.33300000000000002</v>
      </c>
      <c r="AX142" s="4">
        <v>-0.66700000000000004</v>
      </c>
      <c r="AY142" s="4">
        <v>-9.2999999999999999E-2</v>
      </c>
      <c r="AZ142" s="4">
        <v>0.44700000000000001</v>
      </c>
      <c r="BA142" s="4">
        <v>-0.79100000000000004</v>
      </c>
      <c r="BB142" s="4">
        <v>-0.38900000000000001</v>
      </c>
      <c r="BC142" s="4">
        <v>-0.29399999999999998</v>
      </c>
      <c r="BD142" s="4">
        <v>-0.251</v>
      </c>
      <c r="BE142" s="4">
        <v>0.121</v>
      </c>
      <c r="BF142" s="4">
        <v>-0.41499999999999998</v>
      </c>
      <c r="BG142" s="4">
        <v>-1</v>
      </c>
      <c r="BH142" s="4">
        <v>-0.85299999999999998</v>
      </c>
      <c r="BI142" s="4">
        <v>0.39500000000000002</v>
      </c>
      <c r="BJ142" s="4">
        <v>1</v>
      </c>
      <c r="BK142" s="4">
        <v>0.60599999999999998</v>
      </c>
      <c r="BL142" s="4">
        <v>0.28499999999999998</v>
      </c>
      <c r="BM142" s="4">
        <v>-0.219</v>
      </c>
      <c r="BN142" s="4"/>
    </row>
    <row r="143" spans="1:66" x14ac:dyDescent="0.3">
      <c r="A143" t="s">
        <v>141</v>
      </c>
      <c r="B143" s="53">
        <f t="shared" si="18"/>
        <v>0</v>
      </c>
      <c r="C143" s="53">
        <f t="shared" si="19"/>
        <v>-3.5639999999999999E-4</v>
      </c>
      <c r="D143" s="53">
        <f t="shared" si="20"/>
        <v>0</v>
      </c>
      <c r="E143" s="53">
        <f t="shared" si="21"/>
        <v>3.5639999999999999E-4</v>
      </c>
      <c r="F143" s="15">
        <v>0.60399999999999998</v>
      </c>
      <c r="G143">
        <v>0.46500000000000002</v>
      </c>
      <c r="H143" t="s">
        <v>57</v>
      </c>
      <c r="I143" t="str">
        <f>VLOOKUP(A143,Planilha6!$BL$9:$BN$222,2,0)</f>
        <v>education</v>
      </c>
      <c r="J143" t="str">
        <f>VLOOKUP(A143,Planilha6!$BL$9:$BN$222,3,0)</f>
        <v>high_beta</v>
      </c>
      <c r="K143" s="17">
        <v>0</v>
      </c>
      <c r="L143" s="2">
        <v>0</v>
      </c>
      <c r="M143" s="5">
        <v>0.56297308642999999</v>
      </c>
      <c r="N143" s="41">
        <f>VLOOKUP(A143,'Mandato LP'!$A$2:$B$215,2,0)</f>
        <v>0</v>
      </c>
      <c r="O143" s="59">
        <f t="shared" si="22"/>
        <v>0</v>
      </c>
      <c r="P143" s="42">
        <f t="shared" si="23"/>
        <v>0</v>
      </c>
      <c r="Q143" s="41">
        <f>VLOOKUP(A143,'Mandato LP'!$A$2:$C$215,3,0)</f>
        <v>0</v>
      </c>
      <c r="R143" s="42">
        <f t="shared" si="24"/>
        <v>0</v>
      </c>
      <c r="S143" s="15">
        <v>-0.434</v>
      </c>
      <c r="T143" s="15">
        <v>-0.56799999999999995</v>
      </c>
      <c r="U143" s="15">
        <v>-0.41699999999999998</v>
      </c>
      <c r="V143" s="15">
        <v>-0.33200000000000002</v>
      </c>
      <c r="W143" s="15">
        <v>-0.41699999999999998</v>
      </c>
      <c r="X143" s="15">
        <v>-0.44600000000000001</v>
      </c>
      <c r="Y143" s="15">
        <v>-0.375</v>
      </c>
      <c r="Z143" s="15">
        <v>-0.49299999999999999</v>
      </c>
      <c r="AA143" s="15">
        <v>-9.6000000000000002E-2</v>
      </c>
      <c r="AB143" s="15">
        <v>-9.4E-2</v>
      </c>
      <c r="AC143" s="15">
        <v>0.54400000000000004</v>
      </c>
      <c r="AD143" s="15">
        <v>0.56000000000000005</v>
      </c>
      <c r="AE143" s="15">
        <v>0.16</v>
      </c>
      <c r="AF143" s="14">
        <v>0.376</v>
      </c>
      <c r="AG143" s="110">
        <v>0.42899999999999999</v>
      </c>
      <c r="AH143" s="110">
        <v>-0.59599999999999997</v>
      </c>
      <c r="AI143" s="110">
        <v>9.7000000000000003E-2</v>
      </c>
      <c r="AJ143" s="110">
        <v>-0.61599999999999999</v>
      </c>
      <c r="AK143" s="16">
        <v>0.58899999999999997</v>
      </c>
      <c r="AL143" s="111">
        <v>0.27800000000000002</v>
      </c>
      <c r="AM143" s="111">
        <v>-0.17100000000000001</v>
      </c>
      <c r="AN143" s="4">
        <v>-0.39200000000000002</v>
      </c>
      <c r="AO143" s="4">
        <v>0.79400000000000004</v>
      </c>
      <c r="AP143" s="4">
        <v>-0.41199999999999998</v>
      </c>
      <c r="AQ143" s="4">
        <v>-0.44400000000000001</v>
      </c>
      <c r="AR143" s="4">
        <v>0.437</v>
      </c>
      <c r="AS143" s="4">
        <v>-0.92500000000000004</v>
      </c>
      <c r="AT143" s="4">
        <v>-0.56299999999999994</v>
      </c>
      <c r="AU143" s="4">
        <v>0.30399999999999999</v>
      </c>
      <c r="AV143" s="4">
        <v>-2.4E-2</v>
      </c>
      <c r="AW143" s="4">
        <v>0.30199999999999999</v>
      </c>
      <c r="AX143" s="4">
        <v>-0.44600000000000001</v>
      </c>
      <c r="AY143" s="4">
        <v>-0.432</v>
      </c>
      <c r="AZ143" s="4">
        <v>0.79900000000000004</v>
      </c>
      <c r="BA143" s="4">
        <v>0.27800000000000002</v>
      </c>
      <c r="BB143" s="4">
        <v>-0.15</v>
      </c>
      <c r="BC143" s="4">
        <v>0.24299999999999999</v>
      </c>
      <c r="BD143" s="4">
        <v>6.5000000000000002E-2</v>
      </c>
      <c r="BE143" s="4">
        <v>0.111</v>
      </c>
      <c r="BF143" s="4">
        <v>-0.34599999999999997</v>
      </c>
      <c r="BG143" s="4">
        <v>-7.6999999999999999E-2</v>
      </c>
      <c r="BH143" s="4">
        <v>0.316</v>
      </c>
      <c r="BI143" s="4">
        <v>-0.124</v>
      </c>
      <c r="BJ143" s="4">
        <v>0.27100000000000002</v>
      </c>
      <c r="BK143" s="4">
        <v>-0.54300000000000004</v>
      </c>
      <c r="BL143" s="4">
        <v>7.0000000000000001E-3</v>
      </c>
      <c r="BM143" s="4">
        <v>0.70099999999999996</v>
      </c>
      <c r="BN143" s="4"/>
    </row>
    <row r="144" spans="1:66" x14ac:dyDescent="0.3">
      <c r="A144" t="s">
        <v>193</v>
      </c>
      <c r="B144" s="53">
        <f t="shared" si="18"/>
        <v>0</v>
      </c>
      <c r="C144" s="53">
        <f t="shared" si="19"/>
        <v>-2.38623E-3</v>
      </c>
      <c r="D144" s="53">
        <f t="shared" si="20"/>
        <v>0</v>
      </c>
      <c r="E144" s="53">
        <f t="shared" si="21"/>
        <v>2.38623E-3</v>
      </c>
      <c r="F144" s="15">
        <v>0.60299999999999998</v>
      </c>
      <c r="G144">
        <v>0.86099999999999999</v>
      </c>
      <c r="H144" t="s">
        <v>55</v>
      </c>
      <c r="I144" t="str">
        <f>VLOOKUP(A144,Planilha6!$BL$9:$BN$222,2,0)</f>
        <v>utilities</v>
      </c>
      <c r="J144" t="str">
        <f>VLOOKUP(A144,Planilha6!$BL$9:$BN$222,3,0)</f>
        <v>neutral_beta</v>
      </c>
      <c r="K144" s="17">
        <v>0</v>
      </c>
      <c r="L144" s="2">
        <v>-2E-3</v>
      </c>
      <c r="M144" s="5">
        <v>2.0488349456466701</v>
      </c>
      <c r="N144" s="41">
        <f>VLOOKUP(A144,'Mandato LP'!$A$2:$B$215,2,0)</f>
        <v>0</v>
      </c>
      <c r="O144" s="59">
        <f t="shared" si="22"/>
        <v>0</v>
      </c>
      <c r="P144" s="42">
        <f t="shared" si="23"/>
        <v>0</v>
      </c>
      <c r="Q144" s="41">
        <f>VLOOKUP(A144,'Mandato LP'!$A$2:$C$215,3,0)</f>
        <v>0</v>
      </c>
      <c r="R144" s="42">
        <f t="shared" si="24"/>
        <v>0</v>
      </c>
      <c r="S144" s="15">
        <v>-0.86499999999999999</v>
      </c>
      <c r="T144" s="15">
        <v>-0.29099999999999998</v>
      </c>
      <c r="U144" s="15">
        <v>-0.94699999999999995</v>
      </c>
      <c r="V144" s="15">
        <v>-0.749</v>
      </c>
      <c r="W144" s="15">
        <v>-0.64300000000000002</v>
      </c>
      <c r="X144" s="15">
        <v>-0.625</v>
      </c>
      <c r="Y144" s="15">
        <v>-0.41099999999999998</v>
      </c>
      <c r="Z144" s="15">
        <v>-0.39500000000000002</v>
      </c>
      <c r="AA144" s="15">
        <v>0.435</v>
      </c>
      <c r="AB144" s="15">
        <v>0.44400000000000001</v>
      </c>
      <c r="AC144" s="15">
        <v>0.64500000000000002</v>
      </c>
      <c r="AD144" s="15">
        <v>0.55200000000000005</v>
      </c>
      <c r="AE144" s="15">
        <v>0.46100000000000002</v>
      </c>
      <c r="AF144" s="14">
        <v>-0.83399999999999996</v>
      </c>
      <c r="AG144" s="110">
        <v>-0.77700000000000002</v>
      </c>
      <c r="AH144" s="110">
        <v>0.69</v>
      </c>
      <c r="AI144" s="110">
        <v>-0.89600000000000002</v>
      </c>
      <c r="AJ144" s="110">
        <v>-0.39400000000000002</v>
      </c>
      <c r="AK144" s="16">
        <v>-0.98599999999999999</v>
      </c>
      <c r="AL144" s="111">
        <v>-0.245</v>
      </c>
      <c r="AM144" s="111">
        <v>-0.45500000000000002</v>
      </c>
      <c r="AN144" s="4">
        <v>-0.41399999999999998</v>
      </c>
      <c r="AO144" s="4">
        <v>-0.49</v>
      </c>
      <c r="AP144" s="4">
        <v>0.45300000000000001</v>
      </c>
      <c r="AQ144" s="4">
        <v>0.68799999999999994</v>
      </c>
      <c r="AR144" s="4">
        <v>-0.128</v>
      </c>
      <c r="AS144" s="4">
        <v>-0.33</v>
      </c>
      <c r="AT144" s="4">
        <v>-0.80900000000000005</v>
      </c>
      <c r="AU144" s="4">
        <v>0.16300000000000001</v>
      </c>
      <c r="AV144" s="4">
        <v>-0.124</v>
      </c>
      <c r="AW144" s="4">
        <v>-0.438</v>
      </c>
      <c r="AX144" s="4">
        <v>0.48899999999999999</v>
      </c>
      <c r="AY144" s="4">
        <v>-0.72499999999999998</v>
      </c>
      <c r="AZ144" s="4">
        <v>0.94199999999999995</v>
      </c>
      <c r="BA144" s="4">
        <v>0.26800000000000002</v>
      </c>
      <c r="BB144" s="4">
        <v>-0.56599999999999995</v>
      </c>
      <c r="BC144" s="4">
        <v>-0.33500000000000002</v>
      </c>
      <c r="BD144" s="4">
        <v>-0.53500000000000003</v>
      </c>
      <c r="BE144" s="4">
        <v>0.11899999999999999</v>
      </c>
      <c r="BF144" s="4">
        <v>-0.113</v>
      </c>
      <c r="BG144" s="4">
        <v>0.55400000000000005</v>
      </c>
      <c r="BH144" s="4">
        <v>0.77600000000000002</v>
      </c>
      <c r="BI144" s="4">
        <v>-0.433</v>
      </c>
      <c r="BJ144" s="4">
        <v>2.4E-2</v>
      </c>
      <c r="BK144" s="4">
        <v>-0.214</v>
      </c>
      <c r="BL144" s="4">
        <v>-0.22700000000000001</v>
      </c>
      <c r="BM144" s="4">
        <v>-0.09</v>
      </c>
      <c r="BN144" s="4"/>
    </row>
    <row r="145" spans="1:66" x14ac:dyDescent="0.3">
      <c r="A145" t="s">
        <v>234</v>
      </c>
      <c r="B145" s="53">
        <f t="shared" si="18"/>
        <v>0</v>
      </c>
      <c r="C145" s="53">
        <f t="shared" si="19"/>
        <v>-5.0918999999999997E-4</v>
      </c>
      <c r="D145" s="53">
        <f t="shared" si="20"/>
        <v>0</v>
      </c>
      <c r="E145" s="53">
        <f t="shared" si="21"/>
        <v>5.0918999999999997E-4</v>
      </c>
      <c r="F145" s="15">
        <v>0.6</v>
      </c>
      <c r="G145">
        <v>0.59799999999999998</v>
      </c>
      <c r="H145" t="s">
        <v>55</v>
      </c>
      <c r="I145" t="str">
        <f>VLOOKUP(A145,Planilha6!$BL$9:$BN$222,2,0)</f>
        <v>utilities</v>
      </c>
      <c r="J145" t="str">
        <f>VLOOKUP(A145,Planilha6!$BL$9:$BN$222,3,0)</f>
        <v>neutral_beta</v>
      </c>
      <c r="K145" s="17">
        <v>0</v>
      </c>
      <c r="L145" s="2">
        <v>-1E-3</v>
      </c>
      <c r="M145" s="5">
        <v>1.1523442214433299</v>
      </c>
      <c r="N145" s="41">
        <f>VLOOKUP(A145,'Mandato LP'!$A$2:$B$215,2,0)</f>
        <v>0</v>
      </c>
      <c r="O145" s="59">
        <f t="shared" si="22"/>
        <v>0</v>
      </c>
      <c r="P145" s="42">
        <f t="shared" si="23"/>
        <v>0</v>
      </c>
      <c r="Q145" s="41">
        <f>VLOOKUP(A145,'Mandato LP'!$A$2:$C$215,3,0)</f>
        <v>0</v>
      </c>
      <c r="R145" s="42">
        <f t="shared" si="24"/>
        <v>0</v>
      </c>
      <c r="S145" s="15">
        <v>-0.80200000000000005</v>
      </c>
      <c r="T145" s="15">
        <v>-0.55300000000000005</v>
      </c>
      <c r="U145" s="15">
        <v>-0.84899999999999998</v>
      </c>
      <c r="V145" s="15">
        <v>-0.77</v>
      </c>
      <c r="W145" s="15">
        <v>-0.68899999999999995</v>
      </c>
      <c r="X145" s="15">
        <v>-0.629</v>
      </c>
      <c r="Y145" s="15">
        <v>-0.53900000000000003</v>
      </c>
      <c r="Z145" s="15">
        <v>-0.42599999999999999</v>
      </c>
      <c r="AA145" s="15">
        <v>0.48399999999999999</v>
      </c>
      <c r="AB145" s="15">
        <v>0.48399999999999999</v>
      </c>
      <c r="AC145" s="15">
        <v>0.55500000000000005</v>
      </c>
      <c r="AD145" s="15">
        <v>0.58799999999999997</v>
      </c>
      <c r="AE145" s="15">
        <v>0.49299999999999999</v>
      </c>
      <c r="AF145" s="14">
        <v>-0.89800000000000002</v>
      </c>
      <c r="AG145" s="110">
        <v>-0.59499999999999997</v>
      </c>
      <c r="AH145" s="110">
        <v>-0.20100000000000001</v>
      </c>
      <c r="AI145" s="110">
        <v>-0.89200000000000002</v>
      </c>
      <c r="AJ145" s="110">
        <v>-0.39200000000000002</v>
      </c>
      <c r="AK145" s="16">
        <v>-0.94699999999999995</v>
      </c>
      <c r="AL145" s="111">
        <v>-0.376</v>
      </c>
      <c r="AM145" s="111">
        <v>-0.111</v>
      </c>
      <c r="AN145" s="4">
        <v>-0.28499999999999998</v>
      </c>
      <c r="AO145" s="4">
        <v>-0.36099999999999999</v>
      </c>
      <c r="AP145" s="4">
        <v>0.38400000000000001</v>
      </c>
      <c r="AQ145" s="4">
        <v>0.41499999999999998</v>
      </c>
      <c r="AR145" s="4">
        <v>-0.19400000000000001</v>
      </c>
      <c r="AS145" s="4">
        <v>0.72299999999999998</v>
      </c>
      <c r="AT145" s="4">
        <v>0.11899999999999999</v>
      </c>
      <c r="AU145" s="4">
        <v>-0.23300000000000001</v>
      </c>
      <c r="AV145" s="4">
        <v>-0.42499999999999999</v>
      </c>
      <c r="AW145" s="4">
        <v>-0.45500000000000002</v>
      </c>
      <c r="AX145" s="4">
        <v>0.58699999999999997</v>
      </c>
      <c r="AY145" s="4">
        <v>-0.65900000000000003</v>
      </c>
      <c r="AZ145" s="4">
        <v>-0.192</v>
      </c>
      <c r="BA145" s="4">
        <v>0.222</v>
      </c>
      <c r="BB145" s="4">
        <v>-0.34100000000000003</v>
      </c>
      <c r="BC145" s="4">
        <v>8.4000000000000005E-2</v>
      </c>
      <c r="BD145" s="4">
        <v>-0.24099999999999999</v>
      </c>
      <c r="BE145" s="4">
        <v>0.106</v>
      </c>
      <c r="BF145" s="4">
        <v>-0.60499999999999998</v>
      </c>
      <c r="BG145" s="4">
        <v>0.219</v>
      </c>
      <c r="BH145" s="4">
        <v>0.44900000000000001</v>
      </c>
      <c r="BI145" s="4">
        <v>-0.29499999999999998</v>
      </c>
      <c r="BJ145" s="4">
        <v>3.1E-2</v>
      </c>
      <c r="BK145" s="4">
        <v>6.4000000000000001E-2</v>
      </c>
      <c r="BL145" s="4">
        <v>5.8000000000000003E-2</v>
      </c>
      <c r="BM145" s="4">
        <v>-0.313</v>
      </c>
      <c r="BN145" s="4"/>
    </row>
    <row r="146" spans="1:66" x14ac:dyDescent="0.3">
      <c r="A146" t="s">
        <v>200</v>
      </c>
      <c r="B146" s="53">
        <f t="shared" si="18"/>
        <v>0</v>
      </c>
      <c r="C146" s="53">
        <f t="shared" si="19"/>
        <v>-2.01366E-3</v>
      </c>
      <c r="D146" s="53">
        <f t="shared" si="20"/>
        <v>0</v>
      </c>
      <c r="E146" s="53">
        <f t="shared" si="21"/>
        <v>2.01366E-3</v>
      </c>
      <c r="F146" s="15">
        <v>0.59799999999999998</v>
      </c>
      <c r="G146">
        <v>0.79900000000000004</v>
      </c>
      <c r="H146" t="s">
        <v>55</v>
      </c>
      <c r="I146" t="str">
        <f>VLOOKUP(A146,Planilha6!$BL$9:$BN$222,2,0)</f>
        <v>transportation</v>
      </c>
      <c r="J146" t="str">
        <f>VLOOKUP(A146,Planilha6!$BL$9:$BN$222,3,0)</f>
        <v>high_beta</v>
      </c>
      <c r="K146" s="17">
        <v>0</v>
      </c>
      <c r="L146" s="2">
        <v>-2E-3</v>
      </c>
      <c r="M146" s="5">
        <v>0.36507169351000002</v>
      </c>
      <c r="N146" s="41">
        <f>VLOOKUP(A146,'Mandato LP'!$A$2:$B$215,2,0)</f>
        <v>0</v>
      </c>
      <c r="O146" s="59">
        <f t="shared" si="22"/>
        <v>0</v>
      </c>
      <c r="P146" s="42">
        <f t="shared" si="23"/>
        <v>0</v>
      </c>
      <c r="Q146" s="41">
        <f>VLOOKUP(A146,'Mandato LP'!$A$2:$C$215,3,0)</f>
        <v>0</v>
      </c>
      <c r="R146" s="42">
        <f t="shared" si="24"/>
        <v>0</v>
      </c>
      <c r="S146" s="15">
        <v>-0.73199999999999998</v>
      </c>
      <c r="T146" s="15">
        <v>-0.374</v>
      </c>
      <c r="U146" s="15">
        <v>-0.88700000000000001</v>
      </c>
      <c r="V146" s="15">
        <v>-0.71199999999999997</v>
      </c>
      <c r="W146" s="15">
        <v>-0.66700000000000004</v>
      </c>
      <c r="X146" s="15">
        <v>-0.46200000000000002</v>
      </c>
      <c r="Y146" s="15">
        <v>-0.17499999999999999</v>
      </c>
      <c r="Z146" s="15">
        <v>-0.51700000000000002</v>
      </c>
      <c r="AA146" s="15">
        <v>0.21099999999999999</v>
      </c>
      <c r="AB146" s="15">
        <v>0.217</v>
      </c>
      <c r="AC146" s="15">
        <v>0.55600000000000005</v>
      </c>
      <c r="AD146" s="15">
        <v>0.59899999999999998</v>
      </c>
      <c r="AE146" s="15">
        <v>0.39</v>
      </c>
      <c r="AF146" s="14">
        <v>-0.55000000000000004</v>
      </c>
      <c r="AG146" s="110">
        <v>-0.65</v>
      </c>
      <c r="AH146" s="110">
        <v>-0.16300000000000001</v>
      </c>
      <c r="AI146" s="110">
        <v>-0.92500000000000004</v>
      </c>
      <c r="AJ146" s="110">
        <v>-0.73499999999999999</v>
      </c>
      <c r="AK146" s="16">
        <v>-0.99199999999999999</v>
      </c>
      <c r="AL146" s="111">
        <v>-0.20200000000000001</v>
      </c>
      <c r="AM146" s="111">
        <v>-0.58099999999999996</v>
      </c>
      <c r="AN146" s="4">
        <v>-0.55100000000000005</v>
      </c>
      <c r="AO146" s="4">
        <v>-0.188</v>
      </c>
      <c r="AP146" s="4">
        <v>9.6000000000000002E-2</v>
      </c>
      <c r="AQ146" s="4">
        <v>0.29199999999999998</v>
      </c>
      <c r="AR146" s="4">
        <v>-0.16700000000000001</v>
      </c>
      <c r="AS146" s="4">
        <v>0.57099999999999995</v>
      </c>
      <c r="AT146" s="4">
        <v>-9.9000000000000005E-2</v>
      </c>
      <c r="AU146" s="4">
        <v>0.20499999999999999</v>
      </c>
      <c r="AV146" s="4">
        <v>8.8999999999999996E-2</v>
      </c>
      <c r="AW146" s="4">
        <v>-0.122</v>
      </c>
      <c r="AX146" s="4">
        <v>0.33400000000000002</v>
      </c>
      <c r="AY146" s="4">
        <v>-0.70299999999999996</v>
      </c>
      <c r="AZ146" s="4">
        <v>0.78600000000000003</v>
      </c>
      <c r="BA146" s="4">
        <v>0.14499999999999999</v>
      </c>
      <c r="BB146" s="4">
        <v>0.76300000000000001</v>
      </c>
      <c r="BC146" s="4">
        <v>-0.40600000000000003</v>
      </c>
      <c r="BD146" s="4">
        <v>-0.45400000000000001</v>
      </c>
      <c r="BE146" s="4">
        <v>0.22800000000000001</v>
      </c>
      <c r="BF146" s="4">
        <v>-0.43099999999999999</v>
      </c>
      <c r="BG146" s="4">
        <v>-0.14699999999999999</v>
      </c>
      <c r="BH146" s="4">
        <v>0.66200000000000003</v>
      </c>
      <c r="BI146" s="4">
        <v>-0.35099999999999998</v>
      </c>
      <c r="BJ146" s="4">
        <v>0.52200000000000002</v>
      </c>
      <c r="BK146" s="4">
        <v>-0.20399999999999999</v>
      </c>
      <c r="BL146" s="4">
        <v>-0.68799999999999994</v>
      </c>
      <c r="BM146" s="4">
        <v>0.38200000000000001</v>
      </c>
      <c r="BN146" s="4"/>
    </row>
    <row r="147" spans="1:66" x14ac:dyDescent="0.3">
      <c r="A147" t="s">
        <v>208</v>
      </c>
      <c r="B147" s="53">
        <f t="shared" si="18"/>
        <v>0</v>
      </c>
      <c r="C147" s="53">
        <f t="shared" si="19"/>
        <v>0</v>
      </c>
      <c r="D147" s="53">
        <f t="shared" si="20"/>
        <v>0</v>
      </c>
      <c r="E147" s="53">
        <f t="shared" si="21"/>
        <v>0</v>
      </c>
      <c r="F147" s="15">
        <v>0.59499999999999997</v>
      </c>
      <c r="G147">
        <v>0.43099999999999999</v>
      </c>
      <c r="H147" t="s">
        <v>57</v>
      </c>
      <c r="I147" t="str">
        <f>VLOOKUP(A147,Planilha6!$BL$9:$BN$222,2,0)</f>
        <v>consumer_services</v>
      </c>
      <c r="J147" t="str">
        <f>VLOOKUP(A147,Planilha6!$BL$9:$BN$222,3,0)</f>
        <v>very_high_beta</v>
      </c>
      <c r="K147" s="17">
        <v>0</v>
      </c>
      <c r="L147" s="2">
        <v>0</v>
      </c>
      <c r="M147" s="5">
        <v>0.35009327099999998</v>
      </c>
      <c r="N147" s="41">
        <f>VLOOKUP(A147,'Mandato LP'!$A$2:$B$215,2,0)</f>
        <v>0</v>
      </c>
      <c r="O147" s="59">
        <f t="shared" si="22"/>
        <v>0</v>
      </c>
      <c r="P147" s="42">
        <f t="shared" si="23"/>
        <v>0</v>
      </c>
      <c r="Q147" s="41">
        <f>VLOOKUP(A147,'Mandato LP'!$A$2:$C$215,3,0)</f>
        <v>0</v>
      </c>
      <c r="R147" s="42">
        <f t="shared" si="24"/>
        <v>0</v>
      </c>
      <c r="S147" s="15">
        <v>-0.55300000000000005</v>
      </c>
      <c r="T147" s="15">
        <v>-0.52</v>
      </c>
      <c r="U147" s="15">
        <v>-0.73099999999999998</v>
      </c>
      <c r="V147" s="15">
        <v>-0.442</v>
      </c>
      <c r="W147" s="15">
        <v>-0.58099999999999996</v>
      </c>
      <c r="X147" s="15">
        <v>-0.71199999999999997</v>
      </c>
      <c r="Y147" s="15">
        <v>-0.754</v>
      </c>
      <c r="Z147" s="15">
        <v>-0.72599999999999998</v>
      </c>
      <c r="AA147" s="15">
        <v>0.33</v>
      </c>
      <c r="AB147" s="15">
        <v>0.32900000000000001</v>
      </c>
      <c r="AC147" s="15">
        <v>0.54600000000000004</v>
      </c>
      <c r="AD147" s="15">
        <v>0.58799999999999997</v>
      </c>
      <c r="AE147" s="15">
        <v>0.6</v>
      </c>
      <c r="AF147" s="14">
        <v>-0.16500000000000001</v>
      </c>
      <c r="AG147" s="110">
        <v>-0.253</v>
      </c>
      <c r="AH147" s="110">
        <v>0.36299999999999999</v>
      </c>
      <c r="AI147" s="110">
        <v>-0.434</v>
      </c>
      <c r="AJ147" s="110">
        <v>0.45500000000000002</v>
      </c>
      <c r="AK147" s="16">
        <v>-0.84599999999999997</v>
      </c>
      <c r="AL147" s="111">
        <v>0.1</v>
      </c>
      <c r="AM147" s="111">
        <v>-0.433</v>
      </c>
      <c r="AN147" s="4">
        <v>-0.22600000000000001</v>
      </c>
      <c r="AO147" s="4">
        <v>0.13</v>
      </c>
      <c r="AP147" s="4">
        <v>0.44400000000000001</v>
      </c>
      <c r="AQ147" s="4">
        <v>0.751</v>
      </c>
      <c r="AR147" s="4">
        <v>4.7E-2</v>
      </c>
      <c r="AS147" s="4">
        <v>0.27300000000000002</v>
      </c>
      <c r="AT147" s="4">
        <v>0.27500000000000002</v>
      </c>
      <c r="AU147" s="4">
        <v>0.221</v>
      </c>
      <c r="AV147" s="4">
        <v>-0.27900000000000003</v>
      </c>
      <c r="AW147" s="4">
        <v>-4.7E-2</v>
      </c>
      <c r="AX147" s="4">
        <v>-0.92600000000000005</v>
      </c>
      <c r="AY147" s="4">
        <v>-0.54300000000000004</v>
      </c>
      <c r="AZ147" s="4">
        <v>9.8000000000000004E-2</v>
      </c>
      <c r="BA147" s="4">
        <v>-2.1999999999999999E-2</v>
      </c>
      <c r="BB147" s="4">
        <v>-0.435</v>
      </c>
      <c r="BC147" s="4">
        <v>-0.23699999999999999</v>
      </c>
      <c r="BD147" s="4">
        <v>-0.60899999999999999</v>
      </c>
      <c r="BE147" s="4">
        <v>0.59199999999999997</v>
      </c>
      <c r="BF147" s="4">
        <v>-0.45900000000000002</v>
      </c>
      <c r="BG147" s="4">
        <v>-0.17</v>
      </c>
      <c r="BH147" s="4">
        <v>-0.187</v>
      </c>
      <c r="BI147" s="4">
        <v>-0.35099999999999998</v>
      </c>
      <c r="BJ147" s="4">
        <v>0.69699999999999995</v>
      </c>
      <c r="BK147" s="4">
        <v>-0.55500000000000005</v>
      </c>
      <c r="BL147" s="4">
        <v>8.3000000000000004E-2</v>
      </c>
      <c r="BM147" s="4">
        <v>0.40500000000000003</v>
      </c>
      <c r="BN147" s="4"/>
    </row>
    <row r="148" spans="1:66" x14ac:dyDescent="0.3">
      <c r="A148" t="s">
        <v>277</v>
      </c>
      <c r="B148" s="53">
        <f t="shared" si="18"/>
        <v>0</v>
      </c>
      <c r="C148" s="53">
        <f t="shared" si="19"/>
        <v>0</v>
      </c>
      <c r="D148" s="53">
        <f t="shared" si="20"/>
        <v>0</v>
      </c>
      <c r="E148" s="53">
        <f t="shared" si="21"/>
        <v>0</v>
      </c>
      <c r="F148" s="15">
        <v>0.58899999999999997</v>
      </c>
      <c r="G148">
        <v>0.54300000000000004</v>
      </c>
      <c r="H148" t="s">
        <v>55</v>
      </c>
      <c r="I148" t="str">
        <f>VLOOKUP(A148,Planilha6!$BL$9:$BN$222,2,0)</f>
        <v>telecom</v>
      </c>
      <c r="J148" t="str">
        <f>VLOOKUP(A148,Planilha6!$BL$9:$BN$222,3,0)</f>
        <v>low_beta</v>
      </c>
      <c r="K148" s="17">
        <v>0</v>
      </c>
      <c r="L148" s="2">
        <v>0</v>
      </c>
      <c r="M148" s="5">
        <v>6.7244442666666696E-2</v>
      </c>
      <c r="N148" s="41">
        <f>VLOOKUP(A148,'Mandato LP'!$A$2:$B$215,2,0)</f>
        <v>0</v>
      </c>
      <c r="O148" s="59">
        <f t="shared" si="22"/>
        <v>0</v>
      </c>
      <c r="P148" s="42">
        <f t="shared" si="23"/>
        <v>0</v>
      </c>
      <c r="Q148" s="41">
        <f>VLOOKUP(A148,'Mandato LP'!$A$2:$C$215,3,0)</f>
        <v>0</v>
      </c>
      <c r="R148" s="42">
        <f t="shared" si="24"/>
        <v>0</v>
      </c>
      <c r="S148" s="15">
        <v>-0.67500000000000004</v>
      </c>
      <c r="T148" s="15">
        <v>-0.44500000000000001</v>
      </c>
      <c r="U148" s="15">
        <v>-0.70699999999999996</v>
      </c>
      <c r="V148" s="15">
        <v>-0.77700000000000002</v>
      </c>
      <c r="W148" s="15">
        <v>-0.69</v>
      </c>
      <c r="X148" s="15">
        <v>-0.64400000000000002</v>
      </c>
      <c r="Y148" s="15">
        <v>-0.54100000000000004</v>
      </c>
      <c r="Z148" s="15">
        <v>-0.71499999999999997</v>
      </c>
      <c r="AA148" s="15">
        <v>0.36299999999999999</v>
      </c>
      <c r="AB148" s="15">
        <v>0.36899999999999999</v>
      </c>
      <c r="AC148" s="15">
        <v>0.52500000000000002</v>
      </c>
      <c r="AD148" s="15">
        <v>0.59699999999999998</v>
      </c>
      <c r="AE148" s="15">
        <v>0.58199999999999996</v>
      </c>
      <c r="AF148" s="14">
        <v>-1</v>
      </c>
      <c r="AG148" s="110">
        <v>-0.99199999999999999</v>
      </c>
      <c r="AH148" s="110">
        <v>0.10100000000000001</v>
      </c>
      <c r="AI148" s="110">
        <v>-0.70699999999999996</v>
      </c>
      <c r="AJ148" s="110">
        <v>0.03</v>
      </c>
      <c r="AK148" s="16">
        <v>-0.42799999999999999</v>
      </c>
      <c r="AL148" s="111">
        <v>-0.28499999999999998</v>
      </c>
      <c r="AM148" s="111">
        <v>-0.79900000000000004</v>
      </c>
      <c r="AN148" s="4">
        <v>-0.504</v>
      </c>
      <c r="AO148" s="4">
        <v>-0.35</v>
      </c>
      <c r="AP148" s="4">
        <v>0.47899999999999998</v>
      </c>
      <c r="AQ148" s="4">
        <v>0.31900000000000001</v>
      </c>
      <c r="AR148" s="4">
        <v>-3.4000000000000002E-2</v>
      </c>
      <c r="AS148" s="4">
        <v>8.4000000000000005E-2</v>
      </c>
      <c r="AT148" s="4">
        <v>-0.26200000000000001</v>
      </c>
      <c r="AU148" s="4">
        <v>0.152</v>
      </c>
      <c r="AV148" s="4">
        <v>0.13700000000000001</v>
      </c>
      <c r="AW148" s="4">
        <v>-0.65</v>
      </c>
      <c r="AX148" s="4">
        <v>0.191</v>
      </c>
      <c r="AY148" s="4">
        <v>0.10299999999999999</v>
      </c>
      <c r="AZ148" s="4">
        <v>0.59699999999999998</v>
      </c>
      <c r="BA148" s="4">
        <v>-0.32400000000000001</v>
      </c>
      <c r="BB148" s="4">
        <v>0.57199999999999995</v>
      </c>
      <c r="BC148" s="4">
        <v>1.9E-2</v>
      </c>
      <c r="BD148" s="4">
        <v>-0.20100000000000001</v>
      </c>
      <c r="BE148" s="4">
        <v>0.42099999999999999</v>
      </c>
      <c r="BF148" s="4">
        <v>4.7E-2</v>
      </c>
      <c r="BG148" s="4">
        <v>0.373</v>
      </c>
      <c r="BH148" s="4">
        <v>0.40799999999999997</v>
      </c>
      <c r="BI148" s="4">
        <v>-5.0999999999999997E-2</v>
      </c>
      <c r="BJ148" s="4">
        <v>-0.22</v>
      </c>
      <c r="BK148" s="4">
        <v>0.76200000000000001</v>
      </c>
      <c r="BL148" s="4">
        <v>-9.1999999999999998E-2</v>
      </c>
      <c r="BM148" s="4">
        <v>0.97099999999999997</v>
      </c>
      <c r="BN148" s="4"/>
    </row>
    <row r="149" spans="1:66" x14ac:dyDescent="0.3">
      <c r="A149" t="s">
        <v>148</v>
      </c>
      <c r="B149" s="53">
        <f t="shared" si="18"/>
        <v>0</v>
      </c>
      <c r="C149" s="53">
        <f t="shared" si="19"/>
        <v>-1.9543899999999999E-3</v>
      </c>
      <c r="D149" s="53">
        <f t="shared" si="20"/>
        <v>0</v>
      </c>
      <c r="E149" s="53">
        <f t="shared" si="21"/>
        <v>1.9543899999999999E-3</v>
      </c>
      <c r="F149" s="15">
        <v>0.58899999999999997</v>
      </c>
      <c r="G149">
        <v>0.55300000000000005</v>
      </c>
      <c r="H149" t="s">
        <v>68</v>
      </c>
      <c r="I149" t="str">
        <f>VLOOKUP(A149,Planilha6!$BL$9:$BN$222,2,0)</f>
        <v>capital_goods</v>
      </c>
      <c r="J149" t="str">
        <f>VLOOKUP(A149,Planilha6!$BL$9:$BN$222,3,0)</f>
        <v>high_beta</v>
      </c>
      <c r="K149" s="17">
        <v>0</v>
      </c>
      <c r="L149" s="2">
        <v>-2E-3</v>
      </c>
      <c r="M149" s="5">
        <v>0.70166605666666704</v>
      </c>
      <c r="N149" s="41">
        <f>VLOOKUP(A149,'Mandato LP'!$A$2:$B$215,2,0)</f>
        <v>0</v>
      </c>
      <c r="O149" s="59">
        <f t="shared" si="22"/>
        <v>0</v>
      </c>
      <c r="P149" s="42">
        <f t="shared" si="23"/>
        <v>0</v>
      </c>
      <c r="Q149" s="41">
        <f>VLOOKUP(A149,'Mandato LP'!$A$2:$C$215,3,0)</f>
        <v>0</v>
      </c>
      <c r="R149" s="42">
        <f t="shared" si="24"/>
        <v>0</v>
      </c>
      <c r="S149" s="15">
        <v>-0.81200000000000006</v>
      </c>
      <c r="T149" s="15">
        <v>-0.64100000000000001</v>
      </c>
      <c r="U149" s="15">
        <v>-0.79100000000000004</v>
      </c>
      <c r="V149" s="15">
        <v>-0.79300000000000004</v>
      </c>
      <c r="W149" s="15">
        <v>-0.70399999999999996</v>
      </c>
      <c r="X149" s="15">
        <v>-0.69299999999999995</v>
      </c>
      <c r="Y149" s="15">
        <v>-0.52400000000000002</v>
      </c>
      <c r="Z149" s="15">
        <v>-0.40600000000000003</v>
      </c>
      <c r="AA149" s="15">
        <v>0.497</v>
      </c>
      <c r="AB149" s="15">
        <v>0.496</v>
      </c>
      <c r="AC149" s="15">
        <v>0.45400000000000001</v>
      </c>
      <c r="AD149" s="15">
        <v>0.45900000000000002</v>
      </c>
      <c r="AE149" s="15">
        <v>0.42399999999999999</v>
      </c>
      <c r="AF149" s="14">
        <v>-0.68500000000000005</v>
      </c>
      <c r="AG149" s="110">
        <v>-0.89700000000000002</v>
      </c>
      <c r="AH149" s="110">
        <v>-0.755</v>
      </c>
      <c r="AI149" s="110">
        <v>-0.23300000000000001</v>
      </c>
      <c r="AJ149" s="110">
        <v>-0.19600000000000001</v>
      </c>
      <c r="AK149" s="16">
        <v>-0.23300000000000001</v>
      </c>
      <c r="AL149" s="111">
        <v>-0.16500000000000001</v>
      </c>
      <c r="AM149" s="111">
        <v>8.6999999999999994E-2</v>
      </c>
      <c r="AN149" s="4">
        <v>-0.61399999999999999</v>
      </c>
      <c r="AO149" s="4">
        <v>-0.46200000000000002</v>
      </c>
      <c r="AP149" s="4">
        <v>6.0000000000000001E-3</v>
      </c>
      <c r="AQ149" s="4">
        <v>-0.72799999999999998</v>
      </c>
      <c r="AR149" s="4">
        <v>-0.62</v>
      </c>
      <c r="AS149" s="4">
        <v>0.224</v>
      </c>
      <c r="AT149" s="4">
        <v>0.224</v>
      </c>
      <c r="AU149" s="4">
        <v>0.56299999999999994</v>
      </c>
      <c r="AV149" s="4">
        <v>-0.23499999999999999</v>
      </c>
      <c r="AW149" s="4">
        <v>-0.20699999999999999</v>
      </c>
      <c r="AX149" s="4">
        <v>0.373</v>
      </c>
      <c r="AY149" s="4">
        <v>0.33</v>
      </c>
      <c r="AZ149" s="4">
        <v>0.70099999999999996</v>
      </c>
      <c r="BA149" s="4">
        <v>0.10100000000000001</v>
      </c>
      <c r="BB149" s="4">
        <v>-0.497</v>
      </c>
      <c r="BC149" s="4">
        <v>-0.19900000000000001</v>
      </c>
      <c r="BD149" s="4">
        <v>-0.41</v>
      </c>
      <c r="BE149" s="4">
        <v>2.1000000000000001E-2</v>
      </c>
      <c r="BF149" s="4">
        <v>-1.7000000000000001E-2</v>
      </c>
      <c r="BG149" s="4">
        <v>-0.70099999999999996</v>
      </c>
      <c r="BH149" s="4">
        <v>0.52100000000000002</v>
      </c>
      <c r="BI149" s="4">
        <v>-0.40500000000000003</v>
      </c>
      <c r="BJ149" s="4">
        <v>0.46700000000000003</v>
      </c>
      <c r="BK149" s="4">
        <v>-0.57099999999999995</v>
      </c>
      <c r="BL149" s="4">
        <v>0.36599999999999999</v>
      </c>
      <c r="BM149" s="4">
        <v>-1</v>
      </c>
      <c r="BN149" s="4"/>
    </row>
    <row r="150" spans="1:66" x14ac:dyDescent="0.3">
      <c r="A150" t="s">
        <v>157</v>
      </c>
      <c r="B150" s="53">
        <f t="shared" si="18"/>
        <v>0</v>
      </c>
      <c r="C150" s="53">
        <f t="shared" si="19"/>
        <v>-3.9566999999999998E-4</v>
      </c>
      <c r="D150" s="53">
        <f t="shared" si="20"/>
        <v>0</v>
      </c>
      <c r="E150" s="53">
        <f t="shared" si="21"/>
        <v>3.9566999999999998E-4</v>
      </c>
      <c r="F150" s="15">
        <v>0.58799999999999997</v>
      </c>
      <c r="G150">
        <v>0.439</v>
      </c>
      <c r="H150" t="s">
        <v>57</v>
      </c>
      <c r="I150" t="str">
        <f>VLOOKUP(A150,Planilha6!$BL$9:$BN$222,2,0)</f>
        <v>consumer_durables</v>
      </c>
      <c r="J150" t="str">
        <f>VLOOKUP(A150,Planilha6!$BL$9:$BN$222,3,0)</f>
        <v>very_high_beta</v>
      </c>
      <c r="K150" s="17">
        <v>0</v>
      </c>
      <c r="L150" s="2">
        <v>0</v>
      </c>
      <c r="M150" s="5">
        <v>9.6881101363999994E-2</v>
      </c>
      <c r="N150" s="41">
        <f>VLOOKUP(A150,'Mandato LP'!$A$2:$B$215,2,0)</f>
        <v>0</v>
      </c>
      <c r="O150" s="59">
        <f t="shared" si="22"/>
        <v>0</v>
      </c>
      <c r="P150" s="42">
        <f t="shared" si="23"/>
        <v>0</v>
      </c>
      <c r="Q150" s="41">
        <f>VLOOKUP(A150,'Mandato LP'!$A$2:$C$215,3,0)</f>
        <v>0</v>
      </c>
      <c r="R150" s="42">
        <f t="shared" si="24"/>
        <v>0</v>
      </c>
      <c r="S150" s="15">
        <v>-2.7E-2</v>
      </c>
      <c r="T150" s="15">
        <v>-0.52500000000000002</v>
      </c>
      <c r="U150" s="15">
        <v>-0.51900000000000002</v>
      </c>
      <c r="V150" s="15">
        <v>7.4999999999999997E-2</v>
      </c>
      <c r="W150" s="15">
        <v>-0.41799999999999998</v>
      </c>
      <c r="X150" s="15">
        <v>-0.48799999999999999</v>
      </c>
      <c r="Y150" s="15">
        <v>-0.59399999999999997</v>
      </c>
      <c r="Z150" s="15">
        <v>-0.78900000000000003</v>
      </c>
      <c r="AA150" s="15">
        <v>-0.106</v>
      </c>
      <c r="AB150" s="15">
        <v>-0.10100000000000001</v>
      </c>
      <c r="AC150" s="15">
        <v>0.23100000000000001</v>
      </c>
      <c r="AD150" s="15">
        <v>-0.72099999999999997</v>
      </c>
      <c r="AE150" s="15">
        <v>0.315</v>
      </c>
      <c r="AF150" s="14">
        <v>0.38300000000000001</v>
      </c>
      <c r="AG150" s="110">
        <v>1</v>
      </c>
      <c r="AH150" s="110">
        <v>0.46400000000000002</v>
      </c>
      <c r="AI150" s="110">
        <v>1.0999999999999999E-2</v>
      </c>
      <c r="AJ150" s="110">
        <v>-0.44700000000000001</v>
      </c>
      <c r="AK150" s="16">
        <v>-0.104</v>
      </c>
      <c r="AL150" s="111">
        <v>0.59899999999999998</v>
      </c>
      <c r="AM150" s="111">
        <v>-0.80500000000000005</v>
      </c>
      <c r="AN150" s="4">
        <v>4.5999999999999999E-2</v>
      </c>
      <c r="AO150" s="4">
        <v>0.47599999999999998</v>
      </c>
      <c r="AP150" s="4">
        <v>-0.23499999999999999</v>
      </c>
      <c r="AQ150" s="4">
        <v>0.42599999999999999</v>
      </c>
      <c r="AR150" s="4">
        <v>0.49399999999999999</v>
      </c>
      <c r="AS150" s="4">
        <v>-0.33900000000000002</v>
      </c>
      <c r="AT150" s="4">
        <v>0.16600000000000001</v>
      </c>
      <c r="AU150" s="4">
        <v>0.45700000000000002</v>
      </c>
      <c r="AV150" s="4">
        <v>-8.8999999999999996E-2</v>
      </c>
      <c r="AW150" s="4">
        <v>7.4999999999999997E-2</v>
      </c>
      <c r="AX150" s="4">
        <v>-0.76900000000000002</v>
      </c>
      <c r="AY150" s="4">
        <v>-0.17799999999999999</v>
      </c>
      <c r="AZ150" s="4">
        <v>0.53500000000000003</v>
      </c>
      <c r="BA150" s="4">
        <v>-1</v>
      </c>
      <c r="BB150" s="4">
        <v>-9.2999999999999999E-2</v>
      </c>
      <c r="BC150" s="4">
        <v>0.158</v>
      </c>
      <c r="BD150" s="4">
        <v>0.20399999999999999</v>
      </c>
      <c r="BE150" s="4">
        <v>0.24099999999999999</v>
      </c>
      <c r="BF150" s="4">
        <v>0.41599999999999998</v>
      </c>
      <c r="BG150" s="4">
        <v>-5.7000000000000002E-2</v>
      </c>
      <c r="BH150" s="4">
        <v>2.7E-2</v>
      </c>
      <c r="BI150" s="4">
        <v>0.97199999999999998</v>
      </c>
      <c r="BJ150" s="4">
        <v>0.35799999999999998</v>
      </c>
      <c r="BK150" s="4">
        <v>-0.98499999999999999</v>
      </c>
      <c r="BL150" s="4">
        <v>-0.45400000000000001</v>
      </c>
      <c r="BM150" s="4">
        <v>0.48499999999999999</v>
      </c>
      <c r="BN150" s="4"/>
    </row>
    <row r="151" spans="1:66" x14ac:dyDescent="0.3">
      <c r="A151" t="s">
        <v>191</v>
      </c>
      <c r="B151" s="53">
        <f t="shared" si="18"/>
        <v>0</v>
      </c>
      <c r="C151" s="53">
        <f t="shared" si="19"/>
        <v>-1.7547299999999999E-3</v>
      </c>
      <c r="D151" s="53">
        <f t="shared" si="20"/>
        <v>0</v>
      </c>
      <c r="E151" s="53">
        <f t="shared" si="21"/>
        <v>1.7547299999999999E-3</v>
      </c>
      <c r="F151" s="15">
        <v>0.58699999999999997</v>
      </c>
      <c r="G151">
        <v>0.72699999999999998</v>
      </c>
      <c r="H151" t="s">
        <v>71</v>
      </c>
      <c r="I151" t="str">
        <f>VLOOKUP(A151,Planilha6!$BL$9:$BN$222,2,0)</f>
        <v>food</v>
      </c>
      <c r="J151" t="str">
        <f>VLOOKUP(A151,Planilha6!$BL$9:$BN$222,3,0)</f>
        <v>very_low_beta</v>
      </c>
      <c r="K151" s="17">
        <v>0</v>
      </c>
      <c r="L151" s="2">
        <v>-2E-3</v>
      </c>
      <c r="M151" s="5">
        <v>1.8404105043333301</v>
      </c>
      <c r="N151" s="41">
        <f>VLOOKUP(A151,'Mandato LP'!$A$2:$B$215,2,0)</f>
        <v>0</v>
      </c>
      <c r="O151" s="59">
        <f t="shared" si="22"/>
        <v>0</v>
      </c>
      <c r="P151" s="42">
        <f t="shared" si="23"/>
        <v>0</v>
      </c>
      <c r="Q151" s="41">
        <f>VLOOKUP(A151,'Mandato LP'!$A$2:$C$215,3,0)</f>
        <v>0</v>
      </c>
      <c r="R151" s="42">
        <f t="shared" si="24"/>
        <v>0</v>
      </c>
      <c r="S151" s="15">
        <v>-0.82</v>
      </c>
      <c r="T151" s="15">
        <v>-0.73199999999999998</v>
      </c>
      <c r="U151" s="15">
        <v>-0.67600000000000005</v>
      </c>
      <c r="V151" s="15">
        <v>-0.80900000000000005</v>
      </c>
      <c r="W151" s="15">
        <v>-0.72899999999999998</v>
      </c>
      <c r="X151" s="15">
        <v>-0.64800000000000002</v>
      </c>
      <c r="Y151" s="15">
        <v>-0.61399999999999999</v>
      </c>
      <c r="Z151" s="15">
        <v>-0.48799999999999999</v>
      </c>
      <c r="AA151" s="15">
        <v>0.58599999999999997</v>
      </c>
      <c r="AB151" s="15">
        <v>0.58199999999999996</v>
      </c>
      <c r="AC151" s="15">
        <v>0.30399999999999999</v>
      </c>
      <c r="AD151" s="15">
        <v>0.23200000000000001</v>
      </c>
      <c r="AE151" s="15">
        <v>0.56999999999999995</v>
      </c>
      <c r="AF151" s="14">
        <v>-0.86</v>
      </c>
      <c r="AG151" s="110">
        <v>-0.755</v>
      </c>
      <c r="AH151" s="110">
        <v>-0.53400000000000003</v>
      </c>
      <c r="AI151" s="110">
        <v>-0.38900000000000001</v>
      </c>
      <c r="AJ151" s="110">
        <v>0.373</v>
      </c>
      <c r="AK151" s="16">
        <v>-0.55300000000000005</v>
      </c>
      <c r="AL151" s="111">
        <v>-0.40100000000000002</v>
      </c>
      <c r="AM151" s="111">
        <v>0.16700000000000001</v>
      </c>
      <c r="AN151" s="4">
        <v>-0.32</v>
      </c>
      <c r="AO151" s="4">
        <v>-0.46500000000000002</v>
      </c>
      <c r="AP151" s="4">
        <v>6.9000000000000006E-2</v>
      </c>
      <c r="AQ151" s="4">
        <v>0.17100000000000001</v>
      </c>
      <c r="AR151" s="4">
        <v>-0.36299999999999999</v>
      </c>
      <c r="AS151" s="4">
        <v>0.50600000000000001</v>
      </c>
      <c r="AT151" s="4">
        <v>0.26200000000000001</v>
      </c>
      <c r="AU151" s="4">
        <v>-0.188</v>
      </c>
      <c r="AV151" s="4">
        <v>-0.63400000000000001</v>
      </c>
      <c r="AW151" s="4">
        <v>-0.49199999999999999</v>
      </c>
      <c r="AX151" s="4">
        <v>0.82599999999999996</v>
      </c>
      <c r="AY151" s="4">
        <v>-0.80400000000000005</v>
      </c>
      <c r="AZ151" s="4">
        <v>0.121</v>
      </c>
      <c r="BA151" s="4">
        <v>-0.499</v>
      </c>
      <c r="BB151" s="4">
        <v>-0.159</v>
      </c>
      <c r="BC151" s="4">
        <v>7.6999999999999999E-2</v>
      </c>
      <c r="BD151" s="4">
        <v>-0.25800000000000001</v>
      </c>
      <c r="BE151" s="4">
        <v>-1E-3</v>
      </c>
      <c r="BF151" s="4">
        <v>0.871</v>
      </c>
      <c r="BG151" s="4">
        <v>0.58099999999999996</v>
      </c>
      <c r="BH151" s="4">
        <v>0.48899999999999999</v>
      </c>
      <c r="BI151" s="4">
        <v>-0.25700000000000001</v>
      </c>
      <c r="BJ151" s="4">
        <v>-0.78800000000000003</v>
      </c>
      <c r="BK151" s="4">
        <v>0.71</v>
      </c>
      <c r="BL151" s="4">
        <v>0.48599999999999999</v>
      </c>
      <c r="BM151" s="4">
        <v>-8.2000000000000003E-2</v>
      </c>
      <c r="BN151" s="4"/>
    </row>
    <row r="152" spans="1:66" x14ac:dyDescent="0.3">
      <c r="A152" t="s">
        <v>241</v>
      </c>
      <c r="B152" s="53">
        <f t="shared" si="18"/>
        <v>0</v>
      </c>
      <c r="C152" s="53">
        <f t="shared" si="19"/>
        <v>-2.3680799999999998E-3</v>
      </c>
      <c r="D152" s="53">
        <f t="shared" si="20"/>
        <v>0</v>
      </c>
      <c r="E152" s="53">
        <f t="shared" si="21"/>
        <v>2.3680799999999998E-3</v>
      </c>
      <c r="F152" s="15">
        <v>0.58599999999999997</v>
      </c>
      <c r="G152">
        <v>0.59699999999999998</v>
      </c>
      <c r="H152" t="s">
        <v>57</v>
      </c>
      <c r="I152" t="str">
        <f>VLOOKUP(A152,Planilha6!$BL$9:$BN$222,2,0)</f>
        <v>transportation</v>
      </c>
      <c r="J152" t="str">
        <f>VLOOKUP(A152,Planilha6!$BL$9:$BN$222,3,0)</f>
        <v>low_beta</v>
      </c>
      <c r="K152" s="17">
        <v>0</v>
      </c>
      <c r="L152" s="2">
        <v>-2E-3</v>
      </c>
      <c r="M152" s="5">
        <v>0.32295402903999998</v>
      </c>
      <c r="N152" s="41">
        <f>VLOOKUP(A152,'Mandato LP'!$A$2:$B$215,2,0)</f>
        <v>0</v>
      </c>
      <c r="O152" s="59">
        <f t="shared" si="22"/>
        <v>0</v>
      </c>
      <c r="P152" s="42">
        <f t="shared" si="23"/>
        <v>0</v>
      </c>
      <c r="Q152" s="41">
        <f>VLOOKUP(A152,'Mandato LP'!$A$2:$C$215,3,0)</f>
        <v>0</v>
      </c>
      <c r="R152" s="42">
        <f t="shared" si="24"/>
        <v>0</v>
      </c>
      <c r="S152" s="15">
        <v>-0.64700000000000002</v>
      </c>
      <c r="T152" s="15">
        <v>-0.46500000000000002</v>
      </c>
      <c r="U152" s="15">
        <v>-0.88100000000000001</v>
      </c>
      <c r="V152" s="15">
        <v>-0.65800000000000003</v>
      </c>
      <c r="W152" s="15">
        <v>-0.7</v>
      </c>
      <c r="X152" s="15">
        <v>-0.48399999999999999</v>
      </c>
      <c r="Y152" s="15">
        <v>-0.186</v>
      </c>
      <c r="Z152" s="15">
        <v>-0.66100000000000003</v>
      </c>
      <c r="AA152" s="15">
        <v>0.23899999999999999</v>
      </c>
      <c r="AB152" s="15">
        <v>0.24</v>
      </c>
      <c r="AC152" s="15">
        <v>0.6</v>
      </c>
      <c r="AD152" s="15">
        <v>0.64900000000000002</v>
      </c>
      <c r="AE152" s="15">
        <v>0.30199999999999999</v>
      </c>
      <c r="AF152" s="14">
        <v>-0.73699999999999999</v>
      </c>
      <c r="AG152" s="110">
        <v>-6.6000000000000003E-2</v>
      </c>
      <c r="AH152" s="110">
        <v>-0.47399999999999998</v>
      </c>
      <c r="AI152" s="110">
        <v>-0.90400000000000003</v>
      </c>
      <c r="AJ152" s="110">
        <v>-0.79200000000000004</v>
      </c>
      <c r="AK152" s="16">
        <v>-0.86399999999999999</v>
      </c>
      <c r="AL152" s="111">
        <v>-0.16600000000000001</v>
      </c>
      <c r="AM152" s="111">
        <v>-0.66200000000000003</v>
      </c>
      <c r="AN152" s="4">
        <v>-0.61499999999999999</v>
      </c>
      <c r="AO152" s="4">
        <v>0.65600000000000003</v>
      </c>
      <c r="AP152" s="4">
        <v>-9.8000000000000004E-2</v>
      </c>
      <c r="AQ152" s="4">
        <v>0.748</v>
      </c>
      <c r="AR152" s="4">
        <v>0.56599999999999995</v>
      </c>
      <c r="AS152" s="4">
        <v>0.66700000000000004</v>
      </c>
      <c r="AT152" s="4">
        <v>0.19900000000000001</v>
      </c>
      <c r="AU152" s="4">
        <v>5.1999999999999998E-2</v>
      </c>
      <c r="AV152" s="4">
        <v>0.28799999999999998</v>
      </c>
      <c r="AW152" s="4">
        <v>-0.18</v>
      </c>
      <c r="AX152" s="4">
        <v>0.23699999999999999</v>
      </c>
      <c r="AY152" s="4">
        <v>-0.35</v>
      </c>
      <c r="AZ152" s="4">
        <v>0.77400000000000002</v>
      </c>
      <c r="BA152" s="4">
        <v>-0.28199999999999997</v>
      </c>
      <c r="BB152" s="4">
        <v>0.28299999999999997</v>
      </c>
      <c r="BC152" s="4">
        <v>8.9999999999999993E-3</v>
      </c>
      <c r="BD152" s="4">
        <v>-0.52800000000000002</v>
      </c>
      <c r="BE152" s="4">
        <v>-7.4999999999999997E-2</v>
      </c>
      <c r="BF152" s="4">
        <v>0.224</v>
      </c>
      <c r="BG152" s="4">
        <v>-0.47699999999999998</v>
      </c>
      <c r="BH152" s="4">
        <v>0.57899999999999996</v>
      </c>
      <c r="BI152" s="4">
        <v>-8.6999999999999994E-2</v>
      </c>
      <c r="BJ152" s="4">
        <v>0.22500000000000001</v>
      </c>
      <c r="BK152" s="4">
        <v>-0.379</v>
      </c>
      <c r="BL152" s="4">
        <v>-0.63300000000000001</v>
      </c>
      <c r="BM152" s="4">
        <v>-0.58699999999999997</v>
      </c>
      <c r="BN152" s="4"/>
    </row>
    <row r="153" spans="1:66" x14ac:dyDescent="0.3">
      <c r="A153" t="s">
        <v>198</v>
      </c>
      <c r="B153" s="53">
        <f t="shared" si="18"/>
        <v>0</v>
      </c>
      <c r="C153" s="53">
        <f t="shared" si="19"/>
        <v>0</v>
      </c>
      <c r="D153" s="53">
        <f t="shared" si="20"/>
        <v>0</v>
      </c>
      <c r="E153" s="53">
        <f t="shared" si="21"/>
        <v>0</v>
      </c>
      <c r="F153" s="15">
        <v>0.58299999999999996</v>
      </c>
      <c r="G153">
        <v>0.42499999999999999</v>
      </c>
      <c r="H153" t="s">
        <v>57</v>
      </c>
      <c r="I153" t="str">
        <f>VLOOKUP(A153,Planilha6!$BL$9:$BN$222,2,0)</f>
        <v>consumer_services</v>
      </c>
      <c r="J153" t="str">
        <f>VLOOKUP(A153,Planilha6!$BL$9:$BN$222,3,0)</f>
        <v>neutral_beta</v>
      </c>
      <c r="K153" s="17">
        <v>0</v>
      </c>
      <c r="L153" s="2">
        <v>0</v>
      </c>
      <c r="M153" s="5">
        <v>0</v>
      </c>
      <c r="N153" s="41">
        <f>VLOOKUP(A153,'Mandato LP'!$A$2:$B$215,2,0)</f>
        <v>0</v>
      </c>
      <c r="O153" s="59">
        <f t="shared" si="22"/>
        <v>0</v>
      </c>
      <c r="P153" s="42">
        <f t="shared" si="23"/>
        <v>0</v>
      </c>
      <c r="Q153" s="41">
        <f>VLOOKUP(A153,'Mandato LP'!$A$2:$C$215,3,0)</f>
        <v>0</v>
      </c>
      <c r="R153" s="42">
        <f t="shared" si="24"/>
        <v>0</v>
      </c>
      <c r="S153" s="15">
        <v>-8.2000000000000003E-2</v>
      </c>
      <c r="T153" s="15">
        <v>-0.61699999999999999</v>
      </c>
      <c r="U153" s="15">
        <v>-0.24</v>
      </c>
      <c r="V153" s="15">
        <v>-0.251</v>
      </c>
      <c r="W153" s="15">
        <v>-0.54100000000000004</v>
      </c>
      <c r="X153" s="15">
        <v>-0.53900000000000003</v>
      </c>
      <c r="Y153" s="15">
        <v>-0.49099999999999999</v>
      </c>
      <c r="Z153" s="15">
        <v>-0.83399999999999996</v>
      </c>
      <c r="AA153" s="15">
        <v>-1.6E-2</v>
      </c>
      <c r="AB153" s="15">
        <v>-1.9E-2</v>
      </c>
      <c r="AC153" s="15">
        <v>0.41499999999999998</v>
      </c>
      <c r="AD153" s="15">
        <v>-0.27600000000000002</v>
      </c>
      <c r="AE153" s="15">
        <v>0.16500000000000001</v>
      </c>
      <c r="AF153" s="14">
        <v>-4.0000000000000001E-3</v>
      </c>
      <c r="AG153" s="110">
        <v>0.45200000000000001</v>
      </c>
      <c r="AH153" s="110">
        <v>-0.71399999999999997</v>
      </c>
      <c r="AI153" s="110">
        <v>8.9999999999999993E-3</v>
      </c>
      <c r="AJ153" s="110">
        <v>-7.9000000000000001E-2</v>
      </c>
      <c r="AK153" s="16">
        <v>1</v>
      </c>
      <c r="AL153" s="111">
        <v>0.22600000000000001</v>
      </c>
      <c r="AM153" s="111">
        <v>-1</v>
      </c>
      <c r="AN153" s="4">
        <v>-0.47</v>
      </c>
      <c r="AO153" s="4">
        <v>0.59</v>
      </c>
      <c r="AP153" s="4">
        <v>-6.0999999999999999E-2</v>
      </c>
      <c r="AQ153" s="4">
        <v>-0.876</v>
      </c>
      <c r="AR153" s="4">
        <v>0.83399999999999996</v>
      </c>
      <c r="AS153" s="4">
        <v>0.46500000000000002</v>
      </c>
      <c r="AT153" s="4">
        <v>0.23400000000000001</v>
      </c>
      <c r="AU153" s="4">
        <v>0.253</v>
      </c>
      <c r="AV153" s="4">
        <v>0.32</v>
      </c>
      <c r="AW153" s="4">
        <v>0.54600000000000004</v>
      </c>
      <c r="AX153" s="4">
        <v>-0.76400000000000001</v>
      </c>
      <c r="AY153" s="4">
        <v>-0.129</v>
      </c>
      <c r="AZ153" s="4">
        <v>-0.63500000000000001</v>
      </c>
      <c r="BA153" s="4">
        <v>-0.876</v>
      </c>
      <c r="BB153" s="4">
        <v>-0.15</v>
      </c>
      <c r="BC153" s="4">
        <v>3.5999999999999997E-2</v>
      </c>
      <c r="BD153" s="4">
        <v>0.497</v>
      </c>
      <c r="BE153" s="4">
        <v>0.51300000000000001</v>
      </c>
      <c r="BF153" s="4">
        <v>0.123</v>
      </c>
      <c r="BG153" s="4">
        <v>-0.20899999999999999</v>
      </c>
      <c r="BH153" s="4">
        <v>0.28399999999999997</v>
      </c>
      <c r="BI153" s="4">
        <v>0.54900000000000004</v>
      </c>
      <c r="BJ153" s="4">
        <v>6.8000000000000005E-2</v>
      </c>
      <c r="BK153" s="4">
        <v>-0.70699999999999996</v>
      </c>
      <c r="BL153" s="4">
        <v>0.51100000000000001</v>
      </c>
      <c r="BM153" s="4">
        <v>0.182</v>
      </c>
      <c r="BN153" s="4"/>
    </row>
    <row r="154" spans="1:66" x14ac:dyDescent="0.3">
      <c r="A154" t="s">
        <v>235</v>
      </c>
      <c r="B154" s="53">
        <f t="shared" si="18"/>
        <v>0</v>
      </c>
      <c r="C154" s="53">
        <f t="shared" si="19"/>
        <v>-3.8246999999999999E-4</v>
      </c>
      <c r="D154" s="53">
        <f t="shared" si="20"/>
        <v>0</v>
      </c>
      <c r="E154" s="53">
        <f t="shared" si="21"/>
        <v>3.8246999999999999E-4</v>
      </c>
      <c r="F154" s="15">
        <v>0.57899999999999996</v>
      </c>
      <c r="G154">
        <v>0.51200000000000001</v>
      </c>
      <c r="H154" t="s">
        <v>57</v>
      </c>
      <c r="I154" t="str">
        <f>VLOOKUP(A154,Planilha6!$BL$9:$BN$222,2,0)</f>
        <v>apparel</v>
      </c>
      <c r="J154" t="str">
        <f>VLOOKUP(A154,Planilha6!$BL$9:$BN$222,3,0)</f>
        <v>low_beta</v>
      </c>
      <c r="K154" s="17">
        <v>0</v>
      </c>
      <c r="L154" s="2">
        <v>0</v>
      </c>
      <c r="M154" s="5">
        <v>0.69689061787666695</v>
      </c>
      <c r="N154" s="41">
        <f>VLOOKUP(A154,'Mandato LP'!$A$2:$B$215,2,0)</f>
        <v>0</v>
      </c>
      <c r="O154" s="59">
        <f t="shared" si="22"/>
        <v>0</v>
      </c>
      <c r="P154" s="42">
        <f t="shared" si="23"/>
        <v>0</v>
      </c>
      <c r="Q154" s="41">
        <f>VLOOKUP(A154,'Mandato LP'!$A$2:$C$215,3,0)</f>
        <v>0</v>
      </c>
      <c r="R154" s="42">
        <f t="shared" si="24"/>
        <v>0</v>
      </c>
      <c r="S154" s="15">
        <v>-0.65500000000000003</v>
      </c>
      <c r="T154" s="15">
        <v>-0.48299999999999998</v>
      </c>
      <c r="U154" s="15">
        <v>-0.67400000000000004</v>
      </c>
      <c r="V154" s="15">
        <v>-0.61499999999999999</v>
      </c>
      <c r="W154" s="15">
        <v>-0.52700000000000002</v>
      </c>
      <c r="X154" s="15">
        <v>-0.51200000000000001</v>
      </c>
      <c r="Y154" s="15">
        <v>-0.27</v>
      </c>
      <c r="Z154" s="15">
        <v>-0.441</v>
      </c>
      <c r="AA154" s="15">
        <v>3.7999999999999999E-2</v>
      </c>
      <c r="AB154" s="15">
        <v>4.1000000000000002E-2</v>
      </c>
      <c r="AC154" s="15">
        <v>0.56599999999999995</v>
      </c>
      <c r="AD154" s="15">
        <v>0.39</v>
      </c>
      <c r="AE154" s="15">
        <v>8.2000000000000003E-2</v>
      </c>
      <c r="AF154" s="14">
        <v>0.111</v>
      </c>
      <c r="AG154" s="110">
        <v>-0.433</v>
      </c>
      <c r="AH154" s="110">
        <v>-0.80700000000000005</v>
      </c>
      <c r="AI154" s="110">
        <v>-0.65300000000000002</v>
      </c>
      <c r="AJ154" s="110">
        <v>-0.64200000000000002</v>
      </c>
      <c r="AK154" s="16">
        <v>0.63800000000000001</v>
      </c>
      <c r="AL154" s="111">
        <v>-0.35</v>
      </c>
      <c r="AM154" s="111">
        <v>-0.55400000000000005</v>
      </c>
      <c r="AN154" s="4">
        <v>-0.749</v>
      </c>
      <c r="AO154" s="4">
        <v>0.75700000000000001</v>
      </c>
      <c r="AP154" s="4">
        <v>-0.317</v>
      </c>
      <c r="AQ154" s="4">
        <v>-0.432</v>
      </c>
      <c r="AR154" s="4">
        <v>0.21199999999999999</v>
      </c>
      <c r="AS154" s="4">
        <v>-0.26200000000000001</v>
      </c>
      <c r="AT154" s="4">
        <v>-0.54300000000000004</v>
      </c>
      <c r="AU154" s="4">
        <v>0.497</v>
      </c>
      <c r="AV154" s="4">
        <v>0.39400000000000002</v>
      </c>
      <c r="AW154" s="4">
        <v>0.53900000000000003</v>
      </c>
      <c r="AX154" s="4">
        <v>-5.0000000000000001E-3</v>
      </c>
      <c r="AY154" s="4">
        <v>0.19400000000000001</v>
      </c>
      <c r="AZ154" s="4">
        <v>0.69699999999999995</v>
      </c>
      <c r="BA154" s="4">
        <v>0.84299999999999997</v>
      </c>
      <c r="BB154" s="4">
        <v>0.13600000000000001</v>
      </c>
      <c r="BC154" s="4">
        <v>-0.48599999999999999</v>
      </c>
      <c r="BD154" s="4">
        <v>-0.47399999999999998</v>
      </c>
      <c r="BE154" s="4">
        <v>-0.10199999999999999</v>
      </c>
      <c r="BF154" s="4">
        <v>-6.7000000000000004E-2</v>
      </c>
      <c r="BG154" s="4">
        <v>-0.21299999999999999</v>
      </c>
      <c r="BH154" s="4">
        <v>0.36399999999999999</v>
      </c>
      <c r="BI154" s="4">
        <v>-0.30099999999999999</v>
      </c>
      <c r="BJ154" s="4">
        <v>-0.153</v>
      </c>
      <c r="BK154" s="4">
        <v>-0.754</v>
      </c>
      <c r="BL154" s="4">
        <v>-4.3999999999999997E-2</v>
      </c>
      <c r="BM154" s="4">
        <v>0.114</v>
      </c>
      <c r="BN154" s="4"/>
    </row>
    <row r="155" spans="1:66" x14ac:dyDescent="0.3">
      <c r="A155" t="s">
        <v>244</v>
      </c>
      <c r="B155" s="53">
        <f t="shared" si="18"/>
        <v>0</v>
      </c>
      <c r="C155" s="53">
        <f t="shared" si="19"/>
        <v>0</v>
      </c>
      <c r="D155" s="53">
        <f t="shared" si="20"/>
        <v>0</v>
      </c>
      <c r="E155" s="53">
        <f t="shared" si="21"/>
        <v>0</v>
      </c>
      <c r="F155" s="15">
        <v>0.57799999999999996</v>
      </c>
      <c r="G155">
        <v>0.41499999999999998</v>
      </c>
      <c r="H155" t="s">
        <v>57</v>
      </c>
      <c r="I155" t="str">
        <f>VLOOKUP(A155,Planilha6!$BL$9:$BN$222,2,0)</f>
        <v>consumer_durables</v>
      </c>
      <c r="J155" t="str">
        <f>VLOOKUP(A155,Planilha6!$BL$9:$BN$222,3,0)</f>
        <v>high_beta</v>
      </c>
      <c r="K155" s="17">
        <v>0</v>
      </c>
      <c r="L155" s="2">
        <v>0</v>
      </c>
      <c r="M155" s="5">
        <v>0</v>
      </c>
      <c r="N155" s="41">
        <f>VLOOKUP(A155,'Mandato LP'!$A$2:$B$215,2,0)</f>
        <v>0</v>
      </c>
      <c r="O155" s="59">
        <f t="shared" si="22"/>
        <v>0</v>
      </c>
      <c r="P155" s="42">
        <f t="shared" si="23"/>
        <v>0</v>
      </c>
      <c r="Q155" s="41">
        <f>VLOOKUP(A155,'Mandato LP'!$A$2:$C$215,3,0)</f>
        <v>0</v>
      </c>
      <c r="R155" s="42">
        <f t="shared" si="24"/>
        <v>0</v>
      </c>
      <c r="S155" s="15">
        <v>-8.7999999999999995E-2</v>
      </c>
      <c r="T155" s="15">
        <v>-0.71799999999999997</v>
      </c>
      <c r="U155" s="15">
        <v>-0.19600000000000001</v>
      </c>
      <c r="V155" s="15">
        <v>-0.46300000000000002</v>
      </c>
      <c r="W155" s="15">
        <v>-0.66800000000000004</v>
      </c>
      <c r="X155" s="15">
        <v>-0.81799999999999995</v>
      </c>
      <c r="Y155" s="15">
        <v>-0.89300000000000002</v>
      </c>
      <c r="Z155" s="15">
        <v>-0.89700000000000002</v>
      </c>
      <c r="AA155" s="15">
        <v>0.254</v>
      </c>
      <c r="AB155" s="15">
        <v>0.254</v>
      </c>
      <c r="AC155" s="15">
        <v>0.26900000000000002</v>
      </c>
      <c r="AD155" s="15">
        <v>0.21299999999999999</v>
      </c>
      <c r="AE155" s="15">
        <v>0.29199999999999998</v>
      </c>
      <c r="AF155" s="14">
        <v>-0.42099999999999999</v>
      </c>
      <c r="AG155" s="110">
        <v>0.29699999999999999</v>
      </c>
      <c r="AH155" s="110">
        <v>0.80300000000000005</v>
      </c>
      <c r="AI155" s="110">
        <v>0.45700000000000002</v>
      </c>
      <c r="AJ155" s="110">
        <v>0.58899999999999997</v>
      </c>
      <c r="AK155" s="16">
        <v>-0.68</v>
      </c>
      <c r="AL155" s="111">
        <v>7.0000000000000007E-2</v>
      </c>
      <c r="AM155" s="111">
        <v>-1</v>
      </c>
      <c r="AN155" s="4">
        <v>0.89600000000000002</v>
      </c>
      <c r="AO155" s="4">
        <v>3.5999999999999997E-2</v>
      </c>
      <c r="AP155" s="4">
        <v>-7.1999999999999995E-2</v>
      </c>
      <c r="AQ155" s="4">
        <v>0.53900000000000003</v>
      </c>
      <c r="AR155" s="4">
        <v>-0.34599999999999997</v>
      </c>
      <c r="AS155" s="4">
        <v>1</v>
      </c>
      <c r="AT155" s="4">
        <v>0.23300000000000001</v>
      </c>
      <c r="AU155" s="4">
        <v>-3.4000000000000002E-2</v>
      </c>
      <c r="AV155" s="4">
        <v>-0.27700000000000002</v>
      </c>
      <c r="AW155" s="4">
        <v>-0.38600000000000001</v>
      </c>
      <c r="AX155" s="4">
        <v>-0.52200000000000002</v>
      </c>
      <c r="AY155" s="4">
        <v>-9.6000000000000002E-2</v>
      </c>
      <c r="AZ155" s="4">
        <v>-0.52900000000000003</v>
      </c>
      <c r="BA155" s="4">
        <v>-0.73699999999999999</v>
      </c>
      <c r="BB155" s="4">
        <v>-0.153</v>
      </c>
      <c r="BC155" s="4">
        <v>0.49</v>
      </c>
      <c r="BD155" s="4">
        <v>0.23899999999999999</v>
      </c>
      <c r="BE155" s="4">
        <v>0.36899999999999999</v>
      </c>
      <c r="BF155" s="4">
        <v>-1</v>
      </c>
      <c r="BG155" s="4">
        <v>-0.91500000000000004</v>
      </c>
      <c r="BH155" s="4">
        <v>-1</v>
      </c>
      <c r="BI155" s="4">
        <v>1</v>
      </c>
      <c r="BJ155" s="4">
        <v>0.26500000000000001</v>
      </c>
      <c r="BK155" s="4">
        <v>-0.10100000000000001</v>
      </c>
      <c r="BL155" s="4">
        <v>0.35699999999999998</v>
      </c>
      <c r="BM155" s="4">
        <v>-0.752</v>
      </c>
      <c r="BN155" s="4"/>
    </row>
    <row r="156" spans="1:66" x14ac:dyDescent="0.3">
      <c r="A156" t="s">
        <v>218</v>
      </c>
      <c r="B156" s="53">
        <f t="shared" si="18"/>
        <v>0</v>
      </c>
      <c r="C156" s="53">
        <f t="shared" si="19"/>
        <v>-6.4574400000000001E-3</v>
      </c>
      <c r="D156" s="53">
        <f t="shared" si="20"/>
        <v>0</v>
      </c>
      <c r="E156" s="53">
        <f t="shared" si="21"/>
        <v>6.4574400000000001E-3</v>
      </c>
      <c r="F156" s="15">
        <v>0.57299999999999995</v>
      </c>
      <c r="G156">
        <v>0.94099999999999995</v>
      </c>
      <c r="H156" t="s">
        <v>55</v>
      </c>
      <c r="I156" t="str">
        <f>VLOOKUP(A156,Planilha6!$BL$9:$BN$222,2,0)</f>
        <v>utilities</v>
      </c>
      <c r="J156" t="str">
        <f>VLOOKUP(A156,Planilha6!$BL$9:$BN$222,3,0)</f>
        <v>neutral_beta</v>
      </c>
      <c r="K156" s="17">
        <v>0</v>
      </c>
      <c r="L156" s="2">
        <v>-6.0000000000000001E-3</v>
      </c>
      <c r="M156" s="5">
        <v>1.0575265632133299</v>
      </c>
      <c r="N156" s="41">
        <f>VLOOKUP(A156,'Mandato LP'!$A$2:$B$215,2,0)</f>
        <v>0</v>
      </c>
      <c r="O156" s="59">
        <f t="shared" si="22"/>
        <v>0</v>
      </c>
      <c r="P156" s="42">
        <f t="shared" si="23"/>
        <v>0</v>
      </c>
      <c r="Q156" s="41">
        <f>VLOOKUP(A156,'Mandato LP'!$A$2:$C$215,3,0)</f>
        <v>0</v>
      </c>
      <c r="R156" s="42">
        <f t="shared" si="24"/>
        <v>0</v>
      </c>
      <c r="S156" s="15">
        <v>-0.84799999999999998</v>
      </c>
      <c r="T156" s="15">
        <v>-0.49399999999999999</v>
      </c>
      <c r="U156" s="15">
        <v>-0.94399999999999995</v>
      </c>
      <c r="V156" s="15">
        <v>-0.78600000000000003</v>
      </c>
      <c r="W156" s="15">
        <v>-0.71899999999999997</v>
      </c>
      <c r="X156" s="15">
        <v>-0.629</v>
      </c>
      <c r="Y156" s="15">
        <v>-0.47399999999999998</v>
      </c>
      <c r="Z156" s="15">
        <v>-0.53400000000000003</v>
      </c>
      <c r="AA156" s="15">
        <v>0.20899999999999999</v>
      </c>
      <c r="AB156" s="15">
        <v>0.214</v>
      </c>
      <c r="AC156" s="15">
        <v>0.624</v>
      </c>
      <c r="AD156" s="15">
        <v>0.64300000000000002</v>
      </c>
      <c r="AE156" s="15">
        <v>0.40400000000000003</v>
      </c>
      <c r="AF156" s="14">
        <v>-0.71799999999999997</v>
      </c>
      <c r="AG156" s="110">
        <v>-0.72699999999999998</v>
      </c>
      <c r="AH156" s="110">
        <v>-0.17899999999999999</v>
      </c>
      <c r="AI156" s="110">
        <v>-0.97</v>
      </c>
      <c r="AJ156" s="110">
        <v>-0.71499999999999997</v>
      </c>
      <c r="AK156" s="16">
        <v>-1</v>
      </c>
      <c r="AL156" s="111">
        <v>-0.34100000000000003</v>
      </c>
      <c r="AM156" s="111">
        <v>-0.55700000000000005</v>
      </c>
      <c r="AN156" s="4">
        <v>-0.56699999999999995</v>
      </c>
      <c r="AO156" s="4">
        <v>-0.189</v>
      </c>
      <c r="AP156" s="4">
        <v>0.32700000000000001</v>
      </c>
      <c r="AQ156" s="4">
        <v>0.54300000000000004</v>
      </c>
      <c r="AR156" s="4">
        <v>-6.4000000000000001E-2</v>
      </c>
      <c r="AS156" s="4">
        <v>-0.32</v>
      </c>
      <c r="AT156" s="4">
        <v>-4.5999999999999999E-2</v>
      </c>
      <c r="AU156" s="4">
        <v>1.2E-2</v>
      </c>
      <c r="AV156" s="4">
        <v>-0.26600000000000001</v>
      </c>
      <c r="AW156" s="4">
        <v>-0.26400000000000001</v>
      </c>
      <c r="AX156" s="4">
        <v>0.52500000000000002</v>
      </c>
      <c r="AY156" s="4">
        <v>-0.80600000000000005</v>
      </c>
      <c r="AZ156" s="4">
        <v>0.96299999999999997</v>
      </c>
      <c r="BA156" s="4">
        <v>0.44500000000000001</v>
      </c>
      <c r="BB156" s="4">
        <v>0.17699999999999999</v>
      </c>
      <c r="BC156" s="4">
        <v>0.14099999999999999</v>
      </c>
      <c r="BD156" s="4">
        <v>-9.4E-2</v>
      </c>
      <c r="BE156" s="4">
        <v>0.28399999999999997</v>
      </c>
      <c r="BF156" s="4">
        <v>-0.21099999999999999</v>
      </c>
      <c r="BG156" s="4">
        <v>0.67400000000000004</v>
      </c>
      <c r="BH156" s="4">
        <v>0.66100000000000003</v>
      </c>
      <c r="BI156" s="4">
        <v>-0.47599999999999998</v>
      </c>
      <c r="BJ156" s="4">
        <v>1.0999999999999999E-2</v>
      </c>
      <c r="BK156" s="4">
        <v>-0.39400000000000002</v>
      </c>
      <c r="BL156" s="4">
        <v>-0.48899999999999999</v>
      </c>
      <c r="BM156" s="4">
        <v>-0.57599999999999996</v>
      </c>
      <c r="BN156" s="4"/>
    </row>
    <row r="157" spans="1:66" x14ac:dyDescent="0.3">
      <c r="A157" t="s">
        <v>139</v>
      </c>
      <c r="B157" s="53">
        <f t="shared" si="18"/>
        <v>0</v>
      </c>
      <c r="C157" s="53">
        <f t="shared" si="19"/>
        <v>-1.227163E-2</v>
      </c>
      <c r="D157" s="53">
        <f t="shared" si="20"/>
        <v>0</v>
      </c>
      <c r="E157" s="53">
        <f t="shared" si="21"/>
        <v>1.227163E-2</v>
      </c>
      <c r="F157" s="15">
        <v>0.57199999999999995</v>
      </c>
      <c r="G157">
        <v>0.87</v>
      </c>
      <c r="H157" t="s">
        <v>71</v>
      </c>
      <c r="I157" t="str">
        <f>VLOOKUP(A157,Planilha6!$BL$9:$BN$222,2,0)</f>
        <v>basic_materials</v>
      </c>
      <c r="J157" t="str">
        <f>VLOOKUP(A157,Planilha6!$BL$9:$BN$222,3,0)</f>
        <v>high_beta</v>
      </c>
      <c r="K157" s="17">
        <v>0</v>
      </c>
      <c r="L157" s="2">
        <v>-1.2E-2</v>
      </c>
      <c r="M157" s="5">
        <v>0.67939546101666703</v>
      </c>
      <c r="N157" s="41">
        <f>VLOOKUP(A157,'Mandato LP'!$A$2:$B$215,2,0)</f>
        <v>0</v>
      </c>
      <c r="O157" s="59">
        <f t="shared" si="22"/>
        <v>0</v>
      </c>
      <c r="P157" s="42">
        <f t="shared" si="23"/>
        <v>0</v>
      </c>
      <c r="Q157" s="41">
        <f>VLOOKUP(A157,'Mandato LP'!$A$2:$C$215,3,0)</f>
        <v>0</v>
      </c>
      <c r="R157" s="42">
        <f t="shared" si="24"/>
        <v>0</v>
      </c>
      <c r="S157" s="15">
        <v>-0.88800000000000001</v>
      </c>
      <c r="T157" s="15">
        <v>-0.76500000000000001</v>
      </c>
      <c r="U157" s="15">
        <v>-0.95699999999999996</v>
      </c>
      <c r="V157" s="15">
        <v>-0.82099999999999995</v>
      </c>
      <c r="W157" s="15">
        <v>-0.82799999999999996</v>
      </c>
      <c r="X157" s="15">
        <v>-0.53500000000000003</v>
      </c>
      <c r="Y157" s="15">
        <v>-0.18</v>
      </c>
      <c r="Z157" s="15">
        <v>-0.39900000000000002</v>
      </c>
      <c r="AA157" s="15">
        <v>0.35699999999999998</v>
      </c>
      <c r="AB157" s="15">
        <v>0.35699999999999998</v>
      </c>
      <c r="AC157" s="15">
        <v>0.41799999999999998</v>
      </c>
      <c r="AD157" s="15">
        <v>0.43</v>
      </c>
      <c r="AE157" s="15">
        <v>0.23499999999999999</v>
      </c>
      <c r="AF157" s="14">
        <v>-0.754</v>
      </c>
      <c r="AG157" s="110">
        <v>-0.41</v>
      </c>
      <c r="AH157" s="110">
        <v>-1</v>
      </c>
      <c r="AI157" s="110">
        <v>-0.88200000000000001</v>
      </c>
      <c r="AJ157" s="110">
        <v>-1</v>
      </c>
      <c r="AK157" s="16">
        <v>-0.89900000000000002</v>
      </c>
      <c r="AL157" s="111">
        <v>-0.47699999999999998</v>
      </c>
      <c r="AM157" s="111">
        <v>0.61899999999999999</v>
      </c>
      <c r="AN157" s="4">
        <v>-0.751</v>
      </c>
      <c r="AO157" s="4">
        <v>-0.60399999999999998</v>
      </c>
      <c r="AP157" s="4">
        <v>-0.49399999999999999</v>
      </c>
      <c r="AQ157" s="4">
        <v>-0.69199999999999995</v>
      </c>
      <c r="AR157" s="4">
        <v>0.28100000000000003</v>
      </c>
      <c r="AS157" s="4">
        <v>-0.06</v>
      </c>
      <c r="AT157" s="4">
        <v>-0.13600000000000001</v>
      </c>
      <c r="AU157" s="4">
        <v>0.33800000000000002</v>
      </c>
      <c r="AV157" s="4">
        <v>1.6E-2</v>
      </c>
      <c r="AW157" s="4">
        <v>-0.39600000000000002</v>
      </c>
      <c r="AX157" s="4">
        <v>0.16900000000000001</v>
      </c>
      <c r="AY157" s="4">
        <v>0.27300000000000002</v>
      </c>
      <c r="AZ157" s="4">
        <v>0.32900000000000001</v>
      </c>
      <c r="BA157" s="4">
        <v>-0.999</v>
      </c>
      <c r="BB157" s="4">
        <v>0.40699999999999997</v>
      </c>
      <c r="BC157" s="4">
        <v>0.312</v>
      </c>
      <c r="BD157" s="4">
        <v>-8.3000000000000004E-2</v>
      </c>
      <c r="BE157" s="4">
        <v>0.20200000000000001</v>
      </c>
      <c r="BF157" s="4">
        <v>0.26400000000000001</v>
      </c>
      <c r="BG157" s="4">
        <v>-0.55700000000000005</v>
      </c>
      <c r="BH157" s="4">
        <v>0.79200000000000004</v>
      </c>
      <c r="BI157" s="4">
        <v>-0.311</v>
      </c>
      <c r="BJ157" s="4">
        <v>-0.183</v>
      </c>
      <c r="BK157" s="4">
        <v>0.34200000000000003</v>
      </c>
      <c r="BL157" s="4">
        <v>-0.35099999999999998</v>
      </c>
      <c r="BM157" s="4">
        <v>0.13600000000000001</v>
      </c>
      <c r="BN157" s="4"/>
    </row>
    <row r="158" spans="1:66" x14ac:dyDescent="0.3">
      <c r="A158" t="s">
        <v>197</v>
      </c>
      <c r="B158" s="53">
        <f t="shared" si="18"/>
        <v>0</v>
      </c>
      <c r="C158" s="53">
        <f t="shared" si="19"/>
        <v>-5.3050800000000002E-3</v>
      </c>
      <c r="D158" s="53">
        <f t="shared" si="20"/>
        <v>0</v>
      </c>
      <c r="E158" s="53">
        <f t="shared" si="21"/>
        <v>5.3050800000000002E-3</v>
      </c>
      <c r="F158" s="15">
        <v>0.57099999999999995</v>
      </c>
      <c r="G158">
        <v>0.78500000000000003</v>
      </c>
      <c r="H158" t="s">
        <v>53</v>
      </c>
      <c r="I158" t="str">
        <f>VLOOKUP(A158,Planilha6!$BL$9:$BN$222,2,0)</f>
        <v>healthcare</v>
      </c>
      <c r="J158" t="str">
        <f>VLOOKUP(A158,Planilha6!$BL$9:$BN$222,3,0)</f>
        <v>low_beta</v>
      </c>
      <c r="K158" s="17">
        <v>0</v>
      </c>
      <c r="L158" s="2">
        <v>-5.0000000000000001E-3</v>
      </c>
      <c r="M158" s="5">
        <v>1.8229406528433301</v>
      </c>
      <c r="N158" s="41">
        <f>VLOOKUP(A158,'Mandato LP'!$A$2:$B$215,2,0)</f>
        <v>0</v>
      </c>
      <c r="O158" s="59">
        <f t="shared" si="22"/>
        <v>0</v>
      </c>
      <c r="P158" s="42">
        <f t="shared" si="23"/>
        <v>0</v>
      </c>
      <c r="Q158" s="41">
        <f>VLOOKUP(A158,'Mandato LP'!$A$2:$C$215,3,0)</f>
        <v>0</v>
      </c>
      <c r="R158" s="42">
        <f t="shared" si="24"/>
        <v>0</v>
      </c>
      <c r="S158" s="15">
        <v>-0.77100000000000002</v>
      </c>
      <c r="T158" s="15">
        <v>-0.64100000000000001</v>
      </c>
      <c r="U158" s="15">
        <v>-0.91300000000000003</v>
      </c>
      <c r="V158" s="15">
        <v>-0.72</v>
      </c>
      <c r="W158" s="15">
        <v>-0.73599999999999999</v>
      </c>
      <c r="X158" s="15">
        <v>-0.50700000000000001</v>
      </c>
      <c r="Y158" s="15">
        <v>-0.218</v>
      </c>
      <c r="Z158" s="15">
        <v>-0.52500000000000002</v>
      </c>
      <c r="AA158" s="15">
        <v>5.6000000000000001E-2</v>
      </c>
      <c r="AB158" s="15">
        <v>5.8000000000000003E-2</v>
      </c>
      <c r="AC158" s="15">
        <v>0.56699999999999995</v>
      </c>
      <c r="AD158" s="15">
        <v>0.56799999999999995</v>
      </c>
      <c r="AE158" s="15">
        <v>0.27700000000000002</v>
      </c>
      <c r="AF158" s="14">
        <v>-0.498</v>
      </c>
      <c r="AG158" s="110">
        <v>1.0999999999999999E-2</v>
      </c>
      <c r="AH158" s="110">
        <v>-0.80600000000000005</v>
      </c>
      <c r="AI158" s="110">
        <v>-0.95299999999999996</v>
      </c>
      <c r="AJ158" s="110">
        <v>-1</v>
      </c>
      <c r="AK158" s="16">
        <v>-0.97599999999999998</v>
      </c>
      <c r="AL158" s="111">
        <v>-0.49299999999999999</v>
      </c>
      <c r="AM158" s="111">
        <v>-0.16400000000000001</v>
      </c>
      <c r="AN158" s="4">
        <v>-0.84099999999999997</v>
      </c>
      <c r="AO158" s="4">
        <v>0.498</v>
      </c>
      <c r="AP158" s="4">
        <v>-0.19700000000000001</v>
      </c>
      <c r="AQ158" s="4">
        <v>-0.23100000000000001</v>
      </c>
      <c r="AR158" s="4">
        <v>0.442</v>
      </c>
      <c r="AS158" s="4">
        <v>0.26200000000000001</v>
      </c>
      <c r="AT158" s="4">
        <v>-4.5999999999999999E-2</v>
      </c>
      <c r="AU158" s="4">
        <v>0.111</v>
      </c>
      <c r="AV158" s="4">
        <v>-0.29299999999999998</v>
      </c>
      <c r="AW158" s="4">
        <v>-0.107</v>
      </c>
      <c r="AX158" s="4">
        <v>0.254</v>
      </c>
      <c r="AY158" s="4">
        <v>0.223</v>
      </c>
      <c r="AZ158" s="4">
        <v>0.88400000000000001</v>
      </c>
      <c r="BA158" s="4">
        <v>-5.8000000000000003E-2</v>
      </c>
      <c r="BB158" s="4">
        <v>0.46899999999999997</v>
      </c>
      <c r="BC158" s="4">
        <v>0.28799999999999998</v>
      </c>
      <c r="BD158" s="4">
        <v>-0.108</v>
      </c>
      <c r="BE158" s="4">
        <v>0.14699999999999999</v>
      </c>
      <c r="BF158" s="4">
        <v>-4.1000000000000002E-2</v>
      </c>
      <c r="BG158" s="4">
        <v>1</v>
      </c>
      <c r="BH158" s="4">
        <v>0.753</v>
      </c>
      <c r="BI158" s="4">
        <v>-0.32400000000000001</v>
      </c>
      <c r="BJ158" s="4">
        <v>-0.20200000000000001</v>
      </c>
      <c r="BK158" s="4">
        <v>-0.159</v>
      </c>
      <c r="BL158" s="4">
        <v>-0.872</v>
      </c>
      <c r="BM158" s="4">
        <v>-0.64900000000000002</v>
      </c>
      <c r="BN158" s="4"/>
    </row>
    <row r="159" spans="1:66" x14ac:dyDescent="0.3">
      <c r="A159" t="s">
        <v>226</v>
      </c>
      <c r="B159" s="53">
        <f t="shared" si="18"/>
        <v>0</v>
      </c>
      <c r="C159" s="53">
        <f t="shared" si="19"/>
        <v>-5.9499000000000002E-3</v>
      </c>
      <c r="D159" s="53">
        <f t="shared" si="20"/>
        <v>0</v>
      </c>
      <c r="E159" s="53">
        <f t="shared" si="21"/>
        <v>5.9499000000000002E-3</v>
      </c>
      <c r="F159" s="15">
        <v>0.56999999999999995</v>
      </c>
      <c r="G159">
        <v>0.66900000000000004</v>
      </c>
      <c r="H159" t="s">
        <v>55</v>
      </c>
      <c r="I159" t="str">
        <f>VLOOKUP(A159,Planilha6!$BL$9:$BN$222,2,0)</f>
        <v>utilities</v>
      </c>
      <c r="J159" t="str">
        <f>VLOOKUP(A159,Planilha6!$BL$9:$BN$222,3,0)</f>
        <v>neutral_beta</v>
      </c>
      <c r="K159" s="17">
        <v>0</v>
      </c>
      <c r="L159" s="2">
        <v>-6.0000000000000001E-3</v>
      </c>
      <c r="M159" s="5">
        <v>0</v>
      </c>
      <c r="N159" s="41">
        <f>VLOOKUP(A159,'Mandato LP'!$A$2:$B$215,2,0)</f>
        <v>0</v>
      </c>
      <c r="O159" s="59">
        <f t="shared" si="22"/>
        <v>0</v>
      </c>
      <c r="P159" s="42">
        <f t="shared" si="23"/>
        <v>0</v>
      </c>
      <c r="Q159" s="41">
        <f>VLOOKUP(A159,'Mandato LP'!$A$2:$C$215,3,0)</f>
        <v>0</v>
      </c>
      <c r="R159" s="42">
        <f t="shared" si="24"/>
        <v>0</v>
      </c>
      <c r="S159" s="15">
        <v>-0.71299999999999997</v>
      </c>
      <c r="T159" s="15">
        <v>-0.47499999999999998</v>
      </c>
      <c r="U159" s="15">
        <v>-0.88300000000000001</v>
      </c>
      <c r="V159" s="15">
        <v>-0.59499999999999997</v>
      </c>
      <c r="W159" s="15">
        <v>-0.63100000000000001</v>
      </c>
      <c r="X159" s="15">
        <v>-0.70899999999999996</v>
      </c>
      <c r="Y159" s="15">
        <v>-0.72099999999999997</v>
      </c>
      <c r="Z159" s="15">
        <v>-0.69299999999999995</v>
      </c>
      <c r="AA159" s="15">
        <v>0.22700000000000001</v>
      </c>
      <c r="AB159" s="15">
        <v>0.22900000000000001</v>
      </c>
      <c r="AC159" s="15">
        <v>0.54</v>
      </c>
      <c r="AD159" s="15">
        <v>0.60199999999999998</v>
      </c>
      <c r="AE159" s="15">
        <v>0.47299999999999998</v>
      </c>
      <c r="AF159" s="14">
        <v>-0.64</v>
      </c>
      <c r="AG159" s="110">
        <v>-0.39400000000000002</v>
      </c>
      <c r="AH159" s="110">
        <v>-8.5000000000000006E-2</v>
      </c>
      <c r="AI159" s="110">
        <v>-0.996</v>
      </c>
      <c r="AJ159" s="110">
        <v>-0.66200000000000003</v>
      </c>
      <c r="AK159" s="16">
        <v>-0.81599999999999995</v>
      </c>
      <c r="AL159" s="111">
        <v>-0.372</v>
      </c>
      <c r="AM159" s="111">
        <v>-1</v>
      </c>
      <c r="AN159" s="4">
        <v>-0.68400000000000005</v>
      </c>
      <c r="AO159" s="4">
        <v>-3.5999999999999997E-2</v>
      </c>
      <c r="AP159" s="4">
        <v>0.64</v>
      </c>
      <c r="AQ159" s="4">
        <v>0.22700000000000001</v>
      </c>
      <c r="AR159" s="4">
        <v>0.53700000000000003</v>
      </c>
      <c r="AS159" s="4">
        <v>0.52</v>
      </c>
      <c r="AT159" s="4">
        <v>0.53400000000000003</v>
      </c>
      <c r="AU159" s="4">
        <v>1.2E-2</v>
      </c>
      <c r="AV159" s="4">
        <v>-9.0999999999999998E-2</v>
      </c>
      <c r="AW159" s="4">
        <v>7.0000000000000007E-2</v>
      </c>
      <c r="AX159" s="4">
        <v>0.26200000000000001</v>
      </c>
      <c r="AY159" s="4">
        <v>-0.33700000000000002</v>
      </c>
      <c r="AZ159" s="4">
        <v>0.79100000000000004</v>
      </c>
      <c r="BA159" s="4">
        <v>0.68</v>
      </c>
      <c r="BB159" s="4">
        <v>0.76500000000000001</v>
      </c>
      <c r="BC159" s="4">
        <v>-0.129</v>
      </c>
      <c r="BD159" s="4">
        <v>-0.59599999999999997</v>
      </c>
      <c r="BE159" s="4">
        <v>0.57799999999999996</v>
      </c>
      <c r="BF159" s="4">
        <v>-1</v>
      </c>
      <c r="BG159" s="4">
        <v>-1</v>
      </c>
      <c r="BH159" s="4">
        <v>-0.47199999999999998</v>
      </c>
      <c r="BI159" s="4">
        <v>-0.53900000000000003</v>
      </c>
      <c r="BJ159" s="4">
        <v>-0.105</v>
      </c>
      <c r="BK159" s="4">
        <v>-0.48099999999999998</v>
      </c>
      <c r="BL159" s="4">
        <v>-0.45700000000000002</v>
      </c>
      <c r="BM159" s="4">
        <v>-0.26200000000000001</v>
      </c>
      <c r="BN159" s="4"/>
    </row>
    <row r="160" spans="1:66" x14ac:dyDescent="0.3">
      <c r="A160" t="s">
        <v>156</v>
      </c>
      <c r="B160" s="53">
        <f t="shared" si="18"/>
        <v>0</v>
      </c>
      <c r="C160" s="53">
        <f t="shared" si="19"/>
        <v>0</v>
      </c>
      <c r="D160" s="53">
        <f t="shared" si="20"/>
        <v>0</v>
      </c>
      <c r="E160" s="53">
        <f t="shared" si="21"/>
        <v>0</v>
      </c>
      <c r="F160" s="15">
        <v>0.56799999999999995</v>
      </c>
      <c r="G160">
        <v>0.53</v>
      </c>
      <c r="H160" t="s">
        <v>55</v>
      </c>
      <c r="I160" t="str">
        <f>VLOOKUP(A160,Planilha6!$BL$9:$BN$222,2,0)</f>
        <v>transportation</v>
      </c>
      <c r="J160" t="str">
        <f>VLOOKUP(A160,Planilha6!$BL$9:$BN$222,3,0)</f>
        <v>very_high_beta</v>
      </c>
      <c r="K160" s="17">
        <v>0</v>
      </c>
      <c r="L160" s="2">
        <v>0</v>
      </c>
      <c r="M160" s="5">
        <v>0.19567504460666699</v>
      </c>
      <c r="N160" s="41">
        <f>VLOOKUP(A160,'Mandato LP'!$A$2:$B$215,2,0)</f>
        <v>0</v>
      </c>
      <c r="O160" s="59">
        <f t="shared" si="22"/>
        <v>0</v>
      </c>
      <c r="P160" s="42">
        <f t="shared" si="23"/>
        <v>0</v>
      </c>
      <c r="Q160" s="41">
        <f>VLOOKUP(A160,'Mandato LP'!$A$2:$C$215,3,0)</f>
        <v>5.3209785483147899E-3</v>
      </c>
      <c r="R160" s="42">
        <f t="shared" si="24"/>
        <v>-5.3209785483147899E-3</v>
      </c>
      <c r="S160" s="15">
        <v>-0.74299999999999999</v>
      </c>
      <c r="T160" s="15">
        <v>-0.56999999999999995</v>
      </c>
      <c r="U160" s="15">
        <v>-0.86699999999999999</v>
      </c>
      <c r="V160" s="15">
        <v>-0.59299999999999997</v>
      </c>
      <c r="W160" s="15">
        <v>-0.66</v>
      </c>
      <c r="X160" s="15">
        <v>-0.66300000000000003</v>
      </c>
      <c r="Y160" s="15">
        <v>-0.51200000000000001</v>
      </c>
      <c r="Z160" s="15">
        <v>-0.71299999999999997</v>
      </c>
      <c r="AA160" s="15">
        <v>0.24399999999999999</v>
      </c>
      <c r="AB160" s="15">
        <v>0.247</v>
      </c>
      <c r="AC160" s="15">
        <v>0.57899999999999996</v>
      </c>
      <c r="AD160" s="15">
        <v>0.71099999999999997</v>
      </c>
      <c r="AE160" s="15">
        <v>0.376</v>
      </c>
      <c r="AF160" s="14">
        <v>-0.82499999999999996</v>
      </c>
      <c r="AG160" s="110">
        <v>0.27400000000000002</v>
      </c>
      <c r="AH160" s="110">
        <v>0.58899999999999997</v>
      </c>
      <c r="AI160" s="110">
        <v>-0.42599999999999999</v>
      </c>
      <c r="AJ160" s="110">
        <v>-0.40799999999999997</v>
      </c>
      <c r="AK160" s="16">
        <v>-0.77700000000000002</v>
      </c>
      <c r="AL160" s="111">
        <v>-0.122</v>
      </c>
      <c r="AM160" s="111">
        <v>-0.56599999999999995</v>
      </c>
      <c r="AN160" s="4">
        <v>-1E-3</v>
      </c>
      <c r="AO160" s="4">
        <v>0.22800000000000001</v>
      </c>
      <c r="AP160" s="4">
        <v>0.121</v>
      </c>
      <c r="AQ160" s="4">
        <v>-0.438</v>
      </c>
      <c r="AR160" s="4">
        <v>0.57999999999999996</v>
      </c>
      <c r="AS160" s="4">
        <v>-0.19800000000000001</v>
      </c>
      <c r="AT160" s="4">
        <v>-0.29299999999999998</v>
      </c>
      <c r="AU160" s="4">
        <v>0.11899999999999999</v>
      </c>
      <c r="AV160" s="4">
        <v>0.23300000000000001</v>
      </c>
      <c r="AW160" s="4">
        <v>-0.32300000000000001</v>
      </c>
      <c r="AX160" s="4">
        <v>-0.318</v>
      </c>
      <c r="AY160" s="4">
        <v>-0.95699999999999996</v>
      </c>
      <c r="AZ160" s="4">
        <v>0.92800000000000005</v>
      </c>
      <c r="BA160" s="4">
        <v>-0.34499999999999997</v>
      </c>
      <c r="BB160" s="4">
        <v>0.39300000000000002</v>
      </c>
      <c r="BC160" s="4">
        <v>-0.70699999999999996</v>
      </c>
      <c r="BD160" s="4">
        <v>-1</v>
      </c>
      <c r="BE160" s="4">
        <v>5.0000000000000001E-3</v>
      </c>
      <c r="BF160" s="4">
        <v>-0.20899999999999999</v>
      </c>
      <c r="BG160" s="4">
        <v>0.51600000000000001</v>
      </c>
      <c r="BH160" s="4">
        <v>0.13200000000000001</v>
      </c>
      <c r="BI160" s="4">
        <v>-0.24199999999999999</v>
      </c>
      <c r="BJ160" s="4">
        <v>0.93600000000000005</v>
      </c>
      <c r="BK160" s="4">
        <v>-0.25600000000000001</v>
      </c>
      <c r="BL160" s="4">
        <v>6.3E-2</v>
      </c>
      <c r="BM160" s="4">
        <v>-0.32700000000000001</v>
      </c>
      <c r="BN160" s="4"/>
    </row>
    <row r="161" spans="1:66" x14ac:dyDescent="0.3">
      <c r="A161" t="s">
        <v>229</v>
      </c>
      <c r="B161" s="53">
        <f t="shared" si="18"/>
        <v>0</v>
      </c>
      <c r="C161" s="53">
        <f t="shared" si="19"/>
        <v>0</v>
      </c>
      <c r="D161" s="53">
        <f t="shared" si="20"/>
        <v>0</v>
      </c>
      <c r="E161" s="53">
        <f t="shared" si="21"/>
        <v>0</v>
      </c>
      <c r="F161" s="15">
        <v>0.56699999999999995</v>
      </c>
      <c r="G161">
        <v>0.44</v>
      </c>
      <c r="H161" t="s">
        <v>71</v>
      </c>
      <c r="I161" t="str">
        <f>VLOOKUP(A161,Planilha6!$BL$9:$BN$222,2,0)</f>
        <v>food</v>
      </c>
      <c r="J161" t="str">
        <f>VLOOKUP(A161,Planilha6!$BL$9:$BN$222,3,0)</f>
        <v>very_low_beta</v>
      </c>
      <c r="K161" s="17">
        <v>0</v>
      </c>
      <c r="L161" s="2">
        <v>0</v>
      </c>
      <c r="M161" s="5">
        <v>1.0152809786366701</v>
      </c>
      <c r="N161" s="41">
        <f>VLOOKUP(A161,'Mandato LP'!$A$2:$B$215,2,0)</f>
        <v>0</v>
      </c>
      <c r="O161" s="59">
        <f t="shared" si="22"/>
        <v>0</v>
      </c>
      <c r="P161" s="42">
        <f t="shared" si="23"/>
        <v>0</v>
      </c>
      <c r="Q161" s="41">
        <f>VLOOKUP(A161,'Mandato LP'!$A$2:$C$215,3,0)</f>
        <v>0</v>
      </c>
      <c r="R161" s="42">
        <f t="shared" si="24"/>
        <v>0</v>
      </c>
      <c r="S161" s="15">
        <v>-0.80700000000000005</v>
      </c>
      <c r="T161" s="15">
        <v>-0.69699999999999995</v>
      </c>
      <c r="U161" s="15">
        <v>-0.873</v>
      </c>
      <c r="V161" s="15">
        <v>-0.79300000000000004</v>
      </c>
      <c r="W161" s="15">
        <v>-0.77500000000000002</v>
      </c>
      <c r="X161" s="15">
        <v>-0.67900000000000005</v>
      </c>
      <c r="Y161" s="15">
        <v>-0.66800000000000004</v>
      </c>
      <c r="Z161" s="15">
        <v>-0.70599999999999996</v>
      </c>
      <c r="AA161" s="15">
        <v>0.44400000000000001</v>
      </c>
      <c r="AB161" s="15">
        <v>0.44600000000000001</v>
      </c>
      <c r="AC161" s="15">
        <v>0.59899999999999998</v>
      </c>
      <c r="AD161" s="15">
        <v>0.71299999999999997</v>
      </c>
      <c r="AE161" s="15">
        <v>0.47899999999999998</v>
      </c>
      <c r="AF161" s="14">
        <v>-0.77800000000000002</v>
      </c>
      <c r="AG161" s="110">
        <v>-0.55400000000000005</v>
      </c>
      <c r="AH161" s="110">
        <v>-0.122</v>
      </c>
      <c r="AI161" s="110">
        <v>-0.44400000000000001</v>
      </c>
      <c r="AJ161" s="110">
        <v>-0.46800000000000003</v>
      </c>
      <c r="AK161" s="16">
        <v>-0.82299999999999995</v>
      </c>
      <c r="AL161" s="111">
        <v>-0.33400000000000002</v>
      </c>
      <c r="AM161" s="111">
        <v>-0.46899999999999997</v>
      </c>
      <c r="AN161" s="4">
        <v>-6.6000000000000003E-2</v>
      </c>
      <c r="AO161" s="4">
        <v>-0.12</v>
      </c>
      <c r="AP161" s="4">
        <v>2.3E-2</v>
      </c>
      <c r="AQ161" s="4">
        <v>0.19400000000000001</v>
      </c>
      <c r="AR161" s="4">
        <v>-0.317</v>
      </c>
      <c r="AS161" s="4">
        <v>0.59499999999999997</v>
      </c>
      <c r="AT161" s="4">
        <v>0.36599999999999999</v>
      </c>
      <c r="AU161" s="4">
        <v>-2.5000000000000001E-2</v>
      </c>
      <c r="AV161" s="4">
        <v>-0.113</v>
      </c>
      <c r="AW161" s="4">
        <v>-0.44800000000000001</v>
      </c>
      <c r="AX161" s="4">
        <v>0.19700000000000001</v>
      </c>
      <c r="AY161" s="4">
        <v>-0.26500000000000001</v>
      </c>
      <c r="AZ161" s="4">
        <v>0.57099999999999995</v>
      </c>
      <c r="BA161" s="4">
        <v>-0.223</v>
      </c>
      <c r="BB161" s="4">
        <v>0.48699999999999999</v>
      </c>
      <c r="BC161" s="4">
        <v>-9.1999999999999998E-2</v>
      </c>
      <c r="BD161" s="4">
        <v>-0.443</v>
      </c>
      <c r="BE161" s="4">
        <v>0.105</v>
      </c>
      <c r="BF161" s="4">
        <v>0.36899999999999999</v>
      </c>
      <c r="BG161" s="4">
        <v>0.56100000000000005</v>
      </c>
      <c r="BH161" s="4">
        <v>0.26900000000000002</v>
      </c>
      <c r="BI161" s="4">
        <v>-0.06</v>
      </c>
      <c r="BJ161" s="4">
        <v>-0.85599999999999998</v>
      </c>
      <c r="BK161" s="4">
        <v>-0.20300000000000001</v>
      </c>
      <c r="BL161" s="4">
        <v>9.4E-2</v>
      </c>
      <c r="BM161" s="4">
        <v>-6.7000000000000004E-2</v>
      </c>
      <c r="BN161" s="4"/>
    </row>
    <row r="162" spans="1:66" x14ac:dyDescent="0.3">
      <c r="A162" t="s">
        <v>170</v>
      </c>
      <c r="B162" s="53">
        <f t="shared" si="18"/>
        <v>0</v>
      </c>
      <c r="C162" s="53">
        <f t="shared" si="19"/>
        <v>0</v>
      </c>
      <c r="D162" s="53">
        <f t="shared" si="20"/>
        <v>0</v>
      </c>
      <c r="E162" s="53">
        <f t="shared" si="21"/>
        <v>0</v>
      </c>
      <c r="F162" s="15">
        <v>0.56599999999999995</v>
      </c>
      <c r="G162">
        <v>0.48799999999999999</v>
      </c>
      <c r="H162" t="s">
        <v>57</v>
      </c>
      <c r="I162" t="str">
        <f>VLOOKUP(A162,Planilha6!$BL$9:$BN$222,2,0)</f>
        <v>consumer_durables</v>
      </c>
      <c r="J162" t="str">
        <f>VLOOKUP(A162,Planilha6!$BL$9:$BN$222,3,0)</f>
        <v>high_beta</v>
      </c>
      <c r="K162" s="17">
        <v>0</v>
      </c>
      <c r="L162" s="2">
        <v>0</v>
      </c>
      <c r="M162" s="5">
        <v>0.28590344167666698</v>
      </c>
      <c r="N162" s="41">
        <f>VLOOKUP(A162,'Mandato LP'!$A$2:$B$215,2,0)</f>
        <v>0</v>
      </c>
      <c r="O162" s="59">
        <f t="shared" si="22"/>
        <v>0</v>
      </c>
      <c r="P162" s="42">
        <f t="shared" si="23"/>
        <v>0</v>
      </c>
      <c r="Q162" s="41">
        <f>VLOOKUP(A162,'Mandato LP'!$A$2:$C$215,3,0)</f>
        <v>0</v>
      </c>
      <c r="R162" s="42">
        <f t="shared" si="24"/>
        <v>0</v>
      </c>
      <c r="S162" s="15">
        <v>-0.57899999999999996</v>
      </c>
      <c r="T162" s="15">
        <v>-0.621</v>
      </c>
      <c r="U162" s="15">
        <v>-0.54600000000000004</v>
      </c>
      <c r="V162" s="15">
        <v>-0.68200000000000005</v>
      </c>
      <c r="W162" s="15">
        <v>-0.65</v>
      </c>
      <c r="X162" s="15">
        <v>-0.60899999999999999</v>
      </c>
      <c r="Y162" s="15">
        <v>-0.56599999999999995</v>
      </c>
      <c r="Z162" s="15">
        <v>-0.71099999999999997</v>
      </c>
      <c r="AA162" s="15">
        <v>4.5999999999999999E-2</v>
      </c>
      <c r="AB162" s="15">
        <v>4.7E-2</v>
      </c>
      <c r="AC162" s="15">
        <v>0.52500000000000002</v>
      </c>
      <c r="AD162" s="15">
        <v>0.439</v>
      </c>
      <c r="AE162" s="15">
        <v>0.30099999999999999</v>
      </c>
      <c r="AF162" s="14">
        <v>-0.312</v>
      </c>
      <c r="AG162" s="110">
        <v>-0.17</v>
      </c>
      <c r="AH162" s="110">
        <v>-0.63600000000000001</v>
      </c>
      <c r="AI162" s="110">
        <v>-0.255</v>
      </c>
      <c r="AJ162" s="110">
        <v>-0.51500000000000001</v>
      </c>
      <c r="AK162" s="16">
        <v>-8.6999999999999994E-2</v>
      </c>
      <c r="AL162" s="111">
        <v>-0.19</v>
      </c>
      <c r="AM162" s="111">
        <v>-0.60599999999999998</v>
      </c>
      <c r="AN162" s="4">
        <v>-0.35499999999999998</v>
      </c>
      <c r="AO162" s="4">
        <v>0.28399999999999997</v>
      </c>
      <c r="AP162" s="4">
        <v>-0.39700000000000002</v>
      </c>
      <c r="AQ162" s="4">
        <v>-0.32300000000000001</v>
      </c>
      <c r="AR162" s="4">
        <v>0.32700000000000001</v>
      </c>
      <c r="AS162" s="4">
        <v>3.4000000000000002E-2</v>
      </c>
      <c r="AT162" s="4">
        <v>9.7000000000000003E-2</v>
      </c>
      <c r="AU162" s="4">
        <v>0.32300000000000001</v>
      </c>
      <c r="AV162" s="4">
        <v>-0.17699999999999999</v>
      </c>
      <c r="AW162" s="4">
        <v>6.4000000000000001E-2</v>
      </c>
      <c r="AX162" s="4">
        <v>-0.38700000000000001</v>
      </c>
      <c r="AY162" s="4">
        <v>-0.28299999999999997</v>
      </c>
      <c r="AZ162" s="4">
        <v>0.77400000000000002</v>
      </c>
      <c r="BA162" s="4">
        <v>0.49299999999999999</v>
      </c>
      <c r="BB162" s="4">
        <v>0.63800000000000001</v>
      </c>
      <c r="BC162" s="4">
        <v>-0.10199999999999999</v>
      </c>
      <c r="BD162" s="4">
        <v>-0.29399999999999998</v>
      </c>
      <c r="BE162" s="4">
        <v>0.221</v>
      </c>
      <c r="BF162" s="4">
        <v>-0.27500000000000002</v>
      </c>
      <c r="BG162" s="4">
        <v>-0.28000000000000003</v>
      </c>
      <c r="BH162" s="4">
        <v>0.45200000000000001</v>
      </c>
      <c r="BI162" s="4">
        <v>-0.17</v>
      </c>
      <c r="BJ162" s="4">
        <v>0.23899999999999999</v>
      </c>
      <c r="BK162" s="4">
        <v>-0.17699999999999999</v>
      </c>
      <c r="BL162" s="4">
        <v>-8.9999999999999993E-3</v>
      </c>
      <c r="BM162" s="4">
        <v>-0.96899999999999997</v>
      </c>
      <c r="BN162" s="4"/>
    </row>
    <row r="163" spans="1:66" x14ac:dyDescent="0.3">
      <c r="A163" t="s">
        <v>250</v>
      </c>
      <c r="B163" s="53">
        <f t="shared" si="18"/>
        <v>0</v>
      </c>
      <c r="C163" s="53">
        <f t="shared" si="19"/>
        <v>0</v>
      </c>
      <c r="D163" s="53">
        <f t="shared" si="20"/>
        <v>0</v>
      </c>
      <c r="E163" s="53">
        <f t="shared" si="21"/>
        <v>0</v>
      </c>
      <c r="F163" s="15">
        <v>0.56599999999999995</v>
      </c>
      <c r="G163">
        <v>0.437</v>
      </c>
      <c r="H163" t="s">
        <v>57</v>
      </c>
      <c r="I163" t="str">
        <f>VLOOKUP(A163,Planilha6!$BL$9:$BN$222,2,0)</f>
        <v>tech</v>
      </c>
      <c r="J163" t="str">
        <f>VLOOKUP(A163,Planilha6!$BL$9:$BN$222,3,0)</f>
        <v>very_high_beta</v>
      </c>
      <c r="K163" s="17">
        <v>0</v>
      </c>
      <c r="L163" s="2">
        <v>0</v>
      </c>
      <c r="M163" s="5">
        <v>0.1435709044</v>
      </c>
      <c r="N163" s="41">
        <f>VLOOKUP(A163,'Mandato LP'!$A$2:$B$215,2,0)</f>
        <v>0</v>
      </c>
      <c r="O163" s="59">
        <f t="shared" si="22"/>
        <v>0</v>
      </c>
      <c r="P163" s="42">
        <f t="shared" si="23"/>
        <v>0</v>
      </c>
      <c r="Q163" s="41">
        <f>VLOOKUP(A163,'Mandato LP'!$A$2:$C$215,3,0)</f>
        <v>0</v>
      </c>
      <c r="R163" s="42">
        <f t="shared" si="24"/>
        <v>0</v>
      </c>
      <c r="S163" s="15">
        <v>-0.32600000000000001</v>
      </c>
      <c r="T163" s="15">
        <v>-0.70099999999999996</v>
      </c>
      <c r="U163" s="15">
        <v>-0.16400000000000001</v>
      </c>
      <c r="V163" s="15">
        <v>-0.65700000000000003</v>
      </c>
      <c r="W163" s="15">
        <v>-0.65500000000000003</v>
      </c>
      <c r="X163" s="15">
        <v>-0.63500000000000001</v>
      </c>
      <c r="Y163" s="15">
        <v>-0.67900000000000005</v>
      </c>
      <c r="Z163" s="15">
        <v>-0.746</v>
      </c>
      <c r="AA163" s="15">
        <v>-0.13600000000000001</v>
      </c>
      <c r="AB163" s="15">
        <v>-0.13800000000000001</v>
      </c>
      <c r="AC163" s="15">
        <v>0.40400000000000003</v>
      </c>
      <c r="AD163" s="15">
        <v>0.56499999999999995</v>
      </c>
      <c r="AE163" s="15">
        <v>0.14899999999999999</v>
      </c>
      <c r="AF163" s="14">
        <v>-6.9000000000000006E-2</v>
      </c>
      <c r="AG163" s="110">
        <v>-0.13600000000000001</v>
      </c>
      <c r="AH163" s="110">
        <v>-0.76100000000000001</v>
      </c>
      <c r="AI163" s="110">
        <v>-0.31</v>
      </c>
      <c r="AJ163" s="110">
        <v>-0.222</v>
      </c>
      <c r="AK163" s="16">
        <v>0.40600000000000003</v>
      </c>
      <c r="AL163" s="111">
        <v>-0.45600000000000002</v>
      </c>
      <c r="AM163" s="111">
        <v>-0.44900000000000001</v>
      </c>
      <c r="AN163" s="4">
        <v>-0.31900000000000001</v>
      </c>
      <c r="AO163" s="4">
        <v>0.35299999999999998</v>
      </c>
      <c r="AP163" s="4">
        <v>-0.217</v>
      </c>
      <c r="AQ163" s="4">
        <v>-0.217</v>
      </c>
      <c r="AR163" s="4">
        <v>-0.17799999999999999</v>
      </c>
      <c r="AS163" s="4">
        <v>0.877</v>
      </c>
      <c r="AT163" s="4">
        <v>0.20300000000000001</v>
      </c>
      <c r="AU163" s="4">
        <v>-0.24399999999999999</v>
      </c>
      <c r="AV163" s="4">
        <v>-0.436</v>
      </c>
      <c r="AW163" s="4">
        <v>0.33700000000000002</v>
      </c>
      <c r="AX163" s="4">
        <v>-0.39500000000000002</v>
      </c>
      <c r="AY163" s="4">
        <v>7.0999999999999994E-2</v>
      </c>
      <c r="AZ163" s="4">
        <v>0.76700000000000002</v>
      </c>
      <c r="BA163" s="4">
        <v>-1.7000000000000001E-2</v>
      </c>
      <c r="BB163" s="4">
        <v>0.155</v>
      </c>
      <c r="BC163" s="4">
        <v>0.39</v>
      </c>
      <c r="BD163" s="4">
        <v>5.7000000000000002E-2</v>
      </c>
      <c r="BE163" s="4">
        <v>0.372</v>
      </c>
      <c r="BF163" s="4">
        <v>-0.14099999999999999</v>
      </c>
      <c r="BG163" s="4">
        <v>3.6999999999999998E-2</v>
      </c>
      <c r="BH163" s="4">
        <v>0.19600000000000001</v>
      </c>
      <c r="BI163" s="4">
        <v>0.36099999999999999</v>
      </c>
      <c r="BJ163" s="4">
        <v>0.48199999999999998</v>
      </c>
      <c r="BK163" s="4">
        <v>4.1000000000000002E-2</v>
      </c>
      <c r="BL163" s="4">
        <v>0.19700000000000001</v>
      </c>
      <c r="BM163" s="4">
        <v>0.35499999999999998</v>
      </c>
      <c r="BN163" s="4"/>
    </row>
    <row r="164" spans="1:66" x14ac:dyDescent="0.3">
      <c r="A164" t="s">
        <v>202</v>
      </c>
      <c r="B164" s="53">
        <f t="shared" si="18"/>
        <v>0</v>
      </c>
      <c r="C164" s="53">
        <f t="shared" si="19"/>
        <v>0</v>
      </c>
      <c r="D164" s="53">
        <f t="shared" si="20"/>
        <v>0</v>
      </c>
      <c r="E164" s="53">
        <f t="shared" si="21"/>
        <v>0</v>
      </c>
      <c r="F164" s="15">
        <v>0.56299999999999994</v>
      </c>
      <c r="G164">
        <v>0.45300000000000001</v>
      </c>
      <c r="H164" t="s">
        <v>57</v>
      </c>
      <c r="I164" t="str">
        <f>VLOOKUP(A164,Planilha6!$BL$9:$BN$222,2,0)</f>
        <v>transportation</v>
      </c>
      <c r="J164" t="str">
        <f>VLOOKUP(A164,Planilha6!$BL$9:$BN$222,3,0)</f>
        <v>low_beta</v>
      </c>
      <c r="K164" s="17">
        <v>0</v>
      </c>
      <c r="L164" s="2">
        <v>0</v>
      </c>
      <c r="M164" s="5">
        <v>0</v>
      </c>
      <c r="N164" s="41">
        <f>VLOOKUP(A164,'Mandato LP'!$A$2:$B$215,2,0)</f>
        <v>0</v>
      </c>
      <c r="O164" s="59">
        <f t="shared" si="22"/>
        <v>0</v>
      </c>
      <c r="P164" s="42">
        <f t="shared" si="23"/>
        <v>0</v>
      </c>
      <c r="Q164" s="41">
        <f>VLOOKUP(A164,'Mandato LP'!$A$2:$C$215,3,0)</f>
        <v>0</v>
      </c>
      <c r="R164" s="42">
        <f t="shared" si="24"/>
        <v>0</v>
      </c>
      <c r="S164" s="15">
        <v>-0.59899999999999998</v>
      </c>
      <c r="T164" s="15">
        <v>-0.56799999999999995</v>
      </c>
      <c r="U164" s="15">
        <v>-0.66900000000000004</v>
      </c>
      <c r="V164" s="15">
        <v>-0.75600000000000001</v>
      </c>
      <c r="W164" s="15">
        <v>-0.70799999999999996</v>
      </c>
      <c r="X164" s="15">
        <v>-0.60799999999999998</v>
      </c>
      <c r="Y164" s="15">
        <v>-0.48799999999999999</v>
      </c>
      <c r="Z164" s="15">
        <v>-0.755</v>
      </c>
      <c r="AA164" s="15">
        <v>0.16700000000000001</v>
      </c>
      <c r="AB164" s="15">
        <v>0.16500000000000001</v>
      </c>
      <c r="AC164" s="15">
        <v>0.54200000000000004</v>
      </c>
      <c r="AD164" s="15">
        <v>0.45</v>
      </c>
      <c r="AE164" s="15">
        <v>0.25900000000000001</v>
      </c>
      <c r="AF164" s="14">
        <v>-0.53300000000000003</v>
      </c>
      <c r="AG164" s="110">
        <v>-0.51700000000000002</v>
      </c>
      <c r="AH164" s="110">
        <v>-0.70299999999999996</v>
      </c>
      <c r="AI164" s="110">
        <v>-0.67100000000000004</v>
      </c>
      <c r="AJ164" s="110">
        <v>-0.30299999999999999</v>
      </c>
      <c r="AK164" s="16">
        <v>-0.81399999999999995</v>
      </c>
      <c r="AL164" s="111">
        <v>-0.17499999999999999</v>
      </c>
      <c r="AM164" s="111">
        <v>-1</v>
      </c>
      <c r="AN164" s="4">
        <v>-0.755</v>
      </c>
      <c r="AO164" s="4">
        <v>0.33</v>
      </c>
      <c r="AP164" s="4">
        <v>-7.5999999999999998E-2</v>
      </c>
      <c r="AQ164" s="4">
        <v>-6.3E-2</v>
      </c>
      <c r="AR164" s="4">
        <v>-0.28100000000000003</v>
      </c>
      <c r="AS164" s="4">
        <v>0.375</v>
      </c>
      <c r="AT164" s="4">
        <v>0.52500000000000002</v>
      </c>
      <c r="AU164" s="4">
        <v>-0.18</v>
      </c>
      <c r="AV164" s="4">
        <v>3.5999999999999997E-2</v>
      </c>
      <c r="AW164" s="4">
        <v>8.9999999999999993E-3</v>
      </c>
      <c r="AX164" s="4">
        <v>0.14599999999999999</v>
      </c>
      <c r="AY164" s="4">
        <v>-0.185</v>
      </c>
      <c r="AZ164" s="4">
        <v>-0.20300000000000001</v>
      </c>
      <c r="BA164" s="4">
        <v>7.3999999999999996E-2</v>
      </c>
      <c r="BB164" s="4">
        <v>0.874</v>
      </c>
      <c r="BC164" s="4">
        <v>-0.106</v>
      </c>
      <c r="BD164" s="4">
        <v>-0.13500000000000001</v>
      </c>
      <c r="BE164" s="4">
        <v>0.65800000000000003</v>
      </c>
      <c r="BF164" s="4">
        <v>0.188</v>
      </c>
      <c r="BG164" s="4">
        <v>-0.23300000000000001</v>
      </c>
      <c r="BH164" s="4">
        <v>0.60699999999999998</v>
      </c>
      <c r="BI164" s="4">
        <v>-0.252</v>
      </c>
      <c r="BJ164" s="4">
        <v>0.16200000000000001</v>
      </c>
      <c r="BK164" s="4">
        <v>0.52400000000000002</v>
      </c>
      <c r="BL164" s="4">
        <v>0.191</v>
      </c>
      <c r="BM164" s="4">
        <v>-0.43</v>
      </c>
      <c r="BN164" s="4"/>
    </row>
    <row r="165" spans="1:66" x14ac:dyDescent="0.3">
      <c r="A165" t="s">
        <v>220</v>
      </c>
      <c r="B165" s="53">
        <f t="shared" si="18"/>
        <v>0</v>
      </c>
      <c r="C165" s="53">
        <f t="shared" si="19"/>
        <v>-5.7096600000000001E-3</v>
      </c>
      <c r="D165" s="53">
        <f t="shared" si="20"/>
        <v>0</v>
      </c>
      <c r="E165" s="53">
        <f t="shared" si="21"/>
        <v>5.7096600000000001E-3</v>
      </c>
      <c r="F165" s="15">
        <v>0.55900000000000005</v>
      </c>
      <c r="G165">
        <v>0.71699999999999997</v>
      </c>
      <c r="H165" t="s">
        <v>57</v>
      </c>
      <c r="I165" t="str">
        <f>VLOOKUP(A165,Planilha6!$BL$9:$BN$222,2,0)</f>
        <v>consumer_services</v>
      </c>
      <c r="J165" t="str">
        <f>VLOOKUP(A165,Planilha6!$BL$9:$BN$222,3,0)</f>
        <v>very_high_beta</v>
      </c>
      <c r="K165" s="17">
        <v>0</v>
      </c>
      <c r="L165" s="2">
        <v>-6.0000000000000001E-3</v>
      </c>
      <c r="M165" s="5">
        <v>1.72765812919333</v>
      </c>
      <c r="N165" s="41">
        <f>VLOOKUP(A165,'Mandato LP'!$A$2:$B$215,2,0)</f>
        <v>0</v>
      </c>
      <c r="O165" s="59">
        <f t="shared" si="22"/>
        <v>0</v>
      </c>
      <c r="P165" s="42">
        <f t="shared" si="23"/>
        <v>0</v>
      </c>
      <c r="Q165" s="41">
        <f>VLOOKUP(A165,'Mandato LP'!$A$2:$C$215,3,0)</f>
        <v>0</v>
      </c>
      <c r="R165" s="42">
        <f t="shared" si="24"/>
        <v>0</v>
      </c>
      <c r="S165" s="15">
        <v>-0.77400000000000002</v>
      </c>
      <c r="T165" s="15">
        <v>-0.63200000000000001</v>
      </c>
      <c r="U165" s="15">
        <v>-0.93500000000000005</v>
      </c>
      <c r="V165" s="15">
        <v>-0.72799999999999998</v>
      </c>
      <c r="W165" s="15">
        <v>-0.76500000000000001</v>
      </c>
      <c r="X165" s="15">
        <v>-0.71499999999999997</v>
      </c>
      <c r="Y165" s="15">
        <v>-0.66400000000000003</v>
      </c>
      <c r="Z165" s="15">
        <v>-0.69</v>
      </c>
      <c r="AA165" s="15">
        <v>0.19800000000000001</v>
      </c>
      <c r="AB165" s="15">
        <v>0.19900000000000001</v>
      </c>
      <c r="AC165" s="15">
        <v>0.59899999999999998</v>
      </c>
      <c r="AD165" s="15">
        <v>0.621</v>
      </c>
      <c r="AE165" s="15">
        <v>0.42699999999999999</v>
      </c>
      <c r="AF165" s="14">
        <v>-0.46800000000000003</v>
      </c>
      <c r="AG165" s="110">
        <v>-0.61199999999999999</v>
      </c>
      <c r="AH165" s="110">
        <v>-0.32300000000000001</v>
      </c>
      <c r="AI165" s="110">
        <v>-0.98699999999999999</v>
      </c>
      <c r="AJ165" s="110">
        <v>-0.78</v>
      </c>
      <c r="AK165" s="16">
        <v>-1</v>
      </c>
      <c r="AL165" s="111">
        <v>-0.188</v>
      </c>
      <c r="AM165" s="111">
        <v>-0.44800000000000001</v>
      </c>
      <c r="AN165" s="4">
        <v>-0.497</v>
      </c>
      <c r="AO165" s="4">
        <v>0.129</v>
      </c>
      <c r="AP165" s="4">
        <v>0.29699999999999999</v>
      </c>
      <c r="AQ165" s="4">
        <v>0.46600000000000003</v>
      </c>
      <c r="AR165" s="4">
        <v>2.3E-2</v>
      </c>
      <c r="AS165" s="4">
        <v>0.159</v>
      </c>
      <c r="AT165" s="4">
        <v>0.16800000000000001</v>
      </c>
      <c r="AU165" s="4">
        <v>8.3000000000000004E-2</v>
      </c>
      <c r="AV165" s="4">
        <v>-0.29699999999999999</v>
      </c>
      <c r="AW165" s="4">
        <v>-2.1000000000000001E-2</v>
      </c>
      <c r="AX165" s="4">
        <v>-6.9000000000000006E-2</v>
      </c>
      <c r="AY165" s="4">
        <v>-0.26</v>
      </c>
      <c r="AZ165" s="4">
        <v>0.51900000000000002</v>
      </c>
      <c r="BA165" s="4">
        <v>-9.5000000000000001E-2</v>
      </c>
      <c r="BB165" s="4">
        <v>0.27300000000000002</v>
      </c>
      <c r="BC165" s="4">
        <v>4.1000000000000002E-2</v>
      </c>
      <c r="BD165" s="4">
        <v>-0.128</v>
      </c>
      <c r="BE165" s="4">
        <v>0.29899999999999999</v>
      </c>
      <c r="BF165" s="4">
        <v>-0.52900000000000003</v>
      </c>
      <c r="BG165" s="4">
        <v>-0.74099999999999999</v>
      </c>
      <c r="BH165" s="4">
        <v>0.19900000000000001</v>
      </c>
      <c r="BI165" s="4">
        <v>-0.11799999999999999</v>
      </c>
      <c r="BJ165" s="4">
        <v>0.4</v>
      </c>
      <c r="BK165" s="4">
        <v>-0.54200000000000004</v>
      </c>
      <c r="BL165" s="4">
        <v>-0.52700000000000002</v>
      </c>
      <c r="BM165" s="4">
        <v>-0.48099999999999998</v>
      </c>
      <c r="BN165" s="4"/>
    </row>
    <row r="166" spans="1:66" x14ac:dyDescent="0.3">
      <c r="A166" t="s">
        <v>140</v>
      </c>
      <c r="B166" s="53">
        <f t="shared" si="18"/>
        <v>0</v>
      </c>
      <c r="C166" s="53">
        <f t="shared" si="19"/>
        <v>-2.4667729999999999E-2</v>
      </c>
      <c r="D166" s="53">
        <f t="shared" si="20"/>
        <v>0</v>
      </c>
      <c r="E166" s="53">
        <f t="shared" si="21"/>
        <v>2.4667729999999999E-2</v>
      </c>
      <c r="F166" s="15">
        <v>0.55600000000000005</v>
      </c>
      <c r="G166">
        <v>0.46</v>
      </c>
      <c r="H166" t="s">
        <v>71</v>
      </c>
      <c r="I166" t="str">
        <f>VLOOKUP(A166,Planilha6!$BL$9:$BN$222,2,0)</f>
        <v>food</v>
      </c>
      <c r="J166" t="str">
        <f>VLOOKUP(A166,Planilha6!$BL$9:$BN$222,3,0)</f>
        <v>very_low_beta</v>
      </c>
      <c r="K166" s="17">
        <v>0</v>
      </c>
      <c r="L166" s="2">
        <v>-2.5000000000000001E-2</v>
      </c>
      <c r="M166" s="5">
        <v>1.8814107034666701</v>
      </c>
      <c r="N166" s="41">
        <f>VLOOKUP(A166,'Mandato LP'!$A$2:$B$215,2,0)</f>
        <v>0</v>
      </c>
      <c r="O166" s="59">
        <f t="shared" si="22"/>
        <v>0</v>
      </c>
      <c r="P166" s="42">
        <f t="shared" si="23"/>
        <v>0</v>
      </c>
      <c r="Q166" s="41">
        <f>VLOOKUP(A166,'Mandato LP'!$A$2:$C$215,3,0)</f>
        <v>0</v>
      </c>
      <c r="R166" s="42">
        <f t="shared" si="24"/>
        <v>0</v>
      </c>
      <c r="S166" s="15">
        <v>-0.95299999999999996</v>
      </c>
      <c r="T166" s="15">
        <v>-0.84699999999999998</v>
      </c>
      <c r="U166" s="15">
        <v>-1</v>
      </c>
      <c r="V166" s="15">
        <v>-0.77</v>
      </c>
      <c r="W166" s="15">
        <v>-0.82299999999999995</v>
      </c>
      <c r="X166" s="15">
        <v>-0.82899999999999996</v>
      </c>
      <c r="Y166" s="15">
        <v>-0.82499999999999996</v>
      </c>
      <c r="Z166" s="15">
        <v>-0.34399999999999997</v>
      </c>
      <c r="AA166" s="15">
        <v>0.373</v>
      </c>
      <c r="AB166" s="15">
        <v>0.371</v>
      </c>
      <c r="AC166" s="15">
        <v>0.47499999999999998</v>
      </c>
      <c r="AD166" s="15">
        <v>0.70499999999999996</v>
      </c>
      <c r="AE166" s="15">
        <v>0.246</v>
      </c>
      <c r="AF166" s="14">
        <v>-0.41299999999999998</v>
      </c>
      <c r="AG166" s="110">
        <v>-0.35599999999999998</v>
      </c>
      <c r="AH166" s="110">
        <v>-0.48199999999999998</v>
      </c>
      <c r="AI166" s="110">
        <v>-0.67900000000000005</v>
      </c>
      <c r="AJ166" s="110">
        <v>-1</v>
      </c>
      <c r="AK166" s="16">
        <v>-0.99</v>
      </c>
      <c r="AL166" s="111">
        <v>0.155</v>
      </c>
      <c r="AM166" s="111">
        <v>0.91400000000000003</v>
      </c>
      <c r="AN166" s="4">
        <v>-0.497</v>
      </c>
      <c r="AO166" s="4">
        <v>-0.32900000000000001</v>
      </c>
      <c r="AP166" s="4">
        <v>3.2000000000000001E-2</v>
      </c>
      <c r="AQ166" s="4">
        <v>-0.314</v>
      </c>
      <c r="AR166" s="4">
        <v>-0.17</v>
      </c>
      <c r="AS166" s="4">
        <v>-0.30499999999999999</v>
      </c>
      <c r="AT166" s="4">
        <v>-0.11600000000000001</v>
      </c>
      <c r="AU166" s="4">
        <v>0.16900000000000001</v>
      </c>
      <c r="AV166" s="4">
        <v>-0.46800000000000003</v>
      </c>
      <c r="AW166" s="4">
        <v>-0.312</v>
      </c>
      <c r="AX166" s="4">
        <v>6.0000000000000001E-3</v>
      </c>
      <c r="AY166" s="4">
        <v>-0.58199999999999996</v>
      </c>
      <c r="AZ166" s="4">
        <v>0.76600000000000001</v>
      </c>
      <c r="BA166" s="4">
        <v>-2.5999999999999999E-2</v>
      </c>
      <c r="BB166" s="4">
        <v>-0.36299999999999999</v>
      </c>
      <c r="BC166" s="4">
        <v>0.51300000000000001</v>
      </c>
      <c r="BD166" s="4">
        <v>0.02</v>
      </c>
      <c r="BE166" s="4">
        <v>7.3999999999999996E-2</v>
      </c>
      <c r="BF166" s="4">
        <v>-0.33</v>
      </c>
      <c r="BG166" s="4">
        <v>-0.32600000000000001</v>
      </c>
      <c r="BH166" s="4">
        <v>-0.77600000000000002</v>
      </c>
      <c r="BI166" s="4">
        <v>-0.82799999999999996</v>
      </c>
      <c r="BJ166" s="4">
        <v>-0.77100000000000002</v>
      </c>
      <c r="BK166" s="4">
        <v>-0.47599999999999998</v>
      </c>
      <c r="BL166" s="4">
        <v>-0.52200000000000002</v>
      </c>
      <c r="BM166" s="4">
        <v>-0.34399999999999997</v>
      </c>
      <c r="BN166" s="4"/>
    </row>
    <row r="167" spans="1:66" x14ac:dyDescent="0.3">
      <c r="A167" t="s">
        <v>169</v>
      </c>
      <c r="B167" s="53">
        <f t="shared" si="18"/>
        <v>0</v>
      </c>
      <c r="C167" s="53">
        <f t="shared" si="19"/>
        <v>-1.4190000000000001E-4</v>
      </c>
      <c r="D167" s="53">
        <f t="shared" si="20"/>
        <v>0</v>
      </c>
      <c r="E167" s="53">
        <f t="shared" si="21"/>
        <v>1.4190000000000001E-4</v>
      </c>
      <c r="F167" s="15">
        <v>0.55300000000000005</v>
      </c>
      <c r="G167">
        <v>0.52800000000000002</v>
      </c>
      <c r="H167" t="s">
        <v>57</v>
      </c>
      <c r="I167" t="str">
        <f>VLOOKUP(A167,Planilha6!$BL$9:$BN$222,2,0)</f>
        <v>homebuilders</v>
      </c>
      <c r="J167" t="str">
        <f>VLOOKUP(A167,Planilha6!$BL$9:$BN$222,3,0)</f>
        <v>very_high_beta</v>
      </c>
      <c r="K167" s="17">
        <v>0</v>
      </c>
      <c r="L167" s="2">
        <v>0</v>
      </c>
      <c r="M167" s="5">
        <v>0</v>
      </c>
      <c r="N167" s="41">
        <f>VLOOKUP(A167,'Mandato LP'!$A$2:$B$215,2,0)</f>
        <v>0</v>
      </c>
      <c r="O167" s="59">
        <f t="shared" si="22"/>
        <v>0</v>
      </c>
      <c r="P167" s="42">
        <f t="shared" si="23"/>
        <v>0</v>
      </c>
      <c r="Q167" s="41">
        <f>VLOOKUP(A167,'Mandato LP'!$A$2:$C$215,3,0)</f>
        <v>0</v>
      </c>
      <c r="R167" s="42">
        <f t="shared" si="24"/>
        <v>0</v>
      </c>
      <c r="S167" s="15">
        <v>-0.72399999999999998</v>
      </c>
      <c r="T167" s="15">
        <v>-0.65100000000000002</v>
      </c>
      <c r="U167" s="15">
        <v>-0.71699999999999997</v>
      </c>
      <c r="V167" s="15">
        <v>-0.76700000000000002</v>
      </c>
      <c r="W167" s="15">
        <v>-0.71499999999999997</v>
      </c>
      <c r="X167" s="15">
        <v>-0.71199999999999997</v>
      </c>
      <c r="Y167" s="15">
        <v>-0.66600000000000004</v>
      </c>
      <c r="Z167" s="15">
        <v>-0.73099999999999998</v>
      </c>
      <c r="AA167" s="15">
        <v>0.24299999999999999</v>
      </c>
      <c r="AB167" s="15">
        <v>0.245</v>
      </c>
      <c r="AC167" s="15">
        <v>0.54300000000000004</v>
      </c>
      <c r="AD167" s="15">
        <v>0.65</v>
      </c>
      <c r="AE167" s="15">
        <v>0.23100000000000001</v>
      </c>
      <c r="AF167" s="14">
        <v>-0.97199999999999998</v>
      </c>
      <c r="AG167" s="110">
        <v>0.11</v>
      </c>
      <c r="AH167" s="110">
        <v>-0.499</v>
      </c>
      <c r="AI167" s="110">
        <v>-0.79700000000000004</v>
      </c>
      <c r="AJ167" s="110">
        <v>-0.79200000000000004</v>
      </c>
      <c r="AK167" s="16">
        <v>-0.54900000000000004</v>
      </c>
      <c r="AL167" s="111">
        <v>-0.27300000000000002</v>
      </c>
      <c r="AM167" s="111">
        <v>-0.59699999999999998</v>
      </c>
      <c r="AN167" s="4">
        <v>-0.38300000000000001</v>
      </c>
      <c r="AO167" s="4">
        <v>0.221</v>
      </c>
      <c r="AP167" s="4">
        <v>-0.115</v>
      </c>
      <c r="AQ167" s="4">
        <v>0.153</v>
      </c>
      <c r="AR167" s="4">
        <v>0.42</v>
      </c>
      <c r="AS167" s="4">
        <v>0.19500000000000001</v>
      </c>
      <c r="AT167" s="4">
        <v>-4.3999999999999997E-2</v>
      </c>
      <c r="AU167" s="4">
        <v>0.28499999999999998</v>
      </c>
      <c r="AV167" s="4">
        <v>-6.9000000000000006E-2</v>
      </c>
      <c r="AW167" s="4">
        <v>-0.63700000000000001</v>
      </c>
      <c r="AX167" s="4">
        <v>3.9E-2</v>
      </c>
      <c r="AY167" s="4">
        <v>-0.17799999999999999</v>
      </c>
      <c r="AZ167" s="4">
        <v>0.75</v>
      </c>
      <c r="BA167" s="4">
        <v>0.438</v>
      </c>
      <c r="BB167" s="4">
        <v>0.46700000000000003</v>
      </c>
      <c r="BC167" s="4">
        <v>-0.50700000000000001</v>
      </c>
      <c r="BD167" s="4">
        <v>-0.54600000000000004</v>
      </c>
      <c r="BE167" s="4">
        <v>-0.39200000000000002</v>
      </c>
      <c r="BF167" s="4">
        <v>0.436</v>
      </c>
      <c r="BG167" s="4">
        <v>0.157</v>
      </c>
      <c r="BH167" s="4">
        <v>-1.6E-2</v>
      </c>
      <c r="BI167" s="4">
        <v>-0.64900000000000002</v>
      </c>
      <c r="BJ167" s="4">
        <v>0.99</v>
      </c>
      <c r="BK167" s="4">
        <v>0.56799999999999995</v>
      </c>
      <c r="BL167" s="4">
        <v>-0.38700000000000001</v>
      </c>
      <c r="BM167" s="4">
        <v>-0.153</v>
      </c>
      <c r="BN167" s="4"/>
    </row>
    <row r="168" spans="1:66" x14ac:dyDescent="0.3">
      <c r="A168" t="s">
        <v>213</v>
      </c>
      <c r="B168" s="53">
        <f t="shared" si="18"/>
        <v>0</v>
      </c>
      <c r="C168" s="53">
        <f t="shared" si="19"/>
        <v>-2.1298200000000002E-3</v>
      </c>
      <c r="D168" s="53">
        <f t="shared" si="20"/>
        <v>0</v>
      </c>
      <c r="E168" s="53">
        <f t="shared" si="21"/>
        <v>2.1298200000000002E-3</v>
      </c>
      <c r="F168" s="15">
        <v>0.55000000000000004</v>
      </c>
      <c r="G168">
        <v>0.61499999999999999</v>
      </c>
      <c r="H168" t="s">
        <v>57</v>
      </c>
      <c r="I168" t="str">
        <f>VLOOKUP(A168,Planilha6!$BL$9:$BN$222,2,0)</f>
        <v>tech</v>
      </c>
      <c r="J168" t="str">
        <f>VLOOKUP(A168,Planilha6!$BL$9:$BN$222,3,0)</f>
        <v>neutral_beta</v>
      </c>
      <c r="K168" s="17">
        <v>0</v>
      </c>
      <c r="L168" s="2">
        <v>-2E-3</v>
      </c>
      <c r="M168" s="5">
        <v>0.63666666666666705</v>
      </c>
      <c r="N168" s="41">
        <f>VLOOKUP(A168,'Mandato LP'!$A$2:$B$215,2,0)</f>
        <v>0</v>
      </c>
      <c r="O168" s="59">
        <f t="shared" si="22"/>
        <v>0</v>
      </c>
      <c r="P168" s="42">
        <f t="shared" si="23"/>
        <v>0</v>
      </c>
      <c r="Q168" s="41">
        <f>VLOOKUP(A168,'Mandato LP'!$A$2:$C$215,3,0)</f>
        <v>0</v>
      </c>
      <c r="R168" s="42">
        <f t="shared" si="24"/>
        <v>0</v>
      </c>
      <c r="S168" s="15">
        <v>-0.76200000000000001</v>
      </c>
      <c r="T168" s="15">
        <v>-0.64400000000000002</v>
      </c>
      <c r="U168" s="15">
        <v>-0.85099999999999998</v>
      </c>
      <c r="V168" s="15">
        <v>-0.69199999999999995</v>
      </c>
      <c r="W168" s="15">
        <v>-0.70499999999999996</v>
      </c>
      <c r="X168" s="15">
        <v>-0.54800000000000004</v>
      </c>
      <c r="Y168" s="15">
        <v>-0.121</v>
      </c>
      <c r="Z168" s="15">
        <v>-0.63900000000000001</v>
      </c>
      <c r="AA168" s="15">
        <v>0.11600000000000001</v>
      </c>
      <c r="AB168" s="15">
        <v>0.11899999999999999</v>
      </c>
      <c r="AC168" s="15">
        <v>0.35799999999999998</v>
      </c>
      <c r="AD168" s="15">
        <v>0.372</v>
      </c>
      <c r="AE168" s="15">
        <v>2.3E-2</v>
      </c>
      <c r="AF168" s="14">
        <v>-6.4000000000000001E-2</v>
      </c>
      <c r="AG168" s="110">
        <v>-0.44800000000000001</v>
      </c>
      <c r="AH168" s="110">
        <v>-1</v>
      </c>
      <c r="AI168" s="110">
        <v>-0.93500000000000005</v>
      </c>
      <c r="AJ168" s="110">
        <v>-1</v>
      </c>
      <c r="AK168" s="16">
        <v>-0.128</v>
      </c>
      <c r="AL168" s="111">
        <v>-0.41399999999999998</v>
      </c>
      <c r="AM168" s="111">
        <v>-0.754</v>
      </c>
      <c r="AN168" s="4">
        <v>-0.94799999999999995</v>
      </c>
      <c r="AO168" s="4">
        <v>0.41899999999999998</v>
      </c>
      <c r="AP168" s="4">
        <v>-0.68700000000000006</v>
      </c>
      <c r="AQ168" s="4">
        <v>-0.83599999999999997</v>
      </c>
      <c r="AR168" s="4">
        <v>0.40699999999999997</v>
      </c>
      <c r="AS168" s="4">
        <v>0.23200000000000001</v>
      </c>
      <c r="AT168" s="4">
        <v>1.4E-2</v>
      </c>
      <c r="AU168" s="4">
        <v>0.495</v>
      </c>
      <c r="AV168" s="4">
        <v>0.25800000000000001</v>
      </c>
      <c r="AW168" s="4">
        <v>0.69199999999999995</v>
      </c>
      <c r="AX168" s="4">
        <v>0.26300000000000001</v>
      </c>
      <c r="AY168" s="4">
        <v>7.0999999999999994E-2</v>
      </c>
      <c r="AZ168" s="4">
        <v>0.90700000000000003</v>
      </c>
      <c r="BA168" s="4">
        <v>4.0000000000000001E-3</v>
      </c>
      <c r="BB168" s="4">
        <v>0.442</v>
      </c>
      <c r="BC168" s="4">
        <v>-0.219</v>
      </c>
      <c r="BD168" s="4">
        <v>-0.436</v>
      </c>
      <c r="BE168" s="4">
        <v>9.7000000000000003E-2</v>
      </c>
      <c r="BF168" s="4">
        <v>0.314</v>
      </c>
      <c r="BG168" s="4">
        <v>0.16400000000000001</v>
      </c>
      <c r="BH168" s="4">
        <v>0.82199999999999995</v>
      </c>
      <c r="BI168" s="4">
        <v>-0.33900000000000002</v>
      </c>
      <c r="BJ168" s="4">
        <v>-0.121</v>
      </c>
      <c r="BK168" s="4">
        <v>-0.26300000000000001</v>
      </c>
      <c r="BL168" s="4">
        <v>-0.63</v>
      </c>
      <c r="BM168" s="4">
        <v>-0.57599999999999996</v>
      </c>
      <c r="BN168" s="4"/>
    </row>
    <row r="169" spans="1:66" x14ac:dyDescent="0.3">
      <c r="A169" t="s">
        <v>183</v>
      </c>
      <c r="B169" s="53">
        <f t="shared" si="18"/>
        <v>0</v>
      </c>
      <c r="C169" s="53">
        <f t="shared" si="19"/>
        <v>0</v>
      </c>
      <c r="D169" s="53">
        <f t="shared" si="20"/>
        <v>0</v>
      </c>
      <c r="E169" s="53">
        <f t="shared" si="21"/>
        <v>0</v>
      </c>
      <c r="F169" s="15">
        <v>0.54900000000000004</v>
      </c>
      <c r="G169">
        <v>0.628</v>
      </c>
      <c r="H169" t="s">
        <v>68</v>
      </c>
      <c r="I169" t="str">
        <f>VLOOKUP(A169,Planilha6!$BL$9:$BN$222,2,0)</f>
        <v>capital_goods</v>
      </c>
      <c r="J169" t="str">
        <f>VLOOKUP(A169,Planilha6!$BL$9:$BN$222,3,0)</f>
        <v>low_beta</v>
      </c>
      <c r="K169" s="17">
        <v>0</v>
      </c>
      <c r="L169" s="2">
        <v>0</v>
      </c>
      <c r="M169" s="5">
        <v>0.31190432639833299</v>
      </c>
      <c r="N169" s="41">
        <f>VLOOKUP(A169,'Mandato LP'!$A$2:$B$215,2,0)</f>
        <v>0</v>
      </c>
      <c r="O169" s="59">
        <f t="shared" si="22"/>
        <v>0</v>
      </c>
      <c r="P169" s="42">
        <f t="shared" si="23"/>
        <v>0</v>
      </c>
      <c r="Q169" s="41">
        <f>VLOOKUP(A169,'Mandato LP'!$A$2:$C$215,3,0)</f>
        <v>0</v>
      </c>
      <c r="R169" s="42">
        <f t="shared" si="24"/>
        <v>0</v>
      </c>
      <c r="S169" s="15">
        <v>-0.77</v>
      </c>
      <c r="T169" s="15">
        <v>-0.66600000000000004</v>
      </c>
      <c r="U169" s="15">
        <v>-0.86199999999999999</v>
      </c>
      <c r="V169" s="15">
        <v>-0.78900000000000003</v>
      </c>
      <c r="W169" s="15">
        <v>-0.76400000000000001</v>
      </c>
      <c r="X169" s="15">
        <v>-0.67500000000000004</v>
      </c>
      <c r="Y169" s="15">
        <v>-0.58199999999999996</v>
      </c>
      <c r="Z169" s="15">
        <v>-0.71399999999999997</v>
      </c>
      <c r="AA169" s="15">
        <v>0.16300000000000001</v>
      </c>
      <c r="AB169" s="15">
        <v>0.16500000000000001</v>
      </c>
      <c r="AC169" s="15">
        <v>0.45400000000000001</v>
      </c>
      <c r="AD169" s="15">
        <v>0.47499999999999998</v>
      </c>
      <c r="AE169" s="15">
        <v>0.30199999999999999</v>
      </c>
      <c r="AF169" s="14">
        <v>-0.50900000000000001</v>
      </c>
      <c r="AG169" s="110">
        <v>-0.55600000000000005</v>
      </c>
      <c r="AH169" s="110">
        <v>-0.75600000000000001</v>
      </c>
      <c r="AI169" s="110">
        <v>-0.81699999999999995</v>
      </c>
      <c r="AJ169" s="110">
        <v>-0.68700000000000006</v>
      </c>
      <c r="AK169" s="16">
        <v>-0.90600000000000003</v>
      </c>
      <c r="AL169" s="111">
        <v>-7.9000000000000001E-2</v>
      </c>
      <c r="AM169" s="111">
        <v>-0.74099999999999999</v>
      </c>
      <c r="AN169" s="4">
        <v>-0.69399999999999995</v>
      </c>
      <c r="AO169" s="4">
        <v>0.23100000000000001</v>
      </c>
      <c r="AP169" s="4">
        <v>-0.314</v>
      </c>
      <c r="AQ169" s="4">
        <v>-6.3E-2</v>
      </c>
      <c r="AR169" s="4">
        <v>0.14299999999999999</v>
      </c>
      <c r="AS169" s="4">
        <v>8.2000000000000003E-2</v>
      </c>
      <c r="AT169" s="4">
        <v>-0.27</v>
      </c>
      <c r="AU169" s="4">
        <v>0.48899999999999999</v>
      </c>
      <c r="AV169" s="4">
        <v>-0.434</v>
      </c>
      <c r="AW169" s="4">
        <v>-8.7999999999999995E-2</v>
      </c>
      <c r="AX169" s="4">
        <v>0.32900000000000001</v>
      </c>
      <c r="AY169" s="4">
        <v>4.3999999999999997E-2</v>
      </c>
      <c r="AZ169" s="4">
        <v>0.95199999999999996</v>
      </c>
      <c r="BA169" s="4">
        <v>0.34</v>
      </c>
      <c r="BB169" s="4">
        <v>0.63</v>
      </c>
      <c r="BC169" s="4">
        <v>-0.315</v>
      </c>
      <c r="BD169" s="4">
        <v>8.9999999999999993E-3</v>
      </c>
      <c r="BE169" s="4">
        <v>-1.2E-2</v>
      </c>
      <c r="BF169" s="4">
        <v>0.54400000000000004</v>
      </c>
      <c r="BG169" s="4">
        <v>-0.51800000000000002</v>
      </c>
      <c r="BH169" s="4">
        <v>0.58099999999999996</v>
      </c>
      <c r="BI169" s="4">
        <v>-0.43099999999999999</v>
      </c>
      <c r="BJ169" s="4">
        <v>0.129</v>
      </c>
      <c r="BK169" s="4">
        <v>8.2000000000000003E-2</v>
      </c>
      <c r="BL169" s="4">
        <v>-0.34</v>
      </c>
      <c r="BM169" s="4">
        <v>-4.0000000000000001E-3</v>
      </c>
      <c r="BN169" s="4"/>
    </row>
    <row r="170" spans="1:66" x14ac:dyDescent="0.3">
      <c r="A170" t="s">
        <v>228</v>
      </c>
      <c r="B170" s="53">
        <f t="shared" si="18"/>
        <v>0</v>
      </c>
      <c r="C170" s="53">
        <f t="shared" si="19"/>
        <v>0</v>
      </c>
      <c r="D170" s="53">
        <f t="shared" si="20"/>
        <v>0</v>
      </c>
      <c r="E170" s="53">
        <f t="shared" si="21"/>
        <v>0</v>
      </c>
      <c r="F170" s="15">
        <v>0.54800000000000004</v>
      </c>
      <c r="G170">
        <v>0.43099999999999999</v>
      </c>
      <c r="H170" t="s">
        <v>57</v>
      </c>
      <c r="I170" t="str">
        <f>VLOOKUP(A170,Planilha6!$BL$9:$BN$222,2,0)</f>
        <v>consumer_durables</v>
      </c>
      <c r="J170" t="str">
        <f>VLOOKUP(A170,Planilha6!$BL$9:$BN$222,3,0)</f>
        <v>high_beta</v>
      </c>
      <c r="K170" s="17">
        <v>0</v>
      </c>
      <c r="L170" s="2">
        <v>0</v>
      </c>
      <c r="M170" s="5">
        <v>0</v>
      </c>
      <c r="N170" s="41">
        <f>VLOOKUP(A170,'Mandato LP'!$A$2:$B$215,2,0)</f>
        <v>0</v>
      </c>
      <c r="O170" s="59">
        <f t="shared" si="22"/>
        <v>0</v>
      </c>
      <c r="P170" s="42">
        <f t="shared" si="23"/>
        <v>0</v>
      </c>
      <c r="Q170" s="41">
        <f>VLOOKUP(A170,'Mandato LP'!$A$2:$C$215,3,0)</f>
        <v>0</v>
      </c>
      <c r="R170" s="42">
        <f t="shared" si="24"/>
        <v>0</v>
      </c>
      <c r="S170" s="15">
        <v>-0.55400000000000005</v>
      </c>
      <c r="T170" s="15">
        <v>-0.71</v>
      </c>
      <c r="U170" s="15">
        <v>-0.23</v>
      </c>
      <c r="V170" s="15">
        <v>-0.76200000000000001</v>
      </c>
      <c r="W170" s="15">
        <v>-0.68100000000000005</v>
      </c>
      <c r="X170" s="15">
        <v>-0.746</v>
      </c>
      <c r="Y170" s="15">
        <v>-0.75800000000000001</v>
      </c>
      <c r="Z170" s="15">
        <v>-0.81100000000000005</v>
      </c>
      <c r="AA170" s="15">
        <v>-0.17299999999999999</v>
      </c>
      <c r="AB170" s="15">
        <v>-0.17100000000000001</v>
      </c>
      <c r="AC170" s="15">
        <v>0.59099999999999997</v>
      </c>
      <c r="AD170" s="15">
        <v>0.63900000000000001</v>
      </c>
      <c r="AE170" s="15">
        <v>0.19700000000000001</v>
      </c>
      <c r="AF170" s="14">
        <v>-0.94</v>
      </c>
      <c r="AG170" s="110">
        <v>-0.13</v>
      </c>
      <c r="AH170" s="110">
        <v>-0.13800000000000001</v>
      </c>
      <c r="AI170" s="110">
        <v>0.14599999999999999</v>
      </c>
      <c r="AJ170" s="110">
        <v>0.35199999999999998</v>
      </c>
      <c r="AK170" s="16">
        <v>0.21199999999999999</v>
      </c>
      <c r="AL170" s="111">
        <v>0.17599999999999999</v>
      </c>
      <c r="AM170" s="111">
        <v>-0.71699999999999997</v>
      </c>
      <c r="AN170" s="4">
        <v>-0.67600000000000005</v>
      </c>
      <c r="AO170" s="4">
        <v>-5.6000000000000001E-2</v>
      </c>
      <c r="AP170" s="4">
        <v>-0.17599999999999999</v>
      </c>
      <c r="AQ170" s="4">
        <v>-0.186</v>
      </c>
      <c r="AR170" s="4">
        <v>1.7000000000000001E-2</v>
      </c>
      <c r="AS170" s="4">
        <v>0.114</v>
      </c>
      <c r="AT170" s="4">
        <v>4.8000000000000001E-2</v>
      </c>
      <c r="AU170" s="4">
        <v>0.217</v>
      </c>
      <c r="AV170" s="4">
        <v>-0.158</v>
      </c>
      <c r="AW170" s="4">
        <v>-0.61099999999999999</v>
      </c>
      <c r="AX170" s="4">
        <v>-0.29599999999999999</v>
      </c>
      <c r="AY170" s="4">
        <v>0.44600000000000001</v>
      </c>
      <c r="AZ170" s="4">
        <v>7.4999999999999997E-2</v>
      </c>
      <c r="BA170" s="4">
        <v>6.3E-2</v>
      </c>
      <c r="BB170" s="4">
        <v>-0.154</v>
      </c>
      <c r="BC170" s="4">
        <v>0.307</v>
      </c>
      <c r="BD170" s="4">
        <v>0.63800000000000001</v>
      </c>
      <c r="BE170" s="4">
        <v>-0.89500000000000002</v>
      </c>
      <c r="BF170" s="4">
        <v>-0.83799999999999997</v>
      </c>
      <c r="BG170" s="4">
        <v>-0.71399999999999997</v>
      </c>
      <c r="BH170" s="4">
        <v>0.17699999999999999</v>
      </c>
      <c r="BI170" s="4">
        <v>0.30399999999999999</v>
      </c>
      <c r="BJ170" s="4">
        <v>-3.5000000000000003E-2</v>
      </c>
      <c r="BK170" s="4">
        <v>0.29099999999999998</v>
      </c>
      <c r="BL170" s="4">
        <v>0.34100000000000003</v>
      </c>
      <c r="BM170" s="4">
        <v>0.17699999999999999</v>
      </c>
      <c r="BN170" s="4"/>
    </row>
    <row r="171" spans="1:66" x14ac:dyDescent="0.3">
      <c r="A171" t="s">
        <v>219</v>
      </c>
      <c r="B171" s="53">
        <f t="shared" si="18"/>
        <v>0</v>
      </c>
      <c r="C171" s="53">
        <f t="shared" si="19"/>
        <v>0</v>
      </c>
      <c r="D171" s="53">
        <f t="shared" si="20"/>
        <v>0</v>
      </c>
      <c r="E171" s="53">
        <f t="shared" si="21"/>
        <v>0</v>
      </c>
      <c r="F171" s="15">
        <v>0.54800000000000004</v>
      </c>
      <c r="G171">
        <v>0.497</v>
      </c>
      <c r="H171" t="s">
        <v>57</v>
      </c>
      <c r="I171" t="str">
        <f>VLOOKUP(A171,Planilha6!$BL$9:$BN$222,2,0)</f>
        <v>banks</v>
      </c>
      <c r="J171" t="str">
        <f>VLOOKUP(A171,Planilha6!$BL$9:$BN$222,3,0)</f>
        <v>neutral_beta</v>
      </c>
      <c r="K171" s="17">
        <v>0</v>
      </c>
      <c r="L171" s="2">
        <v>0</v>
      </c>
      <c r="M171" s="5">
        <v>0.403405819666667</v>
      </c>
      <c r="N171" s="41">
        <f>VLOOKUP(A171,'Mandato LP'!$A$2:$B$215,2,0)</f>
        <v>0</v>
      </c>
      <c r="O171" s="59">
        <f t="shared" si="22"/>
        <v>0</v>
      </c>
      <c r="P171" s="42">
        <f t="shared" si="23"/>
        <v>0</v>
      </c>
      <c r="Q171" s="41">
        <f>VLOOKUP(A171,'Mandato LP'!$A$2:$C$215,3,0)</f>
        <v>0</v>
      </c>
      <c r="R171" s="42">
        <f t="shared" si="24"/>
        <v>0</v>
      </c>
      <c r="S171" s="15">
        <v>-0.69099999999999995</v>
      </c>
      <c r="T171" s="15">
        <v>-0.65100000000000002</v>
      </c>
      <c r="U171" s="15">
        <v>-0.78500000000000003</v>
      </c>
      <c r="V171" s="15">
        <v>-0.67800000000000005</v>
      </c>
      <c r="W171" s="15">
        <v>-0.69799999999999995</v>
      </c>
      <c r="X171" s="15">
        <v>-0.58399999999999996</v>
      </c>
      <c r="Y171" s="15">
        <v>-0.43</v>
      </c>
      <c r="Z171" s="15">
        <v>-0.752</v>
      </c>
      <c r="AA171" s="15">
        <v>0.127</v>
      </c>
      <c r="AB171" s="15">
        <v>0.126</v>
      </c>
      <c r="AC171" s="15">
        <v>0.46300000000000002</v>
      </c>
      <c r="AD171" s="15">
        <v>0.377</v>
      </c>
      <c r="AE171" s="15">
        <v>0.112</v>
      </c>
      <c r="AF171" s="14">
        <v>-0.36399999999999999</v>
      </c>
      <c r="AG171" s="110">
        <v>0.26100000000000001</v>
      </c>
      <c r="AH171" s="110">
        <v>-0.82899999999999996</v>
      </c>
      <c r="AI171" s="110">
        <v>-0.878</v>
      </c>
      <c r="AJ171" s="110">
        <v>-0.95099999999999996</v>
      </c>
      <c r="AK171" s="16">
        <v>-0.313</v>
      </c>
      <c r="AL171" s="111">
        <v>-0.26200000000000001</v>
      </c>
      <c r="AM171" s="111">
        <v>-0.87</v>
      </c>
      <c r="AN171" s="4">
        <v>-0.44800000000000001</v>
      </c>
      <c r="AO171" s="4">
        <v>0.504</v>
      </c>
      <c r="AP171" s="4">
        <v>-0.42399999999999999</v>
      </c>
      <c r="AQ171" s="4">
        <v>-0.246</v>
      </c>
      <c r="AR171" s="4">
        <v>0.77800000000000002</v>
      </c>
      <c r="AS171" s="4">
        <v>0.14599999999999999</v>
      </c>
      <c r="AT171" s="4">
        <v>0.161</v>
      </c>
      <c r="AU171" s="4">
        <v>5.3999999999999999E-2</v>
      </c>
      <c r="AV171" s="4">
        <v>7.8E-2</v>
      </c>
      <c r="AW171" s="4">
        <v>0.2</v>
      </c>
      <c r="AX171" s="4">
        <v>-0.21</v>
      </c>
      <c r="AY171" s="4">
        <v>-0.32400000000000001</v>
      </c>
      <c r="AZ171" s="4">
        <v>0.85899999999999999</v>
      </c>
      <c r="BA171" s="4">
        <v>0.28799999999999998</v>
      </c>
      <c r="BB171" s="4">
        <v>0.873</v>
      </c>
      <c r="BC171" s="4">
        <v>-0.625</v>
      </c>
      <c r="BD171" s="4">
        <v>-0.33800000000000002</v>
      </c>
      <c r="BE171" s="4">
        <v>-3.5000000000000003E-2</v>
      </c>
      <c r="BF171" s="4">
        <v>0.47299999999999998</v>
      </c>
      <c r="BG171" s="4">
        <v>4.2999999999999997E-2</v>
      </c>
      <c r="BH171" s="4">
        <v>0.61899999999999999</v>
      </c>
      <c r="BI171" s="4">
        <v>-0.69899999999999995</v>
      </c>
      <c r="BJ171" s="4">
        <v>2.5999999999999999E-2</v>
      </c>
      <c r="BK171" s="4">
        <v>-2.1999999999999999E-2</v>
      </c>
      <c r="BL171" s="4">
        <v>0.08</v>
      </c>
      <c r="BM171" s="4">
        <v>1</v>
      </c>
      <c r="BN171" s="4"/>
    </row>
    <row r="172" spans="1:66" x14ac:dyDescent="0.3">
      <c r="A172" t="s">
        <v>225</v>
      </c>
      <c r="B172" s="53">
        <f t="shared" si="18"/>
        <v>0</v>
      </c>
      <c r="C172" s="53">
        <f t="shared" si="19"/>
        <v>-2.1285E-4</v>
      </c>
      <c r="D172" s="53">
        <f t="shared" si="20"/>
        <v>0</v>
      </c>
      <c r="E172" s="53">
        <f t="shared" si="21"/>
        <v>2.1285E-4</v>
      </c>
      <c r="F172" s="15">
        <v>0.54700000000000004</v>
      </c>
      <c r="G172">
        <v>0.41099999999999998</v>
      </c>
      <c r="H172" t="s">
        <v>71</v>
      </c>
      <c r="I172" t="str">
        <f>VLOOKUP(A172,Planilha6!$BL$9:$BN$222,2,0)</f>
        <v>food</v>
      </c>
      <c r="J172" t="str">
        <f>VLOOKUP(A172,Planilha6!$BL$9:$BN$222,3,0)</f>
        <v>high_beta</v>
      </c>
      <c r="K172" s="17">
        <v>0</v>
      </c>
      <c r="L172" s="2">
        <v>0</v>
      </c>
      <c r="M172" s="5">
        <v>0.23848459496666699</v>
      </c>
      <c r="N172" s="41">
        <f>VLOOKUP(A172,'Mandato LP'!$A$2:$B$215,2,0)</f>
        <v>0</v>
      </c>
      <c r="O172" s="59">
        <f t="shared" si="22"/>
        <v>0</v>
      </c>
      <c r="P172" s="42">
        <f t="shared" si="23"/>
        <v>0</v>
      </c>
      <c r="Q172" s="41">
        <f>VLOOKUP(A172,'Mandato LP'!$A$2:$C$215,3,0)</f>
        <v>0</v>
      </c>
      <c r="R172" s="42">
        <f t="shared" si="24"/>
        <v>0</v>
      </c>
      <c r="S172" s="15">
        <v>-0.68100000000000005</v>
      </c>
      <c r="T172" s="15">
        <v>-0.80700000000000005</v>
      </c>
      <c r="U172" s="15">
        <v>-0.80600000000000005</v>
      </c>
      <c r="V172" s="15">
        <v>-0.57299999999999995</v>
      </c>
      <c r="W172" s="15">
        <v>-0.753</v>
      </c>
      <c r="X172" s="15">
        <v>-0.61899999999999999</v>
      </c>
      <c r="Y172" s="15">
        <v>-0.66</v>
      </c>
      <c r="Z172" s="15">
        <v>-0.77100000000000002</v>
      </c>
      <c r="AA172" s="15">
        <v>9.1999999999999998E-2</v>
      </c>
      <c r="AB172" s="15">
        <v>9.5000000000000001E-2</v>
      </c>
      <c r="AC172" s="15">
        <v>0.46600000000000003</v>
      </c>
      <c r="AD172" s="15">
        <v>0.628</v>
      </c>
      <c r="AE172" s="15">
        <v>0.21299999999999999</v>
      </c>
      <c r="AF172" s="14">
        <v>0.14699999999999999</v>
      </c>
      <c r="AG172" s="110">
        <v>0.23499999999999999</v>
      </c>
      <c r="AH172" s="110">
        <v>-0.68300000000000005</v>
      </c>
      <c r="AI172" s="110">
        <v>0.35199999999999998</v>
      </c>
      <c r="AJ172" s="110">
        <v>-0.90300000000000002</v>
      </c>
      <c r="AK172" s="16">
        <v>-0.75600000000000001</v>
      </c>
      <c r="AL172" s="111">
        <v>1</v>
      </c>
      <c r="AM172" s="111">
        <v>-0.51300000000000001</v>
      </c>
      <c r="AN172" s="4">
        <v>-0.30199999999999999</v>
      </c>
      <c r="AO172" s="4">
        <v>0.30099999999999999</v>
      </c>
      <c r="AP172" s="4">
        <v>-0.95599999999999996</v>
      </c>
      <c r="AQ172" s="4">
        <v>-0.80700000000000005</v>
      </c>
      <c r="AR172" s="4">
        <v>-8.9999999999999993E-3</v>
      </c>
      <c r="AS172" s="4">
        <v>0.47599999999999998</v>
      </c>
      <c r="AT172" s="4">
        <v>0.437</v>
      </c>
      <c r="AU172" s="4">
        <v>0.63200000000000001</v>
      </c>
      <c r="AV172" s="4">
        <v>-0.41</v>
      </c>
      <c r="AW172" s="4">
        <v>-0.11700000000000001</v>
      </c>
      <c r="AX172" s="4">
        <v>0.191</v>
      </c>
      <c r="AY172" s="4">
        <v>-0.29199999999999998</v>
      </c>
      <c r="AZ172" s="4">
        <v>-9.2999999999999999E-2</v>
      </c>
      <c r="BA172" s="4">
        <v>-0.55600000000000005</v>
      </c>
      <c r="BB172" s="4">
        <v>-0.25600000000000001</v>
      </c>
      <c r="BC172" s="4">
        <v>-0.24299999999999999</v>
      </c>
      <c r="BD172" s="4">
        <v>0.34100000000000003</v>
      </c>
      <c r="BE172" s="4">
        <v>-0.14399999999999999</v>
      </c>
      <c r="BF172" s="4">
        <v>0.61499999999999999</v>
      </c>
      <c r="BG172" s="4">
        <v>0.57999999999999996</v>
      </c>
      <c r="BH172" s="4">
        <v>3.3000000000000002E-2</v>
      </c>
      <c r="BI172" s="4">
        <v>0.27300000000000002</v>
      </c>
      <c r="BJ172" s="4">
        <v>-0.127</v>
      </c>
      <c r="BK172" s="4">
        <v>-0.70199999999999996</v>
      </c>
      <c r="BL172" s="4">
        <v>0.22</v>
      </c>
      <c r="BM172" s="4">
        <v>-0.26700000000000002</v>
      </c>
      <c r="BN172" s="4"/>
    </row>
    <row r="173" spans="1:66" x14ac:dyDescent="0.3">
      <c r="A173" t="s">
        <v>217</v>
      </c>
      <c r="B173" s="53">
        <f t="shared" si="18"/>
        <v>0</v>
      </c>
      <c r="C173" s="53">
        <f t="shared" si="19"/>
        <v>-2.1153E-4</v>
      </c>
      <c r="D173" s="53">
        <f t="shared" si="20"/>
        <v>0</v>
      </c>
      <c r="E173" s="53">
        <f t="shared" si="21"/>
        <v>2.1153E-4</v>
      </c>
      <c r="F173" s="15">
        <v>0.54500000000000004</v>
      </c>
      <c r="G173">
        <v>0.501</v>
      </c>
      <c r="H173" t="s">
        <v>57</v>
      </c>
      <c r="I173" t="str">
        <f>VLOOKUP(A173,Planilha6!$BL$9:$BN$222,2,0)</f>
        <v>consumer_services</v>
      </c>
      <c r="J173" t="str">
        <f>VLOOKUP(A173,Planilha6!$BL$9:$BN$222,3,0)</f>
        <v>very_high_beta</v>
      </c>
      <c r="K173" s="17">
        <v>0</v>
      </c>
      <c r="L173" s="2">
        <v>0</v>
      </c>
      <c r="M173" s="5">
        <v>0.52211867099999998</v>
      </c>
      <c r="N173" s="41">
        <f>VLOOKUP(A173,'Mandato LP'!$A$2:$B$215,2,0)</f>
        <v>0</v>
      </c>
      <c r="O173" s="59">
        <f t="shared" si="22"/>
        <v>0</v>
      </c>
      <c r="P173" s="42">
        <f t="shared" si="23"/>
        <v>0</v>
      </c>
      <c r="Q173" s="41">
        <f>VLOOKUP(A173,'Mandato LP'!$A$2:$C$215,3,0)</f>
        <v>0</v>
      </c>
      <c r="R173" s="42">
        <f t="shared" si="24"/>
        <v>0</v>
      </c>
      <c r="S173" s="15">
        <v>-0.79</v>
      </c>
      <c r="T173" s="15">
        <v>-0.71399999999999997</v>
      </c>
      <c r="U173" s="15">
        <v>-0.84899999999999998</v>
      </c>
      <c r="V173" s="15">
        <v>-0.82399999999999995</v>
      </c>
      <c r="W173" s="15">
        <v>-0.80400000000000005</v>
      </c>
      <c r="X173" s="15">
        <v>-0.79900000000000004</v>
      </c>
      <c r="Y173" s="15">
        <v>-0.78100000000000003</v>
      </c>
      <c r="Z173" s="15">
        <v>-0.81</v>
      </c>
      <c r="AA173" s="15">
        <v>8.4000000000000005E-2</v>
      </c>
      <c r="AB173" s="15">
        <v>8.8999999999999996E-2</v>
      </c>
      <c r="AC173" s="15">
        <v>0.65300000000000002</v>
      </c>
      <c r="AD173" s="15">
        <v>0.72</v>
      </c>
      <c r="AE173" s="15">
        <v>0.439</v>
      </c>
      <c r="AF173" s="14">
        <v>-1</v>
      </c>
      <c r="AG173" s="110">
        <v>-0.34699999999999998</v>
      </c>
      <c r="AH173" s="110">
        <v>-0.182</v>
      </c>
      <c r="AI173" s="110">
        <v>-0.999</v>
      </c>
      <c r="AJ173" s="110">
        <v>-0.65200000000000002</v>
      </c>
      <c r="AK173" s="16">
        <v>-0.96799999999999997</v>
      </c>
      <c r="AL173" s="111">
        <v>-0.188</v>
      </c>
      <c r="AM173" s="111">
        <v>-0.622</v>
      </c>
      <c r="AN173" s="4">
        <v>-0.497</v>
      </c>
      <c r="AO173" s="4">
        <v>-3.6999999999999998E-2</v>
      </c>
      <c r="AP173" s="4">
        <v>8.6999999999999994E-2</v>
      </c>
      <c r="AQ173" s="4">
        <v>0.41699999999999998</v>
      </c>
      <c r="AR173" s="4">
        <v>6.6000000000000003E-2</v>
      </c>
      <c r="AS173" s="4">
        <v>0.14399999999999999</v>
      </c>
      <c r="AT173" s="4">
        <v>0.124</v>
      </c>
      <c r="AU173" s="4">
        <v>0.17599999999999999</v>
      </c>
      <c r="AV173" s="4">
        <v>-0.29699999999999999</v>
      </c>
      <c r="AW173" s="4">
        <v>-0.88200000000000001</v>
      </c>
      <c r="AX173" s="4">
        <v>-0.188</v>
      </c>
      <c r="AY173" s="4">
        <v>-0.255</v>
      </c>
      <c r="AZ173" s="4">
        <v>0.72599999999999998</v>
      </c>
      <c r="BA173" s="4">
        <v>-1.4E-2</v>
      </c>
      <c r="BB173" s="4">
        <v>0.46700000000000003</v>
      </c>
      <c r="BC173" s="4">
        <v>-0.16900000000000001</v>
      </c>
      <c r="BD173" s="4">
        <v>-0.127</v>
      </c>
      <c r="BE173" s="4">
        <v>0.188</v>
      </c>
      <c r="BF173" s="4">
        <v>-0.58099999999999996</v>
      </c>
      <c r="BG173" s="4">
        <v>-0.84899999999999998</v>
      </c>
      <c r="BH173" s="4">
        <v>0</v>
      </c>
      <c r="BI173" s="4">
        <v>-0.109</v>
      </c>
      <c r="BJ173" s="4">
        <v>0.497</v>
      </c>
      <c r="BK173" s="4">
        <v>0.60499999999999998</v>
      </c>
      <c r="BL173" s="4">
        <v>-0.52700000000000002</v>
      </c>
      <c r="BM173" s="4">
        <v>-3.3000000000000002E-2</v>
      </c>
      <c r="BN173" s="4"/>
    </row>
    <row r="174" spans="1:66" x14ac:dyDescent="0.3">
      <c r="A174" t="s">
        <v>189</v>
      </c>
      <c r="B174" s="53">
        <f t="shared" si="18"/>
        <v>0</v>
      </c>
      <c r="C174" s="53">
        <f t="shared" si="19"/>
        <v>0</v>
      </c>
      <c r="D174" s="53">
        <f t="shared" si="20"/>
        <v>0</v>
      </c>
      <c r="E174" s="53">
        <f t="shared" si="21"/>
        <v>0</v>
      </c>
      <c r="F174" s="15">
        <v>0.54500000000000004</v>
      </c>
      <c r="G174">
        <v>0.64</v>
      </c>
      <c r="H174" t="s">
        <v>68</v>
      </c>
      <c r="I174" t="str">
        <f>VLOOKUP(A174,Planilha6!$BL$9:$BN$222,2,0)</f>
        <v>capital_goods</v>
      </c>
      <c r="J174" t="str">
        <f>VLOOKUP(A174,Planilha6!$BL$9:$BN$222,3,0)</f>
        <v>neutral_beta</v>
      </c>
      <c r="K174" s="17">
        <v>0</v>
      </c>
      <c r="L174" s="2">
        <v>0</v>
      </c>
      <c r="M174" s="5">
        <v>0.61122012333333298</v>
      </c>
      <c r="N174" s="41">
        <f>VLOOKUP(A174,'Mandato LP'!$A$2:$B$215,2,0)</f>
        <v>0</v>
      </c>
      <c r="O174" s="59">
        <f t="shared" si="22"/>
        <v>0</v>
      </c>
      <c r="P174" s="42">
        <f t="shared" si="23"/>
        <v>0</v>
      </c>
      <c r="Q174" s="41">
        <f>VLOOKUP(A174,'Mandato LP'!$A$2:$C$215,3,0)</f>
        <v>0</v>
      </c>
      <c r="R174" s="42">
        <f t="shared" si="24"/>
        <v>0</v>
      </c>
      <c r="S174" s="15">
        <v>-0.88600000000000001</v>
      </c>
      <c r="T174" s="15">
        <v>-0.71799999999999997</v>
      </c>
      <c r="U174" s="15">
        <v>-0.80400000000000005</v>
      </c>
      <c r="V174" s="15">
        <v>-0.82899999999999996</v>
      </c>
      <c r="W174" s="15">
        <v>-0.73599999999999999</v>
      </c>
      <c r="X174" s="15">
        <v>-0.72599999999999998</v>
      </c>
      <c r="Y174" s="15">
        <v>-0.48699999999999999</v>
      </c>
      <c r="Z174" s="15">
        <v>-0.626</v>
      </c>
      <c r="AA174" s="15">
        <v>0.35699999999999998</v>
      </c>
      <c r="AB174" s="15">
        <v>0.35899999999999999</v>
      </c>
      <c r="AC174" s="15">
        <v>0.41799999999999998</v>
      </c>
      <c r="AD174" s="15">
        <v>0.34</v>
      </c>
      <c r="AE174" s="15">
        <v>0.13900000000000001</v>
      </c>
      <c r="AF174" s="14">
        <v>-0.67400000000000004</v>
      </c>
      <c r="AG174" s="110">
        <v>-0.33100000000000002</v>
      </c>
      <c r="AH174" s="110">
        <v>-0.92700000000000005</v>
      </c>
      <c r="AI174" s="110">
        <v>-0.67300000000000004</v>
      </c>
      <c r="AJ174" s="110">
        <v>-0.88500000000000001</v>
      </c>
      <c r="AK174" s="16">
        <v>-0.113</v>
      </c>
      <c r="AL174" s="111">
        <v>-0.32200000000000001</v>
      </c>
      <c r="AM174" s="111">
        <v>-0.56599999999999995</v>
      </c>
      <c r="AN174" s="4">
        <v>-0.64500000000000002</v>
      </c>
      <c r="AO174" s="4">
        <v>0.13900000000000001</v>
      </c>
      <c r="AP174" s="4">
        <v>-0.38500000000000001</v>
      </c>
      <c r="AQ174" s="4">
        <v>-0.48299999999999998</v>
      </c>
      <c r="AR174" s="4">
        <v>0.439</v>
      </c>
      <c r="AS174" s="4">
        <v>-0.497</v>
      </c>
      <c r="AT174" s="4">
        <v>-0.57599999999999996</v>
      </c>
      <c r="AU174" s="4">
        <v>0.317</v>
      </c>
      <c r="AV174" s="4">
        <v>-5.8000000000000003E-2</v>
      </c>
      <c r="AW174" s="4">
        <v>-0.125</v>
      </c>
      <c r="AX174" s="4">
        <v>0.69</v>
      </c>
      <c r="AY174" s="4">
        <v>-4.3999999999999997E-2</v>
      </c>
      <c r="AZ174" s="4">
        <v>0.79100000000000004</v>
      </c>
      <c r="BA174" s="4">
        <v>0.42099999999999999</v>
      </c>
      <c r="BB174" s="4">
        <v>-0.46500000000000002</v>
      </c>
      <c r="BC174" s="4">
        <v>-0.88300000000000001</v>
      </c>
      <c r="BD174" s="4">
        <v>-0.92600000000000005</v>
      </c>
      <c r="BE174" s="4">
        <v>-0.82199999999999995</v>
      </c>
      <c r="BF174" s="4">
        <v>0.17100000000000001</v>
      </c>
      <c r="BG174" s="4">
        <v>-1</v>
      </c>
      <c r="BH174" s="4">
        <v>0.72599999999999998</v>
      </c>
      <c r="BI174" s="4">
        <v>-0.67600000000000005</v>
      </c>
      <c r="BJ174" s="4">
        <v>0.19500000000000001</v>
      </c>
      <c r="BK174" s="4">
        <v>0.60599999999999998</v>
      </c>
      <c r="BL174" s="4">
        <v>-0.108</v>
      </c>
      <c r="BM174" s="4">
        <v>0.68400000000000005</v>
      </c>
      <c r="BN174" s="4"/>
    </row>
    <row r="175" spans="1:66" x14ac:dyDescent="0.3">
      <c r="A175" t="s">
        <v>227</v>
      </c>
      <c r="B175" s="53">
        <f t="shared" si="18"/>
        <v>0</v>
      </c>
      <c r="C175" s="53">
        <f t="shared" si="19"/>
        <v>0</v>
      </c>
      <c r="D175" s="53">
        <f t="shared" si="20"/>
        <v>0</v>
      </c>
      <c r="E175" s="53">
        <f t="shared" si="21"/>
        <v>0</v>
      </c>
      <c r="F175" s="15">
        <v>0.54100000000000004</v>
      </c>
      <c r="G175">
        <v>0.46100000000000002</v>
      </c>
      <c r="H175" t="s">
        <v>71</v>
      </c>
      <c r="I175" t="str">
        <f>VLOOKUP(A175,Planilha6!$BL$9:$BN$222,2,0)</f>
        <v>food</v>
      </c>
      <c r="J175" t="str">
        <f>VLOOKUP(A175,Planilha6!$BL$9:$BN$222,3,0)</f>
        <v>very_low_beta</v>
      </c>
      <c r="K175" s="17">
        <v>0</v>
      </c>
      <c r="L175" s="2">
        <v>0</v>
      </c>
      <c r="M175" s="5">
        <v>0</v>
      </c>
      <c r="N175" s="41">
        <f>VLOOKUP(A175,'Mandato LP'!$A$2:$B$215,2,0)</f>
        <v>0</v>
      </c>
      <c r="O175" s="59">
        <f t="shared" si="22"/>
        <v>0</v>
      </c>
      <c r="P175" s="42">
        <f t="shared" si="23"/>
        <v>0</v>
      </c>
      <c r="Q175" s="41">
        <f>VLOOKUP(A175,'Mandato LP'!$A$2:$C$215,3,0)</f>
        <v>0</v>
      </c>
      <c r="R175" s="42">
        <f t="shared" si="24"/>
        <v>0</v>
      </c>
      <c r="S175" s="15">
        <v>-0.94699999999999995</v>
      </c>
      <c r="T175" s="15">
        <v>-0.78900000000000003</v>
      </c>
      <c r="U175" s="15">
        <v>-1</v>
      </c>
      <c r="V175" s="15">
        <v>-0.876</v>
      </c>
      <c r="W175" s="15">
        <v>-0.85899999999999999</v>
      </c>
      <c r="X175" s="15">
        <v>-0.80300000000000005</v>
      </c>
      <c r="Y175" s="15">
        <v>-0.76100000000000001</v>
      </c>
      <c r="Z175" s="15">
        <v>-0.74199999999999999</v>
      </c>
      <c r="AA175" s="15">
        <v>0.45600000000000002</v>
      </c>
      <c r="AB175" s="15">
        <v>0.46100000000000002</v>
      </c>
      <c r="AC175" s="15">
        <v>0.48499999999999999</v>
      </c>
      <c r="AD175" s="15">
        <v>0.54700000000000004</v>
      </c>
      <c r="AE175" s="15">
        <v>0.379</v>
      </c>
      <c r="AF175" s="14">
        <v>-0.96199999999999997</v>
      </c>
      <c r="AG175" s="110">
        <v>-0.73699999999999999</v>
      </c>
      <c r="AH175" s="110">
        <v>-0.27500000000000002</v>
      </c>
      <c r="AI175" s="110">
        <v>-0.98199999999999998</v>
      </c>
      <c r="AJ175" s="110">
        <v>-0.96199999999999997</v>
      </c>
      <c r="AK175" s="16">
        <v>-0.9</v>
      </c>
      <c r="AL175" s="111">
        <v>-0.13</v>
      </c>
      <c r="AM175" s="111">
        <v>-0.46200000000000002</v>
      </c>
      <c r="AN175" s="4">
        <v>-0.59099999999999997</v>
      </c>
      <c r="AO175" s="4">
        <v>-0.38800000000000001</v>
      </c>
      <c r="AP175" s="4">
        <v>0.3</v>
      </c>
      <c r="AQ175" s="4">
        <v>0.188</v>
      </c>
      <c r="AR175" s="4">
        <v>-0.51800000000000002</v>
      </c>
      <c r="AS175" s="4">
        <v>-0.35499999999999998</v>
      </c>
      <c r="AT175" s="4">
        <v>-0.40100000000000002</v>
      </c>
      <c r="AU175" s="4">
        <v>0.64300000000000002</v>
      </c>
      <c r="AV175" s="4">
        <v>-0.45800000000000002</v>
      </c>
      <c r="AW175" s="4">
        <v>-0.65800000000000003</v>
      </c>
      <c r="AX175" s="4">
        <v>0.38400000000000001</v>
      </c>
      <c r="AY175" s="4">
        <v>-0.52400000000000002</v>
      </c>
      <c r="AZ175" s="4">
        <v>0.74199999999999999</v>
      </c>
      <c r="BA175" s="4">
        <v>-0.44400000000000001</v>
      </c>
      <c r="BB175" s="4">
        <v>0.49099999999999999</v>
      </c>
      <c r="BC175" s="4">
        <v>-0.03</v>
      </c>
      <c r="BD175" s="4">
        <v>-0.14000000000000001</v>
      </c>
      <c r="BE175" s="4">
        <v>-1.0999999999999999E-2</v>
      </c>
      <c r="BF175" s="4">
        <v>-9.4E-2</v>
      </c>
      <c r="BG175" s="4">
        <v>0.32800000000000001</v>
      </c>
      <c r="BH175" s="4">
        <v>0.34499999999999997</v>
      </c>
      <c r="BI175" s="4">
        <v>-0.36899999999999999</v>
      </c>
      <c r="BJ175" s="4">
        <v>-0.89</v>
      </c>
      <c r="BK175" s="4">
        <v>0.16700000000000001</v>
      </c>
      <c r="BL175" s="4">
        <v>-0.88300000000000001</v>
      </c>
      <c r="BM175" s="4">
        <v>0.64800000000000002</v>
      </c>
      <c r="BN175" s="4"/>
    </row>
    <row r="176" spans="1:66" x14ac:dyDescent="0.3">
      <c r="A176" t="s">
        <v>212</v>
      </c>
      <c r="B176" s="53">
        <f t="shared" si="18"/>
        <v>0</v>
      </c>
      <c r="C176" s="53">
        <f t="shared" si="19"/>
        <v>0</v>
      </c>
      <c r="D176" s="53">
        <f t="shared" si="20"/>
        <v>0</v>
      </c>
      <c r="E176" s="53">
        <f t="shared" si="21"/>
        <v>0</v>
      </c>
      <c r="F176" s="15">
        <v>0.53900000000000003</v>
      </c>
      <c r="G176">
        <v>0.42499999999999999</v>
      </c>
      <c r="H176" t="s">
        <v>57</v>
      </c>
      <c r="I176" t="str">
        <f>VLOOKUP(A176,Planilha6!$BL$9:$BN$222,2,0)</f>
        <v>homebuilders</v>
      </c>
      <c r="J176" t="str">
        <f>VLOOKUP(A176,Planilha6!$BL$9:$BN$222,3,0)</f>
        <v>low_beta</v>
      </c>
      <c r="K176" s="17">
        <v>0</v>
      </c>
      <c r="L176" s="2">
        <v>0</v>
      </c>
      <c r="M176" s="5">
        <v>0.72112751399333297</v>
      </c>
      <c r="N176" s="41">
        <f>VLOOKUP(A176,'Mandato LP'!$A$2:$B$215,2,0)</f>
        <v>0</v>
      </c>
      <c r="O176" s="59">
        <f t="shared" si="22"/>
        <v>0</v>
      </c>
      <c r="P176" s="42">
        <f t="shared" si="23"/>
        <v>0</v>
      </c>
      <c r="Q176" s="41">
        <f>VLOOKUP(A176,'Mandato LP'!$A$2:$C$215,3,0)</f>
        <v>0</v>
      </c>
      <c r="R176" s="42">
        <f t="shared" si="24"/>
        <v>0</v>
      </c>
      <c r="S176" s="15">
        <v>-0.84299999999999997</v>
      </c>
      <c r="T176" s="15">
        <v>-0.76600000000000001</v>
      </c>
      <c r="U176" s="15">
        <v>-0.82199999999999995</v>
      </c>
      <c r="V176" s="15">
        <v>-0.82199999999999995</v>
      </c>
      <c r="W176" s="15">
        <v>-0.78900000000000003</v>
      </c>
      <c r="X176" s="15">
        <v>-0.78100000000000003</v>
      </c>
      <c r="Y176" s="15">
        <v>-0.71199999999999997</v>
      </c>
      <c r="Z176" s="15">
        <v>-0.746</v>
      </c>
      <c r="AA176" s="15">
        <v>0.22600000000000001</v>
      </c>
      <c r="AB176" s="15">
        <v>0.22800000000000001</v>
      </c>
      <c r="AC176" s="15">
        <v>0.35599999999999998</v>
      </c>
      <c r="AD176" s="15">
        <v>0.40300000000000002</v>
      </c>
      <c r="AE176" s="15">
        <v>0.30399999999999999</v>
      </c>
      <c r="AF176" s="14">
        <v>-0.74299999999999999</v>
      </c>
      <c r="AG176" s="110">
        <v>-0.45400000000000001</v>
      </c>
      <c r="AH176" s="110">
        <v>-0.81699999999999995</v>
      </c>
      <c r="AI176" s="110">
        <v>-0.46</v>
      </c>
      <c r="AJ176" s="110">
        <v>-0.39100000000000001</v>
      </c>
      <c r="AK176" s="16">
        <v>-0.315</v>
      </c>
      <c r="AL176" s="111">
        <v>-0.18099999999999999</v>
      </c>
      <c r="AM176" s="111">
        <v>-0.373</v>
      </c>
      <c r="AN176" s="4">
        <v>-0.68200000000000005</v>
      </c>
      <c r="AO176" s="4">
        <v>-0.39300000000000002</v>
      </c>
      <c r="AP176" s="4">
        <v>-0.377</v>
      </c>
      <c r="AQ176" s="4">
        <v>-0.222</v>
      </c>
      <c r="AR176" s="4">
        <v>0.19400000000000001</v>
      </c>
      <c r="AS176" s="4">
        <v>6.7000000000000004E-2</v>
      </c>
      <c r="AT176" s="4">
        <v>0.27200000000000002</v>
      </c>
      <c r="AU176" s="4">
        <v>0.624</v>
      </c>
      <c r="AV176" s="4">
        <v>-0.182</v>
      </c>
      <c r="AW176" s="4">
        <v>-0.32800000000000001</v>
      </c>
      <c r="AX176" s="4">
        <v>-0.12</v>
      </c>
      <c r="AY176" s="4">
        <v>0.42799999999999999</v>
      </c>
      <c r="AZ176" s="4">
        <v>0.83099999999999996</v>
      </c>
      <c r="BA176" s="4">
        <v>0.14599999999999999</v>
      </c>
      <c r="BB176" s="4">
        <v>-5.7000000000000002E-2</v>
      </c>
      <c r="BC176" s="4">
        <v>-0.89600000000000002</v>
      </c>
      <c r="BD176" s="4">
        <v>-0.39500000000000002</v>
      </c>
      <c r="BE176" s="4">
        <v>-0.434</v>
      </c>
      <c r="BF176" s="4">
        <v>0.8</v>
      </c>
      <c r="BG176" s="4">
        <v>0.14899999999999999</v>
      </c>
      <c r="BH176" s="4">
        <v>0.25</v>
      </c>
      <c r="BI176" s="4">
        <v>-0.71299999999999997</v>
      </c>
      <c r="BJ176" s="4">
        <v>0.223</v>
      </c>
      <c r="BK176" s="4">
        <v>-0.16900000000000001</v>
      </c>
      <c r="BL176" s="4">
        <v>0.16500000000000001</v>
      </c>
      <c r="BM176" s="4">
        <v>0.05</v>
      </c>
      <c r="BN176" s="4"/>
    </row>
    <row r="177" spans="1:66" x14ac:dyDescent="0.3">
      <c r="A177" t="s">
        <v>186</v>
      </c>
      <c r="B177" s="53">
        <f t="shared" si="18"/>
        <v>0</v>
      </c>
      <c r="C177" s="53">
        <f t="shared" si="19"/>
        <v>-3.1280700000000002E-3</v>
      </c>
      <c r="D177" s="53">
        <f t="shared" si="20"/>
        <v>0</v>
      </c>
      <c r="E177" s="53">
        <f t="shared" si="21"/>
        <v>3.1280700000000002E-3</v>
      </c>
      <c r="F177" s="15">
        <v>0.53900000000000003</v>
      </c>
      <c r="G177">
        <v>0.68700000000000006</v>
      </c>
      <c r="H177" t="s">
        <v>71</v>
      </c>
      <c r="I177" t="str">
        <f>VLOOKUP(A177,Planilha6!$BL$9:$BN$222,2,0)</f>
        <v>basic_materials</v>
      </c>
      <c r="J177" t="str">
        <f>VLOOKUP(A177,Planilha6!$BL$9:$BN$222,3,0)</f>
        <v>neutral_beta</v>
      </c>
      <c r="K177" s="17">
        <v>0</v>
      </c>
      <c r="L177" s="2">
        <v>-3.0000000000000001E-3</v>
      </c>
      <c r="M177" s="5">
        <v>0.97666666666666702</v>
      </c>
      <c r="N177" s="41">
        <f>VLOOKUP(A177,'Mandato LP'!$A$2:$B$215,2,0)</f>
        <v>0</v>
      </c>
      <c r="O177" s="59">
        <f t="shared" si="22"/>
        <v>0</v>
      </c>
      <c r="P177" s="42">
        <f t="shared" si="23"/>
        <v>0</v>
      </c>
      <c r="Q177" s="41">
        <f>VLOOKUP(A177,'Mandato LP'!$A$2:$C$215,3,0)</f>
        <v>0</v>
      </c>
      <c r="R177" s="42">
        <f t="shared" si="24"/>
        <v>0</v>
      </c>
      <c r="S177" s="15">
        <v>-0.97099999999999997</v>
      </c>
      <c r="T177" s="15">
        <v>-0.80700000000000005</v>
      </c>
      <c r="U177" s="15">
        <v>-1</v>
      </c>
      <c r="V177" s="15">
        <v>-0.91500000000000004</v>
      </c>
      <c r="W177" s="15">
        <v>-0.88800000000000001</v>
      </c>
      <c r="X177" s="15">
        <v>-0.82</v>
      </c>
      <c r="Y177" s="15">
        <v>-0.748</v>
      </c>
      <c r="Z177" s="15">
        <v>-0.73</v>
      </c>
      <c r="AA177" s="15">
        <v>0.45300000000000001</v>
      </c>
      <c r="AB177" s="15">
        <v>0.45400000000000001</v>
      </c>
      <c r="AC177" s="15">
        <v>0.41899999999999998</v>
      </c>
      <c r="AD177" s="15">
        <v>0.60299999999999998</v>
      </c>
      <c r="AE177" s="15">
        <v>0.36</v>
      </c>
      <c r="AF177" s="14">
        <v>-0.79200000000000004</v>
      </c>
      <c r="AG177" s="110">
        <v>-1</v>
      </c>
      <c r="AH177" s="110">
        <v>-0.20200000000000001</v>
      </c>
      <c r="AI177" s="110">
        <v>-0.9</v>
      </c>
      <c r="AJ177" s="110">
        <v>-0.94499999999999995</v>
      </c>
      <c r="AK177" s="16">
        <v>-0.94899999999999995</v>
      </c>
      <c r="AL177" s="111">
        <v>-0.17</v>
      </c>
      <c r="AM177" s="111">
        <v>-0.41399999999999998</v>
      </c>
      <c r="AN177" s="4">
        <v>-0.112</v>
      </c>
      <c r="AO177" s="4">
        <v>-0.65400000000000003</v>
      </c>
      <c r="AP177" s="4">
        <v>0.122</v>
      </c>
      <c r="AQ177" s="4">
        <v>-0.51900000000000002</v>
      </c>
      <c r="AR177" s="4">
        <v>-0.96</v>
      </c>
      <c r="AS177" s="4">
        <v>-0.98599999999999999</v>
      </c>
      <c r="AT177" s="4">
        <v>-0.66300000000000003</v>
      </c>
      <c r="AU177" s="4">
        <v>0.122</v>
      </c>
      <c r="AV177" s="4">
        <v>-0.38400000000000001</v>
      </c>
      <c r="AW177" s="4">
        <v>-0.439</v>
      </c>
      <c r="AX177" s="4">
        <v>0.46800000000000003</v>
      </c>
      <c r="AY177" s="4">
        <v>-5.5E-2</v>
      </c>
      <c r="AZ177" s="4">
        <v>0.876</v>
      </c>
      <c r="BA177" s="4">
        <v>-0.39500000000000002</v>
      </c>
      <c r="BB177" s="4">
        <v>0.109</v>
      </c>
      <c r="BC177" s="4">
        <v>0.13600000000000001</v>
      </c>
      <c r="BD177" s="4">
        <v>-9.6000000000000002E-2</v>
      </c>
      <c r="BE177" s="4">
        <v>0.31900000000000001</v>
      </c>
      <c r="BF177" s="4">
        <v>-0.63700000000000001</v>
      </c>
      <c r="BG177" s="4">
        <v>-0.28799999999999998</v>
      </c>
      <c r="BH177" s="4">
        <v>0.63400000000000001</v>
      </c>
      <c r="BI177" s="4">
        <v>-0.18</v>
      </c>
      <c r="BJ177" s="4">
        <v>-0.33700000000000002</v>
      </c>
      <c r="BK177" s="4">
        <v>-0.29499999999999998</v>
      </c>
      <c r="BL177" s="4">
        <v>-0.51400000000000001</v>
      </c>
      <c r="BM177" s="4">
        <v>0.46200000000000002</v>
      </c>
      <c r="BN177" s="4"/>
    </row>
    <row r="178" spans="1:66" x14ac:dyDescent="0.3">
      <c r="A178" t="s">
        <v>221</v>
      </c>
      <c r="B178" s="53">
        <f t="shared" si="18"/>
        <v>0</v>
      </c>
      <c r="C178" s="53">
        <f t="shared" si="19"/>
        <v>-1.0180499999999999E-3</v>
      </c>
      <c r="D178" s="53">
        <f t="shared" si="20"/>
        <v>0</v>
      </c>
      <c r="E178" s="53">
        <f t="shared" si="21"/>
        <v>1.0180499999999999E-3</v>
      </c>
      <c r="F178" s="15">
        <v>0.53500000000000003</v>
      </c>
      <c r="G178">
        <v>0.6</v>
      </c>
      <c r="H178" t="s">
        <v>57</v>
      </c>
      <c r="I178" t="str">
        <f>VLOOKUP(A178,Planilha6!$BL$9:$BN$222,2,0)</f>
        <v>consumer_services</v>
      </c>
      <c r="J178" t="str">
        <f>VLOOKUP(A178,Planilha6!$BL$9:$BN$222,3,0)</f>
        <v>neutral_beta</v>
      </c>
      <c r="K178" s="17">
        <v>0</v>
      </c>
      <c r="L178" s="2">
        <v>-1E-3</v>
      </c>
      <c r="M178" s="5">
        <v>0.69591718821000004</v>
      </c>
      <c r="N178" s="41">
        <f>VLOOKUP(A178,'Mandato LP'!$A$2:$B$215,2,0)</f>
        <v>0</v>
      </c>
      <c r="O178" s="59">
        <f t="shared" si="22"/>
        <v>0</v>
      </c>
      <c r="P178" s="42">
        <f t="shared" si="23"/>
        <v>0</v>
      </c>
      <c r="Q178" s="41">
        <f>VLOOKUP(A178,'Mandato LP'!$A$2:$C$215,3,0)</f>
        <v>0</v>
      </c>
      <c r="R178" s="42">
        <f t="shared" si="24"/>
        <v>0</v>
      </c>
      <c r="S178" s="15">
        <v>-0.79900000000000004</v>
      </c>
      <c r="T178" s="15">
        <v>-0.77800000000000002</v>
      </c>
      <c r="U178" s="15">
        <v>-0.90300000000000002</v>
      </c>
      <c r="V178" s="15">
        <v>-0.71799999999999997</v>
      </c>
      <c r="W178" s="15">
        <v>-0.79500000000000004</v>
      </c>
      <c r="X178" s="15">
        <v>-0.65</v>
      </c>
      <c r="Y178" s="15">
        <v>-0.36699999999999999</v>
      </c>
      <c r="Z178" s="15">
        <v>-0.74099999999999999</v>
      </c>
      <c r="AA178" s="15">
        <v>7.3999999999999996E-2</v>
      </c>
      <c r="AB178" s="15">
        <v>7.0999999999999994E-2</v>
      </c>
      <c r="AC178" s="15">
        <v>0.32500000000000001</v>
      </c>
      <c r="AD178" s="15">
        <v>0.39500000000000002</v>
      </c>
      <c r="AE178" s="15">
        <v>6.5000000000000002E-2</v>
      </c>
      <c r="AF178" s="14">
        <v>-0.35399999999999998</v>
      </c>
      <c r="AG178" s="110">
        <v>0.24299999999999999</v>
      </c>
      <c r="AH178" s="110">
        <v>-1</v>
      </c>
      <c r="AI178" s="110">
        <v>-0.77900000000000003</v>
      </c>
      <c r="AJ178" s="110">
        <v>-1</v>
      </c>
      <c r="AK178" s="16">
        <v>-0.34599999999999997</v>
      </c>
      <c r="AL178" s="111">
        <v>-0.14699999999999999</v>
      </c>
      <c r="AM178" s="111">
        <v>-0.45400000000000001</v>
      </c>
      <c r="AN178" s="4">
        <v>-0.46700000000000003</v>
      </c>
      <c r="AO178" s="4">
        <v>0.66300000000000003</v>
      </c>
      <c r="AP178" s="4">
        <v>-0.80200000000000005</v>
      </c>
      <c r="AQ178" s="4">
        <v>-0.81499999999999995</v>
      </c>
      <c r="AR178" s="4">
        <v>1</v>
      </c>
      <c r="AS178" s="4">
        <v>0.17299999999999999</v>
      </c>
      <c r="AT178" s="4">
        <v>-3.6999999999999998E-2</v>
      </c>
      <c r="AU178" s="4">
        <v>0.109</v>
      </c>
      <c r="AV178" s="4">
        <v>4.4999999999999998E-2</v>
      </c>
      <c r="AW178" s="4">
        <v>0.20899999999999999</v>
      </c>
      <c r="AX178" s="4">
        <v>6.5000000000000002E-2</v>
      </c>
      <c r="AY178" s="4">
        <v>-3.5999999999999997E-2</v>
      </c>
      <c r="AZ178" s="4">
        <v>0.76500000000000001</v>
      </c>
      <c r="BA178" s="4">
        <v>-0.48799999999999999</v>
      </c>
      <c r="BB178" s="4">
        <v>0.315</v>
      </c>
      <c r="BC178" s="4">
        <v>-0.4</v>
      </c>
      <c r="BD178" s="4">
        <v>-0.42499999999999999</v>
      </c>
      <c r="BE178" s="4">
        <v>-0.29699999999999999</v>
      </c>
      <c r="BF178" s="4">
        <v>0.313</v>
      </c>
      <c r="BG178" s="4">
        <v>-0.24399999999999999</v>
      </c>
      <c r="BH178" s="4">
        <v>0.65</v>
      </c>
      <c r="BI178" s="4">
        <v>-0.18</v>
      </c>
      <c r="BJ178" s="4">
        <v>-7.4999999999999997E-2</v>
      </c>
      <c r="BK178" s="4">
        <v>-0.51800000000000002</v>
      </c>
      <c r="BL178" s="4">
        <v>-9.8000000000000004E-2</v>
      </c>
      <c r="BM178" s="4">
        <v>0.80400000000000005</v>
      </c>
      <c r="BN178" s="4"/>
    </row>
    <row r="179" spans="1:66" x14ac:dyDescent="0.3">
      <c r="A179" t="s">
        <v>178</v>
      </c>
      <c r="B179" s="53">
        <f t="shared" si="18"/>
        <v>0</v>
      </c>
      <c r="C179" s="53">
        <f t="shared" si="19"/>
        <v>-3.6359399999999998E-3</v>
      </c>
      <c r="D179" s="53">
        <f t="shared" si="20"/>
        <v>0</v>
      </c>
      <c r="E179" s="53">
        <f t="shared" si="21"/>
        <v>3.6359399999999998E-3</v>
      </c>
      <c r="F179" s="15">
        <v>0.53400000000000003</v>
      </c>
      <c r="G179">
        <v>0.43</v>
      </c>
      <c r="H179" t="s">
        <v>53</v>
      </c>
      <c r="I179" t="str">
        <f>VLOOKUP(A179,Planilha6!$BL$9:$BN$222,2,0)</f>
        <v>healthcare</v>
      </c>
      <c r="J179" t="str">
        <f>VLOOKUP(A179,Planilha6!$BL$9:$BN$222,3,0)</f>
        <v>very_low_beta</v>
      </c>
      <c r="K179" s="17">
        <v>0</v>
      </c>
      <c r="L179" s="2">
        <v>-4.0000000000000001E-3</v>
      </c>
      <c r="M179" s="5">
        <v>0.37467925359466703</v>
      </c>
      <c r="N179" s="41">
        <f>VLOOKUP(A179,'Mandato LP'!$A$2:$B$215,2,0)</f>
        <v>0</v>
      </c>
      <c r="O179" s="59">
        <f t="shared" si="22"/>
        <v>0</v>
      </c>
      <c r="P179" s="42">
        <f t="shared" si="23"/>
        <v>0</v>
      </c>
      <c r="Q179" s="41">
        <f>VLOOKUP(A179,'Mandato LP'!$A$2:$C$215,3,0)</f>
        <v>0</v>
      </c>
      <c r="R179" s="42">
        <f t="shared" si="24"/>
        <v>0</v>
      </c>
      <c r="S179" s="15">
        <v>-0.89200000000000002</v>
      </c>
      <c r="T179" s="15">
        <v>-0.76700000000000002</v>
      </c>
      <c r="U179" s="15">
        <v>-0.99299999999999999</v>
      </c>
      <c r="V179" s="15">
        <v>-0.81399999999999995</v>
      </c>
      <c r="W179" s="15">
        <v>-0.84599999999999997</v>
      </c>
      <c r="X179" s="15">
        <v>-0.77700000000000002</v>
      </c>
      <c r="Y179" s="15">
        <v>-0.60499999999999998</v>
      </c>
      <c r="Z179" s="15">
        <v>-0.78900000000000003</v>
      </c>
      <c r="AA179" s="15">
        <v>0.13400000000000001</v>
      </c>
      <c r="AB179" s="15">
        <v>0.13900000000000001</v>
      </c>
      <c r="AC179" s="15">
        <v>0.51500000000000001</v>
      </c>
      <c r="AD179" s="15">
        <v>0.53300000000000003</v>
      </c>
      <c r="AE179" s="15">
        <v>0.28599999999999998</v>
      </c>
      <c r="AF179" s="14">
        <v>-0.54</v>
      </c>
      <c r="AG179" s="110">
        <v>-0.81799999999999995</v>
      </c>
      <c r="AH179" s="110">
        <v>-0.60199999999999998</v>
      </c>
      <c r="AI179" s="110">
        <v>-0.98499999999999999</v>
      </c>
      <c r="AJ179" s="110">
        <v>-0.86499999999999999</v>
      </c>
      <c r="AK179" s="16">
        <v>-0.69699999999999995</v>
      </c>
      <c r="AL179" s="111">
        <v>-0.39400000000000002</v>
      </c>
      <c r="AM179" s="111">
        <v>-0.76100000000000001</v>
      </c>
      <c r="AN179" s="4">
        <v>-0.89400000000000002</v>
      </c>
      <c r="AO179" s="4">
        <v>0.25600000000000001</v>
      </c>
      <c r="AP179" s="4">
        <v>0.25</v>
      </c>
      <c r="AQ179" s="4">
        <v>-0.14099999999999999</v>
      </c>
      <c r="AR179" s="4">
        <v>0.1</v>
      </c>
      <c r="AS179" s="4">
        <v>-8.3000000000000004E-2</v>
      </c>
      <c r="AT179" s="4">
        <v>-0.39900000000000002</v>
      </c>
      <c r="AU179" s="4">
        <v>0.63400000000000001</v>
      </c>
      <c r="AV179" s="4">
        <v>-0.35099999999999998</v>
      </c>
      <c r="AW179" s="4">
        <v>0.17</v>
      </c>
      <c r="AX179" s="4">
        <v>0.253</v>
      </c>
      <c r="AY179" s="4">
        <v>-0.121</v>
      </c>
      <c r="AZ179" s="4">
        <v>0.97499999999999998</v>
      </c>
      <c r="BA179" s="4">
        <v>-0.84899999999999998</v>
      </c>
      <c r="BB179" s="4">
        <v>0.56499999999999995</v>
      </c>
      <c r="BC179" s="4">
        <v>-0.32100000000000001</v>
      </c>
      <c r="BD179" s="4">
        <v>-0.23599999999999999</v>
      </c>
      <c r="BE179" s="4">
        <v>-2.8000000000000001E-2</v>
      </c>
      <c r="BF179" s="4">
        <v>0.31900000000000001</v>
      </c>
      <c r="BG179" s="4">
        <v>-6.6000000000000003E-2</v>
      </c>
      <c r="BH179" s="4">
        <v>0.59299999999999997</v>
      </c>
      <c r="BI179" s="4">
        <v>-0.20100000000000001</v>
      </c>
      <c r="BJ179" s="4">
        <v>-0.38200000000000001</v>
      </c>
      <c r="BK179" s="4">
        <v>-0.27600000000000002</v>
      </c>
      <c r="BL179" s="4">
        <v>-0.73699999999999999</v>
      </c>
      <c r="BM179" s="4">
        <v>-0.27300000000000002</v>
      </c>
      <c r="BN179" s="4"/>
    </row>
    <row r="180" spans="1:66" x14ac:dyDescent="0.3">
      <c r="A180" t="s">
        <v>187</v>
      </c>
      <c r="B180" s="53">
        <f t="shared" si="18"/>
        <v>0</v>
      </c>
      <c r="C180" s="53">
        <f t="shared" si="19"/>
        <v>0</v>
      </c>
      <c r="D180" s="53">
        <f t="shared" si="20"/>
        <v>0</v>
      </c>
      <c r="E180" s="53">
        <f t="shared" si="21"/>
        <v>0</v>
      </c>
      <c r="F180" s="15">
        <v>0.53300000000000003</v>
      </c>
      <c r="G180">
        <v>0.505</v>
      </c>
      <c r="H180" t="s">
        <v>53</v>
      </c>
      <c r="I180" t="str">
        <f>VLOOKUP(A180,Planilha6!$BL$9:$BN$222,2,0)</f>
        <v>consumer_staples</v>
      </c>
      <c r="J180" t="str">
        <f>VLOOKUP(A180,Planilha6!$BL$9:$BN$222,3,0)</f>
        <v>low_beta</v>
      </c>
      <c r="K180" s="17">
        <v>0</v>
      </c>
      <c r="L180" s="2">
        <v>0</v>
      </c>
      <c r="M180" s="5">
        <v>0.14765889026666701</v>
      </c>
      <c r="N180" s="41">
        <f>VLOOKUP(A180,'Mandato LP'!$A$2:$B$215,2,0)</f>
        <v>0</v>
      </c>
      <c r="O180" s="59">
        <f t="shared" si="22"/>
        <v>0</v>
      </c>
      <c r="P180" s="42">
        <f t="shared" si="23"/>
        <v>0</v>
      </c>
      <c r="Q180" s="41">
        <f>VLOOKUP(A180,'Mandato LP'!$A$2:$C$215,3,0)</f>
        <v>0</v>
      </c>
      <c r="R180" s="42">
        <f t="shared" si="24"/>
        <v>0</v>
      </c>
      <c r="S180" s="15">
        <v>-0.77900000000000003</v>
      </c>
      <c r="T180" s="15">
        <v>-0.79</v>
      </c>
      <c r="U180" s="15">
        <v>-0.84499999999999997</v>
      </c>
      <c r="V180" s="15">
        <v>-0.76100000000000001</v>
      </c>
      <c r="W180" s="15">
        <v>-0.80400000000000005</v>
      </c>
      <c r="X180" s="15">
        <v>-0.748</v>
      </c>
      <c r="Y180" s="15">
        <v>-0.68400000000000005</v>
      </c>
      <c r="Z180" s="15">
        <v>-0.78800000000000003</v>
      </c>
      <c r="AA180" s="15">
        <v>0.111</v>
      </c>
      <c r="AB180" s="15">
        <v>0.114</v>
      </c>
      <c r="AC180" s="15">
        <v>0.51</v>
      </c>
      <c r="AD180" s="15">
        <v>0.48299999999999998</v>
      </c>
      <c r="AE180" s="15">
        <v>0.11700000000000001</v>
      </c>
      <c r="AF180" s="14">
        <v>-0.33700000000000002</v>
      </c>
      <c r="AG180" s="110">
        <v>-0.13400000000000001</v>
      </c>
      <c r="AH180" s="110">
        <v>-0.751</v>
      </c>
      <c r="AI180" s="110">
        <v>-0.65500000000000003</v>
      </c>
      <c r="AJ180" s="110">
        <v>-0.94199999999999995</v>
      </c>
      <c r="AK180" s="16">
        <v>-0.50700000000000001</v>
      </c>
      <c r="AL180" s="111">
        <v>-2.9000000000000001E-2</v>
      </c>
      <c r="AM180" s="111">
        <v>-0.58399999999999996</v>
      </c>
      <c r="AN180" s="4">
        <v>-0.22800000000000001</v>
      </c>
      <c r="AO180" s="4">
        <v>0.79400000000000004</v>
      </c>
      <c r="AP180" s="4">
        <v>-0.78900000000000003</v>
      </c>
      <c r="AQ180" s="4">
        <v>0.157</v>
      </c>
      <c r="AR180" s="4">
        <v>0.311</v>
      </c>
      <c r="AS180" s="4">
        <v>-8.5999999999999993E-2</v>
      </c>
      <c r="AT180" s="4">
        <v>-0.439</v>
      </c>
      <c r="AU180" s="4">
        <v>0.60899999999999999</v>
      </c>
      <c r="AV180" s="4">
        <v>-0.33500000000000002</v>
      </c>
      <c r="AW180" s="4">
        <v>-4.8000000000000001E-2</v>
      </c>
      <c r="AX180" s="4">
        <v>0.128</v>
      </c>
      <c r="AY180" s="4">
        <v>0.126</v>
      </c>
      <c r="AZ180" s="4">
        <v>0.95399999999999996</v>
      </c>
      <c r="BA180" s="4">
        <v>-6.0999999999999999E-2</v>
      </c>
      <c r="BB180" s="4">
        <v>2.7E-2</v>
      </c>
      <c r="BC180" s="4">
        <v>-0.54</v>
      </c>
      <c r="BD180" s="4">
        <v>-0.36499999999999999</v>
      </c>
      <c r="BE180" s="4">
        <v>-7.6999999999999999E-2</v>
      </c>
      <c r="BF180" s="4">
        <v>0.747</v>
      </c>
      <c r="BG180" s="4">
        <v>1</v>
      </c>
      <c r="BH180" s="4">
        <v>-4.9000000000000002E-2</v>
      </c>
      <c r="BI180" s="4">
        <v>-1.2999999999999999E-2</v>
      </c>
      <c r="BJ180" s="4">
        <v>-0.219</v>
      </c>
      <c r="BK180" s="4">
        <v>8.1000000000000003E-2</v>
      </c>
      <c r="BL180" s="4">
        <v>-6.5000000000000002E-2</v>
      </c>
      <c r="BM180" s="4">
        <v>-0.51500000000000001</v>
      </c>
      <c r="BN180" s="4"/>
    </row>
    <row r="181" spans="1:66" x14ac:dyDescent="0.3">
      <c r="A181" t="s">
        <v>128</v>
      </c>
      <c r="B181" s="53">
        <f t="shared" si="18"/>
        <v>0</v>
      </c>
      <c r="C181" s="53">
        <f t="shared" si="19"/>
        <v>0</v>
      </c>
      <c r="D181" s="53">
        <f t="shared" si="20"/>
        <v>0</v>
      </c>
      <c r="E181" s="53">
        <f t="shared" si="21"/>
        <v>0</v>
      </c>
      <c r="F181" s="15">
        <v>0.53300000000000003</v>
      </c>
      <c r="G181">
        <v>0.42099999999999999</v>
      </c>
      <c r="H181" t="s">
        <v>68</v>
      </c>
      <c r="I181" t="str">
        <f>VLOOKUP(A181,Planilha6!$BL$9:$BN$222,2,0)</f>
        <v>capital_goods</v>
      </c>
      <c r="J181" t="str">
        <f>VLOOKUP(A181,Planilha6!$BL$9:$BN$222,3,0)</f>
        <v>very_low_beta</v>
      </c>
      <c r="K181" s="17">
        <v>0</v>
      </c>
      <c r="L181" s="2">
        <v>0</v>
      </c>
      <c r="M181" s="5">
        <v>0.627778860964333</v>
      </c>
      <c r="N181" s="41">
        <f>VLOOKUP(A181,'Mandato LP'!$A$2:$B$215,2,0)</f>
        <v>0</v>
      </c>
      <c r="O181" s="59">
        <f t="shared" si="22"/>
        <v>0</v>
      </c>
      <c r="P181" s="42">
        <f t="shared" si="23"/>
        <v>0</v>
      </c>
      <c r="Q181" s="41">
        <f>VLOOKUP(A181,'Mandato LP'!$A$2:$C$215,3,0)</f>
        <v>0</v>
      </c>
      <c r="R181" s="42">
        <f t="shared" si="24"/>
        <v>0</v>
      </c>
      <c r="S181" s="15">
        <v>-0.86699999999999999</v>
      </c>
      <c r="T181" s="15">
        <v>-0.83499999999999996</v>
      </c>
      <c r="U181" s="15">
        <v>-0.65700000000000003</v>
      </c>
      <c r="V181" s="15">
        <v>-0.90800000000000003</v>
      </c>
      <c r="W181" s="15">
        <v>-0.84599999999999997</v>
      </c>
      <c r="X181" s="15">
        <v>-0.86699999999999999</v>
      </c>
      <c r="Y181" s="15">
        <v>-0.79100000000000004</v>
      </c>
      <c r="Z181" s="15">
        <v>-0.81100000000000005</v>
      </c>
      <c r="AA181" s="15">
        <v>0.153</v>
      </c>
      <c r="AB181" s="15">
        <v>0.151</v>
      </c>
      <c r="AC181" s="15">
        <v>0.35499999999999998</v>
      </c>
      <c r="AD181" s="15">
        <v>0.47199999999999998</v>
      </c>
      <c r="AE181" s="15">
        <v>0.35399999999999998</v>
      </c>
      <c r="AF181" s="14">
        <v>-0.76</v>
      </c>
      <c r="AG181" s="110">
        <v>-1</v>
      </c>
      <c r="AH181" s="110">
        <v>-0.43099999999999999</v>
      </c>
      <c r="AI181" s="110">
        <v>0.02</v>
      </c>
      <c r="AJ181" s="110">
        <v>0.377</v>
      </c>
      <c r="AK181" s="16">
        <v>-0.21299999999999999</v>
      </c>
      <c r="AL181" s="111">
        <v>-0.53800000000000003</v>
      </c>
      <c r="AM181" s="111">
        <v>-0.46700000000000003</v>
      </c>
      <c r="AN181" s="4">
        <v>0.127</v>
      </c>
      <c r="AO181" s="4">
        <v>-0.67300000000000004</v>
      </c>
      <c r="AP181" s="4">
        <v>-4.5999999999999999E-2</v>
      </c>
      <c r="AQ181" s="4">
        <v>-0.16800000000000001</v>
      </c>
      <c r="AR181" s="4">
        <v>-0.96799999999999997</v>
      </c>
      <c r="AS181" s="4">
        <v>-0.65400000000000003</v>
      </c>
      <c r="AT181" s="4">
        <v>-0.45500000000000002</v>
      </c>
      <c r="AU181" s="4">
        <v>-0.13600000000000001</v>
      </c>
      <c r="AV181" s="4">
        <v>-0.28299999999999997</v>
      </c>
      <c r="AW181" s="4">
        <v>-0.42399999999999999</v>
      </c>
      <c r="AX181" s="4">
        <v>0.35599999999999998</v>
      </c>
      <c r="AY181" s="4">
        <v>-0.28100000000000003</v>
      </c>
      <c r="AZ181" s="4">
        <v>0.68500000000000005</v>
      </c>
      <c r="BA181" s="4">
        <v>-0.83099999999999996</v>
      </c>
      <c r="BB181" s="4">
        <v>0.626</v>
      </c>
      <c r="BC181" s="4">
        <v>2.4E-2</v>
      </c>
      <c r="BD181" s="4">
        <v>-0.61499999999999999</v>
      </c>
      <c r="BE181" s="4">
        <v>-0.307</v>
      </c>
      <c r="BF181" s="4">
        <v>0.54200000000000004</v>
      </c>
      <c r="BG181" s="4">
        <v>0.13</v>
      </c>
      <c r="BH181" s="4">
        <v>0.39400000000000002</v>
      </c>
      <c r="BI181" s="4">
        <v>0.44500000000000001</v>
      </c>
      <c r="BJ181" s="4">
        <v>-1.9E-2</v>
      </c>
      <c r="BK181" s="4">
        <v>0.76100000000000001</v>
      </c>
      <c r="BL181" s="4">
        <v>0.60699999999999998</v>
      </c>
      <c r="BM181" s="4">
        <v>-0.16900000000000001</v>
      </c>
      <c r="BN181" s="4"/>
    </row>
    <row r="182" spans="1:66" x14ac:dyDescent="0.3">
      <c r="A182" t="s">
        <v>129</v>
      </c>
      <c r="B182" s="53">
        <f t="shared" si="18"/>
        <v>0</v>
      </c>
      <c r="C182" s="53">
        <f t="shared" si="19"/>
        <v>0</v>
      </c>
      <c r="D182" s="53">
        <f t="shared" si="20"/>
        <v>0</v>
      </c>
      <c r="E182" s="53">
        <f t="shared" si="21"/>
        <v>0</v>
      </c>
      <c r="F182" s="15">
        <v>0.53200000000000003</v>
      </c>
      <c r="G182">
        <v>0.375</v>
      </c>
      <c r="H182" t="s">
        <v>57</v>
      </c>
      <c r="I182" t="str">
        <f>VLOOKUP(A182,Planilha6!$BL$9:$BN$222,2,0)</f>
        <v>homebuilders</v>
      </c>
      <c r="J182" t="str">
        <f>VLOOKUP(A182,Planilha6!$BL$9:$BN$222,3,0)</f>
        <v>very_high_beta</v>
      </c>
      <c r="K182" s="17">
        <v>0</v>
      </c>
      <c r="L182" s="2">
        <v>0</v>
      </c>
      <c r="M182" s="5">
        <v>0.138208110673333</v>
      </c>
      <c r="N182" s="41">
        <f>VLOOKUP(A182,'Mandato LP'!$A$2:$B$215,2,0)</f>
        <v>0</v>
      </c>
      <c r="O182" s="59">
        <f t="shared" si="22"/>
        <v>0</v>
      </c>
      <c r="P182" s="42">
        <f t="shared" si="23"/>
        <v>0</v>
      </c>
      <c r="Q182" s="41">
        <f>VLOOKUP(A182,'Mandato LP'!$A$2:$C$215,3,0)</f>
        <v>0</v>
      </c>
      <c r="R182" s="42">
        <f t="shared" si="24"/>
        <v>0</v>
      </c>
      <c r="S182" s="15">
        <v>-0.50800000000000001</v>
      </c>
      <c r="T182" s="15">
        <v>-0.72899999999999998</v>
      </c>
      <c r="U182" s="15">
        <v>-0.27800000000000002</v>
      </c>
      <c r="V182" s="15">
        <v>-0.69899999999999995</v>
      </c>
      <c r="W182" s="15">
        <v>-0.69899999999999995</v>
      </c>
      <c r="X182" s="15">
        <v>-0.76400000000000001</v>
      </c>
      <c r="Y182" s="15">
        <v>-0.78800000000000003</v>
      </c>
      <c r="Z182" s="15">
        <v>-0.77700000000000002</v>
      </c>
      <c r="AA182" s="15">
        <v>0.06</v>
      </c>
      <c r="AB182" s="15">
        <v>5.8000000000000003E-2</v>
      </c>
      <c r="AC182" s="15">
        <v>-0.55200000000000005</v>
      </c>
      <c r="AD182" s="15">
        <v>-3.2000000000000001E-2</v>
      </c>
      <c r="AE182" s="15">
        <v>5.6000000000000001E-2</v>
      </c>
      <c r="AF182" s="14">
        <v>-0.30499999999999999</v>
      </c>
      <c r="AG182" s="110">
        <v>0.191</v>
      </c>
      <c r="AH182" s="110">
        <v>0.105</v>
      </c>
      <c r="AI182" s="110">
        <v>1</v>
      </c>
      <c r="AJ182" s="110">
        <v>0.54300000000000004</v>
      </c>
      <c r="AK182" s="16">
        <v>-0.41499999999999998</v>
      </c>
      <c r="AL182" s="111">
        <v>-6.5000000000000002E-2</v>
      </c>
      <c r="AM182" s="111">
        <v>-8.5000000000000006E-2</v>
      </c>
      <c r="AN182" s="4">
        <v>0.71599999999999997</v>
      </c>
      <c r="AO182" s="4">
        <v>0.109</v>
      </c>
      <c r="AP182" s="4">
        <v>-0.35499999999999998</v>
      </c>
      <c r="AQ182" s="4">
        <v>0.113</v>
      </c>
      <c r="AR182" s="4">
        <v>6.7000000000000004E-2</v>
      </c>
      <c r="AS182" s="4">
        <v>-0.434</v>
      </c>
      <c r="AT182" s="4">
        <v>-0.85099999999999998</v>
      </c>
      <c r="AU182" s="4">
        <v>-0.20399999999999999</v>
      </c>
      <c r="AV182" s="4">
        <v>-0.28399999999999997</v>
      </c>
      <c r="AW182" s="4">
        <v>-0.44700000000000001</v>
      </c>
      <c r="AX182" s="4">
        <v>-0.99299999999999999</v>
      </c>
      <c r="AY182" s="4">
        <v>-0.72599999999999998</v>
      </c>
      <c r="AZ182" s="4">
        <v>4.2000000000000003E-2</v>
      </c>
      <c r="BA182" s="4">
        <v>-8.6999999999999994E-2</v>
      </c>
      <c r="BB182" s="4">
        <v>-0.31</v>
      </c>
      <c r="BC182" s="4">
        <v>0.188</v>
      </c>
      <c r="BD182" s="4">
        <v>-0.14799999999999999</v>
      </c>
      <c r="BE182" s="4">
        <v>0.42199999999999999</v>
      </c>
      <c r="BF182" s="4">
        <v>0.84699999999999998</v>
      </c>
      <c r="BG182" s="4">
        <v>0.18099999999999999</v>
      </c>
      <c r="BH182" s="4">
        <v>-0.122</v>
      </c>
      <c r="BI182" s="4">
        <v>1.6E-2</v>
      </c>
      <c r="BJ182" s="4">
        <v>0.90300000000000002</v>
      </c>
      <c r="BK182" s="4">
        <v>-7.0000000000000001E-3</v>
      </c>
      <c r="BL182" s="4">
        <v>0.88500000000000001</v>
      </c>
      <c r="BM182" s="4">
        <v>0.61399999999999999</v>
      </c>
      <c r="BN182" s="4"/>
    </row>
    <row r="183" spans="1:66" x14ac:dyDescent="0.3">
      <c r="A183" t="s">
        <v>253</v>
      </c>
      <c r="B183" s="53">
        <f t="shared" si="18"/>
        <v>0</v>
      </c>
      <c r="C183" s="53">
        <f t="shared" si="19"/>
        <v>0</v>
      </c>
      <c r="D183" s="53">
        <f t="shared" si="20"/>
        <v>0</v>
      </c>
      <c r="E183" s="53">
        <f t="shared" si="21"/>
        <v>0</v>
      </c>
      <c r="F183" s="15">
        <v>0.53</v>
      </c>
      <c r="G183">
        <v>0.441</v>
      </c>
      <c r="H183" t="s">
        <v>68</v>
      </c>
      <c r="I183" t="str">
        <f>VLOOKUP(A183,Planilha6!$BL$9:$BN$222,2,0)</f>
        <v>capital_goods</v>
      </c>
      <c r="J183" t="str">
        <f>VLOOKUP(A183,Planilha6!$BL$9:$BN$222,3,0)</f>
        <v>very_high_beta</v>
      </c>
      <c r="K183" s="17">
        <v>0</v>
      </c>
      <c r="L183" s="2">
        <v>0</v>
      </c>
      <c r="M183" s="5">
        <v>0.33071511333333298</v>
      </c>
      <c r="N183" s="41">
        <f>VLOOKUP(A183,'Mandato LP'!$A$2:$B$215,2,0)</f>
        <v>0</v>
      </c>
      <c r="O183" s="59">
        <f t="shared" si="22"/>
        <v>0</v>
      </c>
      <c r="P183" s="42">
        <f t="shared" si="23"/>
        <v>0</v>
      </c>
      <c r="Q183" s="41">
        <f>VLOOKUP(A183,'Mandato LP'!$A$2:$C$215,3,0)</f>
        <v>0</v>
      </c>
      <c r="R183" s="42">
        <f t="shared" si="24"/>
        <v>0</v>
      </c>
      <c r="S183" s="15">
        <v>-0.86699999999999999</v>
      </c>
      <c r="T183" s="15">
        <v>-0.81399999999999995</v>
      </c>
      <c r="U183" s="15">
        <v>-0.747</v>
      </c>
      <c r="V183" s="15">
        <v>-0.88</v>
      </c>
      <c r="W183" s="15">
        <v>-0.82699999999999996</v>
      </c>
      <c r="X183" s="15">
        <v>-0.86199999999999999</v>
      </c>
      <c r="Y183" s="15">
        <v>-0.81</v>
      </c>
      <c r="Z183" s="15">
        <v>-0.81899999999999995</v>
      </c>
      <c r="AA183" s="15">
        <v>0.35199999999999998</v>
      </c>
      <c r="AB183" s="15">
        <v>0.35499999999999998</v>
      </c>
      <c r="AC183" s="15">
        <v>0.46300000000000002</v>
      </c>
      <c r="AD183" s="15">
        <v>0.60099999999999998</v>
      </c>
      <c r="AE183" s="15">
        <v>0.13500000000000001</v>
      </c>
      <c r="AF183" s="14">
        <v>-0.82699999999999996</v>
      </c>
      <c r="AG183" s="110">
        <v>-0.36699999999999999</v>
      </c>
      <c r="AH183" s="110">
        <v>-0.308</v>
      </c>
      <c r="AI183" s="110">
        <v>0.41499999999999998</v>
      </c>
      <c r="AJ183" s="110">
        <v>-0.68899999999999995</v>
      </c>
      <c r="AK183" s="16">
        <v>-0.65700000000000003</v>
      </c>
      <c r="AL183" s="111">
        <v>0.16</v>
      </c>
      <c r="AM183" s="111">
        <v>-0.57099999999999995</v>
      </c>
      <c r="AN183" s="4">
        <v>0.56699999999999995</v>
      </c>
      <c r="AO183" s="4">
        <v>-0.31900000000000001</v>
      </c>
      <c r="AP183" s="4">
        <v>-0.53600000000000003</v>
      </c>
      <c r="AQ183" s="4">
        <v>-0.83</v>
      </c>
      <c r="AR183" s="4">
        <v>-5.8000000000000003E-2</v>
      </c>
      <c r="AS183" s="4">
        <v>-0.50700000000000001</v>
      </c>
      <c r="AT183" s="4">
        <v>-0.67300000000000004</v>
      </c>
      <c r="AU183" s="4">
        <v>6.3E-2</v>
      </c>
      <c r="AV183" s="4">
        <v>-0.126</v>
      </c>
      <c r="AW183" s="4">
        <v>-0.76200000000000001</v>
      </c>
      <c r="AX183" s="4">
        <v>-1E-3</v>
      </c>
      <c r="AY183" s="4">
        <v>-0.24099999999999999</v>
      </c>
      <c r="AZ183" s="4">
        <v>0.69</v>
      </c>
      <c r="BA183" s="4">
        <v>0.29899999999999999</v>
      </c>
      <c r="BB183" s="4">
        <v>-0.71799999999999997</v>
      </c>
      <c r="BC183" s="4">
        <v>-0.44400000000000001</v>
      </c>
      <c r="BD183" s="4">
        <v>-0.41099999999999998</v>
      </c>
      <c r="BE183" s="4">
        <v>-0.39300000000000002</v>
      </c>
      <c r="BF183" s="4">
        <v>-0.14899999999999999</v>
      </c>
      <c r="BG183" s="4">
        <v>-0.45400000000000001</v>
      </c>
      <c r="BH183" s="4">
        <v>0.13100000000000001</v>
      </c>
      <c r="BI183" s="4">
        <v>0.12</v>
      </c>
      <c r="BJ183" s="4">
        <v>0.60899999999999999</v>
      </c>
      <c r="BK183" s="4">
        <v>0.45700000000000002</v>
      </c>
      <c r="BL183" s="4">
        <v>0.28000000000000003</v>
      </c>
      <c r="BM183" s="4">
        <v>0.41399999999999998</v>
      </c>
      <c r="BN183" s="4"/>
    </row>
    <row r="184" spans="1:66" x14ac:dyDescent="0.3">
      <c r="A184" t="s">
        <v>240</v>
      </c>
      <c r="B184" s="53">
        <f t="shared" si="18"/>
        <v>0</v>
      </c>
      <c r="C184" s="53">
        <f t="shared" si="19"/>
        <v>-5.6835899999999996E-3</v>
      </c>
      <c r="D184" s="53">
        <f t="shared" si="20"/>
        <v>0</v>
      </c>
      <c r="E184" s="53">
        <f t="shared" si="21"/>
        <v>5.6835899999999996E-3</v>
      </c>
      <c r="F184" s="15">
        <v>0.53</v>
      </c>
      <c r="G184">
        <v>0.52200000000000002</v>
      </c>
      <c r="H184" t="s">
        <v>71</v>
      </c>
      <c r="I184" t="str">
        <f>VLOOKUP(A184,Planilha6!$BL$9:$BN$222,2,0)</f>
        <v>crude_oil</v>
      </c>
      <c r="J184" t="str">
        <f>VLOOKUP(A184,Planilha6!$BL$9:$BN$222,3,0)</f>
        <v>very_low_beta</v>
      </c>
      <c r="K184" s="17">
        <v>0</v>
      </c>
      <c r="L184" s="2">
        <v>-6.0000000000000001E-3</v>
      </c>
      <c r="M184" s="5">
        <v>2.42145E-2</v>
      </c>
      <c r="N184" s="41">
        <f>VLOOKUP(A184,'Mandato LP'!$A$2:$B$215,2,0)</f>
        <v>0</v>
      </c>
      <c r="O184" s="59">
        <f t="shared" si="22"/>
        <v>0</v>
      </c>
      <c r="P184" s="42">
        <f t="shared" si="23"/>
        <v>0</v>
      </c>
      <c r="Q184" s="41">
        <f>VLOOKUP(A184,'Mandato LP'!$A$2:$C$215,3,0)</f>
        <v>0</v>
      </c>
      <c r="R184" s="42">
        <f t="shared" si="24"/>
        <v>0</v>
      </c>
      <c r="S184" s="15">
        <v>-0.97599999999999998</v>
      </c>
      <c r="T184" s="15">
        <v>-0.68799999999999994</v>
      </c>
      <c r="U184" s="15">
        <v>-1</v>
      </c>
      <c r="V184" s="15">
        <v>-0.89</v>
      </c>
      <c r="W184" s="15">
        <v>-0.85499999999999998</v>
      </c>
      <c r="X184" s="15">
        <v>-0.85299999999999998</v>
      </c>
      <c r="Y184" s="15">
        <v>-0.80300000000000005</v>
      </c>
      <c r="Z184" s="15">
        <v>-0.76900000000000002</v>
      </c>
      <c r="AA184" s="15">
        <v>8.8999999999999996E-2</v>
      </c>
      <c r="AB184" s="15">
        <v>9.9000000000000005E-2</v>
      </c>
      <c r="AC184" s="15">
        <v>0.27600000000000002</v>
      </c>
      <c r="AD184" s="15">
        <v>0.48599999999999999</v>
      </c>
      <c r="AE184" s="15">
        <v>0.45800000000000002</v>
      </c>
      <c r="AF184" s="14">
        <v>-0.98499999999999999</v>
      </c>
      <c r="AG184" s="110">
        <v>-1</v>
      </c>
      <c r="AH184" s="110">
        <v>0.67500000000000004</v>
      </c>
      <c r="AI184" s="110">
        <v>-0.998</v>
      </c>
      <c r="AJ184" s="110">
        <v>-0.33200000000000002</v>
      </c>
      <c r="AK184" s="16">
        <v>-1</v>
      </c>
      <c r="AL184" s="111">
        <v>-0.625</v>
      </c>
      <c r="AM184" s="111">
        <v>-1</v>
      </c>
      <c r="AN184" s="4">
        <v>-0.73199999999999998</v>
      </c>
      <c r="AO184" s="4">
        <v>-0.36599999999999999</v>
      </c>
      <c r="AP184" s="4">
        <v>0.97</v>
      </c>
      <c r="AQ184" s="4">
        <v>0.95299999999999996</v>
      </c>
      <c r="AR184" s="4">
        <v>-0.75</v>
      </c>
      <c r="AS184" s="4">
        <v>-0.33200000000000002</v>
      </c>
      <c r="AT184" s="4">
        <v>-0.48399999999999999</v>
      </c>
      <c r="AU184" s="4">
        <v>-0.19600000000000001</v>
      </c>
      <c r="AV184" s="4">
        <v>9.4E-2</v>
      </c>
      <c r="AW184" s="4">
        <v>-0.66500000000000004</v>
      </c>
      <c r="AX184" s="4">
        <v>0.4</v>
      </c>
      <c r="AY184" s="4">
        <v>-0.502</v>
      </c>
      <c r="AZ184" s="4">
        <v>0.17899999999999999</v>
      </c>
      <c r="BA184" s="4">
        <v>-0.14000000000000001</v>
      </c>
      <c r="BB184" s="4">
        <v>0.45600000000000002</v>
      </c>
      <c r="BC184" s="4">
        <v>-0.63100000000000001</v>
      </c>
      <c r="BD184" s="4">
        <v>-0.82</v>
      </c>
      <c r="BE184" s="4">
        <v>1E-3</v>
      </c>
      <c r="BF184" s="4">
        <v>-2.1000000000000001E-2</v>
      </c>
      <c r="BG184" s="4">
        <v>0.71699999999999997</v>
      </c>
      <c r="BH184" s="4">
        <v>0.20200000000000001</v>
      </c>
      <c r="BI184" s="4">
        <v>-0.71499999999999997</v>
      </c>
      <c r="BJ184" s="4">
        <v>-0.997</v>
      </c>
      <c r="BK184" s="4">
        <v>-1</v>
      </c>
      <c r="BL184" s="4">
        <v>-0.34899999999999998</v>
      </c>
      <c r="BM184" s="4">
        <v>-0.04</v>
      </c>
      <c r="BN184" s="4"/>
    </row>
    <row r="185" spans="1:66" x14ac:dyDescent="0.3">
      <c r="A185" t="s">
        <v>195</v>
      </c>
      <c r="B185" s="53">
        <f t="shared" si="18"/>
        <v>0</v>
      </c>
      <c r="C185" s="53">
        <f t="shared" si="19"/>
        <v>0</v>
      </c>
      <c r="D185" s="53">
        <f t="shared" si="20"/>
        <v>0</v>
      </c>
      <c r="E185" s="53">
        <f t="shared" si="21"/>
        <v>0</v>
      </c>
      <c r="F185" s="15">
        <v>0.53</v>
      </c>
      <c r="G185">
        <v>0.48</v>
      </c>
      <c r="H185" t="s">
        <v>57</v>
      </c>
      <c r="I185" t="str">
        <f>VLOOKUP(A185,Planilha6!$BL$9:$BN$222,2,0)</f>
        <v>banks</v>
      </c>
      <c r="J185" t="str">
        <f>VLOOKUP(A185,Planilha6!$BL$9:$BN$222,3,0)</f>
        <v>very_low_beta</v>
      </c>
      <c r="K185" s="17">
        <v>0</v>
      </c>
      <c r="L185" s="2">
        <v>0</v>
      </c>
      <c r="M185" s="5">
        <v>0</v>
      </c>
      <c r="N185" s="41">
        <f>VLOOKUP(A185,'Mandato LP'!$A$2:$B$215,2,0)</f>
        <v>0</v>
      </c>
      <c r="O185" s="59">
        <f t="shared" si="22"/>
        <v>0</v>
      </c>
      <c r="P185" s="42">
        <f t="shared" si="23"/>
        <v>0</v>
      </c>
      <c r="Q185" s="41">
        <f>VLOOKUP(A185,'Mandato LP'!$A$2:$C$215,3,0)</f>
        <v>0</v>
      </c>
      <c r="R185" s="42">
        <f t="shared" si="24"/>
        <v>0</v>
      </c>
      <c r="S185" s="15">
        <v>-0.9</v>
      </c>
      <c r="T185" s="15">
        <v>-0.77900000000000003</v>
      </c>
      <c r="U185" s="15">
        <v>-0.93600000000000005</v>
      </c>
      <c r="V185" s="15">
        <v>-0.874</v>
      </c>
      <c r="W185" s="15">
        <v>-0.84799999999999998</v>
      </c>
      <c r="X185" s="15">
        <v>-0.78400000000000003</v>
      </c>
      <c r="Y185" s="15">
        <v>-0.61899999999999999</v>
      </c>
      <c r="Z185" s="15">
        <v>-0.79500000000000004</v>
      </c>
      <c r="AA185" s="15">
        <v>0.33500000000000002</v>
      </c>
      <c r="AB185" s="15">
        <v>0.33700000000000002</v>
      </c>
      <c r="AC185" s="15">
        <v>0.34300000000000003</v>
      </c>
      <c r="AD185" s="15">
        <v>0.255</v>
      </c>
      <c r="AE185" s="15">
        <v>0.20599999999999999</v>
      </c>
      <c r="AF185" s="14">
        <v>-0.97099999999999997</v>
      </c>
      <c r="AG185" s="110">
        <v>-0.78800000000000003</v>
      </c>
      <c r="AH185" s="110">
        <v>-1</v>
      </c>
      <c r="AI185" s="110">
        <v>-1</v>
      </c>
      <c r="AJ185" s="110">
        <v>-1</v>
      </c>
      <c r="AK185" s="16">
        <v>-0.54</v>
      </c>
      <c r="AL185" s="111">
        <v>-0.26700000000000002</v>
      </c>
      <c r="AM185" s="111">
        <v>-0.72099999999999997</v>
      </c>
      <c r="AN185" s="4">
        <v>-0.88400000000000001</v>
      </c>
      <c r="AO185" s="4">
        <v>0.245</v>
      </c>
      <c r="AP185" s="4">
        <v>-0.33500000000000002</v>
      </c>
      <c r="AQ185" s="4">
        <v>-0.79100000000000004</v>
      </c>
      <c r="AR185" s="4">
        <v>0.49099999999999999</v>
      </c>
      <c r="AS185" s="4">
        <v>0.1</v>
      </c>
      <c r="AT185" s="4">
        <v>0.28000000000000003</v>
      </c>
      <c r="AU185" s="4">
        <v>0.372</v>
      </c>
      <c r="AV185" s="4">
        <v>-8.9999999999999993E-3</v>
      </c>
      <c r="AW185" s="4">
        <v>-0.182</v>
      </c>
      <c r="AX185" s="4">
        <v>4.7E-2</v>
      </c>
      <c r="AY185" s="4">
        <v>0.22700000000000001</v>
      </c>
      <c r="AZ185" s="4">
        <v>0.36099999999999999</v>
      </c>
      <c r="BA185" s="4">
        <v>5.6000000000000001E-2</v>
      </c>
      <c r="BB185" s="4">
        <v>4.2999999999999997E-2</v>
      </c>
      <c r="BC185" s="4">
        <v>-0.69099999999999995</v>
      </c>
      <c r="BD185" s="4">
        <v>-0.25800000000000001</v>
      </c>
      <c r="BE185" s="4">
        <v>-9.2999999999999999E-2</v>
      </c>
      <c r="BF185" s="4">
        <v>0.20100000000000001</v>
      </c>
      <c r="BG185" s="4">
        <v>-0.41099999999999998</v>
      </c>
      <c r="BH185" s="4">
        <v>0.72499999999999998</v>
      </c>
      <c r="BI185" s="4">
        <v>-0.44600000000000001</v>
      </c>
      <c r="BJ185" s="4">
        <v>-0.55100000000000005</v>
      </c>
      <c r="BK185" s="4">
        <v>0.20599999999999999</v>
      </c>
      <c r="BL185" s="4">
        <v>-0.41099999999999998</v>
      </c>
      <c r="BM185" s="4">
        <v>-0.16200000000000001</v>
      </c>
      <c r="BN185" s="4"/>
    </row>
    <row r="186" spans="1:66" x14ac:dyDescent="0.3">
      <c r="A186" t="s">
        <v>215</v>
      </c>
      <c r="B186" s="53">
        <f t="shared" si="18"/>
        <v>0</v>
      </c>
      <c r="C186" s="53">
        <f t="shared" si="19"/>
        <v>0</v>
      </c>
      <c r="D186" s="53">
        <f t="shared" si="20"/>
        <v>0</v>
      </c>
      <c r="E186" s="53">
        <f t="shared" si="21"/>
        <v>0</v>
      </c>
      <c r="F186" s="15">
        <v>0.52900000000000003</v>
      </c>
      <c r="G186">
        <v>0.378</v>
      </c>
      <c r="H186" t="s">
        <v>55</v>
      </c>
      <c r="I186" t="str">
        <f>VLOOKUP(A186,Planilha6!$BL$9:$BN$222,2,0)</f>
        <v>telecom</v>
      </c>
      <c r="J186" t="str">
        <f>VLOOKUP(A186,Planilha6!$BL$9:$BN$222,3,0)</f>
        <v>very_low_beta</v>
      </c>
      <c r="K186" s="17">
        <v>0</v>
      </c>
      <c r="L186" s="2">
        <v>0</v>
      </c>
      <c r="M186" s="5">
        <v>6.7038273420000002E-2</v>
      </c>
      <c r="N186" s="41">
        <f>VLOOKUP(A186,'Mandato LP'!$A$2:$B$215,2,0)</f>
        <v>0</v>
      </c>
      <c r="O186" s="59">
        <f t="shared" si="22"/>
        <v>0</v>
      </c>
      <c r="P186" s="42">
        <f t="shared" si="23"/>
        <v>0</v>
      </c>
      <c r="Q186" s="41">
        <f>VLOOKUP(A186,'Mandato LP'!$A$2:$C$215,3,0)</f>
        <v>0</v>
      </c>
      <c r="R186" s="42">
        <f t="shared" si="24"/>
        <v>0</v>
      </c>
      <c r="S186" s="15">
        <v>-0.85</v>
      </c>
      <c r="T186" s="15">
        <v>-0.82</v>
      </c>
      <c r="U186" s="15">
        <v>-0.874</v>
      </c>
      <c r="V186" s="15">
        <v>-0.82899999999999996</v>
      </c>
      <c r="W186" s="15">
        <v>-0.84299999999999997</v>
      </c>
      <c r="X186" s="15">
        <v>-0.88300000000000001</v>
      </c>
      <c r="Y186" s="15">
        <v>-0.86099999999999999</v>
      </c>
      <c r="Z186" s="15">
        <v>-0.88300000000000001</v>
      </c>
      <c r="AA186" s="15">
        <v>0.223</v>
      </c>
      <c r="AB186" s="15">
        <v>0.217</v>
      </c>
      <c r="AC186" s="15">
        <v>0.51</v>
      </c>
      <c r="AD186" s="15">
        <v>0.42599999999999999</v>
      </c>
      <c r="AE186" s="15">
        <v>0.32200000000000001</v>
      </c>
      <c r="AF186" s="14">
        <v>-0.80800000000000005</v>
      </c>
      <c r="AG186" s="110">
        <v>-0.433</v>
      </c>
      <c r="AH186" s="110">
        <v>-0.503</v>
      </c>
      <c r="AI186" s="110">
        <v>-0.41399999999999998</v>
      </c>
      <c r="AJ186" s="110">
        <v>0.17</v>
      </c>
      <c r="AK186" s="16">
        <v>-0.40899999999999997</v>
      </c>
      <c r="AL186" s="111">
        <v>-0.20599999999999999</v>
      </c>
      <c r="AM186" s="111">
        <v>-0.93</v>
      </c>
      <c r="AN186" s="4">
        <v>-0.20499999999999999</v>
      </c>
      <c r="AO186" s="4">
        <v>9.6000000000000002E-2</v>
      </c>
      <c r="AP186" s="4">
        <v>0.32800000000000001</v>
      </c>
      <c r="AQ186" s="4">
        <v>-0.39200000000000002</v>
      </c>
      <c r="AR186" s="4">
        <v>0.17699999999999999</v>
      </c>
      <c r="AS186" s="4">
        <v>3.3000000000000002E-2</v>
      </c>
      <c r="AT186" s="4">
        <v>-6.3E-2</v>
      </c>
      <c r="AU186" s="4">
        <v>-6.0000000000000001E-3</v>
      </c>
      <c r="AV186" s="4">
        <v>0.23100000000000001</v>
      </c>
      <c r="AW186" s="4">
        <v>-0.24299999999999999</v>
      </c>
      <c r="AX186" s="4">
        <v>-0.42199999999999999</v>
      </c>
      <c r="AY186" s="4">
        <v>-0.218</v>
      </c>
      <c r="AZ186" s="4">
        <v>0.80500000000000005</v>
      </c>
      <c r="BA186" s="4">
        <v>-0.17499999999999999</v>
      </c>
      <c r="BB186" s="4">
        <v>0.68799999999999994</v>
      </c>
      <c r="BC186" s="4">
        <v>-0.24099999999999999</v>
      </c>
      <c r="BD186" s="4">
        <v>-0.55500000000000005</v>
      </c>
      <c r="BE186" s="4">
        <v>0.36</v>
      </c>
      <c r="BF186" s="4">
        <v>-1</v>
      </c>
      <c r="BG186" s="4">
        <v>-1</v>
      </c>
      <c r="BH186" s="4">
        <v>-0.70299999999999996</v>
      </c>
      <c r="BI186" s="4">
        <v>-0.38700000000000001</v>
      </c>
      <c r="BJ186" s="4">
        <v>-0.59</v>
      </c>
      <c r="BK186" s="4">
        <v>-0.18</v>
      </c>
      <c r="BL186" s="4">
        <v>0.55600000000000005</v>
      </c>
      <c r="BM186" s="4">
        <v>-8.3000000000000004E-2</v>
      </c>
      <c r="BN186" s="4"/>
    </row>
    <row r="187" spans="1:66" x14ac:dyDescent="0.3">
      <c r="A187" t="s">
        <v>236</v>
      </c>
      <c r="B187" s="53">
        <f t="shared" si="18"/>
        <v>0</v>
      </c>
      <c r="C187" s="53">
        <f t="shared" si="19"/>
        <v>0</v>
      </c>
      <c r="D187" s="53">
        <f t="shared" si="20"/>
        <v>0</v>
      </c>
      <c r="E187" s="53">
        <f t="shared" si="21"/>
        <v>0</v>
      </c>
      <c r="F187" s="15">
        <v>0.52700000000000002</v>
      </c>
      <c r="G187">
        <v>0.51800000000000002</v>
      </c>
      <c r="H187" t="s">
        <v>68</v>
      </c>
      <c r="I187" t="str">
        <f>VLOOKUP(A187,Planilha6!$BL$9:$BN$222,2,0)</f>
        <v>building_materials</v>
      </c>
      <c r="J187" t="str">
        <f>VLOOKUP(A187,Planilha6!$BL$9:$BN$222,3,0)</f>
        <v>very_high_beta</v>
      </c>
      <c r="K187" s="17">
        <v>0</v>
      </c>
      <c r="L187" s="2">
        <v>0</v>
      </c>
      <c r="M187" s="5">
        <v>0.113469799866667</v>
      </c>
      <c r="N187" s="41">
        <f>VLOOKUP(A187,'Mandato LP'!$A$2:$B$215,2,0)</f>
        <v>0</v>
      </c>
      <c r="O187" s="59">
        <f t="shared" si="22"/>
        <v>0</v>
      </c>
      <c r="P187" s="42">
        <f t="shared" si="23"/>
        <v>0</v>
      </c>
      <c r="Q187" s="41">
        <f>VLOOKUP(A187,'Mandato LP'!$A$2:$C$215,3,0)</f>
        <v>0</v>
      </c>
      <c r="R187" s="42">
        <f t="shared" si="24"/>
        <v>0</v>
      </c>
      <c r="S187" s="15">
        <v>-0.92100000000000004</v>
      </c>
      <c r="T187" s="15">
        <v>-0.82899999999999996</v>
      </c>
      <c r="U187" s="15">
        <v>-0.90700000000000003</v>
      </c>
      <c r="V187" s="15">
        <v>-0.90200000000000002</v>
      </c>
      <c r="W187" s="15">
        <v>-0.872</v>
      </c>
      <c r="X187" s="15">
        <v>-0.88900000000000001</v>
      </c>
      <c r="Y187" s="15">
        <v>-0.83299999999999996</v>
      </c>
      <c r="Z187" s="15">
        <v>-0.84799999999999998</v>
      </c>
      <c r="AA187" s="15">
        <v>0.223</v>
      </c>
      <c r="AB187" s="15">
        <v>0.222</v>
      </c>
      <c r="AC187" s="15">
        <v>0.378</v>
      </c>
      <c r="AD187" s="15">
        <v>0.50800000000000001</v>
      </c>
      <c r="AE187" s="15">
        <v>0.33300000000000002</v>
      </c>
      <c r="AF187" s="14">
        <v>-0.52600000000000002</v>
      </c>
      <c r="AG187" s="110">
        <v>-0.99399999999999999</v>
      </c>
      <c r="AH187" s="110">
        <v>-0.36799999999999999</v>
      </c>
      <c r="AI187" s="110">
        <v>-0.58699999999999997</v>
      </c>
      <c r="AJ187" s="110">
        <v>-0.51800000000000002</v>
      </c>
      <c r="AK187" s="16">
        <v>-0.84799999999999998</v>
      </c>
      <c r="AL187" s="111">
        <v>-0.153</v>
      </c>
      <c r="AM187" s="111">
        <v>-0.75700000000000001</v>
      </c>
      <c r="AN187" s="4">
        <v>4.4999999999999998E-2</v>
      </c>
      <c r="AO187" s="4">
        <v>-0.61899999999999999</v>
      </c>
      <c r="AP187" s="4">
        <v>-2.7E-2</v>
      </c>
      <c r="AQ187" s="4">
        <v>-0.186</v>
      </c>
      <c r="AR187" s="4">
        <v>-0.75700000000000001</v>
      </c>
      <c r="AS187" s="4">
        <v>-0.72299999999999998</v>
      </c>
      <c r="AT187" s="4">
        <v>-0.442</v>
      </c>
      <c r="AU187" s="4">
        <v>-3.0000000000000001E-3</v>
      </c>
      <c r="AV187" s="4">
        <v>-0.32900000000000001</v>
      </c>
      <c r="AW187" s="4">
        <v>-0.21</v>
      </c>
      <c r="AX187" s="4">
        <v>3.5999999999999997E-2</v>
      </c>
      <c r="AY187" s="4">
        <v>-0.33300000000000002</v>
      </c>
      <c r="AZ187" s="4">
        <v>0.9</v>
      </c>
      <c r="BA187" s="4">
        <v>-0.27700000000000002</v>
      </c>
      <c r="BB187" s="4">
        <v>-0.17</v>
      </c>
      <c r="BC187" s="4">
        <v>1.7000000000000001E-2</v>
      </c>
      <c r="BD187" s="4">
        <v>-0.51200000000000001</v>
      </c>
      <c r="BE187" s="4">
        <v>9.9000000000000005E-2</v>
      </c>
      <c r="BF187" s="4">
        <v>-0.82899999999999996</v>
      </c>
      <c r="BG187" s="4">
        <v>-0.09</v>
      </c>
      <c r="BH187" s="4">
        <v>0.28100000000000003</v>
      </c>
      <c r="BI187" s="4">
        <v>0.107</v>
      </c>
      <c r="BJ187" s="4">
        <v>0.66700000000000004</v>
      </c>
      <c r="BK187" s="4">
        <v>0.41299999999999998</v>
      </c>
      <c r="BL187" s="4">
        <v>-0.22600000000000001</v>
      </c>
      <c r="BM187" s="4">
        <v>-0.73799999999999999</v>
      </c>
      <c r="BN187" s="4"/>
    </row>
    <row r="188" spans="1:66" x14ac:dyDescent="0.3">
      <c r="A188" t="s">
        <v>245</v>
      </c>
      <c r="B188" s="53">
        <f t="shared" si="18"/>
        <v>0</v>
      </c>
      <c r="C188" s="53">
        <f t="shared" si="19"/>
        <v>0</v>
      </c>
      <c r="D188" s="53">
        <f t="shared" si="20"/>
        <v>0</v>
      </c>
      <c r="E188" s="53">
        <f t="shared" si="21"/>
        <v>0</v>
      </c>
      <c r="F188" s="15">
        <v>0.52600000000000002</v>
      </c>
      <c r="G188">
        <v>0.39400000000000002</v>
      </c>
      <c r="H188" t="s">
        <v>57</v>
      </c>
      <c r="I188" t="str">
        <f>VLOOKUP(A188,Planilha6!$BL$9:$BN$222,2,0)</f>
        <v>consumer_services</v>
      </c>
      <c r="J188" t="str">
        <f>VLOOKUP(A188,Planilha6!$BL$9:$BN$222,3,0)</f>
        <v>very_high_beta</v>
      </c>
      <c r="K188" s="17">
        <v>0</v>
      </c>
      <c r="L188" s="2">
        <v>0</v>
      </c>
      <c r="M188" s="5">
        <v>5.3369202333333303E-2</v>
      </c>
      <c r="N188" s="41">
        <f>VLOOKUP(A188,'Mandato LP'!$A$2:$B$215,2,0)</f>
        <v>0</v>
      </c>
      <c r="O188" s="59">
        <f t="shared" si="22"/>
        <v>0</v>
      </c>
      <c r="P188" s="42">
        <f t="shared" si="23"/>
        <v>0</v>
      </c>
      <c r="Q188" s="41">
        <f>VLOOKUP(A188,'Mandato LP'!$A$2:$C$215,3,0)</f>
        <v>0</v>
      </c>
      <c r="R188" s="42">
        <f t="shared" si="24"/>
        <v>0</v>
      </c>
      <c r="S188" s="15">
        <v>-0.82799999999999996</v>
      </c>
      <c r="T188" s="15">
        <v>-0.81200000000000006</v>
      </c>
      <c r="U188" s="15">
        <v>-0.83499999999999996</v>
      </c>
      <c r="V188" s="15">
        <v>-0.86599999999999999</v>
      </c>
      <c r="W188" s="15">
        <v>-0.85699999999999998</v>
      </c>
      <c r="X188" s="15">
        <v>-0.84699999999999998</v>
      </c>
      <c r="Y188" s="15">
        <v>-0.83799999999999997</v>
      </c>
      <c r="Z188" s="15">
        <v>-0.89100000000000001</v>
      </c>
      <c r="AA188" s="15">
        <v>0.28299999999999997</v>
      </c>
      <c r="AB188" s="15">
        <v>0.27800000000000002</v>
      </c>
      <c r="AC188" s="15">
        <v>0.28899999999999998</v>
      </c>
      <c r="AD188" s="15">
        <v>0.08</v>
      </c>
      <c r="AE188" s="15">
        <v>0.3</v>
      </c>
      <c r="AF188" s="14">
        <v>-0.752</v>
      </c>
      <c r="AG188" s="110">
        <v>-0.45200000000000001</v>
      </c>
      <c r="AH188" s="110">
        <v>-0.57999999999999996</v>
      </c>
      <c r="AI188" s="110">
        <v>-0.75700000000000001</v>
      </c>
      <c r="AJ188" s="110">
        <v>-0.44900000000000001</v>
      </c>
      <c r="AK188" s="16">
        <v>-0.85199999999999998</v>
      </c>
      <c r="AL188" s="111">
        <v>-0.121</v>
      </c>
      <c r="AM188" s="111">
        <v>-0.82399999999999995</v>
      </c>
      <c r="AN188" s="4">
        <v>0.154</v>
      </c>
      <c r="AO188" s="4">
        <v>5.7000000000000002E-2</v>
      </c>
      <c r="AP188" s="4">
        <v>-9.0999999999999998E-2</v>
      </c>
      <c r="AQ188" s="4">
        <v>-1.6E-2</v>
      </c>
      <c r="AR188" s="4">
        <v>-0.112</v>
      </c>
      <c r="AS188" s="4">
        <v>0.79300000000000004</v>
      </c>
      <c r="AT188" s="4">
        <v>0.23899999999999999</v>
      </c>
      <c r="AU188" s="4">
        <v>-4.0000000000000001E-3</v>
      </c>
      <c r="AV188" s="4">
        <v>-0.43</v>
      </c>
      <c r="AW188" s="4">
        <v>-0.3</v>
      </c>
      <c r="AX188" s="4">
        <v>-0.77300000000000002</v>
      </c>
      <c r="AY188" s="4">
        <v>-0.50700000000000001</v>
      </c>
      <c r="AZ188" s="4">
        <v>0.624</v>
      </c>
      <c r="BA188" s="4">
        <v>0.20200000000000001</v>
      </c>
      <c r="BB188" s="4">
        <v>-0.106</v>
      </c>
      <c r="BC188" s="4">
        <v>-0.25900000000000001</v>
      </c>
      <c r="BD188" s="4">
        <v>-0.61399999999999999</v>
      </c>
      <c r="BE188" s="4">
        <v>0.11899999999999999</v>
      </c>
      <c r="BF188" s="4">
        <v>0.218</v>
      </c>
      <c r="BG188" s="4">
        <v>-0.85199999999999998</v>
      </c>
      <c r="BH188" s="4">
        <v>0.22700000000000001</v>
      </c>
      <c r="BI188" s="4">
        <v>6.7000000000000004E-2</v>
      </c>
      <c r="BJ188" s="4">
        <v>0.627</v>
      </c>
      <c r="BK188" s="4">
        <v>-0.04</v>
      </c>
      <c r="BL188" s="4">
        <v>2.8000000000000001E-2</v>
      </c>
      <c r="BM188" s="4">
        <v>0.182</v>
      </c>
      <c r="BN188" s="4"/>
    </row>
    <row r="189" spans="1:66" x14ac:dyDescent="0.3">
      <c r="A189" t="s">
        <v>231</v>
      </c>
      <c r="B189" s="53">
        <f t="shared" si="18"/>
        <v>0</v>
      </c>
      <c r="C189" s="53">
        <f t="shared" si="19"/>
        <v>0</v>
      </c>
      <c r="D189" s="53">
        <f t="shared" si="20"/>
        <v>0</v>
      </c>
      <c r="E189" s="53">
        <f t="shared" si="21"/>
        <v>0</v>
      </c>
      <c r="F189" s="15">
        <v>0.52600000000000002</v>
      </c>
      <c r="G189">
        <v>0.51700000000000002</v>
      </c>
      <c r="H189" t="s">
        <v>71</v>
      </c>
      <c r="I189" t="str">
        <f>VLOOKUP(A189,Planilha6!$BL$9:$BN$222,2,0)</f>
        <v>food</v>
      </c>
      <c r="J189" t="str">
        <f>VLOOKUP(A189,Planilha6!$BL$9:$BN$222,3,0)</f>
        <v>low_beta</v>
      </c>
      <c r="K189" s="17">
        <v>0</v>
      </c>
      <c r="L189" s="2">
        <v>0</v>
      </c>
      <c r="M189" s="5">
        <v>0.16350241333333301</v>
      </c>
      <c r="N189" s="41">
        <f>VLOOKUP(A189,'Mandato LP'!$A$2:$B$215,2,0)</f>
        <v>0</v>
      </c>
      <c r="O189" s="59">
        <f t="shared" si="22"/>
        <v>0</v>
      </c>
      <c r="P189" s="42">
        <f t="shared" si="23"/>
        <v>0</v>
      </c>
      <c r="Q189" s="41">
        <f>VLOOKUP(A189,'Mandato LP'!$A$2:$C$215,3,0)</f>
        <v>0</v>
      </c>
      <c r="R189" s="42">
        <f t="shared" si="24"/>
        <v>0</v>
      </c>
      <c r="S189" s="15">
        <v>-0.95399999999999996</v>
      </c>
      <c r="T189" s="15">
        <v>-0.84399999999999997</v>
      </c>
      <c r="U189" s="15">
        <v>-0.98</v>
      </c>
      <c r="V189" s="15">
        <v>-0.91200000000000003</v>
      </c>
      <c r="W189" s="15">
        <v>-0.89400000000000002</v>
      </c>
      <c r="X189" s="15">
        <v>-0.79800000000000004</v>
      </c>
      <c r="Y189" s="15">
        <v>-0.71199999999999997</v>
      </c>
      <c r="Z189" s="15">
        <v>-0.83699999999999997</v>
      </c>
      <c r="AA189" s="15">
        <v>0.23699999999999999</v>
      </c>
      <c r="AB189" s="15">
        <v>0.23899999999999999</v>
      </c>
      <c r="AC189" s="15">
        <v>0.46800000000000003</v>
      </c>
      <c r="AD189" s="15">
        <v>0.501</v>
      </c>
      <c r="AE189" s="15">
        <v>0.24399999999999999</v>
      </c>
      <c r="AF189" s="14">
        <v>-0.85799999999999998</v>
      </c>
      <c r="AG189" s="110">
        <v>-0.72899999999999998</v>
      </c>
      <c r="AH189" s="110">
        <v>-0.69599999999999995</v>
      </c>
      <c r="AI189" s="110">
        <v>-0.78600000000000003</v>
      </c>
      <c r="AJ189" s="110">
        <v>-0.69899999999999995</v>
      </c>
      <c r="AK189" s="16">
        <v>-0.72</v>
      </c>
      <c r="AL189" s="111">
        <v>-0.52500000000000002</v>
      </c>
      <c r="AM189" s="111">
        <v>-0.83699999999999997</v>
      </c>
      <c r="AN189" s="4">
        <v>-0.63300000000000001</v>
      </c>
      <c r="AO189" s="4">
        <v>-5.7000000000000002E-2</v>
      </c>
      <c r="AP189" s="4">
        <v>4.9000000000000002E-2</v>
      </c>
      <c r="AQ189" s="4">
        <v>-5.0999999999999997E-2</v>
      </c>
      <c r="AR189" s="4">
        <v>0.21299999999999999</v>
      </c>
      <c r="AS189" s="4">
        <v>-0.318</v>
      </c>
      <c r="AT189" s="4">
        <v>-0.77200000000000002</v>
      </c>
      <c r="AU189" s="4">
        <v>0.29499999999999998</v>
      </c>
      <c r="AV189" s="4">
        <v>-0.38</v>
      </c>
      <c r="AW189" s="4">
        <v>-0.38700000000000001</v>
      </c>
      <c r="AX189" s="4">
        <v>0.44500000000000001</v>
      </c>
      <c r="AY189" s="4">
        <v>6.6000000000000003E-2</v>
      </c>
      <c r="AZ189" s="4">
        <v>0.81</v>
      </c>
      <c r="BA189" s="4">
        <v>-0.68799999999999994</v>
      </c>
      <c r="BB189" s="4">
        <v>0.49299999999999999</v>
      </c>
      <c r="BC189" s="4">
        <v>-0.96699999999999997</v>
      </c>
      <c r="BD189" s="4">
        <v>-0.76700000000000002</v>
      </c>
      <c r="BE189" s="4">
        <v>-0.86299999999999999</v>
      </c>
      <c r="BF189" s="4">
        <v>-2.8000000000000001E-2</v>
      </c>
      <c r="BG189" s="4">
        <v>-0.39800000000000002</v>
      </c>
      <c r="BH189" s="4">
        <v>0.79200000000000004</v>
      </c>
      <c r="BI189" s="4">
        <v>-0.36899999999999999</v>
      </c>
      <c r="BJ189" s="4">
        <v>-0.47299999999999998</v>
      </c>
      <c r="BK189" s="4">
        <v>0.33500000000000002</v>
      </c>
      <c r="BL189" s="4">
        <v>-3.5999999999999997E-2</v>
      </c>
      <c r="BM189" s="4">
        <v>0.19500000000000001</v>
      </c>
      <c r="BN189" s="4"/>
    </row>
    <row r="190" spans="1:66" x14ac:dyDescent="0.3">
      <c r="A190" t="s">
        <v>248</v>
      </c>
      <c r="B190" s="53">
        <f t="shared" si="18"/>
        <v>0</v>
      </c>
      <c r="C190" s="53">
        <f t="shared" si="19"/>
        <v>-3.3956999999999998E-4</v>
      </c>
      <c r="D190" s="53">
        <f t="shared" si="20"/>
        <v>0</v>
      </c>
      <c r="E190" s="53">
        <f t="shared" si="21"/>
        <v>3.3956999999999998E-4</v>
      </c>
      <c r="F190" s="15">
        <v>0.52500000000000002</v>
      </c>
      <c r="G190">
        <v>0.40500000000000003</v>
      </c>
      <c r="H190" t="s">
        <v>57</v>
      </c>
      <c r="I190" t="str">
        <f>VLOOKUP(A190,Planilha6!$BL$9:$BN$222,2,0)</f>
        <v>homebuilders</v>
      </c>
      <c r="J190" t="str">
        <f>VLOOKUP(A190,Planilha6!$BL$9:$BN$222,3,0)</f>
        <v>very_high_beta</v>
      </c>
      <c r="K190" s="17">
        <v>0</v>
      </c>
      <c r="L190" s="2">
        <v>0</v>
      </c>
      <c r="M190" s="5">
        <v>0</v>
      </c>
      <c r="N190" s="41">
        <f>VLOOKUP(A190,'Mandato LP'!$A$2:$B$215,2,0)</f>
        <v>0</v>
      </c>
      <c r="O190" s="59">
        <f t="shared" si="22"/>
        <v>0</v>
      </c>
      <c r="P190" s="42">
        <f t="shared" si="23"/>
        <v>0</v>
      </c>
      <c r="Q190" s="41">
        <f>VLOOKUP(A190,'Mandato LP'!$A$2:$C$215,3,0)</f>
        <v>0</v>
      </c>
      <c r="R190" s="42">
        <f t="shared" si="24"/>
        <v>0</v>
      </c>
      <c r="S190" s="15">
        <v>-0.71699999999999997</v>
      </c>
      <c r="T190" s="15">
        <v>-0.72</v>
      </c>
      <c r="U190" s="15">
        <v>-0.752</v>
      </c>
      <c r="V190" s="15">
        <v>-0.77100000000000002</v>
      </c>
      <c r="W190" s="15">
        <v>-0.75800000000000001</v>
      </c>
      <c r="X190" s="15">
        <v>-0.79800000000000004</v>
      </c>
      <c r="Y190" s="15">
        <v>-0.81899999999999995</v>
      </c>
      <c r="Z190" s="15">
        <v>-0.83899999999999997</v>
      </c>
      <c r="AA190" s="15">
        <v>-0.112</v>
      </c>
      <c r="AB190" s="15">
        <v>-0.115</v>
      </c>
      <c r="AC190" s="15">
        <v>0.28399999999999997</v>
      </c>
      <c r="AD190" s="15">
        <v>0.56999999999999995</v>
      </c>
      <c r="AE190" s="15">
        <v>7.3999999999999996E-2</v>
      </c>
      <c r="AF190" s="14">
        <v>-0.318</v>
      </c>
      <c r="AG190" s="110">
        <v>-0.10199999999999999</v>
      </c>
      <c r="AH190" s="110">
        <v>-0.44</v>
      </c>
      <c r="AI190" s="110">
        <v>-0.40699999999999997</v>
      </c>
      <c r="AJ190" s="110">
        <v>-0.114</v>
      </c>
      <c r="AK190" s="16">
        <v>-0.75800000000000001</v>
      </c>
      <c r="AL190" s="111">
        <v>-0.126</v>
      </c>
      <c r="AM190" s="111">
        <v>-1</v>
      </c>
      <c r="AN190" s="4">
        <v>-6.9000000000000006E-2</v>
      </c>
      <c r="AO190" s="4">
        <v>-0.156</v>
      </c>
      <c r="AP190" s="4">
        <v>3.4000000000000002E-2</v>
      </c>
      <c r="AQ190" s="4">
        <v>1.0999999999999999E-2</v>
      </c>
      <c r="AR190" s="4">
        <v>-7.6999999999999999E-2</v>
      </c>
      <c r="AS190" s="4">
        <v>0.53500000000000003</v>
      </c>
      <c r="AT190" s="4">
        <v>0.2</v>
      </c>
      <c r="AU190" s="4">
        <v>-0.187</v>
      </c>
      <c r="AV190" s="4">
        <v>-0.439</v>
      </c>
      <c r="AW190" s="4">
        <v>-0.107</v>
      </c>
      <c r="AX190" s="4">
        <v>-0.45900000000000002</v>
      </c>
      <c r="AY190" s="4">
        <v>-0.85699999999999998</v>
      </c>
      <c r="AZ190" s="4">
        <v>0.61599999999999999</v>
      </c>
      <c r="BA190" s="4">
        <v>0.68100000000000005</v>
      </c>
      <c r="BB190" s="4">
        <v>0.44400000000000001</v>
      </c>
      <c r="BC190" s="4">
        <v>0.14799999999999999</v>
      </c>
      <c r="BD190" s="4">
        <v>-0.23</v>
      </c>
      <c r="BE190" s="4">
        <v>0.437</v>
      </c>
      <c r="BF190" s="4">
        <v>0.35</v>
      </c>
      <c r="BG190" s="4">
        <v>0.28199999999999997</v>
      </c>
      <c r="BH190" s="4">
        <v>6.8000000000000005E-2</v>
      </c>
      <c r="BI190" s="4">
        <v>-7.0000000000000001E-3</v>
      </c>
      <c r="BJ190" s="4">
        <v>0.59899999999999998</v>
      </c>
      <c r="BK190" s="4">
        <v>-0.68500000000000005</v>
      </c>
      <c r="BL190" s="4">
        <v>-8.9999999999999993E-3</v>
      </c>
      <c r="BM190" s="4">
        <v>0.38</v>
      </c>
      <c r="BN190" s="4"/>
    </row>
    <row r="191" spans="1:66" x14ac:dyDescent="0.3">
      <c r="A191" t="s">
        <v>181</v>
      </c>
      <c r="B191" s="53">
        <f t="shared" si="18"/>
        <v>0</v>
      </c>
      <c r="C191" s="53">
        <f t="shared" si="19"/>
        <v>-7.2085200000000004E-3</v>
      </c>
      <c r="D191" s="53">
        <f t="shared" si="20"/>
        <v>0</v>
      </c>
      <c r="E191" s="53">
        <f t="shared" si="21"/>
        <v>7.2085200000000004E-3</v>
      </c>
      <c r="F191" s="15">
        <v>0.52400000000000002</v>
      </c>
      <c r="G191">
        <v>0.50600000000000001</v>
      </c>
      <c r="H191" t="s">
        <v>68</v>
      </c>
      <c r="I191" t="str">
        <f>VLOOKUP(A191,Planilha6!$BL$9:$BN$222,2,0)</f>
        <v>capital_goods</v>
      </c>
      <c r="J191" t="str">
        <f>VLOOKUP(A191,Planilha6!$BL$9:$BN$222,3,0)</f>
        <v>very_high_beta</v>
      </c>
      <c r="K191" s="17">
        <v>0</v>
      </c>
      <c r="L191" s="2">
        <v>-7.0000000000000001E-3</v>
      </c>
      <c r="M191" s="5">
        <v>0.26191565621000001</v>
      </c>
      <c r="N191" s="41">
        <f>VLOOKUP(A191,'Mandato LP'!$A$2:$B$215,2,0)</f>
        <v>0</v>
      </c>
      <c r="O191" s="59">
        <f t="shared" si="22"/>
        <v>0</v>
      </c>
      <c r="P191" s="42">
        <f t="shared" si="23"/>
        <v>0</v>
      </c>
      <c r="Q191" s="41">
        <f>VLOOKUP(A191,'Mandato LP'!$A$2:$C$215,3,0)</f>
        <v>0</v>
      </c>
      <c r="R191" s="42">
        <f t="shared" si="24"/>
        <v>0</v>
      </c>
      <c r="S191" s="15">
        <v>-0.78900000000000003</v>
      </c>
      <c r="T191" s="15">
        <v>-0.69799999999999995</v>
      </c>
      <c r="U191" s="15">
        <v>-0.93400000000000005</v>
      </c>
      <c r="V191" s="15">
        <v>-0.78</v>
      </c>
      <c r="W191" s="15">
        <v>-0.80400000000000005</v>
      </c>
      <c r="X191" s="15">
        <v>-0.71099999999999997</v>
      </c>
      <c r="Y191" s="15">
        <v>-0.58399999999999996</v>
      </c>
      <c r="Z191" s="15">
        <v>-0.77100000000000002</v>
      </c>
      <c r="AA191" s="15">
        <v>0.11799999999999999</v>
      </c>
      <c r="AB191" s="15">
        <v>0.11899999999999999</v>
      </c>
      <c r="AC191" s="15">
        <v>0.44800000000000001</v>
      </c>
      <c r="AD191" s="15">
        <v>0.42899999999999999</v>
      </c>
      <c r="AE191" s="15">
        <v>-0.152</v>
      </c>
      <c r="AF191" s="14">
        <v>-0.435</v>
      </c>
      <c r="AG191" s="110">
        <v>-0.48499999999999999</v>
      </c>
      <c r="AH191" s="110">
        <v>-0.94899999999999995</v>
      </c>
      <c r="AI191" s="110">
        <v>-1</v>
      </c>
      <c r="AJ191" s="110">
        <v>-1</v>
      </c>
      <c r="AK191" s="16">
        <v>-0.77900000000000003</v>
      </c>
      <c r="AL191" s="111">
        <v>-0.28699999999999998</v>
      </c>
      <c r="AM191" s="111">
        <v>-0.94199999999999995</v>
      </c>
      <c r="AN191" s="4">
        <v>-0.72899999999999998</v>
      </c>
      <c r="AO191" s="4">
        <v>0.44600000000000001</v>
      </c>
      <c r="AP191" s="4">
        <v>-0.26500000000000001</v>
      </c>
      <c r="AQ191" s="4">
        <v>-0.66800000000000004</v>
      </c>
      <c r="AR191" s="4">
        <v>0.45500000000000002</v>
      </c>
      <c r="AS191" s="4">
        <v>0.47299999999999998</v>
      </c>
      <c r="AT191" s="4">
        <v>-7.3999999999999996E-2</v>
      </c>
      <c r="AU191" s="4">
        <v>9.9000000000000005E-2</v>
      </c>
      <c r="AV191" s="4">
        <v>-0.217</v>
      </c>
      <c r="AW191" s="4">
        <v>0.28399999999999997</v>
      </c>
      <c r="AX191" s="4">
        <v>0.41899999999999998</v>
      </c>
      <c r="AY191" s="4">
        <v>0.216</v>
      </c>
      <c r="AZ191" s="4">
        <v>0.49299999999999999</v>
      </c>
      <c r="BA191" s="4">
        <v>0.18</v>
      </c>
      <c r="BB191" s="4">
        <v>0.29899999999999999</v>
      </c>
      <c r="BC191" s="4">
        <v>0.224</v>
      </c>
      <c r="BD191" s="4">
        <v>0.17799999999999999</v>
      </c>
      <c r="BE191" s="4">
        <v>0.44500000000000001</v>
      </c>
      <c r="BF191" s="4">
        <v>-0.33800000000000002</v>
      </c>
      <c r="BG191" s="4">
        <v>-0.30599999999999999</v>
      </c>
      <c r="BH191" s="4">
        <v>0.34200000000000003</v>
      </c>
      <c r="BI191" s="4">
        <v>-0.98699999999999999</v>
      </c>
      <c r="BJ191" s="4">
        <v>0.83099999999999996</v>
      </c>
      <c r="BK191" s="4">
        <v>-0.435</v>
      </c>
      <c r="BL191" s="4">
        <v>-0.81100000000000005</v>
      </c>
      <c r="BM191" s="4">
        <v>0.38500000000000001</v>
      </c>
      <c r="BN191" s="4"/>
    </row>
    <row r="192" spans="1:66" x14ac:dyDescent="0.3">
      <c r="A192" t="s">
        <v>223</v>
      </c>
      <c r="B192" s="53">
        <f t="shared" si="18"/>
        <v>0</v>
      </c>
      <c r="C192" s="53">
        <f t="shared" si="19"/>
        <v>0</v>
      </c>
      <c r="D192" s="53">
        <f t="shared" si="20"/>
        <v>0</v>
      </c>
      <c r="E192" s="53">
        <f t="shared" si="21"/>
        <v>0</v>
      </c>
      <c r="F192" s="15">
        <v>0.52400000000000002</v>
      </c>
      <c r="G192">
        <v>0.58399999999999996</v>
      </c>
      <c r="H192" t="s">
        <v>68</v>
      </c>
      <c r="I192" t="str">
        <f>VLOOKUP(A192,Planilha6!$BL$9:$BN$222,2,0)</f>
        <v>capital_goods</v>
      </c>
      <c r="J192" t="str">
        <f>VLOOKUP(A192,Planilha6!$BL$9:$BN$222,3,0)</f>
        <v>high_beta</v>
      </c>
      <c r="K192" s="17">
        <v>0</v>
      </c>
      <c r="L192" s="2">
        <v>0</v>
      </c>
      <c r="M192" s="5">
        <v>4.1345687643333302E-2</v>
      </c>
      <c r="N192" s="41">
        <f>VLOOKUP(A192,'Mandato LP'!$A$2:$B$215,2,0)</f>
        <v>0</v>
      </c>
      <c r="O192" s="59">
        <f t="shared" si="22"/>
        <v>0</v>
      </c>
      <c r="P192" s="42">
        <f t="shared" si="23"/>
        <v>0</v>
      </c>
      <c r="Q192" s="41">
        <f>VLOOKUP(A192,'Mandato LP'!$A$2:$C$215,3,0)</f>
        <v>0</v>
      </c>
      <c r="R192" s="42">
        <f t="shared" si="24"/>
        <v>0</v>
      </c>
      <c r="S192" s="15">
        <v>-0.91400000000000003</v>
      </c>
      <c r="T192" s="15">
        <v>-0.75800000000000001</v>
      </c>
      <c r="U192" s="15">
        <v>-0.878</v>
      </c>
      <c r="V192" s="15">
        <v>-0.9</v>
      </c>
      <c r="W192" s="15">
        <v>-0.83199999999999996</v>
      </c>
      <c r="X192" s="15">
        <v>-0.86299999999999999</v>
      </c>
      <c r="Y192" s="15">
        <v>-0.78700000000000003</v>
      </c>
      <c r="Z192" s="15">
        <v>-0.82299999999999995</v>
      </c>
      <c r="AA192" s="15">
        <v>0.219</v>
      </c>
      <c r="AB192" s="15">
        <v>0.216</v>
      </c>
      <c r="AC192" s="15">
        <v>0.30499999999999999</v>
      </c>
      <c r="AD192" s="15">
        <v>0.214</v>
      </c>
      <c r="AE192" s="15">
        <v>0.24099999999999999</v>
      </c>
      <c r="AF192" s="14">
        <v>-0.92400000000000004</v>
      </c>
      <c r="AG192" s="110">
        <v>-1</v>
      </c>
      <c r="AH192" s="110">
        <v>-0.108</v>
      </c>
      <c r="AI192" s="110">
        <v>-0.45200000000000001</v>
      </c>
      <c r="AJ192" s="110">
        <v>1</v>
      </c>
      <c r="AK192" s="16">
        <v>-0.55400000000000005</v>
      </c>
      <c r="AL192" s="111">
        <v>-0.31</v>
      </c>
      <c r="AM192" s="111">
        <v>-0.95</v>
      </c>
      <c r="AN192" s="4">
        <v>-0.57999999999999996</v>
      </c>
      <c r="AO192" s="4">
        <v>-0.379</v>
      </c>
      <c r="AP192" s="4">
        <v>0.436</v>
      </c>
      <c r="AQ192" s="4">
        <v>0.95699999999999996</v>
      </c>
      <c r="AR192" s="4">
        <v>-0.78600000000000003</v>
      </c>
      <c r="AS192" s="4">
        <v>-1</v>
      </c>
      <c r="AT192" s="4">
        <v>-0.85799999999999998</v>
      </c>
      <c r="AU192" s="4">
        <v>0.185</v>
      </c>
      <c r="AV192" s="4">
        <v>-0.35699999999999998</v>
      </c>
      <c r="AW192" s="4">
        <v>-0.42499999999999999</v>
      </c>
      <c r="AX192" s="4">
        <v>0.56699999999999995</v>
      </c>
      <c r="AY192" s="4">
        <v>-0.14799999999999999</v>
      </c>
      <c r="AZ192" s="4">
        <v>0.82899999999999996</v>
      </c>
      <c r="BA192" s="4">
        <v>-0.55700000000000005</v>
      </c>
      <c r="BB192" s="4">
        <v>-0.126</v>
      </c>
      <c r="BC192" s="4">
        <v>-1</v>
      </c>
      <c r="BD192" s="4">
        <v>-0.77700000000000002</v>
      </c>
      <c r="BE192" s="4">
        <v>-0.67300000000000004</v>
      </c>
      <c r="BF192" s="4">
        <v>-0.107</v>
      </c>
      <c r="BG192" s="4">
        <v>-0.41299999999999998</v>
      </c>
      <c r="BH192" s="4">
        <v>0.52500000000000002</v>
      </c>
      <c r="BI192" s="4">
        <v>-0.67800000000000005</v>
      </c>
      <c r="BJ192" s="4">
        <v>0.39700000000000002</v>
      </c>
      <c r="BK192" s="4">
        <v>0.11799999999999999</v>
      </c>
      <c r="BL192" s="4">
        <v>0.436</v>
      </c>
      <c r="BM192" s="4">
        <v>0.161</v>
      </c>
      <c r="BN192" s="4"/>
    </row>
    <row r="193" spans="1:66" x14ac:dyDescent="0.3">
      <c r="A193" t="s">
        <v>149</v>
      </c>
      <c r="B193" s="53">
        <f t="shared" si="18"/>
        <v>0</v>
      </c>
      <c r="C193" s="53">
        <f t="shared" si="19"/>
        <v>0</v>
      </c>
      <c r="D193" s="53">
        <f t="shared" si="20"/>
        <v>0</v>
      </c>
      <c r="E193" s="53">
        <f t="shared" si="21"/>
        <v>0</v>
      </c>
      <c r="F193" s="15">
        <v>0.51900000000000002</v>
      </c>
      <c r="G193">
        <v>0.38900000000000001</v>
      </c>
      <c r="H193" t="s">
        <v>53</v>
      </c>
      <c r="I193" t="str">
        <f>VLOOKUP(A193,Planilha6!$BL$9:$BN$222,2,0)</f>
        <v>healthcare</v>
      </c>
      <c r="J193" t="str">
        <f>VLOOKUP(A193,Planilha6!$BL$9:$BN$222,3,0)</f>
        <v>very_high_beta</v>
      </c>
      <c r="K193" s="17">
        <v>0</v>
      </c>
      <c r="L193" s="2">
        <v>0</v>
      </c>
      <c r="M193" s="5">
        <v>2.8231354666666701E-2</v>
      </c>
      <c r="N193" s="41">
        <f>VLOOKUP(A193,'Mandato LP'!$A$2:$B$215,2,0)</f>
        <v>0</v>
      </c>
      <c r="O193" s="59">
        <f t="shared" si="22"/>
        <v>0</v>
      </c>
      <c r="P193" s="42">
        <f t="shared" si="23"/>
        <v>0</v>
      </c>
      <c r="Q193" s="41">
        <f>VLOOKUP(A193,'Mandato LP'!$A$2:$C$215,3,0)</f>
        <v>0</v>
      </c>
      <c r="R193" s="42">
        <f t="shared" si="24"/>
        <v>0</v>
      </c>
      <c r="S193" s="15">
        <v>-0.443</v>
      </c>
      <c r="T193" s="15">
        <v>-0.77700000000000002</v>
      </c>
      <c r="U193" s="15">
        <v>-0.254</v>
      </c>
      <c r="V193" s="15">
        <v>-0.69699999999999995</v>
      </c>
      <c r="W193" s="15">
        <v>-0.73199999999999998</v>
      </c>
      <c r="X193" s="15">
        <v>-0.81699999999999995</v>
      </c>
      <c r="Y193" s="15">
        <v>-0.82899999999999996</v>
      </c>
      <c r="Z193" s="15">
        <v>-0.871</v>
      </c>
      <c r="AA193" s="15">
        <v>-0.34499999999999997</v>
      </c>
      <c r="AB193" s="15">
        <v>-0.34</v>
      </c>
      <c r="AC193" s="15">
        <v>0.27700000000000002</v>
      </c>
      <c r="AD193" s="15">
        <v>-7.6999999999999999E-2</v>
      </c>
      <c r="AE193" s="15">
        <v>-0.20799999999999999</v>
      </c>
      <c r="AF193" s="14">
        <v>0.13200000000000001</v>
      </c>
      <c r="AG193" s="110">
        <v>-0.40400000000000003</v>
      </c>
      <c r="AH193" s="110">
        <v>-0.32200000000000001</v>
      </c>
      <c r="AI193" s="110">
        <v>0.85699999999999998</v>
      </c>
      <c r="AJ193" s="110">
        <v>-0.17899999999999999</v>
      </c>
      <c r="AK193" s="16">
        <v>-0.16</v>
      </c>
      <c r="AL193" s="111">
        <v>0.20399999999999999</v>
      </c>
      <c r="AM193" s="111">
        <v>-0.96399999999999997</v>
      </c>
      <c r="AN193" s="4">
        <v>0.30199999999999999</v>
      </c>
      <c r="AO193" s="4">
        <v>-0.16300000000000001</v>
      </c>
      <c r="AP193" s="4">
        <v>-0.58799999999999997</v>
      </c>
      <c r="AQ193" s="4">
        <v>-0.58699999999999997</v>
      </c>
      <c r="AR193" s="4">
        <v>-0.28899999999999998</v>
      </c>
      <c r="AS193" s="4">
        <v>6.2E-2</v>
      </c>
      <c r="AT193" s="4">
        <v>-3.2000000000000001E-2</v>
      </c>
      <c r="AU193" s="4">
        <v>6.8000000000000005E-2</v>
      </c>
      <c r="AV193" s="4">
        <v>0.123</v>
      </c>
      <c r="AW193" s="4">
        <v>0.193</v>
      </c>
      <c r="AX193" s="4">
        <v>-0.65400000000000003</v>
      </c>
      <c r="AY193" s="4">
        <v>-0.215</v>
      </c>
      <c r="AZ193" s="4">
        <v>0.63700000000000001</v>
      </c>
      <c r="BA193" s="4">
        <v>0.17699999999999999</v>
      </c>
      <c r="BB193" s="4">
        <v>0.33700000000000002</v>
      </c>
      <c r="BC193" s="4">
        <v>0.30099999999999999</v>
      </c>
      <c r="BD193" s="4">
        <v>0.10299999999999999</v>
      </c>
      <c r="BE193" s="4">
        <v>0.33700000000000002</v>
      </c>
      <c r="BF193" s="4">
        <v>-0.47</v>
      </c>
      <c r="BG193" s="4">
        <v>-0.79300000000000004</v>
      </c>
      <c r="BH193" s="4">
        <v>-0.66</v>
      </c>
      <c r="BI193" s="4">
        <v>0.67600000000000005</v>
      </c>
      <c r="BJ193" s="4">
        <v>0.54100000000000004</v>
      </c>
      <c r="BK193" s="4">
        <v>-0.14199999999999999</v>
      </c>
      <c r="BL193" s="4">
        <v>0.91200000000000003</v>
      </c>
      <c r="BM193" s="4">
        <v>0.34100000000000003</v>
      </c>
      <c r="BN193" s="4"/>
    </row>
    <row r="194" spans="1:66" x14ac:dyDescent="0.3">
      <c r="A194" t="s">
        <v>246</v>
      </c>
      <c r="B194" s="53">
        <f t="shared" si="18"/>
        <v>0</v>
      </c>
      <c r="C194" s="53">
        <f t="shared" si="19"/>
        <v>-9.9923999999999998E-4</v>
      </c>
      <c r="D194" s="53">
        <f t="shared" si="20"/>
        <v>0</v>
      </c>
      <c r="E194" s="53">
        <f t="shared" si="21"/>
        <v>9.9923999999999998E-4</v>
      </c>
      <c r="F194" s="15">
        <v>0.51600000000000001</v>
      </c>
      <c r="G194">
        <v>0.48799999999999999</v>
      </c>
      <c r="H194" t="s">
        <v>53</v>
      </c>
      <c r="I194" t="str">
        <f>VLOOKUP(A194,Planilha6!$BL$9:$BN$222,2,0)</f>
        <v>consumer_staples</v>
      </c>
      <c r="J194" t="str">
        <f>VLOOKUP(A194,Planilha6!$BL$9:$BN$222,3,0)</f>
        <v>high_beta</v>
      </c>
      <c r="K194" s="17">
        <v>0</v>
      </c>
      <c r="L194" s="2">
        <v>-1E-3</v>
      </c>
      <c r="M194" s="5">
        <v>0</v>
      </c>
      <c r="N194" s="41">
        <f>VLOOKUP(A194,'Mandato LP'!$A$2:$B$215,2,0)</f>
        <v>0</v>
      </c>
      <c r="O194" s="59">
        <f t="shared" si="22"/>
        <v>0</v>
      </c>
      <c r="P194" s="42">
        <f t="shared" si="23"/>
        <v>0</v>
      </c>
      <c r="Q194" s="41">
        <f>VLOOKUP(A194,'Mandato LP'!$A$2:$C$215,3,0)</f>
        <v>0</v>
      </c>
      <c r="R194" s="42">
        <f t="shared" si="24"/>
        <v>0</v>
      </c>
      <c r="S194" s="15">
        <v>-0.80800000000000005</v>
      </c>
      <c r="T194" s="15">
        <v>-0.76</v>
      </c>
      <c r="U194" s="15">
        <v>-0.86899999999999999</v>
      </c>
      <c r="V194" s="15">
        <v>-0.84299999999999997</v>
      </c>
      <c r="W194" s="15">
        <v>-0.83</v>
      </c>
      <c r="X194" s="15">
        <v>-0.82499999999999996</v>
      </c>
      <c r="Y194" s="15">
        <v>-0.79600000000000004</v>
      </c>
      <c r="Z194" s="15">
        <v>-0.81399999999999995</v>
      </c>
      <c r="AA194" s="15">
        <v>-0.16600000000000001</v>
      </c>
      <c r="AB194" s="15">
        <v>-0.16500000000000001</v>
      </c>
      <c r="AC194" s="15">
        <v>0.44500000000000001</v>
      </c>
      <c r="AD194" s="15">
        <v>0.56299999999999994</v>
      </c>
      <c r="AE194" s="15">
        <v>-6.8000000000000005E-2</v>
      </c>
      <c r="AF194" s="14">
        <v>-1</v>
      </c>
      <c r="AG194" s="110">
        <v>-0.42</v>
      </c>
      <c r="AH194" s="110">
        <v>-0.69299999999999995</v>
      </c>
      <c r="AI194" s="110">
        <v>-0.95099999999999996</v>
      </c>
      <c r="AJ194" s="110">
        <v>-0.58799999999999997</v>
      </c>
      <c r="AK194" s="16">
        <v>-0.51700000000000002</v>
      </c>
      <c r="AL194" s="111">
        <v>-0.53100000000000003</v>
      </c>
      <c r="AM194" s="111">
        <v>-0.68400000000000005</v>
      </c>
      <c r="AN194" s="4">
        <v>-0.53400000000000003</v>
      </c>
      <c r="AO194" s="4">
        <v>0.20499999999999999</v>
      </c>
      <c r="AP194" s="4">
        <v>-0.02</v>
      </c>
      <c r="AQ194" s="4">
        <v>0.65</v>
      </c>
      <c r="AR194" s="4">
        <v>0.17199999999999999</v>
      </c>
      <c r="AS194" s="4">
        <v>0.23100000000000001</v>
      </c>
      <c r="AT194" s="4">
        <v>0.254</v>
      </c>
      <c r="AU194" s="4">
        <v>-6.6000000000000003E-2</v>
      </c>
      <c r="AV194" s="4">
        <v>-0.19400000000000001</v>
      </c>
      <c r="AW194" s="4">
        <v>-0.47</v>
      </c>
      <c r="AX194" s="4">
        <v>0.27</v>
      </c>
      <c r="AY194" s="4">
        <v>-0.23400000000000001</v>
      </c>
      <c r="AZ194" s="4">
        <v>0.92400000000000004</v>
      </c>
      <c r="BA194" s="4">
        <v>0.20300000000000001</v>
      </c>
      <c r="BB194" s="4">
        <v>0.19600000000000001</v>
      </c>
      <c r="BC194" s="4">
        <v>-8.1000000000000003E-2</v>
      </c>
      <c r="BD194" s="4">
        <v>8.5999999999999993E-2</v>
      </c>
      <c r="BE194" s="4">
        <v>0.28100000000000003</v>
      </c>
      <c r="BF194" s="4">
        <v>-0.437</v>
      </c>
      <c r="BG194" s="4">
        <v>-1</v>
      </c>
      <c r="BH194" s="4">
        <v>-0.45</v>
      </c>
      <c r="BI194" s="4">
        <v>-0.182</v>
      </c>
      <c r="BJ194" s="4">
        <v>0.16400000000000001</v>
      </c>
      <c r="BK194" s="4">
        <v>-9.4E-2</v>
      </c>
      <c r="BL194" s="4">
        <v>-0.252</v>
      </c>
      <c r="BM194" s="4">
        <v>0.75800000000000001</v>
      </c>
      <c r="BN194" s="4"/>
    </row>
    <row r="195" spans="1:66" x14ac:dyDescent="0.3">
      <c r="A195" t="s">
        <v>224</v>
      </c>
      <c r="B195" s="53">
        <f t="shared" si="18"/>
        <v>0</v>
      </c>
      <c r="C195" s="53">
        <f t="shared" si="19"/>
        <v>0</v>
      </c>
      <c r="D195" s="53">
        <f t="shared" si="20"/>
        <v>0</v>
      </c>
      <c r="E195" s="53">
        <f t="shared" si="21"/>
        <v>0</v>
      </c>
      <c r="F195" s="15">
        <v>0.51600000000000001</v>
      </c>
      <c r="G195">
        <v>0.42699999999999999</v>
      </c>
      <c r="H195" t="s">
        <v>71</v>
      </c>
      <c r="I195" t="str">
        <f>VLOOKUP(A195,Planilha6!$BL$9:$BN$222,2,0)</f>
        <v>food</v>
      </c>
      <c r="J195" t="str">
        <f>VLOOKUP(A195,Planilha6!$BL$9:$BN$222,3,0)</f>
        <v>very_low_beta</v>
      </c>
      <c r="K195" s="17">
        <v>0</v>
      </c>
      <c r="L195" s="2">
        <v>0</v>
      </c>
      <c r="M195" s="5">
        <v>0.51375777108433296</v>
      </c>
      <c r="N195" s="41">
        <f>VLOOKUP(A195,'Mandato LP'!$A$2:$B$215,2,0)</f>
        <v>0</v>
      </c>
      <c r="O195" s="59">
        <f t="shared" si="22"/>
        <v>0</v>
      </c>
      <c r="P195" s="42">
        <f t="shared" si="23"/>
        <v>0</v>
      </c>
      <c r="Q195" s="41">
        <f>VLOOKUP(A195,'Mandato LP'!$A$2:$C$215,3,0)</f>
        <v>0</v>
      </c>
      <c r="R195" s="42">
        <f t="shared" si="24"/>
        <v>0</v>
      </c>
      <c r="S195" s="15">
        <v>-0.98699999999999999</v>
      </c>
      <c r="T195" s="15">
        <v>-0.93899999999999995</v>
      </c>
      <c r="U195" s="15">
        <v>-0.91400000000000003</v>
      </c>
      <c r="V195" s="15">
        <v>-0.95699999999999996</v>
      </c>
      <c r="W195" s="15">
        <v>-0.92900000000000005</v>
      </c>
      <c r="X195" s="15">
        <v>-0.90700000000000003</v>
      </c>
      <c r="Y195" s="15">
        <v>-0.872</v>
      </c>
      <c r="Z195" s="15">
        <v>-0.872</v>
      </c>
      <c r="AA195" s="15">
        <v>0.44500000000000001</v>
      </c>
      <c r="AB195" s="15">
        <v>0.443</v>
      </c>
      <c r="AC195" s="15">
        <v>0.217</v>
      </c>
      <c r="AD195" s="15">
        <v>0.17</v>
      </c>
      <c r="AE195" s="15">
        <v>0.14599999999999999</v>
      </c>
      <c r="AF195" s="14">
        <v>-0.76300000000000001</v>
      </c>
      <c r="AG195" s="110">
        <v>-0.77400000000000002</v>
      </c>
      <c r="AH195" s="110">
        <v>-0.76</v>
      </c>
      <c r="AI195" s="110">
        <v>7.6999999999999999E-2</v>
      </c>
      <c r="AJ195" s="110">
        <v>-0.42399999999999999</v>
      </c>
      <c r="AK195" s="16">
        <v>-0.52800000000000002</v>
      </c>
      <c r="AL195" s="111">
        <v>-0.7</v>
      </c>
      <c r="AM195" s="111">
        <v>-0.51400000000000001</v>
      </c>
      <c r="AN195" s="4">
        <v>0.439</v>
      </c>
      <c r="AO195" s="4">
        <v>-0.24399999999999999</v>
      </c>
      <c r="AP195" s="4">
        <v>-0.56799999999999995</v>
      </c>
      <c r="AQ195" s="4">
        <v>-0.54800000000000004</v>
      </c>
      <c r="AR195" s="4">
        <v>-0.47699999999999998</v>
      </c>
      <c r="AS195" s="4">
        <v>-0.316</v>
      </c>
      <c r="AT195" s="4">
        <v>-0.16</v>
      </c>
      <c r="AU195" s="4">
        <v>-0.13800000000000001</v>
      </c>
      <c r="AV195" s="4">
        <v>-0.48799999999999999</v>
      </c>
      <c r="AW195" s="4">
        <v>-0.58099999999999996</v>
      </c>
      <c r="AX195" s="4">
        <v>0.55100000000000005</v>
      </c>
      <c r="AY195" s="4">
        <v>0.222</v>
      </c>
      <c r="AZ195" s="4">
        <v>-0.183</v>
      </c>
      <c r="BA195" s="4">
        <v>-0.57899999999999996</v>
      </c>
      <c r="BB195" s="4">
        <v>-0.97499999999999998</v>
      </c>
      <c r="BC195" s="4">
        <v>-0.83499999999999996</v>
      </c>
      <c r="BD195" s="4">
        <v>-0.98499999999999999</v>
      </c>
      <c r="BE195" s="4">
        <v>-1</v>
      </c>
      <c r="BF195" s="4">
        <v>1</v>
      </c>
      <c r="BG195" s="4">
        <v>1</v>
      </c>
      <c r="BH195" s="4">
        <v>0.28499999999999998</v>
      </c>
      <c r="BI195" s="4">
        <v>7.3999999999999996E-2</v>
      </c>
      <c r="BJ195" s="4">
        <v>-0.78100000000000003</v>
      </c>
      <c r="BK195" s="4">
        <v>0.23400000000000001</v>
      </c>
      <c r="BL195" s="4">
        <v>0.76800000000000002</v>
      </c>
      <c r="BM195" s="4">
        <v>0.40300000000000002</v>
      </c>
      <c r="BN195" s="4"/>
    </row>
    <row r="196" spans="1:66" x14ac:dyDescent="0.3">
      <c r="A196" t="s">
        <v>252</v>
      </c>
      <c r="B196" s="53">
        <f t="shared" si="18"/>
        <v>0</v>
      </c>
      <c r="C196" s="53">
        <f t="shared" si="19"/>
        <v>-1.5572699999999999E-3</v>
      </c>
      <c r="D196" s="53">
        <f t="shared" si="20"/>
        <v>0</v>
      </c>
      <c r="E196" s="53">
        <f t="shared" si="21"/>
        <v>1.5572699999999999E-3</v>
      </c>
      <c r="F196" s="15">
        <v>0.51400000000000001</v>
      </c>
      <c r="G196">
        <v>0.42199999999999999</v>
      </c>
      <c r="H196" t="s">
        <v>53</v>
      </c>
      <c r="I196" t="str">
        <f>VLOOKUP(A196,Planilha6!$BL$9:$BN$222,2,0)</f>
        <v>consumer_staples</v>
      </c>
      <c r="J196" t="str">
        <f>VLOOKUP(A196,Planilha6!$BL$9:$BN$222,3,0)</f>
        <v>very_high_beta</v>
      </c>
      <c r="K196" s="17">
        <v>0</v>
      </c>
      <c r="L196" s="2">
        <v>-2E-3</v>
      </c>
      <c r="M196" s="5">
        <v>8.7203399853333294E-2</v>
      </c>
      <c r="N196" s="41">
        <f>VLOOKUP(A196,'Mandato LP'!$A$2:$B$215,2,0)</f>
        <v>0</v>
      </c>
      <c r="O196" s="59">
        <f t="shared" si="22"/>
        <v>0</v>
      </c>
      <c r="P196" s="42">
        <f t="shared" si="23"/>
        <v>0</v>
      </c>
      <c r="Q196" s="41">
        <f>VLOOKUP(A196,'Mandato LP'!$A$2:$C$215,3,0)</f>
        <v>0</v>
      </c>
      <c r="R196" s="42">
        <f t="shared" si="24"/>
        <v>0</v>
      </c>
      <c r="S196" s="15">
        <v>-0.85299999999999998</v>
      </c>
      <c r="T196" s="15">
        <v>-0.76</v>
      </c>
      <c r="U196" s="15">
        <v>-0.96399999999999997</v>
      </c>
      <c r="V196" s="15">
        <v>-0.75800000000000001</v>
      </c>
      <c r="W196" s="15">
        <v>-0.81899999999999995</v>
      </c>
      <c r="X196" s="15">
        <v>-0.81899999999999995</v>
      </c>
      <c r="Y196" s="15">
        <v>-0.77500000000000002</v>
      </c>
      <c r="Z196" s="15">
        <v>-0.81200000000000006</v>
      </c>
      <c r="AA196" s="15">
        <v>-0.36799999999999999</v>
      </c>
      <c r="AB196" s="15">
        <v>-0.36199999999999999</v>
      </c>
      <c r="AC196" s="15">
        <v>0.48099999999999998</v>
      </c>
      <c r="AD196" s="15">
        <v>0.38500000000000001</v>
      </c>
      <c r="AE196" s="15">
        <v>3.5999999999999997E-2</v>
      </c>
      <c r="AF196" s="14">
        <v>8.3000000000000004E-2</v>
      </c>
      <c r="AG196" s="110">
        <v>-0.67</v>
      </c>
      <c r="AH196" s="110">
        <v>-0.13</v>
      </c>
      <c r="AI196" s="110">
        <v>-0.65400000000000003</v>
      </c>
      <c r="AJ196" s="110">
        <v>-0.61699999999999999</v>
      </c>
      <c r="AK196" s="16">
        <v>-0.88900000000000001</v>
      </c>
      <c r="AL196" s="111">
        <v>0.37</v>
      </c>
      <c r="AM196" s="111">
        <v>-0.86499999999999999</v>
      </c>
      <c r="AN196" s="4">
        <v>-0.67200000000000004</v>
      </c>
      <c r="AO196" s="4">
        <v>-6.6000000000000003E-2</v>
      </c>
      <c r="AP196" s="4">
        <v>-0.23100000000000001</v>
      </c>
      <c r="AQ196" s="4">
        <v>0.54500000000000004</v>
      </c>
      <c r="AR196" s="4">
        <v>-0.222</v>
      </c>
      <c r="AS196" s="4">
        <v>-1</v>
      </c>
      <c r="AT196" s="4">
        <v>-0.93300000000000005</v>
      </c>
      <c r="AU196" s="4">
        <v>0.52200000000000002</v>
      </c>
      <c r="AV196" s="4">
        <v>-0.40100000000000002</v>
      </c>
      <c r="AW196" s="4">
        <v>0.27700000000000002</v>
      </c>
      <c r="AX196" s="4">
        <v>-3.9E-2</v>
      </c>
      <c r="AY196" s="4">
        <v>-0.35799999999999998</v>
      </c>
      <c r="AZ196" s="4">
        <v>0.87</v>
      </c>
      <c r="BA196" s="4">
        <v>-0.17599999999999999</v>
      </c>
      <c r="BB196" s="4">
        <v>0.128</v>
      </c>
      <c r="BC196" s="4">
        <v>-7.0999999999999994E-2</v>
      </c>
      <c r="BD196" s="4">
        <v>0.18</v>
      </c>
      <c r="BE196" s="4">
        <v>0.20599999999999999</v>
      </c>
      <c r="BF196" s="4">
        <v>-0.995</v>
      </c>
      <c r="BG196" s="4">
        <v>-0.40200000000000002</v>
      </c>
      <c r="BH196" s="4">
        <v>-5.0999999999999997E-2</v>
      </c>
      <c r="BI196" s="4">
        <v>7.2999999999999995E-2</v>
      </c>
      <c r="BJ196" s="4">
        <v>0.317</v>
      </c>
      <c r="BK196" s="4">
        <v>-0.55500000000000005</v>
      </c>
      <c r="BL196" s="4">
        <v>-0.15</v>
      </c>
      <c r="BM196" s="4">
        <v>0.71399999999999997</v>
      </c>
      <c r="BN196" s="4"/>
    </row>
    <row r="197" spans="1:66" x14ac:dyDescent="0.3">
      <c r="A197" t="s">
        <v>276</v>
      </c>
      <c r="B197" s="53">
        <f t="shared" si="18"/>
        <v>0</v>
      </c>
      <c r="C197" s="53">
        <f t="shared" si="19"/>
        <v>0</v>
      </c>
      <c r="D197" s="53">
        <f t="shared" si="20"/>
        <v>0</v>
      </c>
      <c r="E197" s="53">
        <f t="shared" si="21"/>
        <v>0</v>
      </c>
      <c r="F197" s="15">
        <v>0.51400000000000001</v>
      </c>
      <c r="G197">
        <v>0.36199999999999999</v>
      </c>
      <c r="H197" t="s">
        <v>68</v>
      </c>
      <c r="I197" t="str">
        <f>VLOOKUP(A197,Planilha6!$BL$9:$BN$222,2,0)</f>
        <v>chemicals</v>
      </c>
      <c r="J197" t="str">
        <f>VLOOKUP(A197,Planilha6!$BL$9:$BN$222,3,0)</f>
        <v>very_high_beta</v>
      </c>
      <c r="K197" s="17">
        <v>0</v>
      </c>
      <c r="L197" s="2">
        <v>0</v>
      </c>
      <c r="M197" s="5">
        <v>0.12527732641856701</v>
      </c>
      <c r="N197" s="41">
        <f>VLOOKUP(A197,'Mandato LP'!$A$2:$B$215,2,0)</f>
        <v>0</v>
      </c>
      <c r="O197" s="59">
        <f t="shared" si="22"/>
        <v>0</v>
      </c>
      <c r="P197" s="42">
        <f t="shared" si="23"/>
        <v>0</v>
      </c>
      <c r="Q197" s="41">
        <f>VLOOKUP(A197,'Mandato LP'!$A$2:$C$215,3,0)</f>
        <v>0</v>
      </c>
      <c r="R197" s="42">
        <f t="shared" si="24"/>
        <v>0</v>
      </c>
      <c r="S197" s="15">
        <v>-0.79200000000000004</v>
      </c>
      <c r="T197" s="15">
        <v>-0.85599999999999998</v>
      </c>
      <c r="U197" s="15">
        <v>-0.78900000000000003</v>
      </c>
      <c r="V197" s="15">
        <v>-0.84099999999999997</v>
      </c>
      <c r="W197" s="15">
        <v>-0.876</v>
      </c>
      <c r="X197" s="15">
        <v>-0.92</v>
      </c>
      <c r="Y197" s="15">
        <v>-0.92700000000000005</v>
      </c>
      <c r="Z197" s="15">
        <v>-0.91900000000000004</v>
      </c>
      <c r="AA197" s="15">
        <v>-0.13500000000000001</v>
      </c>
      <c r="AB197" s="15">
        <v>-0.13700000000000001</v>
      </c>
      <c r="AC197" s="15">
        <v>-0.223</v>
      </c>
      <c r="AD197" s="15">
        <v>0.28399999999999997</v>
      </c>
      <c r="AE197" s="15">
        <v>0.28599999999999998</v>
      </c>
      <c r="AF197" s="14">
        <v>-0.60899999999999999</v>
      </c>
      <c r="AG197" s="110">
        <v>-0.98499999999999999</v>
      </c>
      <c r="AH197" s="110">
        <v>-0.78100000000000003</v>
      </c>
      <c r="AI197" s="110">
        <v>-0.79300000000000004</v>
      </c>
      <c r="AJ197" s="110">
        <v>-0.38600000000000001</v>
      </c>
      <c r="AK197" s="16">
        <v>-0.52600000000000002</v>
      </c>
      <c r="AL197" s="111">
        <v>-0.33100000000000002</v>
      </c>
      <c r="AM197" s="111">
        <v>-0.71299999999999997</v>
      </c>
      <c r="AN197" s="4">
        <v>-0.76500000000000001</v>
      </c>
      <c r="AO197" s="4">
        <v>-0.93700000000000006</v>
      </c>
      <c r="AP197" s="4">
        <v>0.17799999999999999</v>
      </c>
      <c r="AQ197" s="4">
        <v>0.14599999999999999</v>
      </c>
      <c r="AR197" s="4">
        <v>-0.28100000000000003</v>
      </c>
      <c r="AS197" s="4">
        <v>0.126</v>
      </c>
      <c r="AT197" s="4">
        <v>0.23899999999999999</v>
      </c>
      <c r="AU197" s="4">
        <v>0.40500000000000003</v>
      </c>
      <c r="AV197" s="4">
        <v>-0.29499999999999998</v>
      </c>
      <c r="AW197" s="4">
        <v>0.14899999999999999</v>
      </c>
      <c r="AX197" s="4">
        <v>-0.75</v>
      </c>
      <c r="AY197" s="4">
        <v>9.2999999999999999E-2</v>
      </c>
      <c r="AZ197" s="4">
        <v>4.3999999999999997E-2</v>
      </c>
      <c r="BA197" s="4">
        <v>-0.66800000000000004</v>
      </c>
      <c r="BB197" s="4">
        <v>0.93400000000000005</v>
      </c>
      <c r="BC197" s="4">
        <v>0.183</v>
      </c>
      <c r="BD197" s="4">
        <v>-0.113</v>
      </c>
      <c r="BE197" s="4">
        <v>1</v>
      </c>
      <c r="BF197" s="4">
        <v>-1</v>
      </c>
      <c r="BG197" s="4">
        <v>-1</v>
      </c>
      <c r="BH197" s="4">
        <v>-1</v>
      </c>
      <c r="BI197" s="4">
        <v>0.26100000000000001</v>
      </c>
      <c r="BJ197" s="4">
        <v>0.79400000000000004</v>
      </c>
      <c r="BK197" s="4">
        <v>0.96799999999999997</v>
      </c>
      <c r="BL197" s="4">
        <v>-6.8000000000000005E-2</v>
      </c>
      <c r="BM197" s="4">
        <v>-3.4000000000000002E-2</v>
      </c>
      <c r="BN197" s="4"/>
    </row>
    <row r="198" spans="1:66" x14ac:dyDescent="0.3">
      <c r="A198" t="s">
        <v>247</v>
      </c>
      <c r="B198" s="53">
        <f t="shared" si="18"/>
        <v>0</v>
      </c>
      <c r="C198" s="53">
        <f t="shared" si="19"/>
        <v>0</v>
      </c>
      <c r="D198" s="53">
        <f t="shared" si="20"/>
        <v>0</v>
      </c>
      <c r="E198" s="53">
        <f t="shared" si="21"/>
        <v>0</v>
      </c>
      <c r="F198" s="15">
        <v>0.51400000000000001</v>
      </c>
      <c r="G198">
        <v>0.39300000000000002</v>
      </c>
      <c r="H198" t="s">
        <v>57</v>
      </c>
      <c r="I198" t="str">
        <f>VLOOKUP(A198,Planilha6!$BL$9:$BN$222,2,0)</f>
        <v>financial_services</v>
      </c>
      <c r="J198" t="str">
        <f>VLOOKUP(A198,Planilha6!$BL$9:$BN$222,3,0)</f>
        <v>neutral_beta</v>
      </c>
      <c r="K198" s="17">
        <v>0</v>
      </c>
      <c r="L198" s="2">
        <v>0</v>
      </c>
      <c r="M198" s="5">
        <v>0</v>
      </c>
      <c r="N198" s="41">
        <f>VLOOKUP(A198,'Mandato LP'!$A$2:$B$215,2,0)</f>
        <v>0</v>
      </c>
      <c r="O198" s="59">
        <f t="shared" si="22"/>
        <v>0</v>
      </c>
      <c r="P198" s="42">
        <f t="shared" si="23"/>
        <v>0</v>
      </c>
      <c r="Q198" s="41">
        <f>VLOOKUP(A198,'Mandato LP'!$A$2:$C$215,3,0)</f>
        <v>0</v>
      </c>
      <c r="R198" s="42">
        <f t="shared" si="24"/>
        <v>0</v>
      </c>
      <c r="S198" s="15">
        <v>-0.80700000000000005</v>
      </c>
      <c r="T198" s="15">
        <v>-0.76300000000000001</v>
      </c>
      <c r="U198" s="15">
        <v>-0.84099999999999997</v>
      </c>
      <c r="V198" s="15">
        <v>-0.876</v>
      </c>
      <c r="W198" s="15">
        <v>-0.85199999999999998</v>
      </c>
      <c r="X198" s="15">
        <v>-0.74399999999999999</v>
      </c>
      <c r="Y198" s="15">
        <v>-0.57099999999999995</v>
      </c>
      <c r="Z198" s="15">
        <v>-0.84099999999999997</v>
      </c>
      <c r="AA198" s="15">
        <v>2.1000000000000001E-2</v>
      </c>
      <c r="AB198" s="15">
        <v>2.5000000000000001E-2</v>
      </c>
      <c r="AC198" s="15">
        <v>-0.02</v>
      </c>
      <c r="AD198" s="15">
        <v>0.13100000000000001</v>
      </c>
      <c r="AE198" s="15">
        <v>-9.4E-2</v>
      </c>
      <c r="AF198" s="14">
        <v>-1</v>
      </c>
      <c r="AG198" s="110">
        <v>-0.46800000000000003</v>
      </c>
      <c r="AH198" s="110">
        <v>-1</v>
      </c>
      <c r="AI198" s="110">
        <v>-0.96699999999999997</v>
      </c>
      <c r="AJ198" s="110">
        <v>-1</v>
      </c>
      <c r="AK198" s="16">
        <v>-0.374</v>
      </c>
      <c r="AL198" s="111">
        <v>-0.54</v>
      </c>
      <c r="AM198" s="111">
        <v>-0.80300000000000005</v>
      </c>
      <c r="AN198" s="4">
        <v>-0.433</v>
      </c>
      <c r="AO198" s="4">
        <v>0.441</v>
      </c>
      <c r="AP198" s="4">
        <v>-0.67200000000000004</v>
      </c>
      <c r="AQ198" s="4">
        <v>-0.216</v>
      </c>
      <c r="AR198" s="4">
        <v>0.73499999999999999</v>
      </c>
      <c r="AS198" s="4">
        <v>0.53400000000000003</v>
      </c>
      <c r="AT198" s="4">
        <v>1.9E-2</v>
      </c>
      <c r="AU198" s="4">
        <v>1.2999999999999999E-2</v>
      </c>
      <c r="AV198" s="4">
        <v>0.318</v>
      </c>
      <c r="AW198" s="4">
        <v>-0.40799999999999997</v>
      </c>
      <c r="AX198" s="4">
        <v>-0.215</v>
      </c>
      <c r="AY198" s="4">
        <v>-0.13900000000000001</v>
      </c>
      <c r="AZ198" s="4">
        <v>0.72699999999999998</v>
      </c>
      <c r="BA198" s="4">
        <v>6.0000000000000001E-3</v>
      </c>
      <c r="BB198" s="4">
        <v>0.73899999999999999</v>
      </c>
      <c r="BC198" s="4">
        <v>-0.44500000000000001</v>
      </c>
      <c r="BD198" s="4">
        <v>-0.22700000000000001</v>
      </c>
      <c r="BE198" s="4">
        <v>-3.4000000000000002E-2</v>
      </c>
      <c r="BF198" s="4">
        <v>0.44700000000000001</v>
      </c>
      <c r="BG198" s="4">
        <v>-0.46400000000000002</v>
      </c>
      <c r="BH198" s="4">
        <v>0.54100000000000004</v>
      </c>
      <c r="BI198" s="4">
        <v>-0.34499999999999997</v>
      </c>
      <c r="BJ198" s="4">
        <v>5.7000000000000002E-2</v>
      </c>
      <c r="BK198" s="4">
        <v>0.53700000000000003</v>
      </c>
      <c r="BL198" s="4">
        <v>-0.10100000000000001</v>
      </c>
      <c r="BM198" s="4">
        <v>0.91500000000000004</v>
      </c>
      <c r="BN198" s="4"/>
    </row>
    <row r="199" spans="1:66" x14ac:dyDescent="0.3">
      <c r="A199" t="s">
        <v>257</v>
      </c>
      <c r="B199" s="53">
        <f t="shared" si="18"/>
        <v>0</v>
      </c>
      <c r="C199" s="53">
        <f t="shared" si="19"/>
        <v>-2.1615E-4</v>
      </c>
      <c r="D199" s="53">
        <f t="shared" si="20"/>
        <v>0</v>
      </c>
      <c r="E199" s="53">
        <f t="shared" si="21"/>
        <v>2.1615E-4</v>
      </c>
      <c r="F199" s="15">
        <v>0.51200000000000001</v>
      </c>
      <c r="G199">
        <v>0.38400000000000001</v>
      </c>
      <c r="H199" t="s">
        <v>57</v>
      </c>
      <c r="I199" t="str">
        <f>VLOOKUP(A199,Planilha6!$BL$9:$BN$222,2,0)</f>
        <v>transportation</v>
      </c>
      <c r="J199" t="str">
        <f>VLOOKUP(A199,Planilha6!$BL$9:$BN$222,3,0)</f>
        <v>very_high_beta</v>
      </c>
      <c r="K199" s="17">
        <v>0</v>
      </c>
      <c r="L199" s="2">
        <v>0</v>
      </c>
      <c r="M199" s="5">
        <v>0.24849299699999999</v>
      </c>
      <c r="N199" s="41">
        <f>VLOOKUP(A199,'Mandato LP'!$A$2:$B$215,2,0)</f>
        <v>0</v>
      </c>
      <c r="O199" s="59">
        <f t="shared" si="22"/>
        <v>0</v>
      </c>
      <c r="P199" s="42">
        <f t="shared" si="23"/>
        <v>0</v>
      </c>
      <c r="Q199" s="41">
        <f>VLOOKUP(A199,'Mandato LP'!$A$2:$C$215,3,0)</f>
        <v>0</v>
      </c>
      <c r="R199" s="42">
        <f t="shared" si="24"/>
        <v>0</v>
      </c>
      <c r="S199" s="15">
        <v>-0.81699999999999995</v>
      </c>
      <c r="T199" s="15">
        <v>-0.79400000000000004</v>
      </c>
      <c r="U199" s="15">
        <v>-0.88400000000000001</v>
      </c>
      <c r="V199" s="15">
        <v>-0.85199999999999998</v>
      </c>
      <c r="W199" s="15">
        <v>-0.85299999999999998</v>
      </c>
      <c r="X199" s="15">
        <v>-0.83599999999999997</v>
      </c>
      <c r="Y199" s="15">
        <v>-0.79400000000000004</v>
      </c>
      <c r="Z199" s="15">
        <v>-0.84399999999999997</v>
      </c>
      <c r="AA199" s="15">
        <v>-0.104</v>
      </c>
      <c r="AB199" s="15">
        <v>-0.107</v>
      </c>
      <c r="AC199" s="15">
        <v>0.106</v>
      </c>
      <c r="AD199" s="15">
        <v>-0.155</v>
      </c>
      <c r="AE199" s="15">
        <v>8.4000000000000005E-2</v>
      </c>
      <c r="AF199" s="14">
        <v>-0.89700000000000002</v>
      </c>
      <c r="AG199" s="110">
        <v>-0.61699999999999999</v>
      </c>
      <c r="AH199" s="110">
        <v>-0.66400000000000003</v>
      </c>
      <c r="AI199" s="110">
        <v>-0.73499999999999999</v>
      </c>
      <c r="AJ199" s="110">
        <v>-0.38200000000000001</v>
      </c>
      <c r="AK199" s="16">
        <v>-0.81</v>
      </c>
      <c r="AL199" s="111">
        <v>-0.52400000000000002</v>
      </c>
      <c r="AM199" s="111">
        <v>-0.45600000000000002</v>
      </c>
      <c r="AN199" s="4">
        <v>-0.34699999999999998</v>
      </c>
      <c r="AO199" s="4">
        <v>0.108</v>
      </c>
      <c r="AP199" s="4">
        <v>0.124</v>
      </c>
      <c r="AQ199" s="4">
        <v>0.105</v>
      </c>
      <c r="AR199" s="4">
        <v>0.113</v>
      </c>
      <c r="AS199" s="4">
        <v>0.62</v>
      </c>
      <c r="AT199" s="4">
        <v>1</v>
      </c>
      <c r="AU199" s="4">
        <v>-9.5000000000000001E-2</v>
      </c>
      <c r="AV199" s="4">
        <v>2.5999999999999999E-2</v>
      </c>
      <c r="AW199" s="4">
        <v>-0.45200000000000001</v>
      </c>
      <c r="AX199" s="4">
        <v>-0.63900000000000001</v>
      </c>
      <c r="AY199" s="4">
        <v>-0.378</v>
      </c>
      <c r="AZ199" s="4">
        <v>0.184</v>
      </c>
      <c r="BA199" s="4">
        <v>-0.158</v>
      </c>
      <c r="BB199" s="4">
        <v>-6.2E-2</v>
      </c>
      <c r="BC199" s="4">
        <v>-0.19400000000000001</v>
      </c>
      <c r="BD199" s="4">
        <v>-0.35</v>
      </c>
      <c r="BE199" s="4">
        <v>-0.21299999999999999</v>
      </c>
      <c r="BF199" s="4">
        <v>-0.57599999999999996</v>
      </c>
      <c r="BG199" s="4">
        <v>-0.31900000000000001</v>
      </c>
      <c r="BH199" s="4">
        <v>-0.106</v>
      </c>
      <c r="BI199" s="4">
        <v>0.41299999999999998</v>
      </c>
      <c r="BJ199" s="4">
        <v>0.96099999999999997</v>
      </c>
      <c r="BK199" s="4">
        <v>-0.67300000000000004</v>
      </c>
      <c r="BL199" s="4">
        <v>0.20499999999999999</v>
      </c>
      <c r="BM199" s="4">
        <v>-0.83799999999999997</v>
      </c>
      <c r="BN199" s="4"/>
    </row>
    <row r="200" spans="1:66" x14ac:dyDescent="0.3">
      <c r="A200" t="s">
        <v>254</v>
      </c>
      <c r="B200" s="53">
        <f t="shared" si="18"/>
        <v>0</v>
      </c>
      <c r="C200" s="53">
        <f t="shared" si="19"/>
        <v>-1.13619E-3</v>
      </c>
      <c r="D200" s="53">
        <f t="shared" si="20"/>
        <v>0</v>
      </c>
      <c r="E200" s="53">
        <f t="shared" si="21"/>
        <v>1.13619E-3</v>
      </c>
      <c r="F200" s="15">
        <v>0.50900000000000001</v>
      </c>
      <c r="G200">
        <v>0.41</v>
      </c>
      <c r="H200" t="s">
        <v>57</v>
      </c>
      <c r="I200" t="str">
        <f>VLOOKUP(A200,Planilha6!$BL$9:$BN$222,2,0)</f>
        <v>consumer_services</v>
      </c>
      <c r="J200" t="str">
        <f>VLOOKUP(A200,Planilha6!$BL$9:$BN$222,3,0)</f>
        <v>very_high_beta</v>
      </c>
      <c r="K200" s="17">
        <v>0</v>
      </c>
      <c r="L200" s="2">
        <v>-1E-3</v>
      </c>
      <c r="M200" s="5">
        <v>0.29335211</v>
      </c>
      <c r="N200" s="41">
        <f>VLOOKUP(A200,'Mandato LP'!$A$2:$B$215,2,0)</f>
        <v>0</v>
      </c>
      <c r="O200" s="59">
        <f t="shared" si="22"/>
        <v>0</v>
      </c>
      <c r="P200" s="42">
        <f t="shared" si="23"/>
        <v>0</v>
      </c>
      <c r="Q200" s="41">
        <f>VLOOKUP(A200,'Mandato LP'!$A$2:$C$215,3,0)</f>
        <v>0</v>
      </c>
      <c r="R200" s="42">
        <f t="shared" si="24"/>
        <v>0</v>
      </c>
      <c r="S200" s="15">
        <v>-0.86499999999999999</v>
      </c>
      <c r="T200" s="15">
        <v>-0.82299999999999995</v>
      </c>
      <c r="U200" s="15">
        <v>-0.95599999999999996</v>
      </c>
      <c r="V200" s="15">
        <v>-0.875</v>
      </c>
      <c r="W200" s="15">
        <v>-0.89300000000000002</v>
      </c>
      <c r="X200" s="15">
        <v>-0.83099999999999996</v>
      </c>
      <c r="Y200" s="15">
        <v>-0.77700000000000002</v>
      </c>
      <c r="Z200" s="15">
        <v>-0.88500000000000001</v>
      </c>
      <c r="AA200" s="15">
        <v>-0.317</v>
      </c>
      <c r="AB200" s="15">
        <v>-0.315</v>
      </c>
      <c r="AC200" s="15">
        <v>0.49299999999999999</v>
      </c>
      <c r="AD200" s="15">
        <v>0.47099999999999997</v>
      </c>
      <c r="AE200" s="15">
        <v>-4.3999999999999997E-2</v>
      </c>
      <c r="AF200" s="14">
        <v>-0.623</v>
      </c>
      <c r="AG200" s="110">
        <v>3.0000000000000001E-3</v>
      </c>
      <c r="AH200" s="110">
        <v>-0.41099999999999998</v>
      </c>
      <c r="AI200" s="110">
        <v>-0.57499999999999996</v>
      </c>
      <c r="AJ200" s="110">
        <v>-0.98299999999999998</v>
      </c>
      <c r="AK200" s="16">
        <v>-0.99399999999999999</v>
      </c>
      <c r="AL200" s="111">
        <v>0.218</v>
      </c>
      <c r="AM200" s="111">
        <v>-0.80200000000000005</v>
      </c>
      <c r="AN200" s="4">
        <v>2.7E-2</v>
      </c>
      <c r="AO200" s="4">
        <v>-0.32700000000000001</v>
      </c>
      <c r="AP200" s="4">
        <v>-0.62</v>
      </c>
      <c r="AQ200" s="4">
        <v>0.17899999999999999</v>
      </c>
      <c r="AR200" s="4">
        <v>-5.5E-2</v>
      </c>
      <c r="AS200" s="4">
        <v>0.123</v>
      </c>
      <c r="AT200" s="4">
        <v>-0.31</v>
      </c>
      <c r="AU200" s="4">
        <v>-0.27600000000000002</v>
      </c>
      <c r="AV200" s="4">
        <v>-0.13900000000000001</v>
      </c>
      <c r="AW200" s="4">
        <v>-0.53900000000000003</v>
      </c>
      <c r="AX200" s="4">
        <v>-0.374</v>
      </c>
      <c r="AY200" s="4">
        <v>-0.34599999999999997</v>
      </c>
      <c r="AZ200" s="4">
        <v>0.53800000000000003</v>
      </c>
      <c r="BA200" s="4">
        <v>-0.309</v>
      </c>
      <c r="BB200" s="4">
        <v>0.26300000000000001</v>
      </c>
      <c r="BC200" s="4">
        <v>0.50700000000000001</v>
      </c>
      <c r="BD200" s="4">
        <v>1.7000000000000001E-2</v>
      </c>
      <c r="BE200" s="4">
        <v>0.04</v>
      </c>
      <c r="BF200" s="4">
        <v>0.377</v>
      </c>
      <c r="BG200" s="4">
        <v>-0.52200000000000002</v>
      </c>
      <c r="BH200" s="4">
        <v>0.48699999999999999</v>
      </c>
      <c r="BI200" s="4">
        <v>0.50900000000000001</v>
      </c>
      <c r="BJ200" s="4">
        <v>0.45600000000000002</v>
      </c>
      <c r="BK200" s="4">
        <v>-0.74399999999999999</v>
      </c>
      <c r="BL200" s="4">
        <v>-0.27200000000000002</v>
      </c>
      <c r="BM200" s="4">
        <v>-0.26700000000000002</v>
      </c>
      <c r="BN200" s="4"/>
    </row>
    <row r="201" spans="1:66" x14ac:dyDescent="0.3">
      <c r="A201" t="s">
        <v>238</v>
      </c>
      <c r="B201" s="53">
        <f t="shared" si="18"/>
        <v>0</v>
      </c>
      <c r="C201" s="53">
        <f t="shared" si="19"/>
        <v>0</v>
      </c>
      <c r="D201" s="53">
        <f t="shared" si="20"/>
        <v>0</v>
      </c>
      <c r="E201" s="53">
        <f t="shared" si="21"/>
        <v>0</v>
      </c>
      <c r="F201" s="15">
        <v>0.50900000000000001</v>
      </c>
      <c r="G201">
        <v>0.42299999999999999</v>
      </c>
      <c r="H201" t="s">
        <v>68</v>
      </c>
      <c r="I201" t="str">
        <f>VLOOKUP(A201,Planilha6!$BL$9:$BN$222,2,0)</f>
        <v>capital_goods</v>
      </c>
      <c r="J201" t="str">
        <f>VLOOKUP(A201,Planilha6!$BL$9:$BN$222,3,0)</f>
        <v>high_beta</v>
      </c>
      <c r="K201" s="17">
        <v>0</v>
      </c>
      <c r="L201" s="2">
        <v>0</v>
      </c>
      <c r="M201" s="5">
        <v>0.93497294654666696</v>
      </c>
      <c r="N201" s="41">
        <f>VLOOKUP(A201,'Mandato LP'!$A$2:$B$215,2,0)</f>
        <v>0</v>
      </c>
      <c r="O201" s="59">
        <f t="shared" si="22"/>
        <v>0</v>
      </c>
      <c r="P201" s="42">
        <f t="shared" si="23"/>
        <v>0</v>
      </c>
      <c r="Q201" s="41">
        <f>VLOOKUP(A201,'Mandato LP'!$A$2:$C$215,3,0)</f>
        <v>0</v>
      </c>
      <c r="R201" s="42">
        <f t="shared" si="24"/>
        <v>0</v>
      </c>
      <c r="S201" s="15">
        <v>-0.87</v>
      </c>
      <c r="T201" s="15">
        <v>-0.81100000000000005</v>
      </c>
      <c r="U201" s="15">
        <v>-0.85199999999999998</v>
      </c>
      <c r="V201" s="15">
        <v>-0.90300000000000002</v>
      </c>
      <c r="W201" s="15">
        <v>-0.86799999999999999</v>
      </c>
      <c r="X201" s="15">
        <v>-0.88200000000000001</v>
      </c>
      <c r="Y201" s="15">
        <v>-0.85599999999999998</v>
      </c>
      <c r="Z201" s="15">
        <v>-0.84299999999999997</v>
      </c>
      <c r="AA201" s="15">
        <v>-0.26600000000000001</v>
      </c>
      <c r="AB201" s="15">
        <v>-0.26500000000000001</v>
      </c>
      <c r="AC201" s="15">
        <v>8.5000000000000006E-2</v>
      </c>
      <c r="AD201" s="15">
        <v>0.376</v>
      </c>
      <c r="AE201" s="15">
        <v>5.1999999999999998E-2</v>
      </c>
      <c r="AF201" s="14">
        <v>-0.873</v>
      </c>
      <c r="AG201" s="110">
        <v>-0.7</v>
      </c>
      <c r="AH201" s="110">
        <v>-8.7999999999999995E-2</v>
      </c>
      <c r="AI201" s="110">
        <v>3.0000000000000001E-3</v>
      </c>
      <c r="AJ201" s="110">
        <v>0.16500000000000001</v>
      </c>
      <c r="AK201" s="16">
        <v>-0.68700000000000006</v>
      </c>
      <c r="AL201" s="111">
        <v>4.0000000000000001E-3</v>
      </c>
      <c r="AM201" s="111">
        <v>-0.61499999999999999</v>
      </c>
      <c r="AN201" s="4">
        <v>-6.7000000000000004E-2</v>
      </c>
      <c r="AO201" s="4">
        <v>-0.51400000000000001</v>
      </c>
      <c r="AP201" s="4">
        <v>-0.31</v>
      </c>
      <c r="AQ201" s="4">
        <v>0.50800000000000001</v>
      </c>
      <c r="AR201" s="4">
        <v>-0.42099999999999999</v>
      </c>
      <c r="AS201" s="4">
        <v>-1</v>
      </c>
      <c r="AT201" s="4">
        <v>-1</v>
      </c>
      <c r="AU201" s="4">
        <v>-0.28299999999999997</v>
      </c>
      <c r="AV201" s="4">
        <v>-0.51500000000000001</v>
      </c>
      <c r="AW201" s="4">
        <v>-0.64</v>
      </c>
      <c r="AX201" s="4">
        <v>0.314</v>
      </c>
      <c r="AY201" s="4">
        <v>-0.29399999999999998</v>
      </c>
      <c r="AZ201" s="4">
        <v>0.60199999999999998</v>
      </c>
      <c r="BA201" s="4">
        <v>-0.14899999999999999</v>
      </c>
      <c r="BB201" s="4">
        <v>-7.3999999999999996E-2</v>
      </c>
      <c r="BC201" s="4">
        <v>0.64</v>
      </c>
      <c r="BD201" s="4">
        <v>0.121</v>
      </c>
      <c r="BE201" s="4">
        <v>0.108</v>
      </c>
      <c r="BF201" s="4">
        <v>-0.69299999999999995</v>
      </c>
      <c r="BG201" s="4">
        <v>-0.39400000000000002</v>
      </c>
      <c r="BH201" s="4">
        <v>2.7E-2</v>
      </c>
      <c r="BI201" s="4">
        <v>0.13200000000000001</v>
      </c>
      <c r="BJ201" s="4">
        <v>0.61699999999999999</v>
      </c>
      <c r="BK201" s="4">
        <v>-8.0000000000000002E-3</v>
      </c>
      <c r="BL201" s="4">
        <v>0.26700000000000002</v>
      </c>
      <c r="BM201" s="4">
        <v>0.223</v>
      </c>
      <c r="BN201" s="4"/>
    </row>
    <row r="202" spans="1:66" x14ac:dyDescent="0.3">
      <c r="A202" t="s">
        <v>242</v>
      </c>
      <c r="B202" s="53">
        <f t="shared" ref="B202:B222" si="25">K202</f>
        <v>0</v>
      </c>
      <c r="C202" s="53">
        <f t="shared" ref="C202:C222" si="26">B202-E202</f>
        <v>0</v>
      </c>
      <c r="D202" s="53">
        <f t="shared" ref="D202:D222" si="27">B202-K202</f>
        <v>0</v>
      </c>
      <c r="E202" s="53">
        <f t="shared" ref="E202:E222" si="28">VLOOKUP(A202,$J$295:$K$508,2,0)</f>
        <v>0</v>
      </c>
      <c r="F202" s="15">
        <v>0.505</v>
      </c>
      <c r="G202">
        <v>0.35599999999999998</v>
      </c>
      <c r="H202" t="s">
        <v>57</v>
      </c>
      <c r="I202" t="str">
        <f>VLOOKUP(A202,Planilha6!$BL$9:$BN$222,2,0)</f>
        <v>consumer_durables</v>
      </c>
      <c r="J202" t="str">
        <f>VLOOKUP(A202,Planilha6!$BL$9:$BN$222,3,0)</f>
        <v>very_high_beta</v>
      </c>
      <c r="K202" s="17">
        <v>0</v>
      </c>
      <c r="L202" s="2">
        <v>0</v>
      </c>
      <c r="M202" s="5">
        <v>0</v>
      </c>
      <c r="N202" s="41">
        <f>VLOOKUP(A202,'Mandato LP'!$A$2:$B$215,2,0)</f>
        <v>0</v>
      </c>
      <c r="O202" s="59">
        <f t="shared" ref="O202:O222" si="29">K202-N202</f>
        <v>0</v>
      </c>
      <c r="P202" s="42">
        <f t="shared" ref="P202:P226" si="30">B202-N202</f>
        <v>0</v>
      </c>
      <c r="Q202" s="41">
        <f>VLOOKUP(A202,'Mandato LP'!$A$2:$C$215,3,0)</f>
        <v>0</v>
      </c>
      <c r="R202" s="42">
        <f t="shared" ref="R202:R222" si="31">K202-Q202</f>
        <v>0</v>
      </c>
      <c r="S202" s="15">
        <v>-0.68500000000000005</v>
      </c>
      <c r="T202" s="15">
        <v>-0.82899999999999996</v>
      </c>
      <c r="U202" s="15">
        <v>-0.71899999999999997</v>
      </c>
      <c r="V202" s="15">
        <v>-0.82199999999999995</v>
      </c>
      <c r="W202" s="15">
        <v>-0.86199999999999999</v>
      </c>
      <c r="X202" s="15">
        <v>-0.80900000000000005</v>
      </c>
      <c r="Y202" s="15">
        <v>-0.78900000000000003</v>
      </c>
      <c r="Z202" s="15">
        <v>-0.94299999999999995</v>
      </c>
      <c r="AA202" s="15">
        <v>-0.27300000000000002</v>
      </c>
      <c r="AB202" s="15">
        <v>-0.27500000000000002</v>
      </c>
      <c r="AC202" s="15">
        <v>-0.48299999999999998</v>
      </c>
      <c r="AD202" s="15">
        <v>-0.65500000000000003</v>
      </c>
      <c r="AE202" s="15">
        <v>0.113</v>
      </c>
      <c r="AF202" s="14">
        <v>-0.56499999999999995</v>
      </c>
      <c r="AG202" s="110">
        <v>0.105</v>
      </c>
      <c r="AH202" s="110">
        <v>-0.46500000000000002</v>
      </c>
      <c r="AI202" s="110">
        <v>0.36899999999999999</v>
      </c>
      <c r="AJ202" s="110">
        <v>-0.46500000000000002</v>
      </c>
      <c r="AK202" s="16">
        <v>-0.60499999999999998</v>
      </c>
      <c r="AL202" s="111">
        <v>0.77700000000000002</v>
      </c>
      <c r="AM202" s="111">
        <v>-1</v>
      </c>
      <c r="AN202" s="4">
        <v>-5.0999999999999997E-2</v>
      </c>
      <c r="AO202" s="4">
        <v>4.8000000000000001E-2</v>
      </c>
      <c r="AP202" s="4">
        <v>-0.53300000000000003</v>
      </c>
      <c r="AQ202" s="4">
        <v>0.17499999999999999</v>
      </c>
      <c r="AR202" s="4">
        <v>-0.27200000000000002</v>
      </c>
      <c r="AS202" s="4">
        <v>-0.57599999999999996</v>
      </c>
      <c r="AT202" s="4">
        <v>7.4999999999999997E-2</v>
      </c>
      <c r="AU202" s="4">
        <v>-0.16400000000000001</v>
      </c>
      <c r="AV202" s="4">
        <v>-0.17599999999999999</v>
      </c>
      <c r="AW202" s="4">
        <v>-0.33900000000000002</v>
      </c>
      <c r="AX202" s="4">
        <v>-1</v>
      </c>
      <c r="AY202" s="4">
        <v>-0.60799999999999998</v>
      </c>
      <c r="AZ202" s="4">
        <v>-0.17299999999999999</v>
      </c>
      <c r="BA202" s="4">
        <v>-1</v>
      </c>
      <c r="BB202" s="4">
        <v>-0.14399999999999999</v>
      </c>
      <c r="BC202" s="4">
        <v>0.47699999999999998</v>
      </c>
      <c r="BD202" s="4">
        <v>0.67600000000000005</v>
      </c>
      <c r="BE202" s="4">
        <v>0.372</v>
      </c>
      <c r="BF202" s="4">
        <v>0.28000000000000003</v>
      </c>
      <c r="BG202" s="4">
        <v>0.38200000000000001</v>
      </c>
      <c r="BH202" s="4">
        <v>0.58399999999999996</v>
      </c>
      <c r="BI202" s="4">
        <v>1</v>
      </c>
      <c r="BJ202" s="4">
        <v>0.48899999999999999</v>
      </c>
      <c r="BK202" s="4">
        <v>0.13200000000000001</v>
      </c>
      <c r="BL202" s="4">
        <v>3.4000000000000002E-2</v>
      </c>
      <c r="BM202" s="4">
        <v>0.97699999999999998</v>
      </c>
      <c r="BN202" s="4"/>
    </row>
    <row r="203" spans="1:66" x14ac:dyDescent="0.3">
      <c r="A203" t="s">
        <v>207</v>
      </c>
      <c r="B203" s="53">
        <f t="shared" si="25"/>
        <v>0</v>
      </c>
      <c r="C203" s="53">
        <f t="shared" si="26"/>
        <v>0</v>
      </c>
      <c r="D203" s="53">
        <f t="shared" si="27"/>
        <v>0</v>
      </c>
      <c r="E203" s="53">
        <f t="shared" si="28"/>
        <v>0</v>
      </c>
      <c r="F203" s="15">
        <v>0.499</v>
      </c>
      <c r="G203">
        <v>0.35199999999999998</v>
      </c>
      <c r="H203" t="s">
        <v>53</v>
      </c>
      <c r="I203" t="str">
        <f>VLOOKUP(A203,Planilha6!$BL$9:$BN$222,2,0)</f>
        <v>healthcare</v>
      </c>
      <c r="J203" t="str">
        <f>VLOOKUP(A203,Planilha6!$BL$9:$BN$222,3,0)</f>
        <v>very_high_beta</v>
      </c>
      <c r="K203" s="17">
        <v>0</v>
      </c>
      <c r="L203" s="2">
        <v>0</v>
      </c>
      <c r="M203" s="5">
        <v>0</v>
      </c>
      <c r="N203" s="41">
        <f>VLOOKUP(A203,'Mandato LP'!$A$2:$B$215,2,0)</f>
        <v>0</v>
      </c>
      <c r="O203" s="59">
        <f t="shared" si="29"/>
        <v>0</v>
      </c>
      <c r="P203" s="42">
        <f t="shared" si="30"/>
        <v>0</v>
      </c>
      <c r="Q203" s="41">
        <f>VLOOKUP(A203,'Mandato LP'!$A$2:$C$215,3,0)</f>
        <v>0</v>
      </c>
      <c r="R203" s="42">
        <f t="shared" si="31"/>
        <v>0</v>
      </c>
      <c r="S203" s="15">
        <v>-0.752</v>
      </c>
      <c r="T203" s="15">
        <v>-0.86399999999999999</v>
      </c>
      <c r="U203" s="15">
        <v>-0.77200000000000002</v>
      </c>
      <c r="V203" s="15">
        <v>-0.83599999999999997</v>
      </c>
      <c r="W203" s="15">
        <v>-0.874</v>
      </c>
      <c r="X203" s="15">
        <v>-0.93400000000000005</v>
      </c>
      <c r="Y203" s="15">
        <v>-0.94899999999999995</v>
      </c>
      <c r="Z203" s="15">
        <v>-0.95199999999999996</v>
      </c>
      <c r="AA203" s="15">
        <v>-0.26</v>
      </c>
      <c r="AB203" s="15">
        <v>-0.26200000000000001</v>
      </c>
      <c r="AC203" s="15">
        <v>-0.29099999999999998</v>
      </c>
      <c r="AD203" s="15">
        <v>1.2999999999999999E-2</v>
      </c>
      <c r="AE203" s="15">
        <v>-0.14199999999999999</v>
      </c>
      <c r="AF203" s="14">
        <v>-0.69</v>
      </c>
      <c r="AG203" s="110">
        <v>-0.71899999999999997</v>
      </c>
      <c r="AH203" s="110">
        <v>0.124</v>
      </c>
      <c r="AI203" s="110">
        <v>-0.35299999999999998</v>
      </c>
      <c r="AJ203" s="110">
        <v>0.39900000000000002</v>
      </c>
      <c r="AK203" s="16">
        <v>-0.79200000000000004</v>
      </c>
      <c r="AL203" s="111">
        <v>-0.14099999999999999</v>
      </c>
      <c r="AM203" s="111">
        <v>-1</v>
      </c>
      <c r="AN203" s="4">
        <v>3.7999999999999999E-2</v>
      </c>
      <c r="AO203" s="4">
        <v>-0.29199999999999998</v>
      </c>
      <c r="AP203" s="4">
        <v>0.67300000000000004</v>
      </c>
      <c r="AQ203" s="4">
        <v>-0.58799999999999997</v>
      </c>
      <c r="AR203" s="4">
        <v>-0.27700000000000002</v>
      </c>
      <c r="AS203" s="4">
        <v>-0.123</v>
      </c>
      <c r="AT203" s="4">
        <v>-0.108</v>
      </c>
      <c r="AU203" s="4">
        <v>-0.28599999999999998</v>
      </c>
      <c r="AV203" s="4">
        <v>-0.45200000000000001</v>
      </c>
      <c r="AW203" s="4">
        <v>-0.48899999999999999</v>
      </c>
      <c r="AX203" s="4">
        <v>-0.76200000000000001</v>
      </c>
      <c r="AY203" s="4">
        <v>-0.34399999999999997</v>
      </c>
      <c r="AZ203" s="4">
        <v>0.63600000000000001</v>
      </c>
      <c r="BA203" s="4">
        <v>-0.89700000000000002</v>
      </c>
      <c r="BB203" s="4">
        <v>0.90400000000000003</v>
      </c>
      <c r="BC203" s="4">
        <v>1</v>
      </c>
      <c r="BD203" s="4">
        <v>0.496</v>
      </c>
      <c r="BE203" s="4">
        <v>0.84199999999999997</v>
      </c>
      <c r="BF203" s="4">
        <v>0.755</v>
      </c>
      <c r="BG203" s="4">
        <v>0.28799999999999998</v>
      </c>
      <c r="BH203" s="4">
        <v>-0.97399999999999998</v>
      </c>
      <c r="BI203" s="4">
        <v>0.84599999999999997</v>
      </c>
      <c r="BJ203" s="4">
        <v>0.36699999999999999</v>
      </c>
      <c r="BK203" s="4">
        <v>0.58899999999999997</v>
      </c>
      <c r="BL203" s="4">
        <v>0.16900000000000001</v>
      </c>
      <c r="BM203" s="4">
        <v>1.7999999999999999E-2</v>
      </c>
      <c r="BN203" s="4"/>
    </row>
    <row r="204" spans="1:66" x14ac:dyDescent="0.3">
      <c r="A204" t="s">
        <v>175</v>
      </c>
      <c r="B204" s="53">
        <f t="shared" si="25"/>
        <v>0</v>
      </c>
      <c r="C204" s="53">
        <f t="shared" si="26"/>
        <v>0</v>
      </c>
      <c r="D204" s="53">
        <f t="shared" si="27"/>
        <v>0</v>
      </c>
      <c r="E204" s="53">
        <f t="shared" si="28"/>
        <v>0</v>
      </c>
      <c r="F204" s="15">
        <v>0.495</v>
      </c>
      <c r="G204">
        <v>0.35299999999999998</v>
      </c>
      <c r="H204" t="s">
        <v>53</v>
      </c>
      <c r="I204" t="str">
        <f>VLOOKUP(A204,Planilha6!$BL$9:$BN$222,2,0)</f>
        <v>consumer_staples</v>
      </c>
      <c r="J204" t="str">
        <f>VLOOKUP(A204,Planilha6!$BL$9:$BN$222,3,0)</f>
        <v>very_high_beta</v>
      </c>
      <c r="K204" s="17">
        <v>0</v>
      </c>
      <c r="L204" s="2">
        <v>0</v>
      </c>
      <c r="M204" s="5">
        <v>0</v>
      </c>
      <c r="N204" s="41">
        <f>VLOOKUP(A204,'Mandato LP'!$A$2:$B$215,2,0)</f>
        <v>0</v>
      </c>
      <c r="O204" s="59">
        <f t="shared" si="29"/>
        <v>0</v>
      </c>
      <c r="P204" s="42">
        <f t="shared" si="30"/>
        <v>0</v>
      </c>
      <c r="Q204" s="41">
        <f>VLOOKUP(A204,'Mandato LP'!$A$2:$C$215,3,0)</f>
        <v>0</v>
      </c>
      <c r="R204" s="42">
        <f t="shared" si="31"/>
        <v>0</v>
      </c>
      <c r="S204" s="15">
        <v>-0.61499999999999999</v>
      </c>
      <c r="T204" s="15">
        <v>-0.9</v>
      </c>
      <c r="U204" s="15">
        <v>-0.51500000000000001</v>
      </c>
      <c r="V204" s="15">
        <v>-0.66900000000000004</v>
      </c>
      <c r="W204" s="15">
        <v>-0.81599999999999995</v>
      </c>
      <c r="X204" s="15">
        <v>-0.875</v>
      </c>
      <c r="Y204" s="15">
        <v>-0.90600000000000003</v>
      </c>
      <c r="Z204" s="15">
        <v>-0.93700000000000006</v>
      </c>
      <c r="AA204" s="15">
        <v>-0.36099999999999999</v>
      </c>
      <c r="AB204" s="15">
        <v>-0.36399999999999999</v>
      </c>
      <c r="AC204" s="15">
        <v>-0.31</v>
      </c>
      <c r="AD204" s="15">
        <v>-0.216</v>
      </c>
      <c r="AE204" s="15">
        <v>-0.53</v>
      </c>
      <c r="AF204" s="14">
        <v>0.223</v>
      </c>
      <c r="AG204" s="110">
        <v>1</v>
      </c>
      <c r="AH204" s="110">
        <v>-0.65500000000000003</v>
      </c>
      <c r="AI204" s="110">
        <v>1</v>
      </c>
      <c r="AJ204" s="110">
        <v>-0.64200000000000002</v>
      </c>
      <c r="AK204" s="16">
        <v>-0.28899999999999998</v>
      </c>
      <c r="AL204" s="111">
        <v>0.76</v>
      </c>
      <c r="AM204" s="111">
        <v>-1</v>
      </c>
      <c r="AN204" s="4">
        <v>0.68300000000000005</v>
      </c>
      <c r="AO204" s="4">
        <v>-2.5000000000000001E-2</v>
      </c>
      <c r="AP204" s="4">
        <v>-0.94</v>
      </c>
      <c r="AQ204" s="4">
        <v>-1</v>
      </c>
      <c r="AR204" s="4">
        <v>-6.5000000000000002E-2</v>
      </c>
      <c r="AS204" s="4">
        <v>0.33200000000000002</v>
      </c>
      <c r="AT204" s="4">
        <v>0.14699999999999999</v>
      </c>
      <c r="AU204" s="4">
        <v>-0.23699999999999999</v>
      </c>
      <c r="AV204" s="4">
        <v>-0.36799999999999999</v>
      </c>
      <c r="AW204" s="4">
        <v>4.7E-2</v>
      </c>
      <c r="AX204" s="4">
        <v>-0.61299999999999999</v>
      </c>
      <c r="AY204" s="4">
        <v>-0.34499999999999997</v>
      </c>
      <c r="AZ204" s="4">
        <v>0.27700000000000002</v>
      </c>
      <c r="BA204" s="4">
        <v>-0.17199999999999999</v>
      </c>
      <c r="BB204" s="4">
        <v>-0.10100000000000001</v>
      </c>
      <c r="BC204" s="4">
        <v>0.45600000000000002</v>
      </c>
      <c r="BD204" s="4">
        <v>0.48899999999999999</v>
      </c>
      <c r="BE204" s="4">
        <v>0.14299999999999999</v>
      </c>
      <c r="BF204" s="4">
        <v>0.48899999999999999</v>
      </c>
      <c r="BG204" s="4">
        <v>-0.38500000000000001</v>
      </c>
      <c r="BH204" s="4">
        <v>-0.876</v>
      </c>
      <c r="BI204" s="4">
        <v>0.218</v>
      </c>
      <c r="BJ204" s="4">
        <v>0.52400000000000002</v>
      </c>
      <c r="BK204" s="4">
        <v>-0.69899999999999995</v>
      </c>
      <c r="BL204" s="4">
        <v>0.76</v>
      </c>
      <c r="BM204" s="4">
        <v>0.69099999999999995</v>
      </c>
      <c r="BN204" s="4"/>
    </row>
    <row r="205" spans="1:66" x14ac:dyDescent="0.3">
      <c r="A205" t="s">
        <v>239</v>
      </c>
      <c r="B205" s="53">
        <f t="shared" si="25"/>
        <v>0</v>
      </c>
      <c r="C205" s="53">
        <f t="shared" si="26"/>
        <v>0</v>
      </c>
      <c r="D205" s="53">
        <f t="shared" si="27"/>
        <v>0</v>
      </c>
      <c r="E205" s="53">
        <f t="shared" si="28"/>
        <v>0</v>
      </c>
      <c r="F205" s="15">
        <v>0.49399999999999999</v>
      </c>
      <c r="G205">
        <v>0.34799999999999998</v>
      </c>
      <c r="H205" t="s">
        <v>57</v>
      </c>
      <c r="I205" t="str">
        <f>VLOOKUP(A205,Planilha6!$BL$9:$BN$222,2,0)</f>
        <v>tech</v>
      </c>
      <c r="J205" t="str">
        <f>VLOOKUP(A205,Planilha6!$BL$9:$BN$222,3,0)</f>
        <v>high_beta</v>
      </c>
      <c r="K205" s="17">
        <v>0</v>
      </c>
      <c r="L205" s="2">
        <v>0</v>
      </c>
      <c r="M205" s="5">
        <v>1.64736529558667</v>
      </c>
      <c r="N205" s="41">
        <f>VLOOKUP(A205,'Mandato LP'!$A$2:$B$215,2,0)</f>
        <v>0</v>
      </c>
      <c r="O205" s="59">
        <f t="shared" si="29"/>
        <v>0</v>
      </c>
      <c r="P205" s="42">
        <f t="shared" si="30"/>
        <v>0</v>
      </c>
      <c r="Q205" s="41">
        <f>VLOOKUP(A205,'Mandato LP'!$A$2:$C$215,3,0)</f>
        <v>0</v>
      </c>
      <c r="R205" s="42">
        <f t="shared" si="31"/>
        <v>0</v>
      </c>
      <c r="S205" s="15">
        <v>-0.70799999999999996</v>
      </c>
      <c r="T205" s="15">
        <v>-0.84799999999999998</v>
      </c>
      <c r="U205" s="15">
        <v>-0.38200000000000001</v>
      </c>
      <c r="V205" s="15">
        <v>-0.77</v>
      </c>
      <c r="W205" s="15">
        <v>-0.79400000000000004</v>
      </c>
      <c r="X205" s="15">
        <v>-0.85699999999999998</v>
      </c>
      <c r="Y205" s="15">
        <v>-0.878</v>
      </c>
      <c r="Z205" s="15">
        <v>-0.90900000000000003</v>
      </c>
      <c r="AA205" s="15">
        <v>-0.47599999999999998</v>
      </c>
      <c r="AB205" s="15">
        <v>-0.48</v>
      </c>
      <c r="AC205" s="15">
        <v>-0.20799999999999999</v>
      </c>
      <c r="AD205" s="15">
        <v>-0.24399999999999999</v>
      </c>
      <c r="AE205" s="15">
        <v>-0.53600000000000003</v>
      </c>
      <c r="AF205" s="14">
        <v>-4.1000000000000002E-2</v>
      </c>
      <c r="AG205" s="110">
        <v>-0.2</v>
      </c>
      <c r="AH205" s="110">
        <v>-0.90400000000000003</v>
      </c>
      <c r="AI205" s="110">
        <v>-0.16900000000000001</v>
      </c>
      <c r="AJ205" s="110">
        <v>-8.7999999999999995E-2</v>
      </c>
      <c r="AK205" s="16">
        <v>1</v>
      </c>
      <c r="AL205" s="111">
        <v>-0.66500000000000004</v>
      </c>
      <c r="AM205" s="111">
        <v>-1</v>
      </c>
      <c r="AN205" s="4">
        <v>-0.28999999999999998</v>
      </c>
      <c r="AO205" s="4">
        <v>7.6999999999999999E-2</v>
      </c>
      <c r="AP205" s="4">
        <v>-0.59499999999999997</v>
      </c>
      <c r="AQ205" s="4">
        <v>-0.71099999999999997</v>
      </c>
      <c r="AR205" s="4">
        <v>0.99</v>
      </c>
      <c r="AS205" s="4">
        <v>-0.55500000000000005</v>
      </c>
      <c r="AT205" s="4">
        <v>-8.6999999999999994E-2</v>
      </c>
      <c r="AU205" s="4">
        <v>-0.22</v>
      </c>
      <c r="AV205" s="4">
        <v>-0.45400000000000001</v>
      </c>
      <c r="AW205" s="4">
        <v>0.69299999999999995</v>
      </c>
      <c r="AX205" s="4">
        <v>-0.76400000000000001</v>
      </c>
      <c r="AY205" s="4">
        <v>0.44900000000000001</v>
      </c>
      <c r="AZ205" s="4">
        <v>0.20799999999999999</v>
      </c>
      <c r="BA205" s="4">
        <v>0.32900000000000001</v>
      </c>
      <c r="BB205" s="4">
        <v>0.107</v>
      </c>
      <c r="BC205" s="4">
        <v>-0.63200000000000001</v>
      </c>
      <c r="BD205" s="4">
        <v>-0.61099999999999999</v>
      </c>
      <c r="BE205" s="4">
        <v>0.57299999999999995</v>
      </c>
      <c r="BF205" s="4">
        <v>-0.88300000000000001</v>
      </c>
      <c r="BG205" s="4">
        <v>-1</v>
      </c>
      <c r="BH205" s="4">
        <v>-0.27</v>
      </c>
      <c r="BI205" s="4">
        <v>0.28199999999999997</v>
      </c>
      <c r="BJ205" s="4">
        <v>8.7999999999999995E-2</v>
      </c>
      <c r="BK205" s="4">
        <v>-0.38300000000000001</v>
      </c>
      <c r="BL205" s="4">
        <v>0.91300000000000003</v>
      </c>
      <c r="BM205" s="4">
        <v>-0.625</v>
      </c>
      <c r="BN205" s="4"/>
    </row>
    <row r="206" spans="1:66" x14ac:dyDescent="0.3">
      <c r="A206" t="s">
        <v>230</v>
      </c>
      <c r="B206" s="53">
        <f t="shared" si="25"/>
        <v>0</v>
      </c>
      <c r="C206" s="53">
        <f t="shared" si="26"/>
        <v>-5.5407000000000004E-4</v>
      </c>
      <c r="D206" s="53">
        <f t="shared" si="27"/>
        <v>0</v>
      </c>
      <c r="E206" s="53">
        <f t="shared" si="28"/>
        <v>5.5407000000000004E-4</v>
      </c>
      <c r="F206" s="15">
        <v>0.49299999999999999</v>
      </c>
      <c r="G206">
        <v>0.38100000000000001</v>
      </c>
      <c r="H206" t="s">
        <v>71</v>
      </c>
      <c r="I206" t="str">
        <f>VLOOKUP(A206,Planilha6!$BL$9:$BN$222,2,0)</f>
        <v>basic_materials</v>
      </c>
      <c r="J206" t="str">
        <f>VLOOKUP(A206,Planilha6!$BL$9:$BN$222,3,0)</f>
        <v>very_high_beta</v>
      </c>
      <c r="K206" s="17">
        <v>0</v>
      </c>
      <c r="L206" s="2">
        <v>-1E-3</v>
      </c>
      <c r="M206" s="5">
        <v>0.66988717906333295</v>
      </c>
      <c r="N206" s="41">
        <f>VLOOKUP(A206,'Mandato LP'!$A$2:$B$215,2,0)</f>
        <v>0</v>
      </c>
      <c r="O206" s="59">
        <f t="shared" si="29"/>
        <v>0</v>
      </c>
      <c r="P206" s="42">
        <f t="shared" si="30"/>
        <v>0</v>
      </c>
      <c r="Q206" s="41">
        <f>VLOOKUP(A206,'Mandato LP'!$A$2:$C$215,3,0)</f>
        <v>0</v>
      </c>
      <c r="R206" s="42">
        <f t="shared" si="31"/>
        <v>0</v>
      </c>
      <c r="S206" s="15">
        <v>-1</v>
      </c>
      <c r="T206" s="15">
        <v>-0.98899999999999999</v>
      </c>
      <c r="U206" s="15">
        <v>-1</v>
      </c>
      <c r="V206" s="15">
        <v>-1</v>
      </c>
      <c r="W206" s="15">
        <v>-1</v>
      </c>
      <c r="X206" s="15">
        <v>-0.96899999999999997</v>
      </c>
      <c r="Y206" s="15">
        <v>-0.92800000000000005</v>
      </c>
      <c r="Z206" s="15">
        <v>-0.93600000000000005</v>
      </c>
      <c r="AA206" s="15">
        <v>-0.38600000000000001</v>
      </c>
      <c r="AB206" s="15">
        <v>-0.38800000000000001</v>
      </c>
      <c r="AC206" s="15">
        <v>7.9000000000000001E-2</v>
      </c>
      <c r="AD206" s="15">
        <v>0.25700000000000001</v>
      </c>
      <c r="AE206" s="15">
        <v>-0.128</v>
      </c>
      <c r="AF206" s="14">
        <v>-0.91100000000000003</v>
      </c>
      <c r="AG206" s="110">
        <v>-1</v>
      </c>
      <c r="AH206" s="110">
        <v>-0.997</v>
      </c>
      <c r="AI206" s="110">
        <v>-0.77800000000000002</v>
      </c>
      <c r="AJ206" s="110">
        <v>-1</v>
      </c>
      <c r="AK206" s="16">
        <v>-0.92200000000000004</v>
      </c>
      <c r="AL206" s="111">
        <v>-0.68799999999999994</v>
      </c>
      <c r="AM206" s="111">
        <v>-7.4999999999999997E-2</v>
      </c>
      <c r="AN206" s="4">
        <v>0.30499999999999999</v>
      </c>
      <c r="AO206" s="4">
        <v>-0.78700000000000003</v>
      </c>
      <c r="AP206" s="4">
        <v>-0.78700000000000003</v>
      </c>
      <c r="AQ206" s="4">
        <v>-1</v>
      </c>
      <c r="AR206" s="4">
        <v>-0.26600000000000001</v>
      </c>
      <c r="AS206" s="4">
        <v>-1</v>
      </c>
      <c r="AT206" s="4">
        <v>-0.57599999999999996</v>
      </c>
      <c r="AU206" s="4">
        <v>-0.22600000000000001</v>
      </c>
      <c r="AV206" s="4">
        <v>-0.40699999999999997</v>
      </c>
      <c r="AW206" s="4">
        <v>-0.69299999999999995</v>
      </c>
      <c r="AX206" s="4">
        <v>-0.40600000000000003</v>
      </c>
      <c r="AY206" s="4">
        <v>-0.68899999999999995</v>
      </c>
      <c r="AZ206" s="4">
        <v>0.755</v>
      </c>
      <c r="BA206" s="4">
        <v>-1</v>
      </c>
      <c r="BB206" s="4">
        <v>0.33500000000000002</v>
      </c>
      <c r="BC206" s="4">
        <v>0.123</v>
      </c>
      <c r="BD206" s="4">
        <v>-0.16600000000000001</v>
      </c>
      <c r="BE206" s="4">
        <v>5.2999999999999999E-2</v>
      </c>
      <c r="BF206" s="4">
        <v>-0.33500000000000002</v>
      </c>
      <c r="BG206" s="4">
        <v>-0.248</v>
      </c>
      <c r="BH206" s="4">
        <v>-0.05</v>
      </c>
      <c r="BI206" s="4">
        <v>0.45</v>
      </c>
      <c r="BJ206" s="4">
        <v>0.39300000000000002</v>
      </c>
      <c r="BK206" s="4">
        <v>-0.34899999999999998</v>
      </c>
      <c r="BL206" s="4">
        <v>0.11</v>
      </c>
      <c r="BM206" s="4">
        <v>-0.11799999999999999</v>
      </c>
      <c r="BN206" s="4"/>
    </row>
    <row r="207" spans="1:66" x14ac:dyDescent="0.3">
      <c r="A207" t="s">
        <v>249</v>
      </c>
      <c r="B207" s="53">
        <f t="shared" si="25"/>
        <v>0</v>
      </c>
      <c r="C207" s="53">
        <f t="shared" si="26"/>
        <v>0</v>
      </c>
      <c r="D207" s="53">
        <f t="shared" si="27"/>
        <v>0</v>
      </c>
      <c r="E207" s="53">
        <f t="shared" si="28"/>
        <v>0</v>
      </c>
      <c r="F207" s="15">
        <v>0.49</v>
      </c>
      <c r="G207">
        <v>0.34499999999999997</v>
      </c>
      <c r="H207" t="s">
        <v>71</v>
      </c>
      <c r="I207" t="str">
        <f>VLOOKUP(A207,Planilha6!$BL$9:$BN$222,2,0)</f>
        <v>basic_materials</v>
      </c>
      <c r="J207" t="str">
        <f>VLOOKUP(A207,Planilha6!$BL$9:$BN$222,3,0)</f>
        <v>very_high_beta</v>
      </c>
      <c r="K207" s="17">
        <v>0</v>
      </c>
      <c r="L207" s="2">
        <v>0</v>
      </c>
      <c r="M207" s="5">
        <v>0</v>
      </c>
      <c r="N207" s="41">
        <f>VLOOKUP(A207,'Mandato LP'!$A$2:$B$215,2,0)</f>
        <v>0</v>
      </c>
      <c r="O207" s="59">
        <f t="shared" si="29"/>
        <v>0</v>
      </c>
      <c r="P207" s="42">
        <f t="shared" si="30"/>
        <v>0</v>
      </c>
      <c r="Q207" s="41">
        <f>VLOOKUP(A207,'Mandato LP'!$A$2:$C$215,3,0)</f>
        <v>0</v>
      </c>
      <c r="R207" s="42">
        <f t="shared" si="31"/>
        <v>0</v>
      </c>
      <c r="S207" s="15">
        <v>-0.91600000000000004</v>
      </c>
      <c r="T207" s="15">
        <v>-0.92200000000000004</v>
      </c>
      <c r="U207" s="15">
        <v>-0.90800000000000003</v>
      </c>
      <c r="V207" s="15">
        <v>-0.93700000000000006</v>
      </c>
      <c r="W207" s="15">
        <v>-0.93799999999999994</v>
      </c>
      <c r="X207" s="15">
        <v>-0.94</v>
      </c>
      <c r="Y207" s="15">
        <v>-0.94399999999999995</v>
      </c>
      <c r="Z207" s="15">
        <v>-0.92100000000000004</v>
      </c>
      <c r="AA207" s="15">
        <v>-0.185</v>
      </c>
      <c r="AB207" s="15">
        <v>-0.19800000000000001</v>
      </c>
      <c r="AC207" s="15">
        <v>-0.51300000000000001</v>
      </c>
      <c r="AD207" s="15">
        <v>-1</v>
      </c>
      <c r="AE207" s="15">
        <v>-0.10100000000000001</v>
      </c>
      <c r="AF207" s="14">
        <v>-0.98799999999999999</v>
      </c>
      <c r="AG207" s="110">
        <v>-1</v>
      </c>
      <c r="AH207" s="110">
        <v>-0.753</v>
      </c>
      <c r="AI207" s="110">
        <v>-0.622</v>
      </c>
      <c r="AJ207" s="110">
        <v>0.151</v>
      </c>
      <c r="AK207" s="16">
        <v>-0.62</v>
      </c>
      <c r="AL207" s="111">
        <v>-0.54300000000000004</v>
      </c>
      <c r="AM207" s="111">
        <v>-0.30299999999999999</v>
      </c>
      <c r="AN207" s="4">
        <v>-0.34</v>
      </c>
      <c r="AO207" s="4">
        <v>-0.46700000000000003</v>
      </c>
      <c r="AP207" s="4">
        <v>0.64600000000000002</v>
      </c>
      <c r="AQ207" s="4">
        <v>-0.56499999999999995</v>
      </c>
      <c r="AR207" s="4">
        <v>-0.65500000000000003</v>
      </c>
      <c r="AS207" s="4">
        <v>-0.92100000000000004</v>
      </c>
      <c r="AT207" s="4">
        <v>-0.123</v>
      </c>
      <c r="AU207" s="4">
        <v>-0.64200000000000002</v>
      </c>
      <c r="AV207" s="4">
        <v>7.0999999999999994E-2</v>
      </c>
      <c r="AW207" s="4">
        <v>-0.376</v>
      </c>
      <c r="AX207" s="4">
        <v>-0.85699999999999998</v>
      </c>
      <c r="AY207" s="4">
        <v>-7.8E-2</v>
      </c>
      <c r="AZ207" s="4">
        <v>1E-3</v>
      </c>
      <c r="BA207" s="4">
        <v>-1</v>
      </c>
      <c r="BB207" s="4">
        <v>0.78600000000000003</v>
      </c>
      <c r="BC207" s="4">
        <v>0.314</v>
      </c>
      <c r="BD207" s="4">
        <v>0.65400000000000003</v>
      </c>
      <c r="BE207" s="4">
        <v>0.54700000000000004</v>
      </c>
      <c r="BF207" s="4">
        <v>-1</v>
      </c>
      <c r="BG207" s="4">
        <v>-0.48099999999999998</v>
      </c>
      <c r="BH207" s="4">
        <v>-1</v>
      </c>
      <c r="BI207" s="4">
        <v>0.3</v>
      </c>
      <c r="BJ207" s="4">
        <v>0.372</v>
      </c>
      <c r="BK207" s="4">
        <v>0.79200000000000004</v>
      </c>
      <c r="BL207" s="4">
        <v>0.70399999999999996</v>
      </c>
      <c r="BM207" s="4">
        <v>0.90300000000000002</v>
      </c>
      <c r="BN207" s="4"/>
    </row>
    <row r="208" spans="1:66" x14ac:dyDescent="0.3">
      <c r="A208" t="s">
        <v>251</v>
      </c>
      <c r="B208" s="53">
        <f t="shared" si="25"/>
        <v>0</v>
      </c>
      <c r="C208" s="53">
        <f t="shared" si="26"/>
        <v>0</v>
      </c>
      <c r="D208" s="53">
        <f t="shared" si="27"/>
        <v>0</v>
      </c>
      <c r="E208" s="53">
        <f t="shared" si="28"/>
        <v>0</v>
      </c>
      <c r="F208" s="15">
        <v>0.48699999999999999</v>
      </c>
      <c r="G208">
        <v>0.34300000000000003</v>
      </c>
      <c r="H208" t="s">
        <v>55</v>
      </c>
      <c r="I208" t="str">
        <f>VLOOKUP(A208,Planilha6!$BL$9:$BN$222,2,0)</f>
        <v>utilities</v>
      </c>
      <c r="J208" t="str">
        <f>VLOOKUP(A208,Planilha6!$BL$9:$BN$222,3,0)</f>
        <v>neutral_beta</v>
      </c>
      <c r="K208" s="17">
        <v>0</v>
      </c>
      <c r="L208" s="2">
        <v>0</v>
      </c>
      <c r="M208" s="5">
        <v>4.4711546666666699E-2</v>
      </c>
      <c r="N208" s="41">
        <f>VLOOKUP(A208,'Mandato LP'!$A$2:$B$215,2,0)</f>
        <v>0</v>
      </c>
      <c r="O208" s="59">
        <f t="shared" si="29"/>
        <v>0</v>
      </c>
      <c r="P208" s="42">
        <f t="shared" si="30"/>
        <v>0</v>
      </c>
      <c r="Q208" s="41">
        <f>VLOOKUP(A208,'Mandato LP'!$A$2:$C$215,3,0)</f>
        <v>0</v>
      </c>
      <c r="R208" s="42">
        <f t="shared" si="31"/>
        <v>0</v>
      </c>
      <c r="S208" s="15">
        <v>-0.82199999999999995</v>
      </c>
      <c r="T208" s="15">
        <v>-0.91200000000000003</v>
      </c>
      <c r="U208" s="15">
        <v>-0.66700000000000004</v>
      </c>
      <c r="V208" s="15">
        <v>-0.88600000000000001</v>
      </c>
      <c r="W208" s="15">
        <v>-0.89100000000000001</v>
      </c>
      <c r="X208" s="15">
        <v>-0.92700000000000005</v>
      </c>
      <c r="Y208" s="15">
        <v>-0.94599999999999995</v>
      </c>
      <c r="Z208" s="15">
        <v>-0.95099999999999996</v>
      </c>
      <c r="AA208" s="15">
        <v>-0.23200000000000001</v>
      </c>
      <c r="AB208" s="15">
        <v>-0.23400000000000001</v>
      </c>
      <c r="AC208" s="15">
        <v>-0.40200000000000002</v>
      </c>
      <c r="AD208" s="15">
        <v>-0.67</v>
      </c>
      <c r="AE208" s="15">
        <v>-0.50800000000000001</v>
      </c>
      <c r="AF208" s="14">
        <v>-0.55000000000000004</v>
      </c>
      <c r="AG208" s="110">
        <v>-0.14499999999999999</v>
      </c>
      <c r="AH208" s="110">
        <v>-0.377</v>
      </c>
      <c r="AI208" s="110">
        <v>1</v>
      </c>
      <c r="AJ208" s="110">
        <v>-0.33</v>
      </c>
      <c r="AK208" s="16">
        <v>-0.51600000000000001</v>
      </c>
      <c r="AL208" s="111">
        <v>0.63500000000000001</v>
      </c>
      <c r="AM208" s="111">
        <v>-1</v>
      </c>
      <c r="AN208" s="4">
        <v>0.84</v>
      </c>
      <c r="AO208" s="4">
        <v>-0.26200000000000001</v>
      </c>
      <c r="AP208" s="4">
        <v>-0.54100000000000004</v>
      </c>
      <c r="AQ208" s="4">
        <v>-0.68300000000000005</v>
      </c>
      <c r="AR208" s="4">
        <v>-0.36499999999999999</v>
      </c>
      <c r="AS208" s="4">
        <v>-0.70899999999999996</v>
      </c>
      <c r="AT208" s="4">
        <v>-0.36199999999999999</v>
      </c>
      <c r="AU208" s="4">
        <v>-0.105</v>
      </c>
      <c r="AV208" s="4">
        <v>-0.32200000000000001</v>
      </c>
      <c r="AW208" s="4">
        <v>-0.69299999999999995</v>
      </c>
      <c r="AX208" s="4">
        <v>-0.63800000000000001</v>
      </c>
      <c r="AY208" s="4">
        <v>-0.38300000000000001</v>
      </c>
      <c r="AZ208" s="4">
        <v>0.69199999999999995</v>
      </c>
      <c r="BA208" s="4">
        <v>8.2000000000000003E-2</v>
      </c>
      <c r="BB208" s="4">
        <v>0.78100000000000003</v>
      </c>
      <c r="BC208" s="4">
        <v>-0.32800000000000001</v>
      </c>
      <c r="BD208" s="4">
        <v>-0.32900000000000001</v>
      </c>
      <c r="BE208" s="4">
        <v>-0.26900000000000002</v>
      </c>
      <c r="BF208" s="4">
        <v>0.44400000000000001</v>
      </c>
      <c r="BG208" s="4">
        <v>-0.30099999999999999</v>
      </c>
      <c r="BH208" s="4">
        <v>-0.78</v>
      </c>
      <c r="BI208" s="4">
        <v>0.91700000000000004</v>
      </c>
      <c r="BJ208" s="4">
        <v>7.3999999999999996E-2</v>
      </c>
      <c r="BK208" s="4">
        <v>-0.13900000000000001</v>
      </c>
      <c r="BL208" s="4">
        <v>1</v>
      </c>
      <c r="BM208" s="4">
        <v>-0.51500000000000001</v>
      </c>
      <c r="BN208" s="4"/>
    </row>
    <row r="209" spans="1:66" x14ac:dyDescent="0.3">
      <c r="A209" t="s">
        <v>243</v>
      </c>
      <c r="B209" s="53">
        <f t="shared" si="25"/>
        <v>0</v>
      </c>
      <c r="C209" s="53">
        <f t="shared" si="26"/>
        <v>-4.2998999999999999E-4</v>
      </c>
      <c r="D209" s="53">
        <f t="shared" si="27"/>
        <v>0</v>
      </c>
      <c r="E209" s="53">
        <f t="shared" si="28"/>
        <v>4.2998999999999999E-4</v>
      </c>
      <c r="F209" s="15">
        <v>0.48499999999999999</v>
      </c>
      <c r="G209">
        <v>0.34599999999999997</v>
      </c>
      <c r="H209" t="s">
        <v>53</v>
      </c>
      <c r="I209" t="str">
        <f>VLOOKUP(A209,Planilha6!$BL$9:$BN$222,2,0)</f>
        <v>healthcare</v>
      </c>
      <c r="J209" t="str">
        <f>VLOOKUP(A209,Planilha6!$BL$9:$BN$222,3,0)</f>
        <v>very_high_beta</v>
      </c>
      <c r="K209" s="17">
        <v>0</v>
      </c>
      <c r="L209" s="2">
        <v>0</v>
      </c>
      <c r="M209" s="5">
        <v>0</v>
      </c>
      <c r="N209" s="41">
        <f>VLOOKUP(A209,'Mandato LP'!$A$2:$B$215,2,0)</f>
        <v>0</v>
      </c>
      <c r="O209" s="59">
        <f t="shared" si="29"/>
        <v>0</v>
      </c>
      <c r="P209" s="42">
        <f t="shared" si="30"/>
        <v>0</v>
      </c>
      <c r="Q209" s="41">
        <f>VLOOKUP(A209,'Mandato LP'!$A$2:$C$215,3,0)</f>
        <v>0</v>
      </c>
      <c r="R209" s="42">
        <f t="shared" si="31"/>
        <v>0</v>
      </c>
      <c r="S209" s="15">
        <v>-0.71899999999999997</v>
      </c>
      <c r="T209" s="15">
        <v>-0.91400000000000003</v>
      </c>
      <c r="U209" s="15">
        <v>-0.72399999999999998</v>
      </c>
      <c r="V209" s="15">
        <v>-0.67100000000000004</v>
      </c>
      <c r="W209" s="15">
        <v>-0.83799999999999997</v>
      </c>
      <c r="X209" s="15">
        <v>-0.89300000000000002</v>
      </c>
      <c r="Y209" s="15">
        <v>-0.92700000000000005</v>
      </c>
      <c r="Z209" s="15">
        <v>-0.94799999999999995</v>
      </c>
      <c r="AA209" s="15">
        <v>-0.23400000000000001</v>
      </c>
      <c r="AB209" s="15">
        <v>-0.23899999999999999</v>
      </c>
      <c r="AC209" s="15">
        <v>-1</v>
      </c>
      <c r="AD209" s="15">
        <v>-1</v>
      </c>
      <c r="AE209" s="15">
        <v>-0.6</v>
      </c>
      <c r="AF209" s="14">
        <v>0.217</v>
      </c>
      <c r="AG209" s="110">
        <v>1</v>
      </c>
      <c r="AH209" s="110">
        <v>-0.57599999999999996</v>
      </c>
      <c r="AI209" s="110">
        <v>-1.0999999999999999E-2</v>
      </c>
      <c r="AJ209" s="110">
        <v>-0.91400000000000003</v>
      </c>
      <c r="AK209" s="16">
        <v>-0.57699999999999996</v>
      </c>
      <c r="AL209" s="111">
        <v>0.51400000000000001</v>
      </c>
      <c r="AM209" s="111">
        <v>-1</v>
      </c>
      <c r="AN209" s="4">
        <v>0.91</v>
      </c>
      <c r="AO209" s="4">
        <v>0.17599999999999999</v>
      </c>
      <c r="AP209" s="4">
        <v>-1</v>
      </c>
      <c r="AQ209" s="4">
        <v>-0.72399999999999998</v>
      </c>
      <c r="AR209" s="4">
        <v>0.35499999999999998</v>
      </c>
      <c r="AS209" s="4">
        <v>0.63400000000000001</v>
      </c>
      <c r="AT209" s="4">
        <v>0.67400000000000004</v>
      </c>
      <c r="AU209" s="4">
        <v>-0.121</v>
      </c>
      <c r="AV209" s="4">
        <v>-0.51300000000000001</v>
      </c>
      <c r="AW209" s="4">
        <v>-2.5999999999999999E-2</v>
      </c>
      <c r="AX209" s="4">
        <v>-0.751</v>
      </c>
      <c r="AY209" s="4">
        <v>-0.36299999999999999</v>
      </c>
      <c r="AZ209" s="4">
        <v>0.58299999999999996</v>
      </c>
      <c r="BA209" s="4">
        <v>-0.02</v>
      </c>
      <c r="BB209" s="4">
        <v>-0.84899999999999998</v>
      </c>
      <c r="BC209" s="4">
        <v>0.24399999999999999</v>
      </c>
      <c r="BD209" s="4">
        <v>-9.0999999999999998E-2</v>
      </c>
      <c r="BE209" s="4">
        <v>-2E-3</v>
      </c>
      <c r="BF209" s="4">
        <v>-1</v>
      </c>
      <c r="BG209" s="4">
        <v>-0.72299999999999998</v>
      </c>
      <c r="BH209" s="4">
        <v>-0.93500000000000005</v>
      </c>
      <c r="BI209" s="4">
        <v>0.95099999999999996</v>
      </c>
      <c r="BJ209" s="4">
        <v>0.44600000000000001</v>
      </c>
      <c r="BK209" s="4">
        <v>-0.96499999999999997</v>
      </c>
      <c r="BL209" s="4">
        <v>-3.0000000000000001E-3</v>
      </c>
      <c r="BM209" s="4">
        <v>-0.41399999999999998</v>
      </c>
      <c r="BN209" s="4"/>
    </row>
    <row r="210" spans="1:66" x14ac:dyDescent="0.3">
      <c r="A210" t="s">
        <v>256</v>
      </c>
      <c r="B210" s="53">
        <f t="shared" si="25"/>
        <v>0</v>
      </c>
      <c r="C210" s="53">
        <f t="shared" si="26"/>
        <v>0</v>
      </c>
      <c r="D210" s="53">
        <f t="shared" si="27"/>
        <v>0</v>
      </c>
      <c r="E210" s="53">
        <f t="shared" si="28"/>
        <v>0</v>
      </c>
      <c r="F210" s="15">
        <v>0.48099999999999998</v>
      </c>
      <c r="G210">
        <v>0.36299999999999999</v>
      </c>
      <c r="H210" t="s">
        <v>68</v>
      </c>
      <c r="I210" t="str">
        <f>VLOOKUP(A210,Planilha6!$BL$9:$BN$222,2,0)</f>
        <v>building_materials</v>
      </c>
      <c r="J210" t="str">
        <f>VLOOKUP(A210,Planilha6!$BL$9:$BN$222,3,0)</f>
        <v>very_low_beta</v>
      </c>
      <c r="K210" s="17">
        <v>0</v>
      </c>
      <c r="L210" s="2">
        <v>0</v>
      </c>
      <c r="M210" s="5">
        <v>7.0017460000000004E-2</v>
      </c>
      <c r="N210" s="41">
        <f>VLOOKUP(A210,'Mandato LP'!$A$2:$B$215,2,0)</f>
        <v>0</v>
      </c>
      <c r="O210" s="59">
        <f t="shared" si="29"/>
        <v>0</v>
      </c>
      <c r="P210" s="42">
        <f t="shared" si="30"/>
        <v>0</v>
      </c>
      <c r="Q210" s="41">
        <f>VLOOKUP(A210,'Mandato LP'!$A$2:$C$215,3,0)</f>
        <v>0</v>
      </c>
      <c r="R210" s="42">
        <f t="shared" si="31"/>
        <v>0</v>
      </c>
      <c r="S210" s="15">
        <v>-0.94799999999999995</v>
      </c>
      <c r="T210" s="15">
        <v>-0.95399999999999996</v>
      </c>
      <c r="U210" s="15">
        <v>-0.81499999999999995</v>
      </c>
      <c r="V210" s="15">
        <v>-0.97299999999999998</v>
      </c>
      <c r="W210" s="15">
        <v>-0.95199999999999996</v>
      </c>
      <c r="X210" s="15">
        <v>-0.97899999999999998</v>
      </c>
      <c r="Y210" s="15">
        <v>-0.96599999999999997</v>
      </c>
      <c r="Z210" s="15">
        <v>-0.97</v>
      </c>
      <c r="AA210" s="15">
        <v>-0.64700000000000002</v>
      </c>
      <c r="AB210" s="15">
        <v>-0.64500000000000002</v>
      </c>
      <c r="AC210" s="15">
        <v>-0.219</v>
      </c>
      <c r="AD210" s="15">
        <v>-0.38100000000000001</v>
      </c>
      <c r="AE210" s="15">
        <v>-0.504</v>
      </c>
      <c r="AF210" s="14">
        <v>-0.93400000000000005</v>
      </c>
      <c r="AG210" s="110">
        <v>-0.93200000000000005</v>
      </c>
      <c r="AH210" s="110">
        <v>-0.80200000000000005</v>
      </c>
      <c r="AI210" s="110">
        <v>0.42199999999999999</v>
      </c>
      <c r="AJ210" s="110">
        <v>-0.109</v>
      </c>
      <c r="AK210" s="16">
        <v>-0.51600000000000001</v>
      </c>
      <c r="AL210" s="111">
        <v>0.221</v>
      </c>
      <c r="AM210" s="111">
        <v>-1</v>
      </c>
      <c r="AN210" s="4">
        <v>-0.47599999999999998</v>
      </c>
      <c r="AO210" s="4">
        <v>-0.27300000000000002</v>
      </c>
      <c r="AP210" s="4">
        <v>-0.82099999999999995</v>
      </c>
      <c r="AQ210" s="4">
        <v>-0.436</v>
      </c>
      <c r="AR210" s="4">
        <v>-0.502</v>
      </c>
      <c r="AS210" s="4">
        <v>-0.69299999999999995</v>
      </c>
      <c r="AT210" s="4">
        <v>-0.48499999999999999</v>
      </c>
      <c r="AU210" s="4">
        <v>-0.252</v>
      </c>
      <c r="AV210" s="4">
        <v>-0.46899999999999997</v>
      </c>
      <c r="AW210" s="4">
        <v>-0.53900000000000003</v>
      </c>
      <c r="AX210" s="4">
        <v>-0.22</v>
      </c>
      <c r="AY210" s="4">
        <v>-0.68899999999999995</v>
      </c>
      <c r="AZ210" s="4">
        <v>-0.107</v>
      </c>
      <c r="BA210" s="4">
        <v>1.7000000000000001E-2</v>
      </c>
      <c r="BB210" s="4">
        <v>4.2999999999999997E-2</v>
      </c>
      <c r="BC210" s="4">
        <v>0.65200000000000002</v>
      </c>
      <c r="BD210" s="4">
        <v>0.26300000000000001</v>
      </c>
      <c r="BE210" s="4">
        <v>-0.16</v>
      </c>
      <c r="BF210" s="4">
        <v>1</v>
      </c>
      <c r="BG210" s="4">
        <v>-0.433</v>
      </c>
      <c r="BH210" s="4">
        <v>-0.48299999999999998</v>
      </c>
      <c r="BI210" s="4">
        <v>0.26500000000000001</v>
      </c>
      <c r="BJ210" s="4">
        <v>-1.9E-2</v>
      </c>
      <c r="BK210" s="4">
        <v>0.90600000000000003</v>
      </c>
      <c r="BL210" s="4">
        <v>0.67</v>
      </c>
      <c r="BM210" s="4">
        <v>-0.879</v>
      </c>
      <c r="BN210" s="4"/>
    </row>
    <row r="211" spans="1:66" x14ac:dyDescent="0.3">
      <c r="A211" t="s">
        <v>258</v>
      </c>
      <c r="B211" s="53">
        <f t="shared" si="25"/>
        <v>0</v>
      </c>
      <c r="C211" s="53">
        <f t="shared" si="26"/>
        <v>0</v>
      </c>
      <c r="D211" s="53">
        <f t="shared" si="27"/>
        <v>0</v>
      </c>
      <c r="E211" s="53">
        <f t="shared" si="28"/>
        <v>0</v>
      </c>
      <c r="F211" s="15">
        <v>0.48</v>
      </c>
      <c r="G211">
        <v>0.35599999999999998</v>
      </c>
      <c r="H211" t="s">
        <v>57</v>
      </c>
      <c r="I211" t="str">
        <f>VLOOKUP(A211,Planilha6!$BL$9:$BN$222,2,0)</f>
        <v>consumer_durables</v>
      </c>
      <c r="J211" t="str">
        <f>VLOOKUP(A211,Planilha6!$BL$9:$BN$222,3,0)</f>
        <v>very_high_beta</v>
      </c>
      <c r="K211" s="17">
        <v>0</v>
      </c>
      <c r="L211" s="2">
        <v>0</v>
      </c>
      <c r="M211" s="5">
        <v>9.6916325930000005E-2</v>
      </c>
      <c r="N211" s="41">
        <f>VLOOKUP(A211,'Mandato LP'!$A$2:$B$215,2,0)</f>
        <v>0</v>
      </c>
      <c r="O211" s="59">
        <f t="shared" si="29"/>
        <v>0</v>
      </c>
      <c r="P211" s="42">
        <f t="shared" si="30"/>
        <v>0</v>
      </c>
      <c r="Q211" s="41">
        <f>VLOOKUP(A211,'Mandato LP'!$A$2:$C$215,3,0)</f>
        <v>0</v>
      </c>
      <c r="R211" s="42">
        <f t="shared" si="31"/>
        <v>0</v>
      </c>
      <c r="S211" s="15">
        <v>-0.93799999999999994</v>
      </c>
      <c r="T211" s="15">
        <v>-0.93600000000000005</v>
      </c>
      <c r="U211" s="15">
        <v>-0.89500000000000002</v>
      </c>
      <c r="V211" s="15">
        <v>-0.96899999999999997</v>
      </c>
      <c r="W211" s="15">
        <v>-0.95399999999999996</v>
      </c>
      <c r="X211" s="15">
        <v>-0.95599999999999996</v>
      </c>
      <c r="Y211" s="15">
        <v>-0.94</v>
      </c>
      <c r="Z211" s="15">
        <v>-0.95099999999999996</v>
      </c>
      <c r="AA211" s="15">
        <v>-0.59</v>
      </c>
      <c r="AB211" s="15">
        <v>-0.59199999999999997</v>
      </c>
      <c r="AC211" s="15">
        <v>-0.48499999999999999</v>
      </c>
      <c r="AD211" s="15">
        <v>-0.41699999999999998</v>
      </c>
      <c r="AE211" s="15">
        <v>-0.55800000000000005</v>
      </c>
      <c r="AF211" s="14">
        <v>-0.85599999999999998</v>
      </c>
      <c r="AG211" s="110">
        <v>-0.90500000000000003</v>
      </c>
      <c r="AH211" s="110">
        <v>-0.86299999999999999</v>
      </c>
      <c r="AI211" s="110">
        <v>0.30599999999999999</v>
      </c>
      <c r="AJ211" s="110">
        <v>-0.184</v>
      </c>
      <c r="AK211" s="16">
        <v>-0.51200000000000001</v>
      </c>
      <c r="AL211" s="111">
        <v>7.4999999999999997E-2</v>
      </c>
      <c r="AM211" s="111">
        <v>-0.68500000000000005</v>
      </c>
      <c r="AN211" s="4">
        <v>-0.28899999999999998</v>
      </c>
      <c r="AO211" s="4">
        <v>-0.61399999999999999</v>
      </c>
      <c r="AP211" s="4">
        <v>-0.60799999999999998</v>
      </c>
      <c r="AQ211" s="4">
        <v>-0.66900000000000004</v>
      </c>
      <c r="AR211" s="4">
        <v>-0.48899999999999999</v>
      </c>
      <c r="AS211" s="4">
        <v>-1</v>
      </c>
      <c r="AT211" s="4">
        <v>-0.48499999999999999</v>
      </c>
      <c r="AU211" s="4">
        <v>-0.14000000000000001</v>
      </c>
      <c r="AV211" s="4">
        <v>-0.378</v>
      </c>
      <c r="AW211" s="4">
        <v>-0.52900000000000003</v>
      </c>
      <c r="AX211" s="4">
        <v>-0.69399999999999995</v>
      </c>
      <c r="AY211" s="4">
        <v>0.24199999999999999</v>
      </c>
      <c r="AZ211" s="4">
        <v>0.34799999999999998</v>
      </c>
      <c r="BA211" s="4">
        <v>-0.14099999999999999</v>
      </c>
      <c r="BB211" s="4">
        <v>-9.6000000000000002E-2</v>
      </c>
      <c r="BC211" s="4">
        <v>0.54500000000000004</v>
      </c>
      <c r="BD211" s="4">
        <v>0.39</v>
      </c>
      <c r="BE211" s="4">
        <v>-3.9E-2</v>
      </c>
      <c r="BF211" s="4">
        <v>-0.47199999999999998</v>
      </c>
      <c r="BG211" s="4">
        <v>-1</v>
      </c>
      <c r="BH211" s="4">
        <v>-0.157</v>
      </c>
      <c r="BI211" s="4">
        <v>0.53400000000000003</v>
      </c>
      <c r="BJ211" s="4">
        <v>0.69699999999999995</v>
      </c>
      <c r="BK211" s="4">
        <v>-0.20100000000000001</v>
      </c>
      <c r="BL211" s="4">
        <v>0.96299999999999997</v>
      </c>
      <c r="BM211" s="4">
        <v>-0.46500000000000002</v>
      </c>
      <c r="BN211" s="4"/>
    </row>
    <row r="212" spans="1:66" x14ac:dyDescent="0.3">
      <c r="A212" t="s">
        <v>265</v>
      </c>
      <c r="B212" s="53">
        <f t="shared" si="25"/>
        <v>0</v>
      </c>
      <c r="C212" s="53">
        <f t="shared" si="26"/>
        <v>0</v>
      </c>
      <c r="D212" s="53">
        <f t="shared" si="27"/>
        <v>0</v>
      </c>
      <c r="E212" s="53">
        <f t="shared" si="28"/>
        <v>0</v>
      </c>
      <c r="F212" s="15">
        <v>0.47499999999999998</v>
      </c>
      <c r="G212">
        <v>0.33400000000000002</v>
      </c>
      <c r="H212" t="s">
        <v>68</v>
      </c>
      <c r="I212" t="str">
        <f>VLOOKUP(A212,Planilha6!$BL$9:$BN$222,2,0)</f>
        <v>capital_goods</v>
      </c>
      <c r="J212" t="str">
        <f>VLOOKUP(A212,Planilha6!$BL$9:$BN$222,3,0)</f>
        <v>very_low_beta</v>
      </c>
      <c r="K212" s="17">
        <v>0</v>
      </c>
      <c r="L212" s="2">
        <v>0</v>
      </c>
      <c r="M212" s="5">
        <v>0</v>
      </c>
      <c r="N212" s="41">
        <f>VLOOKUP(A212,'Mandato LP'!$A$2:$B$215,2,0)</f>
        <v>0</v>
      </c>
      <c r="O212" s="59">
        <f t="shared" si="29"/>
        <v>0</v>
      </c>
      <c r="P212" s="42">
        <f t="shared" si="30"/>
        <v>0</v>
      </c>
      <c r="Q212" s="41">
        <f>VLOOKUP(A212,'Mandato LP'!$A$2:$C$215,3,0)</f>
        <v>0</v>
      </c>
      <c r="R212" s="42">
        <f t="shared" si="31"/>
        <v>0</v>
      </c>
      <c r="S212" s="15">
        <v>-0.92300000000000004</v>
      </c>
      <c r="T212" s="15">
        <v>-0.94199999999999995</v>
      </c>
      <c r="U212" s="15">
        <v>-0.82499999999999996</v>
      </c>
      <c r="V212" s="15">
        <v>-0.98199999999999998</v>
      </c>
      <c r="W212" s="15">
        <v>-0.95599999999999996</v>
      </c>
      <c r="X212" s="15">
        <v>-0.94899999999999995</v>
      </c>
      <c r="Y212" s="15">
        <v>-0.93</v>
      </c>
      <c r="Z212" s="15">
        <v>-0.97899999999999998</v>
      </c>
      <c r="AA212" s="15">
        <v>-0.97699999999999998</v>
      </c>
      <c r="AB212" s="15">
        <v>-0.98099999999999998</v>
      </c>
      <c r="AC212" s="15">
        <v>-1</v>
      </c>
      <c r="AD212" s="15">
        <v>-0.81</v>
      </c>
      <c r="AE212" s="15">
        <v>-0.46500000000000002</v>
      </c>
      <c r="AF212" s="14">
        <v>-1</v>
      </c>
      <c r="AG212" s="110">
        <v>-1</v>
      </c>
      <c r="AH212" s="110">
        <v>-0.91900000000000004</v>
      </c>
      <c r="AI212" s="110">
        <v>-0.54700000000000004</v>
      </c>
      <c r="AJ212" s="110">
        <v>1</v>
      </c>
      <c r="AK212" s="16">
        <v>-0.51600000000000001</v>
      </c>
      <c r="AL212" s="111">
        <v>-0.81299999999999994</v>
      </c>
      <c r="AM212" s="111">
        <v>-1</v>
      </c>
      <c r="AN212" s="4">
        <v>-0.91300000000000003</v>
      </c>
      <c r="AO212" s="4">
        <v>-0.26700000000000002</v>
      </c>
      <c r="AP212" s="4">
        <v>0.40600000000000003</v>
      </c>
      <c r="AQ212" s="4">
        <v>-0.85499999999999998</v>
      </c>
      <c r="AR212" s="4">
        <v>-0.224</v>
      </c>
      <c r="AS212" s="4">
        <v>0.28399999999999997</v>
      </c>
      <c r="AT212" s="4">
        <v>0.33800000000000002</v>
      </c>
      <c r="AU212" s="4">
        <v>-1</v>
      </c>
      <c r="AV212" s="4">
        <v>-0.95599999999999996</v>
      </c>
      <c r="AW212" s="4">
        <v>-1</v>
      </c>
      <c r="AX212" s="4">
        <v>-0.46800000000000003</v>
      </c>
      <c r="AY212" s="4">
        <v>-0.67100000000000004</v>
      </c>
      <c r="AZ212" s="4">
        <v>-1</v>
      </c>
      <c r="BA212" s="4">
        <v>-1</v>
      </c>
      <c r="BB212" s="4">
        <v>0.95199999999999996</v>
      </c>
      <c r="BC212" s="4">
        <v>0.98699999999999999</v>
      </c>
      <c r="BD212" s="4">
        <v>0.54900000000000004</v>
      </c>
      <c r="BE212" s="4">
        <v>8.8999999999999996E-2</v>
      </c>
      <c r="BF212" s="4">
        <v>0.99099999999999999</v>
      </c>
      <c r="BG212" s="4">
        <v>-0.246</v>
      </c>
      <c r="BH212" s="4">
        <v>0.71599999999999997</v>
      </c>
      <c r="BI212" s="4">
        <v>1</v>
      </c>
      <c r="BJ212" s="4">
        <v>-0.39700000000000002</v>
      </c>
      <c r="BK212" s="4">
        <v>0.433</v>
      </c>
      <c r="BL212" s="4">
        <v>1</v>
      </c>
      <c r="BM212" s="4">
        <v>0.47499999999999998</v>
      </c>
      <c r="BN212" s="4"/>
    </row>
    <row r="213" spans="1:66" x14ac:dyDescent="0.3">
      <c r="A213" t="s">
        <v>261</v>
      </c>
      <c r="B213" s="53">
        <f t="shared" si="25"/>
        <v>0</v>
      </c>
      <c r="C213" s="53">
        <f t="shared" si="26"/>
        <v>-2.9931000000000001E-4</v>
      </c>
      <c r="D213" s="53">
        <f t="shared" si="27"/>
        <v>0</v>
      </c>
      <c r="E213" s="53">
        <f t="shared" si="28"/>
        <v>2.9931000000000001E-4</v>
      </c>
      <c r="F213" s="15">
        <v>0.47499999999999998</v>
      </c>
      <c r="G213">
        <v>0.33900000000000002</v>
      </c>
      <c r="H213" t="s">
        <v>68</v>
      </c>
      <c r="I213" t="str">
        <f>VLOOKUP(A213,Planilha6!$BL$9:$BN$222,2,0)</f>
        <v>chemicals</v>
      </c>
      <c r="J213" t="str">
        <f>VLOOKUP(A213,Planilha6!$BL$9:$BN$222,3,0)</f>
        <v>very_low_beta</v>
      </c>
      <c r="K213" s="17">
        <v>0</v>
      </c>
      <c r="L213" s="2">
        <v>0</v>
      </c>
      <c r="M213" s="5">
        <v>0</v>
      </c>
      <c r="N213" s="41">
        <f>VLOOKUP(A213,'Mandato LP'!$A$2:$B$215,2,0)</f>
        <v>0</v>
      </c>
      <c r="O213" s="59">
        <f t="shared" si="29"/>
        <v>0</v>
      </c>
      <c r="P213" s="42">
        <f t="shared" si="30"/>
        <v>0</v>
      </c>
      <c r="Q213" s="41">
        <f>VLOOKUP(A213,'Mandato LP'!$A$2:$C$215,3,0)</f>
        <v>0</v>
      </c>
      <c r="R213" s="42">
        <f t="shared" si="31"/>
        <v>0</v>
      </c>
      <c r="S213" s="15">
        <v>-1</v>
      </c>
      <c r="T213" s="15">
        <v>-0.96499999999999997</v>
      </c>
      <c r="U213" s="15">
        <v>-0.99399999999999999</v>
      </c>
      <c r="V213" s="15">
        <v>-1</v>
      </c>
      <c r="W213" s="15">
        <v>-0.99099999999999999</v>
      </c>
      <c r="X213" s="15">
        <v>-1</v>
      </c>
      <c r="Y213" s="15">
        <v>-0.997</v>
      </c>
      <c r="Z213" s="15">
        <v>-0.98399999999999999</v>
      </c>
      <c r="AA213" s="15">
        <v>-0.7</v>
      </c>
      <c r="AB213" s="15">
        <v>-0.70299999999999996</v>
      </c>
      <c r="AC213" s="15">
        <v>-0.57699999999999996</v>
      </c>
      <c r="AD213" s="15">
        <v>-0.376</v>
      </c>
      <c r="AE213" s="15">
        <v>-0.59399999999999997</v>
      </c>
      <c r="AF213" s="14">
        <v>-1</v>
      </c>
      <c r="AG213" s="110">
        <v>-1</v>
      </c>
      <c r="AH213" s="110">
        <v>-0.91500000000000004</v>
      </c>
      <c r="AI213" s="110">
        <v>-0.94199999999999995</v>
      </c>
      <c r="AJ213" s="110">
        <v>-1.6E-2</v>
      </c>
      <c r="AK213" s="16">
        <v>-0.88500000000000001</v>
      </c>
      <c r="AL213" s="111">
        <v>-0.78200000000000003</v>
      </c>
      <c r="AM213" s="111">
        <v>-1</v>
      </c>
      <c r="AN213" s="4">
        <v>-0.48199999999999998</v>
      </c>
      <c r="AO213" s="4">
        <v>-0.86699999999999999</v>
      </c>
      <c r="AP213" s="4">
        <v>0.35899999999999999</v>
      </c>
      <c r="AQ213" s="4">
        <v>0.48699999999999999</v>
      </c>
      <c r="AR213" s="4">
        <v>-0.94199999999999995</v>
      </c>
      <c r="AS213" s="4">
        <v>-1.2999999999999999E-2</v>
      </c>
      <c r="AT213" s="4">
        <v>-0.20499999999999999</v>
      </c>
      <c r="AU213" s="4">
        <v>-0.83399999999999996</v>
      </c>
      <c r="AV213" s="4">
        <v>-0.755</v>
      </c>
      <c r="AW213" s="4">
        <v>-0.84599999999999997</v>
      </c>
      <c r="AX213" s="4">
        <v>-0.45</v>
      </c>
      <c r="AY213" s="4">
        <v>-0.372</v>
      </c>
      <c r="AZ213" s="4">
        <v>0.126</v>
      </c>
      <c r="BA213" s="4">
        <v>-0.249</v>
      </c>
      <c r="BB213" s="4">
        <v>-2E-3</v>
      </c>
      <c r="BC213" s="4">
        <v>0.76</v>
      </c>
      <c r="BD213" s="4">
        <v>0.193</v>
      </c>
      <c r="BE213" s="4">
        <v>4.8000000000000001E-2</v>
      </c>
      <c r="BF213" s="4">
        <v>1</v>
      </c>
      <c r="BG213" s="4">
        <v>0.82299999999999995</v>
      </c>
      <c r="BH213" s="4">
        <v>-0.17599999999999999</v>
      </c>
      <c r="BI213" s="4">
        <v>0.45200000000000001</v>
      </c>
      <c r="BJ213" s="4">
        <v>-0.28000000000000003</v>
      </c>
      <c r="BK213" s="4">
        <v>-2.8000000000000001E-2</v>
      </c>
      <c r="BL213" s="4">
        <v>-0.109</v>
      </c>
      <c r="BM213" s="4">
        <v>4.2000000000000003E-2</v>
      </c>
      <c r="BN213" s="4"/>
    </row>
    <row r="214" spans="1:66" x14ac:dyDescent="0.3">
      <c r="A214" t="s">
        <v>255</v>
      </c>
      <c r="B214" s="53">
        <f t="shared" si="25"/>
        <v>0</v>
      </c>
      <c r="C214" s="53">
        <f t="shared" si="26"/>
        <v>0</v>
      </c>
      <c r="D214" s="53">
        <f t="shared" si="27"/>
        <v>0</v>
      </c>
      <c r="E214" s="53">
        <f t="shared" si="28"/>
        <v>0</v>
      </c>
      <c r="F214" s="15">
        <v>0.47299999999999998</v>
      </c>
      <c r="G214">
        <v>0.375</v>
      </c>
      <c r="H214" t="s">
        <v>57</v>
      </c>
      <c r="I214" t="str">
        <f>VLOOKUP(A214,Planilha6!$BL$9:$BN$222,2,0)</f>
        <v>education</v>
      </c>
      <c r="J214" t="str">
        <f>VLOOKUP(A214,Planilha6!$BL$9:$BN$222,3,0)</f>
        <v>low_beta</v>
      </c>
      <c r="K214" s="17">
        <v>0</v>
      </c>
      <c r="L214" s="2">
        <v>0</v>
      </c>
      <c r="M214" s="5">
        <v>0</v>
      </c>
      <c r="N214" s="41">
        <f>VLOOKUP(A214,'Mandato LP'!$A$2:$B$215,2,0)</f>
        <v>0</v>
      </c>
      <c r="O214" s="59">
        <f t="shared" si="29"/>
        <v>0</v>
      </c>
      <c r="P214" s="42">
        <f t="shared" si="30"/>
        <v>0</v>
      </c>
      <c r="Q214" s="41">
        <f>VLOOKUP(A214,'Mandato LP'!$A$2:$C$215,3,0)</f>
        <v>0</v>
      </c>
      <c r="R214" s="42">
        <f t="shared" si="31"/>
        <v>0</v>
      </c>
      <c r="S214" s="15">
        <v>-0.97699999999999998</v>
      </c>
      <c r="T214" s="15">
        <v>-0.95699999999999996</v>
      </c>
      <c r="U214" s="15">
        <v>-0.95399999999999996</v>
      </c>
      <c r="V214" s="15">
        <v>-0.98399999999999999</v>
      </c>
      <c r="W214" s="15">
        <v>-0.97</v>
      </c>
      <c r="X214" s="15">
        <v>-0.94199999999999995</v>
      </c>
      <c r="Y214" s="15">
        <v>-0.90200000000000002</v>
      </c>
      <c r="Z214" s="15">
        <v>-0.94799999999999995</v>
      </c>
      <c r="AA214" s="15">
        <v>-0.92200000000000004</v>
      </c>
      <c r="AB214" s="15">
        <v>-0.92</v>
      </c>
      <c r="AC214" s="15">
        <v>-0.72</v>
      </c>
      <c r="AD214" s="15">
        <v>-0.47699999999999998</v>
      </c>
      <c r="AE214" s="15">
        <v>-0.72399999999999998</v>
      </c>
      <c r="AF214" s="14">
        <v>-1</v>
      </c>
      <c r="AG214" s="110">
        <v>-0.28399999999999997</v>
      </c>
      <c r="AH214" s="110">
        <v>-1</v>
      </c>
      <c r="AI214" s="110">
        <v>-0.71399999999999997</v>
      </c>
      <c r="AJ214" s="110">
        <v>-0.75700000000000001</v>
      </c>
      <c r="AK214" s="16">
        <v>-0.55500000000000005</v>
      </c>
      <c r="AL214" s="111">
        <v>-0.96399999999999997</v>
      </c>
      <c r="AM214" s="111">
        <v>-0.68799999999999994</v>
      </c>
      <c r="AN214" s="4">
        <v>-0.66100000000000003</v>
      </c>
      <c r="AO214" s="4">
        <v>0.104</v>
      </c>
      <c r="AP214" s="4">
        <v>-0.80400000000000005</v>
      </c>
      <c r="AQ214" s="4">
        <v>-0.76200000000000001</v>
      </c>
      <c r="AR214" s="4">
        <v>6.8000000000000005E-2</v>
      </c>
      <c r="AS214" s="4">
        <v>4.4999999999999998E-2</v>
      </c>
      <c r="AT214" s="4">
        <v>0.16</v>
      </c>
      <c r="AU214" s="4">
        <v>-0.98799999999999999</v>
      </c>
      <c r="AV214" s="4">
        <v>-0.69599999999999995</v>
      </c>
      <c r="AW214" s="4">
        <v>-0.64900000000000002</v>
      </c>
      <c r="AX214" s="4">
        <v>-0.32700000000000001</v>
      </c>
      <c r="AY214" s="4">
        <v>-0.40799999999999997</v>
      </c>
      <c r="AZ214" s="4">
        <v>9.6000000000000002E-2</v>
      </c>
      <c r="BA214" s="4">
        <v>-0.20399999999999999</v>
      </c>
      <c r="BB214" s="4">
        <v>0.72199999999999998</v>
      </c>
      <c r="BC214" s="4">
        <v>-0.04</v>
      </c>
      <c r="BD214" s="4">
        <v>-0.11</v>
      </c>
      <c r="BE214" s="4">
        <v>5.0999999999999997E-2</v>
      </c>
      <c r="BF214" s="4">
        <v>0.19500000000000001</v>
      </c>
      <c r="BG214" s="4">
        <v>8.5999999999999993E-2</v>
      </c>
      <c r="BH214" s="4">
        <v>0.5</v>
      </c>
      <c r="BI214" s="4">
        <v>0.105</v>
      </c>
      <c r="BJ214" s="4">
        <v>-0.32100000000000001</v>
      </c>
      <c r="BK214" s="4">
        <v>0.19700000000000001</v>
      </c>
      <c r="BL214" s="4">
        <v>0.26900000000000002</v>
      </c>
      <c r="BM214" s="4">
        <v>8.1000000000000003E-2</v>
      </c>
      <c r="BN214" s="4"/>
    </row>
    <row r="215" spans="1:66" x14ac:dyDescent="0.3">
      <c r="A215" t="s">
        <v>264</v>
      </c>
      <c r="B215" s="53">
        <f t="shared" si="25"/>
        <v>0</v>
      </c>
      <c r="C215" s="53">
        <f t="shared" si="26"/>
        <v>0</v>
      </c>
      <c r="D215" s="53">
        <f t="shared" si="27"/>
        <v>0</v>
      </c>
      <c r="E215" s="53">
        <f t="shared" si="28"/>
        <v>0</v>
      </c>
      <c r="F215" s="15">
        <v>0.47</v>
      </c>
      <c r="G215">
        <v>0.33100000000000002</v>
      </c>
      <c r="H215" t="s">
        <v>68</v>
      </c>
      <c r="I215" t="str">
        <f>VLOOKUP(A215,Planilha6!$BL$9:$BN$222,2,0)</f>
        <v>building_materials</v>
      </c>
      <c r="J215" t="str">
        <f>VLOOKUP(A215,Planilha6!$BL$9:$BN$222,3,0)</f>
        <v>neutral_beta</v>
      </c>
      <c r="K215" s="17">
        <v>0</v>
      </c>
      <c r="L215" s="2">
        <v>0</v>
      </c>
      <c r="M215" s="5">
        <v>0</v>
      </c>
      <c r="N215" s="41">
        <f>VLOOKUP(A215,'Mandato LP'!$A$2:$B$215,2,0)</f>
        <v>0</v>
      </c>
      <c r="O215" s="59">
        <f t="shared" si="29"/>
        <v>0</v>
      </c>
      <c r="P215" s="42">
        <f t="shared" si="30"/>
        <v>0</v>
      </c>
      <c r="Q215" s="41">
        <f>VLOOKUP(A215,'Mandato LP'!$A$2:$C$215,3,0)</f>
        <v>0</v>
      </c>
      <c r="R215" s="42">
        <f t="shared" si="31"/>
        <v>0</v>
      </c>
      <c r="S215" s="15">
        <v>-0.94599999999999995</v>
      </c>
      <c r="T215" s="15">
        <v>-1</v>
      </c>
      <c r="U215" s="15">
        <v>-0.81399999999999995</v>
      </c>
      <c r="V215" s="15">
        <v>-0.97399999999999998</v>
      </c>
      <c r="W215" s="15">
        <v>-0.97699999999999998</v>
      </c>
      <c r="X215" s="15">
        <v>-0.997</v>
      </c>
      <c r="Y215" s="15">
        <v>-0.99399999999999999</v>
      </c>
      <c r="Z215" s="15">
        <v>-1</v>
      </c>
      <c r="AA215" s="15">
        <v>-1</v>
      </c>
      <c r="AB215" s="15">
        <v>-1</v>
      </c>
      <c r="AC215" s="15">
        <v>-0.39400000000000002</v>
      </c>
      <c r="AD215" s="15">
        <v>-0.35</v>
      </c>
      <c r="AE215" s="15">
        <v>-1</v>
      </c>
      <c r="AF215" s="14">
        <v>-0.9</v>
      </c>
      <c r="AG215" s="110">
        <v>-0.438</v>
      </c>
      <c r="AH215" s="110">
        <v>-1</v>
      </c>
      <c r="AI215" s="110">
        <v>-0.36399999999999999</v>
      </c>
      <c r="AJ215" s="110">
        <v>-0.46</v>
      </c>
      <c r="AK215" s="16">
        <v>-8.8999999999999996E-2</v>
      </c>
      <c r="AL215" s="111">
        <v>-1</v>
      </c>
      <c r="AM215" s="111">
        <v>-1</v>
      </c>
      <c r="AN215" s="4">
        <v>0.216</v>
      </c>
      <c r="AO215" s="4">
        <v>-0.47</v>
      </c>
      <c r="AP215" s="4">
        <v>-0.93200000000000005</v>
      </c>
      <c r="AQ215" s="4">
        <v>-1</v>
      </c>
      <c r="AR215" s="4">
        <v>0.51300000000000001</v>
      </c>
      <c r="AS215" s="4">
        <v>0.77500000000000002</v>
      </c>
      <c r="AT215" s="4">
        <v>0.498</v>
      </c>
      <c r="AU215" s="4">
        <v>-0.81399999999999995</v>
      </c>
      <c r="AV215" s="4">
        <v>-0.70599999999999996</v>
      </c>
      <c r="AW215" s="4">
        <v>-0.26700000000000002</v>
      </c>
      <c r="AX215" s="4">
        <v>-0.55700000000000005</v>
      </c>
      <c r="AY215" s="4">
        <v>-0.88900000000000001</v>
      </c>
      <c r="AZ215" s="4">
        <v>-1</v>
      </c>
      <c r="BA215" s="4">
        <v>-0.27100000000000002</v>
      </c>
      <c r="BB215" s="4">
        <v>0.752</v>
      </c>
      <c r="BC215" s="4">
        <v>0.104</v>
      </c>
      <c r="BD215" s="4">
        <v>0.14699999999999999</v>
      </c>
      <c r="BE215" s="4">
        <v>-0.95599999999999996</v>
      </c>
      <c r="BF215" s="4">
        <v>1</v>
      </c>
      <c r="BG215" s="4">
        <v>0.872</v>
      </c>
      <c r="BH215" s="4">
        <v>-0.67700000000000005</v>
      </c>
      <c r="BI215" s="4">
        <v>1</v>
      </c>
      <c r="BJ215" s="4">
        <v>9.2999999999999999E-2</v>
      </c>
      <c r="BK215" s="4">
        <v>0.216</v>
      </c>
      <c r="BL215" s="4">
        <v>0.89800000000000002</v>
      </c>
      <c r="BM215" s="4">
        <v>0.62</v>
      </c>
      <c r="BN215" s="4"/>
    </row>
    <row r="216" spans="1:66" x14ac:dyDescent="0.3">
      <c r="A216" t="s">
        <v>259</v>
      </c>
      <c r="B216" s="53">
        <f t="shared" si="25"/>
        <v>0</v>
      </c>
      <c r="C216" s="53">
        <f t="shared" si="26"/>
        <v>0</v>
      </c>
      <c r="D216" s="53">
        <f t="shared" si="27"/>
        <v>0</v>
      </c>
      <c r="E216" s="53">
        <f t="shared" si="28"/>
        <v>0</v>
      </c>
      <c r="F216" s="15">
        <v>0.46899999999999997</v>
      </c>
      <c r="G216">
        <v>0.33100000000000002</v>
      </c>
      <c r="H216" t="s">
        <v>57</v>
      </c>
      <c r="I216" t="str">
        <f>VLOOKUP(A216,Planilha6!$BL$9:$BN$222,2,0)</f>
        <v>homebuilders</v>
      </c>
      <c r="J216" t="str">
        <f>VLOOKUP(A216,Planilha6!$BL$9:$BN$222,3,0)</f>
        <v>high_beta</v>
      </c>
      <c r="K216" s="17">
        <v>0</v>
      </c>
      <c r="L216" s="2">
        <v>0</v>
      </c>
      <c r="M216" s="5">
        <v>0</v>
      </c>
      <c r="N216" s="41">
        <f>VLOOKUP(A216,'Mandato LP'!$A$2:$B$215,2,0)</f>
        <v>0</v>
      </c>
      <c r="O216" s="59">
        <f t="shared" si="29"/>
        <v>0</v>
      </c>
      <c r="P216" s="42">
        <f t="shared" si="30"/>
        <v>0</v>
      </c>
      <c r="Q216" s="41">
        <f>VLOOKUP(A216,'Mandato LP'!$A$2:$C$215,3,0)</f>
        <v>0</v>
      </c>
      <c r="R216" s="42">
        <f t="shared" si="31"/>
        <v>0</v>
      </c>
      <c r="S216" s="15">
        <v>-1</v>
      </c>
      <c r="T216" s="15">
        <v>-1</v>
      </c>
      <c r="U216" s="15">
        <v>-1</v>
      </c>
      <c r="V216" s="15">
        <v>-1</v>
      </c>
      <c r="W216" s="15">
        <v>-1</v>
      </c>
      <c r="X216" s="15">
        <v>-1</v>
      </c>
      <c r="Y216" s="15">
        <v>-1</v>
      </c>
      <c r="Z216" s="15">
        <v>-1</v>
      </c>
      <c r="AA216" s="15">
        <v>-0.79900000000000004</v>
      </c>
      <c r="AB216" s="15">
        <v>-0.79700000000000004</v>
      </c>
      <c r="AC216" s="15">
        <v>-1</v>
      </c>
      <c r="AD216" s="15">
        <v>-0.14499999999999999</v>
      </c>
      <c r="AE216" s="15">
        <v>-1</v>
      </c>
      <c r="AF216" s="14">
        <v>-0.88800000000000001</v>
      </c>
      <c r="AG216" s="110">
        <v>-0.97499999999999998</v>
      </c>
      <c r="AH216" s="110">
        <v>-0.88300000000000001</v>
      </c>
      <c r="AI216" s="110">
        <v>0.27200000000000002</v>
      </c>
      <c r="AJ216" s="110">
        <v>-0.501</v>
      </c>
      <c r="AK216" s="16">
        <v>-0.499</v>
      </c>
      <c r="AL216" s="111">
        <v>-0.83199999999999996</v>
      </c>
      <c r="AM216" s="111">
        <v>-1</v>
      </c>
      <c r="AN216" s="4">
        <v>1</v>
      </c>
      <c r="AO216" s="4">
        <v>-0.94899999999999995</v>
      </c>
      <c r="AP216" s="4">
        <v>-0.92300000000000004</v>
      </c>
      <c r="AQ216" s="4">
        <v>-1</v>
      </c>
      <c r="AR216" s="4">
        <v>-0.9</v>
      </c>
      <c r="AS216" s="4">
        <v>-1</v>
      </c>
      <c r="AT216" s="4">
        <v>-0.98499999999999999</v>
      </c>
      <c r="AU216" s="4">
        <v>-0.84599999999999997</v>
      </c>
      <c r="AV216" s="4">
        <v>-1</v>
      </c>
      <c r="AW216" s="4">
        <v>-0.98299999999999998</v>
      </c>
      <c r="AX216" s="4">
        <v>-0.60799999999999998</v>
      </c>
      <c r="AY216" s="4">
        <v>-0.61399999999999999</v>
      </c>
      <c r="AZ216" s="4">
        <v>-0.35899999999999999</v>
      </c>
      <c r="BA216" s="4">
        <v>-1</v>
      </c>
      <c r="BB216" s="4">
        <v>-0.51200000000000001</v>
      </c>
      <c r="BC216" s="4">
        <v>0.58699999999999997</v>
      </c>
      <c r="BD216" s="4">
        <v>0.39700000000000002</v>
      </c>
      <c r="BE216" s="4">
        <v>0.217</v>
      </c>
      <c r="BF216" s="4">
        <v>1</v>
      </c>
      <c r="BG216" s="4">
        <v>0.05</v>
      </c>
      <c r="BH216" s="4">
        <v>0.183</v>
      </c>
      <c r="BI216" s="4">
        <v>1</v>
      </c>
      <c r="BJ216" s="4">
        <v>0.54700000000000004</v>
      </c>
      <c r="BK216" s="4">
        <v>-0.24399999999999999</v>
      </c>
      <c r="BL216" s="4">
        <v>1</v>
      </c>
      <c r="BM216" s="4">
        <v>0.442</v>
      </c>
      <c r="BN216" s="4"/>
    </row>
    <row r="217" spans="1:66" x14ac:dyDescent="0.3">
      <c r="A217" t="s">
        <v>263</v>
      </c>
      <c r="B217" s="53">
        <f t="shared" si="25"/>
        <v>0</v>
      </c>
      <c r="C217" s="53">
        <f t="shared" si="26"/>
        <v>0</v>
      </c>
      <c r="D217" s="53">
        <f t="shared" si="27"/>
        <v>0</v>
      </c>
      <c r="E217" s="53">
        <f t="shared" si="28"/>
        <v>0</v>
      </c>
      <c r="F217" s="15">
        <v>0.46800000000000003</v>
      </c>
      <c r="G217">
        <v>0.33</v>
      </c>
      <c r="H217" t="s">
        <v>68</v>
      </c>
      <c r="I217" t="str">
        <f>VLOOKUP(A217,Planilha6!$BL$9:$BN$222,2,0)</f>
        <v>capital_goods</v>
      </c>
      <c r="J217" t="str">
        <f>VLOOKUP(A217,Planilha6!$BL$9:$BN$222,3,0)</f>
        <v>very_low_beta</v>
      </c>
      <c r="K217" s="17">
        <v>0</v>
      </c>
      <c r="L217" s="2">
        <v>0</v>
      </c>
      <c r="M217" s="5">
        <v>0</v>
      </c>
      <c r="N217" s="41">
        <f>VLOOKUP(A217,'Mandato LP'!$A$2:$B$215,2,0)</f>
        <v>0</v>
      </c>
      <c r="O217" s="59">
        <f t="shared" si="29"/>
        <v>0</v>
      </c>
      <c r="P217" s="42">
        <f t="shared" si="30"/>
        <v>0</v>
      </c>
      <c r="Q217" s="41">
        <f>VLOOKUP(A217,'Mandato LP'!$A$2:$C$215,3,0)</f>
        <v>0</v>
      </c>
      <c r="R217" s="42">
        <f t="shared" si="31"/>
        <v>0</v>
      </c>
      <c r="S217" s="15">
        <v>-0.995</v>
      </c>
      <c r="T217" s="15">
        <v>-0.99199999999999999</v>
      </c>
      <c r="U217" s="15">
        <v>-0.98599999999999999</v>
      </c>
      <c r="V217" s="15">
        <v>-0.99</v>
      </c>
      <c r="W217" s="15">
        <v>-0.99399999999999999</v>
      </c>
      <c r="X217" s="15">
        <v>-1</v>
      </c>
      <c r="Y217" s="15">
        <v>-1</v>
      </c>
      <c r="Z217" s="15">
        <v>-1</v>
      </c>
      <c r="AA217" s="15">
        <v>-1</v>
      </c>
      <c r="AB217" s="15">
        <v>-1</v>
      </c>
      <c r="AC217" s="15">
        <v>-1</v>
      </c>
      <c r="AD217" s="15">
        <v>-1</v>
      </c>
      <c r="AE217" s="15">
        <v>-0.98499999999999999</v>
      </c>
      <c r="AF217" s="14">
        <v>-1</v>
      </c>
      <c r="AG217" s="110">
        <v>-1</v>
      </c>
      <c r="AH217" s="110">
        <v>-0.76500000000000001</v>
      </c>
      <c r="AI217" s="110">
        <v>-0.54700000000000004</v>
      </c>
      <c r="AJ217" s="110">
        <v>1</v>
      </c>
      <c r="AK217" s="16">
        <v>-0.51600000000000001</v>
      </c>
      <c r="AL217" s="111">
        <v>-0.81299999999999994</v>
      </c>
      <c r="AM217" s="111">
        <v>-1</v>
      </c>
      <c r="AN217" s="4">
        <v>-0.91300000000000003</v>
      </c>
      <c r="AO217" s="4">
        <v>-0.19800000000000001</v>
      </c>
      <c r="AP217" s="4">
        <v>0.54300000000000004</v>
      </c>
      <c r="AQ217" s="4">
        <v>-1</v>
      </c>
      <c r="AR217" s="4">
        <v>-0.224</v>
      </c>
      <c r="AS217" s="4">
        <v>0.28399999999999997</v>
      </c>
      <c r="AT217" s="4">
        <v>0.33800000000000002</v>
      </c>
      <c r="AU217" s="4">
        <v>-1</v>
      </c>
      <c r="AV217" s="4">
        <v>-0.95599999999999996</v>
      </c>
      <c r="AW217" s="4">
        <v>-0.84599999999999997</v>
      </c>
      <c r="AX217" s="4">
        <v>-0.33900000000000002</v>
      </c>
      <c r="AY217" s="4">
        <v>-0.69099999999999995</v>
      </c>
      <c r="AZ217" s="4">
        <v>-1</v>
      </c>
      <c r="BA217" s="4">
        <v>-1</v>
      </c>
      <c r="BB217" s="4">
        <v>5.1999999999999998E-2</v>
      </c>
      <c r="BC217" s="4">
        <v>0.98699999999999999</v>
      </c>
      <c r="BD217" s="4">
        <v>0.54600000000000004</v>
      </c>
      <c r="BE217" s="4">
        <v>0.52600000000000002</v>
      </c>
      <c r="BF217" s="4">
        <v>1</v>
      </c>
      <c r="BG217" s="4">
        <v>-0.16200000000000001</v>
      </c>
      <c r="BH217" s="4">
        <v>-0.746</v>
      </c>
      <c r="BI217" s="4">
        <v>0.38500000000000001</v>
      </c>
      <c r="BJ217" s="4">
        <v>-0.39700000000000002</v>
      </c>
      <c r="BK217" s="4">
        <v>-0.58899999999999997</v>
      </c>
      <c r="BL217" s="4">
        <v>1</v>
      </c>
      <c r="BM217" s="4">
        <v>0.11700000000000001</v>
      </c>
      <c r="BN217" s="4"/>
    </row>
    <row r="218" spans="1:66" x14ac:dyDescent="0.3">
      <c r="A218" t="s">
        <v>266</v>
      </c>
      <c r="B218" s="53">
        <f t="shared" si="25"/>
        <v>0</v>
      </c>
      <c r="C218" s="53">
        <f t="shared" si="26"/>
        <v>0</v>
      </c>
      <c r="D218" s="53">
        <f t="shared" si="27"/>
        <v>0</v>
      </c>
      <c r="E218" s="53">
        <f t="shared" si="28"/>
        <v>0</v>
      </c>
      <c r="F218" s="15">
        <v>0.46800000000000003</v>
      </c>
      <c r="G218">
        <v>0.33300000000000002</v>
      </c>
      <c r="H218" t="s">
        <v>57</v>
      </c>
      <c r="I218" t="str">
        <f>VLOOKUP(A218,Planilha6!$BL$9:$BN$222,2,0)</f>
        <v>consumer_services</v>
      </c>
      <c r="J218" t="str">
        <f>VLOOKUP(A218,Planilha6!$BL$9:$BN$222,3,0)</f>
        <v>very_high_beta</v>
      </c>
      <c r="K218" s="17">
        <v>0</v>
      </c>
      <c r="L218" s="2">
        <v>0</v>
      </c>
      <c r="M218" s="5">
        <v>0</v>
      </c>
      <c r="N218" s="41">
        <f>VLOOKUP(A218,'Mandato LP'!$A$2:$B$215,2,0)</f>
        <v>0</v>
      </c>
      <c r="O218" s="59">
        <f t="shared" si="29"/>
        <v>0</v>
      </c>
      <c r="P218" s="42">
        <f t="shared" si="30"/>
        <v>0</v>
      </c>
      <c r="Q218" s="41">
        <f>VLOOKUP(A218,'Mandato LP'!$A$2:$C$215,3,0)</f>
        <v>0</v>
      </c>
      <c r="R218" s="42">
        <f t="shared" si="31"/>
        <v>0</v>
      </c>
      <c r="S218" s="15">
        <v>-1</v>
      </c>
      <c r="T218" s="15">
        <v>-1</v>
      </c>
      <c r="U218" s="15">
        <v>-0.96799999999999997</v>
      </c>
      <c r="V218" s="15">
        <v>-1</v>
      </c>
      <c r="W218" s="15">
        <v>-1</v>
      </c>
      <c r="X218" s="15">
        <v>-1</v>
      </c>
      <c r="Y218" s="15">
        <v>-1</v>
      </c>
      <c r="Z218" s="15">
        <v>-0.998</v>
      </c>
      <c r="AA218" s="15">
        <v>-1</v>
      </c>
      <c r="AB218" s="15">
        <v>-1</v>
      </c>
      <c r="AC218" s="15">
        <v>-0.746</v>
      </c>
      <c r="AD218" s="15">
        <v>-0.76600000000000001</v>
      </c>
      <c r="AE218" s="15">
        <v>-1</v>
      </c>
      <c r="AF218" s="14">
        <v>-1</v>
      </c>
      <c r="AG218" s="110">
        <v>-0.82599999999999996</v>
      </c>
      <c r="AH218" s="110">
        <v>-1</v>
      </c>
      <c r="AI218" s="110">
        <v>-0.122</v>
      </c>
      <c r="AJ218" s="110">
        <v>-0.49399999999999999</v>
      </c>
      <c r="AK218" s="16">
        <v>0.23</v>
      </c>
      <c r="AL218" s="111">
        <v>-0.33</v>
      </c>
      <c r="AM218" s="111">
        <v>-0.75700000000000001</v>
      </c>
      <c r="AN218" s="4">
        <v>-0.53700000000000003</v>
      </c>
      <c r="AO218" s="4">
        <v>-0.64300000000000002</v>
      </c>
      <c r="AP218" s="4">
        <v>-0.74199999999999999</v>
      </c>
      <c r="AQ218" s="4">
        <v>-1</v>
      </c>
      <c r="AR218" s="4">
        <v>-0.32100000000000001</v>
      </c>
      <c r="AS218" s="4">
        <v>-1</v>
      </c>
      <c r="AT218" s="4">
        <v>-0.38600000000000001</v>
      </c>
      <c r="AU218" s="4">
        <v>-0.41399999999999998</v>
      </c>
      <c r="AV218" s="4">
        <v>-0.27100000000000002</v>
      </c>
      <c r="AW218" s="4">
        <v>-0.70599999999999996</v>
      </c>
      <c r="AX218" s="4">
        <v>-0.42599999999999999</v>
      </c>
      <c r="AY218" s="4">
        <v>0.109</v>
      </c>
      <c r="AZ218" s="4">
        <v>0.13</v>
      </c>
      <c r="BA218" s="4">
        <v>-0.59499999999999997</v>
      </c>
      <c r="BB218" s="4">
        <v>-0.151</v>
      </c>
      <c r="BC218" s="4">
        <v>0.47799999999999998</v>
      </c>
      <c r="BD218" s="4">
        <v>-0.23</v>
      </c>
      <c r="BE218" s="4">
        <v>-4.3999999999999997E-2</v>
      </c>
      <c r="BF218" s="4">
        <v>-0.60499999999999998</v>
      </c>
      <c r="BG218" s="4">
        <v>-0.81299999999999994</v>
      </c>
      <c r="BH218" s="4">
        <v>-1</v>
      </c>
      <c r="BI218" s="4">
        <v>0.55800000000000005</v>
      </c>
      <c r="BJ218" s="4">
        <v>0.32500000000000001</v>
      </c>
      <c r="BK218" s="4">
        <v>-0.17599999999999999</v>
      </c>
      <c r="BL218" s="4">
        <v>1</v>
      </c>
      <c r="BM218" s="4">
        <v>-0.70799999999999996</v>
      </c>
      <c r="BN218" s="4"/>
    </row>
    <row r="219" spans="1:66" x14ac:dyDescent="0.3">
      <c r="A219" t="s">
        <v>262</v>
      </c>
      <c r="B219" s="53">
        <f t="shared" si="25"/>
        <v>0</v>
      </c>
      <c r="C219" s="53">
        <f t="shared" si="26"/>
        <v>0</v>
      </c>
      <c r="D219" s="53">
        <f t="shared" si="27"/>
        <v>0</v>
      </c>
      <c r="E219" s="53">
        <f t="shared" si="28"/>
        <v>0</v>
      </c>
      <c r="F219" s="15">
        <v>0.46800000000000003</v>
      </c>
      <c r="G219">
        <v>0.35499999999999998</v>
      </c>
      <c r="H219" t="s">
        <v>68</v>
      </c>
      <c r="I219" t="str">
        <f>VLOOKUP(A219,Planilha6!$BL$9:$BN$222,2,0)</f>
        <v>capital_goods</v>
      </c>
      <c r="J219" t="str">
        <f>VLOOKUP(A219,Planilha6!$BL$9:$BN$222,3,0)</f>
        <v>very_low_beta</v>
      </c>
      <c r="K219" s="17">
        <v>0</v>
      </c>
      <c r="L219" s="2">
        <v>0</v>
      </c>
      <c r="M219" s="5">
        <v>0</v>
      </c>
      <c r="N219" s="41">
        <f>VLOOKUP(A219,'Mandato LP'!$A$2:$B$215,2,0)</f>
        <v>0</v>
      </c>
      <c r="O219" s="59">
        <f t="shared" si="29"/>
        <v>0</v>
      </c>
      <c r="P219" s="42">
        <f t="shared" si="30"/>
        <v>0</v>
      </c>
      <c r="Q219" s="41">
        <f>VLOOKUP(A219,'Mandato LP'!$A$2:$C$215,3,0)</f>
        <v>0</v>
      </c>
      <c r="R219" s="42">
        <f t="shared" si="31"/>
        <v>0</v>
      </c>
      <c r="S219" s="15">
        <v>-1</v>
      </c>
      <c r="T219" s="15">
        <v>-1</v>
      </c>
      <c r="U219" s="15">
        <v>-0.92400000000000004</v>
      </c>
      <c r="V219" s="15">
        <v>-1</v>
      </c>
      <c r="W219" s="15">
        <v>-1</v>
      </c>
      <c r="X219" s="15">
        <v>-0.997</v>
      </c>
      <c r="Y219" s="15">
        <v>-0.96299999999999997</v>
      </c>
      <c r="Z219" s="15">
        <v>-1</v>
      </c>
      <c r="AA219" s="15">
        <v>-1</v>
      </c>
      <c r="AB219" s="15">
        <v>-1</v>
      </c>
      <c r="AC219" s="15">
        <v>-0.88</v>
      </c>
      <c r="AD219" s="15">
        <v>-0.84099999999999997</v>
      </c>
      <c r="AE219" s="15">
        <v>-0.81299999999999994</v>
      </c>
      <c r="AF219" s="14">
        <v>-1</v>
      </c>
      <c r="AG219" s="110">
        <v>-1</v>
      </c>
      <c r="AH219" s="110">
        <v>-1</v>
      </c>
      <c r="AI219" s="110">
        <v>-0.61599999999999999</v>
      </c>
      <c r="AJ219" s="110">
        <v>-0.46300000000000002</v>
      </c>
      <c r="AK219" s="16">
        <v>-0.51600000000000001</v>
      </c>
      <c r="AL219" s="111">
        <v>-0.98799999999999999</v>
      </c>
      <c r="AM219" s="111">
        <v>-1</v>
      </c>
      <c r="AN219" s="4">
        <v>-0.51900000000000002</v>
      </c>
      <c r="AO219" s="4">
        <v>-0.64200000000000002</v>
      </c>
      <c r="AP219" s="4">
        <v>-0.94399999999999995</v>
      </c>
      <c r="AQ219" s="4">
        <v>-0.65200000000000002</v>
      </c>
      <c r="AR219" s="4">
        <v>-1</v>
      </c>
      <c r="AS219" s="4">
        <v>0.59099999999999997</v>
      </c>
      <c r="AT219" s="4">
        <v>0.19400000000000001</v>
      </c>
      <c r="AU219" s="4">
        <v>-0.94899999999999995</v>
      </c>
      <c r="AV219" s="4">
        <v>-0.77500000000000002</v>
      </c>
      <c r="AW219" s="4">
        <v>-0.84599999999999997</v>
      </c>
      <c r="AX219" s="4">
        <v>-8.5000000000000006E-2</v>
      </c>
      <c r="AY219" s="4">
        <v>-0.92900000000000005</v>
      </c>
      <c r="AZ219" s="4">
        <v>-1</v>
      </c>
      <c r="BA219" s="4">
        <v>-0.88400000000000001</v>
      </c>
      <c r="BB219" s="4">
        <v>5.6000000000000001E-2</v>
      </c>
      <c r="BC219" s="4">
        <v>0.97799999999999998</v>
      </c>
      <c r="BD219" s="4">
        <v>0.246</v>
      </c>
      <c r="BE219" s="4">
        <v>-6.8000000000000005E-2</v>
      </c>
      <c r="BF219" s="4">
        <v>1</v>
      </c>
      <c r="BG219" s="4">
        <v>-0.68600000000000005</v>
      </c>
      <c r="BH219" s="4">
        <v>0.45700000000000002</v>
      </c>
      <c r="BI219" s="4">
        <v>1</v>
      </c>
      <c r="BJ219" s="4">
        <v>-0.159</v>
      </c>
      <c r="BK219" s="4">
        <v>0.94499999999999995</v>
      </c>
      <c r="BL219" s="4">
        <v>0.95799999999999996</v>
      </c>
      <c r="BM219" s="4">
        <v>9.4E-2</v>
      </c>
      <c r="BN219" s="4"/>
    </row>
    <row r="220" spans="1:66" x14ac:dyDescent="0.3">
      <c r="A220" t="s">
        <v>260</v>
      </c>
      <c r="B220" s="53">
        <f t="shared" si="25"/>
        <v>0</v>
      </c>
      <c r="C220" s="53">
        <f t="shared" si="26"/>
        <v>0</v>
      </c>
      <c r="D220" s="53">
        <f t="shared" si="27"/>
        <v>0</v>
      </c>
      <c r="E220" s="53">
        <f t="shared" si="28"/>
        <v>0</v>
      </c>
      <c r="F220" s="15">
        <v>0.46800000000000003</v>
      </c>
      <c r="G220">
        <v>0.33200000000000002</v>
      </c>
      <c r="H220" t="s">
        <v>57</v>
      </c>
      <c r="I220" t="str">
        <f>VLOOKUP(A220,Planilha6!$BL$9:$BN$222,2,0)</f>
        <v>consumer_services</v>
      </c>
      <c r="J220" t="str">
        <f>VLOOKUP(A220,Planilha6!$BL$9:$BN$222,3,0)</f>
        <v>very_high_beta</v>
      </c>
      <c r="K220" s="17">
        <v>0</v>
      </c>
      <c r="L220" s="2">
        <v>0</v>
      </c>
      <c r="M220" s="5">
        <v>6.7899322323333303E-2</v>
      </c>
      <c r="N220" s="41">
        <f>VLOOKUP(A220,'Mandato LP'!$A$2:$B$215,2,0)</f>
        <v>0</v>
      </c>
      <c r="O220" s="59">
        <f t="shared" si="29"/>
        <v>0</v>
      </c>
      <c r="P220" s="42">
        <f t="shared" si="30"/>
        <v>0</v>
      </c>
      <c r="Q220" s="41">
        <f>VLOOKUP(A220,'Mandato LP'!$A$2:$C$215,3,0)</f>
        <v>0</v>
      </c>
      <c r="R220" s="42">
        <f t="shared" si="31"/>
        <v>0</v>
      </c>
      <c r="S220" s="15">
        <v>-0.98399999999999999</v>
      </c>
      <c r="T220" s="15">
        <v>-1</v>
      </c>
      <c r="U220" s="15">
        <v>-0.97799999999999998</v>
      </c>
      <c r="V220" s="15">
        <v>-0.98299999999999998</v>
      </c>
      <c r="W220" s="15">
        <v>-1</v>
      </c>
      <c r="X220" s="15">
        <v>-1</v>
      </c>
      <c r="Y220" s="15">
        <v>-1</v>
      </c>
      <c r="Z220" s="15">
        <v>-0.996</v>
      </c>
      <c r="AA220" s="15">
        <v>-0.76100000000000001</v>
      </c>
      <c r="AB220" s="15">
        <v>-0.76400000000000001</v>
      </c>
      <c r="AC220" s="15">
        <v>-0.78100000000000003</v>
      </c>
      <c r="AD220" s="15">
        <v>-1</v>
      </c>
      <c r="AE220" s="15">
        <v>-1</v>
      </c>
      <c r="AF220" s="14">
        <v>-0.79900000000000004</v>
      </c>
      <c r="AG220" s="110">
        <v>-0.45200000000000001</v>
      </c>
      <c r="AH220" s="110">
        <v>-0.871</v>
      </c>
      <c r="AI220" s="110">
        <v>-0.14000000000000001</v>
      </c>
      <c r="AJ220" s="110">
        <v>-0.94099999999999995</v>
      </c>
      <c r="AK220" s="16">
        <v>-0.86899999999999999</v>
      </c>
      <c r="AL220" s="111">
        <v>0.20399999999999999</v>
      </c>
      <c r="AM220" s="111">
        <v>-0.56000000000000005</v>
      </c>
      <c r="AN220" s="4">
        <v>-3.6999999999999998E-2</v>
      </c>
      <c r="AO220" s="4">
        <v>-0.29099999999999998</v>
      </c>
      <c r="AP220" s="4">
        <v>-0.76900000000000002</v>
      </c>
      <c r="AQ220" s="4">
        <v>-0.874</v>
      </c>
      <c r="AR220" s="4">
        <v>-0.57699999999999996</v>
      </c>
      <c r="AS220" s="4">
        <v>-0.69899999999999995</v>
      </c>
      <c r="AT220" s="4">
        <v>-0.44600000000000001</v>
      </c>
      <c r="AU220" s="4">
        <v>-0.41399999999999998</v>
      </c>
      <c r="AV220" s="4">
        <v>-0.66</v>
      </c>
      <c r="AW220" s="4">
        <v>-0.69299999999999995</v>
      </c>
      <c r="AX220" s="4">
        <v>-0.57899999999999996</v>
      </c>
      <c r="AY220" s="4">
        <v>-4.7E-2</v>
      </c>
      <c r="AZ220" s="4">
        <v>0.28999999999999998</v>
      </c>
      <c r="BA220" s="4">
        <v>-0.94099999999999995</v>
      </c>
      <c r="BB220" s="4">
        <v>0.189</v>
      </c>
      <c r="BC220" s="4">
        <v>0.78800000000000003</v>
      </c>
      <c r="BD220" s="4">
        <v>0.29299999999999998</v>
      </c>
      <c r="BE220" s="4">
        <v>-0.28599999999999998</v>
      </c>
      <c r="BF220" s="4">
        <v>-0.79300000000000004</v>
      </c>
      <c r="BG220" s="4">
        <v>-1</v>
      </c>
      <c r="BH220" s="4">
        <v>-1</v>
      </c>
      <c r="BI220" s="4">
        <v>0.98199999999999998</v>
      </c>
      <c r="BJ220" s="4">
        <v>0.69699999999999995</v>
      </c>
      <c r="BK220" s="4">
        <v>0.28199999999999997</v>
      </c>
      <c r="BL220" s="4">
        <v>6.6000000000000003E-2</v>
      </c>
      <c r="BM220" s="4">
        <v>0.184</v>
      </c>
      <c r="BN220" s="4"/>
    </row>
    <row r="221" spans="1:66" x14ac:dyDescent="0.3">
      <c r="A221" t="s">
        <v>267</v>
      </c>
      <c r="B221" s="53">
        <f t="shared" si="25"/>
        <v>0</v>
      </c>
      <c r="C221" s="53">
        <f t="shared" si="26"/>
        <v>0</v>
      </c>
      <c r="D221" s="53">
        <f t="shared" si="27"/>
        <v>0</v>
      </c>
      <c r="E221" s="53">
        <f t="shared" si="28"/>
        <v>0</v>
      </c>
      <c r="F221" s="15">
        <v>0.46800000000000003</v>
      </c>
      <c r="G221">
        <v>0.33</v>
      </c>
      <c r="H221" t="s">
        <v>53</v>
      </c>
      <c r="I221" t="str">
        <f>VLOOKUP(A221,Planilha6!$BL$9:$BN$222,2,0)</f>
        <v>healthcare</v>
      </c>
      <c r="J221" t="str">
        <f>VLOOKUP(A221,Planilha6!$BL$9:$BN$222,3,0)</f>
        <v>high_beta</v>
      </c>
      <c r="K221" s="17">
        <v>0</v>
      </c>
      <c r="L221" s="2">
        <v>0</v>
      </c>
      <c r="M221" s="5">
        <v>0</v>
      </c>
      <c r="N221" s="41">
        <f>VLOOKUP(A221,'Mandato LP'!$A$2:$B$215,2,0)</f>
        <v>0</v>
      </c>
      <c r="O221" s="59">
        <f t="shared" si="29"/>
        <v>0</v>
      </c>
      <c r="P221" s="42">
        <f t="shared" si="30"/>
        <v>0</v>
      </c>
      <c r="Q221" s="41">
        <f>VLOOKUP(A221,'Mandato LP'!$A$2:$C$215,3,0)</f>
        <v>0</v>
      </c>
      <c r="R221" s="42">
        <f t="shared" si="31"/>
        <v>0</v>
      </c>
      <c r="S221" s="15">
        <v>-1</v>
      </c>
      <c r="T221" s="15">
        <v>-1</v>
      </c>
      <c r="U221" s="15">
        <v>-0.996</v>
      </c>
      <c r="V221" s="15">
        <v>-1</v>
      </c>
      <c r="W221" s="15">
        <v>-1</v>
      </c>
      <c r="X221" s="15">
        <v>-1</v>
      </c>
      <c r="Y221" s="15">
        <v>-1</v>
      </c>
      <c r="Z221" s="15">
        <v>-1</v>
      </c>
      <c r="AA221" s="15">
        <v>-1</v>
      </c>
      <c r="AB221" s="15">
        <v>-1</v>
      </c>
      <c r="AC221" s="15">
        <v>-1</v>
      </c>
      <c r="AD221" s="15">
        <v>-1</v>
      </c>
      <c r="AE221" s="15">
        <v>-1</v>
      </c>
      <c r="AF221" s="14">
        <v>-0.86499999999999999</v>
      </c>
      <c r="AG221" s="110">
        <v>-0.73199999999999998</v>
      </c>
      <c r="AH221" s="110">
        <v>-1</v>
      </c>
      <c r="AI221" s="110">
        <v>-0.23499999999999999</v>
      </c>
      <c r="AJ221" s="110">
        <v>-0.46200000000000002</v>
      </c>
      <c r="AK221" s="16">
        <v>-0.68700000000000006</v>
      </c>
      <c r="AL221" s="111">
        <v>-0.38800000000000001</v>
      </c>
      <c r="AM221" s="111">
        <v>-1</v>
      </c>
      <c r="AN221" s="4">
        <v>-0.39300000000000002</v>
      </c>
      <c r="AO221" s="4">
        <v>-0.69399999999999995</v>
      </c>
      <c r="AP221" s="4">
        <v>-0.47299999999999998</v>
      </c>
      <c r="AQ221" s="4">
        <v>-0.80800000000000005</v>
      </c>
      <c r="AR221" s="4">
        <v>-0.46700000000000003</v>
      </c>
      <c r="AS221" s="4">
        <v>-0.77200000000000002</v>
      </c>
      <c r="AT221" s="4">
        <v>-0.28399999999999997</v>
      </c>
      <c r="AU221" s="4">
        <v>-0.66100000000000003</v>
      </c>
      <c r="AV221" s="4">
        <v>-0.63100000000000001</v>
      </c>
      <c r="AW221" s="4">
        <v>-0.69099999999999995</v>
      </c>
      <c r="AX221" s="4">
        <v>-0.60699999999999998</v>
      </c>
      <c r="AY221" s="4">
        <v>-1</v>
      </c>
      <c r="AZ221" s="4">
        <v>-0.18099999999999999</v>
      </c>
      <c r="BA221" s="4">
        <v>-0.879</v>
      </c>
      <c r="BB221" s="4">
        <v>7.0999999999999994E-2</v>
      </c>
      <c r="BC221" s="4">
        <v>0.97899999999999998</v>
      </c>
      <c r="BD221" s="4">
        <v>0.54300000000000004</v>
      </c>
      <c r="BE221" s="4">
        <v>0.21199999999999999</v>
      </c>
      <c r="BF221" s="4">
        <v>1</v>
      </c>
      <c r="BG221" s="4">
        <v>-1</v>
      </c>
      <c r="BH221" s="4">
        <v>-1</v>
      </c>
      <c r="BI221" s="4">
        <v>0.96799999999999997</v>
      </c>
      <c r="BJ221" s="4">
        <v>0.187</v>
      </c>
      <c r="BK221" s="4">
        <v>0.33800000000000002</v>
      </c>
      <c r="BL221" s="4">
        <v>0.53800000000000003</v>
      </c>
      <c r="BM221" s="4">
        <v>0.38700000000000001</v>
      </c>
      <c r="BN221" s="4"/>
    </row>
    <row r="222" spans="1:66" ht="15" thickBot="1" x14ac:dyDescent="0.35">
      <c r="A222" t="s">
        <v>268</v>
      </c>
      <c r="B222" s="53">
        <f t="shared" si="25"/>
        <v>0</v>
      </c>
      <c r="C222" s="53">
        <f t="shared" si="26"/>
        <v>0</v>
      </c>
      <c r="D222" s="53">
        <f t="shared" si="27"/>
        <v>0</v>
      </c>
      <c r="E222" s="53">
        <f t="shared" si="28"/>
        <v>0</v>
      </c>
      <c r="F222" s="15">
        <v>0.46800000000000003</v>
      </c>
      <c r="G222">
        <v>0.33</v>
      </c>
      <c r="H222" t="s">
        <v>71</v>
      </c>
      <c r="I222" t="str">
        <f>VLOOKUP(A222,Planilha6!$BL$9:$BN$222,2,0)</f>
        <v>basic_materials</v>
      </c>
      <c r="J222" t="str">
        <f>VLOOKUP(A222,Planilha6!$BL$9:$BN$222,3,0)</f>
        <v>very_high_beta</v>
      </c>
      <c r="K222" s="17">
        <v>0</v>
      </c>
      <c r="L222" s="2">
        <v>0</v>
      </c>
      <c r="M222" s="5">
        <v>0</v>
      </c>
      <c r="N222" s="43">
        <f>VLOOKUP(A222,'Mandato LP'!$A$2:$B$215,2,0)</f>
        <v>0</v>
      </c>
      <c r="O222" s="60">
        <f t="shared" si="29"/>
        <v>0</v>
      </c>
      <c r="P222" s="44">
        <f t="shared" si="30"/>
        <v>0</v>
      </c>
      <c r="Q222" s="43">
        <f>VLOOKUP(A222,'Mandato LP'!$A$2:$C$215,3,0)</f>
        <v>0</v>
      </c>
      <c r="R222" s="44">
        <f t="shared" si="31"/>
        <v>0</v>
      </c>
      <c r="S222" s="15">
        <v>-0.97</v>
      </c>
      <c r="T222" s="15">
        <v>-1</v>
      </c>
      <c r="U222" s="15">
        <v>-0.91300000000000003</v>
      </c>
      <c r="V222" s="15">
        <v>-0.997</v>
      </c>
      <c r="W222" s="15">
        <v>-0.998</v>
      </c>
      <c r="X222" s="15">
        <v>-0.99299999999999999</v>
      </c>
      <c r="Y222" s="15">
        <v>-1</v>
      </c>
      <c r="Z222" s="15">
        <v>-1</v>
      </c>
      <c r="AA222" s="15">
        <v>-1</v>
      </c>
      <c r="AB222" s="15">
        <v>-1</v>
      </c>
      <c r="AC222" s="15">
        <v>-1</v>
      </c>
      <c r="AD222" s="15">
        <v>-1</v>
      </c>
      <c r="AE222" s="15">
        <v>-1</v>
      </c>
      <c r="AF222" s="113">
        <v>-0.995</v>
      </c>
      <c r="AG222" s="114">
        <v>-0.871</v>
      </c>
      <c r="AH222" s="114">
        <v>-1</v>
      </c>
      <c r="AI222" s="114">
        <v>-0.505</v>
      </c>
      <c r="AJ222" s="114">
        <v>-0.35099999999999998</v>
      </c>
      <c r="AK222" s="115">
        <v>-0.58299999999999996</v>
      </c>
      <c r="AL222" s="111">
        <v>-0.623</v>
      </c>
      <c r="AM222" s="111">
        <v>-1</v>
      </c>
      <c r="AN222" s="4">
        <v>-0.97299999999999998</v>
      </c>
      <c r="AO222" s="4">
        <v>-8.6999999999999994E-2</v>
      </c>
      <c r="AP222" s="4">
        <v>-0.68799999999999994</v>
      </c>
      <c r="AQ222" s="4">
        <v>-0.40500000000000003</v>
      </c>
      <c r="AR222" s="4">
        <v>-8.3000000000000004E-2</v>
      </c>
      <c r="AS222" s="4">
        <v>0.24199999999999999</v>
      </c>
      <c r="AT222" s="4">
        <v>0.13900000000000001</v>
      </c>
      <c r="AU222" s="4">
        <v>-0.77400000000000002</v>
      </c>
      <c r="AV222" s="4">
        <v>-0.83499999999999996</v>
      </c>
      <c r="AW222" s="4">
        <v>-0.52500000000000002</v>
      </c>
      <c r="AX222" s="4">
        <v>-0.50600000000000001</v>
      </c>
      <c r="AY222" s="4">
        <v>-0.68300000000000005</v>
      </c>
      <c r="AZ222" s="4">
        <v>-0.443</v>
      </c>
      <c r="BA222" s="4">
        <v>-0.35299999999999998</v>
      </c>
      <c r="BB222" s="4">
        <v>0.46400000000000002</v>
      </c>
      <c r="BC222" s="4">
        <v>0.93700000000000006</v>
      </c>
      <c r="BD222" s="4">
        <v>0.70799999999999996</v>
      </c>
      <c r="BE222" s="4">
        <v>-0.219</v>
      </c>
      <c r="BF222" s="4">
        <v>-0.70399999999999996</v>
      </c>
      <c r="BG222" s="4">
        <v>-0.98799999999999999</v>
      </c>
      <c r="BH222" s="4">
        <v>-0.95599999999999996</v>
      </c>
      <c r="BI222" s="4">
        <v>1</v>
      </c>
      <c r="BJ222" s="4">
        <v>0.19</v>
      </c>
      <c r="BK222" s="4">
        <v>0.67700000000000005</v>
      </c>
      <c r="BL222" s="4">
        <v>0.90600000000000003</v>
      </c>
      <c r="BM222" s="4">
        <v>1.0999999999999999E-2</v>
      </c>
      <c r="BN222" s="4"/>
    </row>
    <row r="223" spans="1:66" x14ac:dyDescent="0.3">
      <c r="F223" s="15"/>
      <c r="K223" s="17"/>
      <c r="L223" s="2"/>
      <c r="M223" s="2"/>
      <c r="N223" s="2"/>
      <c r="O223" s="2"/>
      <c r="P223" s="59">
        <f t="shared" si="30"/>
        <v>0</v>
      </c>
      <c r="Q223" s="2"/>
      <c r="R223" s="2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4"/>
      <c r="AH223" s="15"/>
      <c r="AI223" s="15"/>
      <c r="AJ223" s="15"/>
      <c r="AK223" s="15"/>
      <c r="AL223" s="9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</row>
    <row r="224" spans="1:66" x14ac:dyDescent="0.3">
      <c r="F224" s="15"/>
      <c r="K224" s="17"/>
      <c r="L224" s="2"/>
      <c r="M224" s="2"/>
      <c r="N224" s="2"/>
      <c r="O224" s="2"/>
      <c r="P224" s="59">
        <f t="shared" si="30"/>
        <v>0</v>
      </c>
      <c r="Q224" s="2"/>
      <c r="R224" s="2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4"/>
      <c r="AH224" s="15"/>
      <c r="AI224" s="15"/>
      <c r="AJ224" s="15"/>
      <c r="AK224" s="15"/>
      <c r="AL224" s="9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</row>
    <row r="225" spans="6:66" x14ac:dyDescent="0.3">
      <c r="F225" s="15"/>
      <c r="K225" s="17"/>
      <c r="L225" s="2"/>
      <c r="M225" s="2"/>
      <c r="N225" s="2"/>
      <c r="O225" s="2"/>
      <c r="P225" s="59">
        <f t="shared" si="30"/>
        <v>0</v>
      </c>
      <c r="Q225" s="2"/>
      <c r="R225" s="2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4"/>
      <c r="AH225" s="15"/>
      <c r="AI225" s="15"/>
      <c r="AJ225" s="15"/>
      <c r="AK225" s="15"/>
      <c r="AL225" s="9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</row>
    <row r="226" spans="6:66" x14ac:dyDescent="0.3">
      <c r="F226" s="15"/>
      <c r="K226" s="17"/>
      <c r="L226" s="2"/>
      <c r="M226" s="2"/>
      <c r="N226" s="2"/>
      <c r="O226" s="2"/>
      <c r="P226" s="59">
        <f t="shared" si="30"/>
        <v>0</v>
      </c>
      <c r="Q226" s="2"/>
      <c r="R226" s="2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4"/>
      <c r="AH226" s="15"/>
      <c r="AI226" s="15"/>
      <c r="AJ226" s="15"/>
      <c r="AK226" s="15"/>
      <c r="AL226" s="9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</row>
    <row r="242" spans="9:23" x14ac:dyDescent="0.3">
      <c r="W242" s="78"/>
    </row>
    <row r="243" spans="9:23" x14ac:dyDescent="0.3">
      <c r="W243" s="78"/>
    </row>
    <row r="244" spans="9:23" x14ac:dyDescent="0.3">
      <c r="I244" s="23" t="s">
        <v>308</v>
      </c>
      <c r="J244" t="s">
        <v>329</v>
      </c>
      <c r="K244" t="s">
        <v>755</v>
      </c>
      <c r="L244" t="s">
        <v>754</v>
      </c>
      <c r="M244" t="s">
        <v>310</v>
      </c>
      <c r="N244" t="s">
        <v>325</v>
      </c>
      <c r="O244" t="s">
        <v>326</v>
      </c>
      <c r="W244" s="78"/>
    </row>
    <row r="245" spans="9:23" x14ac:dyDescent="0.3">
      <c r="I245" s="24" t="s">
        <v>55</v>
      </c>
      <c r="J245" s="26">
        <v>0.246</v>
      </c>
      <c r="K245" s="26">
        <v>5.0282999999998884E-4</v>
      </c>
      <c r="L245" s="27">
        <v>0.26200000000000001</v>
      </c>
      <c r="M245" s="26">
        <v>1.7999999999999988E-2</v>
      </c>
      <c r="N245" s="26">
        <v>0.26246235090432268</v>
      </c>
      <c r="O245" s="26">
        <v>0.36114366260341818</v>
      </c>
      <c r="P245" s="26"/>
      <c r="W245" s="78"/>
    </row>
    <row r="246" spans="9:23" x14ac:dyDescent="0.3">
      <c r="I246" s="25" t="s">
        <v>295</v>
      </c>
      <c r="J246" s="26">
        <v>3.7999999999999999E-2</v>
      </c>
      <c r="K246" s="26">
        <v>1.090471E-2</v>
      </c>
      <c r="L246" s="27">
        <v>3.7999999999999999E-2</v>
      </c>
      <c r="M246" s="26">
        <v>1.0999999999999999E-2</v>
      </c>
      <c r="N246" s="26">
        <v>6.9365168980350764E-2</v>
      </c>
      <c r="O246" s="26">
        <v>5.3218419948638129E-2</v>
      </c>
      <c r="P246" s="26"/>
      <c r="W246" s="78"/>
    </row>
    <row r="247" spans="9:23" x14ac:dyDescent="0.3">
      <c r="I247" s="25" t="s">
        <v>302</v>
      </c>
      <c r="J247" s="26">
        <v>4.8000000000000001E-2</v>
      </c>
      <c r="K247" s="26">
        <v>1.7982699999999997E-2</v>
      </c>
      <c r="L247" s="27">
        <v>4.8000000000000001E-2</v>
      </c>
      <c r="M247" s="26">
        <v>1.9E-2</v>
      </c>
      <c r="N247" s="26">
        <v>7.9585358506084058E-2</v>
      </c>
      <c r="O247" s="26">
        <v>5.3951402383382238E-2</v>
      </c>
      <c r="P247" s="26"/>
      <c r="W247" s="78"/>
    </row>
    <row r="248" spans="9:23" x14ac:dyDescent="0.3">
      <c r="I248" s="25" t="s">
        <v>285</v>
      </c>
      <c r="J248" s="26">
        <v>0</v>
      </c>
      <c r="K248" s="26">
        <v>-2.01366E-3</v>
      </c>
      <c r="L248" s="27">
        <v>0</v>
      </c>
      <c r="M248" s="26">
        <v>-2E-3</v>
      </c>
      <c r="N248" s="26">
        <v>0</v>
      </c>
      <c r="O248" s="26">
        <v>5.3209785483147899E-3</v>
      </c>
      <c r="P248" s="26"/>
      <c r="W248" s="78"/>
    </row>
    <row r="249" spans="9:23" x14ac:dyDescent="0.3">
      <c r="I249" s="25" t="s">
        <v>280</v>
      </c>
      <c r="J249" s="26">
        <v>0.16</v>
      </c>
      <c r="K249" s="26">
        <v>-2.6370920000000006E-2</v>
      </c>
      <c r="L249" s="27">
        <v>0.17599999999999999</v>
      </c>
      <c r="M249" s="26">
        <v>-1.0000000000000009E-2</v>
      </c>
      <c r="N249" s="26">
        <v>0.11351182341788782</v>
      </c>
      <c r="O249" s="26">
        <v>0.24865286172308301</v>
      </c>
      <c r="P249" s="26"/>
      <c r="W249" s="78"/>
    </row>
    <row r="250" spans="9:23" x14ac:dyDescent="0.3">
      <c r="I250" s="24" t="s">
        <v>71</v>
      </c>
      <c r="J250" s="26">
        <v>0.20099999999999998</v>
      </c>
      <c r="K250" s="26">
        <v>-9.2589450000000004E-2</v>
      </c>
      <c r="L250" s="27">
        <v>0.183</v>
      </c>
      <c r="M250" s="26">
        <v>-0.11000000000000001</v>
      </c>
      <c r="N250" s="26">
        <v>0.15884314227008656</v>
      </c>
      <c r="O250" s="26">
        <v>0.12441540288890532</v>
      </c>
      <c r="P250" s="26"/>
      <c r="W250" s="78"/>
    </row>
    <row r="251" spans="9:23" x14ac:dyDescent="0.3">
      <c r="I251" s="25" t="s">
        <v>284</v>
      </c>
      <c r="J251" s="26">
        <v>8.7999999999999995E-2</v>
      </c>
      <c r="K251" s="26">
        <v>-3.170139000000001E-2</v>
      </c>
      <c r="L251" s="27">
        <v>8.7999999999999995E-2</v>
      </c>
      <c r="M251" s="26">
        <v>-3.1000000000000003E-2</v>
      </c>
      <c r="N251" s="26">
        <v>2.3737553014776199E-2</v>
      </c>
      <c r="O251" s="26">
        <v>0</v>
      </c>
      <c r="P251" s="26"/>
      <c r="W251" s="78"/>
    </row>
    <row r="252" spans="9:23" x14ac:dyDescent="0.3">
      <c r="I252" s="25" t="s">
        <v>300</v>
      </c>
      <c r="J252" s="26">
        <v>0.11299999999999999</v>
      </c>
      <c r="K252" s="26">
        <v>-2.7936079999999995E-2</v>
      </c>
      <c r="L252" s="27">
        <v>9.5000000000000001E-2</v>
      </c>
      <c r="M252" s="26">
        <v>-4.6000000000000006E-2</v>
      </c>
      <c r="N252" s="26">
        <v>0.13510558925531035</v>
      </c>
      <c r="O252" s="26">
        <v>0.12441540288890532</v>
      </c>
      <c r="P252" s="26"/>
      <c r="W252" s="78"/>
    </row>
    <row r="253" spans="9:23" x14ac:dyDescent="0.3">
      <c r="I253" s="25" t="s">
        <v>292</v>
      </c>
      <c r="J253" s="26">
        <v>0</v>
      </c>
      <c r="K253" s="26">
        <v>-3.2951979999999999E-2</v>
      </c>
      <c r="L253" s="27">
        <v>0</v>
      </c>
      <c r="M253" s="26">
        <v>-3.3000000000000002E-2</v>
      </c>
      <c r="N253" s="26">
        <v>0</v>
      </c>
      <c r="O253" s="26">
        <v>0</v>
      </c>
      <c r="P253" s="26"/>
      <c r="W253" s="78"/>
    </row>
    <row r="254" spans="9:23" x14ac:dyDescent="0.3">
      <c r="I254" s="24" t="s">
        <v>53</v>
      </c>
      <c r="J254" s="26">
        <v>0.11799999999999999</v>
      </c>
      <c r="K254" s="26">
        <v>2.5883310000000003E-2</v>
      </c>
      <c r="L254" s="27">
        <v>0.11799999999999999</v>
      </c>
      <c r="M254" s="26">
        <v>2.5999999999999992E-2</v>
      </c>
      <c r="N254" s="26">
        <v>0.11271003565905587</v>
      </c>
      <c r="O254" s="26">
        <v>0.1102883067412174</v>
      </c>
      <c r="P254" s="26"/>
      <c r="W254" s="78"/>
    </row>
    <row r="255" spans="9:23" x14ac:dyDescent="0.3">
      <c r="I255" s="25" t="s">
        <v>288</v>
      </c>
      <c r="J255" s="26">
        <v>2.6000000000000002E-2</v>
      </c>
      <c r="K255" s="26">
        <v>1.4368350000000005E-2</v>
      </c>
      <c r="L255" s="27">
        <v>2.6000000000000002E-2</v>
      </c>
      <c r="M255" s="26">
        <v>1.3999999999999997E-2</v>
      </c>
      <c r="N255" s="26">
        <v>2.0198260183677329E-2</v>
      </c>
      <c r="O255" s="26">
        <v>1.2187081989893499E-2</v>
      </c>
      <c r="P255" s="26"/>
      <c r="W255" s="78"/>
    </row>
    <row r="256" spans="9:23" x14ac:dyDescent="0.3">
      <c r="I256" s="25" t="s">
        <v>299</v>
      </c>
      <c r="J256" s="26">
        <v>1.4E-2</v>
      </c>
      <c r="K256" s="26">
        <v>1.4E-2</v>
      </c>
      <c r="L256" s="27">
        <v>1.4E-2</v>
      </c>
      <c r="M256" s="26">
        <v>1.4E-2</v>
      </c>
      <c r="N256" s="26">
        <v>1.22931154954909E-2</v>
      </c>
      <c r="O256" s="26">
        <v>9.8665773843535608E-3</v>
      </c>
      <c r="P256" s="26"/>
      <c r="W256" s="78"/>
    </row>
    <row r="257" spans="9:23" x14ac:dyDescent="0.3">
      <c r="I257" s="25" t="s">
        <v>301</v>
      </c>
      <c r="J257" s="26">
        <v>4.3999999999999997E-2</v>
      </c>
      <c r="K257" s="26">
        <v>-7.0144300000000021E-3</v>
      </c>
      <c r="L257" s="27">
        <v>4.3999999999999997E-2</v>
      </c>
      <c r="M257" s="26">
        <v>-7.0000000000000019E-3</v>
      </c>
      <c r="N257" s="26">
        <v>3.9432420351482395E-2</v>
      </c>
      <c r="O257" s="26">
        <v>6.1022301689956357E-2</v>
      </c>
      <c r="P257" s="26"/>
      <c r="W257" s="78"/>
    </row>
    <row r="258" spans="9:23" x14ac:dyDescent="0.3">
      <c r="I258" s="25" t="s">
        <v>290</v>
      </c>
      <c r="J258" s="26">
        <v>3.4000000000000002E-2</v>
      </c>
      <c r="K258" s="26">
        <v>4.5293899999999986E-3</v>
      </c>
      <c r="L258" s="27">
        <v>3.4000000000000002E-2</v>
      </c>
      <c r="M258" s="26">
        <v>4.9999999999999975E-3</v>
      </c>
      <c r="N258" s="26">
        <v>4.0786239628405233E-2</v>
      </c>
      <c r="O258" s="26">
        <v>2.7212345677013972E-2</v>
      </c>
      <c r="P258" s="26"/>
      <c r="W258" s="78"/>
    </row>
    <row r="259" spans="9:23" x14ac:dyDescent="0.3">
      <c r="I259" s="24" t="s">
        <v>68</v>
      </c>
      <c r="J259" s="26">
        <v>5.3000000000000005E-2</v>
      </c>
      <c r="K259" s="26">
        <v>2.0556759999999997E-2</v>
      </c>
      <c r="L259" s="27">
        <v>5.3000000000000005E-2</v>
      </c>
      <c r="M259" s="26">
        <v>2.1999999999999999E-2</v>
      </c>
      <c r="N259" s="26">
        <v>6.5297725881153901E-2</v>
      </c>
      <c r="O259" s="26">
        <v>2.4900957229456049E-2</v>
      </c>
      <c r="P259" s="26"/>
      <c r="W259" s="78"/>
    </row>
    <row r="260" spans="9:23" x14ac:dyDescent="0.3">
      <c r="I260" s="25" t="s">
        <v>298</v>
      </c>
      <c r="J260" s="26">
        <v>0</v>
      </c>
      <c r="K260" s="26">
        <v>0</v>
      </c>
      <c r="L260" s="27">
        <v>0</v>
      </c>
      <c r="M260" s="26">
        <v>0</v>
      </c>
      <c r="N260" s="26">
        <v>0</v>
      </c>
      <c r="O260" s="26">
        <v>0</v>
      </c>
      <c r="P260" s="26"/>
      <c r="W260" s="78"/>
    </row>
    <row r="261" spans="9:23" x14ac:dyDescent="0.3">
      <c r="I261" s="25" t="s">
        <v>293</v>
      </c>
      <c r="J261" s="26">
        <v>4.3000000000000003E-2</v>
      </c>
      <c r="K261" s="26">
        <v>1.5219109999999998E-2</v>
      </c>
      <c r="L261" s="27">
        <v>4.3000000000000003E-2</v>
      </c>
      <c r="M261" s="26">
        <v>1.6E-2</v>
      </c>
      <c r="N261" s="26">
        <v>5.4632616657423298E-2</v>
      </c>
      <c r="O261" s="26">
        <v>2.4900957229456049E-2</v>
      </c>
      <c r="P261" s="26"/>
      <c r="W261" s="78"/>
    </row>
    <row r="262" spans="9:23" x14ac:dyDescent="0.3">
      <c r="I262" s="25" t="s">
        <v>303</v>
      </c>
      <c r="J262" s="26">
        <v>0.01</v>
      </c>
      <c r="K262" s="26">
        <v>5.3376500000000002E-3</v>
      </c>
      <c r="L262" s="27">
        <v>0.01</v>
      </c>
      <c r="M262" s="26">
        <v>6.0000000000000001E-3</v>
      </c>
      <c r="N262" s="26">
        <v>1.0665109223730601E-2</v>
      </c>
      <c r="O262" s="26">
        <v>0</v>
      </c>
      <c r="P262" s="26"/>
      <c r="W262" s="78"/>
    </row>
    <row r="263" spans="9:23" x14ac:dyDescent="0.3">
      <c r="I263" s="24" t="s">
        <v>57</v>
      </c>
      <c r="J263" s="26">
        <v>0.38200000000000006</v>
      </c>
      <c r="K263" s="26">
        <v>4.5649229999999999E-2</v>
      </c>
      <c r="L263" s="27">
        <v>0.38200000000000006</v>
      </c>
      <c r="M263" s="26">
        <v>4.8999999999999988E-2</v>
      </c>
      <c r="N263" s="26">
        <v>0.40068674528538112</v>
      </c>
      <c r="O263" s="26">
        <v>0.3792516705370032</v>
      </c>
      <c r="P263" s="26"/>
      <c r="W263" s="78"/>
    </row>
    <row r="264" spans="9:23" x14ac:dyDescent="0.3">
      <c r="I264" s="25" t="s">
        <v>289</v>
      </c>
      <c r="J264" s="26">
        <v>5.6000000000000008E-2</v>
      </c>
      <c r="K264" s="26">
        <v>4.8985529999999999E-2</v>
      </c>
      <c r="L264" s="27">
        <v>5.6000000000000008E-2</v>
      </c>
      <c r="M264" s="26">
        <v>0.05</v>
      </c>
      <c r="N264" s="26">
        <v>5.5463656192440126E-2</v>
      </c>
      <c r="O264" s="26">
        <v>2.3845855633243832E-2</v>
      </c>
      <c r="P264" s="26"/>
      <c r="W264" s="78"/>
    </row>
    <row r="265" spans="9:23" x14ac:dyDescent="0.3">
      <c r="I265" s="25" t="s">
        <v>286</v>
      </c>
      <c r="J265" s="26">
        <v>0.16500000000000001</v>
      </c>
      <c r="K265" s="26">
        <v>-7.243854000000001E-2</v>
      </c>
      <c r="L265" s="27">
        <v>0.16500000000000001</v>
      </c>
      <c r="M265" s="26">
        <v>-7.0000000000000007E-2</v>
      </c>
      <c r="N265" s="26">
        <v>0.17264739509485186</v>
      </c>
      <c r="O265" s="26">
        <v>0.19645979786879442</v>
      </c>
      <c r="P265" s="26"/>
      <c r="W265" s="78"/>
    </row>
    <row r="266" spans="9:23" x14ac:dyDescent="0.3">
      <c r="I266" s="25" t="s">
        <v>296</v>
      </c>
      <c r="J266" s="26">
        <v>7.0000000000000001E-3</v>
      </c>
      <c r="K266" s="26">
        <v>6.6043300000000003E-3</v>
      </c>
      <c r="L266" s="27">
        <v>7.0000000000000001E-3</v>
      </c>
      <c r="M266" s="26">
        <v>7.0000000000000001E-3</v>
      </c>
      <c r="N266" s="26">
        <v>1.22931154954909E-2</v>
      </c>
      <c r="O266" s="26">
        <v>7.8704699683066707E-3</v>
      </c>
      <c r="P266" s="26"/>
      <c r="W266" s="78"/>
    </row>
    <row r="267" spans="9:23" x14ac:dyDescent="0.3">
      <c r="I267" s="25" t="s">
        <v>278</v>
      </c>
      <c r="J267" s="26">
        <v>0</v>
      </c>
      <c r="K267" s="26">
        <v>-4.2558970000000002E-2</v>
      </c>
      <c r="L267" s="27">
        <v>0</v>
      </c>
      <c r="M267" s="26">
        <v>-4.3000000000000003E-2</v>
      </c>
      <c r="N267" s="26">
        <v>0</v>
      </c>
      <c r="O267" s="26">
        <v>3.6661330408336301E-2</v>
      </c>
      <c r="P267" s="26"/>
      <c r="W267" s="78"/>
    </row>
    <row r="268" spans="9:23" x14ac:dyDescent="0.3">
      <c r="I268" s="25" t="s">
        <v>297</v>
      </c>
      <c r="J268" s="26">
        <v>1.3000000000000001E-2</v>
      </c>
      <c r="K268" s="26">
        <v>1.1923870000000001E-2</v>
      </c>
      <c r="L268" s="27">
        <v>1.3000000000000001E-2</v>
      </c>
      <c r="M268" s="26">
        <v>1.2E-2</v>
      </c>
      <c r="N268" s="26">
        <v>1.879618491439615E-2</v>
      </c>
      <c r="O268" s="26">
        <v>2.1760383003508781E-2</v>
      </c>
      <c r="P268" s="26"/>
      <c r="W268" s="78"/>
    </row>
    <row r="269" spans="9:23" x14ac:dyDescent="0.3">
      <c r="I269" s="25" t="s">
        <v>299</v>
      </c>
      <c r="J269" s="26">
        <v>0</v>
      </c>
      <c r="K269" s="26">
        <v>-1.1720609999999999E-2</v>
      </c>
      <c r="L269" s="27">
        <v>0</v>
      </c>
      <c r="M269" s="26">
        <v>-1.2E-2</v>
      </c>
      <c r="N269" s="26">
        <v>0</v>
      </c>
      <c r="O269" s="26">
        <v>0</v>
      </c>
      <c r="P269" s="26"/>
      <c r="W269" s="78"/>
    </row>
    <row r="270" spans="9:23" x14ac:dyDescent="0.3">
      <c r="I270" s="25" t="s">
        <v>294</v>
      </c>
      <c r="J270" s="26">
        <v>8.8000000000000009E-2</v>
      </c>
      <c r="K270" s="26">
        <v>6.0220509999999998E-2</v>
      </c>
      <c r="L270" s="27">
        <v>8.8000000000000009E-2</v>
      </c>
      <c r="M270" s="26">
        <v>0.06</v>
      </c>
      <c r="N270" s="26">
        <v>0.10095970316971858</v>
      </c>
      <c r="O270" s="26">
        <v>6.2565181621998492E-2</v>
      </c>
      <c r="P270" s="26"/>
      <c r="W270" s="78"/>
    </row>
    <row r="271" spans="9:23" x14ac:dyDescent="0.3">
      <c r="I271" s="25" t="s">
        <v>291</v>
      </c>
      <c r="J271" s="26">
        <v>5.3000000000000005E-2</v>
      </c>
      <c r="K271" s="26">
        <v>4.8699380000000007E-2</v>
      </c>
      <c r="L271" s="27">
        <v>5.3000000000000005E-2</v>
      </c>
      <c r="M271" s="26">
        <v>4.8000000000000001E-2</v>
      </c>
      <c r="N271" s="26">
        <v>4.0526690418483516E-2</v>
      </c>
      <c r="O271" s="26">
        <v>2.3783223666981681E-2</v>
      </c>
      <c r="P271" s="26"/>
      <c r="W271" s="78"/>
    </row>
    <row r="272" spans="9:23" x14ac:dyDescent="0.3">
      <c r="I272" s="25" t="s">
        <v>285</v>
      </c>
      <c r="J272" s="26">
        <v>0</v>
      </c>
      <c r="K272" s="26">
        <v>-4.0662699999999994E-3</v>
      </c>
      <c r="L272" s="27">
        <v>0</v>
      </c>
      <c r="M272" s="26">
        <v>-3.0000000000000001E-3</v>
      </c>
      <c r="N272" s="26">
        <v>0</v>
      </c>
      <c r="O272" s="26">
        <v>6.3054283658331104E-3</v>
      </c>
      <c r="P272" s="26"/>
      <c r="W272" s="78"/>
    </row>
    <row r="273" spans="9:23" x14ac:dyDescent="0.3">
      <c r="I273" s="24" t="s">
        <v>309</v>
      </c>
      <c r="J273" s="26">
        <v>1.0000000000000002</v>
      </c>
      <c r="K273" s="26">
        <v>2.679999999974543E-6</v>
      </c>
      <c r="L273" s="27">
        <v>0.99800000000000022</v>
      </c>
      <c r="M273" s="26">
        <v>4.9999999999999654E-3</v>
      </c>
      <c r="N273" s="26">
        <v>1</v>
      </c>
      <c r="O273" s="26">
        <v>1.0000000000000002</v>
      </c>
      <c r="P273" s="26"/>
      <c r="W273" s="78"/>
    </row>
    <row r="274" spans="9:23" x14ac:dyDescent="0.3">
      <c r="W274" s="78"/>
    </row>
    <row r="275" spans="9:23" x14ac:dyDescent="0.3">
      <c r="W275" s="78"/>
    </row>
    <row r="276" spans="9:23" x14ac:dyDescent="0.3">
      <c r="W276" s="78"/>
    </row>
    <row r="277" spans="9:23" x14ac:dyDescent="0.3">
      <c r="W277" s="78"/>
    </row>
    <row r="278" spans="9:23" x14ac:dyDescent="0.3">
      <c r="W278" s="78"/>
    </row>
    <row r="279" spans="9:23" x14ac:dyDescent="0.3">
      <c r="W279" s="78"/>
    </row>
    <row r="280" spans="9:23" x14ac:dyDescent="0.3">
      <c r="W280" s="78"/>
    </row>
    <row r="281" spans="9:23" x14ac:dyDescent="0.3">
      <c r="W281" s="78"/>
    </row>
    <row r="282" spans="9:23" x14ac:dyDescent="0.3">
      <c r="W282" s="78"/>
    </row>
    <row r="283" spans="9:23" x14ac:dyDescent="0.3">
      <c r="W283" s="78"/>
    </row>
    <row r="284" spans="9:23" x14ac:dyDescent="0.3">
      <c r="W284" s="78"/>
    </row>
    <row r="285" spans="9:23" x14ac:dyDescent="0.3">
      <c r="W285" s="78"/>
    </row>
    <row r="286" spans="9:23" x14ac:dyDescent="0.3">
      <c r="W286" s="78"/>
    </row>
    <row r="287" spans="9:23" x14ac:dyDescent="0.3">
      <c r="W287" s="78"/>
    </row>
    <row r="288" spans="9:23" x14ac:dyDescent="0.3">
      <c r="W288" s="78"/>
    </row>
    <row r="289" spans="8:23" x14ac:dyDescent="0.3">
      <c r="W289" s="78"/>
    </row>
    <row r="290" spans="8:23" x14ac:dyDescent="0.3">
      <c r="W290" s="78"/>
    </row>
    <row r="291" spans="8:23" x14ac:dyDescent="0.3">
      <c r="W291" s="78"/>
    </row>
    <row r="292" spans="8:23" x14ac:dyDescent="0.3">
      <c r="W292" s="78"/>
    </row>
    <row r="293" spans="8:23" x14ac:dyDescent="0.3">
      <c r="W293" s="78"/>
    </row>
    <row r="294" spans="8:23" x14ac:dyDescent="0.3">
      <c r="H294" t="s">
        <v>0</v>
      </c>
      <c r="J294" t="s">
        <v>306</v>
      </c>
      <c r="K294" t="s">
        <v>538</v>
      </c>
      <c r="W294" s="78"/>
    </row>
    <row r="295" spans="8:23" x14ac:dyDescent="0.3">
      <c r="H295" t="s">
        <v>539</v>
      </c>
      <c r="J295" t="s">
        <v>192</v>
      </c>
      <c r="K295">
        <v>3.6433609999999998E-2</v>
      </c>
      <c r="W295" s="78"/>
    </row>
    <row r="296" spans="8:23" x14ac:dyDescent="0.3">
      <c r="H296" t="s">
        <v>540</v>
      </c>
      <c r="J296" t="s">
        <v>72</v>
      </c>
      <c r="K296">
        <v>0</v>
      </c>
      <c r="W296" s="78"/>
    </row>
    <row r="297" spans="8:23" x14ac:dyDescent="0.3">
      <c r="H297" t="s">
        <v>541</v>
      </c>
      <c r="J297" t="s">
        <v>98</v>
      </c>
      <c r="K297">
        <v>4.3630400000000003E-3</v>
      </c>
      <c r="W297" s="78"/>
    </row>
    <row r="298" spans="8:23" x14ac:dyDescent="0.3">
      <c r="H298" t="s">
        <v>542</v>
      </c>
      <c r="J298" t="s">
        <v>63</v>
      </c>
      <c r="K298">
        <v>2.6069700000000001E-3</v>
      </c>
      <c r="W298" s="78"/>
    </row>
    <row r="299" spans="8:23" x14ac:dyDescent="0.3">
      <c r="H299" t="s">
        <v>543</v>
      </c>
      <c r="J299" t="s">
        <v>164</v>
      </c>
      <c r="K299">
        <v>0</v>
      </c>
      <c r="W299" s="78"/>
    </row>
    <row r="300" spans="8:23" x14ac:dyDescent="0.3">
      <c r="H300" t="s">
        <v>544</v>
      </c>
      <c r="J300" t="s">
        <v>264</v>
      </c>
      <c r="K300">
        <v>0</v>
      </c>
      <c r="W300" s="78"/>
    </row>
    <row r="301" spans="8:23" x14ac:dyDescent="0.3">
      <c r="H301" t="s">
        <v>545</v>
      </c>
      <c r="J301" t="s">
        <v>73</v>
      </c>
      <c r="K301">
        <v>4.6122799999999999E-3</v>
      </c>
      <c r="W301" s="78"/>
    </row>
    <row r="302" spans="8:23" x14ac:dyDescent="0.3">
      <c r="H302" t="s">
        <v>546</v>
      </c>
      <c r="J302" t="s">
        <v>265</v>
      </c>
      <c r="K302">
        <v>0</v>
      </c>
      <c r="W302" s="78"/>
    </row>
    <row r="303" spans="8:23" x14ac:dyDescent="0.3">
      <c r="H303" t="s">
        <v>547</v>
      </c>
      <c r="J303" t="s">
        <v>263</v>
      </c>
      <c r="K303">
        <v>0</v>
      </c>
      <c r="W303" s="78"/>
    </row>
    <row r="304" spans="8:23" x14ac:dyDescent="0.3">
      <c r="H304" t="s">
        <v>548</v>
      </c>
      <c r="J304" t="s">
        <v>177</v>
      </c>
      <c r="K304">
        <v>0</v>
      </c>
      <c r="W304" s="78"/>
    </row>
    <row r="305" spans="8:23" x14ac:dyDescent="0.3">
      <c r="H305" t="s">
        <v>549</v>
      </c>
      <c r="J305" t="s">
        <v>159</v>
      </c>
      <c r="K305">
        <v>0</v>
      </c>
      <c r="W305" s="78"/>
    </row>
    <row r="306" spans="8:23" x14ac:dyDescent="0.3">
      <c r="H306" t="s">
        <v>550</v>
      </c>
      <c r="J306" t="s">
        <v>172</v>
      </c>
      <c r="K306">
        <v>2.1720659999999999E-2</v>
      </c>
      <c r="W306" s="78"/>
    </row>
    <row r="307" spans="8:23" x14ac:dyDescent="0.3">
      <c r="H307" t="s">
        <v>551</v>
      </c>
      <c r="J307" t="s">
        <v>145</v>
      </c>
      <c r="K307">
        <v>0</v>
      </c>
      <c r="W307" s="78"/>
    </row>
    <row r="308" spans="8:23" x14ac:dyDescent="0.3">
      <c r="H308" t="s">
        <v>552</v>
      </c>
      <c r="J308" t="s">
        <v>256</v>
      </c>
      <c r="K308">
        <v>0</v>
      </c>
      <c r="W308" s="78"/>
    </row>
    <row r="309" spans="8:23" x14ac:dyDescent="0.3">
      <c r="H309" t="s">
        <v>553</v>
      </c>
      <c r="J309" t="s">
        <v>222</v>
      </c>
      <c r="K309">
        <v>3.4075799999999999E-3</v>
      </c>
      <c r="W309" s="78"/>
    </row>
    <row r="310" spans="8:23" x14ac:dyDescent="0.3">
      <c r="H310" t="s">
        <v>554</v>
      </c>
      <c r="J310" t="s">
        <v>253</v>
      </c>
      <c r="K310">
        <v>0</v>
      </c>
      <c r="W310" s="78"/>
    </row>
    <row r="311" spans="8:23" x14ac:dyDescent="0.3">
      <c r="H311" t="s">
        <v>555</v>
      </c>
      <c r="J311" t="s">
        <v>185</v>
      </c>
      <c r="K311">
        <v>3.31716E-3</v>
      </c>
      <c r="W311" s="78"/>
    </row>
    <row r="312" spans="8:23" x14ac:dyDescent="0.3">
      <c r="H312" t="s">
        <v>556</v>
      </c>
      <c r="J312" t="s">
        <v>165</v>
      </c>
      <c r="K312">
        <v>0</v>
      </c>
      <c r="W312" s="78"/>
    </row>
    <row r="313" spans="8:23" x14ac:dyDescent="0.3">
      <c r="H313" t="s">
        <v>557</v>
      </c>
      <c r="J313" t="s">
        <v>179</v>
      </c>
      <c r="K313">
        <v>4.1513999999999999E-4</v>
      </c>
      <c r="W313" s="78"/>
    </row>
    <row r="314" spans="8:23" x14ac:dyDescent="0.3">
      <c r="H314" t="s">
        <v>558</v>
      </c>
      <c r="J314" t="s">
        <v>204</v>
      </c>
      <c r="K314">
        <v>1.2053909999999999E-2</v>
      </c>
      <c r="W314" s="78"/>
    </row>
    <row r="315" spans="8:23" x14ac:dyDescent="0.3">
      <c r="H315" t="s">
        <v>559</v>
      </c>
      <c r="J315" t="s">
        <v>194</v>
      </c>
      <c r="K315">
        <v>8.2169999999999997E-4</v>
      </c>
      <c r="W315" s="78"/>
    </row>
    <row r="316" spans="8:23" x14ac:dyDescent="0.3">
      <c r="H316" t="s">
        <v>560</v>
      </c>
      <c r="J316" t="s">
        <v>169</v>
      </c>
      <c r="K316">
        <v>1.4190000000000001E-4</v>
      </c>
      <c r="W316" s="78"/>
    </row>
    <row r="317" spans="8:23" x14ac:dyDescent="0.3">
      <c r="H317" t="s">
        <v>561</v>
      </c>
      <c r="J317" t="s">
        <v>100</v>
      </c>
      <c r="K317">
        <v>0</v>
      </c>
      <c r="W317" s="78"/>
    </row>
    <row r="318" spans="8:23" x14ac:dyDescent="0.3">
      <c r="H318" t="s">
        <v>562</v>
      </c>
      <c r="J318" t="s">
        <v>175</v>
      </c>
      <c r="K318">
        <v>0</v>
      </c>
      <c r="W318" s="78"/>
    </row>
    <row r="319" spans="8:23" x14ac:dyDescent="0.3">
      <c r="H319" t="s">
        <v>563</v>
      </c>
      <c r="J319" t="s">
        <v>193</v>
      </c>
      <c r="K319">
        <v>2.38623E-3</v>
      </c>
      <c r="W319" s="78"/>
    </row>
    <row r="320" spans="8:23" x14ac:dyDescent="0.3">
      <c r="H320" t="s">
        <v>564</v>
      </c>
      <c r="J320" t="s">
        <v>115</v>
      </c>
      <c r="K320">
        <v>0</v>
      </c>
      <c r="W320" s="78"/>
    </row>
    <row r="321" spans="8:23" x14ac:dyDescent="0.3">
      <c r="H321" t="s">
        <v>565</v>
      </c>
      <c r="J321" t="s">
        <v>259</v>
      </c>
      <c r="K321">
        <v>0</v>
      </c>
      <c r="W321" s="78"/>
    </row>
    <row r="322" spans="8:23" x14ac:dyDescent="0.3">
      <c r="H322" t="s">
        <v>566</v>
      </c>
      <c r="J322" t="s">
        <v>89</v>
      </c>
      <c r="K322">
        <v>0</v>
      </c>
      <c r="W322" s="78"/>
    </row>
    <row r="323" spans="8:23" x14ac:dyDescent="0.3">
      <c r="H323" t="s">
        <v>567</v>
      </c>
      <c r="J323" t="s">
        <v>127</v>
      </c>
      <c r="K323">
        <v>1.08636E-3</v>
      </c>
      <c r="W323" s="78"/>
    </row>
    <row r="324" spans="8:23" x14ac:dyDescent="0.3">
      <c r="H324" t="s">
        <v>568</v>
      </c>
      <c r="J324" t="s">
        <v>173</v>
      </c>
      <c r="K324">
        <v>1.993408E-2</v>
      </c>
      <c r="W324" s="78"/>
    </row>
    <row r="325" spans="8:23" x14ac:dyDescent="0.3">
      <c r="H325" t="s">
        <v>569</v>
      </c>
      <c r="J325" t="s">
        <v>241</v>
      </c>
      <c r="K325">
        <v>2.3680799999999998E-3</v>
      </c>
      <c r="W325" s="78"/>
    </row>
    <row r="326" spans="8:23" x14ac:dyDescent="0.3">
      <c r="H326" t="s">
        <v>570</v>
      </c>
      <c r="J326" t="s">
        <v>123</v>
      </c>
      <c r="K326">
        <v>3.5046000000000001E-3</v>
      </c>
      <c r="W326" s="78"/>
    </row>
    <row r="327" spans="8:23" x14ac:dyDescent="0.3">
      <c r="H327" t="s">
        <v>571</v>
      </c>
      <c r="J327" t="s">
        <v>102</v>
      </c>
      <c r="K327">
        <v>7.1973000000000002E-4</v>
      </c>
      <c r="W327" s="78"/>
    </row>
    <row r="328" spans="8:23" x14ac:dyDescent="0.3">
      <c r="H328" t="s">
        <v>572</v>
      </c>
      <c r="J328" t="s">
        <v>144</v>
      </c>
      <c r="K328">
        <v>1.8345710000000001E-2</v>
      </c>
      <c r="W328" s="78"/>
    </row>
    <row r="329" spans="8:23" x14ac:dyDescent="0.3">
      <c r="H329" t="s">
        <v>573</v>
      </c>
      <c r="J329" t="s">
        <v>153</v>
      </c>
      <c r="K329">
        <v>3.7012799999999999E-3</v>
      </c>
      <c r="W329" s="78"/>
    </row>
    <row r="330" spans="8:23" x14ac:dyDescent="0.3">
      <c r="H330" t="s">
        <v>574</v>
      </c>
      <c r="J330" t="s">
        <v>64</v>
      </c>
      <c r="K330">
        <v>0</v>
      </c>
      <c r="W330" s="78"/>
    </row>
    <row r="331" spans="8:23" x14ac:dyDescent="0.3">
      <c r="H331" t="s">
        <v>575</v>
      </c>
      <c r="J331" t="s">
        <v>56</v>
      </c>
      <c r="K331">
        <v>0</v>
      </c>
      <c r="W331" s="78"/>
    </row>
    <row r="332" spans="8:23" x14ac:dyDescent="0.3">
      <c r="H332" t="s">
        <v>576</v>
      </c>
      <c r="J332" t="s">
        <v>62</v>
      </c>
      <c r="K332">
        <v>1.157827E-2</v>
      </c>
      <c r="W332" s="78"/>
    </row>
    <row r="333" spans="8:23" x14ac:dyDescent="0.3">
      <c r="H333" t="s">
        <v>577</v>
      </c>
      <c r="J333" t="s">
        <v>117</v>
      </c>
      <c r="K333">
        <v>1.5463090000000001E-2</v>
      </c>
      <c r="W333" s="78"/>
    </row>
    <row r="334" spans="8:23" x14ac:dyDescent="0.3">
      <c r="H334" t="s">
        <v>578</v>
      </c>
      <c r="J334" t="s">
        <v>70</v>
      </c>
      <c r="K334">
        <v>0</v>
      </c>
      <c r="W334" s="78"/>
    </row>
    <row r="335" spans="8:23" x14ac:dyDescent="0.3">
      <c r="H335" t="s">
        <v>579</v>
      </c>
      <c r="J335" t="s">
        <v>82</v>
      </c>
      <c r="K335">
        <v>9.3692700000000007E-3</v>
      </c>
      <c r="W335" s="78"/>
    </row>
    <row r="336" spans="8:23" x14ac:dyDescent="0.3">
      <c r="H336" t="s">
        <v>580</v>
      </c>
      <c r="J336" t="s">
        <v>200</v>
      </c>
      <c r="K336">
        <v>2.01366E-3</v>
      </c>
      <c r="W336" s="78"/>
    </row>
    <row r="337" spans="8:23" x14ac:dyDescent="0.3">
      <c r="H337" t="s">
        <v>581</v>
      </c>
      <c r="J337" t="s">
        <v>110</v>
      </c>
      <c r="K337">
        <v>2.7889420000000002E-2</v>
      </c>
      <c r="W337" s="78"/>
    </row>
    <row r="338" spans="8:23" x14ac:dyDescent="0.3">
      <c r="H338" t="s">
        <v>582</v>
      </c>
      <c r="J338" t="s">
        <v>135</v>
      </c>
      <c r="K338">
        <v>4.9271570000000001E-2</v>
      </c>
      <c r="W338" s="78"/>
    </row>
    <row r="339" spans="8:23" x14ac:dyDescent="0.3">
      <c r="H339" t="s">
        <v>583</v>
      </c>
      <c r="J339" t="s">
        <v>112</v>
      </c>
      <c r="K339">
        <v>1.5989090000000001E-2</v>
      </c>
      <c r="W339" s="78"/>
    </row>
    <row r="340" spans="8:23" x14ac:dyDescent="0.3">
      <c r="H340" t="s">
        <v>584</v>
      </c>
      <c r="J340" t="s">
        <v>156</v>
      </c>
      <c r="K340">
        <v>0</v>
      </c>
      <c r="W340" s="78"/>
    </row>
    <row r="341" spans="8:23" x14ac:dyDescent="0.3">
      <c r="H341" t="s">
        <v>585</v>
      </c>
      <c r="J341" t="s">
        <v>246</v>
      </c>
      <c r="K341">
        <v>9.9923999999999998E-4</v>
      </c>
      <c r="W341" s="78"/>
    </row>
    <row r="342" spans="8:23" x14ac:dyDescent="0.3">
      <c r="H342" t="s">
        <v>586</v>
      </c>
      <c r="J342" t="s">
        <v>58</v>
      </c>
      <c r="K342">
        <v>1.6153700000000001E-3</v>
      </c>
      <c r="W342" s="78"/>
    </row>
    <row r="343" spans="8:23" x14ac:dyDescent="0.3">
      <c r="H343" t="s">
        <v>587</v>
      </c>
      <c r="J343" t="s">
        <v>207</v>
      </c>
      <c r="K343">
        <v>0</v>
      </c>
      <c r="W343" s="78"/>
    </row>
    <row r="344" spans="8:23" x14ac:dyDescent="0.3">
      <c r="H344" t="s">
        <v>588</v>
      </c>
      <c r="J344" t="s">
        <v>220</v>
      </c>
      <c r="K344">
        <v>5.7096600000000001E-3</v>
      </c>
      <c r="W344" s="78"/>
    </row>
    <row r="345" spans="8:23" x14ac:dyDescent="0.3">
      <c r="H345" t="s">
        <v>589</v>
      </c>
      <c r="J345" t="s">
        <v>217</v>
      </c>
      <c r="K345">
        <v>2.1153E-4</v>
      </c>
      <c r="W345" s="78"/>
    </row>
    <row r="346" spans="8:23" x14ac:dyDescent="0.3">
      <c r="H346" t="s">
        <v>590</v>
      </c>
      <c r="J346" t="s">
        <v>254</v>
      </c>
      <c r="K346">
        <v>1.13619E-3</v>
      </c>
      <c r="W346" s="78"/>
    </row>
    <row r="347" spans="8:23" x14ac:dyDescent="0.3">
      <c r="H347" t="s">
        <v>591</v>
      </c>
      <c r="J347" t="s">
        <v>155</v>
      </c>
      <c r="K347">
        <v>0</v>
      </c>
      <c r="W347" s="78"/>
    </row>
    <row r="348" spans="8:23" x14ac:dyDescent="0.3">
      <c r="H348" t="s">
        <v>592</v>
      </c>
      <c r="J348" t="s">
        <v>213</v>
      </c>
      <c r="K348">
        <v>2.1298200000000002E-3</v>
      </c>
      <c r="W348" s="78"/>
    </row>
    <row r="349" spans="8:23" x14ac:dyDescent="0.3">
      <c r="H349" t="s">
        <v>593</v>
      </c>
      <c r="J349" t="s">
        <v>218</v>
      </c>
      <c r="K349">
        <v>6.4574400000000001E-3</v>
      </c>
      <c r="W349" s="78"/>
    </row>
    <row r="350" spans="8:23" x14ac:dyDescent="0.3">
      <c r="H350" t="s">
        <v>594</v>
      </c>
      <c r="J350" t="s">
        <v>80</v>
      </c>
      <c r="K350">
        <v>2.1708000000000001E-3</v>
      </c>
      <c r="W350" s="78"/>
    </row>
    <row r="351" spans="8:23" x14ac:dyDescent="0.3">
      <c r="H351" t="s">
        <v>595</v>
      </c>
      <c r="J351" t="s">
        <v>191</v>
      </c>
      <c r="K351">
        <v>1.7547299999999999E-3</v>
      </c>
      <c r="W351" s="78"/>
    </row>
    <row r="352" spans="8:23" x14ac:dyDescent="0.3">
      <c r="H352" t="s">
        <v>596</v>
      </c>
      <c r="J352" t="s">
        <v>181</v>
      </c>
      <c r="K352">
        <v>7.2085200000000004E-3</v>
      </c>
      <c r="W352" s="78"/>
    </row>
    <row r="353" spans="8:23" x14ac:dyDescent="0.3">
      <c r="H353" t="s">
        <v>597</v>
      </c>
      <c r="J353" t="s">
        <v>103</v>
      </c>
      <c r="K353">
        <v>5.44576E-3</v>
      </c>
      <c r="W353" s="78"/>
    </row>
    <row r="354" spans="8:23" x14ac:dyDescent="0.3">
      <c r="H354" t="s">
        <v>598</v>
      </c>
      <c r="J354" t="s">
        <v>108</v>
      </c>
      <c r="K354">
        <v>0</v>
      </c>
      <c r="W354" s="78"/>
    </row>
    <row r="355" spans="8:23" x14ac:dyDescent="0.3">
      <c r="H355" t="s">
        <v>599</v>
      </c>
      <c r="J355" t="s">
        <v>104</v>
      </c>
      <c r="K355">
        <v>0</v>
      </c>
      <c r="W355" s="78"/>
    </row>
    <row r="356" spans="8:23" x14ac:dyDescent="0.3">
      <c r="H356" t="s">
        <v>600</v>
      </c>
      <c r="J356" t="s">
        <v>124</v>
      </c>
      <c r="K356">
        <v>1.458743E-2</v>
      </c>
      <c r="W356" s="78"/>
    </row>
    <row r="357" spans="8:23" x14ac:dyDescent="0.3">
      <c r="H357" t="s">
        <v>601</v>
      </c>
      <c r="J357" t="s">
        <v>142</v>
      </c>
      <c r="K357">
        <v>0</v>
      </c>
      <c r="W357" s="78"/>
    </row>
    <row r="358" spans="8:23" x14ac:dyDescent="0.3">
      <c r="H358" t="s">
        <v>602</v>
      </c>
      <c r="J358" t="s">
        <v>74</v>
      </c>
      <c r="K358">
        <v>0</v>
      </c>
      <c r="W358" s="78"/>
    </row>
    <row r="359" spans="8:23" x14ac:dyDescent="0.3">
      <c r="H359" t="s">
        <v>603</v>
      </c>
      <c r="J359" t="s">
        <v>106</v>
      </c>
      <c r="K359">
        <v>0</v>
      </c>
      <c r="W359" s="78"/>
    </row>
    <row r="360" spans="8:23" x14ac:dyDescent="0.3">
      <c r="H360" t="s">
        <v>604</v>
      </c>
      <c r="J360" t="s">
        <v>229</v>
      </c>
      <c r="K360">
        <v>0</v>
      </c>
      <c r="W360" s="78"/>
    </row>
    <row r="361" spans="8:23" x14ac:dyDescent="0.3">
      <c r="H361" t="s">
        <v>605</v>
      </c>
      <c r="J361" t="s">
        <v>99</v>
      </c>
      <c r="K361">
        <v>1.7935900000000001E-3</v>
      </c>
      <c r="W361" s="78"/>
    </row>
    <row r="362" spans="8:23" x14ac:dyDescent="0.3">
      <c r="H362" t="s">
        <v>606</v>
      </c>
      <c r="J362" t="s">
        <v>161</v>
      </c>
      <c r="K362">
        <v>0</v>
      </c>
      <c r="W362" s="78"/>
    </row>
    <row r="363" spans="8:23" x14ac:dyDescent="0.3">
      <c r="H363" t="s">
        <v>607</v>
      </c>
      <c r="J363" t="s">
        <v>162</v>
      </c>
      <c r="K363">
        <v>0</v>
      </c>
      <c r="W363" s="78"/>
    </row>
    <row r="364" spans="8:23" x14ac:dyDescent="0.3">
      <c r="H364" t="s">
        <v>608</v>
      </c>
      <c r="J364" t="s">
        <v>171</v>
      </c>
      <c r="K364">
        <v>1.3246200000000001E-3</v>
      </c>
      <c r="W364" s="78"/>
    </row>
    <row r="365" spans="8:23" x14ac:dyDescent="0.3">
      <c r="H365" t="s">
        <v>609</v>
      </c>
      <c r="J365" t="s">
        <v>84</v>
      </c>
      <c r="K365">
        <v>0</v>
      </c>
      <c r="W365" s="78"/>
    </row>
    <row r="366" spans="8:23" x14ac:dyDescent="0.3">
      <c r="H366" t="s">
        <v>610</v>
      </c>
      <c r="J366" t="s">
        <v>91</v>
      </c>
      <c r="K366">
        <v>4.8688899999999998E-3</v>
      </c>
      <c r="W366" s="78"/>
    </row>
    <row r="367" spans="8:23" x14ac:dyDescent="0.3">
      <c r="H367" t="s">
        <v>611</v>
      </c>
      <c r="J367" t="s">
        <v>158</v>
      </c>
      <c r="K367">
        <v>6.3166699999999999E-3</v>
      </c>
      <c r="W367" s="78"/>
    </row>
    <row r="368" spans="8:23" x14ac:dyDescent="0.3">
      <c r="H368" t="s">
        <v>612</v>
      </c>
      <c r="J368" t="s">
        <v>119</v>
      </c>
      <c r="K368">
        <v>2.6089799999999999E-3</v>
      </c>
      <c r="W368" s="78"/>
    </row>
    <row r="369" spans="8:23" x14ac:dyDescent="0.3">
      <c r="H369" t="s">
        <v>613</v>
      </c>
      <c r="J369" t="s">
        <v>140</v>
      </c>
      <c r="K369">
        <v>2.4667729999999999E-2</v>
      </c>
      <c r="W369" s="78"/>
    </row>
    <row r="370" spans="8:23" x14ac:dyDescent="0.3">
      <c r="H370" t="s">
        <v>614</v>
      </c>
      <c r="J370" t="s">
        <v>78</v>
      </c>
      <c r="K370">
        <v>1.48204E-3</v>
      </c>
      <c r="W370" s="78"/>
    </row>
    <row r="371" spans="8:23" x14ac:dyDescent="0.3">
      <c r="H371" t="s">
        <v>615</v>
      </c>
      <c r="J371" t="s">
        <v>129</v>
      </c>
      <c r="K371">
        <v>0</v>
      </c>
      <c r="W371" s="78"/>
    </row>
    <row r="372" spans="8:23" x14ac:dyDescent="0.3">
      <c r="H372" t="s">
        <v>616</v>
      </c>
      <c r="J372" t="s">
        <v>248</v>
      </c>
      <c r="K372">
        <v>3.3956999999999998E-4</v>
      </c>
      <c r="W372" s="78"/>
    </row>
    <row r="373" spans="8:23" x14ac:dyDescent="0.3">
      <c r="H373" t="s">
        <v>617</v>
      </c>
      <c r="J373" t="s">
        <v>225</v>
      </c>
      <c r="K373">
        <v>2.1285E-4</v>
      </c>
      <c r="W373" s="78"/>
    </row>
    <row r="374" spans="8:23" x14ac:dyDescent="0.3">
      <c r="H374" t="s">
        <v>618</v>
      </c>
      <c r="J374" t="s">
        <v>97</v>
      </c>
      <c r="K374">
        <v>3.0042799999999998E-3</v>
      </c>
      <c r="W374" s="78"/>
    </row>
    <row r="375" spans="8:23" x14ac:dyDescent="0.3">
      <c r="H375" t="s">
        <v>619</v>
      </c>
      <c r="J375" t="s">
        <v>125</v>
      </c>
      <c r="K375">
        <v>1.25862E-3</v>
      </c>
      <c r="W375" s="78"/>
    </row>
    <row r="376" spans="8:23" x14ac:dyDescent="0.3">
      <c r="H376" t="s">
        <v>620</v>
      </c>
      <c r="J376" t="s">
        <v>244</v>
      </c>
      <c r="K376">
        <v>0</v>
      </c>
      <c r="W376" s="78"/>
    </row>
    <row r="377" spans="8:23" x14ac:dyDescent="0.3">
      <c r="H377" t="s">
        <v>621</v>
      </c>
      <c r="J377" t="s">
        <v>141</v>
      </c>
      <c r="K377">
        <v>3.5639999999999999E-4</v>
      </c>
      <c r="W377" s="78"/>
    </row>
    <row r="378" spans="8:23" x14ac:dyDescent="0.3">
      <c r="H378" t="s">
        <v>622</v>
      </c>
      <c r="J378" t="s">
        <v>66</v>
      </c>
      <c r="K378">
        <v>3.3901999999999999E-4</v>
      </c>
      <c r="W378" s="78"/>
    </row>
    <row r="379" spans="8:23" x14ac:dyDescent="0.3">
      <c r="H379" t="s">
        <v>623</v>
      </c>
      <c r="J379" t="s">
        <v>118</v>
      </c>
      <c r="K379">
        <v>0</v>
      </c>
      <c r="W379" s="78"/>
    </row>
    <row r="380" spans="8:23" x14ac:dyDescent="0.3">
      <c r="H380" t="s">
        <v>624</v>
      </c>
      <c r="J380" t="s">
        <v>236</v>
      </c>
      <c r="K380">
        <v>0</v>
      </c>
      <c r="W380" s="78"/>
    </row>
    <row r="381" spans="8:23" x14ac:dyDescent="0.3">
      <c r="H381" t="s">
        <v>625</v>
      </c>
      <c r="J381" t="s">
        <v>76</v>
      </c>
      <c r="K381">
        <v>0</v>
      </c>
      <c r="W381" s="78"/>
    </row>
    <row r="382" spans="8:23" x14ac:dyDescent="0.3">
      <c r="H382" t="s">
        <v>626</v>
      </c>
      <c r="J382" t="s">
        <v>152</v>
      </c>
      <c r="K382">
        <v>0</v>
      </c>
      <c r="W382" s="78"/>
    </row>
    <row r="383" spans="8:23" x14ac:dyDescent="0.3">
      <c r="H383" t="s">
        <v>627</v>
      </c>
      <c r="J383" t="s">
        <v>226</v>
      </c>
      <c r="K383">
        <v>5.9499000000000002E-3</v>
      </c>
      <c r="W383" s="78"/>
    </row>
    <row r="384" spans="8:23" x14ac:dyDescent="0.3">
      <c r="H384" t="s">
        <v>628</v>
      </c>
      <c r="J384" t="s">
        <v>151</v>
      </c>
      <c r="K384">
        <v>7.04209E-3</v>
      </c>
      <c r="W384" s="78"/>
    </row>
    <row r="385" spans="8:23" x14ac:dyDescent="0.3">
      <c r="H385" t="s">
        <v>629</v>
      </c>
      <c r="J385" t="s">
        <v>203</v>
      </c>
      <c r="K385">
        <v>8.8902000000000002E-4</v>
      </c>
      <c r="W385" s="78"/>
    </row>
    <row r="386" spans="8:23" x14ac:dyDescent="0.3">
      <c r="H386" t="s">
        <v>630</v>
      </c>
      <c r="J386" t="s">
        <v>114</v>
      </c>
      <c r="K386">
        <v>0</v>
      </c>
      <c r="W386" s="78"/>
    </row>
    <row r="387" spans="8:23" x14ac:dyDescent="0.3">
      <c r="H387" t="s">
        <v>631</v>
      </c>
      <c r="J387" t="s">
        <v>184</v>
      </c>
      <c r="K387">
        <v>1.1720609999999999E-2</v>
      </c>
      <c r="W387" s="78"/>
    </row>
    <row r="388" spans="8:23" x14ac:dyDescent="0.3">
      <c r="H388" t="s">
        <v>632</v>
      </c>
      <c r="J388" t="s">
        <v>143</v>
      </c>
      <c r="K388">
        <v>1.1622159999999999E-2</v>
      </c>
      <c r="W388" s="78"/>
    </row>
    <row r="389" spans="8:23" x14ac:dyDescent="0.3">
      <c r="H389" t="s">
        <v>633</v>
      </c>
      <c r="J389" t="s">
        <v>163</v>
      </c>
      <c r="K389">
        <v>0</v>
      </c>
      <c r="W389" s="78"/>
    </row>
    <row r="390" spans="8:23" x14ac:dyDescent="0.3">
      <c r="H390" t="s">
        <v>634</v>
      </c>
      <c r="J390" t="s">
        <v>105</v>
      </c>
      <c r="K390">
        <v>0</v>
      </c>
      <c r="W390" s="78"/>
    </row>
    <row r="391" spans="8:23" x14ac:dyDescent="0.3">
      <c r="H391" t="s">
        <v>635</v>
      </c>
      <c r="J391" t="s">
        <v>240</v>
      </c>
      <c r="K391">
        <v>5.6835899999999996E-3</v>
      </c>
      <c r="W391" s="78"/>
    </row>
    <row r="392" spans="8:23" x14ac:dyDescent="0.3">
      <c r="H392" t="s">
        <v>636</v>
      </c>
      <c r="J392" t="s">
        <v>232</v>
      </c>
      <c r="K392">
        <v>3.3594000000000001E-4</v>
      </c>
      <c r="W392" s="78"/>
    </row>
    <row r="393" spans="8:23" x14ac:dyDescent="0.3">
      <c r="H393" t="s">
        <v>637</v>
      </c>
      <c r="J393" t="s">
        <v>93</v>
      </c>
      <c r="K393">
        <v>2.2819039999999999E-2</v>
      </c>
      <c r="W393" s="78"/>
    </row>
    <row r="394" spans="8:23" x14ac:dyDescent="0.3">
      <c r="H394" t="s">
        <v>638</v>
      </c>
      <c r="J394" t="s">
        <v>157</v>
      </c>
      <c r="K394">
        <v>3.9566999999999998E-4</v>
      </c>
      <c r="W394" s="78"/>
    </row>
    <row r="395" spans="8:23" x14ac:dyDescent="0.3">
      <c r="H395" t="s">
        <v>639</v>
      </c>
      <c r="J395" t="s">
        <v>149</v>
      </c>
      <c r="K395">
        <v>0</v>
      </c>
      <c r="W395" s="78"/>
    </row>
    <row r="396" spans="8:23" x14ac:dyDescent="0.3">
      <c r="H396" t="s">
        <v>640</v>
      </c>
      <c r="J396" t="s">
        <v>132</v>
      </c>
      <c r="K396">
        <v>2.1426599999999998E-3</v>
      </c>
      <c r="W396" s="78"/>
    </row>
    <row r="397" spans="8:23" x14ac:dyDescent="0.3">
      <c r="H397" t="s">
        <v>641</v>
      </c>
      <c r="J397" t="s">
        <v>211</v>
      </c>
      <c r="K397">
        <v>1.018347E-2</v>
      </c>
      <c r="W397" s="78"/>
    </row>
    <row r="398" spans="8:23" x14ac:dyDescent="0.3">
      <c r="H398" t="s">
        <v>642</v>
      </c>
      <c r="J398" t="s">
        <v>202</v>
      </c>
      <c r="K398">
        <v>0</v>
      </c>
      <c r="W398" s="78"/>
    </row>
    <row r="399" spans="8:23" x14ac:dyDescent="0.3">
      <c r="H399" t="s">
        <v>643</v>
      </c>
      <c r="J399" t="s">
        <v>95</v>
      </c>
      <c r="K399">
        <v>3.1958960000000002E-2</v>
      </c>
      <c r="W399" s="78"/>
    </row>
    <row r="400" spans="8:23" x14ac:dyDescent="0.3">
      <c r="H400" t="s">
        <v>644</v>
      </c>
      <c r="J400" t="s">
        <v>137</v>
      </c>
      <c r="K400">
        <v>0</v>
      </c>
      <c r="W400" s="78"/>
    </row>
    <row r="401" spans="8:23" x14ac:dyDescent="0.3">
      <c r="H401" t="s">
        <v>645</v>
      </c>
      <c r="J401" t="s">
        <v>196</v>
      </c>
      <c r="K401">
        <v>0</v>
      </c>
      <c r="W401" s="78"/>
    </row>
    <row r="402" spans="8:23" x14ac:dyDescent="0.3">
      <c r="H402" t="s">
        <v>646</v>
      </c>
      <c r="J402" t="s">
        <v>83</v>
      </c>
      <c r="K402">
        <v>7.7833800000000003E-3</v>
      </c>
      <c r="W402" s="78"/>
    </row>
    <row r="403" spans="8:23" x14ac:dyDescent="0.3">
      <c r="H403" t="s">
        <v>647</v>
      </c>
      <c r="J403" t="s">
        <v>87</v>
      </c>
      <c r="K403">
        <v>1.9677900000000001E-3</v>
      </c>
      <c r="W403" s="78"/>
    </row>
    <row r="404" spans="8:23" x14ac:dyDescent="0.3">
      <c r="H404" t="s">
        <v>648</v>
      </c>
      <c r="J404" t="s">
        <v>198</v>
      </c>
      <c r="K404">
        <v>0</v>
      </c>
      <c r="W404" s="78"/>
    </row>
    <row r="405" spans="8:23" x14ac:dyDescent="0.3">
      <c r="H405" t="s">
        <v>649</v>
      </c>
      <c r="J405" t="s">
        <v>52</v>
      </c>
      <c r="K405">
        <v>0</v>
      </c>
      <c r="W405" s="78"/>
    </row>
    <row r="406" spans="8:23" x14ac:dyDescent="0.3">
      <c r="H406" t="s">
        <v>650</v>
      </c>
      <c r="J406" t="s">
        <v>107</v>
      </c>
      <c r="K406">
        <v>1.742956E-2</v>
      </c>
      <c r="W406" s="78"/>
    </row>
    <row r="407" spans="8:23" x14ac:dyDescent="0.3">
      <c r="H407" t="s">
        <v>651</v>
      </c>
      <c r="J407" t="s">
        <v>208</v>
      </c>
      <c r="K407">
        <v>0</v>
      </c>
      <c r="W407" s="78"/>
    </row>
    <row r="408" spans="8:23" x14ac:dyDescent="0.3">
      <c r="H408" t="s">
        <v>652</v>
      </c>
      <c r="J408" t="s">
        <v>266</v>
      </c>
      <c r="K408">
        <v>0</v>
      </c>
      <c r="W408" s="78"/>
    </row>
    <row r="409" spans="8:23" x14ac:dyDescent="0.3">
      <c r="H409" t="s">
        <v>653</v>
      </c>
      <c r="J409" t="s">
        <v>214</v>
      </c>
      <c r="K409">
        <v>5.3954999999999997E-4</v>
      </c>
      <c r="W409" s="78"/>
    </row>
    <row r="410" spans="8:23" x14ac:dyDescent="0.3">
      <c r="H410" t="s">
        <v>654</v>
      </c>
      <c r="J410" t="s">
        <v>111</v>
      </c>
      <c r="K410">
        <v>0</v>
      </c>
      <c r="W410" s="78"/>
    </row>
    <row r="411" spans="8:23" x14ac:dyDescent="0.3">
      <c r="H411" t="s">
        <v>655</v>
      </c>
      <c r="J411" t="s">
        <v>223</v>
      </c>
      <c r="K411">
        <v>0</v>
      </c>
      <c r="W411" s="78"/>
    </row>
    <row r="412" spans="8:23" x14ac:dyDescent="0.3">
      <c r="H412" t="s">
        <v>656</v>
      </c>
      <c r="J412" t="s">
        <v>221</v>
      </c>
      <c r="K412">
        <v>1.0180499999999999E-3</v>
      </c>
      <c r="W412" s="78"/>
    </row>
    <row r="413" spans="8:23" x14ac:dyDescent="0.3">
      <c r="H413" t="s">
        <v>657</v>
      </c>
      <c r="J413" t="s">
        <v>205</v>
      </c>
      <c r="K413">
        <v>3.0782259999999999E-2</v>
      </c>
      <c r="W413" s="78"/>
    </row>
    <row r="414" spans="8:23" x14ac:dyDescent="0.3">
      <c r="H414" t="s">
        <v>658</v>
      </c>
      <c r="J414" t="s">
        <v>88</v>
      </c>
      <c r="K414">
        <v>1.2917600000000001E-3</v>
      </c>
      <c r="W414" s="78"/>
    </row>
    <row r="415" spans="8:23" x14ac:dyDescent="0.3">
      <c r="H415" t="s">
        <v>659</v>
      </c>
      <c r="J415" t="s">
        <v>243</v>
      </c>
      <c r="K415">
        <v>4.2998999999999999E-4</v>
      </c>
      <c r="W415" s="78"/>
    </row>
    <row r="416" spans="8:23" x14ac:dyDescent="0.3">
      <c r="H416" t="s">
        <v>660</v>
      </c>
      <c r="J416" t="s">
        <v>210</v>
      </c>
      <c r="K416">
        <v>1.49754E-2</v>
      </c>
      <c r="W416" s="78"/>
    </row>
    <row r="417" spans="8:23" x14ac:dyDescent="0.3">
      <c r="H417" t="s">
        <v>661</v>
      </c>
      <c r="J417" t="s">
        <v>188</v>
      </c>
      <c r="K417">
        <v>2.2799700000000001E-3</v>
      </c>
      <c r="W417" s="78"/>
    </row>
    <row r="418" spans="8:23" x14ac:dyDescent="0.3">
      <c r="H418" t="s">
        <v>662</v>
      </c>
      <c r="J418" t="s">
        <v>209</v>
      </c>
      <c r="K418">
        <v>4.3358700000000003E-3</v>
      </c>
      <c r="W418" s="78"/>
    </row>
    <row r="419" spans="8:23" x14ac:dyDescent="0.3">
      <c r="H419" t="s">
        <v>663</v>
      </c>
      <c r="J419" t="s">
        <v>166</v>
      </c>
      <c r="K419">
        <v>0</v>
      </c>
      <c r="W419" s="78"/>
    </row>
    <row r="420" spans="8:23" x14ac:dyDescent="0.3">
      <c r="H420" t="s">
        <v>664</v>
      </c>
      <c r="J420" t="s">
        <v>154</v>
      </c>
      <c r="K420">
        <v>3.8208180000000001E-2</v>
      </c>
      <c r="W420" s="78"/>
    </row>
    <row r="421" spans="8:23" x14ac:dyDescent="0.3">
      <c r="H421" t="s">
        <v>665</v>
      </c>
      <c r="J421" t="s">
        <v>69</v>
      </c>
      <c r="K421">
        <v>0</v>
      </c>
      <c r="W421" s="78"/>
    </row>
    <row r="422" spans="8:23" x14ac:dyDescent="0.3">
      <c r="H422" t="s">
        <v>666</v>
      </c>
      <c r="J422" t="s">
        <v>150</v>
      </c>
      <c r="K422">
        <v>0</v>
      </c>
      <c r="W422" s="78"/>
    </row>
    <row r="423" spans="8:23" x14ac:dyDescent="0.3">
      <c r="H423" t="s">
        <v>667</v>
      </c>
      <c r="J423" t="s">
        <v>170</v>
      </c>
      <c r="K423">
        <v>0</v>
      </c>
      <c r="W423" s="78"/>
    </row>
    <row r="424" spans="8:23" x14ac:dyDescent="0.3">
      <c r="H424" t="s">
        <v>668</v>
      </c>
      <c r="J424" t="s">
        <v>257</v>
      </c>
      <c r="K424">
        <v>2.1615E-4</v>
      </c>
      <c r="W424" s="78"/>
    </row>
    <row r="425" spans="8:23" x14ac:dyDescent="0.3">
      <c r="H425" t="s">
        <v>669</v>
      </c>
      <c r="J425" t="s">
        <v>235</v>
      </c>
      <c r="K425">
        <v>3.8246999999999999E-4</v>
      </c>
      <c r="W425" s="78"/>
    </row>
    <row r="426" spans="8:23" x14ac:dyDescent="0.3">
      <c r="H426" t="s">
        <v>670</v>
      </c>
      <c r="J426" t="s">
        <v>197</v>
      </c>
      <c r="K426">
        <v>5.3050800000000002E-3</v>
      </c>
      <c r="W426" s="78"/>
    </row>
    <row r="427" spans="8:23" x14ac:dyDescent="0.3">
      <c r="H427" t="s">
        <v>671</v>
      </c>
      <c r="J427" t="s">
        <v>176</v>
      </c>
      <c r="K427">
        <v>3.102E-4</v>
      </c>
      <c r="W427" s="78"/>
    </row>
    <row r="428" spans="8:23" x14ac:dyDescent="0.3">
      <c r="H428" t="s">
        <v>672</v>
      </c>
      <c r="J428" t="s">
        <v>86</v>
      </c>
      <c r="K428">
        <v>0</v>
      </c>
      <c r="W428" s="78"/>
    </row>
    <row r="429" spans="8:23" x14ac:dyDescent="0.3">
      <c r="H429" t="s">
        <v>673</v>
      </c>
      <c r="J429" t="s">
        <v>250</v>
      </c>
      <c r="K429">
        <v>0</v>
      </c>
      <c r="W429" s="78"/>
    </row>
    <row r="430" spans="8:23" x14ac:dyDescent="0.3">
      <c r="H430" t="s">
        <v>674</v>
      </c>
      <c r="J430" t="s">
        <v>81</v>
      </c>
      <c r="K430">
        <v>2.65127E-2</v>
      </c>
      <c r="W430" s="78"/>
    </row>
    <row r="431" spans="8:23" x14ac:dyDescent="0.3">
      <c r="H431" t="s">
        <v>675</v>
      </c>
      <c r="J431" t="s">
        <v>251</v>
      </c>
      <c r="K431">
        <v>0</v>
      </c>
      <c r="W431" s="78"/>
    </row>
    <row r="432" spans="8:23" x14ac:dyDescent="0.3">
      <c r="H432" t="s">
        <v>676</v>
      </c>
      <c r="J432" t="s">
        <v>245</v>
      </c>
      <c r="K432">
        <v>0</v>
      </c>
      <c r="W432" s="78"/>
    </row>
    <row r="433" spans="8:23" x14ac:dyDescent="0.3">
      <c r="H433" t="s">
        <v>677</v>
      </c>
      <c r="J433" t="s">
        <v>258</v>
      </c>
      <c r="K433">
        <v>0</v>
      </c>
      <c r="W433" s="78"/>
    </row>
    <row r="434" spans="8:23" x14ac:dyDescent="0.3">
      <c r="H434" t="s">
        <v>678</v>
      </c>
      <c r="J434" t="s">
        <v>61</v>
      </c>
      <c r="K434">
        <v>1.5503800000000001E-3</v>
      </c>
      <c r="W434" s="78"/>
    </row>
    <row r="435" spans="8:23" x14ac:dyDescent="0.3">
      <c r="H435" t="s">
        <v>679</v>
      </c>
      <c r="J435" t="s">
        <v>212</v>
      </c>
      <c r="K435">
        <v>0</v>
      </c>
      <c r="W435" s="78"/>
    </row>
    <row r="436" spans="8:23" x14ac:dyDescent="0.3">
      <c r="H436" t="s">
        <v>680</v>
      </c>
      <c r="J436" t="s">
        <v>96</v>
      </c>
      <c r="K436">
        <v>8.6123899999999993E-3</v>
      </c>
      <c r="W436" s="78"/>
    </row>
    <row r="437" spans="8:23" x14ac:dyDescent="0.3">
      <c r="H437" t="s">
        <v>681</v>
      </c>
      <c r="J437" t="s">
        <v>65</v>
      </c>
      <c r="K437">
        <v>0</v>
      </c>
      <c r="W437" s="78"/>
    </row>
    <row r="438" spans="8:23" x14ac:dyDescent="0.3">
      <c r="H438" t="s">
        <v>682</v>
      </c>
      <c r="J438" t="s">
        <v>187</v>
      </c>
      <c r="K438">
        <v>0</v>
      </c>
      <c r="W438" s="78"/>
    </row>
    <row r="439" spans="8:23" x14ac:dyDescent="0.3">
      <c r="H439" t="s">
        <v>683</v>
      </c>
      <c r="J439" t="s">
        <v>180</v>
      </c>
      <c r="K439">
        <v>0</v>
      </c>
      <c r="W439" s="78"/>
    </row>
    <row r="440" spans="8:23" x14ac:dyDescent="0.3">
      <c r="H440" t="s">
        <v>684</v>
      </c>
      <c r="J440" t="s">
        <v>239</v>
      </c>
      <c r="K440">
        <v>0</v>
      </c>
      <c r="W440" s="78"/>
    </row>
    <row r="441" spans="8:23" x14ac:dyDescent="0.3">
      <c r="H441" t="s">
        <v>685</v>
      </c>
      <c r="J441" t="s">
        <v>262</v>
      </c>
      <c r="K441">
        <v>0</v>
      </c>
      <c r="W441" s="78"/>
    </row>
    <row r="442" spans="8:23" x14ac:dyDescent="0.3">
      <c r="H442" t="s">
        <v>686</v>
      </c>
      <c r="J442" t="s">
        <v>233</v>
      </c>
      <c r="K442">
        <v>1.122E-3</v>
      </c>
      <c r="W442" s="78"/>
    </row>
    <row r="443" spans="8:23" x14ac:dyDescent="0.3">
      <c r="H443" t="s">
        <v>687</v>
      </c>
      <c r="J443" t="s">
        <v>59</v>
      </c>
      <c r="K443">
        <v>0</v>
      </c>
      <c r="W443" s="78"/>
    </row>
    <row r="444" spans="8:23" x14ac:dyDescent="0.3">
      <c r="H444" t="s">
        <v>688</v>
      </c>
      <c r="J444" t="s">
        <v>252</v>
      </c>
      <c r="K444">
        <v>1.5572699999999999E-3</v>
      </c>
      <c r="W444" s="78"/>
    </row>
    <row r="445" spans="8:23" x14ac:dyDescent="0.3">
      <c r="H445" t="s">
        <v>689</v>
      </c>
      <c r="J445" t="s">
        <v>75</v>
      </c>
      <c r="K445">
        <v>0</v>
      </c>
      <c r="W445" s="78"/>
    </row>
    <row r="446" spans="8:23" x14ac:dyDescent="0.3">
      <c r="H446" t="s">
        <v>690</v>
      </c>
      <c r="J446" t="s">
        <v>167</v>
      </c>
      <c r="K446">
        <v>0</v>
      </c>
      <c r="W446" s="78"/>
    </row>
    <row r="447" spans="8:23" x14ac:dyDescent="0.3">
      <c r="H447" t="s">
        <v>691</v>
      </c>
      <c r="J447" t="s">
        <v>201</v>
      </c>
      <c r="K447">
        <v>0</v>
      </c>
      <c r="W447" s="78"/>
    </row>
    <row r="448" spans="8:23" x14ac:dyDescent="0.3">
      <c r="H448" t="s">
        <v>692</v>
      </c>
      <c r="J448" t="s">
        <v>92</v>
      </c>
      <c r="K448">
        <v>0</v>
      </c>
      <c r="W448" s="78"/>
    </row>
    <row r="449" spans="8:23" x14ac:dyDescent="0.3">
      <c r="H449" t="s">
        <v>693</v>
      </c>
      <c r="J449" t="s">
        <v>77</v>
      </c>
      <c r="K449">
        <v>0</v>
      </c>
      <c r="W449" s="78"/>
    </row>
    <row r="450" spans="8:23" x14ac:dyDescent="0.3">
      <c r="H450" t="s">
        <v>694</v>
      </c>
      <c r="J450" t="s">
        <v>101</v>
      </c>
      <c r="K450">
        <v>0</v>
      </c>
      <c r="W450" s="78"/>
    </row>
    <row r="451" spans="8:23" x14ac:dyDescent="0.3">
      <c r="H451" t="s">
        <v>695</v>
      </c>
      <c r="J451" t="s">
        <v>199</v>
      </c>
      <c r="K451">
        <v>0</v>
      </c>
      <c r="W451" s="78"/>
    </row>
    <row r="452" spans="8:23" x14ac:dyDescent="0.3">
      <c r="H452" t="s">
        <v>696</v>
      </c>
      <c r="J452" t="s">
        <v>139</v>
      </c>
      <c r="K452">
        <v>1.227163E-2</v>
      </c>
      <c r="W452" s="78"/>
    </row>
    <row r="453" spans="8:23" x14ac:dyDescent="0.3">
      <c r="H453" t="s">
        <v>697</v>
      </c>
      <c r="J453" t="s">
        <v>237</v>
      </c>
      <c r="K453">
        <v>0</v>
      </c>
      <c r="W453" s="78"/>
    </row>
    <row r="454" spans="8:23" x14ac:dyDescent="0.3">
      <c r="H454" t="s">
        <v>698</v>
      </c>
      <c r="J454" t="s">
        <v>224</v>
      </c>
      <c r="K454">
        <v>0</v>
      </c>
      <c r="W454" s="78"/>
    </row>
    <row r="455" spans="8:23" x14ac:dyDescent="0.3">
      <c r="H455" t="s">
        <v>699</v>
      </c>
      <c r="J455" t="s">
        <v>183</v>
      </c>
      <c r="K455">
        <v>0</v>
      </c>
      <c r="W455" s="78"/>
    </row>
    <row r="456" spans="8:23" x14ac:dyDescent="0.3">
      <c r="H456" t="s">
        <v>700</v>
      </c>
      <c r="J456" t="s">
        <v>276</v>
      </c>
      <c r="K456">
        <v>0</v>
      </c>
      <c r="W456" s="79"/>
    </row>
    <row r="457" spans="8:23" x14ac:dyDescent="0.3">
      <c r="H457" t="s">
        <v>701</v>
      </c>
      <c r="J457" t="s">
        <v>131</v>
      </c>
      <c r="K457">
        <v>5.5189699999999998E-3</v>
      </c>
    </row>
    <row r="458" spans="8:23" x14ac:dyDescent="0.3">
      <c r="H458" t="s">
        <v>702</v>
      </c>
      <c r="J458" t="s">
        <v>122</v>
      </c>
      <c r="K458">
        <v>1.3105199999999999E-3</v>
      </c>
    </row>
    <row r="459" spans="8:23" x14ac:dyDescent="0.3">
      <c r="H459" t="s">
        <v>703</v>
      </c>
      <c r="J459" t="s">
        <v>260</v>
      </c>
      <c r="K459">
        <v>0</v>
      </c>
    </row>
    <row r="460" spans="8:23" x14ac:dyDescent="0.3">
      <c r="H460" t="s">
        <v>704</v>
      </c>
      <c r="J460" t="s">
        <v>231</v>
      </c>
      <c r="K460">
        <v>0</v>
      </c>
    </row>
    <row r="461" spans="8:23" x14ac:dyDescent="0.3">
      <c r="H461" t="s">
        <v>705</v>
      </c>
      <c r="J461" t="s">
        <v>216</v>
      </c>
      <c r="K461">
        <v>0</v>
      </c>
    </row>
    <row r="462" spans="8:23" x14ac:dyDescent="0.3">
      <c r="H462" t="s">
        <v>706</v>
      </c>
      <c r="J462" t="s">
        <v>215</v>
      </c>
      <c r="K462">
        <v>0</v>
      </c>
    </row>
    <row r="463" spans="8:23" x14ac:dyDescent="0.3">
      <c r="H463" t="s">
        <v>707</v>
      </c>
      <c r="J463" t="s">
        <v>126</v>
      </c>
      <c r="K463">
        <v>0</v>
      </c>
    </row>
    <row r="464" spans="8:23" x14ac:dyDescent="0.3">
      <c r="H464" t="s">
        <v>708</v>
      </c>
      <c r="J464" t="s">
        <v>54</v>
      </c>
      <c r="K464">
        <v>0</v>
      </c>
    </row>
    <row r="465" spans="8:11" x14ac:dyDescent="0.3">
      <c r="H465" t="s">
        <v>709</v>
      </c>
      <c r="J465" t="s">
        <v>190</v>
      </c>
      <c r="K465">
        <v>0</v>
      </c>
    </row>
    <row r="466" spans="8:11" x14ac:dyDescent="0.3">
      <c r="H466" t="s">
        <v>710</v>
      </c>
      <c r="J466" t="s">
        <v>277</v>
      </c>
      <c r="K466">
        <v>0</v>
      </c>
    </row>
    <row r="467" spans="8:11" x14ac:dyDescent="0.3">
      <c r="H467" t="s">
        <v>711</v>
      </c>
      <c r="J467" t="s">
        <v>267</v>
      </c>
      <c r="K467">
        <v>0</v>
      </c>
    </row>
    <row r="468" spans="8:11" x14ac:dyDescent="0.3">
      <c r="H468" t="s">
        <v>712</v>
      </c>
      <c r="J468" t="s">
        <v>234</v>
      </c>
      <c r="K468">
        <v>5.0918999999999997E-4</v>
      </c>
    </row>
    <row r="469" spans="8:11" x14ac:dyDescent="0.3">
      <c r="H469" t="s">
        <v>713</v>
      </c>
      <c r="J469" t="s">
        <v>85</v>
      </c>
      <c r="K469">
        <v>0</v>
      </c>
    </row>
    <row r="470" spans="8:11" x14ac:dyDescent="0.3">
      <c r="H470" t="s">
        <v>714</v>
      </c>
      <c r="J470" t="s">
        <v>174</v>
      </c>
      <c r="K470">
        <v>0</v>
      </c>
    </row>
    <row r="471" spans="8:11" x14ac:dyDescent="0.3">
      <c r="H471" t="s">
        <v>715</v>
      </c>
      <c r="J471" t="s">
        <v>228</v>
      </c>
      <c r="K471">
        <v>0</v>
      </c>
    </row>
    <row r="472" spans="8:11" x14ac:dyDescent="0.3">
      <c r="H472" t="s">
        <v>716</v>
      </c>
      <c r="J472" t="s">
        <v>255</v>
      </c>
      <c r="K472">
        <v>0</v>
      </c>
    </row>
    <row r="473" spans="8:11" x14ac:dyDescent="0.3">
      <c r="H473" t="s">
        <v>717</v>
      </c>
      <c r="J473" t="s">
        <v>138</v>
      </c>
      <c r="K473">
        <v>1.6743299999999999E-3</v>
      </c>
    </row>
    <row r="474" spans="8:11" x14ac:dyDescent="0.3">
      <c r="H474" t="s">
        <v>718</v>
      </c>
      <c r="J474" t="s">
        <v>186</v>
      </c>
      <c r="K474">
        <v>3.1280700000000002E-3</v>
      </c>
    </row>
    <row r="475" spans="8:11" x14ac:dyDescent="0.3">
      <c r="H475" t="s">
        <v>719</v>
      </c>
      <c r="J475" t="s">
        <v>230</v>
      </c>
      <c r="K475">
        <v>5.5407000000000004E-4</v>
      </c>
    </row>
    <row r="476" spans="8:11" x14ac:dyDescent="0.3">
      <c r="H476" t="s">
        <v>720</v>
      </c>
      <c r="J476" t="s">
        <v>182</v>
      </c>
      <c r="K476">
        <v>6.6253469999999995E-2</v>
      </c>
    </row>
    <row r="477" spans="8:11" x14ac:dyDescent="0.3">
      <c r="H477" t="s">
        <v>721</v>
      </c>
      <c r="J477" t="s">
        <v>60</v>
      </c>
      <c r="K477">
        <v>0</v>
      </c>
    </row>
    <row r="478" spans="8:11" x14ac:dyDescent="0.3">
      <c r="H478" t="s">
        <v>722</v>
      </c>
      <c r="J478" t="s">
        <v>261</v>
      </c>
      <c r="K478">
        <v>2.9931000000000001E-4</v>
      </c>
    </row>
    <row r="479" spans="8:11" x14ac:dyDescent="0.3">
      <c r="H479" t="s">
        <v>723</v>
      </c>
      <c r="J479" t="s">
        <v>178</v>
      </c>
      <c r="K479">
        <v>3.6359399999999998E-3</v>
      </c>
    </row>
    <row r="480" spans="8:11" x14ac:dyDescent="0.3">
      <c r="H480" t="s">
        <v>724</v>
      </c>
      <c r="J480" t="s">
        <v>168</v>
      </c>
      <c r="K480">
        <v>8.8387199999999996E-3</v>
      </c>
    </row>
    <row r="481" spans="8:11" x14ac:dyDescent="0.3">
      <c r="H481" t="s">
        <v>725</v>
      </c>
      <c r="J481" t="s">
        <v>128</v>
      </c>
      <c r="K481">
        <v>0</v>
      </c>
    </row>
    <row r="482" spans="8:11" x14ac:dyDescent="0.3">
      <c r="H482" t="s">
        <v>726</v>
      </c>
      <c r="J482" t="s">
        <v>189</v>
      </c>
      <c r="K482">
        <v>0</v>
      </c>
    </row>
    <row r="483" spans="8:11" x14ac:dyDescent="0.3">
      <c r="H483" t="s">
        <v>727</v>
      </c>
      <c r="J483" t="s">
        <v>238</v>
      </c>
      <c r="K483">
        <v>0</v>
      </c>
    </row>
    <row r="484" spans="8:11" x14ac:dyDescent="0.3">
      <c r="H484" t="s">
        <v>728</v>
      </c>
      <c r="J484" t="s">
        <v>242</v>
      </c>
      <c r="K484">
        <v>0</v>
      </c>
    </row>
    <row r="485" spans="8:11" x14ac:dyDescent="0.3">
      <c r="H485" t="s">
        <v>729</v>
      </c>
      <c r="J485" t="s">
        <v>133</v>
      </c>
      <c r="K485">
        <v>0</v>
      </c>
    </row>
    <row r="486" spans="8:11" x14ac:dyDescent="0.3">
      <c r="H486" t="s">
        <v>730</v>
      </c>
      <c r="J486" t="s">
        <v>109</v>
      </c>
      <c r="K486">
        <v>0</v>
      </c>
    </row>
    <row r="487" spans="8:11" x14ac:dyDescent="0.3">
      <c r="H487" t="s">
        <v>731</v>
      </c>
      <c r="J487" t="s">
        <v>121</v>
      </c>
      <c r="K487">
        <v>3.2013949999999999E-2</v>
      </c>
    </row>
    <row r="488" spans="8:11" x14ac:dyDescent="0.3">
      <c r="H488" t="s">
        <v>732</v>
      </c>
      <c r="J488" t="s">
        <v>148</v>
      </c>
      <c r="K488">
        <v>1.9543899999999999E-3</v>
      </c>
    </row>
    <row r="489" spans="8:11" x14ac:dyDescent="0.3">
      <c r="H489" t="s">
        <v>733</v>
      </c>
      <c r="J489" t="s">
        <v>130</v>
      </c>
      <c r="K489">
        <v>0</v>
      </c>
    </row>
    <row r="490" spans="8:11" x14ac:dyDescent="0.3">
      <c r="H490" t="s">
        <v>734</v>
      </c>
      <c r="J490" t="s">
        <v>219</v>
      </c>
      <c r="K490">
        <v>0</v>
      </c>
    </row>
    <row r="491" spans="8:11" x14ac:dyDescent="0.3">
      <c r="H491" t="s">
        <v>735</v>
      </c>
      <c r="J491" t="s">
        <v>227</v>
      </c>
      <c r="K491">
        <v>0</v>
      </c>
    </row>
    <row r="492" spans="8:11" x14ac:dyDescent="0.3">
      <c r="H492" t="s">
        <v>736</v>
      </c>
      <c r="J492" t="s">
        <v>147</v>
      </c>
      <c r="K492">
        <v>1.76352E-3</v>
      </c>
    </row>
    <row r="493" spans="8:11" x14ac:dyDescent="0.3">
      <c r="H493" t="s">
        <v>737</v>
      </c>
      <c r="J493" t="s">
        <v>67</v>
      </c>
      <c r="K493">
        <v>0</v>
      </c>
    </row>
    <row r="494" spans="8:11" x14ac:dyDescent="0.3">
      <c r="H494" t="s">
        <v>738</v>
      </c>
      <c r="J494" t="s">
        <v>90</v>
      </c>
      <c r="K494">
        <v>7.1066300000000001E-3</v>
      </c>
    </row>
    <row r="495" spans="8:11" x14ac:dyDescent="0.3">
      <c r="H495" t="s">
        <v>739</v>
      </c>
      <c r="J495" t="s">
        <v>79</v>
      </c>
      <c r="K495">
        <v>2.6726300000000001E-3</v>
      </c>
    </row>
    <row r="496" spans="8:11" x14ac:dyDescent="0.3">
      <c r="H496" t="s">
        <v>740</v>
      </c>
      <c r="J496" t="s">
        <v>120</v>
      </c>
      <c r="K496">
        <v>9.0717E-4</v>
      </c>
    </row>
    <row r="497" spans="8:11" x14ac:dyDescent="0.3">
      <c r="H497" t="s">
        <v>741</v>
      </c>
      <c r="J497" t="s">
        <v>94</v>
      </c>
      <c r="K497">
        <v>7.1082000000000003E-4</v>
      </c>
    </row>
    <row r="498" spans="8:11" x14ac:dyDescent="0.3">
      <c r="H498" t="s">
        <v>742</v>
      </c>
      <c r="J498" t="s">
        <v>113</v>
      </c>
      <c r="K498">
        <v>3.1589800000000001E-2</v>
      </c>
    </row>
    <row r="499" spans="8:11" x14ac:dyDescent="0.3">
      <c r="H499" t="s">
        <v>743</v>
      </c>
      <c r="J499" t="s">
        <v>134</v>
      </c>
      <c r="K499">
        <v>3.9805020000000003E-2</v>
      </c>
    </row>
    <row r="500" spans="8:11" x14ac:dyDescent="0.3">
      <c r="H500" t="s">
        <v>744</v>
      </c>
      <c r="J500" t="s">
        <v>116</v>
      </c>
      <c r="K500">
        <v>0</v>
      </c>
    </row>
    <row r="501" spans="8:11" x14ac:dyDescent="0.3">
      <c r="H501" t="s">
        <v>745</v>
      </c>
      <c r="J501" t="s">
        <v>268</v>
      </c>
      <c r="K501">
        <v>0</v>
      </c>
    </row>
    <row r="502" spans="8:11" x14ac:dyDescent="0.3">
      <c r="H502" t="s">
        <v>746</v>
      </c>
      <c r="J502" t="s">
        <v>146</v>
      </c>
      <c r="K502">
        <v>6.0663389999999998E-2</v>
      </c>
    </row>
    <row r="503" spans="8:11" x14ac:dyDescent="0.3">
      <c r="H503" t="s">
        <v>747</v>
      </c>
      <c r="J503" t="s">
        <v>136</v>
      </c>
      <c r="K503">
        <v>6.7948129999999995E-2</v>
      </c>
    </row>
    <row r="504" spans="8:11" x14ac:dyDescent="0.3">
      <c r="H504" t="s">
        <v>748</v>
      </c>
      <c r="J504" t="s">
        <v>195</v>
      </c>
      <c r="K504">
        <v>0</v>
      </c>
    </row>
    <row r="505" spans="8:11" x14ac:dyDescent="0.3">
      <c r="H505" t="s">
        <v>749</v>
      </c>
      <c r="J505" t="s">
        <v>160</v>
      </c>
      <c r="K505">
        <v>0</v>
      </c>
    </row>
    <row r="506" spans="8:11" x14ac:dyDescent="0.3">
      <c r="H506" t="s">
        <v>750</v>
      </c>
      <c r="J506" t="s">
        <v>247</v>
      </c>
      <c r="K506">
        <v>0</v>
      </c>
    </row>
    <row r="507" spans="8:11" x14ac:dyDescent="0.3">
      <c r="H507" t="s">
        <v>751</v>
      </c>
      <c r="J507" t="s">
        <v>206</v>
      </c>
      <c r="K507">
        <v>0</v>
      </c>
    </row>
    <row r="508" spans="8:11" x14ac:dyDescent="0.3">
      <c r="H508" t="s">
        <v>752</v>
      </c>
      <c r="J508" t="s">
        <v>249</v>
      </c>
      <c r="K508">
        <v>0</v>
      </c>
    </row>
  </sheetData>
  <autoFilter ref="A8:BM226" xr:uid="{EFA49779-290C-47E1-A815-D7A501A3DBF1}">
    <sortState xmlns:xlrd2="http://schemas.microsoft.com/office/spreadsheetml/2017/richdata2" ref="A9:BM226">
      <sortCondition descending="1" ref="F8:F226"/>
    </sortState>
  </autoFilter>
  <mergeCells count="3">
    <mergeCell ref="S1:AE3"/>
    <mergeCell ref="AF1:AK3"/>
    <mergeCell ref="AL1:BM3"/>
  </mergeCells>
  <conditionalFormatting sqref="F9:F60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9:F226"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9:K22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:L226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23:R226 M9:M222 Q9:R22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:BM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8:S60">
    <cfRule type="colorScale" priority="15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9:S226">
    <cfRule type="colorScale" priority="1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8">
    <cfRule type="colorScale" priority="15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9:T60">
    <cfRule type="colorScale" priority="1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9:T226">
    <cfRule type="colorScale" priority="1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">
    <cfRule type="colorScale" priority="15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9:U60">
    <cfRule type="colorScale" priority="1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9:U226">
    <cfRule type="colorScale" priority="1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8">
    <cfRule type="colorScale" priority="15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9:V60">
    <cfRule type="colorScale" priority="1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9:V226">
    <cfRule type="colorScale" priority="1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8">
    <cfRule type="colorScale" priority="15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9:W60">
    <cfRule type="colorScale" priority="10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9:W226">
    <cfRule type="colorScale" priority="10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8">
    <cfRule type="colorScale" priority="15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9:X60">
    <cfRule type="colorScale" priority="10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9:X226">
    <cfRule type="colorScale" priority="10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8">
    <cfRule type="colorScale" priority="15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9:Y60">
    <cfRule type="colorScale" priority="10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9:Y226">
    <cfRule type="colorScale" priority="10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8">
    <cfRule type="colorScale" priority="15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9:Z60">
    <cfRule type="colorScale" priority="10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9:Z226">
    <cfRule type="colorScale" priority="10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8">
    <cfRule type="colorScale" priority="15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9:AA60">
    <cfRule type="colorScale" priority="10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9:AA226">
    <cfRule type="colorScale" priority="10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8">
    <cfRule type="colorScale" priority="14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9:AB60">
    <cfRule type="colorScale" priority="9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9:AB226">
    <cfRule type="colorScale" priority="9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8">
    <cfRule type="colorScale" priority="14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9:AC60">
    <cfRule type="colorScale" priority="9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9:AC226">
    <cfRule type="colorScale" priority="9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8">
    <cfRule type="colorScale" priority="14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9:AD60">
    <cfRule type="colorScale" priority="9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9:AD226">
    <cfRule type="colorScale" priority="9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8">
    <cfRule type="colorScale" priority="1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9:AE60">
    <cfRule type="colorScale" priority="9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9:AE226">
    <cfRule type="colorScale" priority="9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8">
    <cfRule type="colorScale" priority="14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9:AF60">
    <cfRule type="colorScale" priority="9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9:AF226">
    <cfRule type="colorScale" priority="9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8">
    <cfRule type="colorScale" priority="14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9:AG60">
    <cfRule type="colorScale" priority="8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9:AG226">
    <cfRule type="colorScale" priority="8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8">
    <cfRule type="colorScale" priority="14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9:AH60">
    <cfRule type="colorScale" priority="8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9:AH226">
    <cfRule type="colorScale" priority="8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8">
    <cfRule type="colorScale" priority="14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9:AI60">
    <cfRule type="colorScale" priority="8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9:AI226">
    <cfRule type="colorScale" priority="8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8">
    <cfRule type="colorScale" priority="1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9:AJ60">
    <cfRule type="colorScale" priority="8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9:AJ226">
    <cfRule type="colorScale" priority="8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8">
    <cfRule type="colorScale" priority="14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9:AK60">
    <cfRule type="colorScale" priority="8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9:AK226">
    <cfRule type="colorScale" priority="8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8">
    <cfRule type="colorScale" priority="1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9:AL60">
    <cfRule type="colorScale" priority="7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9:AL226">
    <cfRule type="colorScale" priority="7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8">
    <cfRule type="colorScale" priority="13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9:AM60">
    <cfRule type="colorScale" priority="7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9:AM226">
    <cfRule type="colorScale" priority="7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8">
    <cfRule type="colorScale" priority="13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9:AN60">
    <cfRule type="colorScale" priority="7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9:AN226">
    <cfRule type="colorScale" priority="7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8">
    <cfRule type="colorScale" priority="13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9:AO60">
    <cfRule type="colorScale" priority="7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9:AO226">
    <cfRule type="colorScale" priority="7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8">
    <cfRule type="colorScale" priority="13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9:AP60">
    <cfRule type="colorScale" priority="7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9:AP226">
    <cfRule type="colorScale" priority="7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8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9:AQ60">
    <cfRule type="colorScale" priority="6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9:AQ226">
    <cfRule type="colorScale" priority="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8">
    <cfRule type="colorScale" priority="1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9:AR60">
    <cfRule type="colorScale" priority="6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9:AR226">
    <cfRule type="colorScale" priority="6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8">
    <cfRule type="colorScale" priority="1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9:AS60">
    <cfRule type="colorScale" priority="6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9:AS226">
    <cfRule type="colorScale" priority="6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8">
    <cfRule type="colorScale" priority="13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9:AT60">
    <cfRule type="colorScale" priority="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9:AT226">
    <cfRule type="colorScale" priority="6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8">
    <cfRule type="colorScale" priority="13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9:AU60">
    <cfRule type="colorScale" priority="6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9:AU226">
    <cfRule type="colorScale" priority="6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8"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9:AV60">
    <cfRule type="colorScale" priority="5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9:AV226">
    <cfRule type="colorScale" priority="5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8">
    <cfRule type="colorScale" priority="1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9:AW60">
    <cfRule type="colorScale" priority="5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9:AW226">
    <cfRule type="colorScale" priority="5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8">
    <cfRule type="colorScale" priority="1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9:AX60">
    <cfRule type="colorScale" priority="5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9:AX226">
    <cfRule type="colorScale" priority="5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8">
    <cfRule type="colorScale" priority="1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9:AY60">
    <cfRule type="colorScale" priority="5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9:AY226">
    <cfRule type="colorScale" priority="5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8">
    <cfRule type="colorScale" priority="1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9:AZ60">
    <cfRule type="colorScale" priority="5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9:AZ226">
    <cfRule type="colorScale" priority="5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8">
    <cfRule type="colorScale" priority="1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9:BA60">
    <cfRule type="colorScale" priority="4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9:BA226">
    <cfRule type="colorScale" priority="4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8">
    <cfRule type="colorScale" priority="1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9:BB60">
    <cfRule type="colorScale" priority="4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9:BB226">
    <cfRule type="colorScale" priority="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8">
    <cfRule type="colorScale" priority="1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9:BC60">
    <cfRule type="colorScale" priority="4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9:BC226">
    <cfRule type="colorScale" priority="4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8">
    <cfRule type="colorScale" priority="1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9:BD60">
    <cfRule type="colorScale" priority="4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9:BD226">
    <cfRule type="colorScale" priority="4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8">
    <cfRule type="colorScale" priority="1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9:BE60">
    <cfRule type="colorScale" priority="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9:BE226">
    <cfRule type="colorScale" priority="4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8">
    <cfRule type="colorScale" priority="1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9:BF60">
    <cfRule type="colorScale" priority="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9:BF226">
    <cfRule type="colorScale" priority="3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G8">
    <cfRule type="colorScale" priority="1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G9:BG60">
    <cfRule type="colorScale" priority="3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G9:BG226">
    <cfRule type="colorScale" priority="3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H8">
    <cfRule type="colorScale" priority="1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H9:BH60">
    <cfRule type="colorScale" priority="3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H9:BH226">
    <cfRule type="colorScale" priority="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I9:BI60">
    <cfRule type="colorScale" priority="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I9:BI226">
    <cfRule type="colorScale" priority="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J9:BJ60">
    <cfRule type="colorScale" priority="3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J9:BJ226">
    <cfRule type="colorScale" priority="3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K9:BK60">
    <cfRule type="colorScale" priority="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K9:BK226">
    <cfRule type="colorScale" priority="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L9:BL60"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L9:BL226">
    <cfRule type="colorScale" priority="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M9:BM60"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M9:BM226">
    <cfRule type="colorScale" priority="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N9:BN60">
    <cfRule type="colorScale" priority="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N9:BN226">
    <cfRule type="colorScale" priority="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M245:M273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4:S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:BM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E22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:BM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:G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K245:K273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9:P2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FD78-13E4-460E-A5A8-DA49117156E1}">
  <sheetPr>
    <tabColor theme="3" tint="0.249977111117893"/>
  </sheetPr>
  <dimension ref="A1:BK266"/>
  <sheetViews>
    <sheetView tabSelected="1" topLeftCell="A4" workbookViewId="0">
      <selection activeCell="D19" sqref="D19"/>
    </sheetView>
  </sheetViews>
  <sheetFormatPr defaultRowHeight="14.4" x14ac:dyDescent="0.3"/>
  <cols>
    <col min="5" max="5" width="12.88671875" customWidth="1"/>
    <col min="8" max="8" width="22.33203125" bestFit="1" customWidth="1"/>
    <col min="9" max="9" width="11.33203125" bestFit="1" customWidth="1"/>
    <col min="10" max="10" width="16.5546875" bestFit="1" customWidth="1"/>
    <col min="11" max="11" width="13.77734375" bestFit="1" customWidth="1"/>
    <col min="12" max="12" width="19.33203125" bestFit="1" customWidth="1"/>
    <col min="13" max="13" width="16.5546875" bestFit="1" customWidth="1"/>
    <col min="14" max="14" width="18.5546875" bestFit="1" customWidth="1"/>
    <col min="17" max="17" width="15" bestFit="1" customWidth="1"/>
  </cols>
  <sheetData>
    <row r="1" spans="1:63" ht="14.4" customHeight="1" x14ac:dyDescent="0.3">
      <c r="B1" s="30">
        <f>COUNTIF(B9:B222,"&gt;0")</f>
        <v>38</v>
      </c>
      <c r="E1" s="30">
        <f>COUNTIF(E9:E222,"&gt;0")</f>
        <v>70</v>
      </c>
      <c r="K1" s="51" t="s">
        <v>322</v>
      </c>
      <c r="L1" s="52" t="s">
        <v>323</v>
      </c>
      <c r="M1" s="52" t="s">
        <v>314</v>
      </c>
      <c r="N1" s="52" t="s">
        <v>315</v>
      </c>
      <c r="O1" s="52" t="s">
        <v>324</v>
      </c>
      <c r="R1" s="82" t="s">
        <v>269</v>
      </c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3" t="s">
        <v>270</v>
      </c>
      <c r="AF1" s="83"/>
      <c r="AG1" s="83"/>
      <c r="AH1" s="83"/>
      <c r="AI1" s="83"/>
      <c r="AJ1" s="83"/>
      <c r="AK1" s="84" t="s">
        <v>271</v>
      </c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</row>
    <row r="2" spans="1:63" ht="14.4" customHeight="1" x14ac:dyDescent="0.3">
      <c r="K2" s="28" t="s">
        <v>324</v>
      </c>
      <c r="L2" s="2">
        <f>SQRT(SUMSQ(L9:L222)^2)</f>
        <v>2.055899999999999E-2</v>
      </c>
      <c r="M2" s="2">
        <f>SQRT(SUMSQ(N9:N222)^2)</f>
        <v>7.9671085778287201E-2</v>
      </c>
      <c r="N2" s="2">
        <f>SQRT(SUMSQ(Q9:Q222)^2)</f>
        <v>2.0447071780543041E-2</v>
      </c>
      <c r="O2" s="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3"/>
      <c r="AF2" s="83"/>
      <c r="AG2" s="83"/>
      <c r="AH2" s="83"/>
      <c r="AI2" s="83"/>
      <c r="AJ2" s="83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</row>
    <row r="3" spans="1:63" ht="14.4" customHeight="1" x14ac:dyDescent="0.3">
      <c r="E3" s="30" t="s">
        <v>333</v>
      </c>
      <c r="F3" s="5">
        <f>SUMPRODUCT($D$9:$D$222,F9:F222)</f>
        <v>0.11454750000000008</v>
      </c>
      <c r="K3" s="28" t="s">
        <v>327</v>
      </c>
      <c r="L3" s="2">
        <f>SQRT(SUMSQ(C9:C222)^2)</f>
        <v>1.9297499999999992E-2</v>
      </c>
      <c r="M3" s="2">
        <f>SQRT(SUMSQ(O9:O222)^2)</f>
        <v>5.0187520252482111E-2</v>
      </c>
      <c r="O3" s="2">
        <f>SQRT(SUMSQ(D9:D222)^2)</f>
        <v>8.8249999999999993E-4</v>
      </c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3"/>
      <c r="AF3" s="83"/>
      <c r="AG3" s="83"/>
      <c r="AH3" s="83"/>
      <c r="AI3" s="83"/>
      <c r="AJ3" s="83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</row>
    <row r="4" spans="1:63" ht="14.4" customHeight="1" x14ac:dyDescent="0.3">
      <c r="E4" s="32" t="s">
        <v>319</v>
      </c>
      <c r="F4" s="5">
        <f>SUMPRODUCT($Q$9:$Q$222,F9:F222)</f>
        <v>2.631758193183547E-3</v>
      </c>
      <c r="Q4" s="30" t="s">
        <v>333</v>
      </c>
      <c r="R4" s="5">
        <f>SUMPRODUCT($D$9:$D$226,R9:R226)</f>
        <v>5.8705999999999994E-2</v>
      </c>
      <c r="S4" s="5">
        <f t="shared" ref="S4:BK4" si="0">SUMPRODUCT($D$9:$D$226,S9:S226)</f>
        <v>4.8074000000000006E-2</v>
      </c>
      <c r="T4" s="5">
        <f t="shared" si="0"/>
        <v>5.8036499999999991E-2</v>
      </c>
      <c r="U4" s="5">
        <f t="shared" si="0"/>
        <v>5.3953999999999988E-2</v>
      </c>
      <c r="V4" s="5">
        <f t="shared" si="0"/>
        <v>5.8914499999999988E-2</v>
      </c>
      <c r="W4" s="5">
        <f t="shared" si="0"/>
        <v>5.2822499999999988E-2</v>
      </c>
      <c r="X4" s="5">
        <f t="shared" si="0"/>
        <v>4.5376499999999993E-2</v>
      </c>
      <c r="Y4" s="5">
        <f t="shared" si="0"/>
        <v>5.4474000000000022E-2</v>
      </c>
      <c r="Z4" s="5">
        <f t="shared" si="0"/>
        <v>1.9840500000000014E-2</v>
      </c>
      <c r="AA4" s="5">
        <f t="shared" si="0"/>
        <v>1.9768500000000012E-2</v>
      </c>
      <c r="AB4" s="5">
        <f t="shared" si="0"/>
        <v>1.3513000000000022E-2</v>
      </c>
      <c r="AC4" s="5">
        <f t="shared" si="0"/>
        <v>1.0405000000000015E-2</v>
      </c>
      <c r="AD4" s="5">
        <f t="shared" si="0"/>
        <v>1.8691000000000006E-2</v>
      </c>
      <c r="AE4" s="5">
        <f t="shared" si="0"/>
        <v>3.7347999999999985E-2</v>
      </c>
      <c r="AF4" s="5">
        <f t="shared" si="0"/>
        <v>4.1341499999999982E-2</v>
      </c>
      <c r="AG4" s="5">
        <f t="shared" si="0"/>
        <v>1.7913500000000006E-2</v>
      </c>
      <c r="AH4" s="5">
        <f t="shared" si="0"/>
        <v>1.9476499999999987E-2</v>
      </c>
      <c r="AI4" s="5">
        <f t="shared" si="0"/>
        <v>3.7459499999999993E-2</v>
      </c>
      <c r="AJ4" s="5">
        <f t="shared" si="0"/>
        <v>4.4215499999999991E-2</v>
      </c>
      <c r="AK4" s="5">
        <f t="shared" si="0"/>
        <v>6.4474999999999984E-3</v>
      </c>
      <c r="AL4" s="5">
        <f t="shared" si="0"/>
        <v>3.1367499999999993E-2</v>
      </c>
      <c r="AM4" s="5">
        <f t="shared" si="0"/>
        <v>3.1984999999999882E-3</v>
      </c>
      <c r="AN4" s="5">
        <f t="shared" si="0"/>
        <v>2.3130500000000002E-2</v>
      </c>
      <c r="AO4" s="5">
        <f t="shared" si="0"/>
        <v>1.3121000000000001E-2</v>
      </c>
      <c r="AP4" s="5">
        <f t="shared" si="0"/>
        <v>-6.6149999999999369E-4</v>
      </c>
      <c r="AQ4" s="5">
        <f t="shared" si="0"/>
        <v>1.2149499999999999E-2</v>
      </c>
      <c r="AR4" s="5">
        <f t="shared" si="0"/>
        <v>-1.0079999999999952E-3</v>
      </c>
      <c r="AS4" s="5">
        <f t="shared" si="0"/>
        <v>7.8075000000000028E-3</v>
      </c>
      <c r="AT4" s="5">
        <f t="shared" si="0"/>
        <v>1.90175E-2</v>
      </c>
      <c r="AU4" s="5">
        <f t="shared" si="0"/>
        <v>8.4514999999999972E-3</v>
      </c>
      <c r="AV4" s="5">
        <f t="shared" si="0"/>
        <v>1.6319499999999994E-2</v>
      </c>
      <c r="AW4" s="5">
        <f t="shared" si="0"/>
        <v>3.8550000000000069E-3</v>
      </c>
      <c r="AX4" s="5">
        <f t="shared" si="0"/>
        <v>2.7950499999999996E-2</v>
      </c>
      <c r="AY4" s="5">
        <f t="shared" si="0"/>
        <v>-6.2244999999999853E-3</v>
      </c>
      <c r="AZ4" s="5">
        <f t="shared" si="0"/>
        <v>1.9499500000000003E-2</v>
      </c>
      <c r="BA4" s="5">
        <f t="shared" si="0"/>
        <v>1.3340000000000006E-2</v>
      </c>
      <c r="BB4" s="5">
        <f t="shared" si="0"/>
        <v>3.8389999999999935E-3</v>
      </c>
      <c r="BC4" s="5">
        <f t="shared" si="0"/>
        <v>1.7524499999999991E-2</v>
      </c>
      <c r="BD4" s="5">
        <f t="shared" si="0"/>
        <v>-1.0022999999999994E-2</v>
      </c>
      <c r="BE4" s="5">
        <f t="shared" si="0"/>
        <v>1.8270499999999995E-2</v>
      </c>
      <c r="BF4" s="5">
        <f t="shared" si="0"/>
        <v>9.5579999999999953E-3</v>
      </c>
      <c r="BG4" s="5">
        <f t="shared" si="0"/>
        <v>-1.2494999999999839E-3</v>
      </c>
      <c r="BH4" s="5">
        <f t="shared" si="0"/>
        <v>-1.1020500000000009E-2</v>
      </c>
      <c r="BI4" s="5">
        <f t="shared" si="0"/>
        <v>3.9639999999999988E-3</v>
      </c>
      <c r="BJ4" s="5">
        <f t="shared" si="0"/>
        <v>1.4137999999999998E-2</v>
      </c>
      <c r="BK4" s="5">
        <f t="shared" si="0"/>
        <v>2.3773499999999996E-2</v>
      </c>
    </row>
    <row r="5" spans="1:63" ht="14.4" customHeight="1" x14ac:dyDescent="0.3">
      <c r="E5" s="32" t="s">
        <v>320</v>
      </c>
      <c r="F5" s="5">
        <f>SUMPRODUCT($O$9:$O$222,F9:F222)</f>
        <v>-0.66149999061135512</v>
      </c>
      <c r="Q5" s="32" t="s">
        <v>319</v>
      </c>
      <c r="R5" s="5">
        <f>SUMPRODUCT($Q$9:$Q$226,R9:R226)</f>
        <v>8.3696207459527411E-2</v>
      </c>
      <c r="S5" s="5">
        <f t="shared" ref="S5:BK5" si="1">SUMPRODUCT($Q$9:$Q$226,S9:S226)</f>
        <v>-5.4228964156997683E-2</v>
      </c>
      <c r="T5" s="5">
        <f t="shared" si="1"/>
        <v>0.13306223977779308</v>
      </c>
      <c r="U5" s="5">
        <f t="shared" si="1"/>
        <v>1.2443322039257094E-2</v>
      </c>
      <c r="V5" s="5">
        <f t="shared" si="1"/>
        <v>1.9838004692334127E-2</v>
      </c>
      <c r="W5" s="5">
        <f t="shared" si="1"/>
        <v>2.9763431300288783E-2</v>
      </c>
      <c r="X5" s="5">
        <f t="shared" si="1"/>
        <v>7.7372875193703131E-3</v>
      </c>
      <c r="Y5" s="5">
        <f t="shared" si="1"/>
        <v>1.2359167680610496E-2</v>
      </c>
      <c r="Z5" s="5">
        <f t="shared" si="1"/>
        <v>-2.4040161047420044E-2</v>
      </c>
      <c r="AA5" s="5">
        <f t="shared" si="1"/>
        <v>-2.5301906318491239E-2</v>
      </c>
      <c r="AB5" s="5">
        <f t="shared" si="1"/>
        <v>1.6260611175402308E-2</v>
      </c>
      <c r="AC5" s="5">
        <f t="shared" si="1"/>
        <v>-4.8210830441751153E-3</v>
      </c>
      <c r="AD5" s="5">
        <f t="shared" si="1"/>
        <v>-5.7545109952958119E-3</v>
      </c>
      <c r="AE5" s="5">
        <f t="shared" si="1"/>
        <v>0.13029635084517632</v>
      </c>
      <c r="AF5" s="5">
        <f t="shared" si="1"/>
        <v>4.4309796293474153E-2</v>
      </c>
      <c r="AG5" s="5">
        <f t="shared" si="1"/>
        <v>-0.10509545950357603</v>
      </c>
      <c r="AH5" s="5">
        <f t="shared" si="1"/>
        <v>0.19283135676533983</v>
      </c>
      <c r="AI5" s="5">
        <f t="shared" si="1"/>
        <v>0.11668461961889338</v>
      </c>
      <c r="AJ5" s="5">
        <f t="shared" si="1"/>
        <v>0.11082199544446666</v>
      </c>
      <c r="AK5" s="5">
        <f t="shared" si="1"/>
        <v>9.5497597371522511E-2</v>
      </c>
      <c r="AL5" s="5">
        <f t="shared" si="1"/>
        <v>0.10572590399167309</v>
      </c>
      <c r="AM5" s="5">
        <f t="shared" si="1"/>
        <v>0.11661395946556632</v>
      </c>
      <c r="AN5" s="5">
        <f t="shared" si="1"/>
        <v>0.17335233734908587</v>
      </c>
      <c r="AO5" s="5">
        <f t="shared" si="1"/>
        <v>-0.18335008696207897</v>
      </c>
      <c r="AP5" s="5">
        <f t="shared" si="1"/>
        <v>-0.17071379538465151</v>
      </c>
      <c r="AQ5" s="5">
        <f t="shared" si="1"/>
        <v>-9.3816189182578599E-2</v>
      </c>
      <c r="AR5" s="5">
        <f t="shared" si="1"/>
        <v>-6.3559667658484698E-2</v>
      </c>
      <c r="AS5" s="5">
        <f t="shared" si="1"/>
        <v>-7.8441211365946076E-2</v>
      </c>
      <c r="AT5" s="5">
        <f t="shared" si="1"/>
        <v>-4.0160297981101213E-3</v>
      </c>
      <c r="AU5" s="5">
        <f t="shared" si="1"/>
        <v>-7.1611600606803202E-2</v>
      </c>
      <c r="AV5" s="5">
        <f t="shared" si="1"/>
        <v>1.8183397336990356E-2</v>
      </c>
      <c r="AW5" s="5">
        <f t="shared" si="1"/>
        <v>-5.1284359130689856E-2</v>
      </c>
      <c r="AX5" s="5">
        <f t="shared" si="1"/>
        <v>2.4558375450401078E-2</v>
      </c>
      <c r="AY5" s="5">
        <f t="shared" si="1"/>
        <v>1.2478787803869143E-2</v>
      </c>
      <c r="AZ5" s="5">
        <f t="shared" si="1"/>
        <v>1.4028845014400944E-2</v>
      </c>
      <c r="BA5" s="5">
        <f t="shared" si="1"/>
        <v>-4.4451644825610176E-2</v>
      </c>
      <c r="BB5" s="5">
        <f t="shared" si="1"/>
        <v>1.9048824688063471E-3</v>
      </c>
      <c r="BC5" s="5">
        <f t="shared" si="1"/>
        <v>4.4078447396519678E-2</v>
      </c>
      <c r="BD5" s="5">
        <f t="shared" si="1"/>
        <v>-1.8046364638333499E-2</v>
      </c>
      <c r="BE5" s="5">
        <f t="shared" si="1"/>
        <v>0.1114845199119099</v>
      </c>
      <c r="BF5" s="5">
        <f t="shared" si="1"/>
        <v>9.4984795856173365E-3</v>
      </c>
      <c r="BG5" s="5">
        <f t="shared" si="1"/>
        <v>2.3808537060295065E-2</v>
      </c>
      <c r="BH5" s="5">
        <f t="shared" si="1"/>
        <v>0.15399909014525301</v>
      </c>
      <c r="BI5" s="5">
        <f t="shared" si="1"/>
        <v>1.1993257950571028E-2</v>
      </c>
      <c r="BJ5" s="5">
        <f t="shared" si="1"/>
        <v>8.2077751452308223E-2</v>
      </c>
      <c r="BK5" s="5">
        <f t="shared" si="1"/>
        <v>0.20173415872288197</v>
      </c>
    </row>
    <row r="6" spans="1:63" ht="14.4" customHeight="1" x14ac:dyDescent="0.3">
      <c r="E6" s="32" t="s">
        <v>321</v>
      </c>
      <c r="F6" s="5">
        <f>SUMPRODUCT($L$9:$L$222,F9:F222)</f>
        <v>0.45146299999999978</v>
      </c>
      <c r="G6" s="5">
        <f>SUMPRODUCT($L$9:$L$222,G9:G222)</f>
        <v>0.65886500000000014</v>
      </c>
      <c r="Q6" s="32" t="s">
        <v>320</v>
      </c>
      <c r="R6" s="5">
        <f>SUMPRODUCT($O$9:$O$226,R9:R226)</f>
        <v>-0.32660414737322319</v>
      </c>
      <c r="S6" s="5">
        <f t="shared" ref="S6:BK6" si="2">SUMPRODUCT($O$9:$O$226,S9:S226)</f>
        <v>-0.34006917564054184</v>
      </c>
      <c r="T6" s="5">
        <f t="shared" si="2"/>
        <v>-0.17003743377358607</v>
      </c>
      <c r="U6" s="5">
        <f t="shared" si="2"/>
        <v>-0.39784889975774462</v>
      </c>
      <c r="V6" s="5">
        <f t="shared" si="2"/>
        <v>-0.36086198373209755</v>
      </c>
      <c r="W6" s="5">
        <f t="shared" si="2"/>
        <v>-0.37642789342058713</v>
      </c>
      <c r="X6" s="5">
        <f t="shared" si="2"/>
        <v>-0.3567752930862797</v>
      </c>
      <c r="Y6" s="5">
        <f t="shared" si="2"/>
        <v>-0.31172682767202065</v>
      </c>
      <c r="Z6" s="5">
        <f t="shared" si="2"/>
        <v>-7.0610501470254231E-2</v>
      </c>
      <c r="AA6" s="5">
        <f t="shared" si="2"/>
        <v>-7.1849703961617772E-2</v>
      </c>
      <c r="AB6" s="5">
        <f t="shared" si="2"/>
        <v>-5.7876800453209948E-2</v>
      </c>
      <c r="AC6" s="5">
        <f t="shared" si="2"/>
        <v>-4.3768875710310559E-2</v>
      </c>
      <c r="AD6" s="5">
        <f t="shared" si="2"/>
        <v>-6.6042248670644829E-2</v>
      </c>
      <c r="AE6" s="5">
        <f t="shared" si="2"/>
        <v>-0.43503748291768235</v>
      </c>
      <c r="AF6" s="5">
        <f t="shared" si="2"/>
        <v>-0.15973295990123035</v>
      </c>
      <c r="AG6" s="5">
        <f t="shared" si="2"/>
        <v>-6.0890313562094407E-2</v>
      </c>
      <c r="AH6" s="5">
        <f t="shared" si="2"/>
        <v>4.2763689131185598E-2</v>
      </c>
      <c r="AI6" s="5">
        <f t="shared" si="2"/>
        <v>5.4306797783337628E-2</v>
      </c>
      <c r="AJ6" s="5">
        <f t="shared" si="2"/>
        <v>-0.17709599069528956</v>
      </c>
      <c r="AK6" s="5">
        <f t="shared" si="2"/>
        <v>-8.2869860393216199E-2</v>
      </c>
      <c r="AL6" s="5">
        <f t="shared" si="2"/>
        <v>-2.8695593951214043E-2</v>
      </c>
      <c r="AM6" s="5">
        <f t="shared" si="2"/>
        <v>9.3417833948783488E-2</v>
      </c>
      <c r="AN6" s="5">
        <f t="shared" si="2"/>
        <v>2.8302320819590499E-2</v>
      </c>
      <c r="AO6" s="5">
        <f t="shared" si="2"/>
        <v>-2.8549984268173942E-2</v>
      </c>
      <c r="AP6" s="5">
        <f t="shared" si="2"/>
        <v>-8.1461430671700266E-2</v>
      </c>
      <c r="AQ6" s="5">
        <f t="shared" si="2"/>
        <v>-0.11022736524065739</v>
      </c>
      <c r="AR6" s="5">
        <f t="shared" si="2"/>
        <v>-2.3303394363175252E-2</v>
      </c>
      <c r="AS6" s="5">
        <f t="shared" si="2"/>
        <v>-3.1718573994900454E-2</v>
      </c>
      <c r="AT6" s="5">
        <f t="shared" si="2"/>
        <v>-0.11910744832125959</v>
      </c>
      <c r="AU6" s="5">
        <f t="shared" si="2"/>
        <v>-0.16782510744562715</v>
      </c>
      <c r="AV6" s="5">
        <f t="shared" si="2"/>
        <v>-0.3514193707247748</v>
      </c>
      <c r="AW6" s="5">
        <f t="shared" si="2"/>
        <v>-8.4648429319989518E-2</v>
      </c>
      <c r="AX6" s="5">
        <f t="shared" si="2"/>
        <v>-0.263922749070234</v>
      </c>
      <c r="AY6" s="5">
        <f t="shared" si="2"/>
        <v>3.229867435459987E-2</v>
      </c>
      <c r="AZ6" s="5">
        <f t="shared" si="2"/>
        <v>-4.1343645031884153E-2</v>
      </c>
      <c r="BA6" s="5">
        <f t="shared" si="2"/>
        <v>-9.0403099359660066E-2</v>
      </c>
      <c r="BB6" s="5">
        <f t="shared" si="2"/>
        <v>-0.1496446548480565</v>
      </c>
      <c r="BC6" s="5">
        <f t="shared" si="2"/>
        <v>-0.165474886326576</v>
      </c>
      <c r="BD6" s="5">
        <f t="shared" si="2"/>
        <v>-1.3738310339723286E-2</v>
      </c>
      <c r="BE6" s="5">
        <f t="shared" si="2"/>
        <v>-7.108708963571285E-2</v>
      </c>
      <c r="BF6" s="5">
        <f t="shared" si="2"/>
        <v>-9.1895124471660969E-2</v>
      </c>
      <c r="BG6" s="5">
        <f t="shared" si="2"/>
        <v>-5.8512164984363839E-2</v>
      </c>
      <c r="BH6" s="5">
        <f t="shared" si="2"/>
        <v>7.2653619913588471E-2</v>
      </c>
      <c r="BI6" s="5">
        <f t="shared" si="2"/>
        <v>5.0261127649856255E-2</v>
      </c>
      <c r="BJ6" s="5">
        <f t="shared" si="2"/>
        <v>2.5577707341703497E-2</v>
      </c>
      <c r="BK6" s="5">
        <f t="shared" si="2"/>
        <v>7.335526947105063E-2</v>
      </c>
    </row>
    <row r="7" spans="1:63" ht="15" thickBot="1" x14ac:dyDescent="0.35">
      <c r="B7" s="54">
        <f>SUM(B9:B222)</f>
        <v>1.0000000000000004</v>
      </c>
      <c r="E7" s="54">
        <f>SUM(E9:E222)</f>
        <v>0.99800000000000066</v>
      </c>
      <c r="F7" s="5">
        <f>SUMPRODUCT($L$9:$L$226,F9:F226)</f>
        <v>0.45146299999999978</v>
      </c>
      <c r="G7" s="5">
        <f>SUMPRODUCT($L$9:$L$226,G9:G226)</f>
        <v>0.65886500000000014</v>
      </c>
      <c r="K7" s="54">
        <f>SUM(K9:K222)</f>
        <v>0.99900000000000055</v>
      </c>
      <c r="M7" s="5"/>
      <c r="N7" s="54">
        <f>SUM(N9:N222)</f>
        <v>1</v>
      </c>
      <c r="O7" s="5"/>
      <c r="P7" s="54">
        <f>SUM(P9:P222)</f>
        <v>0.99999999999999978</v>
      </c>
      <c r="Q7" s="32" t="s">
        <v>321</v>
      </c>
      <c r="R7" s="5">
        <f t="shared" ref="R7:BK7" si="3">SUMPRODUCT($L$9:$L$226,R9:R226)</f>
        <v>0.29938700000000001</v>
      </c>
      <c r="S7" s="5">
        <f t="shared" si="3"/>
        <v>0.33704700000000004</v>
      </c>
      <c r="T7" s="5">
        <f t="shared" si="3"/>
        <v>0.27086699999999991</v>
      </c>
      <c r="U7" s="5">
        <f t="shared" si="3"/>
        <v>0.29113600000000001</v>
      </c>
      <c r="V7" s="5">
        <f t="shared" si="3"/>
        <v>0.34220700000000004</v>
      </c>
      <c r="W7" s="5">
        <f t="shared" si="3"/>
        <v>0.33503799999999995</v>
      </c>
      <c r="X7" s="5">
        <f t="shared" si="3"/>
        <v>0.3159070000000001</v>
      </c>
      <c r="Y7" s="5">
        <f t="shared" si="3"/>
        <v>0.33391899999999991</v>
      </c>
      <c r="Z7" s="5">
        <f t="shared" si="3"/>
        <v>0.15200900000000006</v>
      </c>
      <c r="AA7" s="5">
        <f t="shared" si="3"/>
        <v>0.15239700000000017</v>
      </c>
      <c r="AB7" s="5">
        <f t="shared" si="3"/>
        <v>7.9281999999999922E-2</v>
      </c>
      <c r="AC7" s="6">
        <f t="shared" si="3"/>
        <v>8.0967000000000025E-2</v>
      </c>
      <c r="AD7" s="13">
        <f t="shared" si="3"/>
        <v>0.14922499999999994</v>
      </c>
      <c r="AE7" s="12">
        <f t="shared" si="3"/>
        <v>0.22658900000000004</v>
      </c>
      <c r="AF7" s="13">
        <f t="shared" si="3"/>
        <v>8.7454000000000004E-2</v>
      </c>
      <c r="AG7" s="13">
        <f t="shared" si="3"/>
        <v>0.20119099999999995</v>
      </c>
      <c r="AH7" s="13">
        <f t="shared" si="3"/>
        <v>0.15767</v>
      </c>
      <c r="AI7" s="13">
        <f t="shared" si="3"/>
        <v>0.2763759999999999</v>
      </c>
      <c r="AJ7" s="7">
        <f t="shared" si="3"/>
        <v>0.176538</v>
      </c>
      <c r="AK7" s="6">
        <f t="shared" si="3"/>
        <v>3.496999999999998E-2</v>
      </c>
      <c r="AL7" s="5">
        <f t="shared" si="3"/>
        <v>0.18851800000000002</v>
      </c>
      <c r="AM7" s="5">
        <f t="shared" si="3"/>
        <v>3.4813000000000024E-2</v>
      </c>
      <c r="AN7" s="5">
        <f t="shared" si="3"/>
        <v>3.2310000000000034E-3</v>
      </c>
      <c r="AO7" s="5">
        <f t="shared" si="3"/>
        <v>5.8742999999999983E-2</v>
      </c>
      <c r="AP7" s="5">
        <f t="shared" si="3"/>
        <v>5.4614000000000017E-2</v>
      </c>
      <c r="AQ7" s="5">
        <f t="shared" si="3"/>
        <v>1.6673000000000035E-2</v>
      </c>
      <c r="AR7" s="5">
        <f t="shared" si="3"/>
        <v>9.4554999999999959E-2</v>
      </c>
      <c r="AS7" s="5">
        <f t="shared" si="3"/>
        <v>8.7045999999999984E-2</v>
      </c>
      <c r="AT7" s="5">
        <f t="shared" si="3"/>
        <v>1.8969999999999983E-2</v>
      </c>
      <c r="AU7" s="5">
        <f t="shared" si="3"/>
        <v>4.0421999999999993E-2</v>
      </c>
      <c r="AV7" s="5">
        <f t="shared" si="3"/>
        <v>0.14614300000000002</v>
      </c>
      <c r="AW7" s="5">
        <f t="shared" si="3"/>
        <v>9.9193999999999963E-2</v>
      </c>
      <c r="AX7" s="5">
        <f t="shared" si="3"/>
        <v>5.2688000000000006E-2</v>
      </c>
      <c r="AY7" s="5">
        <f t="shared" si="3"/>
        <v>3.5837000000000098E-2</v>
      </c>
      <c r="AZ7" s="5">
        <f t="shared" si="3"/>
        <v>0.18756000000000003</v>
      </c>
      <c r="BA7" s="5">
        <f t="shared" si="3"/>
        <v>-4.3899999999999995E-2</v>
      </c>
      <c r="BB7" s="5">
        <f t="shared" si="3"/>
        <v>-1.6642999999999984E-2</v>
      </c>
      <c r="BC7" s="5">
        <f t="shared" si="3"/>
        <v>1.7771999999999979E-2</v>
      </c>
      <c r="BD7" s="5">
        <f t="shared" si="3"/>
        <v>5.1902999999999998E-2</v>
      </c>
      <c r="BE7" s="5">
        <f t="shared" si="3"/>
        <v>1.1047999999999995E-2</v>
      </c>
      <c r="BF7" s="5">
        <f t="shared" si="3"/>
        <v>4.3873000000000009E-2</v>
      </c>
      <c r="BG7" s="5">
        <f t="shared" si="3"/>
        <v>0.12030700000000012</v>
      </c>
      <c r="BH7" s="5">
        <f t="shared" si="3"/>
        <v>-4.9015999999999935E-2</v>
      </c>
      <c r="BI7" s="5">
        <f t="shared" si="3"/>
        <v>-4.0927000000000005E-2</v>
      </c>
      <c r="BJ7" s="5">
        <f t="shared" si="3"/>
        <v>0.13835799999999998</v>
      </c>
      <c r="BK7" s="5">
        <f t="shared" si="3"/>
        <v>0.18322000000000002</v>
      </c>
    </row>
    <row r="8" spans="1:63" x14ac:dyDescent="0.3">
      <c r="A8" s="1" t="s">
        <v>0</v>
      </c>
      <c r="B8" s="55" t="s">
        <v>327</v>
      </c>
      <c r="C8" s="56" t="s">
        <v>757</v>
      </c>
      <c r="D8" s="56" t="s">
        <v>332</v>
      </c>
      <c r="E8" s="57" t="s">
        <v>323</v>
      </c>
      <c r="F8" s="1" t="s">
        <v>1</v>
      </c>
      <c r="G8" s="1" t="s">
        <v>2</v>
      </c>
      <c r="H8" s="1" t="s">
        <v>3</v>
      </c>
      <c r="I8" s="22" t="s">
        <v>305</v>
      </c>
      <c r="J8" s="22" t="s">
        <v>307</v>
      </c>
      <c r="K8" s="30" t="s">
        <v>537</v>
      </c>
      <c r="L8" s="1" t="s">
        <v>5</v>
      </c>
      <c r="M8" s="3" t="s">
        <v>274</v>
      </c>
      <c r="N8" s="45" t="s">
        <v>316</v>
      </c>
      <c r="O8" s="46" t="s">
        <v>320</v>
      </c>
      <c r="P8" s="45" t="s">
        <v>317</v>
      </c>
      <c r="Q8" s="46" t="s">
        <v>319</v>
      </c>
      <c r="R8" s="3" t="s">
        <v>6</v>
      </c>
      <c r="S8" s="3" t="s">
        <v>7</v>
      </c>
      <c r="T8" s="3" t="s">
        <v>8</v>
      </c>
      <c r="U8" s="3" t="s">
        <v>9</v>
      </c>
      <c r="V8" s="3" t="s">
        <v>10</v>
      </c>
      <c r="W8" s="3" t="s">
        <v>11</v>
      </c>
      <c r="X8" s="3" t="s">
        <v>12</v>
      </c>
      <c r="Y8" s="3" t="s">
        <v>13</v>
      </c>
      <c r="Z8" s="3" t="s">
        <v>14</v>
      </c>
      <c r="AA8" s="3" t="s">
        <v>15</v>
      </c>
      <c r="AB8" s="3" t="s">
        <v>16</v>
      </c>
      <c r="AC8" s="3" t="s">
        <v>17</v>
      </c>
      <c r="AD8" s="15" t="s">
        <v>18</v>
      </c>
      <c r="AE8" s="14" t="s">
        <v>19</v>
      </c>
      <c r="AF8" s="15" t="s">
        <v>20</v>
      </c>
      <c r="AG8" s="15" t="s">
        <v>21</v>
      </c>
      <c r="AH8" s="15" t="s">
        <v>22</v>
      </c>
      <c r="AI8" s="15" t="s">
        <v>23</v>
      </c>
      <c r="AJ8" s="8" t="s">
        <v>24</v>
      </c>
      <c r="AK8" s="3" t="s">
        <v>25</v>
      </c>
      <c r="AL8" s="3" t="s">
        <v>26</v>
      </c>
      <c r="AM8" s="3" t="s">
        <v>27</v>
      </c>
      <c r="AN8" s="3" t="s">
        <v>28</v>
      </c>
      <c r="AO8" s="3" t="s">
        <v>29</v>
      </c>
      <c r="AP8" s="3" t="s">
        <v>30</v>
      </c>
      <c r="AQ8" s="3" t="s">
        <v>31</v>
      </c>
      <c r="AR8" s="3" t="s">
        <v>32</v>
      </c>
      <c r="AS8" s="3" t="s">
        <v>33</v>
      </c>
      <c r="AT8" s="3" t="s">
        <v>34</v>
      </c>
      <c r="AU8" s="3" t="s">
        <v>35</v>
      </c>
      <c r="AV8" s="3" t="s">
        <v>36</v>
      </c>
      <c r="AW8" s="3" t="s">
        <v>37</v>
      </c>
      <c r="AX8" s="3" t="s">
        <v>38</v>
      </c>
      <c r="AY8" s="3" t="s">
        <v>39</v>
      </c>
      <c r="AZ8" s="3" t="s">
        <v>40</v>
      </c>
      <c r="BA8" s="3" t="s">
        <v>41</v>
      </c>
      <c r="BB8" s="3" t="s">
        <v>42</v>
      </c>
      <c r="BC8" s="3" t="s">
        <v>43</v>
      </c>
      <c r="BD8" s="3" t="s">
        <v>44</v>
      </c>
      <c r="BE8" s="3" t="s">
        <v>45</v>
      </c>
      <c r="BF8" s="3" t="s">
        <v>46</v>
      </c>
      <c r="BG8" s="3" t="s">
        <v>47</v>
      </c>
      <c r="BH8" s="3" t="s">
        <v>48</v>
      </c>
      <c r="BI8" s="3" t="s">
        <v>49</v>
      </c>
      <c r="BJ8" s="3" t="s">
        <v>50</v>
      </c>
      <c r="BK8" t="s">
        <v>51</v>
      </c>
    </row>
    <row r="9" spans="1:63" x14ac:dyDescent="0.3">
      <c r="A9" t="s">
        <v>60</v>
      </c>
      <c r="B9" s="53">
        <f>K9</f>
        <v>1.6E-2</v>
      </c>
      <c r="C9" s="53">
        <f>B9-E9</f>
        <v>1.4999999999999999E-2</v>
      </c>
      <c r="D9" s="53">
        <f>B9-K9</f>
        <v>0</v>
      </c>
      <c r="E9" s="53">
        <v>1E-3</v>
      </c>
      <c r="F9" s="15">
        <v>3.2610000000000001</v>
      </c>
      <c r="G9">
        <v>2.5489999999999999</v>
      </c>
      <c r="H9" t="s">
        <v>57</v>
      </c>
      <c r="I9" t="str">
        <f>VLOOKUP(A9,Planilha6!$BL$9:$BN$222,2,0)</f>
        <v>apparel</v>
      </c>
      <c r="J9" t="str">
        <f>VLOOKUP(A9,Planilha6!$BL$9:$BN$222,3,0)</f>
        <v>very_high_beta</v>
      </c>
      <c r="K9" s="2">
        <v>1.6E-2</v>
      </c>
      <c r="L9" s="2">
        <v>1.4999999999999999E-2</v>
      </c>
      <c r="M9" s="29">
        <v>1E-3</v>
      </c>
      <c r="N9" s="47">
        <f>VLOOKUP(A9,'Mandato ISEE'!$A$1:$C$215,2,0)</f>
        <v>3.5511086177026703E-2</v>
      </c>
      <c r="O9" s="48">
        <f>K9-N9</f>
        <v>-1.9511086177026703E-2</v>
      </c>
      <c r="P9" s="47">
        <f>VLOOKUP(A9,'Mandato ISEE'!$A$1:$C$215,3,0)</f>
        <v>1.7021819953860401E-2</v>
      </c>
      <c r="Q9" s="48">
        <f>K9-P9</f>
        <v>-1.0218199538604006E-3</v>
      </c>
      <c r="R9" s="15">
        <v>1</v>
      </c>
      <c r="S9" s="15">
        <v>1</v>
      </c>
      <c r="T9" s="15">
        <v>1</v>
      </c>
      <c r="U9" s="15">
        <v>1</v>
      </c>
      <c r="V9" s="15">
        <v>1</v>
      </c>
      <c r="W9" s="15">
        <v>0.97499999999999998</v>
      </c>
      <c r="X9" s="15">
        <v>0.68799999999999994</v>
      </c>
      <c r="Y9" s="15">
        <v>0.58599999999999997</v>
      </c>
      <c r="Z9" s="15">
        <v>0.95499999999999996</v>
      </c>
      <c r="AA9" s="15">
        <v>0.95899999999999996</v>
      </c>
      <c r="AB9" s="15">
        <v>0.80400000000000005</v>
      </c>
      <c r="AC9" s="15">
        <v>0.85499999999999998</v>
      </c>
      <c r="AD9" s="15">
        <v>0.96799999999999997</v>
      </c>
      <c r="AE9" s="14">
        <v>1</v>
      </c>
      <c r="AF9" s="15">
        <v>1</v>
      </c>
      <c r="AG9" s="15">
        <v>0.65200000000000002</v>
      </c>
      <c r="AH9" s="15">
        <v>0.03</v>
      </c>
      <c r="AI9" s="15">
        <v>0.26500000000000001</v>
      </c>
      <c r="AJ9" s="9">
        <v>0.68100000000000005</v>
      </c>
      <c r="AK9" s="4">
        <v>0.45900000000000002</v>
      </c>
      <c r="AL9" s="4">
        <v>0.10100000000000001</v>
      </c>
      <c r="AM9" s="4">
        <v>-0.14799999999999999</v>
      </c>
      <c r="AN9" s="4">
        <v>0.505</v>
      </c>
      <c r="AO9" s="4">
        <v>0.28199999999999997</v>
      </c>
      <c r="AP9" s="4">
        <v>0.441</v>
      </c>
      <c r="AQ9" s="4">
        <v>0.61199999999999999</v>
      </c>
      <c r="AR9" s="4">
        <v>0.999</v>
      </c>
      <c r="AS9" s="4">
        <v>0.66200000000000003</v>
      </c>
      <c r="AT9" s="4">
        <v>0.65700000000000003</v>
      </c>
      <c r="AU9" s="4">
        <v>0.11799999999999999</v>
      </c>
      <c r="AV9" s="4">
        <v>0.78200000000000003</v>
      </c>
      <c r="AW9" s="4">
        <v>-0.56699999999999995</v>
      </c>
      <c r="AX9" s="4">
        <v>0.214</v>
      </c>
      <c r="AY9" s="4">
        <v>0.626</v>
      </c>
      <c r="AZ9" s="4">
        <v>0.55300000000000005</v>
      </c>
      <c r="BA9" s="4">
        <v>-0.497</v>
      </c>
      <c r="BB9" s="4">
        <v>0.17899999999999999</v>
      </c>
      <c r="BC9" s="4">
        <v>5.7000000000000002E-2</v>
      </c>
      <c r="BD9" s="4">
        <v>0.60899999999999999</v>
      </c>
      <c r="BE9" s="4">
        <v>-0.77300000000000002</v>
      </c>
      <c r="BF9" s="4">
        <v>-0.53700000000000003</v>
      </c>
      <c r="BG9" s="4">
        <v>0.24199999999999999</v>
      </c>
      <c r="BH9" s="4">
        <v>-0.52300000000000002</v>
      </c>
      <c r="BI9" s="4">
        <v>0.42799999999999999</v>
      </c>
      <c r="BJ9" s="4">
        <v>0.23499999999999999</v>
      </c>
      <c r="BK9" s="4">
        <v>0.13100000000000001</v>
      </c>
    </row>
    <row r="10" spans="1:63" x14ac:dyDescent="0.3">
      <c r="A10" t="s">
        <v>91</v>
      </c>
      <c r="B10" s="53">
        <v>0.01</v>
      </c>
      <c r="C10" s="53">
        <f t="shared" ref="C10:C73" si="4">B10-E10</f>
        <v>0.01</v>
      </c>
      <c r="D10" s="53">
        <f t="shared" ref="D10:D73" si="5">B10-K10</f>
        <v>0.01</v>
      </c>
      <c r="E10" s="53">
        <v>0</v>
      </c>
      <c r="F10" s="15">
        <v>3.2610000000000001</v>
      </c>
      <c r="G10">
        <v>3.1240000000000001</v>
      </c>
      <c r="H10" t="s">
        <v>57</v>
      </c>
      <c r="I10" t="str">
        <f>VLOOKUP(A10,Planilha6!$BL$9:$BN$222,2,0)</f>
        <v>homebuilders</v>
      </c>
      <c r="J10" t="str">
        <f>VLOOKUP(A10,Planilha6!$BL$9:$BN$222,3,0)</f>
        <v>very_high_beta</v>
      </c>
      <c r="K10" s="2">
        <v>0</v>
      </c>
      <c r="L10" s="2">
        <v>0</v>
      </c>
      <c r="M10" s="29">
        <v>0</v>
      </c>
      <c r="N10" s="47">
        <f>VLOOKUP(A10,'Mandato ISEE'!$A$1:$C$215,2,0)</f>
        <v>0</v>
      </c>
      <c r="O10" s="48">
        <f t="shared" ref="O10:O73" si="6">K10-N10</f>
        <v>0</v>
      </c>
      <c r="P10" s="47">
        <f>VLOOKUP(A10,'Mandato ISEE'!$A$1:$C$215,3,0)</f>
        <v>0</v>
      </c>
      <c r="Q10" s="48">
        <f t="shared" ref="Q10:Q73" si="7">K10-P10</f>
        <v>0</v>
      </c>
      <c r="R10" s="15">
        <v>1</v>
      </c>
      <c r="S10" s="15">
        <v>1</v>
      </c>
      <c r="T10" s="15">
        <v>0.90700000000000003</v>
      </c>
      <c r="U10" s="15">
        <v>1</v>
      </c>
      <c r="V10" s="15">
        <v>1</v>
      </c>
      <c r="W10" s="15">
        <v>1</v>
      </c>
      <c r="X10" s="15">
        <v>1</v>
      </c>
      <c r="Y10" s="15">
        <v>0.98899999999999999</v>
      </c>
      <c r="Z10" s="15">
        <v>0.91900000000000004</v>
      </c>
      <c r="AA10" s="15">
        <v>0.92200000000000004</v>
      </c>
      <c r="AB10" s="15">
        <v>0.90800000000000003</v>
      </c>
      <c r="AC10" s="15">
        <v>0.95199999999999996</v>
      </c>
      <c r="AD10" s="15">
        <v>1</v>
      </c>
      <c r="AE10" s="14">
        <v>1</v>
      </c>
      <c r="AF10" s="15">
        <v>1</v>
      </c>
      <c r="AG10" s="15">
        <v>1</v>
      </c>
      <c r="AH10" s="15">
        <v>-0.45</v>
      </c>
      <c r="AI10" s="15">
        <v>0.31</v>
      </c>
      <c r="AJ10" s="9">
        <v>0.34</v>
      </c>
      <c r="AK10" s="4">
        <v>0.28699999999999998</v>
      </c>
      <c r="AL10" s="4">
        <v>-0.104</v>
      </c>
      <c r="AM10" s="4">
        <v>-0.45500000000000002</v>
      </c>
      <c r="AN10" s="4">
        <v>0.13600000000000001</v>
      </c>
      <c r="AO10" s="4">
        <v>0.8</v>
      </c>
      <c r="AP10" s="4">
        <v>0.76900000000000002</v>
      </c>
      <c r="AQ10" s="4">
        <v>0.61499999999999999</v>
      </c>
      <c r="AR10" s="4">
        <v>0.41399999999999998</v>
      </c>
      <c r="AS10" s="4">
        <v>0.97599999999999998</v>
      </c>
      <c r="AT10" s="4">
        <v>0.52500000000000002</v>
      </c>
      <c r="AU10" s="4">
        <v>0.91300000000000003</v>
      </c>
      <c r="AV10" s="4">
        <v>0.997</v>
      </c>
      <c r="AW10" s="4">
        <v>-2.9000000000000001E-2</v>
      </c>
      <c r="AX10" s="4">
        <v>0.216</v>
      </c>
      <c r="AY10" s="4">
        <v>0.188</v>
      </c>
      <c r="AZ10" s="4">
        <v>0.76300000000000001</v>
      </c>
      <c r="BA10" s="4">
        <v>0.14899999999999999</v>
      </c>
      <c r="BB10" s="4">
        <v>-0.1</v>
      </c>
      <c r="BC10" s="4">
        <v>0.57299999999999995</v>
      </c>
      <c r="BD10" s="4">
        <v>0.30599999999999999</v>
      </c>
      <c r="BE10" s="4">
        <v>-1</v>
      </c>
      <c r="BF10" s="4">
        <v>0.248</v>
      </c>
      <c r="BG10" s="4">
        <v>-0.13200000000000001</v>
      </c>
      <c r="BH10" s="4">
        <v>-0.67200000000000004</v>
      </c>
      <c r="BI10" s="4">
        <v>0.63100000000000001</v>
      </c>
      <c r="BJ10" s="4">
        <v>2.5000000000000001E-2</v>
      </c>
      <c r="BK10" s="4">
        <v>-0.26800000000000002</v>
      </c>
    </row>
    <row r="11" spans="1:63" x14ac:dyDescent="0.3">
      <c r="A11" t="s">
        <v>52</v>
      </c>
      <c r="B11" s="53">
        <f t="shared" ref="B11:B73" si="8">K11</f>
        <v>0</v>
      </c>
      <c r="C11" s="53">
        <f t="shared" si="4"/>
        <v>0</v>
      </c>
      <c r="D11" s="53">
        <f t="shared" si="5"/>
        <v>0</v>
      </c>
      <c r="E11" s="53">
        <v>0</v>
      </c>
      <c r="F11" s="15">
        <v>3.2610000000000001</v>
      </c>
      <c r="G11">
        <v>3.4009999999999998</v>
      </c>
      <c r="H11" t="s">
        <v>53</v>
      </c>
      <c r="I11" t="str">
        <f>VLOOKUP(A11,Planilha6!$BL$9:$BN$222,2,0)</f>
        <v>financial_services</v>
      </c>
      <c r="J11" t="str">
        <f>VLOOKUP(A11,Planilha6!$BL$9:$BN$222,3,0)</f>
        <v>low_beta</v>
      </c>
      <c r="K11" s="2">
        <v>0</v>
      </c>
      <c r="L11" s="2">
        <v>0</v>
      </c>
      <c r="M11" s="29">
        <v>0</v>
      </c>
      <c r="N11" s="47">
        <f>VLOOKUP(A11,'Mandato ISEE'!$A$1:$C$215,2,0)</f>
        <v>0</v>
      </c>
      <c r="O11" s="48">
        <f t="shared" si="6"/>
        <v>0</v>
      </c>
      <c r="P11" s="47">
        <f>VLOOKUP(A11,'Mandato ISEE'!$A$1:$C$215,3,0)</f>
        <v>0</v>
      </c>
      <c r="Q11" s="48">
        <f t="shared" si="7"/>
        <v>0</v>
      </c>
      <c r="R11" s="15">
        <v>1</v>
      </c>
      <c r="S11" s="15">
        <v>1</v>
      </c>
      <c r="T11" s="15">
        <v>1</v>
      </c>
      <c r="U11" s="15">
        <v>1</v>
      </c>
      <c r="V11" s="15">
        <v>1</v>
      </c>
      <c r="W11" s="15">
        <v>1</v>
      </c>
      <c r="X11" s="15">
        <v>1</v>
      </c>
      <c r="Y11" s="15">
        <v>0.90300000000000002</v>
      </c>
      <c r="Z11" s="15">
        <v>0.81699999999999995</v>
      </c>
      <c r="AA11" s="15">
        <v>0.82599999999999996</v>
      </c>
      <c r="AB11" s="15">
        <v>1</v>
      </c>
      <c r="AC11" s="15">
        <v>1</v>
      </c>
      <c r="AD11" s="15">
        <v>1</v>
      </c>
      <c r="AE11" s="14">
        <v>1</v>
      </c>
      <c r="AF11" s="15">
        <v>0.24099999999999999</v>
      </c>
      <c r="AG11" s="15">
        <v>0.49</v>
      </c>
      <c r="AH11" s="15">
        <v>0.44700000000000001</v>
      </c>
      <c r="AI11" s="15">
        <v>0.84099999999999997</v>
      </c>
      <c r="AJ11" s="9">
        <v>1</v>
      </c>
      <c r="AK11" s="4">
        <v>0.47699999999999998</v>
      </c>
      <c r="AL11" s="4">
        <v>-0.27100000000000002</v>
      </c>
      <c r="AM11" s="4">
        <v>-0.23599999999999999</v>
      </c>
      <c r="AN11" s="4">
        <v>-5.6000000000000001E-2</v>
      </c>
      <c r="AO11" s="4">
        <v>0.114</v>
      </c>
      <c r="AP11" s="4">
        <v>1.4999999999999999E-2</v>
      </c>
      <c r="AQ11" s="4">
        <v>0.30399999999999999</v>
      </c>
      <c r="AR11" s="4">
        <v>0.17299999999999999</v>
      </c>
      <c r="AS11" s="4">
        <v>0.23300000000000001</v>
      </c>
      <c r="AT11" s="4">
        <v>0.84699999999999998</v>
      </c>
      <c r="AU11" s="4">
        <v>0.51700000000000002</v>
      </c>
      <c r="AV11" s="4">
        <v>0.75900000000000001</v>
      </c>
      <c r="AW11" s="4">
        <v>0.41799999999999998</v>
      </c>
      <c r="AX11" s="4">
        <v>-6.6000000000000003E-2</v>
      </c>
      <c r="AY11" s="4">
        <v>0.63600000000000001</v>
      </c>
      <c r="AZ11" s="4">
        <v>1</v>
      </c>
      <c r="BA11" s="4">
        <v>0.85099999999999998</v>
      </c>
      <c r="BB11" s="4">
        <v>-0.17699999999999999</v>
      </c>
      <c r="BC11" s="4">
        <v>6.0000000000000001E-3</v>
      </c>
      <c r="BD11" s="4">
        <v>0.39300000000000002</v>
      </c>
      <c r="BE11" s="4">
        <v>0.13400000000000001</v>
      </c>
      <c r="BF11" s="4">
        <v>0.78300000000000003</v>
      </c>
      <c r="BG11" s="4">
        <v>0.80900000000000005</v>
      </c>
      <c r="BH11" s="4">
        <v>-0.46899999999999997</v>
      </c>
      <c r="BI11" s="4">
        <v>-0.20200000000000001</v>
      </c>
      <c r="BJ11" s="4">
        <v>0.61499999999999999</v>
      </c>
      <c r="BK11" s="4">
        <v>0.79800000000000004</v>
      </c>
    </row>
    <row r="12" spans="1:63" x14ac:dyDescent="0.3">
      <c r="A12" t="s">
        <v>69</v>
      </c>
      <c r="B12" s="53">
        <f t="shared" si="8"/>
        <v>0</v>
      </c>
      <c r="C12" s="53">
        <f t="shared" si="4"/>
        <v>0</v>
      </c>
      <c r="D12" s="53">
        <f t="shared" si="5"/>
        <v>0</v>
      </c>
      <c r="E12" s="53">
        <v>0</v>
      </c>
      <c r="F12" s="15">
        <v>3.2610000000000001</v>
      </c>
      <c r="G12">
        <v>3.2930000000000001</v>
      </c>
      <c r="H12" t="s">
        <v>57</v>
      </c>
      <c r="I12" t="str">
        <f>VLOOKUP(A12,Planilha6!$BL$9:$BN$222,2,0)</f>
        <v>banks</v>
      </c>
      <c r="J12" t="str">
        <f>VLOOKUP(A12,Planilha6!$BL$9:$BN$222,3,0)</f>
        <v>high_beta</v>
      </c>
      <c r="K12" s="2">
        <v>0</v>
      </c>
      <c r="L12" s="2">
        <v>0</v>
      </c>
      <c r="M12" s="29">
        <v>0</v>
      </c>
      <c r="N12" s="47">
        <f>VLOOKUP(A12,'Mandato ISEE'!$A$1:$C$215,2,0)</f>
        <v>0</v>
      </c>
      <c r="O12" s="48">
        <f t="shared" si="6"/>
        <v>0</v>
      </c>
      <c r="P12" s="47">
        <f>VLOOKUP(A12,'Mandato ISEE'!$A$1:$C$215,3,0)</f>
        <v>0</v>
      </c>
      <c r="Q12" s="48">
        <f t="shared" si="7"/>
        <v>0</v>
      </c>
      <c r="R12" s="15">
        <v>0.91600000000000004</v>
      </c>
      <c r="S12" s="15">
        <v>0.88200000000000001</v>
      </c>
      <c r="T12" s="15">
        <v>0.78900000000000003</v>
      </c>
      <c r="U12" s="15">
        <v>0.877</v>
      </c>
      <c r="V12" s="15">
        <v>0.97499999999999998</v>
      </c>
      <c r="W12" s="15">
        <v>0.70099999999999996</v>
      </c>
      <c r="X12" s="15">
        <v>0.54200000000000004</v>
      </c>
      <c r="Y12" s="15">
        <v>0.73199999999999998</v>
      </c>
      <c r="Z12" s="15">
        <v>1</v>
      </c>
      <c r="AA12" s="15">
        <v>1</v>
      </c>
      <c r="AB12" s="15">
        <v>1</v>
      </c>
      <c r="AC12" s="15">
        <v>0.97299999999999998</v>
      </c>
      <c r="AD12" s="15">
        <v>1</v>
      </c>
      <c r="AE12" s="14">
        <v>5.2999999999999999E-2</v>
      </c>
      <c r="AF12" s="15">
        <v>1</v>
      </c>
      <c r="AG12" s="15">
        <v>1</v>
      </c>
      <c r="AH12" s="15">
        <v>6.0999999999999999E-2</v>
      </c>
      <c r="AI12" s="15">
        <v>0.60899999999999999</v>
      </c>
      <c r="AJ12" s="9">
        <v>0.34499999999999997</v>
      </c>
      <c r="AK12" s="4">
        <v>7.5999999999999998E-2</v>
      </c>
      <c r="AL12" s="4">
        <v>0.43</v>
      </c>
      <c r="AM12" s="4">
        <v>0.45300000000000001</v>
      </c>
      <c r="AN12" s="4">
        <v>5.7000000000000002E-2</v>
      </c>
      <c r="AO12" s="4">
        <v>0.65200000000000002</v>
      </c>
      <c r="AP12" s="4">
        <v>0.106</v>
      </c>
      <c r="AQ12" s="4">
        <v>0.54400000000000004</v>
      </c>
      <c r="AR12" s="4">
        <v>1</v>
      </c>
      <c r="AS12" s="4">
        <v>-3.1E-2</v>
      </c>
      <c r="AT12" s="4">
        <v>5.6000000000000001E-2</v>
      </c>
      <c r="AU12" s="4">
        <v>-0.20399999999999999</v>
      </c>
      <c r="AV12" s="4">
        <v>-0.217</v>
      </c>
      <c r="AW12" s="4">
        <v>0.52500000000000002</v>
      </c>
      <c r="AX12" s="4">
        <v>-0.14000000000000001</v>
      </c>
      <c r="AY12" s="4">
        <v>0.81200000000000006</v>
      </c>
      <c r="AZ12" s="4">
        <v>0.15</v>
      </c>
      <c r="BA12" s="4">
        <v>-0.23799999999999999</v>
      </c>
      <c r="BB12" s="4">
        <v>6.4000000000000001E-2</v>
      </c>
      <c r="BC12" s="4">
        <v>1E-3</v>
      </c>
      <c r="BD12" s="4">
        <v>0.64700000000000002</v>
      </c>
      <c r="BE12" s="4">
        <v>-0.45700000000000002</v>
      </c>
      <c r="BF12" s="4">
        <v>-0.309</v>
      </c>
      <c r="BG12" s="4">
        <v>0.33700000000000002</v>
      </c>
      <c r="BH12" s="4">
        <v>-0.754</v>
      </c>
      <c r="BI12" s="4">
        <v>7.0000000000000007E-2</v>
      </c>
      <c r="BJ12" s="4">
        <v>0.65400000000000003</v>
      </c>
      <c r="BK12" s="4">
        <v>0.64200000000000002</v>
      </c>
    </row>
    <row r="13" spans="1:63" x14ac:dyDescent="0.3">
      <c r="A13" t="s">
        <v>59</v>
      </c>
      <c r="B13" s="53">
        <f t="shared" si="8"/>
        <v>0</v>
      </c>
      <c r="C13" s="53">
        <f t="shared" si="4"/>
        <v>0</v>
      </c>
      <c r="D13" s="53">
        <f t="shared" si="5"/>
        <v>0</v>
      </c>
      <c r="E13" s="53">
        <v>0</v>
      </c>
      <c r="F13" s="15">
        <v>3.2610000000000001</v>
      </c>
      <c r="G13">
        <v>2.5209999999999999</v>
      </c>
      <c r="H13" t="s">
        <v>57</v>
      </c>
      <c r="I13" t="str">
        <f>VLOOKUP(A13,Planilha6!$BL$9:$BN$222,2,0)</f>
        <v>consumer_durables</v>
      </c>
      <c r="J13" t="str">
        <f>VLOOKUP(A13,Planilha6!$BL$9:$BN$222,3,0)</f>
        <v>very_low_beta</v>
      </c>
      <c r="K13" s="2">
        <v>0</v>
      </c>
      <c r="L13" s="2">
        <v>0</v>
      </c>
      <c r="M13" s="29">
        <v>0</v>
      </c>
      <c r="N13" s="47">
        <f>VLOOKUP(A13,'Mandato ISEE'!$A$1:$C$215,2,0)</f>
        <v>0</v>
      </c>
      <c r="O13" s="48">
        <f t="shared" si="6"/>
        <v>0</v>
      </c>
      <c r="P13" s="47">
        <f>VLOOKUP(A13,'Mandato ISEE'!$A$1:$C$215,3,0)</f>
        <v>0</v>
      </c>
      <c r="Q13" s="48">
        <f t="shared" si="7"/>
        <v>0</v>
      </c>
      <c r="R13" s="15">
        <v>1</v>
      </c>
      <c r="S13" s="15">
        <v>0.90600000000000003</v>
      </c>
      <c r="T13" s="15">
        <v>1</v>
      </c>
      <c r="U13" s="15">
        <v>1</v>
      </c>
      <c r="V13" s="15">
        <v>1</v>
      </c>
      <c r="W13" s="15">
        <v>1</v>
      </c>
      <c r="X13" s="15">
        <v>1</v>
      </c>
      <c r="Y13" s="15">
        <v>1</v>
      </c>
      <c r="Z13" s="15">
        <v>1</v>
      </c>
      <c r="AA13" s="15">
        <v>1</v>
      </c>
      <c r="AB13" s="15">
        <v>0.84699999999999998</v>
      </c>
      <c r="AC13" s="15">
        <v>0.80900000000000005</v>
      </c>
      <c r="AD13" s="15">
        <v>0.96599999999999997</v>
      </c>
      <c r="AE13" s="14">
        <v>1</v>
      </c>
      <c r="AF13" s="15">
        <v>1</v>
      </c>
      <c r="AG13" s="15">
        <v>0.17399999999999999</v>
      </c>
      <c r="AH13" s="15">
        <v>1</v>
      </c>
      <c r="AI13" s="15">
        <v>-3.5999999999999997E-2</v>
      </c>
      <c r="AJ13" s="9">
        <v>1</v>
      </c>
      <c r="AK13" s="4">
        <v>0.89300000000000002</v>
      </c>
      <c r="AL13" s="4">
        <v>1</v>
      </c>
      <c r="AM13" s="4">
        <v>0.503</v>
      </c>
      <c r="AN13" s="4">
        <v>0.72199999999999998</v>
      </c>
      <c r="AO13" s="4">
        <v>-0.35399999999999998</v>
      </c>
      <c r="AP13" s="4">
        <v>-0.49299999999999999</v>
      </c>
      <c r="AQ13" s="4">
        <v>0.36899999999999999</v>
      </c>
      <c r="AR13" s="4">
        <v>-0.124</v>
      </c>
      <c r="AS13" s="4">
        <v>-6.0000000000000001E-3</v>
      </c>
      <c r="AT13" s="4">
        <v>0.80800000000000005</v>
      </c>
      <c r="AU13" s="4">
        <v>-0.377</v>
      </c>
      <c r="AV13" s="4">
        <v>0.63700000000000001</v>
      </c>
      <c r="AW13" s="4">
        <v>0.36099999999999999</v>
      </c>
      <c r="AX13" s="4">
        <v>9.7000000000000003E-2</v>
      </c>
      <c r="AY13" s="4">
        <v>0.67400000000000004</v>
      </c>
      <c r="AZ13" s="4">
        <v>0.223</v>
      </c>
      <c r="BA13" s="4">
        <v>0.65500000000000003</v>
      </c>
      <c r="BB13" s="4">
        <v>0.318</v>
      </c>
      <c r="BC13" s="4">
        <v>0.317</v>
      </c>
      <c r="BD13" s="4">
        <v>0.50900000000000001</v>
      </c>
      <c r="BE13" s="4">
        <v>0.86399999999999999</v>
      </c>
      <c r="BF13" s="4">
        <v>1</v>
      </c>
      <c r="BG13" s="4">
        <v>0.73199999999999998</v>
      </c>
      <c r="BH13" s="4">
        <v>-0.45600000000000002</v>
      </c>
      <c r="BI13" s="4">
        <v>-0.442</v>
      </c>
      <c r="BJ13" s="4">
        <v>0.47099999999999997</v>
      </c>
      <c r="BK13" s="4">
        <v>0.79200000000000004</v>
      </c>
    </row>
    <row r="14" spans="1:63" x14ac:dyDescent="0.3">
      <c r="A14" t="s">
        <v>77</v>
      </c>
      <c r="B14" s="53">
        <f t="shared" si="8"/>
        <v>0</v>
      </c>
      <c r="C14" s="53">
        <f t="shared" si="4"/>
        <v>0</v>
      </c>
      <c r="D14" s="53">
        <f t="shared" si="5"/>
        <v>0</v>
      </c>
      <c r="E14" s="53">
        <v>0</v>
      </c>
      <c r="F14" s="15">
        <v>3.2610000000000001</v>
      </c>
      <c r="G14">
        <v>2.5659999999999998</v>
      </c>
      <c r="H14" t="s">
        <v>57</v>
      </c>
      <c r="I14" t="str">
        <f>VLOOKUP(A14,Planilha6!$BL$9:$BN$222,2,0)</f>
        <v>education</v>
      </c>
      <c r="J14" t="str">
        <f>VLOOKUP(A14,Planilha6!$BL$9:$BN$222,3,0)</f>
        <v>high_beta</v>
      </c>
      <c r="K14" s="2">
        <v>0</v>
      </c>
      <c r="L14" s="2">
        <v>0</v>
      </c>
      <c r="M14" s="29">
        <v>0</v>
      </c>
      <c r="N14" s="47">
        <f>VLOOKUP(A14,'Mandato ISEE'!$A$1:$C$215,2,0)</f>
        <v>0</v>
      </c>
      <c r="O14" s="48">
        <f t="shared" si="6"/>
        <v>0</v>
      </c>
      <c r="P14" s="47">
        <f>VLOOKUP(A14,'Mandato ISEE'!$A$1:$C$215,3,0)</f>
        <v>0</v>
      </c>
      <c r="Q14" s="48">
        <f t="shared" si="7"/>
        <v>0</v>
      </c>
      <c r="R14" s="15">
        <v>1</v>
      </c>
      <c r="S14" s="15">
        <v>1</v>
      </c>
      <c r="T14" s="15">
        <v>1</v>
      </c>
      <c r="U14" s="15">
        <v>1</v>
      </c>
      <c r="V14" s="15">
        <v>1</v>
      </c>
      <c r="W14" s="15">
        <v>1</v>
      </c>
      <c r="X14" s="15">
        <v>0.94099999999999995</v>
      </c>
      <c r="Y14" s="15">
        <v>0.76800000000000002</v>
      </c>
      <c r="Z14" s="15">
        <v>0.61399999999999999</v>
      </c>
      <c r="AA14" s="15">
        <v>0.61599999999999999</v>
      </c>
      <c r="AB14" s="15">
        <v>1</v>
      </c>
      <c r="AC14" s="15">
        <v>0.95099999999999996</v>
      </c>
      <c r="AD14" s="15">
        <v>0.93500000000000005</v>
      </c>
      <c r="AE14" s="14">
        <v>1</v>
      </c>
      <c r="AF14" s="15">
        <v>1</v>
      </c>
      <c r="AG14" s="15">
        <v>0.124</v>
      </c>
      <c r="AH14" s="15">
        <v>0.20599999999999999</v>
      </c>
      <c r="AI14" s="15">
        <v>0.40300000000000002</v>
      </c>
      <c r="AJ14" s="9">
        <v>1</v>
      </c>
      <c r="AK14" s="4">
        <v>0.371</v>
      </c>
      <c r="AL14" s="4">
        <v>9.9000000000000005E-2</v>
      </c>
      <c r="AM14" s="4">
        <v>-0.60299999999999998</v>
      </c>
      <c r="AN14" s="4">
        <v>0.33100000000000002</v>
      </c>
      <c r="AO14" s="4">
        <v>0.06</v>
      </c>
      <c r="AP14" s="4">
        <v>-0.193</v>
      </c>
      <c r="AQ14" s="4">
        <v>0.8</v>
      </c>
      <c r="AR14" s="4">
        <v>1</v>
      </c>
      <c r="AS14" s="4">
        <v>0.84899999999999998</v>
      </c>
      <c r="AT14" s="4">
        <v>0.50600000000000001</v>
      </c>
      <c r="AU14" s="4">
        <v>4.2000000000000003E-2</v>
      </c>
      <c r="AV14" s="4">
        <v>0.92600000000000005</v>
      </c>
      <c r="AW14" s="4">
        <v>-0.17</v>
      </c>
      <c r="AX14" s="4">
        <v>-5.1999999999999998E-2</v>
      </c>
      <c r="AY14" s="4">
        <v>0.81</v>
      </c>
      <c r="AZ14" s="4">
        <v>0.998</v>
      </c>
      <c r="BA14" s="4">
        <v>0.872</v>
      </c>
      <c r="BB14" s="4">
        <v>-5.0999999999999997E-2</v>
      </c>
      <c r="BC14" s="4">
        <v>-0.10299999999999999</v>
      </c>
      <c r="BD14" s="4">
        <v>0.23200000000000001</v>
      </c>
      <c r="BE14" s="4">
        <v>0.29799999999999999</v>
      </c>
      <c r="BF14" s="4">
        <v>1</v>
      </c>
      <c r="BG14" s="4">
        <v>0.51700000000000002</v>
      </c>
      <c r="BH14" s="4">
        <v>-0.44500000000000001</v>
      </c>
      <c r="BI14" s="4">
        <v>0.13900000000000001</v>
      </c>
      <c r="BJ14" s="4">
        <v>0.71499999999999997</v>
      </c>
      <c r="BK14" s="4">
        <v>0.318</v>
      </c>
    </row>
    <row r="15" spans="1:63" x14ac:dyDescent="0.3">
      <c r="A15" t="s">
        <v>66</v>
      </c>
      <c r="B15" s="53">
        <f t="shared" si="8"/>
        <v>0</v>
      </c>
      <c r="C15" s="53">
        <f t="shared" si="4"/>
        <v>0</v>
      </c>
      <c r="D15" s="53">
        <f t="shared" si="5"/>
        <v>0</v>
      </c>
      <c r="E15" s="53">
        <v>0</v>
      </c>
      <c r="F15" s="15">
        <v>3.2570000000000001</v>
      </c>
      <c r="G15">
        <v>2.5289999999999999</v>
      </c>
      <c r="H15" t="s">
        <v>55</v>
      </c>
      <c r="I15" t="str">
        <f>VLOOKUP(A15,Planilha6!$BL$9:$BN$222,2,0)</f>
        <v>real_estate</v>
      </c>
      <c r="J15" t="str">
        <f>VLOOKUP(A15,Planilha6!$BL$9:$BN$222,3,0)</f>
        <v>neutral_beta</v>
      </c>
      <c r="K15" s="2">
        <v>0</v>
      </c>
      <c r="L15" s="2">
        <v>0</v>
      </c>
      <c r="M15" s="29">
        <v>0</v>
      </c>
      <c r="N15" s="47">
        <f>VLOOKUP(A15,'Mandato ISEE'!$A$1:$C$215,2,0)</f>
        <v>0</v>
      </c>
      <c r="O15" s="48">
        <f t="shared" si="6"/>
        <v>0</v>
      </c>
      <c r="P15" s="47">
        <f>VLOOKUP(A15,'Mandato ISEE'!$A$1:$C$215,3,0)</f>
        <v>0</v>
      </c>
      <c r="Q15" s="48">
        <f t="shared" si="7"/>
        <v>0</v>
      </c>
      <c r="R15" s="15">
        <v>0.97699999999999998</v>
      </c>
      <c r="S15" s="15">
        <v>0.59</v>
      </c>
      <c r="T15" s="15">
        <v>1</v>
      </c>
      <c r="U15" s="15">
        <v>0.90700000000000003</v>
      </c>
      <c r="V15" s="15">
        <v>0.96599999999999997</v>
      </c>
      <c r="W15" s="15">
        <v>0.96399999999999997</v>
      </c>
      <c r="X15" s="15">
        <v>0.95899999999999996</v>
      </c>
      <c r="Y15" s="15">
        <v>0.97299999999999998</v>
      </c>
      <c r="Z15" s="15">
        <v>0.64200000000000002</v>
      </c>
      <c r="AA15" s="15">
        <v>0.64200000000000002</v>
      </c>
      <c r="AB15" s="15">
        <v>0.626</v>
      </c>
      <c r="AC15" s="15">
        <v>0.45700000000000002</v>
      </c>
      <c r="AD15" s="15">
        <v>0.79900000000000004</v>
      </c>
      <c r="AE15" s="14">
        <v>1</v>
      </c>
      <c r="AF15" s="15">
        <v>1</v>
      </c>
      <c r="AG15" s="15">
        <v>-0.379</v>
      </c>
      <c r="AH15" s="15">
        <v>1</v>
      </c>
      <c r="AI15" s="15">
        <v>0.193</v>
      </c>
      <c r="AJ15" s="9">
        <v>1</v>
      </c>
      <c r="AK15" s="4">
        <v>0.33400000000000002</v>
      </c>
      <c r="AL15" s="4">
        <v>1</v>
      </c>
      <c r="AM15" s="4">
        <v>0.19900000000000001</v>
      </c>
      <c r="AN15" s="4">
        <v>-0.22500000000000001</v>
      </c>
      <c r="AO15" s="4">
        <v>-0.224</v>
      </c>
      <c r="AP15" s="4">
        <v>-0.27800000000000002</v>
      </c>
      <c r="AQ15" s="4">
        <v>0.71899999999999997</v>
      </c>
      <c r="AR15" s="4">
        <v>-0.751</v>
      </c>
      <c r="AS15" s="4">
        <v>1.0999999999999999E-2</v>
      </c>
      <c r="AT15" s="4">
        <v>4.0000000000000001E-3</v>
      </c>
      <c r="AU15" s="4">
        <v>0.18</v>
      </c>
      <c r="AV15" s="4">
        <v>0.53300000000000003</v>
      </c>
      <c r="AW15" s="4">
        <v>0.247</v>
      </c>
      <c r="AX15" s="4">
        <v>-0.371</v>
      </c>
      <c r="AY15" s="4">
        <v>0.35199999999999998</v>
      </c>
      <c r="AZ15" s="4">
        <v>0.25600000000000001</v>
      </c>
      <c r="BA15" s="4">
        <v>0.14499999999999999</v>
      </c>
      <c r="BB15" s="4">
        <v>0.68600000000000005</v>
      </c>
      <c r="BC15" s="4">
        <v>1</v>
      </c>
      <c r="BD15" s="4">
        <v>0.72</v>
      </c>
      <c r="BE15" s="4">
        <v>0.83399999999999996</v>
      </c>
      <c r="BF15" s="4">
        <v>1</v>
      </c>
      <c r="BG15" s="4">
        <v>0.33500000000000002</v>
      </c>
      <c r="BH15" s="4">
        <v>-0.90600000000000003</v>
      </c>
      <c r="BI15" s="4">
        <v>0.26</v>
      </c>
      <c r="BJ15" s="4">
        <v>0.61799999999999999</v>
      </c>
      <c r="BK15" s="4">
        <v>0.77100000000000002</v>
      </c>
    </row>
    <row r="16" spans="1:63" x14ac:dyDescent="0.3">
      <c r="A16" t="s">
        <v>67</v>
      </c>
      <c r="B16" s="53">
        <v>0</v>
      </c>
      <c r="C16" s="53">
        <f t="shared" si="4"/>
        <v>0</v>
      </c>
      <c r="D16" s="53">
        <f t="shared" si="5"/>
        <v>0</v>
      </c>
      <c r="E16" s="53">
        <v>0</v>
      </c>
      <c r="F16" s="15">
        <v>3.2280000000000002</v>
      </c>
      <c r="G16">
        <v>2.9239999999999999</v>
      </c>
      <c r="H16" t="s">
        <v>68</v>
      </c>
      <c r="I16" t="str">
        <f>VLOOKUP(A16,Planilha6!$BL$9:$BN$222,2,0)</f>
        <v>capital_goods</v>
      </c>
      <c r="J16" t="str">
        <f>VLOOKUP(A16,Planilha6!$BL$9:$BN$222,3,0)</f>
        <v>neutral_beta</v>
      </c>
      <c r="K16" s="2">
        <v>0</v>
      </c>
      <c r="L16" s="2">
        <v>0</v>
      </c>
      <c r="M16" s="29">
        <v>0</v>
      </c>
      <c r="N16" s="47">
        <f>VLOOKUP(A16,'Mandato ISEE'!$A$1:$C$215,2,0)</f>
        <v>0</v>
      </c>
      <c r="O16" s="48">
        <f t="shared" si="6"/>
        <v>0</v>
      </c>
      <c r="P16" s="47">
        <f>VLOOKUP(A16,'Mandato ISEE'!$A$1:$C$215,3,0)</f>
        <v>0</v>
      </c>
      <c r="Q16" s="48">
        <f t="shared" si="7"/>
        <v>0</v>
      </c>
      <c r="R16" s="15">
        <v>0.83899999999999997</v>
      </c>
      <c r="S16" s="15">
        <v>0.877</v>
      </c>
      <c r="T16" s="15">
        <v>0.67200000000000004</v>
      </c>
      <c r="U16" s="15">
        <v>0.93200000000000005</v>
      </c>
      <c r="V16" s="15">
        <v>1</v>
      </c>
      <c r="W16" s="15">
        <v>1</v>
      </c>
      <c r="X16" s="15">
        <v>1</v>
      </c>
      <c r="Y16" s="15">
        <v>1</v>
      </c>
      <c r="Z16" s="15">
        <v>0.64200000000000002</v>
      </c>
      <c r="AA16" s="15">
        <v>0.64700000000000002</v>
      </c>
      <c r="AB16" s="15">
        <v>0.80800000000000005</v>
      </c>
      <c r="AC16" s="15">
        <v>0.75600000000000001</v>
      </c>
      <c r="AD16" s="15">
        <v>0.70399999999999996</v>
      </c>
      <c r="AE16" s="14">
        <v>1</v>
      </c>
      <c r="AF16" s="15">
        <v>1</v>
      </c>
      <c r="AG16" s="15">
        <v>-0.19700000000000001</v>
      </c>
      <c r="AH16" s="15">
        <v>-0.41899999999999998</v>
      </c>
      <c r="AI16" s="15">
        <v>-0.26100000000000001</v>
      </c>
      <c r="AJ16" s="9">
        <v>0.40500000000000003</v>
      </c>
      <c r="AK16" s="4">
        <v>-3.0000000000000001E-3</v>
      </c>
      <c r="AL16" s="4">
        <v>0.60099999999999998</v>
      </c>
      <c r="AM16" s="4">
        <v>-0.61399999999999999</v>
      </c>
      <c r="AN16" s="4">
        <v>0.42899999999999999</v>
      </c>
      <c r="AO16" s="4">
        <v>-0.10299999999999999</v>
      </c>
      <c r="AP16" s="4">
        <v>0.28599999999999998</v>
      </c>
      <c r="AQ16" s="4">
        <v>0.94099999999999995</v>
      </c>
      <c r="AR16" s="4">
        <v>0.126</v>
      </c>
      <c r="AS16" s="4">
        <v>-0.52700000000000002</v>
      </c>
      <c r="AT16" s="4">
        <v>0.71899999999999997</v>
      </c>
      <c r="AU16" s="4">
        <v>-2.9000000000000001E-2</v>
      </c>
      <c r="AV16" s="4">
        <v>0.53900000000000003</v>
      </c>
      <c r="AW16" s="4">
        <v>0.42</v>
      </c>
      <c r="AX16" s="4">
        <v>0.16300000000000001</v>
      </c>
      <c r="AY16" s="4">
        <v>0.91</v>
      </c>
      <c r="AZ16" s="4">
        <v>1</v>
      </c>
      <c r="BA16" s="4">
        <v>0.58099999999999996</v>
      </c>
      <c r="BB16" s="4">
        <v>-4.5999999999999999E-2</v>
      </c>
      <c r="BC16" s="4">
        <v>-0.16700000000000001</v>
      </c>
      <c r="BD16" s="4">
        <v>0.22</v>
      </c>
      <c r="BE16" s="4">
        <v>-0.34499999999999997</v>
      </c>
      <c r="BF16" s="4">
        <v>-0.61699999999999999</v>
      </c>
      <c r="BG16" s="4">
        <v>0.56299999999999994</v>
      </c>
      <c r="BH16" s="4">
        <v>-0.98899999999999999</v>
      </c>
      <c r="BI16" s="4">
        <v>0.35499999999999998</v>
      </c>
      <c r="BJ16" s="4">
        <v>0.72</v>
      </c>
      <c r="BK16" s="4">
        <v>-0.20899999999999999</v>
      </c>
    </row>
    <row r="17" spans="1:63" x14ac:dyDescent="0.3">
      <c r="A17" t="s">
        <v>100</v>
      </c>
      <c r="B17" s="53">
        <f t="shared" si="8"/>
        <v>0</v>
      </c>
      <c r="C17" s="53">
        <f t="shared" si="4"/>
        <v>0</v>
      </c>
      <c r="D17" s="53">
        <f t="shared" si="5"/>
        <v>0</v>
      </c>
      <c r="E17" s="53">
        <v>0</v>
      </c>
      <c r="F17" s="15">
        <v>3.1320000000000001</v>
      </c>
      <c r="G17">
        <v>3.827</v>
      </c>
      <c r="H17" t="s">
        <v>68</v>
      </c>
      <c r="I17" t="str">
        <f>VLOOKUP(A17,Planilha6!$BL$9:$BN$222,2,0)</f>
        <v>capital_goods</v>
      </c>
      <c r="J17" t="str">
        <f>VLOOKUP(A17,Planilha6!$BL$9:$BN$222,3,0)</f>
        <v>low_beta</v>
      </c>
      <c r="K17" s="2">
        <v>0</v>
      </c>
      <c r="L17" s="2">
        <v>0</v>
      </c>
      <c r="M17" s="29">
        <v>0</v>
      </c>
      <c r="N17" s="47">
        <f>VLOOKUP(A17,'Mandato ISEE'!$A$1:$C$215,2,0)</f>
        <v>0</v>
      </c>
      <c r="O17" s="48">
        <f t="shared" si="6"/>
        <v>0</v>
      </c>
      <c r="P17" s="47">
        <f>VLOOKUP(A17,'Mandato ISEE'!$A$1:$C$215,3,0)</f>
        <v>0</v>
      </c>
      <c r="Q17" s="48">
        <f t="shared" si="7"/>
        <v>0</v>
      </c>
      <c r="R17" s="15">
        <v>0.72099999999999997</v>
      </c>
      <c r="S17" s="15">
        <v>0.878</v>
      </c>
      <c r="T17" s="15">
        <v>0.70799999999999996</v>
      </c>
      <c r="U17" s="15">
        <v>0.28199999999999997</v>
      </c>
      <c r="V17" s="15">
        <v>0.70599999999999996</v>
      </c>
      <c r="W17" s="15">
        <v>0.77800000000000002</v>
      </c>
      <c r="X17" s="15">
        <v>0.84</v>
      </c>
      <c r="Y17" s="15">
        <v>0.77</v>
      </c>
      <c r="Z17" s="15">
        <v>0.98199999999999998</v>
      </c>
      <c r="AA17" s="15">
        <v>0.98199999999999998</v>
      </c>
      <c r="AB17" s="15">
        <v>0.92100000000000004</v>
      </c>
      <c r="AC17" s="15">
        <v>0.97399999999999998</v>
      </c>
      <c r="AD17" s="15">
        <v>0.97599999999999998</v>
      </c>
      <c r="AE17" s="14">
        <v>-0.33400000000000002</v>
      </c>
      <c r="AF17" s="15">
        <v>-0.29599999999999999</v>
      </c>
      <c r="AG17" s="15">
        <v>0.308</v>
      </c>
      <c r="AH17" s="15">
        <v>0.127</v>
      </c>
      <c r="AI17" s="15">
        <v>0.94699999999999995</v>
      </c>
      <c r="AJ17" s="9">
        <v>-0.13500000000000001</v>
      </c>
      <c r="AK17" s="4">
        <v>-4.5999999999999999E-2</v>
      </c>
      <c r="AL17" s="4">
        <v>0.33</v>
      </c>
      <c r="AM17" s="4">
        <v>-0.42599999999999999</v>
      </c>
      <c r="AN17" s="4">
        <v>0.436</v>
      </c>
      <c r="AO17" s="4">
        <v>0.439</v>
      </c>
      <c r="AP17" s="4">
        <v>0.29399999999999998</v>
      </c>
      <c r="AQ17" s="4">
        <v>-4.3999999999999997E-2</v>
      </c>
      <c r="AR17" s="4">
        <v>0.28000000000000003</v>
      </c>
      <c r="AS17" s="4">
        <v>0.16900000000000001</v>
      </c>
      <c r="AT17" s="4">
        <v>0.36</v>
      </c>
      <c r="AU17" s="4">
        <v>-0.14299999999999999</v>
      </c>
      <c r="AV17" s="4">
        <v>-0.152</v>
      </c>
      <c r="AW17" s="4">
        <v>0.73299999999999998</v>
      </c>
      <c r="AX17" s="4">
        <v>0.49399999999999999</v>
      </c>
      <c r="AY17" s="4">
        <v>0.90500000000000003</v>
      </c>
      <c r="AZ17" s="4">
        <v>0.70599999999999996</v>
      </c>
      <c r="BA17" s="4">
        <v>0.81399999999999995</v>
      </c>
      <c r="BB17" s="4">
        <v>-0.14399999999999999</v>
      </c>
      <c r="BC17" s="4">
        <v>-0.183</v>
      </c>
      <c r="BD17" s="4">
        <v>-4.4999999999999998E-2</v>
      </c>
      <c r="BE17" s="4">
        <v>0.26900000000000002</v>
      </c>
      <c r="BF17" s="4">
        <v>0.31</v>
      </c>
      <c r="BG17" s="4">
        <v>1</v>
      </c>
      <c r="BH17" s="4">
        <v>-0.443</v>
      </c>
      <c r="BI17" s="4">
        <v>-2.3E-2</v>
      </c>
      <c r="BJ17" s="4">
        <v>0.85799999999999998</v>
      </c>
      <c r="BK17" s="4">
        <v>0.28599999999999998</v>
      </c>
    </row>
    <row r="18" spans="1:63" x14ac:dyDescent="0.3">
      <c r="A18" t="s">
        <v>54</v>
      </c>
      <c r="B18" s="53">
        <f t="shared" si="8"/>
        <v>0</v>
      </c>
      <c r="C18" s="53">
        <f t="shared" si="4"/>
        <v>0</v>
      </c>
      <c r="D18" s="53">
        <f t="shared" si="5"/>
        <v>0</v>
      </c>
      <c r="E18" s="53">
        <v>0</v>
      </c>
      <c r="F18" s="15">
        <v>3.0819999999999999</v>
      </c>
      <c r="G18">
        <v>3.133</v>
      </c>
      <c r="H18" t="s">
        <v>55</v>
      </c>
      <c r="I18" t="str">
        <f>VLOOKUP(A18,Planilha6!$BL$9:$BN$222,2,0)</f>
        <v>telecom</v>
      </c>
      <c r="J18" t="str">
        <f>VLOOKUP(A18,Planilha6!$BL$9:$BN$222,3,0)</f>
        <v>low_beta</v>
      </c>
      <c r="K18" s="2">
        <v>0</v>
      </c>
      <c r="L18" s="2">
        <v>0</v>
      </c>
      <c r="M18" s="29">
        <v>0</v>
      </c>
      <c r="N18" s="47">
        <f>VLOOKUP(A18,'Mandato ISEE'!$A$1:$C$215,2,0)</f>
        <v>0</v>
      </c>
      <c r="O18" s="48">
        <f t="shared" si="6"/>
        <v>0</v>
      </c>
      <c r="P18" s="47">
        <f>VLOOKUP(A18,'Mandato ISEE'!$A$1:$C$215,3,0)</f>
        <v>0</v>
      </c>
      <c r="Q18" s="48">
        <f t="shared" si="7"/>
        <v>0</v>
      </c>
      <c r="R18" s="15">
        <v>0.88600000000000001</v>
      </c>
      <c r="S18" s="15">
        <v>0.82299999999999995</v>
      </c>
      <c r="T18" s="15">
        <v>0.71299999999999997</v>
      </c>
      <c r="U18" s="15">
        <v>0.99399999999999999</v>
      </c>
      <c r="V18" s="15">
        <v>0.95199999999999996</v>
      </c>
      <c r="W18" s="15">
        <v>0.64200000000000002</v>
      </c>
      <c r="X18" s="15">
        <v>0.61599999999999999</v>
      </c>
      <c r="Y18" s="15">
        <v>0.58499999999999996</v>
      </c>
      <c r="Z18" s="15">
        <v>0.66800000000000004</v>
      </c>
      <c r="AA18" s="15">
        <v>0.67600000000000005</v>
      </c>
      <c r="AB18" s="15">
        <v>1</v>
      </c>
      <c r="AC18" s="15">
        <v>1</v>
      </c>
      <c r="AD18" s="15">
        <v>1</v>
      </c>
      <c r="AE18" s="14">
        <v>0.629</v>
      </c>
      <c r="AF18" s="15">
        <v>-1.2E-2</v>
      </c>
      <c r="AG18" s="15">
        <v>0.84699999999999998</v>
      </c>
      <c r="AH18" s="15">
        <v>-0.23400000000000001</v>
      </c>
      <c r="AI18" s="15">
        <v>1</v>
      </c>
      <c r="AJ18" s="9">
        <v>1</v>
      </c>
      <c r="AK18" s="4">
        <v>-0.23</v>
      </c>
      <c r="AL18" s="4">
        <v>9.0999999999999998E-2</v>
      </c>
      <c r="AM18" s="4">
        <v>-0.76800000000000002</v>
      </c>
      <c r="AN18" s="4">
        <v>8.9999999999999993E-3</v>
      </c>
      <c r="AO18" s="4">
        <v>0.871</v>
      </c>
      <c r="AP18" s="4">
        <v>0.81299999999999994</v>
      </c>
      <c r="AQ18" s="4">
        <v>0.29799999999999999</v>
      </c>
      <c r="AR18" s="4">
        <v>0.19900000000000001</v>
      </c>
      <c r="AS18" s="4">
        <v>0.439</v>
      </c>
      <c r="AT18" s="4">
        <v>0.52300000000000002</v>
      </c>
      <c r="AU18" s="4">
        <v>0.36</v>
      </c>
      <c r="AV18" s="4">
        <v>0.72199999999999998</v>
      </c>
      <c r="AW18" s="4">
        <v>0.44600000000000001</v>
      </c>
      <c r="AX18" s="4">
        <v>-6.8000000000000005E-2</v>
      </c>
      <c r="AY18" s="4">
        <v>0.93</v>
      </c>
      <c r="AZ18" s="4">
        <v>-0.66100000000000003</v>
      </c>
      <c r="BA18" s="4">
        <v>0.85099999999999998</v>
      </c>
      <c r="BB18" s="4">
        <v>-0.161</v>
      </c>
      <c r="BC18" s="4">
        <v>-0.29699999999999999</v>
      </c>
      <c r="BD18" s="4">
        <v>0.59699999999999998</v>
      </c>
      <c r="BE18" s="4">
        <v>-1</v>
      </c>
      <c r="BF18" s="4">
        <v>-0.32</v>
      </c>
      <c r="BG18" s="4">
        <v>-0.17</v>
      </c>
      <c r="BH18" s="4">
        <v>-0.54100000000000004</v>
      </c>
      <c r="BI18" s="4">
        <v>-0.36099999999999999</v>
      </c>
      <c r="BJ18" s="4">
        <v>0.7</v>
      </c>
      <c r="BK18" s="4">
        <v>0.46800000000000003</v>
      </c>
    </row>
    <row r="19" spans="1:63" x14ac:dyDescent="0.3">
      <c r="A19" t="s">
        <v>86</v>
      </c>
      <c r="B19" s="53">
        <v>3.4000000000000002E-2</v>
      </c>
      <c r="C19" s="53">
        <f t="shared" si="4"/>
        <v>3.4000000000000002E-2</v>
      </c>
      <c r="D19" s="53">
        <f t="shared" si="5"/>
        <v>-1.0000000000000009E-3</v>
      </c>
      <c r="E19" s="53">
        <v>0</v>
      </c>
      <c r="F19" s="15">
        <v>3.077</v>
      </c>
      <c r="G19">
        <v>3.0920000000000001</v>
      </c>
      <c r="H19" t="s">
        <v>57</v>
      </c>
      <c r="I19" t="str">
        <f>VLOOKUP(A19,Planilha6!$BL$9:$BN$222,2,0)</f>
        <v>homebuilders</v>
      </c>
      <c r="J19" t="str">
        <f>VLOOKUP(A19,Planilha6!$BL$9:$BN$222,3,0)</f>
        <v>neutral_beta</v>
      </c>
      <c r="K19" s="2">
        <v>3.5000000000000003E-2</v>
      </c>
      <c r="L19" s="2">
        <v>3.4000000000000002E-2</v>
      </c>
      <c r="M19" s="29">
        <v>0</v>
      </c>
      <c r="N19" s="47">
        <f>VLOOKUP(A19,'Mandato ISEE'!$A$1:$C$215,2,0)</f>
        <v>3.1812000498661397E-2</v>
      </c>
      <c r="O19" s="48">
        <f t="shared" si="6"/>
        <v>3.1879995013386064E-3</v>
      </c>
      <c r="P19" s="47">
        <f>VLOOKUP(A19,'Mandato ISEE'!$A$1:$C$215,3,0)</f>
        <v>1.3181966070419099E-2</v>
      </c>
      <c r="Q19" s="48">
        <f t="shared" si="7"/>
        <v>2.1818033929580906E-2</v>
      </c>
      <c r="R19" s="15">
        <v>0.879</v>
      </c>
      <c r="S19" s="15">
        <v>0.60399999999999998</v>
      </c>
      <c r="T19" s="15">
        <v>0.94699999999999995</v>
      </c>
      <c r="U19" s="15">
        <v>0.57799999999999996</v>
      </c>
      <c r="V19" s="15">
        <v>0.76</v>
      </c>
      <c r="W19" s="15">
        <v>0.77</v>
      </c>
      <c r="X19" s="15">
        <v>0.73199999999999998</v>
      </c>
      <c r="Y19" s="15">
        <v>0.68500000000000005</v>
      </c>
      <c r="Z19" s="15">
        <v>0.68500000000000005</v>
      </c>
      <c r="AA19" s="15">
        <v>0.68700000000000006</v>
      </c>
      <c r="AB19" s="15">
        <v>1</v>
      </c>
      <c r="AC19" s="15">
        <v>0.95299999999999996</v>
      </c>
      <c r="AD19" s="15">
        <v>0.91700000000000004</v>
      </c>
      <c r="AE19" s="14">
        <v>0.52700000000000002</v>
      </c>
      <c r="AF19" s="15">
        <v>0.46500000000000002</v>
      </c>
      <c r="AG19" s="15">
        <v>0.502</v>
      </c>
      <c r="AH19" s="15">
        <v>1</v>
      </c>
      <c r="AI19" s="15">
        <v>0.96599999999999997</v>
      </c>
      <c r="AJ19" s="9">
        <v>1.7999999999999999E-2</v>
      </c>
      <c r="AK19" s="4">
        <v>-0.107</v>
      </c>
      <c r="AL19" s="4">
        <v>0.71399999999999997</v>
      </c>
      <c r="AM19" s="4">
        <v>0.31900000000000001</v>
      </c>
      <c r="AN19" s="4">
        <v>0.34899999999999998</v>
      </c>
      <c r="AO19" s="4">
        <v>1.0999999999999999E-2</v>
      </c>
      <c r="AP19" s="4">
        <v>0.21</v>
      </c>
      <c r="AQ19" s="4">
        <v>0.26300000000000001</v>
      </c>
      <c r="AR19" s="4">
        <v>0.13600000000000001</v>
      </c>
      <c r="AS19" s="4">
        <v>-8.1000000000000003E-2</v>
      </c>
      <c r="AT19" s="4">
        <v>1.2999999999999999E-2</v>
      </c>
      <c r="AU19" s="4">
        <v>-0.221</v>
      </c>
      <c r="AV19" s="4">
        <v>7.6999999999999999E-2</v>
      </c>
      <c r="AW19" s="4">
        <v>-6.4000000000000001E-2</v>
      </c>
      <c r="AX19" s="4">
        <v>-0.28499999999999998</v>
      </c>
      <c r="AY19" s="4">
        <v>0.76500000000000001</v>
      </c>
      <c r="AZ19" s="4">
        <v>0.183</v>
      </c>
      <c r="BA19" s="4">
        <v>0.55800000000000005</v>
      </c>
      <c r="BB19" s="4">
        <v>4.8000000000000001E-2</v>
      </c>
      <c r="BC19" s="4">
        <v>-0.27500000000000002</v>
      </c>
      <c r="BD19" s="4">
        <v>0.13100000000000001</v>
      </c>
      <c r="BE19" s="4">
        <v>6.4000000000000001E-2</v>
      </c>
      <c r="BF19" s="4">
        <v>3.0000000000000001E-3</v>
      </c>
      <c r="BG19" s="4">
        <v>0.91700000000000004</v>
      </c>
      <c r="BH19" s="4">
        <v>-0.14199999999999999</v>
      </c>
      <c r="BI19" s="4">
        <v>0.23300000000000001</v>
      </c>
      <c r="BJ19" s="4">
        <v>0.59499999999999997</v>
      </c>
      <c r="BK19" s="4">
        <v>0.83699999999999997</v>
      </c>
    </row>
    <row r="20" spans="1:63" x14ac:dyDescent="0.3">
      <c r="A20" t="s">
        <v>73</v>
      </c>
      <c r="B20" s="53">
        <v>0.01</v>
      </c>
      <c r="C20" s="53">
        <f t="shared" si="4"/>
        <v>0.01</v>
      </c>
      <c r="D20" s="53">
        <f t="shared" si="5"/>
        <v>0.01</v>
      </c>
      <c r="E20" s="53">
        <v>0</v>
      </c>
      <c r="F20" s="15">
        <v>3.0529999999999999</v>
      </c>
      <c r="G20">
        <v>3.218</v>
      </c>
      <c r="H20" t="s">
        <v>57</v>
      </c>
      <c r="I20" t="str">
        <f>VLOOKUP(A20,Planilha6!$BL$9:$BN$222,2,0)</f>
        <v>banks</v>
      </c>
      <c r="J20" t="str">
        <f>VLOOKUP(A20,Planilha6!$BL$9:$BN$222,3,0)</f>
        <v>high_beta</v>
      </c>
      <c r="K20" s="2">
        <v>0</v>
      </c>
      <c r="L20" s="2">
        <v>0</v>
      </c>
      <c r="M20" s="29">
        <v>0</v>
      </c>
      <c r="N20" s="47">
        <f>VLOOKUP(A20,'Mandato ISEE'!$A$1:$C$215,2,0)</f>
        <v>0</v>
      </c>
      <c r="O20" s="48">
        <f t="shared" si="6"/>
        <v>0</v>
      </c>
      <c r="P20" s="47">
        <f>VLOOKUP(A20,'Mandato ISEE'!$A$1:$C$215,3,0)</f>
        <v>0</v>
      </c>
      <c r="Q20" s="48">
        <f t="shared" si="7"/>
        <v>0</v>
      </c>
      <c r="R20" s="15">
        <v>0.72199999999999998</v>
      </c>
      <c r="S20" s="15">
        <v>0.82199999999999995</v>
      </c>
      <c r="T20" s="15">
        <v>0.38300000000000001</v>
      </c>
      <c r="U20" s="15">
        <v>0.77</v>
      </c>
      <c r="V20" s="15">
        <v>0.83499999999999996</v>
      </c>
      <c r="W20" s="15">
        <v>0.66200000000000003</v>
      </c>
      <c r="X20" s="15">
        <v>0.56899999999999995</v>
      </c>
      <c r="Y20" s="15">
        <v>0.68200000000000005</v>
      </c>
      <c r="Z20" s="15">
        <v>1</v>
      </c>
      <c r="AA20" s="15">
        <v>1</v>
      </c>
      <c r="AB20" s="15">
        <v>0.95699999999999996</v>
      </c>
      <c r="AC20" s="15">
        <v>0.98499999999999999</v>
      </c>
      <c r="AD20" s="15">
        <v>1</v>
      </c>
      <c r="AE20" s="14">
        <v>2E-3</v>
      </c>
      <c r="AF20" s="15">
        <v>0.92</v>
      </c>
      <c r="AG20" s="15">
        <v>1</v>
      </c>
      <c r="AH20" s="15">
        <v>-9.1999999999999998E-2</v>
      </c>
      <c r="AI20" s="15">
        <v>0.3</v>
      </c>
      <c r="AJ20" s="9">
        <v>-0.51600000000000001</v>
      </c>
      <c r="AK20" s="4">
        <v>6.7000000000000004E-2</v>
      </c>
      <c r="AL20" s="4">
        <v>0.28399999999999997</v>
      </c>
      <c r="AM20" s="4">
        <v>0.45600000000000002</v>
      </c>
      <c r="AN20" s="4">
        <v>0.40100000000000002</v>
      </c>
      <c r="AO20" s="4">
        <v>0.626</v>
      </c>
      <c r="AP20" s="4">
        <v>0.129</v>
      </c>
      <c r="AQ20" s="4">
        <v>0.23899999999999999</v>
      </c>
      <c r="AR20" s="4">
        <v>0.56599999999999995</v>
      </c>
      <c r="AS20" s="4">
        <v>0.68300000000000005</v>
      </c>
      <c r="AT20" s="4">
        <v>7.3999999999999996E-2</v>
      </c>
      <c r="AU20" s="4">
        <v>-0.17599999999999999</v>
      </c>
      <c r="AV20" s="4">
        <v>-0.128</v>
      </c>
      <c r="AW20" s="4">
        <v>0.45500000000000002</v>
      </c>
      <c r="AX20" s="4">
        <v>-0.56299999999999994</v>
      </c>
      <c r="AY20" s="4">
        <v>0.71399999999999997</v>
      </c>
      <c r="AZ20" s="4">
        <v>0.39700000000000002</v>
      </c>
      <c r="BA20" s="4">
        <v>0.39</v>
      </c>
      <c r="BB20" s="4">
        <v>-0.151</v>
      </c>
      <c r="BC20" s="4">
        <v>-6.6000000000000003E-2</v>
      </c>
      <c r="BD20" s="4">
        <v>0.45400000000000001</v>
      </c>
      <c r="BE20" s="4">
        <v>0.49399999999999999</v>
      </c>
      <c r="BF20" s="4">
        <v>1</v>
      </c>
      <c r="BG20" s="4">
        <v>0.46600000000000003</v>
      </c>
      <c r="BH20" s="4">
        <v>-0.57999999999999996</v>
      </c>
      <c r="BI20" s="4">
        <v>3.5000000000000003E-2</v>
      </c>
      <c r="BJ20" s="4">
        <v>0.20699999999999999</v>
      </c>
      <c r="BK20" s="4">
        <v>0.40300000000000002</v>
      </c>
    </row>
    <row r="21" spans="1:63" x14ac:dyDescent="0.3">
      <c r="A21" t="s">
        <v>58</v>
      </c>
      <c r="B21" s="53">
        <v>0.01</v>
      </c>
      <c r="C21" s="53">
        <f t="shared" si="4"/>
        <v>0.01</v>
      </c>
      <c r="D21" s="53">
        <f t="shared" si="5"/>
        <v>0.01</v>
      </c>
      <c r="E21" s="53">
        <v>0</v>
      </c>
      <c r="F21" s="15">
        <v>3.0070000000000001</v>
      </c>
      <c r="G21">
        <v>3.0369999999999999</v>
      </c>
      <c r="H21" t="s">
        <v>57</v>
      </c>
      <c r="I21" t="str">
        <f>VLOOKUP(A21,Planilha6!$BL$9:$BN$222,2,0)</f>
        <v>apparel</v>
      </c>
      <c r="J21" t="str">
        <f>VLOOKUP(A21,Planilha6!$BL$9:$BN$222,3,0)</f>
        <v>very_low_beta</v>
      </c>
      <c r="K21" s="2">
        <v>0</v>
      </c>
      <c r="L21" s="2">
        <v>0</v>
      </c>
      <c r="M21" s="29">
        <v>0</v>
      </c>
      <c r="N21" s="47">
        <f>VLOOKUP(A21,'Mandato ISEE'!$A$1:$C$215,2,0)</f>
        <v>0</v>
      </c>
      <c r="O21" s="48">
        <f t="shared" si="6"/>
        <v>0</v>
      </c>
      <c r="P21" s="47">
        <f>VLOOKUP(A21,'Mandato ISEE'!$A$1:$C$215,3,0)</f>
        <v>0</v>
      </c>
      <c r="Q21" s="48">
        <f t="shared" si="7"/>
        <v>0</v>
      </c>
      <c r="R21" s="15">
        <v>0.69</v>
      </c>
      <c r="S21" s="15">
        <v>0.625</v>
      </c>
      <c r="T21" s="15">
        <v>0.44800000000000001</v>
      </c>
      <c r="U21" s="15">
        <v>0.53200000000000003</v>
      </c>
      <c r="V21" s="15">
        <v>0.623</v>
      </c>
      <c r="W21" s="15">
        <v>0.90700000000000003</v>
      </c>
      <c r="X21" s="15">
        <v>1</v>
      </c>
      <c r="Y21" s="15">
        <v>1</v>
      </c>
      <c r="Z21" s="15">
        <v>0.59</v>
      </c>
      <c r="AA21" s="15">
        <v>0.59699999999999998</v>
      </c>
      <c r="AB21" s="15">
        <v>0.79100000000000004</v>
      </c>
      <c r="AC21" s="15">
        <v>0.77</v>
      </c>
      <c r="AD21" s="15">
        <v>0.747</v>
      </c>
      <c r="AE21" s="14">
        <v>0.93400000000000005</v>
      </c>
      <c r="AF21" s="15">
        <v>-5.0999999999999997E-2</v>
      </c>
      <c r="AG21" s="15">
        <v>-0.36499999999999999</v>
      </c>
      <c r="AH21" s="15">
        <v>-8.2000000000000003E-2</v>
      </c>
      <c r="AI21" s="15">
        <v>-0.23</v>
      </c>
      <c r="AJ21" s="9">
        <v>1</v>
      </c>
      <c r="AK21" s="4">
        <v>-9.4E-2</v>
      </c>
      <c r="AL21" s="4">
        <v>0.94799999999999995</v>
      </c>
      <c r="AM21" s="4">
        <v>-0.50600000000000001</v>
      </c>
      <c r="AN21" s="4">
        <v>0.65700000000000003</v>
      </c>
      <c r="AO21" s="4">
        <v>0.14000000000000001</v>
      </c>
      <c r="AP21" s="4">
        <v>1.2999999999999999E-2</v>
      </c>
      <c r="AQ21" s="4">
        <v>8.1000000000000003E-2</v>
      </c>
      <c r="AR21" s="4">
        <v>-1E-3</v>
      </c>
      <c r="AS21" s="4">
        <v>-0.46700000000000003</v>
      </c>
      <c r="AT21" s="4">
        <v>0.308</v>
      </c>
      <c r="AU21" s="4">
        <v>-7.0000000000000001E-3</v>
      </c>
      <c r="AV21" s="4">
        <v>0.38600000000000001</v>
      </c>
      <c r="AW21" s="4">
        <v>0.495</v>
      </c>
      <c r="AX21" s="4">
        <v>0.83499999999999996</v>
      </c>
      <c r="AY21" s="4">
        <v>0.66</v>
      </c>
      <c r="AZ21" s="4">
        <v>-0.10199999999999999</v>
      </c>
      <c r="BA21" s="4">
        <v>0.44600000000000001</v>
      </c>
      <c r="BB21" s="4">
        <v>0.82599999999999996</v>
      </c>
      <c r="BC21" s="4">
        <v>0.45300000000000001</v>
      </c>
      <c r="BD21" s="4">
        <v>0.58299999999999996</v>
      </c>
      <c r="BE21" s="4">
        <v>0.17599999999999999</v>
      </c>
      <c r="BF21" s="4">
        <v>5.0000000000000001E-3</v>
      </c>
      <c r="BG21" s="4">
        <v>0.93</v>
      </c>
      <c r="BH21" s="4">
        <v>-0.23499999999999999</v>
      </c>
      <c r="BI21" s="4">
        <v>-0.371</v>
      </c>
      <c r="BJ21" s="4">
        <v>0.129</v>
      </c>
      <c r="BK21" s="4">
        <v>0.29299999999999998</v>
      </c>
    </row>
    <row r="22" spans="1:63" x14ac:dyDescent="0.3">
      <c r="A22" t="s">
        <v>81</v>
      </c>
      <c r="B22" s="53">
        <f t="shared" si="8"/>
        <v>3.1E-2</v>
      </c>
      <c r="C22" s="53">
        <f t="shared" si="4"/>
        <v>2.9999999999999992E-3</v>
      </c>
      <c r="D22" s="53">
        <f t="shared" si="5"/>
        <v>0</v>
      </c>
      <c r="E22" s="53">
        <v>2.8000000000000001E-2</v>
      </c>
      <c r="F22" s="15">
        <v>2.9980000000000002</v>
      </c>
      <c r="G22">
        <v>5.74</v>
      </c>
      <c r="H22" t="s">
        <v>55</v>
      </c>
      <c r="I22" t="str">
        <f>VLOOKUP(A22,Planilha6!$BL$9:$BN$222,2,0)</f>
        <v>telecom</v>
      </c>
      <c r="J22" t="str">
        <f>VLOOKUP(A22,Planilha6!$BL$9:$BN$222,3,0)</f>
        <v>very_low_beta</v>
      </c>
      <c r="K22" s="2">
        <v>3.1E-2</v>
      </c>
      <c r="L22" s="2">
        <v>3.0000000000000001E-3</v>
      </c>
      <c r="M22" s="29">
        <v>2.8000000000000001E-2</v>
      </c>
      <c r="N22" s="47">
        <f>VLOOKUP(A22,'Mandato ISEE'!$A$1:$C$215,2,0)</f>
        <v>0.142583736341831</v>
      </c>
      <c r="O22" s="48">
        <f t="shared" si="6"/>
        <v>-0.111583736341831</v>
      </c>
      <c r="P22" s="47">
        <f>VLOOKUP(A22,'Mandato ISEE'!$A$1:$C$215,3,0)</f>
        <v>5.7785500729527699E-2</v>
      </c>
      <c r="Q22" s="48">
        <f t="shared" si="7"/>
        <v>-2.6785500729527699E-2</v>
      </c>
      <c r="R22" s="15">
        <v>0.54200000000000004</v>
      </c>
      <c r="S22" s="15">
        <v>1</v>
      </c>
      <c r="T22" s="15">
        <v>-0.20100000000000001</v>
      </c>
      <c r="U22" s="15">
        <v>0.85499999999999998</v>
      </c>
      <c r="V22" s="15">
        <v>0.79500000000000004</v>
      </c>
      <c r="W22" s="15">
        <v>1</v>
      </c>
      <c r="X22" s="15">
        <v>1</v>
      </c>
      <c r="Y22" s="15">
        <v>0.89800000000000002</v>
      </c>
      <c r="Z22" s="15">
        <v>0.80200000000000005</v>
      </c>
      <c r="AA22" s="15">
        <v>0.81</v>
      </c>
      <c r="AB22" s="15">
        <v>0.85</v>
      </c>
      <c r="AC22" s="15">
        <v>0.84499999999999997</v>
      </c>
      <c r="AD22" s="15">
        <v>0.79</v>
      </c>
      <c r="AE22" s="14">
        <v>0.83799999999999997</v>
      </c>
      <c r="AF22" s="15">
        <v>3.4000000000000002E-2</v>
      </c>
      <c r="AG22" s="15">
        <v>0.28699999999999998</v>
      </c>
      <c r="AH22" s="15">
        <v>-0.92</v>
      </c>
      <c r="AI22" s="15">
        <v>-0.58199999999999996</v>
      </c>
      <c r="AJ22" s="9">
        <v>-0.42299999999999999</v>
      </c>
      <c r="AK22" s="4">
        <v>0.23100000000000001</v>
      </c>
      <c r="AL22" s="4">
        <v>-6.8000000000000005E-2</v>
      </c>
      <c r="AM22" s="4">
        <v>-0.84799999999999998</v>
      </c>
      <c r="AN22" s="4">
        <v>-0.47799999999999998</v>
      </c>
      <c r="AO22" s="4">
        <v>0.38200000000000001</v>
      </c>
      <c r="AP22" s="4">
        <v>0.67100000000000004</v>
      </c>
      <c r="AQ22" s="4">
        <v>0.57899999999999996</v>
      </c>
      <c r="AR22" s="4">
        <v>0.23699999999999999</v>
      </c>
      <c r="AS22" s="4">
        <v>0.14899999999999999</v>
      </c>
      <c r="AT22" s="4">
        <v>0.55200000000000005</v>
      </c>
      <c r="AU22" s="4">
        <v>0.40699999999999997</v>
      </c>
      <c r="AV22" s="4">
        <v>1</v>
      </c>
      <c r="AW22" s="4">
        <v>0.76600000000000001</v>
      </c>
      <c r="AX22" s="4">
        <v>0.16300000000000001</v>
      </c>
      <c r="AY22" s="4">
        <v>0.84599999999999997</v>
      </c>
      <c r="AZ22" s="4">
        <v>0.27700000000000002</v>
      </c>
      <c r="BA22" s="4">
        <v>0.81299999999999994</v>
      </c>
      <c r="BB22" s="4">
        <v>0.36</v>
      </c>
      <c r="BC22" s="4">
        <v>0.37</v>
      </c>
      <c r="BD22" s="4">
        <v>0.67</v>
      </c>
      <c r="BE22" s="4">
        <v>0.27100000000000002</v>
      </c>
      <c r="BF22" s="4">
        <v>0.39</v>
      </c>
      <c r="BG22" s="4">
        <v>0.94599999999999995</v>
      </c>
      <c r="BH22" s="4">
        <v>-0.77100000000000002</v>
      </c>
      <c r="BI22" s="4">
        <v>-0.35899999999999999</v>
      </c>
      <c r="BJ22" s="4">
        <v>-1.7000000000000001E-2</v>
      </c>
      <c r="BK22" s="4">
        <v>-0.54700000000000004</v>
      </c>
    </row>
    <row r="23" spans="1:63" x14ac:dyDescent="0.3">
      <c r="A23" t="s">
        <v>56</v>
      </c>
      <c r="B23" s="53">
        <f t="shared" si="8"/>
        <v>0</v>
      </c>
      <c r="C23" s="53">
        <f t="shared" si="4"/>
        <v>0</v>
      </c>
      <c r="D23" s="53">
        <f t="shared" si="5"/>
        <v>0</v>
      </c>
      <c r="E23" s="53">
        <v>0</v>
      </c>
      <c r="F23" s="15">
        <v>2.9329999999999998</v>
      </c>
      <c r="G23">
        <v>3.1230000000000002</v>
      </c>
      <c r="H23" t="s">
        <v>55</v>
      </c>
      <c r="I23" t="str">
        <f>VLOOKUP(A23,Planilha6!$BL$9:$BN$222,2,0)</f>
        <v>utilities</v>
      </c>
      <c r="J23" t="str">
        <f>VLOOKUP(A23,Planilha6!$BL$9:$BN$222,3,0)</f>
        <v>low_beta</v>
      </c>
      <c r="K23" s="2">
        <v>0</v>
      </c>
      <c r="L23" s="2">
        <v>0</v>
      </c>
      <c r="M23" s="29">
        <v>0</v>
      </c>
      <c r="N23" s="47">
        <f>VLOOKUP(A23,'Mandato ISEE'!$A$1:$C$215,2,0)</f>
        <v>0</v>
      </c>
      <c r="O23" s="48">
        <f t="shared" si="6"/>
        <v>0</v>
      </c>
      <c r="P23" s="47">
        <f>VLOOKUP(A23,'Mandato ISEE'!$A$1:$C$215,3,0)</f>
        <v>0</v>
      </c>
      <c r="Q23" s="48">
        <f t="shared" si="7"/>
        <v>0</v>
      </c>
      <c r="R23" s="15">
        <v>0.57499999999999996</v>
      </c>
      <c r="S23" s="15">
        <v>0.876</v>
      </c>
      <c r="T23" s="15">
        <v>0.247</v>
      </c>
      <c r="U23" s="15">
        <v>0.80600000000000005</v>
      </c>
      <c r="V23" s="15">
        <v>0.88500000000000001</v>
      </c>
      <c r="W23" s="15">
        <v>0.81200000000000006</v>
      </c>
      <c r="X23" s="15">
        <v>0.89900000000000002</v>
      </c>
      <c r="Y23" s="15">
        <v>0.77600000000000002</v>
      </c>
      <c r="Z23" s="15">
        <v>0.753</v>
      </c>
      <c r="AA23" s="15">
        <v>0.76300000000000001</v>
      </c>
      <c r="AB23" s="15">
        <v>0.86299999999999999</v>
      </c>
      <c r="AC23" s="15">
        <v>0.84599999999999997</v>
      </c>
      <c r="AD23" s="15">
        <v>0.79500000000000004</v>
      </c>
      <c r="AE23" s="14">
        <v>0.875</v>
      </c>
      <c r="AF23" s="15">
        <v>0.438</v>
      </c>
      <c r="AG23" s="15">
        <v>0.58199999999999996</v>
      </c>
      <c r="AH23" s="15">
        <v>-0.45200000000000001</v>
      </c>
      <c r="AI23" s="15">
        <v>-0.55600000000000005</v>
      </c>
      <c r="AJ23" s="9">
        <v>-0.14499999999999999</v>
      </c>
      <c r="AK23" s="4">
        <v>0.48399999999999999</v>
      </c>
      <c r="AL23" s="4">
        <v>-0.20200000000000001</v>
      </c>
      <c r="AM23" s="4">
        <v>-0.316</v>
      </c>
      <c r="AN23" s="4">
        <v>-5.1999999999999998E-2</v>
      </c>
      <c r="AO23" s="4">
        <v>0.21199999999999999</v>
      </c>
      <c r="AP23" s="4">
        <v>-0.20499999999999999</v>
      </c>
      <c r="AQ23" s="4">
        <v>0.27600000000000002</v>
      </c>
      <c r="AR23" s="4">
        <v>-0.09</v>
      </c>
      <c r="AS23" s="4">
        <v>-6.0999999999999999E-2</v>
      </c>
      <c r="AT23" s="4">
        <v>0.39500000000000002</v>
      </c>
      <c r="AU23" s="4">
        <v>0.42399999999999999</v>
      </c>
      <c r="AV23" s="4">
        <v>0.53200000000000003</v>
      </c>
      <c r="AW23" s="4">
        <v>0.75600000000000001</v>
      </c>
      <c r="AX23" s="4">
        <v>-0.08</v>
      </c>
      <c r="AY23" s="4">
        <v>0.14899999999999999</v>
      </c>
      <c r="AZ23" s="4">
        <v>0.83699999999999997</v>
      </c>
      <c r="BA23" s="4">
        <v>0.89800000000000002</v>
      </c>
      <c r="BB23" s="4">
        <v>-0.13300000000000001</v>
      </c>
      <c r="BC23" s="4">
        <v>0.17899999999999999</v>
      </c>
      <c r="BD23" s="4">
        <v>0.183</v>
      </c>
      <c r="BE23" s="4">
        <v>0.246</v>
      </c>
      <c r="BF23" s="4">
        <v>1</v>
      </c>
      <c r="BG23" s="4">
        <v>0.439</v>
      </c>
      <c r="BH23" s="4">
        <v>-0.752</v>
      </c>
      <c r="BI23" s="4">
        <v>-8.5000000000000006E-2</v>
      </c>
      <c r="BJ23" s="4">
        <v>0.6</v>
      </c>
      <c r="BK23" s="4">
        <v>0.11799999999999999</v>
      </c>
    </row>
    <row r="24" spans="1:63" x14ac:dyDescent="0.3">
      <c r="A24" t="s">
        <v>74</v>
      </c>
      <c r="B24" s="53">
        <f t="shared" si="8"/>
        <v>0</v>
      </c>
      <c r="C24" s="53">
        <f t="shared" si="4"/>
        <v>0</v>
      </c>
      <c r="D24" s="53">
        <f t="shared" si="5"/>
        <v>0</v>
      </c>
      <c r="E24" s="53">
        <v>0</v>
      </c>
      <c r="F24" s="15">
        <v>2.887</v>
      </c>
      <c r="G24">
        <v>2.2949999999999999</v>
      </c>
      <c r="H24" t="s">
        <v>53</v>
      </c>
      <c r="I24" t="str">
        <f>VLOOKUP(A24,Planilha6!$BL$9:$BN$222,2,0)</f>
        <v>healthcare</v>
      </c>
      <c r="J24" t="str">
        <f>VLOOKUP(A24,Planilha6!$BL$9:$BN$222,3,0)</f>
        <v>high_beta</v>
      </c>
      <c r="K24" s="2">
        <v>0</v>
      </c>
      <c r="L24" s="2">
        <v>0</v>
      </c>
      <c r="M24" s="29">
        <v>0</v>
      </c>
      <c r="N24" s="47">
        <f>VLOOKUP(A24,'Mandato ISEE'!$A$1:$C$215,2,0)</f>
        <v>0</v>
      </c>
      <c r="O24" s="48">
        <f t="shared" si="6"/>
        <v>0</v>
      </c>
      <c r="P24" s="47">
        <f>VLOOKUP(A24,'Mandato ISEE'!$A$1:$C$215,3,0)</f>
        <v>0</v>
      </c>
      <c r="Q24" s="48">
        <f t="shared" si="7"/>
        <v>0</v>
      </c>
      <c r="R24" s="15">
        <v>1</v>
      </c>
      <c r="S24" s="15">
        <v>0.46400000000000002</v>
      </c>
      <c r="T24" s="15">
        <v>1</v>
      </c>
      <c r="U24" s="15">
        <v>1</v>
      </c>
      <c r="V24" s="15">
        <v>0.93</v>
      </c>
      <c r="W24" s="15">
        <v>0.61299999999999999</v>
      </c>
      <c r="X24" s="15">
        <v>0.377</v>
      </c>
      <c r="Y24" s="15">
        <v>0.37</v>
      </c>
      <c r="Z24" s="15">
        <v>0.624</v>
      </c>
      <c r="AA24" s="15">
        <v>0.63</v>
      </c>
      <c r="AB24" s="15">
        <v>0.94699999999999995</v>
      </c>
      <c r="AC24" s="15">
        <v>0.81899999999999995</v>
      </c>
      <c r="AD24" s="15">
        <v>0.92600000000000005</v>
      </c>
      <c r="AE24" s="14">
        <v>1</v>
      </c>
      <c r="AF24" s="15">
        <v>0.97699999999999998</v>
      </c>
      <c r="AG24" s="15">
        <v>0.58099999999999996</v>
      </c>
      <c r="AH24" s="15">
        <v>1</v>
      </c>
      <c r="AI24" s="15">
        <v>0.69399999999999995</v>
      </c>
      <c r="AJ24" s="9">
        <v>0.71899999999999997</v>
      </c>
      <c r="AK24" s="4">
        <v>0.65500000000000003</v>
      </c>
      <c r="AL24" s="4">
        <v>0.1</v>
      </c>
      <c r="AM24" s="4">
        <v>0.107</v>
      </c>
      <c r="AN24" s="4">
        <v>7.4999999999999997E-2</v>
      </c>
      <c r="AO24" s="4">
        <v>0.13800000000000001</v>
      </c>
      <c r="AP24" s="4">
        <v>-3.7999999999999999E-2</v>
      </c>
      <c r="AQ24" s="4">
        <v>0.41699999999999998</v>
      </c>
      <c r="AR24" s="4">
        <v>0.11799999999999999</v>
      </c>
      <c r="AS24" s="4">
        <v>-0.218</v>
      </c>
      <c r="AT24" s="4">
        <v>0.47499999999999998</v>
      </c>
      <c r="AU24" s="4">
        <v>-0.48099999999999998</v>
      </c>
      <c r="AV24" s="4">
        <v>0.45700000000000002</v>
      </c>
      <c r="AW24" s="4">
        <v>0.29099999999999998</v>
      </c>
      <c r="AX24" s="4">
        <v>-0.128</v>
      </c>
      <c r="AY24" s="4">
        <v>0.91900000000000004</v>
      </c>
      <c r="AZ24" s="4">
        <v>-0.17199999999999999</v>
      </c>
      <c r="BA24" s="4">
        <v>0.74099999999999999</v>
      </c>
      <c r="BB24" s="4">
        <v>-0.122</v>
      </c>
      <c r="BC24" s="4">
        <v>-3.7999999999999999E-2</v>
      </c>
      <c r="BD24" s="4">
        <v>0.10100000000000001</v>
      </c>
      <c r="BE24" s="4">
        <v>0.46300000000000002</v>
      </c>
      <c r="BF24" s="4">
        <v>-9.9000000000000005E-2</v>
      </c>
      <c r="BG24" s="4">
        <v>0.161</v>
      </c>
      <c r="BH24" s="4">
        <v>-0.68799999999999994</v>
      </c>
      <c r="BI24" s="4">
        <v>8.1000000000000003E-2</v>
      </c>
      <c r="BJ24" s="4">
        <v>0.81499999999999995</v>
      </c>
      <c r="BK24" s="4">
        <v>0.71499999999999997</v>
      </c>
    </row>
    <row r="25" spans="1:63" x14ac:dyDescent="0.3">
      <c r="A25" t="s">
        <v>64</v>
      </c>
      <c r="B25" s="53">
        <f t="shared" si="8"/>
        <v>0</v>
      </c>
      <c r="C25" s="53">
        <f t="shared" si="4"/>
        <v>0</v>
      </c>
      <c r="D25" s="53">
        <f t="shared" si="5"/>
        <v>0</v>
      </c>
      <c r="E25" s="53">
        <v>0</v>
      </c>
      <c r="F25" s="15">
        <v>2.85</v>
      </c>
      <c r="G25">
        <v>2.4390000000000001</v>
      </c>
      <c r="H25" t="s">
        <v>55</v>
      </c>
      <c r="I25" t="str">
        <f>VLOOKUP(A25,Planilha6!$BL$9:$BN$222,2,0)</f>
        <v>utilities</v>
      </c>
      <c r="J25" t="str">
        <f>VLOOKUP(A25,Planilha6!$BL$9:$BN$222,3,0)</f>
        <v>high_beta</v>
      </c>
      <c r="K25" s="2">
        <v>0</v>
      </c>
      <c r="L25" s="2">
        <v>0</v>
      </c>
      <c r="M25" s="29">
        <v>0</v>
      </c>
      <c r="N25" s="47">
        <f>VLOOKUP(A25,'Mandato ISEE'!$A$1:$C$215,2,0)</f>
        <v>0</v>
      </c>
      <c r="O25" s="48">
        <f t="shared" si="6"/>
        <v>0</v>
      </c>
      <c r="P25" s="47">
        <f>VLOOKUP(A25,'Mandato ISEE'!$A$1:$C$215,3,0)</f>
        <v>0</v>
      </c>
      <c r="Q25" s="48">
        <f t="shared" si="7"/>
        <v>0</v>
      </c>
      <c r="R25" s="15">
        <v>0.55800000000000005</v>
      </c>
      <c r="S25" s="15">
        <v>0.86399999999999999</v>
      </c>
      <c r="T25" s="15">
        <v>0.32700000000000001</v>
      </c>
      <c r="U25" s="15">
        <v>0.80200000000000005</v>
      </c>
      <c r="V25" s="15">
        <v>0.90300000000000002</v>
      </c>
      <c r="W25" s="15">
        <v>0.68899999999999995</v>
      </c>
      <c r="X25" s="15">
        <v>0.70599999999999996</v>
      </c>
      <c r="Y25" s="15">
        <v>0.66700000000000004</v>
      </c>
      <c r="Z25" s="15">
        <v>0.83499999999999996</v>
      </c>
      <c r="AA25" s="15">
        <v>0.84499999999999997</v>
      </c>
      <c r="AB25" s="15">
        <v>0.874</v>
      </c>
      <c r="AC25" s="15">
        <v>0.81399999999999995</v>
      </c>
      <c r="AD25" s="15">
        <v>0.82699999999999996</v>
      </c>
      <c r="AE25" s="14">
        <v>0.81100000000000005</v>
      </c>
      <c r="AF25" s="15">
        <v>0.4</v>
      </c>
      <c r="AG25" s="15">
        <v>0.73899999999999999</v>
      </c>
      <c r="AH25" s="15">
        <v>-0.46700000000000003</v>
      </c>
      <c r="AI25" s="15">
        <v>-0.51800000000000002</v>
      </c>
      <c r="AJ25" s="9">
        <v>-0.14499999999999999</v>
      </c>
      <c r="AK25" s="4">
        <v>0.48399999999999999</v>
      </c>
      <c r="AL25" s="4">
        <v>-0.33300000000000002</v>
      </c>
      <c r="AM25" s="4">
        <v>-0.316</v>
      </c>
      <c r="AN25" s="4">
        <v>-0.10299999999999999</v>
      </c>
      <c r="AO25" s="4">
        <v>0.30399999999999999</v>
      </c>
      <c r="AP25" s="4">
        <v>-0.214</v>
      </c>
      <c r="AQ25" s="4">
        <v>0.27600000000000002</v>
      </c>
      <c r="AR25" s="4">
        <v>-0.09</v>
      </c>
      <c r="AS25" s="4">
        <v>-6.0999999999999999E-2</v>
      </c>
      <c r="AT25" s="4">
        <v>0.39500000000000002</v>
      </c>
      <c r="AU25" s="4">
        <v>0.42399999999999999</v>
      </c>
      <c r="AV25" s="4">
        <v>0.53200000000000003</v>
      </c>
      <c r="AW25" s="4">
        <v>0.64800000000000002</v>
      </c>
      <c r="AX25" s="4">
        <v>-0.08</v>
      </c>
      <c r="AY25" s="4">
        <v>0.14899999999999999</v>
      </c>
      <c r="AZ25" s="4">
        <v>0.95399999999999996</v>
      </c>
      <c r="BA25" s="4">
        <v>0.45600000000000002</v>
      </c>
      <c r="BB25" s="4">
        <v>-0.13300000000000001</v>
      </c>
      <c r="BC25" s="4">
        <v>0.17899999999999999</v>
      </c>
      <c r="BD25" s="4">
        <v>0.29299999999999998</v>
      </c>
      <c r="BE25" s="4">
        <v>8.0000000000000002E-3</v>
      </c>
      <c r="BF25" s="4">
        <v>0.44900000000000001</v>
      </c>
      <c r="BG25" s="4">
        <v>0.23899999999999999</v>
      </c>
      <c r="BH25" s="4">
        <v>-0.872</v>
      </c>
      <c r="BI25" s="4">
        <v>0.109</v>
      </c>
      <c r="BJ25" s="4">
        <v>0.96199999999999997</v>
      </c>
      <c r="BK25" s="4">
        <v>0.11799999999999999</v>
      </c>
    </row>
    <row r="26" spans="1:63" x14ac:dyDescent="0.3">
      <c r="A26" t="s">
        <v>89</v>
      </c>
      <c r="B26" s="53">
        <f t="shared" si="8"/>
        <v>0</v>
      </c>
      <c r="C26" s="53">
        <f t="shared" si="4"/>
        <v>0</v>
      </c>
      <c r="D26" s="53">
        <f t="shared" si="5"/>
        <v>0</v>
      </c>
      <c r="E26" s="53">
        <v>0</v>
      </c>
      <c r="F26" s="15">
        <v>2.8290000000000002</v>
      </c>
      <c r="G26">
        <v>2.6629999999999998</v>
      </c>
      <c r="H26" t="s">
        <v>68</v>
      </c>
      <c r="I26" t="str">
        <f>VLOOKUP(A26,Planilha6!$BL$9:$BN$222,2,0)</f>
        <v>chemicals</v>
      </c>
      <c r="J26" t="str">
        <f>VLOOKUP(A26,Planilha6!$BL$9:$BN$222,3,0)</f>
        <v>very_low_beta</v>
      </c>
      <c r="K26" s="2">
        <v>0</v>
      </c>
      <c r="L26" s="2">
        <v>0</v>
      </c>
      <c r="M26" s="29">
        <v>0</v>
      </c>
      <c r="N26" s="47">
        <f>VLOOKUP(A26,'Mandato ISEE'!$A$1:$C$215,2,0)</f>
        <v>0</v>
      </c>
      <c r="O26" s="48">
        <f t="shared" si="6"/>
        <v>0</v>
      </c>
      <c r="P26" s="47">
        <f>VLOOKUP(A26,'Mandato ISEE'!$A$1:$C$215,3,0)</f>
        <v>0</v>
      </c>
      <c r="Q26" s="48">
        <f t="shared" si="7"/>
        <v>0</v>
      </c>
      <c r="R26" s="15">
        <v>0.69</v>
      </c>
      <c r="S26" s="15">
        <v>0.58399999999999996</v>
      </c>
      <c r="T26" s="15">
        <v>0.85499999999999998</v>
      </c>
      <c r="U26" s="15">
        <v>0.28799999999999998</v>
      </c>
      <c r="V26" s="15">
        <v>0.627</v>
      </c>
      <c r="W26" s="15">
        <v>0.63900000000000001</v>
      </c>
      <c r="X26" s="15">
        <v>0.65200000000000002</v>
      </c>
      <c r="Y26" s="15">
        <v>0.61299999999999999</v>
      </c>
      <c r="Z26" s="15">
        <v>0.88500000000000001</v>
      </c>
      <c r="AA26" s="15">
        <v>0.89</v>
      </c>
      <c r="AB26" s="15">
        <v>0.86499999999999999</v>
      </c>
      <c r="AC26" s="15">
        <v>0.77700000000000002</v>
      </c>
      <c r="AD26" s="15">
        <v>0.83799999999999997</v>
      </c>
      <c r="AE26" s="14">
        <v>0.54700000000000004</v>
      </c>
      <c r="AF26" s="15">
        <v>-0.46300000000000002</v>
      </c>
      <c r="AG26" s="15">
        <v>-0.245</v>
      </c>
      <c r="AH26" s="15">
        <v>0.75</v>
      </c>
      <c r="AI26" s="15">
        <v>0.26200000000000001</v>
      </c>
      <c r="AJ26" s="9">
        <v>0.52</v>
      </c>
      <c r="AK26" s="4">
        <v>0.35199999999999998</v>
      </c>
      <c r="AL26" s="4">
        <v>0.183</v>
      </c>
      <c r="AM26" s="4">
        <v>-9.2999999999999999E-2</v>
      </c>
      <c r="AN26" s="4">
        <v>0.36</v>
      </c>
      <c r="AO26" s="4">
        <v>9.6000000000000002E-2</v>
      </c>
      <c r="AP26" s="4">
        <v>-0.436</v>
      </c>
      <c r="AQ26" s="4">
        <v>-5.7000000000000002E-2</v>
      </c>
      <c r="AR26" s="4">
        <v>-0.17</v>
      </c>
      <c r="AS26" s="4">
        <v>-0.47899999999999998</v>
      </c>
      <c r="AT26" s="4">
        <v>0.55100000000000005</v>
      </c>
      <c r="AU26" s="4">
        <v>-0.246</v>
      </c>
      <c r="AV26" s="4">
        <v>0.248</v>
      </c>
      <c r="AW26" s="4">
        <v>0.58299999999999996</v>
      </c>
      <c r="AX26" s="4">
        <v>0.47899999999999998</v>
      </c>
      <c r="AY26" s="4">
        <v>0.86899999999999999</v>
      </c>
      <c r="AZ26" s="4">
        <v>0.77300000000000002</v>
      </c>
      <c r="BA26" s="4">
        <v>0.88100000000000001</v>
      </c>
      <c r="BB26" s="4">
        <v>-3.6999999999999998E-2</v>
      </c>
      <c r="BC26" s="4">
        <v>-9.4E-2</v>
      </c>
      <c r="BD26" s="4">
        <v>0.248</v>
      </c>
      <c r="BE26" s="4">
        <v>0.27200000000000002</v>
      </c>
      <c r="BF26" s="4">
        <v>-9.0999999999999998E-2</v>
      </c>
      <c r="BG26" s="4">
        <v>0.91800000000000004</v>
      </c>
      <c r="BH26" s="4">
        <v>-0.312</v>
      </c>
      <c r="BI26" s="4">
        <v>-0.254</v>
      </c>
      <c r="BJ26" s="4">
        <v>0.92700000000000005</v>
      </c>
      <c r="BK26" s="4">
        <v>0.88300000000000001</v>
      </c>
    </row>
    <row r="27" spans="1:63" x14ac:dyDescent="0.3">
      <c r="A27" t="s">
        <v>136</v>
      </c>
      <c r="B27" s="53">
        <f t="shared" si="8"/>
        <v>0</v>
      </c>
      <c r="C27" s="53">
        <f t="shared" si="4"/>
        <v>0</v>
      </c>
      <c r="D27" s="53">
        <f t="shared" si="5"/>
        <v>0</v>
      </c>
      <c r="E27" s="53">
        <v>0</v>
      </c>
      <c r="F27" s="15">
        <v>2.806</v>
      </c>
      <c r="G27">
        <v>3.202</v>
      </c>
      <c r="H27" t="s">
        <v>71</v>
      </c>
      <c r="I27" t="str">
        <f>VLOOKUP(A27,Planilha6!$BL$9:$BN$222,2,0)</f>
        <v>crude_oil</v>
      </c>
      <c r="J27" t="str">
        <f>VLOOKUP(A27,Planilha6!$BL$9:$BN$222,3,0)</f>
        <v>very_low_beta</v>
      </c>
      <c r="K27" s="2">
        <v>0</v>
      </c>
      <c r="L27" s="2">
        <v>0</v>
      </c>
      <c r="M27" s="29">
        <v>0</v>
      </c>
      <c r="N27" s="47">
        <f>VLOOKUP(A27,'Mandato ISEE'!$A$1:$C$215,2,0)</f>
        <v>0</v>
      </c>
      <c r="O27" s="48">
        <f t="shared" si="6"/>
        <v>0</v>
      </c>
      <c r="P27" s="47">
        <f>VLOOKUP(A27,'Mandato ISEE'!$A$1:$C$215,3,0)</f>
        <v>0</v>
      </c>
      <c r="Q27" s="48">
        <f t="shared" si="7"/>
        <v>0</v>
      </c>
      <c r="R27" s="15">
        <v>0.112</v>
      </c>
      <c r="S27" s="15">
        <v>1</v>
      </c>
      <c r="T27" s="15">
        <v>-0.54400000000000004</v>
      </c>
      <c r="U27" s="15">
        <v>0.65100000000000002</v>
      </c>
      <c r="V27" s="15">
        <v>0.72899999999999998</v>
      </c>
      <c r="W27" s="15">
        <v>0.84199999999999997</v>
      </c>
      <c r="X27" s="15">
        <v>0.86899999999999999</v>
      </c>
      <c r="Y27" s="15">
        <v>1</v>
      </c>
      <c r="Z27" s="15">
        <v>1</v>
      </c>
      <c r="AA27" s="15">
        <v>1</v>
      </c>
      <c r="AB27" s="15">
        <v>0.64400000000000002</v>
      </c>
      <c r="AC27" s="15">
        <v>0.86699999999999999</v>
      </c>
      <c r="AD27" s="15">
        <v>0.91200000000000003</v>
      </c>
      <c r="AE27" s="14">
        <v>0.39900000000000002</v>
      </c>
      <c r="AF27" s="15">
        <v>-0.30599999999999999</v>
      </c>
      <c r="AG27" s="15">
        <v>1</v>
      </c>
      <c r="AH27" s="15">
        <v>-0.91200000000000003</v>
      </c>
      <c r="AI27" s="15">
        <v>-0.55500000000000005</v>
      </c>
      <c r="AJ27" s="9">
        <v>-0.90600000000000003</v>
      </c>
      <c r="AK27" s="4">
        <v>0.218</v>
      </c>
      <c r="AL27" s="4">
        <v>0.45300000000000001</v>
      </c>
      <c r="AM27" s="4">
        <v>-0.51400000000000001</v>
      </c>
      <c r="AN27" s="4">
        <v>-0.65200000000000002</v>
      </c>
      <c r="AO27" s="4">
        <v>0.98499999999999999</v>
      </c>
      <c r="AP27" s="4">
        <v>1</v>
      </c>
      <c r="AQ27" s="4">
        <v>-0.24099999999999999</v>
      </c>
      <c r="AR27" s="4">
        <v>0.66900000000000004</v>
      </c>
      <c r="AS27" s="4">
        <v>0.46500000000000002</v>
      </c>
      <c r="AT27" s="4">
        <v>0.46500000000000002</v>
      </c>
      <c r="AU27" s="4">
        <v>0.34399999999999997</v>
      </c>
      <c r="AV27" s="4">
        <v>0.372</v>
      </c>
      <c r="AW27" s="4">
        <v>0.496</v>
      </c>
      <c r="AX27" s="4">
        <v>-0.23100000000000001</v>
      </c>
      <c r="AY27" s="4">
        <v>0.81399999999999995</v>
      </c>
      <c r="AZ27" s="4">
        <v>0.629</v>
      </c>
      <c r="BA27" s="4">
        <v>0.47899999999999998</v>
      </c>
      <c r="BB27" s="4">
        <v>-0.14799999999999999</v>
      </c>
      <c r="BC27" s="4">
        <v>-0.27300000000000002</v>
      </c>
      <c r="BD27" s="4">
        <v>0.33800000000000002</v>
      </c>
      <c r="BE27" s="4">
        <v>0.191</v>
      </c>
      <c r="BF27" s="4">
        <v>0.74399999999999999</v>
      </c>
      <c r="BG27" s="4">
        <v>0.70799999999999996</v>
      </c>
      <c r="BH27" s="4">
        <v>-0.95399999999999996</v>
      </c>
      <c r="BI27" s="4">
        <v>-0.997</v>
      </c>
      <c r="BJ27" s="4">
        <v>-0.25900000000000001</v>
      </c>
      <c r="BK27" s="4">
        <v>-0.89</v>
      </c>
    </row>
    <row r="28" spans="1:63" x14ac:dyDescent="0.3">
      <c r="A28" t="s">
        <v>79</v>
      </c>
      <c r="B28" s="53">
        <v>0.01</v>
      </c>
      <c r="C28" s="53">
        <f t="shared" si="4"/>
        <v>0.01</v>
      </c>
      <c r="D28" s="53">
        <f t="shared" si="5"/>
        <v>0.01</v>
      </c>
      <c r="E28" s="53">
        <v>0</v>
      </c>
      <c r="F28" s="15">
        <v>2.6960000000000002</v>
      </c>
      <c r="G28">
        <v>3.1549999999999998</v>
      </c>
      <c r="H28" t="s">
        <v>68</v>
      </c>
      <c r="I28" t="str">
        <f>VLOOKUP(A28,Planilha6!$BL$9:$BN$222,2,0)</f>
        <v>capital_goods</v>
      </c>
      <c r="J28" t="str">
        <f>VLOOKUP(A28,Planilha6!$BL$9:$BN$222,3,0)</f>
        <v>very_low_beta</v>
      </c>
      <c r="K28" s="2">
        <v>0</v>
      </c>
      <c r="L28" s="2">
        <v>0</v>
      </c>
      <c r="M28" s="29">
        <v>0</v>
      </c>
      <c r="N28" s="47">
        <f>VLOOKUP(A28,'Mandato ISEE'!$A$1:$C$215,2,0)</f>
        <v>0</v>
      </c>
      <c r="O28" s="48">
        <f t="shared" si="6"/>
        <v>0</v>
      </c>
      <c r="P28" s="47">
        <f>VLOOKUP(A28,'Mandato ISEE'!$A$1:$C$215,3,0)</f>
        <v>0</v>
      </c>
      <c r="Q28" s="48">
        <f t="shared" si="7"/>
        <v>0</v>
      </c>
      <c r="R28" s="15">
        <v>0.30299999999999999</v>
      </c>
      <c r="S28" s="15">
        <v>0.75</v>
      </c>
      <c r="T28" s="15">
        <v>0.35799999999999998</v>
      </c>
      <c r="U28" s="15">
        <v>0.35899999999999999</v>
      </c>
      <c r="V28" s="15">
        <v>0.72</v>
      </c>
      <c r="W28" s="15">
        <v>0.55600000000000005</v>
      </c>
      <c r="X28" s="15">
        <v>0.69799999999999995</v>
      </c>
      <c r="Y28" s="15">
        <v>0.82499999999999996</v>
      </c>
      <c r="Z28" s="15">
        <v>0.88300000000000001</v>
      </c>
      <c r="AA28" s="15">
        <v>0.88800000000000001</v>
      </c>
      <c r="AB28" s="15">
        <v>0.78100000000000003</v>
      </c>
      <c r="AC28" s="15">
        <v>0.80400000000000005</v>
      </c>
      <c r="AD28" s="15">
        <v>0.78800000000000003</v>
      </c>
      <c r="AE28" s="14">
        <v>3.5999999999999997E-2</v>
      </c>
      <c r="AF28" s="15">
        <v>-0.32600000000000001</v>
      </c>
      <c r="AG28" s="15">
        <v>0.11700000000000001</v>
      </c>
      <c r="AH28" s="15">
        <v>-0.48799999999999999</v>
      </c>
      <c r="AI28" s="15">
        <v>0.317</v>
      </c>
      <c r="AJ28" s="9">
        <v>0.437</v>
      </c>
      <c r="AK28" s="4">
        <v>-0.13</v>
      </c>
      <c r="AL28" s="4">
        <v>0.26400000000000001</v>
      </c>
      <c r="AM28" s="4">
        <v>-0.79500000000000004</v>
      </c>
      <c r="AN28" s="4">
        <v>-8.8999999999999996E-2</v>
      </c>
      <c r="AO28" s="4">
        <v>0.503</v>
      </c>
      <c r="AP28" s="4">
        <v>0.221</v>
      </c>
      <c r="AQ28" s="4">
        <v>0.32300000000000001</v>
      </c>
      <c r="AR28" s="4">
        <v>0.151</v>
      </c>
      <c r="AS28" s="4">
        <v>-7.1999999999999995E-2</v>
      </c>
      <c r="AT28" s="4">
        <v>0.98899999999999999</v>
      </c>
      <c r="AU28" s="4">
        <v>-6.5000000000000002E-2</v>
      </c>
      <c r="AV28" s="4">
        <v>0.35699999999999998</v>
      </c>
      <c r="AW28" s="4">
        <v>0.66400000000000003</v>
      </c>
      <c r="AX28" s="4">
        <v>-5.7000000000000002E-2</v>
      </c>
      <c r="AY28" s="4">
        <v>0.80400000000000005</v>
      </c>
      <c r="AZ28" s="4">
        <v>1</v>
      </c>
      <c r="BA28" s="4">
        <v>0.4</v>
      </c>
      <c r="BB28" s="4">
        <v>-0.20300000000000001</v>
      </c>
      <c r="BC28" s="4">
        <v>-0.46500000000000002</v>
      </c>
      <c r="BD28" s="4">
        <v>-0.42099999999999999</v>
      </c>
      <c r="BE28" s="4">
        <v>0.114</v>
      </c>
      <c r="BF28" s="4">
        <v>-0.40300000000000002</v>
      </c>
      <c r="BG28" s="4">
        <v>0.80200000000000005</v>
      </c>
      <c r="BH28" s="4">
        <v>-0.60399999999999998</v>
      </c>
      <c r="BI28" s="4">
        <v>-0.108</v>
      </c>
      <c r="BJ28" s="4">
        <v>0.45100000000000001</v>
      </c>
      <c r="BK28" s="4">
        <v>-3.4000000000000002E-2</v>
      </c>
    </row>
    <row r="29" spans="1:63" x14ac:dyDescent="0.3">
      <c r="A29" t="s">
        <v>146</v>
      </c>
      <c r="B29" s="53">
        <f t="shared" si="8"/>
        <v>0</v>
      </c>
      <c r="C29" s="53">
        <f t="shared" si="4"/>
        <v>0</v>
      </c>
      <c r="D29" s="53">
        <f t="shared" si="5"/>
        <v>0</v>
      </c>
      <c r="E29" s="53">
        <v>0</v>
      </c>
      <c r="F29" s="15">
        <v>2.6859999999999999</v>
      </c>
      <c r="G29">
        <v>2.8439999999999999</v>
      </c>
      <c r="H29" t="s">
        <v>71</v>
      </c>
      <c r="I29" t="str">
        <f>VLOOKUP(A29,Planilha6!$BL$9:$BN$222,2,0)</f>
        <v>crude_oil</v>
      </c>
      <c r="J29" t="str">
        <f>VLOOKUP(A29,Planilha6!$BL$9:$BN$222,3,0)</f>
        <v>very_low_beta</v>
      </c>
      <c r="K29" s="2">
        <v>0</v>
      </c>
      <c r="L29" s="2">
        <v>0</v>
      </c>
      <c r="M29" s="29">
        <v>0</v>
      </c>
      <c r="N29" s="47">
        <f>VLOOKUP(A29,'Mandato ISEE'!$A$1:$C$215,2,0)</f>
        <v>0</v>
      </c>
      <c r="O29" s="48">
        <f t="shared" si="6"/>
        <v>0</v>
      </c>
      <c r="P29" s="47">
        <f>VLOOKUP(A29,'Mandato ISEE'!$A$1:$C$215,3,0)</f>
        <v>0</v>
      </c>
      <c r="Q29" s="48">
        <f t="shared" si="7"/>
        <v>0</v>
      </c>
      <c r="R29" s="15">
        <v>5.0000000000000001E-3</v>
      </c>
      <c r="S29" s="15">
        <v>0.98099999999999998</v>
      </c>
      <c r="T29" s="15">
        <v>-0.56200000000000006</v>
      </c>
      <c r="U29" s="15">
        <v>0.58599999999999997</v>
      </c>
      <c r="V29" s="15">
        <v>0.67900000000000005</v>
      </c>
      <c r="W29" s="15">
        <v>0.73099999999999998</v>
      </c>
      <c r="X29" s="15">
        <v>0.753</v>
      </c>
      <c r="Y29" s="15">
        <v>1</v>
      </c>
      <c r="Z29" s="15">
        <v>1</v>
      </c>
      <c r="AA29" s="15">
        <v>1</v>
      </c>
      <c r="AB29" s="15">
        <v>0.67900000000000005</v>
      </c>
      <c r="AC29" s="15">
        <v>0.79</v>
      </c>
      <c r="AD29" s="15">
        <v>0.89900000000000002</v>
      </c>
      <c r="AE29" s="14">
        <v>0.34799999999999998</v>
      </c>
      <c r="AF29" s="15">
        <v>-0.32500000000000001</v>
      </c>
      <c r="AG29" s="15">
        <v>1</v>
      </c>
      <c r="AH29" s="15">
        <v>-0.91600000000000004</v>
      </c>
      <c r="AI29" s="15">
        <v>-0.56899999999999995</v>
      </c>
      <c r="AJ29" s="9">
        <v>-0.91100000000000003</v>
      </c>
      <c r="AK29" s="4">
        <v>0.218</v>
      </c>
      <c r="AL29" s="4">
        <v>0.41299999999999998</v>
      </c>
      <c r="AM29" s="4">
        <v>-0.51400000000000001</v>
      </c>
      <c r="AN29" s="4">
        <v>-0.65800000000000003</v>
      </c>
      <c r="AO29" s="4">
        <v>0.98499999999999999</v>
      </c>
      <c r="AP29" s="4">
        <v>1</v>
      </c>
      <c r="AQ29" s="4">
        <v>-0.24099999999999999</v>
      </c>
      <c r="AR29" s="4">
        <v>0.66900000000000004</v>
      </c>
      <c r="AS29" s="4">
        <v>0.46500000000000002</v>
      </c>
      <c r="AT29" s="4">
        <v>0.46500000000000002</v>
      </c>
      <c r="AU29" s="4">
        <v>0.34399999999999997</v>
      </c>
      <c r="AV29" s="4">
        <v>0.36499999999999999</v>
      </c>
      <c r="AW29" s="4">
        <v>0.41099999999999998</v>
      </c>
      <c r="AX29" s="4">
        <v>-0.23100000000000001</v>
      </c>
      <c r="AY29" s="4">
        <v>0.81399999999999995</v>
      </c>
      <c r="AZ29" s="4">
        <v>0.65400000000000003</v>
      </c>
      <c r="BA29" s="4">
        <v>-0.157</v>
      </c>
      <c r="BB29" s="4">
        <v>-0.14799999999999999</v>
      </c>
      <c r="BC29" s="4">
        <v>-0.27300000000000002</v>
      </c>
      <c r="BD29" s="4">
        <v>0.35399999999999998</v>
      </c>
      <c r="BE29" s="4">
        <v>0.22500000000000001</v>
      </c>
      <c r="BF29" s="4">
        <v>0.997</v>
      </c>
      <c r="BG29" s="4">
        <v>0.69599999999999995</v>
      </c>
      <c r="BH29" s="4">
        <v>-0.93</v>
      </c>
      <c r="BI29" s="4">
        <v>-0.997</v>
      </c>
      <c r="BJ29" s="4">
        <v>-0.111</v>
      </c>
      <c r="BK29" s="4">
        <v>-0.89</v>
      </c>
    </row>
    <row r="30" spans="1:63" x14ac:dyDescent="0.3">
      <c r="A30" t="s">
        <v>97</v>
      </c>
      <c r="B30" s="53">
        <v>0.01</v>
      </c>
      <c r="C30" s="53">
        <f t="shared" si="4"/>
        <v>0.01</v>
      </c>
      <c r="D30" s="53">
        <f t="shared" si="5"/>
        <v>0.01</v>
      </c>
      <c r="E30" s="53">
        <v>0</v>
      </c>
      <c r="F30" s="15">
        <v>2.6669999999999998</v>
      </c>
      <c r="G30">
        <v>3.4089999999999998</v>
      </c>
      <c r="H30" t="s">
        <v>57</v>
      </c>
      <c r="I30" t="str">
        <f>VLOOKUP(A30,Planilha6!$BL$9:$BN$222,2,0)</f>
        <v>banks</v>
      </c>
      <c r="J30" t="str">
        <f>VLOOKUP(A30,Planilha6!$BL$9:$BN$222,3,0)</f>
        <v>neutral_beta</v>
      </c>
      <c r="K30" s="2">
        <v>0</v>
      </c>
      <c r="L30" s="2">
        <v>0</v>
      </c>
      <c r="M30" s="29">
        <v>0</v>
      </c>
      <c r="N30" s="47">
        <f>VLOOKUP(A30,'Mandato ISEE'!$A$1:$C$215,2,0)</f>
        <v>0</v>
      </c>
      <c r="O30" s="48">
        <f t="shared" si="6"/>
        <v>0</v>
      </c>
      <c r="P30" s="47">
        <f>VLOOKUP(A30,'Mandato ISEE'!$A$1:$C$215,3,0)</f>
        <v>0</v>
      </c>
      <c r="Q30" s="48">
        <f t="shared" si="7"/>
        <v>0</v>
      </c>
      <c r="R30" s="15">
        <v>0.36399999999999999</v>
      </c>
      <c r="S30" s="15">
        <v>0.748</v>
      </c>
      <c r="T30" s="15">
        <v>6.3E-2</v>
      </c>
      <c r="U30" s="15">
        <v>0.314</v>
      </c>
      <c r="V30" s="15">
        <v>0.53400000000000003</v>
      </c>
      <c r="W30" s="15">
        <v>0.51700000000000002</v>
      </c>
      <c r="X30" s="15">
        <v>0.56100000000000005</v>
      </c>
      <c r="Y30" s="15">
        <v>0.61</v>
      </c>
      <c r="Z30" s="15">
        <v>1</v>
      </c>
      <c r="AA30" s="15">
        <v>1</v>
      </c>
      <c r="AB30" s="15">
        <v>0.90800000000000003</v>
      </c>
      <c r="AC30" s="15">
        <v>0.93</v>
      </c>
      <c r="AD30" s="15">
        <v>0.99399999999999999</v>
      </c>
      <c r="AE30" s="14">
        <v>-0.44600000000000001</v>
      </c>
      <c r="AF30" s="15">
        <v>0.49199999999999999</v>
      </c>
      <c r="AG30" s="15">
        <v>1</v>
      </c>
      <c r="AH30" s="15">
        <v>-0.26200000000000001</v>
      </c>
      <c r="AI30" s="15">
        <v>0.59699999999999998</v>
      </c>
      <c r="AJ30" s="9">
        <v>-0.72699999999999998</v>
      </c>
      <c r="AK30" s="4">
        <v>-5.1999999999999998E-2</v>
      </c>
      <c r="AL30" s="4">
        <v>0.23</v>
      </c>
      <c r="AM30" s="4">
        <v>-8.9999999999999993E-3</v>
      </c>
      <c r="AN30" s="4">
        <v>0.214</v>
      </c>
      <c r="AO30" s="4">
        <v>0.58499999999999996</v>
      </c>
      <c r="AP30" s="4">
        <v>0.45800000000000002</v>
      </c>
      <c r="AQ30" s="4">
        <v>0.10199999999999999</v>
      </c>
      <c r="AR30" s="4">
        <v>0.16900000000000001</v>
      </c>
      <c r="AS30" s="4">
        <v>-0.314</v>
      </c>
      <c r="AT30" s="4">
        <v>-6.0000000000000001E-3</v>
      </c>
      <c r="AU30" s="4">
        <v>-0.224</v>
      </c>
      <c r="AV30" s="4">
        <v>-0.28100000000000003</v>
      </c>
      <c r="AW30" s="4">
        <v>0.65400000000000003</v>
      </c>
      <c r="AX30" s="4">
        <v>-0.39600000000000002</v>
      </c>
      <c r="AY30" s="4">
        <v>0.81799999999999995</v>
      </c>
      <c r="AZ30" s="4">
        <v>0.432</v>
      </c>
      <c r="BA30" s="4">
        <v>0.57599999999999996</v>
      </c>
      <c r="BB30" s="4">
        <v>6.5000000000000002E-2</v>
      </c>
      <c r="BC30" s="4">
        <v>3.7999999999999999E-2</v>
      </c>
      <c r="BD30" s="4">
        <v>0.39200000000000002</v>
      </c>
      <c r="BE30" s="4">
        <v>0.122</v>
      </c>
      <c r="BF30" s="4">
        <v>-0.16700000000000001</v>
      </c>
      <c r="BG30" s="4">
        <v>0.875</v>
      </c>
      <c r="BH30" s="4">
        <v>-0.64100000000000001</v>
      </c>
      <c r="BI30" s="4">
        <v>-9.5000000000000001E-2</v>
      </c>
      <c r="BJ30" s="4">
        <v>0.43099999999999999</v>
      </c>
      <c r="BK30" s="4">
        <v>0.43</v>
      </c>
    </row>
    <row r="31" spans="1:63" x14ac:dyDescent="0.3">
      <c r="A31" t="s">
        <v>72</v>
      </c>
      <c r="B31" s="53">
        <f t="shared" si="8"/>
        <v>0</v>
      </c>
      <c r="C31" s="53">
        <f t="shared" si="4"/>
        <v>0</v>
      </c>
      <c r="D31" s="53">
        <f t="shared" si="5"/>
        <v>0</v>
      </c>
      <c r="E31" s="53">
        <v>0</v>
      </c>
      <c r="F31" s="15">
        <v>2.6120000000000001</v>
      </c>
      <c r="G31">
        <v>2.165</v>
      </c>
      <c r="H31" t="s">
        <v>57</v>
      </c>
      <c r="I31" t="str">
        <f>VLOOKUP(A31,Planilha6!$BL$9:$BN$222,2,0)</f>
        <v>apparel</v>
      </c>
      <c r="J31" t="str">
        <f>VLOOKUP(A31,Planilha6!$BL$9:$BN$222,3,0)</f>
        <v>high_beta</v>
      </c>
      <c r="K31" s="2">
        <v>0</v>
      </c>
      <c r="L31" s="2">
        <v>0</v>
      </c>
      <c r="M31" s="29">
        <v>0</v>
      </c>
      <c r="N31" s="47">
        <f>VLOOKUP(A31,'Mandato ISEE'!$A$1:$C$215,2,0)</f>
        <v>0</v>
      </c>
      <c r="O31" s="48">
        <f t="shared" si="6"/>
        <v>0</v>
      </c>
      <c r="P31" s="47">
        <f>VLOOKUP(A31,'Mandato ISEE'!$A$1:$C$215,3,0)</f>
        <v>0</v>
      </c>
      <c r="Q31" s="48">
        <f t="shared" si="7"/>
        <v>0</v>
      </c>
      <c r="R31" s="15">
        <v>0.76900000000000002</v>
      </c>
      <c r="S31" s="15">
        <v>0.503</v>
      </c>
      <c r="T31" s="15">
        <v>0.53900000000000003</v>
      </c>
      <c r="U31" s="15">
        <v>0.85399999999999998</v>
      </c>
      <c r="V31" s="15">
        <v>0.76500000000000001</v>
      </c>
      <c r="W31" s="15">
        <v>0.622</v>
      </c>
      <c r="X31" s="15">
        <v>0.52100000000000002</v>
      </c>
      <c r="Y31" s="15">
        <v>0.39200000000000002</v>
      </c>
      <c r="Z31" s="15">
        <v>0.46</v>
      </c>
      <c r="AA31" s="15">
        <v>0.46200000000000002</v>
      </c>
      <c r="AB31" s="15">
        <v>0.84599999999999997</v>
      </c>
      <c r="AC31" s="15">
        <v>0.81799999999999995</v>
      </c>
      <c r="AD31" s="15">
        <v>0.79400000000000004</v>
      </c>
      <c r="AE31" s="14">
        <v>1</v>
      </c>
      <c r="AF31" s="15">
        <v>0.94699999999999995</v>
      </c>
      <c r="AG31" s="15">
        <v>-0.19900000000000001</v>
      </c>
      <c r="AH31" s="15">
        <v>-0.51800000000000002</v>
      </c>
      <c r="AI31" s="15">
        <v>-0.122</v>
      </c>
      <c r="AJ31" s="9">
        <v>0.311</v>
      </c>
      <c r="AK31" s="4">
        <v>-0.40600000000000003</v>
      </c>
      <c r="AL31" s="4">
        <v>-8.3000000000000004E-2</v>
      </c>
      <c r="AM31" s="4">
        <v>-0.77100000000000002</v>
      </c>
      <c r="AN31" s="4">
        <v>0.57499999999999996</v>
      </c>
      <c r="AO31" s="4">
        <v>0.373</v>
      </c>
      <c r="AP31" s="4">
        <v>-0.36599999999999999</v>
      </c>
      <c r="AQ31" s="4">
        <v>0.71399999999999997</v>
      </c>
      <c r="AR31" s="4">
        <v>1</v>
      </c>
      <c r="AS31" s="4">
        <v>0.997</v>
      </c>
      <c r="AT31" s="4">
        <v>0.32500000000000001</v>
      </c>
      <c r="AU31" s="4">
        <v>-5.6000000000000001E-2</v>
      </c>
      <c r="AV31" s="4">
        <v>0.77800000000000002</v>
      </c>
      <c r="AW31" s="4">
        <v>1.4999999999999999E-2</v>
      </c>
      <c r="AX31" s="4">
        <v>-5.1999999999999998E-2</v>
      </c>
      <c r="AY31" s="4">
        <v>0.26100000000000001</v>
      </c>
      <c r="AZ31" s="4">
        <v>0.36199999999999999</v>
      </c>
      <c r="BA31" s="4">
        <v>0.47099999999999997</v>
      </c>
      <c r="BB31" s="4">
        <v>0.45700000000000002</v>
      </c>
      <c r="BC31" s="4">
        <v>-0.16</v>
      </c>
      <c r="BD31" s="4">
        <v>0.70299999999999996</v>
      </c>
      <c r="BE31" s="4">
        <v>6.2E-2</v>
      </c>
      <c r="BF31" s="4">
        <v>-0.29699999999999999</v>
      </c>
      <c r="BG31" s="4">
        <v>0.377</v>
      </c>
      <c r="BH31" s="4">
        <v>-0.188</v>
      </c>
      <c r="BI31" s="4">
        <v>9.2999999999999999E-2</v>
      </c>
      <c r="BJ31" s="4">
        <v>0.20100000000000001</v>
      </c>
      <c r="BK31" s="4">
        <v>-0.21099999999999999</v>
      </c>
    </row>
    <row r="32" spans="1:63" x14ac:dyDescent="0.3">
      <c r="A32" t="s">
        <v>62</v>
      </c>
      <c r="B32" s="53">
        <f t="shared" si="8"/>
        <v>2.1999999999999999E-2</v>
      </c>
      <c r="C32" s="53">
        <f t="shared" si="4"/>
        <v>6.9999999999999993E-3</v>
      </c>
      <c r="D32" s="53">
        <f t="shared" si="5"/>
        <v>0</v>
      </c>
      <c r="E32" s="53">
        <v>1.4999999999999999E-2</v>
      </c>
      <c r="F32" s="15">
        <v>2.581</v>
      </c>
      <c r="G32">
        <v>4.0350000000000001</v>
      </c>
      <c r="H32" t="s">
        <v>55</v>
      </c>
      <c r="I32" t="str">
        <f>VLOOKUP(A32,Planilha6!$BL$9:$BN$222,2,0)</f>
        <v>utilities</v>
      </c>
      <c r="J32" t="str">
        <f>VLOOKUP(A32,Planilha6!$BL$9:$BN$222,3,0)</f>
        <v>neutral_beta</v>
      </c>
      <c r="K32" s="2">
        <v>2.1999999999999999E-2</v>
      </c>
      <c r="L32" s="2">
        <v>7.0000000000000001E-3</v>
      </c>
      <c r="M32" s="29">
        <v>1.4999999999999999E-2</v>
      </c>
      <c r="N32" s="47">
        <f>VLOOKUP(A32,'Mandato ISEE'!$A$1:$C$215,2,0)</f>
        <v>7.9144023211870099E-2</v>
      </c>
      <c r="O32" s="48">
        <f t="shared" si="6"/>
        <v>-5.71440232118701E-2</v>
      </c>
      <c r="P32" s="47">
        <f>VLOOKUP(A32,'Mandato ISEE'!$A$1:$C$215,3,0)</f>
        <v>2.6139327480420398E-2</v>
      </c>
      <c r="Q32" s="48">
        <f t="shared" si="7"/>
        <v>-4.1393274804203996E-3</v>
      </c>
      <c r="R32" s="15">
        <v>0.34</v>
      </c>
      <c r="S32" s="15">
        <v>0.749</v>
      </c>
      <c r="T32" s="15">
        <v>-4.2999999999999997E-2</v>
      </c>
      <c r="U32" s="15">
        <v>0.70899999999999996</v>
      </c>
      <c r="V32" s="15">
        <v>0.73799999999999999</v>
      </c>
      <c r="W32" s="15">
        <v>0.64</v>
      </c>
      <c r="X32" s="15">
        <v>0.76</v>
      </c>
      <c r="Y32" s="15">
        <v>0.67600000000000005</v>
      </c>
      <c r="Z32" s="15">
        <v>0.72399999999999998</v>
      </c>
      <c r="AA32" s="15">
        <v>0.73299999999999998</v>
      </c>
      <c r="AB32" s="15">
        <v>0.79300000000000004</v>
      </c>
      <c r="AC32" s="15">
        <v>0.82299999999999995</v>
      </c>
      <c r="AD32" s="15">
        <v>0.73</v>
      </c>
      <c r="AE32" s="14">
        <v>0.85299999999999998</v>
      </c>
      <c r="AF32" s="15">
        <v>0.42699999999999999</v>
      </c>
      <c r="AG32" s="15">
        <v>0.61199999999999999</v>
      </c>
      <c r="AH32" s="15">
        <v>-0.45700000000000002</v>
      </c>
      <c r="AI32" s="15">
        <v>-0.55300000000000005</v>
      </c>
      <c r="AJ32" s="9">
        <v>-0.14799999999999999</v>
      </c>
      <c r="AK32" s="4">
        <v>0.48399999999999999</v>
      </c>
      <c r="AL32" s="4">
        <v>-0.22800000000000001</v>
      </c>
      <c r="AM32" s="4">
        <v>-0.316</v>
      </c>
      <c r="AN32" s="4">
        <v>-7.4999999999999997E-2</v>
      </c>
      <c r="AO32" s="4">
        <v>0.21</v>
      </c>
      <c r="AP32" s="4">
        <v>-0.219</v>
      </c>
      <c r="AQ32" s="4">
        <v>0.27600000000000002</v>
      </c>
      <c r="AR32" s="4">
        <v>-0.09</v>
      </c>
      <c r="AS32" s="4">
        <v>-6.0999999999999999E-2</v>
      </c>
      <c r="AT32" s="4">
        <v>0.39500000000000002</v>
      </c>
      <c r="AU32" s="4">
        <v>0.42399999999999999</v>
      </c>
      <c r="AV32" s="4">
        <v>0.53</v>
      </c>
      <c r="AW32" s="4">
        <v>0.72599999999999998</v>
      </c>
      <c r="AX32" s="4">
        <v>-0.08</v>
      </c>
      <c r="AY32" s="4">
        <v>0.14899999999999999</v>
      </c>
      <c r="AZ32" s="4">
        <v>0.78</v>
      </c>
      <c r="BA32" s="4">
        <v>0.21199999999999999</v>
      </c>
      <c r="BB32" s="4">
        <v>-0.13300000000000001</v>
      </c>
      <c r="BC32" s="4">
        <v>0.17899999999999999</v>
      </c>
      <c r="BD32" s="4">
        <v>0.20899999999999999</v>
      </c>
      <c r="BE32" s="4">
        <v>0.13100000000000001</v>
      </c>
      <c r="BF32" s="4">
        <v>1</v>
      </c>
      <c r="BG32" s="4">
        <v>0.42299999999999999</v>
      </c>
      <c r="BH32" s="4">
        <v>-0.83299999999999996</v>
      </c>
      <c r="BI32" s="4">
        <v>-6.0000000000000001E-3</v>
      </c>
      <c r="BJ32" s="4">
        <v>-3.2000000000000001E-2</v>
      </c>
      <c r="BK32" s="4">
        <v>0.11799999999999999</v>
      </c>
    </row>
    <row r="33" spans="1:63" x14ac:dyDescent="0.3">
      <c r="A33" t="s">
        <v>90</v>
      </c>
      <c r="B33" s="53">
        <f t="shared" si="8"/>
        <v>0</v>
      </c>
      <c r="C33" s="53">
        <f t="shared" si="4"/>
        <v>0</v>
      </c>
      <c r="D33" s="53">
        <f t="shared" si="5"/>
        <v>0</v>
      </c>
      <c r="E33" s="53">
        <v>0</v>
      </c>
      <c r="F33" s="15">
        <v>2.5640000000000001</v>
      </c>
      <c r="G33">
        <v>2.323</v>
      </c>
      <c r="H33" t="s">
        <v>68</v>
      </c>
      <c r="I33" t="str">
        <f>VLOOKUP(A33,Planilha6!$BL$9:$BN$222,2,0)</f>
        <v>capital_goods</v>
      </c>
      <c r="J33" t="str">
        <f>VLOOKUP(A33,Planilha6!$BL$9:$BN$222,3,0)</f>
        <v>high_beta</v>
      </c>
      <c r="K33" s="2">
        <v>0</v>
      </c>
      <c r="L33" s="2">
        <v>0</v>
      </c>
      <c r="M33" s="29">
        <v>0</v>
      </c>
      <c r="N33" s="47">
        <f>VLOOKUP(A33,'Mandato ISEE'!$A$1:$C$215,2,0)</f>
        <v>0</v>
      </c>
      <c r="O33" s="48">
        <f t="shared" si="6"/>
        <v>0</v>
      </c>
      <c r="P33" s="47">
        <f>VLOOKUP(A33,'Mandato ISEE'!$A$1:$C$215,3,0)</f>
        <v>0</v>
      </c>
      <c r="Q33" s="48">
        <f t="shared" si="7"/>
        <v>0</v>
      </c>
      <c r="R33" s="15">
        <v>0.55800000000000005</v>
      </c>
      <c r="S33" s="15">
        <v>0.60699999999999998</v>
      </c>
      <c r="T33" s="15">
        <v>0.20699999999999999</v>
      </c>
      <c r="U33" s="15">
        <v>0.68600000000000005</v>
      </c>
      <c r="V33" s="15">
        <v>0.68400000000000005</v>
      </c>
      <c r="W33" s="15">
        <v>0.80100000000000005</v>
      </c>
      <c r="X33" s="15">
        <v>0.85199999999999998</v>
      </c>
      <c r="Y33" s="15">
        <v>0.79600000000000004</v>
      </c>
      <c r="Z33" s="15">
        <v>0.26900000000000002</v>
      </c>
      <c r="AA33" s="15">
        <v>0.27500000000000002</v>
      </c>
      <c r="AB33" s="15">
        <v>0.69799999999999995</v>
      </c>
      <c r="AC33" s="15">
        <v>0.64500000000000002</v>
      </c>
      <c r="AD33" s="15">
        <v>0.53600000000000003</v>
      </c>
      <c r="AE33" s="14">
        <v>0.97699999999999998</v>
      </c>
      <c r="AF33" s="15">
        <v>1</v>
      </c>
      <c r="AG33" s="15">
        <v>-0.373</v>
      </c>
      <c r="AH33" s="15">
        <v>-0.438</v>
      </c>
      <c r="AI33" s="15">
        <v>-0.40400000000000003</v>
      </c>
      <c r="AJ33" s="9">
        <v>0.40500000000000003</v>
      </c>
      <c r="AK33" s="4">
        <v>-3.0000000000000001E-3</v>
      </c>
      <c r="AL33" s="4">
        <v>0.38400000000000001</v>
      </c>
      <c r="AM33" s="4">
        <v>-0.61399999999999999</v>
      </c>
      <c r="AN33" s="4">
        <v>0.46800000000000003</v>
      </c>
      <c r="AO33" s="4">
        <v>-0.36399999999999999</v>
      </c>
      <c r="AP33" s="4">
        <v>0.378</v>
      </c>
      <c r="AQ33" s="4">
        <v>0.94099999999999995</v>
      </c>
      <c r="AR33" s="4">
        <v>0.126</v>
      </c>
      <c r="AS33" s="4">
        <v>-0.52700000000000002</v>
      </c>
      <c r="AT33" s="4">
        <v>0.71899999999999997</v>
      </c>
      <c r="AU33" s="4">
        <v>-2.9000000000000001E-2</v>
      </c>
      <c r="AV33" s="4">
        <v>0.53900000000000003</v>
      </c>
      <c r="AW33" s="4">
        <v>0.40899999999999997</v>
      </c>
      <c r="AX33" s="4">
        <v>0.16300000000000001</v>
      </c>
      <c r="AY33" s="4">
        <v>0.91</v>
      </c>
      <c r="AZ33" s="4">
        <v>1</v>
      </c>
      <c r="BA33" s="4">
        <v>0.83699999999999997</v>
      </c>
      <c r="BB33" s="4">
        <v>-4.5999999999999999E-2</v>
      </c>
      <c r="BC33" s="4">
        <v>-0.16700000000000001</v>
      </c>
      <c r="BD33" s="4">
        <v>8.4000000000000005E-2</v>
      </c>
      <c r="BE33" s="4">
        <v>-0.34499999999999997</v>
      </c>
      <c r="BF33" s="4">
        <v>-0.59799999999999998</v>
      </c>
      <c r="BG33" s="4">
        <v>0.55400000000000005</v>
      </c>
      <c r="BH33" s="4">
        <v>-0.92300000000000004</v>
      </c>
      <c r="BI33" s="4">
        <v>0.35399999999999998</v>
      </c>
      <c r="BJ33" s="4">
        <v>-0.49399999999999999</v>
      </c>
      <c r="BK33" s="4">
        <v>-0.20899999999999999</v>
      </c>
    </row>
    <row r="34" spans="1:63" x14ac:dyDescent="0.3">
      <c r="A34" t="s">
        <v>87</v>
      </c>
      <c r="B34" s="53">
        <f t="shared" si="8"/>
        <v>0</v>
      </c>
      <c r="C34" s="53">
        <f t="shared" si="4"/>
        <v>0</v>
      </c>
      <c r="D34" s="53">
        <f t="shared" si="5"/>
        <v>0</v>
      </c>
      <c r="E34" s="53">
        <v>0</v>
      </c>
      <c r="F34" s="15">
        <v>2.512</v>
      </c>
      <c r="G34">
        <v>2.6890000000000001</v>
      </c>
      <c r="H34" t="s">
        <v>55</v>
      </c>
      <c r="I34" t="str">
        <f>VLOOKUP(A34,Planilha6!$BL$9:$BN$222,2,0)</f>
        <v>real_estate</v>
      </c>
      <c r="J34" t="str">
        <f>VLOOKUP(A34,Planilha6!$BL$9:$BN$222,3,0)</f>
        <v>low_beta</v>
      </c>
      <c r="K34" s="2">
        <v>0</v>
      </c>
      <c r="L34" s="2">
        <v>0</v>
      </c>
      <c r="M34" s="29">
        <v>0</v>
      </c>
      <c r="N34" s="47">
        <f>VLOOKUP(A34,'Mandato ISEE'!$A$1:$C$215,2,0)</f>
        <v>0</v>
      </c>
      <c r="O34" s="48">
        <f t="shared" si="6"/>
        <v>0</v>
      </c>
      <c r="P34" s="47">
        <f>VLOOKUP(A34,'Mandato ISEE'!$A$1:$C$215,3,0)</f>
        <v>0</v>
      </c>
      <c r="Q34" s="48">
        <f t="shared" si="7"/>
        <v>0</v>
      </c>
      <c r="R34" s="15">
        <v>0.23400000000000001</v>
      </c>
      <c r="S34" s="15">
        <v>0.71099999999999997</v>
      </c>
      <c r="T34" s="15">
        <v>0.13500000000000001</v>
      </c>
      <c r="U34" s="15">
        <v>0.23499999999999999</v>
      </c>
      <c r="V34" s="15">
        <v>0.52500000000000002</v>
      </c>
      <c r="W34" s="15">
        <v>0.44</v>
      </c>
      <c r="X34" s="15">
        <v>0.755</v>
      </c>
      <c r="Y34" s="15">
        <v>0.61699999999999999</v>
      </c>
      <c r="Z34" s="15">
        <v>0.75800000000000001</v>
      </c>
      <c r="AA34" s="15">
        <v>0.76400000000000001</v>
      </c>
      <c r="AB34" s="15">
        <v>0.92800000000000005</v>
      </c>
      <c r="AC34" s="15">
        <v>0.84899999999999998</v>
      </c>
      <c r="AD34" s="15">
        <v>0.89900000000000002</v>
      </c>
      <c r="AE34" s="14">
        <v>-0.115</v>
      </c>
      <c r="AF34" s="15">
        <v>-0.27500000000000002</v>
      </c>
      <c r="AG34" s="15">
        <v>1</v>
      </c>
      <c r="AH34" s="15">
        <v>0.248</v>
      </c>
      <c r="AI34" s="15">
        <v>1</v>
      </c>
      <c r="AJ34" s="9">
        <v>-0.23899999999999999</v>
      </c>
      <c r="AK34" s="4">
        <v>-0.30499999999999999</v>
      </c>
      <c r="AL34" s="4">
        <v>0.28299999999999997</v>
      </c>
      <c r="AM34" s="4">
        <v>-0.155</v>
      </c>
      <c r="AN34" s="4">
        <v>-8.1000000000000003E-2</v>
      </c>
      <c r="AO34" s="4">
        <v>0.747</v>
      </c>
      <c r="AP34" s="4">
        <v>6.4000000000000001E-2</v>
      </c>
      <c r="AQ34" s="4">
        <v>-0.126</v>
      </c>
      <c r="AR34" s="4">
        <v>-4.2999999999999997E-2</v>
      </c>
      <c r="AS34" s="4">
        <v>-3.9E-2</v>
      </c>
      <c r="AT34" s="4">
        <v>-7.6999999999999999E-2</v>
      </c>
      <c r="AU34" s="4">
        <v>0.68799999999999994</v>
      </c>
      <c r="AV34" s="4">
        <v>-0.158</v>
      </c>
      <c r="AW34" s="4">
        <v>0.34499999999999997</v>
      </c>
      <c r="AX34" s="4">
        <v>-0.78200000000000003</v>
      </c>
      <c r="AY34" s="4">
        <v>0.314</v>
      </c>
      <c r="AZ34" s="4">
        <v>-1.2E-2</v>
      </c>
      <c r="BA34" s="4">
        <v>-0.189</v>
      </c>
      <c r="BB34" s="4">
        <v>0.18099999999999999</v>
      </c>
      <c r="BC34" s="4">
        <v>0.23499999999999999</v>
      </c>
      <c r="BD34" s="4">
        <v>0.35599999999999998</v>
      </c>
      <c r="BE34" s="4">
        <v>8.4000000000000005E-2</v>
      </c>
      <c r="BF34" s="4">
        <v>-0.185</v>
      </c>
      <c r="BG34" s="4">
        <v>0.72099999999999997</v>
      </c>
      <c r="BH34" s="4">
        <v>-0.51200000000000001</v>
      </c>
      <c r="BI34" s="4">
        <v>6.3E-2</v>
      </c>
      <c r="BJ34" s="4">
        <v>0.33300000000000002</v>
      </c>
      <c r="BK34" s="4">
        <v>0.28299999999999997</v>
      </c>
    </row>
    <row r="35" spans="1:63" x14ac:dyDescent="0.3">
      <c r="A35" t="s">
        <v>103</v>
      </c>
      <c r="B35" s="53">
        <f t="shared" si="8"/>
        <v>1.7999999999999999E-2</v>
      </c>
      <c r="C35" s="53">
        <f t="shared" si="4"/>
        <v>1.0999999999999999E-2</v>
      </c>
      <c r="D35" s="53">
        <f t="shared" si="5"/>
        <v>0</v>
      </c>
      <c r="E35" s="53">
        <v>7.0000000000000001E-3</v>
      </c>
      <c r="F35" s="15">
        <v>2.4740000000000002</v>
      </c>
      <c r="G35">
        <v>2.7559999999999998</v>
      </c>
      <c r="H35" t="s">
        <v>53</v>
      </c>
      <c r="I35" t="str">
        <f>VLOOKUP(A35,Planilha6!$BL$9:$BN$222,2,0)</f>
        <v>healthcare</v>
      </c>
      <c r="J35" t="str">
        <f>VLOOKUP(A35,Planilha6!$BL$9:$BN$222,3,0)</f>
        <v>very_low_beta</v>
      </c>
      <c r="K35" s="2">
        <v>1.7999999999999999E-2</v>
      </c>
      <c r="L35" s="2">
        <v>1.0999999999999999E-2</v>
      </c>
      <c r="M35" s="29">
        <v>7.0000000000000001E-3</v>
      </c>
      <c r="N35" s="47">
        <f>VLOOKUP(A35,'Mandato ISEE'!$A$1:$C$215,2,0)</f>
        <v>4.4459692945787999E-2</v>
      </c>
      <c r="O35" s="48">
        <f t="shared" si="6"/>
        <v>-2.6459692945788E-2</v>
      </c>
      <c r="P35" s="47">
        <f>VLOOKUP(A35,'Mandato ISEE'!$A$1:$C$215,3,0)</f>
        <v>1.55597420551935E-2</v>
      </c>
      <c r="Q35" s="48">
        <f t="shared" si="7"/>
        <v>2.4402579448064982E-3</v>
      </c>
      <c r="R35" s="15">
        <v>0.34100000000000003</v>
      </c>
      <c r="S35" s="15">
        <v>0.755</v>
      </c>
      <c r="T35" s="15">
        <v>4.2999999999999997E-2</v>
      </c>
      <c r="U35" s="15">
        <v>0.32600000000000001</v>
      </c>
      <c r="V35" s="15">
        <v>0.51600000000000001</v>
      </c>
      <c r="W35" s="15">
        <v>0.64200000000000002</v>
      </c>
      <c r="X35" s="15">
        <v>0.92100000000000004</v>
      </c>
      <c r="Y35" s="15">
        <v>0.69899999999999995</v>
      </c>
      <c r="Z35" s="15">
        <v>0.54300000000000004</v>
      </c>
      <c r="AA35" s="15">
        <v>0.54900000000000004</v>
      </c>
      <c r="AB35" s="15">
        <v>0.69</v>
      </c>
      <c r="AC35" s="15">
        <v>0.70199999999999996</v>
      </c>
      <c r="AD35" s="15">
        <v>0.67900000000000005</v>
      </c>
      <c r="AE35" s="14">
        <v>0.54900000000000004</v>
      </c>
      <c r="AF35" s="15">
        <v>-0.60699999999999998</v>
      </c>
      <c r="AG35" s="15">
        <v>-0.312</v>
      </c>
      <c r="AH35" s="15">
        <v>-0.751</v>
      </c>
      <c r="AI35" s="15">
        <v>-0.03</v>
      </c>
      <c r="AJ35" s="9">
        <v>0.378</v>
      </c>
      <c r="AK35" s="4">
        <v>-0.315</v>
      </c>
      <c r="AL35" s="4">
        <v>-4.4999999999999998E-2</v>
      </c>
      <c r="AM35" s="4">
        <v>-0.93</v>
      </c>
      <c r="AN35" s="4">
        <v>-0.34499999999999997</v>
      </c>
      <c r="AO35" s="4">
        <v>0.12</v>
      </c>
      <c r="AP35" s="4">
        <v>1</v>
      </c>
      <c r="AQ35" s="4">
        <v>4.0000000000000001E-3</v>
      </c>
      <c r="AR35" s="4">
        <v>0.13400000000000001</v>
      </c>
      <c r="AS35" s="4">
        <v>-0.309</v>
      </c>
      <c r="AT35" s="4">
        <v>0.96899999999999997</v>
      </c>
      <c r="AU35" s="4">
        <v>0.42599999999999999</v>
      </c>
      <c r="AV35" s="4">
        <v>1</v>
      </c>
      <c r="AW35" s="4">
        <v>0.76400000000000001</v>
      </c>
      <c r="AX35" s="4">
        <v>0.42699999999999999</v>
      </c>
      <c r="AY35" s="4">
        <v>0.745</v>
      </c>
      <c r="AZ35" s="4">
        <v>0.64600000000000002</v>
      </c>
      <c r="BA35" s="4">
        <v>0.94799999999999995</v>
      </c>
      <c r="BB35" s="4">
        <v>0.186</v>
      </c>
      <c r="BC35" s="4">
        <v>-0.13</v>
      </c>
      <c r="BD35" s="4">
        <v>0.31</v>
      </c>
      <c r="BE35" s="4">
        <v>-0.50600000000000001</v>
      </c>
      <c r="BF35" s="4">
        <v>-0.221</v>
      </c>
      <c r="BG35" s="4">
        <v>0.68700000000000006</v>
      </c>
      <c r="BH35" s="4">
        <v>-0.48399999999999999</v>
      </c>
      <c r="BI35" s="4">
        <v>-0.43099999999999999</v>
      </c>
      <c r="BJ35" s="4">
        <v>-2.8000000000000001E-2</v>
      </c>
      <c r="BK35" s="4">
        <v>-0.122</v>
      </c>
    </row>
    <row r="36" spans="1:63" x14ac:dyDescent="0.3">
      <c r="A36" t="s">
        <v>99</v>
      </c>
      <c r="B36" s="53">
        <f t="shared" si="8"/>
        <v>0</v>
      </c>
      <c r="C36" s="53">
        <f t="shared" si="4"/>
        <v>0</v>
      </c>
      <c r="D36" s="53">
        <f t="shared" si="5"/>
        <v>0</v>
      </c>
      <c r="E36" s="53">
        <v>0</v>
      </c>
      <c r="F36" s="15">
        <v>2.3519999999999999</v>
      </c>
      <c r="G36">
        <v>2.3879999999999999</v>
      </c>
      <c r="H36" t="s">
        <v>57</v>
      </c>
      <c r="I36" t="str">
        <f>VLOOKUP(A36,Planilha6!$BL$9:$BN$222,2,0)</f>
        <v>homebuilders</v>
      </c>
      <c r="J36" t="str">
        <f>VLOOKUP(A36,Planilha6!$BL$9:$BN$222,3,0)</f>
        <v>high_beta</v>
      </c>
      <c r="K36" s="2">
        <v>0</v>
      </c>
      <c r="L36" s="2">
        <v>0</v>
      </c>
      <c r="M36" s="29">
        <v>0</v>
      </c>
      <c r="N36" s="47">
        <f>VLOOKUP(A36,'Mandato ISEE'!$A$1:$C$215,2,0)</f>
        <v>0</v>
      </c>
      <c r="O36" s="48">
        <f t="shared" si="6"/>
        <v>0</v>
      </c>
      <c r="P36" s="47">
        <f>VLOOKUP(A36,'Mandato ISEE'!$A$1:$C$215,3,0)</f>
        <v>0</v>
      </c>
      <c r="Q36" s="48">
        <f t="shared" si="7"/>
        <v>0</v>
      </c>
      <c r="R36" s="15">
        <v>0.59</v>
      </c>
      <c r="S36" s="15">
        <v>0.187</v>
      </c>
      <c r="T36" s="15">
        <v>0.70799999999999996</v>
      </c>
      <c r="U36" s="15">
        <v>0.43099999999999999</v>
      </c>
      <c r="V36" s="15">
        <v>0.50600000000000001</v>
      </c>
      <c r="W36" s="15">
        <v>0.45900000000000002</v>
      </c>
      <c r="X36" s="15">
        <v>0.34</v>
      </c>
      <c r="Y36" s="15">
        <v>0.30099999999999999</v>
      </c>
      <c r="Z36" s="15">
        <v>0.55400000000000005</v>
      </c>
      <c r="AA36" s="15">
        <v>0.55600000000000005</v>
      </c>
      <c r="AB36" s="15">
        <v>0.84099999999999997</v>
      </c>
      <c r="AC36" s="15">
        <v>0.92400000000000004</v>
      </c>
      <c r="AD36" s="15">
        <v>0.77600000000000002</v>
      </c>
      <c r="AE36" s="14">
        <v>0.69099999999999995</v>
      </c>
      <c r="AF36" s="15">
        <v>0.63500000000000001</v>
      </c>
      <c r="AG36" s="15">
        <v>-0.16500000000000001</v>
      </c>
      <c r="AH36" s="15">
        <v>0.39500000000000002</v>
      </c>
      <c r="AI36" s="15">
        <v>0.19600000000000001</v>
      </c>
      <c r="AJ36" s="9">
        <v>-1.4999999999999999E-2</v>
      </c>
      <c r="AK36" s="4">
        <v>-0.20200000000000001</v>
      </c>
      <c r="AL36" s="4">
        <v>0.25700000000000001</v>
      </c>
      <c r="AM36" s="4">
        <v>-3.4000000000000002E-2</v>
      </c>
      <c r="AN36" s="4">
        <v>0.219</v>
      </c>
      <c r="AO36" s="4">
        <v>-0.191</v>
      </c>
      <c r="AP36" s="4">
        <v>-0.15</v>
      </c>
      <c r="AQ36" s="4">
        <v>0.40500000000000003</v>
      </c>
      <c r="AR36" s="4">
        <v>0.92</v>
      </c>
      <c r="AS36" s="4">
        <v>0.84</v>
      </c>
      <c r="AT36" s="4">
        <v>1.6E-2</v>
      </c>
      <c r="AU36" s="4">
        <v>-0.34200000000000003</v>
      </c>
      <c r="AV36" s="4">
        <v>0.313</v>
      </c>
      <c r="AW36" s="4">
        <v>6.0999999999999999E-2</v>
      </c>
      <c r="AX36" s="4">
        <v>2.7E-2</v>
      </c>
      <c r="AY36" s="4">
        <v>0.75700000000000001</v>
      </c>
      <c r="AZ36" s="4">
        <v>0.44800000000000001</v>
      </c>
      <c r="BA36" s="4">
        <v>0.16600000000000001</v>
      </c>
      <c r="BB36" s="4">
        <v>-2.1000000000000001E-2</v>
      </c>
      <c r="BC36" s="4">
        <v>-0.28899999999999998</v>
      </c>
      <c r="BD36" s="4">
        <v>-7.2999999999999995E-2</v>
      </c>
      <c r="BE36" s="4">
        <v>0.46600000000000003</v>
      </c>
      <c r="BF36" s="4">
        <v>-0.125</v>
      </c>
      <c r="BG36" s="4">
        <v>0.625</v>
      </c>
      <c r="BH36" s="4">
        <v>-0.39300000000000002</v>
      </c>
      <c r="BI36" s="4">
        <v>0.35899999999999999</v>
      </c>
      <c r="BJ36" s="4">
        <v>0.48499999999999999</v>
      </c>
      <c r="BK36" s="4">
        <v>0.41099999999999998</v>
      </c>
    </row>
    <row r="37" spans="1:63" x14ac:dyDescent="0.3">
      <c r="A37" t="s">
        <v>96</v>
      </c>
      <c r="B37" s="53">
        <v>0.01</v>
      </c>
      <c r="C37" s="53">
        <f t="shared" si="4"/>
        <v>0.01</v>
      </c>
      <c r="D37" s="53">
        <f t="shared" si="5"/>
        <v>0.01</v>
      </c>
      <c r="E37" s="53">
        <v>0</v>
      </c>
      <c r="F37" s="15">
        <v>2.3519999999999999</v>
      </c>
      <c r="G37">
        <v>2.2879999999999998</v>
      </c>
      <c r="H37" t="s">
        <v>57</v>
      </c>
      <c r="I37" t="str">
        <f>VLOOKUP(A37,Planilha6!$BL$9:$BN$222,2,0)</f>
        <v>homebuilders</v>
      </c>
      <c r="J37" t="str">
        <f>VLOOKUP(A37,Planilha6!$BL$9:$BN$222,3,0)</f>
        <v>low_beta</v>
      </c>
      <c r="K37" s="2">
        <v>0</v>
      </c>
      <c r="L37" s="2">
        <v>0</v>
      </c>
      <c r="M37" s="29">
        <v>0</v>
      </c>
      <c r="N37" s="47">
        <f>VLOOKUP(A37,'Mandato ISEE'!$A$1:$C$215,2,0)</f>
        <v>0</v>
      </c>
      <c r="O37" s="48">
        <f t="shared" si="6"/>
        <v>0</v>
      </c>
      <c r="P37" s="47">
        <f>VLOOKUP(A37,'Mandato ISEE'!$A$1:$C$215,3,0)</f>
        <v>0</v>
      </c>
      <c r="Q37" s="48">
        <f t="shared" si="7"/>
        <v>0</v>
      </c>
      <c r="R37" s="15">
        <v>0.23100000000000001</v>
      </c>
      <c r="S37" s="15">
        <v>0.503</v>
      </c>
      <c r="T37" s="15">
        <v>-4.9000000000000002E-2</v>
      </c>
      <c r="U37" s="15">
        <v>0.50900000000000001</v>
      </c>
      <c r="V37" s="15">
        <v>0.56399999999999995</v>
      </c>
      <c r="W37" s="15">
        <v>0.49399999999999999</v>
      </c>
      <c r="X37" s="15">
        <v>0.53700000000000003</v>
      </c>
      <c r="Y37" s="15">
        <v>0.72099999999999997</v>
      </c>
      <c r="Z37" s="15">
        <v>0.622</v>
      </c>
      <c r="AA37" s="15">
        <v>0.627</v>
      </c>
      <c r="AB37" s="15">
        <v>0.79400000000000004</v>
      </c>
      <c r="AC37" s="15">
        <v>0.79600000000000004</v>
      </c>
      <c r="AD37" s="15">
        <v>0.65600000000000003</v>
      </c>
      <c r="AE37" s="14">
        <v>0.71199999999999997</v>
      </c>
      <c r="AF37" s="15">
        <v>0.25700000000000001</v>
      </c>
      <c r="AG37" s="15">
        <v>-0.23799999999999999</v>
      </c>
      <c r="AH37" s="15">
        <v>-0.628</v>
      </c>
      <c r="AI37" s="15">
        <v>-0.21</v>
      </c>
      <c r="AJ37" s="9">
        <v>-3.4000000000000002E-2</v>
      </c>
      <c r="AK37" s="4">
        <v>-0.13700000000000001</v>
      </c>
      <c r="AL37" s="4">
        <v>0.38500000000000001</v>
      </c>
      <c r="AM37" s="4">
        <v>-0.85599999999999998</v>
      </c>
      <c r="AN37" s="4">
        <v>0.11899999999999999</v>
      </c>
      <c r="AO37" s="4">
        <v>0.17699999999999999</v>
      </c>
      <c r="AP37" s="4">
        <v>0.46500000000000002</v>
      </c>
      <c r="AQ37" s="4">
        <v>0.44900000000000001</v>
      </c>
      <c r="AR37" s="4">
        <v>0.193</v>
      </c>
      <c r="AS37" s="4">
        <v>0.38500000000000001</v>
      </c>
      <c r="AT37" s="4">
        <v>1</v>
      </c>
      <c r="AU37" s="4">
        <v>0.10199999999999999</v>
      </c>
      <c r="AV37" s="4">
        <v>0.54600000000000004</v>
      </c>
      <c r="AW37" s="4">
        <v>0.14399999999999999</v>
      </c>
      <c r="AX37" s="4">
        <v>0.31</v>
      </c>
      <c r="AY37" s="4">
        <v>0.84099999999999997</v>
      </c>
      <c r="AZ37" s="4">
        <v>0.96299999999999997</v>
      </c>
      <c r="BA37" s="4">
        <v>0.32600000000000001</v>
      </c>
      <c r="BB37" s="4">
        <v>-0.75900000000000001</v>
      </c>
      <c r="BC37" s="4">
        <v>-0.29499999999999998</v>
      </c>
      <c r="BD37" s="4">
        <v>-0.27400000000000002</v>
      </c>
      <c r="BE37" s="4">
        <v>0.57299999999999995</v>
      </c>
      <c r="BF37" s="4">
        <v>-4.2999999999999997E-2</v>
      </c>
      <c r="BG37" s="4">
        <v>0.33500000000000002</v>
      </c>
      <c r="BH37" s="4">
        <v>-0.98099999999999998</v>
      </c>
      <c r="BI37" s="4">
        <v>0.17199999999999999</v>
      </c>
      <c r="BJ37" s="4">
        <v>-0.42699999999999999</v>
      </c>
      <c r="BK37" s="4">
        <v>-0.33600000000000002</v>
      </c>
    </row>
    <row r="38" spans="1:63" x14ac:dyDescent="0.3">
      <c r="A38" t="s">
        <v>93</v>
      </c>
      <c r="B38" s="53">
        <f t="shared" si="8"/>
        <v>4.9000000000000002E-2</v>
      </c>
      <c r="C38" s="53">
        <f t="shared" si="4"/>
        <v>2.7000000000000003E-2</v>
      </c>
      <c r="D38" s="53">
        <f t="shared" si="5"/>
        <v>0</v>
      </c>
      <c r="E38" s="53">
        <v>2.1999999999999999E-2</v>
      </c>
      <c r="F38" s="15">
        <v>2.3479999999999999</v>
      </c>
      <c r="G38">
        <v>4.9859999999999998</v>
      </c>
      <c r="H38" t="s">
        <v>55</v>
      </c>
      <c r="I38" t="str">
        <f>VLOOKUP(A38,Planilha6!$BL$9:$BN$222,2,0)</f>
        <v>real_estate</v>
      </c>
      <c r="J38" t="str">
        <f>VLOOKUP(A38,Planilha6!$BL$9:$BN$222,3,0)</f>
        <v>high_beta</v>
      </c>
      <c r="K38" s="2">
        <v>4.9000000000000002E-2</v>
      </c>
      <c r="L38" s="2">
        <v>2.7E-2</v>
      </c>
      <c r="M38" s="29">
        <v>2.1999999999999999E-2</v>
      </c>
      <c r="N38" s="47">
        <f>VLOOKUP(A38,'Mandato ISEE'!$A$1:$C$215,2,0)</f>
        <v>9.9806363057751701E-2</v>
      </c>
      <c r="O38" s="48">
        <f t="shared" si="6"/>
        <v>-5.0806363057751699E-2</v>
      </c>
      <c r="P38" s="47">
        <f>VLOOKUP(A38,'Mandato ISEE'!$A$1:$C$215,3,0)</f>
        <v>5.3294307185904097E-2</v>
      </c>
      <c r="Q38" s="48">
        <f t="shared" si="7"/>
        <v>-4.2943071859040949E-3</v>
      </c>
      <c r="R38" s="15">
        <v>0.19</v>
      </c>
      <c r="S38" s="15">
        <v>0.83599999999999997</v>
      </c>
      <c r="T38" s="15">
        <v>-0.35</v>
      </c>
      <c r="U38" s="15">
        <v>0.44700000000000001</v>
      </c>
      <c r="V38" s="15">
        <v>0.505</v>
      </c>
      <c r="W38" s="15">
        <v>0.61299999999999999</v>
      </c>
      <c r="X38" s="15">
        <v>0.90600000000000003</v>
      </c>
      <c r="Y38" s="15">
        <v>0.57999999999999996</v>
      </c>
      <c r="Z38" s="15">
        <v>0.67</v>
      </c>
      <c r="AA38" s="15">
        <v>0.67500000000000004</v>
      </c>
      <c r="AB38" s="15">
        <v>0.75700000000000001</v>
      </c>
      <c r="AC38" s="15">
        <v>0.72299999999999998</v>
      </c>
      <c r="AD38" s="15">
        <v>0.69299999999999995</v>
      </c>
      <c r="AE38" s="14">
        <v>0.628</v>
      </c>
      <c r="AF38" s="15">
        <v>-0.127</v>
      </c>
      <c r="AG38" s="15">
        <v>0.51800000000000002</v>
      </c>
      <c r="AH38" s="15">
        <v>-0.77200000000000002</v>
      </c>
      <c r="AI38" s="15">
        <v>-0.114</v>
      </c>
      <c r="AJ38" s="9">
        <v>-0.29299999999999998</v>
      </c>
      <c r="AK38" s="4">
        <v>-7.9000000000000001E-2</v>
      </c>
      <c r="AL38" s="4">
        <v>-0.193</v>
      </c>
      <c r="AM38" s="4">
        <v>-0.51300000000000001</v>
      </c>
      <c r="AN38" s="4">
        <v>1.7999999999999999E-2</v>
      </c>
      <c r="AO38" s="4">
        <v>0.59799999999999998</v>
      </c>
      <c r="AP38" s="4">
        <v>0.47199999999999998</v>
      </c>
      <c r="AQ38" s="4">
        <v>0.26500000000000001</v>
      </c>
      <c r="AR38" s="4">
        <v>0.28599999999999998</v>
      </c>
      <c r="AS38" s="4">
        <v>-0.13600000000000001</v>
      </c>
      <c r="AT38" s="4">
        <v>1.4999999999999999E-2</v>
      </c>
      <c r="AU38" s="4">
        <v>0.87</v>
      </c>
      <c r="AV38" s="4">
        <v>0.65600000000000003</v>
      </c>
      <c r="AW38" s="4">
        <v>0.31900000000000001</v>
      </c>
      <c r="AX38" s="4">
        <v>0.29299999999999998</v>
      </c>
      <c r="AY38" s="4">
        <v>0.57699999999999996</v>
      </c>
      <c r="AZ38" s="4">
        <v>0.41899999999999998</v>
      </c>
      <c r="BA38" s="4">
        <v>-0.7</v>
      </c>
      <c r="BB38" s="4">
        <v>-4.8000000000000001E-2</v>
      </c>
      <c r="BC38" s="4">
        <v>-0.14299999999999999</v>
      </c>
      <c r="BD38" s="4">
        <v>0.36299999999999999</v>
      </c>
      <c r="BE38" s="4">
        <v>-0.38800000000000001</v>
      </c>
      <c r="BF38" s="4">
        <v>0.155</v>
      </c>
      <c r="BG38" s="4">
        <v>0.749</v>
      </c>
      <c r="BH38" s="4">
        <v>-0.48899999999999999</v>
      </c>
      <c r="BI38" s="4">
        <v>0.38100000000000001</v>
      </c>
      <c r="BJ38" s="4">
        <v>-0.58699999999999997</v>
      </c>
      <c r="BK38" s="4">
        <v>-0.41599999999999998</v>
      </c>
    </row>
    <row r="39" spans="1:63" x14ac:dyDescent="0.3">
      <c r="A39" t="s">
        <v>109</v>
      </c>
      <c r="B39" s="53">
        <f t="shared" si="8"/>
        <v>0</v>
      </c>
      <c r="C39" s="53">
        <f t="shared" si="4"/>
        <v>0</v>
      </c>
      <c r="D39" s="53">
        <f t="shared" si="5"/>
        <v>0</v>
      </c>
      <c r="E39" s="53">
        <v>0</v>
      </c>
      <c r="F39" s="15">
        <v>2.3340000000000001</v>
      </c>
      <c r="G39">
        <v>3.1</v>
      </c>
      <c r="H39" t="s">
        <v>57</v>
      </c>
      <c r="I39" t="str">
        <f>VLOOKUP(A39,Planilha6!$BL$9:$BN$222,2,0)</f>
        <v>banks</v>
      </c>
      <c r="J39" t="str">
        <f>VLOOKUP(A39,Planilha6!$BL$9:$BN$222,3,0)</f>
        <v>neutral_beta</v>
      </c>
      <c r="K39" s="2">
        <v>0</v>
      </c>
      <c r="L39" s="2">
        <v>0</v>
      </c>
      <c r="M39" s="29">
        <v>0</v>
      </c>
      <c r="N39" s="47">
        <f>VLOOKUP(A39,'Mandato ISEE'!$A$1:$C$215,2,0)</f>
        <v>0</v>
      </c>
      <c r="O39" s="48">
        <f t="shared" si="6"/>
        <v>0</v>
      </c>
      <c r="P39" s="47">
        <f>VLOOKUP(A39,'Mandato ISEE'!$A$1:$C$215,3,0)</f>
        <v>0</v>
      </c>
      <c r="Q39" s="48">
        <f t="shared" si="7"/>
        <v>0</v>
      </c>
      <c r="R39" s="15">
        <v>0.126</v>
      </c>
      <c r="S39" s="15">
        <v>0.66400000000000003</v>
      </c>
      <c r="T39" s="15">
        <v>-0.309</v>
      </c>
      <c r="U39" s="15">
        <v>0.27600000000000002</v>
      </c>
      <c r="V39" s="15">
        <v>0.38900000000000001</v>
      </c>
      <c r="W39" s="15">
        <v>0.442</v>
      </c>
      <c r="X39" s="15">
        <v>0.61599999999999999</v>
      </c>
      <c r="Y39" s="15">
        <v>0.61</v>
      </c>
      <c r="Z39" s="15">
        <v>0.752</v>
      </c>
      <c r="AA39" s="15">
        <v>0.76</v>
      </c>
      <c r="AB39" s="15">
        <v>0.8</v>
      </c>
      <c r="AC39" s="15">
        <v>0.88600000000000001</v>
      </c>
      <c r="AD39" s="15">
        <v>0.873</v>
      </c>
      <c r="AE39" s="14">
        <v>0.106</v>
      </c>
      <c r="AF39" s="15">
        <v>-0.29699999999999999</v>
      </c>
      <c r="AG39" s="15">
        <v>0.55700000000000005</v>
      </c>
      <c r="AH39" s="15">
        <v>-0.96599999999999997</v>
      </c>
      <c r="AI39" s="15">
        <v>-0.63600000000000001</v>
      </c>
      <c r="AJ39" s="9">
        <v>-0.84499999999999997</v>
      </c>
      <c r="AK39" s="4">
        <v>-0.14899999999999999</v>
      </c>
      <c r="AL39" s="4">
        <v>0.186</v>
      </c>
      <c r="AM39" s="4">
        <v>-0.66500000000000004</v>
      </c>
      <c r="AN39" s="4">
        <v>-0.39900000000000002</v>
      </c>
      <c r="AO39" s="4">
        <v>0.67100000000000004</v>
      </c>
      <c r="AP39" s="4">
        <v>0.68500000000000005</v>
      </c>
      <c r="AQ39" s="4">
        <v>-0.01</v>
      </c>
      <c r="AR39" s="4">
        <v>0.17100000000000001</v>
      </c>
      <c r="AS39" s="4">
        <v>0.41</v>
      </c>
      <c r="AT39" s="4">
        <v>5.8000000000000003E-2</v>
      </c>
      <c r="AU39" s="4">
        <v>5.0999999999999997E-2</v>
      </c>
      <c r="AV39" s="4">
        <v>0.29399999999999998</v>
      </c>
      <c r="AW39" s="4">
        <v>0.502</v>
      </c>
      <c r="AX39" s="4">
        <v>-0.45100000000000001</v>
      </c>
      <c r="AY39" s="4">
        <v>0.93600000000000005</v>
      </c>
      <c r="AZ39" s="4">
        <v>0.252</v>
      </c>
      <c r="BA39" s="4">
        <v>0.91100000000000003</v>
      </c>
      <c r="BB39" s="4">
        <v>-2.3E-2</v>
      </c>
      <c r="BC39" s="4">
        <v>0.32100000000000001</v>
      </c>
      <c r="BD39" s="4">
        <v>0.52100000000000002</v>
      </c>
      <c r="BE39" s="4">
        <v>-0.23100000000000001</v>
      </c>
      <c r="BF39" s="4">
        <v>-0.27500000000000002</v>
      </c>
      <c r="BG39" s="4">
        <v>0.83199999999999996</v>
      </c>
      <c r="BH39" s="4">
        <v>-0.66800000000000004</v>
      </c>
      <c r="BI39" s="4">
        <v>-1.7000000000000001E-2</v>
      </c>
      <c r="BJ39" s="4">
        <v>0.88500000000000001</v>
      </c>
      <c r="BK39" s="4">
        <v>-0.68899999999999995</v>
      </c>
    </row>
    <row r="40" spans="1:63" x14ac:dyDescent="0.3">
      <c r="A40" t="s">
        <v>65</v>
      </c>
      <c r="B40" s="53">
        <f t="shared" si="8"/>
        <v>0</v>
      </c>
      <c r="C40" s="53">
        <f t="shared" si="4"/>
        <v>0</v>
      </c>
      <c r="D40" s="53">
        <f t="shared" si="5"/>
        <v>0</v>
      </c>
      <c r="E40" s="53">
        <v>0</v>
      </c>
      <c r="F40" s="15">
        <v>2.3149999999999999</v>
      </c>
      <c r="G40">
        <v>2.5059999999999998</v>
      </c>
      <c r="H40" t="s">
        <v>57</v>
      </c>
      <c r="I40" t="str">
        <f>VLOOKUP(A40,Planilha6!$BL$9:$BN$222,2,0)</f>
        <v>homebuilders</v>
      </c>
      <c r="J40" t="str">
        <f>VLOOKUP(A40,Planilha6!$BL$9:$BN$222,3,0)</f>
        <v>neutral_beta</v>
      </c>
      <c r="K40" s="2">
        <v>0</v>
      </c>
      <c r="L40" s="2">
        <v>0</v>
      </c>
      <c r="M40" s="29">
        <v>0</v>
      </c>
      <c r="N40" s="47">
        <f>VLOOKUP(A40,'Mandato ISEE'!$A$1:$C$215,2,0)</f>
        <v>0</v>
      </c>
      <c r="O40" s="48">
        <f t="shared" si="6"/>
        <v>0</v>
      </c>
      <c r="P40" s="47">
        <f>VLOOKUP(A40,'Mandato ISEE'!$A$1:$C$215,3,0)</f>
        <v>0</v>
      </c>
      <c r="Q40" s="48">
        <f t="shared" si="7"/>
        <v>0</v>
      </c>
      <c r="R40" s="15">
        <v>0.20100000000000001</v>
      </c>
      <c r="S40" s="15">
        <v>0.158</v>
      </c>
      <c r="T40" s="15">
        <v>0.56999999999999995</v>
      </c>
      <c r="U40" s="15">
        <v>2.1000000000000001E-2</v>
      </c>
      <c r="V40" s="15">
        <v>0.36499999999999999</v>
      </c>
      <c r="W40" s="15">
        <v>0.36399999999999999</v>
      </c>
      <c r="X40" s="15">
        <v>0.48599999999999999</v>
      </c>
      <c r="Y40" s="15">
        <v>0.73299999999999998</v>
      </c>
      <c r="Z40" s="15">
        <v>0.63600000000000001</v>
      </c>
      <c r="AA40" s="15">
        <v>0.63700000000000001</v>
      </c>
      <c r="AB40" s="15">
        <v>0.82499999999999996</v>
      </c>
      <c r="AC40" s="15">
        <v>0.69899999999999995</v>
      </c>
      <c r="AD40" s="15">
        <v>0.749</v>
      </c>
      <c r="AE40" s="14">
        <v>0.156</v>
      </c>
      <c r="AF40" s="15">
        <v>-0.11600000000000001</v>
      </c>
      <c r="AG40" s="15">
        <v>-0.124</v>
      </c>
      <c r="AH40" s="15">
        <v>0.97799999999999998</v>
      </c>
      <c r="AI40" s="15">
        <v>0.64900000000000002</v>
      </c>
      <c r="AJ40" s="9">
        <v>-7.6999999999999999E-2</v>
      </c>
      <c r="AK40" s="4">
        <v>-0.16500000000000001</v>
      </c>
      <c r="AL40" s="4">
        <v>0.98599999999999999</v>
      </c>
      <c r="AM40" s="4">
        <v>-3.1E-2</v>
      </c>
      <c r="AN40" s="4">
        <v>-4.9000000000000002E-2</v>
      </c>
      <c r="AO40" s="4">
        <v>-0.128</v>
      </c>
      <c r="AP40" s="4">
        <v>-2.1999999999999999E-2</v>
      </c>
      <c r="AQ40" s="4">
        <v>2.1000000000000001E-2</v>
      </c>
      <c r="AR40" s="4">
        <v>-0.13</v>
      </c>
      <c r="AS40" s="4">
        <v>-0.125</v>
      </c>
      <c r="AT40" s="4">
        <v>1.6E-2</v>
      </c>
      <c r="AU40" s="4">
        <v>-0.41199999999999998</v>
      </c>
      <c r="AV40" s="4">
        <v>-6.4000000000000001E-2</v>
      </c>
      <c r="AW40" s="4">
        <v>0.59799999999999998</v>
      </c>
      <c r="AX40" s="4">
        <v>-0.36699999999999999</v>
      </c>
      <c r="AY40" s="4">
        <v>0.67800000000000005</v>
      </c>
      <c r="AZ40" s="4">
        <v>0.41099999999999998</v>
      </c>
      <c r="BA40" s="4">
        <v>0.23100000000000001</v>
      </c>
      <c r="BB40" s="4">
        <v>-2.9000000000000001E-2</v>
      </c>
      <c r="BC40" s="4">
        <v>-0.434</v>
      </c>
      <c r="BD40" s="4">
        <v>-0.499</v>
      </c>
      <c r="BE40" s="4">
        <v>0.43</v>
      </c>
      <c r="BF40" s="4">
        <v>0.67100000000000004</v>
      </c>
      <c r="BG40" s="4">
        <v>0.88100000000000001</v>
      </c>
      <c r="BH40" s="4">
        <v>-0.40400000000000003</v>
      </c>
      <c r="BI40" s="4">
        <v>0.26500000000000001</v>
      </c>
      <c r="BJ40" s="4">
        <v>0.72899999999999998</v>
      </c>
      <c r="BK40" s="4">
        <v>0.63800000000000001</v>
      </c>
    </row>
    <row r="41" spans="1:63" x14ac:dyDescent="0.3">
      <c r="A41" t="s">
        <v>80</v>
      </c>
      <c r="B41" s="53">
        <f t="shared" si="8"/>
        <v>0</v>
      </c>
      <c r="C41" s="53">
        <f t="shared" si="4"/>
        <v>0</v>
      </c>
      <c r="D41" s="53">
        <f t="shared" si="5"/>
        <v>0</v>
      </c>
      <c r="E41" s="53">
        <v>0</v>
      </c>
      <c r="F41" s="15">
        <v>2.2770000000000001</v>
      </c>
      <c r="G41">
        <v>2.2639999999999998</v>
      </c>
      <c r="H41" t="s">
        <v>57</v>
      </c>
      <c r="I41" t="str">
        <f>VLOOKUP(A41,Planilha6!$BL$9:$BN$222,2,0)</f>
        <v>tech</v>
      </c>
      <c r="J41" t="str">
        <f>VLOOKUP(A41,Planilha6!$BL$9:$BN$222,3,0)</f>
        <v>low_beta</v>
      </c>
      <c r="K41" s="2">
        <v>0</v>
      </c>
      <c r="L41" s="2">
        <v>0</v>
      </c>
      <c r="M41" s="29">
        <v>0</v>
      </c>
      <c r="N41" s="47">
        <f>VLOOKUP(A41,'Mandato ISEE'!$A$1:$C$215,2,0)</f>
        <v>0</v>
      </c>
      <c r="O41" s="48">
        <f t="shared" si="6"/>
        <v>0</v>
      </c>
      <c r="P41" s="47">
        <f>VLOOKUP(A41,'Mandato ISEE'!$A$1:$C$215,3,0)</f>
        <v>0</v>
      </c>
      <c r="Q41" s="48">
        <f t="shared" si="7"/>
        <v>0</v>
      </c>
      <c r="R41" s="15">
        <v>0.45900000000000002</v>
      </c>
      <c r="S41" s="15">
        <v>0.32900000000000001</v>
      </c>
      <c r="T41" s="15">
        <v>0.60899999999999999</v>
      </c>
      <c r="U41" s="15">
        <v>0.23100000000000001</v>
      </c>
      <c r="V41" s="15">
        <v>0.442</v>
      </c>
      <c r="W41" s="15">
        <v>0.45900000000000002</v>
      </c>
      <c r="X41" s="15">
        <v>0.496</v>
      </c>
      <c r="Y41" s="15">
        <v>0.317</v>
      </c>
      <c r="Z41" s="15">
        <v>0.58499999999999996</v>
      </c>
      <c r="AA41" s="15">
        <v>0.59199999999999997</v>
      </c>
      <c r="AB41" s="15">
        <v>0.82399999999999995</v>
      </c>
      <c r="AC41" s="15">
        <v>0.79500000000000004</v>
      </c>
      <c r="AD41" s="15">
        <v>0.74199999999999999</v>
      </c>
      <c r="AE41" s="14">
        <v>0.20799999999999999</v>
      </c>
      <c r="AF41" s="15">
        <v>0.34</v>
      </c>
      <c r="AG41" s="15">
        <v>-0.36499999999999999</v>
      </c>
      <c r="AH41" s="15">
        <v>0.246</v>
      </c>
      <c r="AI41" s="15">
        <v>-0.13900000000000001</v>
      </c>
      <c r="AJ41" s="9">
        <v>1</v>
      </c>
      <c r="AK41" s="4">
        <v>0.245</v>
      </c>
      <c r="AL41" s="4">
        <v>8.8999999999999996E-2</v>
      </c>
      <c r="AM41" s="4">
        <v>-0.32600000000000001</v>
      </c>
      <c r="AN41" s="4">
        <v>-3.7999999999999999E-2</v>
      </c>
      <c r="AO41" s="4">
        <v>-0.13700000000000001</v>
      </c>
      <c r="AP41" s="4">
        <v>-8.7999999999999995E-2</v>
      </c>
      <c r="AQ41" s="4">
        <v>0.47</v>
      </c>
      <c r="AR41" s="4">
        <v>0.27500000000000002</v>
      </c>
      <c r="AS41" s="4">
        <v>0.1</v>
      </c>
      <c r="AT41" s="4">
        <v>0.42799999999999999</v>
      </c>
      <c r="AU41" s="4">
        <v>-3.5999999999999997E-2</v>
      </c>
      <c r="AV41" s="4">
        <v>-4.1000000000000002E-2</v>
      </c>
      <c r="AW41" s="4">
        <v>0.442</v>
      </c>
      <c r="AX41" s="4">
        <v>0.223</v>
      </c>
      <c r="AY41" s="4">
        <v>0.73299999999999998</v>
      </c>
      <c r="AZ41" s="4">
        <v>0.46899999999999997</v>
      </c>
      <c r="BA41" s="4">
        <v>0.79700000000000004</v>
      </c>
      <c r="BB41" s="4">
        <v>-8.3000000000000004E-2</v>
      </c>
      <c r="BC41" s="4">
        <v>-5.6000000000000001E-2</v>
      </c>
      <c r="BD41" s="4">
        <v>-2.1000000000000001E-2</v>
      </c>
      <c r="BE41" s="4">
        <v>0.3</v>
      </c>
      <c r="BF41" s="4">
        <v>-9.1999999999999998E-2</v>
      </c>
      <c r="BG41" s="4">
        <v>0.75</v>
      </c>
      <c r="BH41" s="4">
        <v>-0.78500000000000003</v>
      </c>
      <c r="BI41" s="4">
        <v>-0.16400000000000001</v>
      </c>
      <c r="BJ41" s="4">
        <v>0.5</v>
      </c>
      <c r="BK41" s="4">
        <v>0.34899999999999998</v>
      </c>
    </row>
    <row r="42" spans="1:63" x14ac:dyDescent="0.3">
      <c r="A42" t="s">
        <v>76</v>
      </c>
      <c r="B42" s="53">
        <f t="shared" si="8"/>
        <v>0</v>
      </c>
      <c r="C42" s="53">
        <f t="shared" si="4"/>
        <v>0</v>
      </c>
      <c r="D42" s="53">
        <f t="shared" si="5"/>
        <v>0</v>
      </c>
      <c r="E42" s="53">
        <v>0</v>
      </c>
      <c r="F42" s="15">
        <v>2.2280000000000002</v>
      </c>
      <c r="G42">
        <v>1.641</v>
      </c>
      <c r="H42" t="s">
        <v>57</v>
      </c>
      <c r="I42" t="str">
        <f>VLOOKUP(A42,Planilha6!$BL$9:$BN$222,2,0)</f>
        <v>homebuilders</v>
      </c>
      <c r="J42" t="str">
        <f>VLOOKUP(A42,Planilha6!$BL$9:$BN$222,3,0)</f>
        <v>high_beta</v>
      </c>
      <c r="K42" s="2">
        <v>0</v>
      </c>
      <c r="L42" s="2">
        <v>0</v>
      </c>
      <c r="M42" s="29">
        <v>0</v>
      </c>
      <c r="N42" s="47">
        <f>VLOOKUP(A42,'Mandato ISEE'!$A$1:$C$215,2,0)</f>
        <v>0</v>
      </c>
      <c r="O42" s="48">
        <f t="shared" si="6"/>
        <v>0</v>
      </c>
      <c r="P42" s="47">
        <f>VLOOKUP(A42,'Mandato ISEE'!$A$1:$C$215,3,0)</f>
        <v>0</v>
      </c>
      <c r="Q42" s="48">
        <f t="shared" si="7"/>
        <v>0</v>
      </c>
      <c r="R42" s="15">
        <v>0.57599999999999996</v>
      </c>
      <c r="S42" s="15">
        <v>0.22500000000000001</v>
      </c>
      <c r="T42" s="15">
        <v>0.71</v>
      </c>
      <c r="U42" s="15">
        <v>0.35699999999999998</v>
      </c>
      <c r="V42" s="15">
        <v>0.48299999999999998</v>
      </c>
      <c r="W42" s="15">
        <v>0.40400000000000003</v>
      </c>
      <c r="X42" s="15">
        <v>0.29199999999999998</v>
      </c>
      <c r="Y42" s="15">
        <v>0.30399999999999999</v>
      </c>
      <c r="Z42" s="15">
        <v>0.36899999999999999</v>
      </c>
      <c r="AA42" s="15">
        <v>0.36699999999999999</v>
      </c>
      <c r="AB42" s="15">
        <v>0.876</v>
      </c>
      <c r="AC42" s="15">
        <v>0.73699999999999999</v>
      </c>
      <c r="AD42" s="15">
        <v>0.71799999999999997</v>
      </c>
      <c r="AE42" s="14">
        <v>0.57899999999999996</v>
      </c>
      <c r="AF42" s="15">
        <v>0.80600000000000005</v>
      </c>
      <c r="AG42" s="15">
        <v>-0.35599999999999998</v>
      </c>
      <c r="AH42" s="15">
        <v>0.40600000000000003</v>
      </c>
      <c r="AI42" s="15">
        <v>0.33800000000000002</v>
      </c>
      <c r="AJ42" s="9">
        <v>0.34799999999999998</v>
      </c>
      <c r="AK42" s="4">
        <v>-0.186</v>
      </c>
      <c r="AL42" s="4">
        <v>0.315</v>
      </c>
      <c r="AM42" s="4">
        <v>-0.30599999999999999</v>
      </c>
      <c r="AN42" s="4">
        <v>0.58799999999999997</v>
      </c>
      <c r="AO42" s="4">
        <v>0.13700000000000001</v>
      </c>
      <c r="AP42" s="4">
        <v>-0.187</v>
      </c>
      <c r="AQ42" s="4">
        <v>0.60399999999999998</v>
      </c>
      <c r="AR42" s="4">
        <v>-8.9999999999999993E-3</v>
      </c>
      <c r="AS42" s="4">
        <v>-0.33900000000000002</v>
      </c>
      <c r="AT42" s="4">
        <v>9.1999999999999998E-2</v>
      </c>
      <c r="AU42" s="4">
        <v>-0.106</v>
      </c>
      <c r="AV42" s="4">
        <v>0.251</v>
      </c>
      <c r="AW42" s="4">
        <v>-0.26</v>
      </c>
      <c r="AX42" s="4">
        <v>3.4000000000000002E-2</v>
      </c>
      <c r="AY42" s="4">
        <v>0.67100000000000004</v>
      </c>
      <c r="AZ42" s="4">
        <v>0.61199999999999999</v>
      </c>
      <c r="BA42" s="4">
        <v>0.80400000000000005</v>
      </c>
      <c r="BB42" s="4">
        <v>-4.0000000000000001E-3</v>
      </c>
      <c r="BC42" s="4">
        <v>-0.32500000000000001</v>
      </c>
      <c r="BD42" s="4">
        <v>9.9000000000000005E-2</v>
      </c>
      <c r="BE42" s="4">
        <v>0.64100000000000001</v>
      </c>
      <c r="BF42" s="4">
        <v>-0.54100000000000004</v>
      </c>
      <c r="BG42" s="4">
        <v>0.375</v>
      </c>
      <c r="BH42" s="4">
        <v>-0.55900000000000005</v>
      </c>
      <c r="BI42" s="4">
        <v>0.60299999999999998</v>
      </c>
      <c r="BJ42" s="4">
        <v>0.75700000000000001</v>
      </c>
      <c r="BK42" s="4">
        <v>0.41299999999999998</v>
      </c>
    </row>
    <row r="43" spans="1:63" x14ac:dyDescent="0.3">
      <c r="A43" t="s">
        <v>63</v>
      </c>
      <c r="B43" s="53">
        <f t="shared" si="8"/>
        <v>0</v>
      </c>
      <c r="C43" s="53">
        <f t="shared" si="4"/>
        <v>0</v>
      </c>
      <c r="D43" s="53">
        <f t="shared" si="5"/>
        <v>0</v>
      </c>
      <c r="E43" s="53">
        <v>0</v>
      </c>
      <c r="F43" s="15">
        <v>2.2240000000000002</v>
      </c>
      <c r="G43">
        <v>2.4319999999999999</v>
      </c>
      <c r="H43" t="s">
        <v>57</v>
      </c>
      <c r="I43" t="str">
        <f>VLOOKUP(A43,Planilha6!$BL$9:$BN$222,2,0)</f>
        <v>apparel</v>
      </c>
      <c r="J43" t="str">
        <f>VLOOKUP(A43,Planilha6!$BL$9:$BN$222,3,0)</f>
        <v>low_beta</v>
      </c>
      <c r="K43" s="2">
        <v>0</v>
      </c>
      <c r="L43" s="2">
        <v>0</v>
      </c>
      <c r="M43" s="29">
        <v>0</v>
      </c>
      <c r="N43" s="47">
        <f>VLOOKUP(A43,'Mandato ISEE'!$A$1:$C$215,2,0)</f>
        <v>0</v>
      </c>
      <c r="O43" s="48">
        <f t="shared" si="6"/>
        <v>0</v>
      </c>
      <c r="P43" s="47">
        <f>VLOOKUP(A43,'Mandato ISEE'!$A$1:$C$215,3,0)</f>
        <v>0</v>
      </c>
      <c r="Q43" s="48">
        <f t="shared" si="7"/>
        <v>0</v>
      </c>
      <c r="R43" s="15">
        <v>-0.10100000000000001</v>
      </c>
      <c r="S43" s="15">
        <v>0.22900000000000001</v>
      </c>
      <c r="T43" s="15">
        <v>3.7999999999999999E-2</v>
      </c>
      <c r="U43" s="15">
        <v>0.215</v>
      </c>
      <c r="V43" s="15">
        <v>0.45400000000000001</v>
      </c>
      <c r="W43" s="15">
        <v>0.48699999999999999</v>
      </c>
      <c r="X43" s="15">
        <v>0.82299999999999995</v>
      </c>
      <c r="Y43" s="15">
        <v>1</v>
      </c>
      <c r="Z43" s="15">
        <v>0.61299999999999999</v>
      </c>
      <c r="AA43" s="15">
        <v>0.61899999999999999</v>
      </c>
      <c r="AB43" s="15">
        <v>0.748</v>
      </c>
      <c r="AC43" s="15">
        <v>0.64300000000000002</v>
      </c>
      <c r="AD43" s="15">
        <v>0.47399999999999998</v>
      </c>
      <c r="AE43" s="14">
        <v>0.75800000000000001</v>
      </c>
      <c r="AF43" s="15">
        <v>0.219</v>
      </c>
      <c r="AG43" s="15">
        <v>-0.64200000000000002</v>
      </c>
      <c r="AH43" s="15">
        <v>-0.23599999999999999</v>
      </c>
      <c r="AI43" s="15">
        <v>-0.57499999999999996</v>
      </c>
      <c r="AJ43" s="9">
        <v>0.38100000000000001</v>
      </c>
      <c r="AK43" s="4">
        <v>-0.27300000000000002</v>
      </c>
      <c r="AL43" s="4">
        <v>1</v>
      </c>
      <c r="AM43" s="4">
        <v>-0.745</v>
      </c>
      <c r="AN43" s="4">
        <v>0.55200000000000005</v>
      </c>
      <c r="AO43" s="4">
        <v>-0.27500000000000002</v>
      </c>
      <c r="AP43" s="4">
        <v>-0.51400000000000001</v>
      </c>
      <c r="AQ43" s="4">
        <v>0.28799999999999998</v>
      </c>
      <c r="AR43" s="4">
        <v>-5.7000000000000002E-2</v>
      </c>
      <c r="AS43" s="4">
        <v>-0.39700000000000002</v>
      </c>
      <c r="AT43" s="4">
        <v>0.83099999999999996</v>
      </c>
      <c r="AU43" s="4">
        <v>0.13800000000000001</v>
      </c>
      <c r="AV43" s="4">
        <v>0.36599999999999999</v>
      </c>
      <c r="AW43" s="4">
        <v>0.373</v>
      </c>
      <c r="AX43" s="4">
        <v>-5.8000000000000003E-2</v>
      </c>
      <c r="AY43" s="4">
        <v>0.72399999999999998</v>
      </c>
      <c r="AZ43" s="4">
        <v>1</v>
      </c>
      <c r="BA43" s="4">
        <v>7.2999999999999995E-2</v>
      </c>
      <c r="BB43" s="4">
        <v>-0.70899999999999996</v>
      </c>
      <c r="BC43" s="4">
        <v>-0.76700000000000002</v>
      </c>
      <c r="BD43" s="4">
        <v>-0.52500000000000002</v>
      </c>
      <c r="BE43" s="4">
        <v>0.109</v>
      </c>
      <c r="BF43" s="4">
        <v>-5.6000000000000001E-2</v>
      </c>
      <c r="BG43" s="4">
        <v>0.79700000000000004</v>
      </c>
      <c r="BH43" s="4">
        <v>-0.746</v>
      </c>
      <c r="BI43" s="4">
        <v>-0.25</v>
      </c>
      <c r="BJ43" s="4">
        <v>0.17100000000000001</v>
      </c>
      <c r="BK43" s="4">
        <v>8.8999999999999996E-2</v>
      </c>
    </row>
    <row r="44" spans="1:63" x14ac:dyDescent="0.3">
      <c r="A44" t="s">
        <v>167</v>
      </c>
      <c r="B44" s="53">
        <f t="shared" si="8"/>
        <v>0</v>
      </c>
      <c r="C44" s="53">
        <f t="shared" si="4"/>
        <v>0</v>
      </c>
      <c r="D44" s="53">
        <f t="shared" si="5"/>
        <v>0</v>
      </c>
      <c r="E44" s="53">
        <v>0</v>
      </c>
      <c r="F44" s="15">
        <v>2.2210000000000001</v>
      </c>
      <c r="G44">
        <v>2.0939999999999999</v>
      </c>
      <c r="H44" t="s">
        <v>57</v>
      </c>
      <c r="I44" t="str">
        <f>VLOOKUP(A44,Planilha6!$BL$9:$BN$222,2,0)</f>
        <v>tech</v>
      </c>
      <c r="J44" t="str">
        <f>VLOOKUP(A44,Planilha6!$BL$9:$BN$222,3,0)</f>
        <v>high_beta</v>
      </c>
      <c r="K44" s="2">
        <v>0</v>
      </c>
      <c r="L44" s="2">
        <v>0</v>
      </c>
      <c r="M44" s="29">
        <v>0</v>
      </c>
      <c r="N44" s="47">
        <f>VLOOKUP(A44,'Mandato ISEE'!$A$1:$C$215,2,0)</f>
        <v>0</v>
      </c>
      <c r="O44" s="48">
        <f t="shared" si="6"/>
        <v>0</v>
      </c>
      <c r="P44" s="47">
        <f>VLOOKUP(A44,'Mandato ISEE'!$A$1:$C$215,3,0)</f>
        <v>0</v>
      </c>
      <c r="Q44" s="48">
        <f t="shared" si="7"/>
        <v>0</v>
      </c>
      <c r="R44" s="15">
        <v>0.56299999999999994</v>
      </c>
      <c r="S44" s="15">
        <v>0.54400000000000004</v>
      </c>
      <c r="T44" s="15">
        <v>0.25600000000000001</v>
      </c>
      <c r="U44" s="15">
        <v>0.33400000000000002</v>
      </c>
      <c r="V44" s="15">
        <v>0.40400000000000003</v>
      </c>
      <c r="W44" s="15">
        <v>0.39300000000000002</v>
      </c>
      <c r="X44" s="15">
        <v>0.308</v>
      </c>
      <c r="Y44" s="15">
        <v>0.17399999999999999</v>
      </c>
      <c r="Z44" s="15">
        <v>0.53300000000000003</v>
      </c>
      <c r="AA44" s="15">
        <v>0.53700000000000003</v>
      </c>
      <c r="AB44" s="15">
        <v>0.83299999999999996</v>
      </c>
      <c r="AC44" s="15">
        <v>0.85199999999999998</v>
      </c>
      <c r="AD44" s="15">
        <v>0.82099999999999995</v>
      </c>
      <c r="AE44" s="14">
        <v>0.28499999999999998</v>
      </c>
      <c r="AF44" s="15">
        <v>-0.33900000000000002</v>
      </c>
      <c r="AG44" s="15">
        <v>0.34799999999999998</v>
      </c>
      <c r="AH44" s="15">
        <v>-0.32700000000000001</v>
      </c>
      <c r="AI44" s="15">
        <v>0.58899999999999997</v>
      </c>
      <c r="AJ44" s="9">
        <v>7.8E-2</v>
      </c>
      <c r="AK44" s="4">
        <v>9.5000000000000001E-2</v>
      </c>
      <c r="AL44" s="4">
        <v>-0.24199999999999999</v>
      </c>
      <c r="AM44" s="4">
        <v>-0.64500000000000002</v>
      </c>
      <c r="AN44" s="4">
        <v>0.76600000000000001</v>
      </c>
      <c r="AO44" s="4">
        <v>0.35899999999999999</v>
      </c>
      <c r="AP44" s="4">
        <v>0.78900000000000003</v>
      </c>
      <c r="AQ44" s="4">
        <v>7.4999999999999997E-2</v>
      </c>
      <c r="AR44" s="4">
        <v>0.13500000000000001</v>
      </c>
      <c r="AS44" s="4">
        <v>0.17299999999999999</v>
      </c>
      <c r="AT44" s="4">
        <v>0.53200000000000003</v>
      </c>
      <c r="AU44" s="4">
        <v>-9.2999999999999999E-2</v>
      </c>
      <c r="AV44" s="4">
        <v>0.35299999999999998</v>
      </c>
      <c r="AW44" s="4">
        <v>0.20799999999999999</v>
      </c>
      <c r="AX44" s="4">
        <v>0.38</v>
      </c>
      <c r="AY44" s="4">
        <v>0.81699999999999995</v>
      </c>
      <c r="AZ44" s="4">
        <v>0.29299999999999998</v>
      </c>
      <c r="BA44" s="4">
        <v>0.16400000000000001</v>
      </c>
      <c r="BB44" s="4">
        <v>0.12</v>
      </c>
      <c r="BC44" s="4">
        <v>0.09</v>
      </c>
      <c r="BD44" s="4">
        <v>0.38600000000000001</v>
      </c>
      <c r="BE44" s="4">
        <v>0.30399999999999999</v>
      </c>
      <c r="BF44" s="4">
        <v>0.443</v>
      </c>
      <c r="BG44" s="4">
        <v>0.46400000000000002</v>
      </c>
      <c r="BH44" s="4">
        <v>0.03</v>
      </c>
      <c r="BI44" s="4">
        <v>0.09</v>
      </c>
      <c r="BJ44" s="4">
        <v>2E-3</v>
      </c>
      <c r="BK44" s="4">
        <v>-0.111</v>
      </c>
    </row>
    <row r="45" spans="1:63" x14ac:dyDescent="0.3">
      <c r="A45" t="s">
        <v>145</v>
      </c>
      <c r="B45" s="53">
        <f t="shared" si="8"/>
        <v>0</v>
      </c>
      <c r="C45" s="53">
        <f t="shared" si="4"/>
        <v>0</v>
      </c>
      <c r="D45" s="53">
        <f t="shared" si="5"/>
        <v>0</v>
      </c>
      <c r="E45" s="53">
        <v>0</v>
      </c>
      <c r="F45" s="15">
        <v>2.1819999999999999</v>
      </c>
      <c r="G45">
        <v>1.6160000000000001</v>
      </c>
      <c r="H45" t="s">
        <v>57</v>
      </c>
      <c r="I45" t="str">
        <f>VLOOKUP(A45,Planilha6!$BL$9:$BN$222,2,0)</f>
        <v>banks</v>
      </c>
      <c r="J45" t="str">
        <f>VLOOKUP(A45,Planilha6!$BL$9:$BN$222,3,0)</f>
        <v>high_beta</v>
      </c>
      <c r="K45" s="2">
        <v>0</v>
      </c>
      <c r="L45" s="2">
        <v>0</v>
      </c>
      <c r="M45" s="29">
        <v>0</v>
      </c>
      <c r="N45" s="47">
        <f>VLOOKUP(A45,'Mandato ISEE'!$A$1:$C$215,2,0)</f>
        <v>0</v>
      </c>
      <c r="O45" s="48">
        <f t="shared" si="6"/>
        <v>0</v>
      </c>
      <c r="P45" s="47">
        <f>VLOOKUP(A45,'Mandato ISEE'!$A$1:$C$215,3,0)</f>
        <v>0</v>
      </c>
      <c r="Q45" s="48">
        <f t="shared" si="7"/>
        <v>0</v>
      </c>
      <c r="R45" s="15">
        <v>0.311</v>
      </c>
      <c r="S45" s="15">
        <v>0.54900000000000004</v>
      </c>
      <c r="T45" s="15">
        <v>0.41399999999999998</v>
      </c>
      <c r="U45" s="15">
        <v>0.17699999999999999</v>
      </c>
      <c r="V45" s="15">
        <v>0.504</v>
      </c>
      <c r="W45" s="15">
        <v>0.17199999999999999</v>
      </c>
      <c r="X45" s="15">
        <v>7.0000000000000001E-3</v>
      </c>
      <c r="Y45" s="15">
        <v>0.13900000000000001</v>
      </c>
      <c r="Z45" s="15">
        <v>0.88800000000000001</v>
      </c>
      <c r="AA45" s="15">
        <v>0.88900000000000001</v>
      </c>
      <c r="AB45" s="15">
        <v>0.96199999999999997</v>
      </c>
      <c r="AC45" s="15">
        <v>0.93200000000000005</v>
      </c>
      <c r="AD45" s="15">
        <v>0.96799999999999997</v>
      </c>
      <c r="AE45" s="14">
        <v>-0.51700000000000002</v>
      </c>
      <c r="AF45" s="15">
        <v>5.0999999999999997E-2</v>
      </c>
      <c r="AG45" s="15">
        <v>0.46600000000000003</v>
      </c>
      <c r="AH45" s="15">
        <v>-0.71799999999999997</v>
      </c>
      <c r="AI45" s="15">
        <v>0.61499999999999999</v>
      </c>
      <c r="AJ45" s="9">
        <v>-5.5E-2</v>
      </c>
      <c r="AK45" s="4">
        <v>-9.7000000000000003E-2</v>
      </c>
      <c r="AL45" s="4">
        <v>-0.40600000000000003</v>
      </c>
      <c r="AM45" s="4">
        <v>-0.58699999999999997</v>
      </c>
      <c r="AN45" s="4">
        <v>-0.61299999999999999</v>
      </c>
      <c r="AO45" s="4">
        <v>0.71299999999999997</v>
      </c>
      <c r="AP45" s="4">
        <v>0.80500000000000005</v>
      </c>
      <c r="AQ45" s="4">
        <v>0.32400000000000001</v>
      </c>
      <c r="AR45" s="4">
        <v>1</v>
      </c>
      <c r="AS45" s="4">
        <v>0.68100000000000005</v>
      </c>
      <c r="AT45" s="4">
        <v>0.36299999999999999</v>
      </c>
      <c r="AU45" s="4">
        <v>-8.4000000000000005E-2</v>
      </c>
      <c r="AV45" s="4">
        <v>-5.2999999999999999E-2</v>
      </c>
      <c r="AW45" s="4">
        <v>0.38200000000000001</v>
      </c>
      <c r="AX45" s="4">
        <v>8.8999999999999996E-2</v>
      </c>
      <c r="AY45" s="4">
        <v>0.62</v>
      </c>
      <c r="AZ45" s="4">
        <v>1</v>
      </c>
      <c r="BA45" s="4">
        <v>0.23300000000000001</v>
      </c>
      <c r="BB45" s="4">
        <v>-0.53500000000000003</v>
      </c>
      <c r="BC45" s="4">
        <v>-0.20799999999999999</v>
      </c>
      <c r="BD45" s="4">
        <v>-0.46100000000000002</v>
      </c>
      <c r="BE45" s="4">
        <v>0.47699999999999998</v>
      </c>
      <c r="BF45" s="4">
        <v>0.17399999999999999</v>
      </c>
      <c r="BG45" s="4">
        <v>0.32800000000000001</v>
      </c>
      <c r="BH45" s="4">
        <v>-1</v>
      </c>
      <c r="BI45" s="4">
        <v>0.30599999999999999</v>
      </c>
      <c r="BJ45" s="4">
        <v>0.90600000000000003</v>
      </c>
      <c r="BK45" s="4">
        <v>0.39900000000000002</v>
      </c>
    </row>
    <row r="46" spans="1:63" x14ac:dyDescent="0.3">
      <c r="A46" t="s">
        <v>126</v>
      </c>
      <c r="B46" s="53">
        <f t="shared" si="8"/>
        <v>0</v>
      </c>
      <c r="C46" s="53">
        <f t="shared" si="4"/>
        <v>0</v>
      </c>
      <c r="D46" s="53">
        <f t="shared" si="5"/>
        <v>0</v>
      </c>
      <c r="E46" s="53">
        <v>0</v>
      </c>
      <c r="F46" s="15">
        <v>2.15</v>
      </c>
      <c r="G46">
        <v>1.6180000000000001</v>
      </c>
      <c r="H46" t="s">
        <v>57</v>
      </c>
      <c r="I46" t="str">
        <f>VLOOKUP(A46,Planilha6!$BL$9:$BN$222,2,0)</f>
        <v>tech</v>
      </c>
      <c r="J46" t="str">
        <f>VLOOKUP(A46,Planilha6!$BL$9:$BN$222,3,0)</f>
        <v>neutral_beta</v>
      </c>
      <c r="K46" s="2">
        <v>0</v>
      </c>
      <c r="L46" s="2">
        <v>0</v>
      </c>
      <c r="M46" s="29">
        <v>0</v>
      </c>
      <c r="N46" s="47">
        <f>VLOOKUP(A46,'Mandato ISEE'!$A$1:$C$215,2,0)</f>
        <v>0</v>
      </c>
      <c r="O46" s="48">
        <f t="shared" si="6"/>
        <v>0</v>
      </c>
      <c r="P46" s="47">
        <f>VLOOKUP(A46,'Mandato ISEE'!$A$1:$C$215,3,0)</f>
        <v>0</v>
      </c>
      <c r="Q46" s="48">
        <f t="shared" si="7"/>
        <v>0</v>
      </c>
      <c r="R46" s="15">
        <v>0.94599999999999995</v>
      </c>
      <c r="S46" s="15">
        <v>0.20899999999999999</v>
      </c>
      <c r="T46" s="15">
        <v>0.95599999999999996</v>
      </c>
      <c r="U46" s="15">
        <v>0.49099999999999999</v>
      </c>
      <c r="V46" s="15">
        <v>0.44800000000000001</v>
      </c>
      <c r="W46" s="15">
        <v>0.17699999999999999</v>
      </c>
      <c r="X46" s="15">
        <v>-0.253</v>
      </c>
      <c r="Y46" s="15">
        <v>-0.45900000000000002</v>
      </c>
      <c r="Z46" s="15">
        <v>0.71899999999999997</v>
      </c>
      <c r="AA46" s="15">
        <v>0.72099999999999997</v>
      </c>
      <c r="AB46" s="15">
        <v>0.98299999999999998</v>
      </c>
      <c r="AC46" s="15">
        <v>1</v>
      </c>
      <c r="AD46" s="15">
        <v>1</v>
      </c>
      <c r="AE46" s="14">
        <v>0.59199999999999997</v>
      </c>
      <c r="AF46" s="15">
        <v>0.40200000000000002</v>
      </c>
      <c r="AG46" s="15">
        <v>0.47399999999999998</v>
      </c>
      <c r="AH46" s="15">
        <v>0.26600000000000001</v>
      </c>
      <c r="AI46" s="15">
        <v>0.38100000000000001</v>
      </c>
      <c r="AJ46" s="9">
        <v>0.307</v>
      </c>
      <c r="AK46" s="4">
        <v>-0.221</v>
      </c>
      <c r="AL46" s="4">
        <v>-0.79100000000000004</v>
      </c>
      <c r="AM46" s="4">
        <v>0.55800000000000005</v>
      </c>
      <c r="AN46" s="4">
        <v>0.31</v>
      </c>
      <c r="AO46" s="4">
        <v>0.41199999999999998</v>
      </c>
      <c r="AP46" s="4">
        <v>-0.161</v>
      </c>
      <c r="AQ46" s="4">
        <v>0.28499999999999998</v>
      </c>
      <c r="AR46" s="4">
        <v>1</v>
      </c>
      <c r="AS46" s="4">
        <v>0.80300000000000005</v>
      </c>
      <c r="AT46" s="4">
        <v>1E-3</v>
      </c>
      <c r="AU46" s="4">
        <v>-0.315</v>
      </c>
      <c r="AV46" s="4">
        <v>0.38300000000000001</v>
      </c>
      <c r="AW46" s="4">
        <v>-0.45700000000000002</v>
      </c>
      <c r="AX46" s="4">
        <v>0.371</v>
      </c>
      <c r="AY46" s="4">
        <v>0.61399999999999999</v>
      </c>
      <c r="AZ46" s="4">
        <v>-4.0000000000000001E-3</v>
      </c>
      <c r="BA46" s="4">
        <v>0.88500000000000001</v>
      </c>
      <c r="BB46" s="4">
        <v>0.308</v>
      </c>
      <c r="BC46" s="4">
        <v>-0.192</v>
      </c>
      <c r="BD46" s="4">
        <v>0.66400000000000003</v>
      </c>
      <c r="BE46" s="4">
        <v>-0.495</v>
      </c>
      <c r="BF46" s="4">
        <v>0.13100000000000001</v>
      </c>
      <c r="BG46" s="4">
        <v>0.217</v>
      </c>
      <c r="BH46" s="4">
        <v>0.498</v>
      </c>
      <c r="BI46" s="4">
        <v>-0.127</v>
      </c>
      <c r="BJ46" s="4">
        <v>0.88700000000000001</v>
      </c>
      <c r="BK46" s="4">
        <v>0.48199999999999998</v>
      </c>
    </row>
    <row r="47" spans="1:63" x14ac:dyDescent="0.3">
      <c r="A47" t="s">
        <v>114</v>
      </c>
      <c r="B47" s="53">
        <f t="shared" si="8"/>
        <v>0</v>
      </c>
      <c r="C47" s="53">
        <f t="shared" si="4"/>
        <v>0</v>
      </c>
      <c r="D47" s="53">
        <f t="shared" si="5"/>
        <v>0</v>
      </c>
      <c r="E47" s="53">
        <v>0</v>
      </c>
      <c r="F47" s="15">
        <v>2.081</v>
      </c>
      <c r="G47">
        <v>2.7629999999999999</v>
      </c>
      <c r="H47" t="s">
        <v>55</v>
      </c>
      <c r="I47" t="str">
        <f>VLOOKUP(A47,Planilha6!$BL$9:$BN$222,2,0)</f>
        <v>utilities</v>
      </c>
      <c r="J47" t="str">
        <f>VLOOKUP(A47,Planilha6!$BL$9:$BN$222,3,0)</f>
        <v>very_low_beta</v>
      </c>
      <c r="K47" s="2">
        <v>0</v>
      </c>
      <c r="L47" s="2">
        <v>0</v>
      </c>
      <c r="M47" s="29">
        <v>0</v>
      </c>
      <c r="N47" s="47">
        <f>VLOOKUP(A47,'Mandato ISEE'!$A$1:$C$215,2,0)</f>
        <v>0</v>
      </c>
      <c r="O47" s="48">
        <f t="shared" si="6"/>
        <v>0</v>
      </c>
      <c r="P47" s="47">
        <f>VLOOKUP(A47,'Mandato ISEE'!$A$1:$C$215,3,0)</f>
        <v>0</v>
      </c>
      <c r="Q47" s="48">
        <f t="shared" si="7"/>
        <v>0</v>
      </c>
      <c r="R47" s="15">
        <v>-0.121</v>
      </c>
      <c r="S47" s="15">
        <v>0.68</v>
      </c>
      <c r="T47" s="15">
        <v>-0.33</v>
      </c>
      <c r="U47" s="15">
        <v>1.9E-2</v>
      </c>
      <c r="V47" s="15">
        <v>0.33700000000000002</v>
      </c>
      <c r="W47" s="15">
        <v>0.38300000000000001</v>
      </c>
      <c r="X47" s="15">
        <v>0.72499999999999998</v>
      </c>
      <c r="Y47" s="15">
        <v>0.47899999999999998</v>
      </c>
      <c r="Z47" s="15">
        <v>0.88</v>
      </c>
      <c r="AA47" s="15">
        <v>0.88600000000000001</v>
      </c>
      <c r="AB47" s="15">
        <v>0.70399999999999996</v>
      </c>
      <c r="AC47" s="15">
        <v>0.90200000000000002</v>
      </c>
      <c r="AD47" s="15">
        <v>0.74399999999999999</v>
      </c>
      <c r="AE47" s="14">
        <v>0.10100000000000001</v>
      </c>
      <c r="AF47" s="15">
        <v>-0.58099999999999996</v>
      </c>
      <c r="AG47" s="15">
        <v>0.371</v>
      </c>
      <c r="AH47" s="15">
        <v>-0.70499999999999996</v>
      </c>
      <c r="AI47" s="15">
        <v>-0.30599999999999999</v>
      </c>
      <c r="AJ47" s="9">
        <v>-0.75600000000000001</v>
      </c>
      <c r="AK47" s="4">
        <v>-4.9000000000000002E-2</v>
      </c>
      <c r="AL47" s="4">
        <v>-0.42799999999999999</v>
      </c>
      <c r="AM47" s="4">
        <v>-0.28699999999999998</v>
      </c>
      <c r="AN47" s="4">
        <v>-0.36799999999999999</v>
      </c>
      <c r="AO47" s="4">
        <v>0.34699999999999998</v>
      </c>
      <c r="AP47" s="4">
        <v>0.40300000000000002</v>
      </c>
      <c r="AQ47" s="4">
        <v>-0.109</v>
      </c>
      <c r="AR47" s="4">
        <v>7.0000000000000007E-2</v>
      </c>
      <c r="AS47" s="4">
        <v>0.307</v>
      </c>
      <c r="AT47" s="4">
        <v>0.06</v>
      </c>
      <c r="AU47" s="4">
        <v>0.70799999999999996</v>
      </c>
      <c r="AV47" s="4">
        <v>0.27800000000000002</v>
      </c>
      <c r="AW47" s="4">
        <v>0.79100000000000004</v>
      </c>
      <c r="AX47" s="4">
        <v>-0.504</v>
      </c>
      <c r="AY47" s="4">
        <v>0.81799999999999995</v>
      </c>
      <c r="AZ47" s="4">
        <v>1</v>
      </c>
      <c r="BA47" s="4">
        <v>2.1000000000000001E-2</v>
      </c>
      <c r="BB47" s="4">
        <v>0.03</v>
      </c>
      <c r="BC47" s="4">
        <v>-0.223</v>
      </c>
      <c r="BD47" s="4">
        <v>0.28399999999999997</v>
      </c>
      <c r="BE47" s="4">
        <v>0.14699999999999999</v>
      </c>
      <c r="BF47" s="4">
        <v>-0.23300000000000001</v>
      </c>
      <c r="BG47" s="4">
        <v>0.93700000000000006</v>
      </c>
      <c r="BH47" s="4">
        <v>-0.49399999999999999</v>
      </c>
      <c r="BI47" s="4">
        <v>-0.40300000000000002</v>
      </c>
      <c r="BJ47" s="4">
        <v>0.29799999999999999</v>
      </c>
      <c r="BK47" s="4">
        <v>0.11799999999999999</v>
      </c>
    </row>
    <row r="48" spans="1:63" x14ac:dyDescent="0.3">
      <c r="A48" t="s">
        <v>116</v>
      </c>
      <c r="B48" s="53">
        <f t="shared" si="8"/>
        <v>0</v>
      </c>
      <c r="C48" s="53">
        <f t="shared" si="4"/>
        <v>0</v>
      </c>
      <c r="D48" s="53">
        <f t="shared" si="5"/>
        <v>0</v>
      </c>
      <c r="E48" s="53">
        <v>0</v>
      </c>
      <c r="F48" s="15">
        <v>2.0649999999999999</v>
      </c>
      <c r="G48">
        <v>2.2250000000000001</v>
      </c>
      <c r="H48" t="s">
        <v>53</v>
      </c>
      <c r="I48" t="str">
        <f>VLOOKUP(A48,Planilha6!$BL$9:$BN$222,2,0)</f>
        <v>healthcare</v>
      </c>
      <c r="J48" t="str">
        <f>VLOOKUP(A48,Planilha6!$BL$9:$BN$222,3,0)</f>
        <v>neutral_beta</v>
      </c>
      <c r="K48" s="2">
        <v>0</v>
      </c>
      <c r="L48" s="2">
        <v>0</v>
      </c>
      <c r="M48" s="29">
        <v>0</v>
      </c>
      <c r="N48" s="47">
        <f>VLOOKUP(A48,'Mandato ISEE'!$A$1:$C$215,2,0)</f>
        <v>0</v>
      </c>
      <c r="O48" s="48">
        <f t="shared" si="6"/>
        <v>0</v>
      </c>
      <c r="P48" s="47">
        <f>VLOOKUP(A48,'Mandato ISEE'!$A$1:$C$215,3,0)</f>
        <v>0</v>
      </c>
      <c r="Q48" s="48">
        <f t="shared" si="7"/>
        <v>0</v>
      </c>
      <c r="R48" s="15">
        <v>0.45100000000000001</v>
      </c>
      <c r="S48" s="15">
        <v>0.49099999999999999</v>
      </c>
      <c r="T48" s="15">
        <v>0.28499999999999998</v>
      </c>
      <c r="U48" s="15">
        <v>0.33600000000000002</v>
      </c>
      <c r="V48" s="15">
        <v>0.41</v>
      </c>
      <c r="W48" s="15">
        <v>0.27600000000000002</v>
      </c>
      <c r="X48" s="15">
        <v>0.27400000000000002</v>
      </c>
      <c r="Y48" s="15">
        <v>-8.6999999999999994E-2</v>
      </c>
      <c r="Z48" s="15">
        <v>0.55600000000000005</v>
      </c>
      <c r="AA48" s="15">
        <v>0.56000000000000005</v>
      </c>
      <c r="AB48" s="15">
        <v>0.89800000000000002</v>
      </c>
      <c r="AC48" s="15">
        <v>1</v>
      </c>
      <c r="AD48" s="15">
        <v>0.91500000000000004</v>
      </c>
      <c r="AE48" s="14">
        <v>-0.14499999999999999</v>
      </c>
      <c r="AF48" s="15">
        <v>-0.35199999999999998</v>
      </c>
      <c r="AG48" s="15">
        <v>0.78200000000000003</v>
      </c>
      <c r="AH48" s="15">
        <v>-0.374</v>
      </c>
      <c r="AI48" s="15">
        <v>1</v>
      </c>
      <c r="AJ48" s="9">
        <v>0.35199999999999998</v>
      </c>
      <c r="AK48" s="4">
        <v>-0.17299999999999999</v>
      </c>
      <c r="AL48" s="4">
        <v>-0.6</v>
      </c>
      <c r="AM48" s="4">
        <v>-0.58099999999999996</v>
      </c>
      <c r="AN48" s="4">
        <v>9.5000000000000001E-2</v>
      </c>
      <c r="AO48" s="4">
        <v>0.71899999999999997</v>
      </c>
      <c r="AP48" s="4">
        <v>0.66500000000000004</v>
      </c>
      <c r="AQ48" s="4">
        <v>0.33200000000000002</v>
      </c>
      <c r="AR48" s="4">
        <v>0.214</v>
      </c>
      <c r="AS48" s="4">
        <v>0.47499999999999998</v>
      </c>
      <c r="AT48" s="4">
        <v>0.52600000000000002</v>
      </c>
      <c r="AU48" s="4">
        <v>-0.32100000000000001</v>
      </c>
      <c r="AV48" s="4">
        <v>0.46700000000000003</v>
      </c>
      <c r="AW48" s="4">
        <v>0.39800000000000002</v>
      </c>
      <c r="AX48" s="4">
        <v>-0.129</v>
      </c>
      <c r="AY48" s="4">
        <v>0.999</v>
      </c>
      <c r="AZ48" s="4">
        <v>-0.28000000000000003</v>
      </c>
      <c r="BA48" s="4">
        <v>0.77900000000000003</v>
      </c>
      <c r="BB48" s="4">
        <v>-0.28499999999999998</v>
      </c>
      <c r="BC48" s="4">
        <v>-0.27600000000000002</v>
      </c>
      <c r="BD48" s="4">
        <v>0.16600000000000001</v>
      </c>
      <c r="BE48" s="4">
        <v>0.29899999999999999</v>
      </c>
      <c r="BF48" s="4">
        <v>-0.69199999999999995</v>
      </c>
      <c r="BG48" s="4">
        <v>0.67200000000000004</v>
      </c>
      <c r="BH48" s="4">
        <v>-0.30599999999999999</v>
      </c>
      <c r="BI48" s="4">
        <v>-3.4000000000000002E-2</v>
      </c>
      <c r="BJ48" s="4">
        <v>0.26900000000000002</v>
      </c>
      <c r="BK48" s="4">
        <v>0.40200000000000002</v>
      </c>
    </row>
    <row r="49" spans="1:63" x14ac:dyDescent="0.3">
      <c r="A49" t="s">
        <v>131</v>
      </c>
      <c r="B49" s="53">
        <f t="shared" si="8"/>
        <v>0</v>
      </c>
      <c r="C49" s="53">
        <f t="shared" si="4"/>
        <v>0</v>
      </c>
      <c r="D49" s="53">
        <f t="shared" si="5"/>
        <v>0</v>
      </c>
      <c r="E49" s="53">
        <v>0</v>
      </c>
      <c r="F49" s="15">
        <v>2.0209999999999999</v>
      </c>
      <c r="G49">
        <v>1.915</v>
      </c>
      <c r="H49" t="s">
        <v>71</v>
      </c>
      <c r="I49" t="str">
        <f>VLOOKUP(A49,Planilha6!$BL$9:$BN$222,2,0)</f>
        <v>crude_oil</v>
      </c>
      <c r="J49" t="str">
        <f>VLOOKUP(A49,Planilha6!$BL$9:$BN$222,3,0)</f>
        <v>very_low_beta</v>
      </c>
      <c r="K49" s="2">
        <v>0</v>
      </c>
      <c r="L49" s="2">
        <v>0</v>
      </c>
      <c r="M49" s="29">
        <v>0</v>
      </c>
      <c r="N49" s="47">
        <f>VLOOKUP(A49,'Mandato ISEE'!$A$1:$C$215,2,0)</f>
        <v>0</v>
      </c>
      <c r="O49" s="48">
        <f t="shared" si="6"/>
        <v>0</v>
      </c>
      <c r="P49" s="47">
        <f>VLOOKUP(A49,'Mandato ISEE'!$A$1:$C$215,3,0)</f>
        <v>0</v>
      </c>
      <c r="Q49" s="48">
        <f t="shared" si="7"/>
        <v>0</v>
      </c>
      <c r="R49" s="15">
        <v>-0.17599999999999999</v>
      </c>
      <c r="S49" s="15">
        <v>0.311</v>
      </c>
      <c r="T49" s="15">
        <v>-0.40400000000000003</v>
      </c>
      <c r="U49" s="15">
        <v>2E-3</v>
      </c>
      <c r="V49" s="15">
        <v>0.17100000000000001</v>
      </c>
      <c r="W49" s="15">
        <v>0.36099999999999999</v>
      </c>
      <c r="X49" s="15">
        <v>0.40600000000000003</v>
      </c>
      <c r="Y49" s="15">
        <v>0.65700000000000003</v>
      </c>
      <c r="Z49" s="15">
        <v>0.90500000000000003</v>
      </c>
      <c r="AA49" s="15">
        <v>0.90700000000000003</v>
      </c>
      <c r="AB49" s="15">
        <v>0.77800000000000002</v>
      </c>
      <c r="AC49" s="15">
        <v>0.82799999999999996</v>
      </c>
      <c r="AD49" s="15">
        <v>0.73599999999999999</v>
      </c>
      <c r="AE49" s="14">
        <v>-0.25600000000000001</v>
      </c>
      <c r="AF49" s="15">
        <v>-0.34100000000000003</v>
      </c>
      <c r="AG49" s="15">
        <v>0.95499999999999996</v>
      </c>
      <c r="AH49" s="15">
        <v>5.0999999999999997E-2</v>
      </c>
      <c r="AI49" s="15">
        <v>0.52200000000000002</v>
      </c>
      <c r="AJ49" s="9">
        <v>-0.66600000000000004</v>
      </c>
      <c r="AK49" s="4">
        <v>-0.24299999999999999</v>
      </c>
      <c r="AL49" s="4">
        <v>0.77</v>
      </c>
      <c r="AM49" s="4">
        <v>-0.06</v>
      </c>
      <c r="AN49" s="4">
        <v>0.33100000000000002</v>
      </c>
      <c r="AO49" s="4">
        <v>0.36699999999999999</v>
      </c>
      <c r="AP49" s="4">
        <v>0.89600000000000002</v>
      </c>
      <c r="AQ49" s="4">
        <v>-0.42699999999999999</v>
      </c>
      <c r="AR49" s="4">
        <v>0.28000000000000003</v>
      </c>
      <c r="AS49" s="4">
        <v>4.4999999999999998E-2</v>
      </c>
      <c r="AT49" s="4">
        <v>0.16300000000000001</v>
      </c>
      <c r="AU49" s="4">
        <v>0.17</v>
      </c>
      <c r="AV49" s="4">
        <v>-0.17499999999999999</v>
      </c>
      <c r="AW49" s="4">
        <v>0.312</v>
      </c>
      <c r="AX49" s="4">
        <v>0.16600000000000001</v>
      </c>
      <c r="AY49" s="4">
        <v>0.82199999999999995</v>
      </c>
      <c r="AZ49" s="4">
        <v>0.111</v>
      </c>
      <c r="BA49" s="4">
        <v>-0.317</v>
      </c>
      <c r="BB49" s="4">
        <v>-0.42199999999999999</v>
      </c>
      <c r="BC49" s="4">
        <v>-0.65600000000000003</v>
      </c>
      <c r="BD49" s="4">
        <v>-0.67400000000000004</v>
      </c>
      <c r="BE49" s="4">
        <v>0.17899999999999999</v>
      </c>
      <c r="BF49" s="4">
        <v>0.78700000000000003</v>
      </c>
      <c r="BG49" s="4">
        <v>0.624</v>
      </c>
      <c r="BH49" s="4">
        <v>-0.20200000000000001</v>
      </c>
      <c r="BI49" s="4">
        <v>-0.78500000000000003</v>
      </c>
      <c r="BJ49" s="4">
        <v>-0.54300000000000004</v>
      </c>
      <c r="BK49" s="4">
        <v>0.437</v>
      </c>
    </row>
    <row r="50" spans="1:63" x14ac:dyDescent="0.3">
      <c r="A50" t="s">
        <v>101</v>
      </c>
      <c r="B50" s="53">
        <f t="shared" si="8"/>
        <v>2.1999999999999999E-2</v>
      </c>
      <c r="C50" s="53">
        <f t="shared" si="4"/>
        <v>1.9999999999999997E-2</v>
      </c>
      <c r="D50" s="53">
        <f t="shared" si="5"/>
        <v>0</v>
      </c>
      <c r="E50" s="53">
        <v>2E-3</v>
      </c>
      <c r="F50" s="15">
        <v>1.992</v>
      </c>
      <c r="G50">
        <v>2.262</v>
      </c>
      <c r="H50" t="s">
        <v>71</v>
      </c>
      <c r="I50" t="str">
        <f>VLOOKUP(A50,Planilha6!$BL$9:$BN$222,2,0)</f>
        <v>crude_oil</v>
      </c>
      <c r="J50" t="str">
        <f>VLOOKUP(A50,Planilha6!$BL$9:$BN$222,3,0)</f>
        <v>very_low_beta</v>
      </c>
      <c r="K50" s="2">
        <v>2.1999999999999999E-2</v>
      </c>
      <c r="L50" s="2">
        <v>1.9E-2</v>
      </c>
      <c r="M50" s="29">
        <v>2E-3</v>
      </c>
      <c r="N50" s="47">
        <f>VLOOKUP(A50,'Mandato ISEE'!$A$1:$C$215,2,0)</f>
        <v>2.29187604144062E-2</v>
      </c>
      <c r="O50" s="48">
        <f t="shared" si="6"/>
        <v>-9.1876041440620143E-4</v>
      </c>
      <c r="P50" s="47">
        <f>VLOOKUP(A50,'Mandato ISEE'!$A$1:$C$215,3,0)</f>
        <v>1.56102114038767E-2</v>
      </c>
      <c r="Q50" s="48">
        <f t="shared" si="7"/>
        <v>6.3897885961232987E-3</v>
      </c>
      <c r="R50" s="15">
        <v>0.46500000000000002</v>
      </c>
      <c r="S50" s="15">
        <v>0.36099999999999999</v>
      </c>
      <c r="T50" s="15">
        <v>0.45700000000000002</v>
      </c>
      <c r="U50" s="15">
        <v>0.25800000000000001</v>
      </c>
      <c r="V50" s="15">
        <v>0.377</v>
      </c>
      <c r="W50" s="15">
        <v>0.42399999999999999</v>
      </c>
      <c r="X50" s="15">
        <v>0.193</v>
      </c>
      <c r="Y50" s="15">
        <v>-0.24099999999999999</v>
      </c>
      <c r="Z50" s="15">
        <v>0.73399999999999999</v>
      </c>
      <c r="AA50" s="15">
        <v>0.73099999999999998</v>
      </c>
      <c r="AB50" s="15">
        <v>0.83899999999999997</v>
      </c>
      <c r="AC50" s="15">
        <v>0.86799999999999999</v>
      </c>
      <c r="AD50" s="15">
        <v>0.871</v>
      </c>
      <c r="AE50" s="14">
        <v>-0.24299999999999999</v>
      </c>
      <c r="AF50" s="15">
        <v>0.14499999999999999</v>
      </c>
      <c r="AG50" s="15">
        <v>0.13900000000000001</v>
      </c>
      <c r="AH50" s="15">
        <v>-0.43099999999999999</v>
      </c>
      <c r="AI50" s="15">
        <v>1</v>
      </c>
      <c r="AJ50" s="9">
        <v>0.46899999999999997</v>
      </c>
      <c r="AK50" s="4">
        <v>-0.29699999999999999</v>
      </c>
      <c r="AL50" s="4">
        <v>-0.94</v>
      </c>
      <c r="AM50" s="4">
        <v>-0.67100000000000004</v>
      </c>
      <c r="AN50" s="4">
        <v>0.63700000000000001</v>
      </c>
      <c r="AO50" s="4">
        <v>0.48199999999999998</v>
      </c>
      <c r="AP50" s="4">
        <v>0.309</v>
      </c>
      <c r="AQ50" s="4">
        <v>0.91700000000000004</v>
      </c>
      <c r="AR50" s="4">
        <v>0.70499999999999996</v>
      </c>
      <c r="AS50" s="4">
        <v>0.38800000000000001</v>
      </c>
      <c r="AT50" s="4">
        <v>0.25900000000000001</v>
      </c>
      <c r="AU50" s="4">
        <v>-0.13900000000000001</v>
      </c>
      <c r="AV50" s="4">
        <v>0.48699999999999999</v>
      </c>
      <c r="AW50" s="4">
        <v>0.48399999999999999</v>
      </c>
      <c r="AX50" s="4">
        <v>-6.7000000000000004E-2</v>
      </c>
      <c r="AY50" s="4">
        <v>0.77700000000000002</v>
      </c>
      <c r="AZ50" s="4">
        <v>0.28000000000000003</v>
      </c>
      <c r="BA50" s="4">
        <v>0.93</v>
      </c>
      <c r="BB50" s="4">
        <v>-0.27200000000000002</v>
      </c>
      <c r="BC50" s="4">
        <v>-0.54700000000000004</v>
      </c>
      <c r="BD50" s="4">
        <v>0.254</v>
      </c>
      <c r="BE50" s="4">
        <v>-0.215</v>
      </c>
      <c r="BF50" s="4">
        <v>-4.8000000000000001E-2</v>
      </c>
      <c r="BG50" s="4">
        <v>0.55400000000000005</v>
      </c>
      <c r="BH50" s="4">
        <v>-0.56499999999999995</v>
      </c>
      <c r="BI50" s="4">
        <v>-0.74299999999999999</v>
      </c>
      <c r="BJ50" s="4">
        <v>0.626</v>
      </c>
      <c r="BK50" s="4">
        <v>0.63500000000000001</v>
      </c>
    </row>
    <row r="51" spans="1:63" x14ac:dyDescent="0.3">
      <c r="A51" t="s">
        <v>61</v>
      </c>
      <c r="B51" s="53">
        <f t="shared" si="8"/>
        <v>0</v>
      </c>
      <c r="C51" s="53">
        <f t="shared" si="4"/>
        <v>0</v>
      </c>
      <c r="D51" s="53">
        <f t="shared" si="5"/>
        <v>0</v>
      </c>
      <c r="E51" s="53">
        <v>0</v>
      </c>
      <c r="F51" s="15">
        <v>1.9830000000000001</v>
      </c>
      <c r="G51">
        <v>2.2599999999999998</v>
      </c>
      <c r="H51" t="s">
        <v>57</v>
      </c>
      <c r="I51" t="str">
        <f>VLOOKUP(A51,Planilha6!$BL$9:$BN$222,2,0)</f>
        <v>homebuilders</v>
      </c>
      <c r="J51" t="str">
        <f>VLOOKUP(A51,Planilha6!$BL$9:$BN$222,3,0)</f>
        <v>high_beta</v>
      </c>
      <c r="K51" s="2">
        <v>0</v>
      </c>
      <c r="L51" s="2">
        <v>0</v>
      </c>
      <c r="M51" s="29">
        <v>0</v>
      </c>
      <c r="N51" s="47">
        <f>VLOOKUP(A51,'Mandato ISEE'!$A$1:$C$215,2,0)</f>
        <v>0</v>
      </c>
      <c r="O51" s="48">
        <f t="shared" si="6"/>
        <v>0</v>
      </c>
      <c r="P51" s="47">
        <f>VLOOKUP(A51,'Mandato ISEE'!$A$1:$C$215,3,0)</f>
        <v>0</v>
      </c>
      <c r="Q51" s="48">
        <f t="shared" si="7"/>
        <v>0</v>
      </c>
      <c r="R51" s="15">
        <v>3.4000000000000002E-2</v>
      </c>
      <c r="S51" s="15">
        <v>0.27100000000000002</v>
      </c>
      <c r="T51" s="15">
        <v>0.19500000000000001</v>
      </c>
      <c r="U51" s="15">
        <v>-6.2E-2</v>
      </c>
      <c r="V51" s="15">
        <v>0.30499999999999999</v>
      </c>
      <c r="W51" s="15">
        <v>0.23499999999999999</v>
      </c>
      <c r="X51" s="15">
        <v>0.307</v>
      </c>
      <c r="Y51" s="15">
        <v>0.58399999999999996</v>
      </c>
      <c r="Z51" s="15">
        <v>0.495</v>
      </c>
      <c r="AA51" s="15">
        <v>0.49199999999999999</v>
      </c>
      <c r="AB51" s="15">
        <v>0.70799999999999996</v>
      </c>
      <c r="AC51" s="15">
        <v>0.79700000000000004</v>
      </c>
      <c r="AD51" s="15">
        <v>0.7</v>
      </c>
      <c r="AE51" s="14">
        <v>-0.33200000000000002</v>
      </c>
      <c r="AF51" s="15">
        <v>0.32</v>
      </c>
      <c r="AG51" s="15">
        <v>0.09</v>
      </c>
      <c r="AH51" s="15">
        <v>-7.3999999999999996E-2</v>
      </c>
      <c r="AI51" s="15">
        <v>0.88500000000000001</v>
      </c>
      <c r="AJ51" s="9">
        <v>-0.17799999999999999</v>
      </c>
      <c r="AK51" s="4">
        <v>-0.29099999999999998</v>
      </c>
      <c r="AL51" s="4">
        <v>0.66100000000000003</v>
      </c>
      <c r="AM51" s="4">
        <v>-0.57199999999999995</v>
      </c>
      <c r="AN51" s="4">
        <v>0.11799999999999999</v>
      </c>
      <c r="AO51" s="4">
        <v>0.26100000000000001</v>
      </c>
      <c r="AP51" s="4">
        <v>-0.223</v>
      </c>
      <c r="AQ51" s="4">
        <v>0.40600000000000003</v>
      </c>
      <c r="AR51" s="4">
        <v>-0.122</v>
      </c>
      <c r="AS51" s="4">
        <v>-0.752</v>
      </c>
      <c r="AT51" s="4">
        <v>0.217</v>
      </c>
      <c r="AU51" s="4">
        <v>-0.14000000000000001</v>
      </c>
      <c r="AV51" s="4">
        <v>-0.27300000000000002</v>
      </c>
      <c r="AW51" s="4">
        <v>0.19900000000000001</v>
      </c>
      <c r="AX51" s="4">
        <v>0.17799999999999999</v>
      </c>
      <c r="AY51" s="4">
        <v>0.53800000000000003</v>
      </c>
      <c r="AZ51" s="4">
        <v>1</v>
      </c>
      <c r="BA51" s="4">
        <v>0.69499999999999995</v>
      </c>
      <c r="BB51" s="4">
        <v>-0.38200000000000001</v>
      </c>
      <c r="BC51" s="4">
        <v>-0.54800000000000004</v>
      </c>
      <c r="BD51" s="4">
        <v>-0.54600000000000004</v>
      </c>
      <c r="BE51" s="4">
        <v>0.441</v>
      </c>
      <c r="BF51" s="4">
        <v>3.6999999999999998E-2</v>
      </c>
      <c r="BG51" s="4">
        <v>0.60399999999999998</v>
      </c>
      <c r="BH51" s="4">
        <v>-0.89200000000000002</v>
      </c>
      <c r="BI51" s="4">
        <v>0.61399999999999999</v>
      </c>
      <c r="BJ51" s="4">
        <v>0.42499999999999999</v>
      </c>
      <c r="BK51" s="4">
        <v>0.13200000000000001</v>
      </c>
    </row>
    <row r="52" spans="1:63" x14ac:dyDescent="0.3">
      <c r="A52" t="s">
        <v>123</v>
      </c>
      <c r="B52" s="53">
        <f t="shared" si="8"/>
        <v>2.8000000000000001E-2</v>
      </c>
      <c r="C52" s="53">
        <f t="shared" si="4"/>
        <v>-1.9999999999999983E-3</v>
      </c>
      <c r="D52" s="53">
        <f t="shared" si="5"/>
        <v>0</v>
      </c>
      <c r="E52" s="53">
        <v>0.03</v>
      </c>
      <c r="F52" s="15">
        <v>1.978</v>
      </c>
      <c r="G52">
        <v>4.0359999999999996</v>
      </c>
      <c r="H52" t="s">
        <v>55</v>
      </c>
      <c r="I52" t="str">
        <f>VLOOKUP(A52,Planilha6!$BL$9:$BN$222,2,0)</f>
        <v>telecom</v>
      </c>
      <c r="J52" t="str">
        <f>VLOOKUP(A52,Planilha6!$BL$9:$BN$222,3,0)</f>
        <v>very_low_beta</v>
      </c>
      <c r="K52" s="2">
        <v>2.8000000000000001E-2</v>
      </c>
      <c r="L52" s="2">
        <v>-1E-3</v>
      </c>
      <c r="M52" s="29">
        <v>0.03</v>
      </c>
      <c r="N52" s="47">
        <f>VLOOKUP(A52,'Mandato ISEE'!$A$1:$C$215,2,0)</f>
        <v>9.4094228509583502E-2</v>
      </c>
      <c r="O52" s="48">
        <f t="shared" si="6"/>
        <v>-6.6094228509583505E-2</v>
      </c>
      <c r="P52" s="47">
        <f>VLOOKUP(A52,'Mandato ISEE'!$A$1:$C$215,3,0)</f>
        <v>5.9210497638176103E-2</v>
      </c>
      <c r="Q52" s="48">
        <f t="shared" si="7"/>
        <v>-3.1210497638176102E-2</v>
      </c>
      <c r="R52" s="15">
        <v>-6.4000000000000001E-2</v>
      </c>
      <c r="S52" s="15">
        <v>0.59</v>
      </c>
      <c r="T52" s="15">
        <v>-0.58899999999999997</v>
      </c>
      <c r="U52" s="15">
        <v>0.26500000000000001</v>
      </c>
      <c r="V52" s="15">
        <v>0.27300000000000002</v>
      </c>
      <c r="W52" s="15">
        <v>0.41</v>
      </c>
      <c r="X52" s="15">
        <v>0.61</v>
      </c>
      <c r="Y52" s="15">
        <v>0.34</v>
      </c>
      <c r="Z52" s="15">
        <v>0.79600000000000004</v>
      </c>
      <c r="AA52" s="15">
        <v>0.80300000000000005</v>
      </c>
      <c r="AB52" s="15">
        <v>0.754</v>
      </c>
      <c r="AC52" s="15">
        <v>0.84699999999999998</v>
      </c>
      <c r="AD52" s="15">
        <v>0.76600000000000001</v>
      </c>
      <c r="AE52" s="14">
        <v>0.16200000000000001</v>
      </c>
      <c r="AF52" s="15">
        <v>-0.28599999999999998</v>
      </c>
      <c r="AG52" s="15">
        <v>0.48899999999999999</v>
      </c>
      <c r="AH52" s="15">
        <v>-1</v>
      </c>
      <c r="AI52" s="15">
        <v>-0.54500000000000004</v>
      </c>
      <c r="AJ52" s="9">
        <v>-0.72299999999999998</v>
      </c>
      <c r="AK52" s="4">
        <v>-0.24099999999999999</v>
      </c>
      <c r="AL52" s="4">
        <v>-0.41299999999999998</v>
      </c>
      <c r="AM52" s="4">
        <v>-0.54900000000000004</v>
      </c>
      <c r="AN52" s="4">
        <v>-0.79400000000000004</v>
      </c>
      <c r="AO52" s="4">
        <v>0.49399999999999999</v>
      </c>
      <c r="AP52" s="4">
        <v>0.996</v>
      </c>
      <c r="AQ52" s="4">
        <v>0.38900000000000001</v>
      </c>
      <c r="AR52" s="4">
        <v>0.12</v>
      </c>
      <c r="AS52" s="4">
        <v>0.35</v>
      </c>
      <c r="AT52" s="4">
        <v>0.248</v>
      </c>
      <c r="AU52" s="4">
        <v>6.7000000000000004E-2</v>
      </c>
      <c r="AV52" s="4">
        <v>0.748</v>
      </c>
      <c r="AW52" s="4">
        <v>0.86199999999999999</v>
      </c>
      <c r="AX52" s="4">
        <v>-0.16600000000000001</v>
      </c>
      <c r="AY52" s="4">
        <v>0.79700000000000004</v>
      </c>
      <c r="AZ52" s="4">
        <v>0.13</v>
      </c>
      <c r="BA52" s="4">
        <v>0.48</v>
      </c>
      <c r="BB52" s="4">
        <v>0.14199999999999999</v>
      </c>
      <c r="BC52" s="4">
        <v>-8.6999999999999994E-2</v>
      </c>
      <c r="BD52" s="4">
        <v>0.45300000000000001</v>
      </c>
      <c r="BE52" s="4">
        <v>0.29099999999999998</v>
      </c>
      <c r="BF52" s="4">
        <v>0.09</v>
      </c>
      <c r="BG52" s="4">
        <v>0.92</v>
      </c>
      <c r="BH52" s="4">
        <v>-0.69</v>
      </c>
      <c r="BI52" s="4">
        <v>-0.33200000000000002</v>
      </c>
      <c r="BJ52" s="4">
        <v>3.9E-2</v>
      </c>
      <c r="BK52" s="4">
        <v>-0.78100000000000003</v>
      </c>
    </row>
    <row r="53" spans="1:63" x14ac:dyDescent="0.3">
      <c r="A53" t="s">
        <v>84</v>
      </c>
      <c r="B53" s="53">
        <f t="shared" si="8"/>
        <v>0</v>
      </c>
      <c r="C53" s="53">
        <f t="shared" si="4"/>
        <v>0</v>
      </c>
      <c r="D53" s="53">
        <f t="shared" si="5"/>
        <v>0</v>
      </c>
      <c r="E53" s="53">
        <v>0</v>
      </c>
      <c r="F53" s="15">
        <v>1.9630000000000001</v>
      </c>
      <c r="G53">
        <v>1.5189999999999999</v>
      </c>
      <c r="H53" t="s">
        <v>57</v>
      </c>
      <c r="I53" t="str">
        <f>VLOOKUP(A53,Planilha6!$BL$9:$BN$222,2,0)</f>
        <v>banks</v>
      </c>
      <c r="J53" t="str">
        <f>VLOOKUP(A53,Planilha6!$BL$9:$BN$222,3,0)</f>
        <v>neutral_beta</v>
      </c>
      <c r="K53" s="2">
        <v>0</v>
      </c>
      <c r="L53" s="2">
        <v>0</v>
      </c>
      <c r="M53" s="29">
        <v>0</v>
      </c>
      <c r="N53" s="47">
        <f>VLOOKUP(A53,'Mandato ISEE'!$A$1:$C$215,2,0)</f>
        <v>0</v>
      </c>
      <c r="O53" s="48">
        <f t="shared" si="6"/>
        <v>0</v>
      </c>
      <c r="P53" s="47">
        <f>VLOOKUP(A53,'Mandato ISEE'!$A$1:$C$215,3,0)</f>
        <v>0</v>
      </c>
      <c r="Q53" s="48">
        <f t="shared" si="7"/>
        <v>0</v>
      </c>
      <c r="R53" s="15">
        <v>0.19</v>
      </c>
      <c r="S53" s="15">
        <v>0.26800000000000002</v>
      </c>
      <c r="T53" s="15">
        <v>0.32600000000000001</v>
      </c>
      <c r="U53" s="15">
        <v>0.308</v>
      </c>
      <c r="V53" s="15">
        <v>0.47</v>
      </c>
      <c r="W53" s="15">
        <v>5.6000000000000001E-2</v>
      </c>
      <c r="X53" s="15">
        <v>-3.3000000000000002E-2</v>
      </c>
      <c r="Y53" s="15">
        <v>0.159</v>
      </c>
      <c r="Z53" s="15">
        <v>0.71099999999999997</v>
      </c>
      <c r="AA53" s="15">
        <v>0.71</v>
      </c>
      <c r="AB53" s="15">
        <v>0.86799999999999999</v>
      </c>
      <c r="AC53" s="15">
        <v>0.86799999999999999</v>
      </c>
      <c r="AD53" s="15">
        <v>0.87</v>
      </c>
      <c r="AE53" s="14">
        <v>-0.18099999999999999</v>
      </c>
      <c r="AF53" s="15">
        <v>0.43099999999999999</v>
      </c>
      <c r="AG53" s="15">
        <v>0.44600000000000001</v>
      </c>
      <c r="AH53" s="15">
        <v>-0.42599999999999999</v>
      </c>
      <c r="AI53" s="15">
        <v>0.67900000000000005</v>
      </c>
      <c r="AJ53" s="9">
        <v>0.79300000000000004</v>
      </c>
      <c r="AK53" s="4">
        <v>-4.9000000000000002E-2</v>
      </c>
      <c r="AL53" s="4">
        <v>-0.159</v>
      </c>
      <c r="AM53" s="4">
        <v>-0.40300000000000002</v>
      </c>
      <c r="AN53" s="4">
        <v>-9.7000000000000003E-2</v>
      </c>
      <c r="AO53" s="4">
        <v>0.73599999999999999</v>
      </c>
      <c r="AP53" s="4">
        <v>-0.17100000000000001</v>
      </c>
      <c r="AQ53" s="4">
        <v>0.86799999999999999</v>
      </c>
      <c r="AR53" s="4">
        <v>-4.3999999999999997E-2</v>
      </c>
      <c r="AS53" s="4">
        <v>-0.317</v>
      </c>
      <c r="AT53" s="4">
        <v>0.23599999999999999</v>
      </c>
      <c r="AU53" s="4">
        <v>-0.21</v>
      </c>
      <c r="AV53" s="4">
        <v>0.23699999999999999</v>
      </c>
      <c r="AW53" s="4">
        <v>0.4</v>
      </c>
      <c r="AX53" s="4">
        <v>-0.16600000000000001</v>
      </c>
      <c r="AY53" s="4">
        <v>-0.13500000000000001</v>
      </c>
      <c r="AZ53" s="4">
        <v>0.45800000000000002</v>
      </c>
      <c r="BA53" s="4">
        <v>0.48</v>
      </c>
      <c r="BB53" s="4">
        <v>-0.189</v>
      </c>
      <c r="BC53" s="4">
        <v>-0.113</v>
      </c>
      <c r="BD53" s="4">
        <v>-0.46100000000000002</v>
      </c>
      <c r="BE53" s="4">
        <v>-1</v>
      </c>
      <c r="BF53" s="4">
        <v>-0.72799999999999998</v>
      </c>
      <c r="BG53" s="4">
        <v>0.214</v>
      </c>
      <c r="BH53" s="4">
        <v>-1</v>
      </c>
      <c r="BI53" s="4">
        <v>-0.01</v>
      </c>
      <c r="BJ53" s="4">
        <v>0.53300000000000003</v>
      </c>
      <c r="BK53" s="4">
        <v>0.65600000000000003</v>
      </c>
    </row>
    <row r="54" spans="1:63" x14ac:dyDescent="0.3">
      <c r="A54" t="s">
        <v>92</v>
      </c>
      <c r="B54" s="53">
        <f t="shared" si="8"/>
        <v>0</v>
      </c>
      <c r="C54" s="53">
        <f t="shared" si="4"/>
        <v>0</v>
      </c>
      <c r="D54" s="53">
        <f t="shared" si="5"/>
        <v>0</v>
      </c>
      <c r="E54" s="53">
        <v>0</v>
      </c>
      <c r="F54" s="15">
        <v>1.913</v>
      </c>
      <c r="G54">
        <v>1.8580000000000001</v>
      </c>
      <c r="H54" t="s">
        <v>57</v>
      </c>
      <c r="I54" t="str">
        <f>VLOOKUP(A54,Planilha6!$BL$9:$BN$222,2,0)</f>
        <v>tech</v>
      </c>
      <c r="J54" t="str">
        <f>VLOOKUP(A54,Planilha6!$BL$9:$BN$222,3,0)</f>
        <v>high_beta</v>
      </c>
      <c r="K54" s="2">
        <v>0</v>
      </c>
      <c r="L54" s="2">
        <v>0</v>
      </c>
      <c r="M54" s="29">
        <v>0</v>
      </c>
      <c r="N54" s="47">
        <f>VLOOKUP(A54,'Mandato ISEE'!$A$1:$C$215,2,0)</f>
        <v>0</v>
      </c>
      <c r="O54" s="48">
        <f t="shared" si="6"/>
        <v>0</v>
      </c>
      <c r="P54" s="47">
        <f>VLOOKUP(A54,'Mandato ISEE'!$A$1:$C$215,3,0)</f>
        <v>0</v>
      </c>
      <c r="Q54" s="48">
        <f t="shared" si="7"/>
        <v>0</v>
      </c>
      <c r="R54" s="15">
        <v>0.43</v>
      </c>
      <c r="S54" s="15">
        <v>0.13800000000000001</v>
      </c>
      <c r="T54" s="15">
        <v>0.57399999999999995</v>
      </c>
      <c r="U54" s="15">
        <v>0.186</v>
      </c>
      <c r="V54" s="15">
        <v>0.33900000000000002</v>
      </c>
      <c r="W54" s="15">
        <v>0.20899999999999999</v>
      </c>
      <c r="X54" s="15">
        <v>7.1999999999999995E-2</v>
      </c>
      <c r="Y54" s="15">
        <v>8.7999999999999995E-2</v>
      </c>
      <c r="Z54" s="15">
        <v>0.27300000000000002</v>
      </c>
      <c r="AA54" s="15">
        <v>0.27400000000000002</v>
      </c>
      <c r="AB54" s="15">
        <v>0.72199999999999998</v>
      </c>
      <c r="AC54" s="15">
        <v>0.93400000000000005</v>
      </c>
      <c r="AD54" s="15">
        <v>0.78800000000000003</v>
      </c>
      <c r="AE54" s="14">
        <v>0.29799999999999999</v>
      </c>
      <c r="AF54" s="15">
        <v>-0.21199999999999999</v>
      </c>
      <c r="AG54" s="15">
        <v>-0.185</v>
      </c>
      <c r="AH54" s="15">
        <v>-0.252</v>
      </c>
      <c r="AI54" s="15">
        <v>0.92800000000000005</v>
      </c>
      <c r="AJ54" s="9">
        <v>0.87</v>
      </c>
      <c r="AK54" s="4">
        <v>-0.28599999999999998</v>
      </c>
      <c r="AL54" s="4">
        <v>-0.06</v>
      </c>
      <c r="AM54" s="4">
        <v>-0.86</v>
      </c>
      <c r="AN54" s="4">
        <v>7.0999999999999994E-2</v>
      </c>
      <c r="AO54" s="4">
        <v>0.20699999999999999</v>
      </c>
      <c r="AP54" s="4">
        <v>0.53500000000000003</v>
      </c>
      <c r="AQ54" s="4">
        <v>0.28399999999999997</v>
      </c>
      <c r="AR54" s="4">
        <v>0.221</v>
      </c>
      <c r="AS54" s="4">
        <v>0.38600000000000001</v>
      </c>
      <c r="AT54" s="4">
        <v>0.51700000000000002</v>
      </c>
      <c r="AU54" s="4">
        <v>-0.27600000000000002</v>
      </c>
      <c r="AV54" s="4">
        <v>0.47899999999999998</v>
      </c>
      <c r="AW54" s="4">
        <v>0.23499999999999999</v>
      </c>
      <c r="AX54" s="4">
        <v>0.751</v>
      </c>
      <c r="AY54" s="4">
        <v>0.96199999999999997</v>
      </c>
      <c r="AZ54" s="4">
        <v>0.23300000000000001</v>
      </c>
      <c r="BA54" s="4">
        <v>0.86099999999999999</v>
      </c>
      <c r="BB54" s="4">
        <v>8.4000000000000005E-2</v>
      </c>
      <c r="BC54" s="4">
        <v>-4.8000000000000001E-2</v>
      </c>
      <c r="BD54" s="4">
        <v>-0.63800000000000001</v>
      </c>
      <c r="BE54" s="4">
        <v>-0.72599999999999998</v>
      </c>
      <c r="BF54" s="4">
        <v>-0.67500000000000004</v>
      </c>
      <c r="BG54" s="4">
        <v>0.32700000000000001</v>
      </c>
      <c r="BH54" s="4">
        <v>-0.59099999999999997</v>
      </c>
      <c r="BI54" s="4">
        <v>9.8000000000000004E-2</v>
      </c>
      <c r="BJ54" s="4">
        <v>0.316</v>
      </c>
      <c r="BK54" s="4">
        <v>0.191</v>
      </c>
    </row>
    <row r="55" spans="1:63" x14ac:dyDescent="0.3">
      <c r="A55" t="s">
        <v>106</v>
      </c>
      <c r="B55" s="53">
        <f t="shared" si="8"/>
        <v>0</v>
      </c>
      <c r="C55" s="53">
        <f t="shared" si="4"/>
        <v>0</v>
      </c>
      <c r="D55" s="53">
        <f t="shared" si="5"/>
        <v>0</v>
      </c>
      <c r="E55" s="53">
        <v>0</v>
      </c>
      <c r="F55" s="15">
        <v>1.847</v>
      </c>
      <c r="G55">
        <v>1.5589999999999999</v>
      </c>
      <c r="H55" t="s">
        <v>57</v>
      </c>
      <c r="I55" t="str">
        <f>VLOOKUP(A55,Planilha6!$BL$9:$BN$222,2,0)</f>
        <v>tech</v>
      </c>
      <c r="J55" t="str">
        <f>VLOOKUP(A55,Planilha6!$BL$9:$BN$222,3,0)</f>
        <v>low_beta</v>
      </c>
      <c r="K55" s="2">
        <v>0</v>
      </c>
      <c r="L55" s="2">
        <v>0</v>
      </c>
      <c r="M55" s="29">
        <v>0</v>
      </c>
      <c r="N55" s="47">
        <f>VLOOKUP(A55,'Mandato ISEE'!$A$1:$C$215,2,0)</f>
        <v>0</v>
      </c>
      <c r="O55" s="48">
        <f t="shared" si="6"/>
        <v>0</v>
      </c>
      <c r="P55" s="47">
        <f>VLOOKUP(A55,'Mandato ISEE'!$A$1:$C$215,3,0)</f>
        <v>0</v>
      </c>
      <c r="Q55" s="48">
        <f t="shared" si="7"/>
        <v>0</v>
      </c>
      <c r="R55" s="15">
        <v>0.32100000000000001</v>
      </c>
      <c r="S55" s="15">
        <v>0</v>
      </c>
      <c r="T55" s="15">
        <v>0.34300000000000003</v>
      </c>
      <c r="U55" s="15">
        <v>4.8000000000000001E-2</v>
      </c>
      <c r="V55" s="15">
        <v>9.7000000000000003E-2</v>
      </c>
      <c r="W55" s="15">
        <v>-8.0000000000000002E-3</v>
      </c>
      <c r="X55" s="15">
        <v>-0.16800000000000001</v>
      </c>
      <c r="Y55" s="15">
        <v>-0.125</v>
      </c>
      <c r="Z55" s="15">
        <v>0.92500000000000004</v>
      </c>
      <c r="AA55" s="15">
        <v>0.92400000000000004</v>
      </c>
      <c r="AB55" s="15">
        <v>0.94299999999999995</v>
      </c>
      <c r="AC55" s="15">
        <v>1</v>
      </c>
      <c r="AD55" s="15">
        <v>0.93200000000000005</v>
      </c>
      <c r="AE55" s="14">
        <v>-0.13900000000000001</v>
      </c>
      <c r="AF55" s="15">
        <v>0.19</v>
      </c>
      <c r="AG55" s="15">
        <v>0.80300000000000005</v>
      </c>
      <c r="AH55" s="15">
        <v>1</v>
      </c>
      <c r="AI55" s="15">
        <v>0.998</v>
      </c>
      <c r="AJ55" s="9">
        <v>-0.46899999999999997</v>
      </c>
      <c r="AK55" s="4">
        <v>0.44900000000000001</v>
      </c>
      <c r="AL55" s="4">
        <v>0.191</v>
      </c>
      <c r="AM55" s="4">
        <v>0.68200000000000005</v>
      </c>
      <c r="AN55" s="4">
        <v>6.6000000000000003E-2</v>
      </c>
      <c r="AO55" s="4">
        <v>-3.9E-2</v>
      </c>
      <c r="AP55" s="4">
        <v>0.40300000000000002</v>
      </c>
      <c r="AQ55" s="4">
        <v>-0.502</v>
      </c>
      <c r="AR55" s="4">
        <v>0.32600000000000001</v>
      </c>
      <c r="AS55" s="4">
        <v>0.13600000000000001</v>
      </c>
      <c r="AT55" s="4">
        <v>0.1</v>
      </c>
      <c r="AU55" s="4">
        <v>-0.434</v>
      </c>
      <c r="AV55" s="4">
        <v>-0.28999999999999998</v>
      </c>
      <c r="AW55" s="4">
        <v>-0.111</v>
      </c>
      <c r="AX55" s="4">
        <v>-0.13900000000000001</v>
      </c>
      <c r="AY55" s="4">
        <v>0.69399999999999995</v>
      </c>
      <c r="AZ55" s="4">
        <v>-0.36899999999999999</v>
      </c>
      <c r="BA55" s="4">
        <v>-0.55500000000000005</v>
      </c>
      <c r="BB55" s="4">
        <v>0.21099999999999999</v>
      </c>
      <c r="BC55" s="4">
        <v>0.223</v>
      </c>
      <c r="BD55" s="4">
        <v>0.23899999999999999</v>
      </c>
      <c r="BE55" s="4">
        <v>0.44400000000000001</v>
      </c>
      <c r="BF55" s="4">
        <v>0.314</v>
      </c>
      <c r="BG55" s="4">
        <v>0.59199999999999997</v>
      </c>
      <c r="BH55" s="4">
        <v>0.13500000000000001</v>
      </c>
      <c r="BI55" s="4">
        <v>-0.17399999999999999</v>
      </c>
      <c r="BJ55" s="4">
        <v>0.21</v>
      </c>
      <c r="BK55" s="4">
        <v>0.78</v>
      </c>
    </row>
    <row r="56" spans="1:63" x14ac:dyDescent="0.3">
      <c r="A56" t="s">
        <v>121</v>
      </c>
      <c r="B56" s="53">
        <f t="shared" si="8"/>
        <v>5.0999999999999997E-2</v>
      </c>
      <c r="C56" s="53">
        <f t="shared" si="4"/>
        <v>2.3999999999999997E-2</v>
      </c>
      <c r="D56" s="53">
        <f t="shared" si="5"/>
        <v>0</v>
      </c>
      <c r="E56" s="53">
        <v>2.7E-2</v>
      </c>
      <c r="F56" s="15">
        <v>1.845</v>
      </c>
      <c r="G56">
        <v>3.9180000000000001</v>
      </c>
      <c r="H56" t="s">
        <v>57</v>
      </c>
      <c r="I56" t="str">
        <f>VLOOKUP(A56,Planilha6!$BL$9:$BN$222,2,0)</f>
        <v>banks</v>
      </c>
      <c r="J56" t="str">
        <f>VLOOKUP(A56,Planilha6!$BL$9:$BN$222,3,0)</f>
        <v>neutral_beta</v>
      </c>
      <c r="K56" s="2">
        <v>5.0999999999999997E-2</v>
      </c>
      <c r="L56" s="2">
        <v>2.4E-2</v>
      </c>
      <c r="M56" s="29">
        <v>2.7E-2</v>
      </c>
      <c r="N56" s="47">
        <f>VLOOKUP(A56,'Mandato ISEE'!$A$1:$C$215,2,0)</f>
        <v>8.7760891754338904E-2</v>
      </c>
      <c r="O56" s="48">
        <f t="shared" si="6"/>
        <v>-3.6760891754338908E-2</v>
      </c>
      <c r="P56" s="47">
        <f>VLOOKUP(A56,'Mandato ISEE'!$A$1:$C$215,3,0)</f>
        <v>5.2021770552461703E-2</v>
      </c>
      <c r="Q56" s="48">
        <f t="shared" si="7"/>
        <v>-1.0217705524617066E-3</v>
      </c>
      <c r="R56" s="15">
        <v>-0.153</v>
      </c>
      <c r="S56" s="15">
        <v>0.496</v>
      </c>
      <c r="T56" s="15">
        <v>-0.69499999999999995</v>
      </c>
      <c r="U56" s="15">
        <v>0.13100000000000001</v>
      </c>
      <c r="V56" s="15">
        <v>0.16900000000000001</v>
      </c>
      <c r="W56" s="15">
        <v>0.23400000000000001</v>
      </c>
      <c r="X56" s="15">
        <v>0.43</v>
      </c>
      <c r="Y56" s="15">
        <v>0.49099999999999999</v>
      </c>
      <c r="Z56" s="15">
        <v>0.58799999999999997</v>
      </c>
      <c r="AA56" s="15">
        <v>0.59599999999999997</v>
      </c>
      <c r="AB56" s="15">
        <v>0.72399999999999998</v>
      </c>
      <c r="AC56" s="15">
        <v>0.83899999999999997</v>
      </c>
      <c r="AD56" s="15">
        <v>0.76</v>
      </c>
      <c r="AE56" s="14">
        <v>7.0000000000000007E-2</v>
      </c>
      <c r="AF56" s="15">
        <v>-0.3</v>
      </c>
      <c r="AG56" s="15">
        <v>0.53400000000000003</v>
      </c>
      <c r="AH56" s="15">
        <v>-0.96699999999999997</v>
      </c>
      <c r="AI56" s="15">
        <v>-0.64500000000000002</v>
      </c>
      <c r="AJ56" s="9">
        <v>-0.86</v>
      </c>
      <c r="AK56" s="4">
        <v>-0.14899999999999999</v>
      </c>
      <c r="AL56" s="4">
        <v>0.17699999999999999</v>
      </c>
      <c r="AM56" s="4">
        <v>-0.66500000000000004</v>
      </c>
      <c r="AN56" s="4">
        <v>-0.40600000000000003</v>
      </c>
      <c r="AO56" s="4">
        <v>0.61799999999999999</v>
      </c>
      <c r="AP56" s="4">
        <v>0.68899999999999995</v>
      </c>
      <c r="AQ56" s="4">
        <v>-0.01</v>
      </c>
      <c r="AR56" s="4">
        <v>0.17100000000000001</v>
      </c>
      <c r="AS56" s="4">
        <v>0.41</v>
      </c>
      <c r="AT56" s="4">
        <v>5.8000000000000003E-2</v>
      </c>
      <c r="AU56" s="4">
        <v>5.0999999999999997E-2</v>
      </c>
      <c r="AV56" s="4">
        <v>0.27300000000000002</v>
      </c>
      <c r="AW56" s="4">
        <v>0.44</v>
      </c>
      <c r="AX56" s="4">
        <v>-0.45100000000000001</v>
      </c>
      <c r="AY56" s="4">
        <v>0.93600000000000005</v>
      </c>
      <c r="AZ56" s="4">
        <v>0.29199999999999998</v>
      </c>
      <c r="BA56" s="4">
        <v>0.47399999999999998</v>
      </c>
      <c r="BB56" s="4">
        <v>-2.3E-2</v>
      </c>
      <c r="BC56" s="4">
        <v>0.32100000000000001</v>
      </c>
      <c r="BD56" s="4">
        <v>0.53200000000000003</v>
      </c>
      <c r="BE56" s="4">
        <v>-0.28499999999999998</v>
      </c>
      <c r="BF56" s="4">
        <v>-0.42799999999999999</v>
      </c>
      <c r="BG56" s="4">
        <v>0.76300000000000001</v>
      </c>
      <c r="BH56" s="4">
        <v>-0.69299999999999995</v>
      </c>
      <c r="BI56" s="4">
        <v>3.9E-2</v>
      </c>
      <c r="BJ56" s="4">
        <v>-0.2</v>
      </c>
      <c r="BK56" s="4">
        <v>-0.68899999999999995</v>
      </c>
    </row>
    <row r="57" spans="1:63" x14ac:dyDescent="0.3">
      <c r="A57" t="s">
        <v>83</v>
      </c>
      <c r="B57" s="53">
        <f t="shared" si="8"/>
        <v>2.4E-2</v>
      </c>
      <c r="C57" s="53">
        <f t="shared" si="4"/>
        <v>2.9999999999999992E-3</v>
      </c>
      <c r="D57" s="53">
        <f t="shared" si="5"/>
        <v>0</v>
      </c>
      <c r="E57" s="53">
        <v>2.1000000000000001E-2</v>
      </c>
      <c r="F57" s="15">
        <v>1.8420000000000001</v>
      </c>
      <c r="G57">
        <v>3.7370000000000001</v>
      </c>
      <c r="H57" t="s">
        <v>53</v>
      </c>
      <c r="I57" t="str">
        <f>VLOOKUP(A57,Planilha6!$BL$9:$BN$222,2,0)</f>
        <v>consumer_staples</v>
      </c>
      <c r="J57" t="str">
        <f>VLOOKUP(A57,Planilha6!$BL$9:$BN$222,3,0)</f>
        <v>very_low_beta</v>
      </c>
      <c r="K57" s="2">
        <v>2.4E-2</v>
      </c>
      <c r="L57" s="2">
        <v>3.0000000000000001E-3</v>
      </c>
      <c r="M57" s="29">
        <v>2.1000000000000001E-2</v>
      </c>
      <c r="N57" s="47">
        <f>VLOOKUP(A57,'Mandato ISEE'!$A$1:$C$215,2,0)</f>
        <v>7.5605877485646802E-2</v>
      </c>
      <c r="O57" s="48">
        <f t="shared" si="6"/>
        <v>-5.1605877485646802E-2</v>
      </c>
      <c r="P57" s="47">
        <f>VLOOKUP(A57,'Mandato ISEE'!$A$1:$C$215,3,0)</f>
        <v>4.1188896645116602E-2</v>
      </c>
      <c r="Q57" s="48">
        <f t="shared" si="7"/>
        <v>-1.7188896645116601E-2</v>
      </c>
      <c r="R57" s="15">
        <v>-0.22800000000000001</v>
      </c>
      <c r="S57" s="15">
        <v>0.50800000000000001</v>
      </c>
      <c r="T57" s="15">
        <v>-0.76900000000000002</v>
      </c>
      <c r="U57" s="15">
        <v>0.14699999999999999</v>
      </c>
      <c r="V57" s="15">
        <v>0.13600000000000001</v>
      </c>
      <c r="W57" s="15">
        <v>0.34100000000000003</v>
      </c>
      <c r="X57" s="15">
        <v>0.80200000000000005</v>
      </c>
      <c r="Y57" s="15">
        <v>0.47899999999999998</v>
      </c>
      <c r="Z57" s="15">
        <v>0.70699999999999996</v>
      </c>
      <c r="AA57" s="15">
        <v>0.71599999999999997</v>
      </c>
      <c r="AB57" s="15">
        <v>0.73099999999999998</v>
      </c>
      <c r="AC57" s="15">
        <v>0.78</v>
      </c>
      <c r="AD57" s="15">
        <v>0.621</v>
      </c>
      <c r="AE57" s="14">
        <v>0.34200000000000003</v>
      </c>
      <c r="AF57" s="15">
        <v>-0.53300000000000003</v>
      </c>
      <c r="AG57" s="15">
        <v>0.185</v>
      </c>
      <c r="AH57" s="15">
        <v>-0.999</v>
      </c>
      <c r="AI57" s="15">
        <v>-0.78700000000000003</v>
      </c>
      <c r="AJ57" s="9">
        <v>-0.58399999999999996</v>
      </c>
      <c r="AK57" s="4">
        <v>-0.30199999999999999</v>
      </c>
      <c r="AL57" s="4">
        <v>-0.121</v>
      </c>
      <c r="AM57" s="4">
        <v>-0.91200000000000003</v>
      </c>
      <c r="AN57" s="4">
        <v>-8.3000000000000004E-2</v>
      </c>
      <c r="AO57" s="4">
        <v>0.63</v>
      </c>
      <c r="AP57" s="4">
        <v>0.40400000000000003</v>
      </c>
      <c r="AQ57" s="4">
        <v>0.20899999999999999</v>
      </c>
      <c r="AR57" s="4">
        <v>0.09</v>
      </c>
      <c r="AS57" s="4">
        <v>-0.41799999999999998</v>
      </c>
      <c r="AT57" s="4">
        <v>0.498</v>
      </c>
      <c r="AU57" s="4">
        <v>0.374</v>
      </c>
      <c r="AV57" s="4">
        <v>0.69299999999999995</v>
      </c>
      <c r="AW57" s="4">
        <v>0.81799999999999995</v>
      </c>
      <c r="AX57" s="4">
        <v>0.48199999999999998</v>
      </c>
      <c r="AY57" s="4">
        <v>0.74399999999999999</v>
      </c>
      <c r="AZ57" s="4">
        <v>-0.19500000000000001</v>
      </c>
      <c r="BA57" s="4">
        <v>-0.19600000000000001</v>
      </c>
      <c r="BB57" s="4">
        <v>0.26300000000000001</v>
      </c>
      <c r="BC57" s="4">
        <v>-7.0000000000000001E-3</v>
      </c>
      <c r="BD57" s="4">
        <v>0.32300000000000001</v>
      </c>
      <c r="BE57" s="4">
        <v>0.16300000000000001</v>
      </c>
      <c r="BF57" s="4">
        <v>8.9999999999999993E-3</v>
      </c>
      <c r="BG57" s="4">
        <v>1</v>
      </c>
      <c r="BH57" s="4">
        <v>-0.30099999999999999</v>
      </c>
      <c r="BI57" s="4">
        <v>-0.36199999999999999</v>
      </c>
      <c r="BJ57" s="4">
        <v>-0.15</v>
      </c>
      <c r="BK57" s="4">
        <v>-1</v>
      </c>
    </row>
    <row r="58" spans="1:63" x14ac:dyDescent="0.3">
      <c r="A58" t="s">
        <v>237</v>
      </c>
      <c r="B58" s="53">
        <f t="shared" si="8"/>
        <v>0</v>
      </c>
      <c r="C58" s="53">
        <f t="shared" si="4"/>
        <v>0</v>
      </c>
      <c r="D58" s="53">
        <f t="shared" si="5"/>
        <v>0</v>
      </c>
      <c r="E58" s="53">
        <v>0</v>
      </c>
      <c r="F58" s="15">
        <v>1.84</v>
      </c>
      <c r="G58">
        <v>1.2909999999999999</v>
      </c>
      <c r="H58" t="s">
        <v>53</v>
      </c>
      <c r="I58" t="str">
        <f>VLOOKUP(A58,Planilha6!$BL$9:$BN$222,2,0)</f>
        <v>healthcare</v>
      </c>
      <c r="J58" t="str">
        <f>VLOOKUP(A58,Planilha6!$BL$9:$BN$222,3,0)</f>
        <v>high_beta</v>
      </c>
      <c r="K58" s="2">
        <v>0</v>
      </c>
      <c r="L58" s="2">
        <v>0</v>
      </c>
      <c r="M58" s="29">
        <v>0</v>
      </c>
      <c r="N58" s="47">
        <f>VLOOKUP(A58,'Mandato ISEE'!$A$1:$C$215,2,0)</f>
        <v>0</v>
      </c>
      <c r="O58" s="48">
        <f t="shared" si="6"/>
        <v>0</v>
      </c>
      <c r="P58" s="47">
        <f>VLOOKUP(A58,'Mandato ISEE'!$A$1:$C$215,3,0)</f>
        <v>0</v>
      </c>
      <c r="Q58" s="48">
        <f t="shared" si="7"/>
        <v>0</v>
      </c>
      <c r="R58" s="15">
        <v>0.96</v>
      </c>
      <c r="S58" s="15">
        <v>4.9000000000000002E-2</v>
      </c>
      <c r="T58" s="15">
        <v>0.85899999999999999</v>
      </c>
      <c r="U58" s="15">
        <v>0.61499999999999999</v>
      </c>
      <c r="V58" s="15">
        <v>0.39100000000000001</v>
      </c>
      <c r="W58" s="15">
        <v>0.05</v>
      </c>
      <c r="X58" s="15">
        <v>-0.40400000000000003</v>
      </c>
      <c r="Y58" s="15">
        <v>-0.60899999999999999</v>
      </c>
      <c r="Z58" s="15">
        <v>0.46800000000000003</v>
      </c>
      <c r="AA58" s="15">
        <v>0.47099999999999997</v>
      </c>
      <c r="AB58" s="15">
        <v>0.32100000000000001</v>
      </c>
      <c r="AC58" s="15">
        <v>0.879</v>
      </c>
      <c r="AD58" s="15">
        <v>0.995</v>
      </c>
      <c r="AE58" s="14">
        <v>1</v>
      </c>
      <c r="AF58" s="15">
        <v>0.67600000000000005</v>
      </c>
      <c r="AG58" s="15">
        <v>1</v>
      </c>
      <c r="AH58" s="15">
        <v>1</v>
      </c>
      <c r="AI58" s="15">
        <v>1</v>
      </c>
      <c r="AJ58" s="9">
        <v>-0.53800000000000003</v>
      </c>
      <c r="AK58" s="4">
        <v>0.86</v>
      </c>
      <c r="AL58" s="4">
        <v>-0.878</v>
      </c>
      <c r="AM58" s="4">
        <v>0.79600000000000004</v>
      </c>
      <c r="AN58" s="4">
        <v>0.23100000000000001</v>
      </c>
      <c r="AO58" s="4">
        <v>0.42699999999999999</v>
      </c>
      <c r="AP58" s="4">
        <v>0.224</v>
      </c>
      <c r="AQ58" s="4">
        <v>-0.58799999999999997</v>
      </c>
      <c r="AR58" s="4">
        <v>1</v>
      </c>
      <c r="AS58" s="4">
        <v>0.44500000000000001</v>
      </c>
      <c r="AT58" s="4">
        <v>0.184</v>
      </c>
      <c r="AU58" s="4">
        <v>-0.46600000000000003</v>
      </c>
      <c r="AV58" s="4">
        <v>7.4999999999999997E-2</v>
      </c>
      <c r="AW58" s="4">
        <v>-0.54600000000000004</v>
      </c>
      <c r="AX58" s="4">
        <v>-0.57899999999999996</v>
      </c>
      <c r="AY58" s="4">
        <v>8.3000000000000004E-2</v>
      </c>
      <c r="AZ58" s="4">
        <v>-0.70699999999999996</v>
      </c>
      <c r="BA58" s="4">
        <v>0.94199999999999995</v>
      </c>
      <c r="BB58" s="4">
        <v>0.25600000000000001</v>
      </c>
      <c r="BC58" s="4">
        <v>-0.23799999999999999</v>
      </c>
      <c r="BD58" s="4">
        <v>0.36099999999999999</v>
      </c>
      <c r="BE58" s="4">
        <v>-0.47</v>
      </c>
      <c r="BF58" s="4">
        <v>0.74099999999999999</v>
      </c>
      <c r="BG58" s="4">
        <v>0.06</v>
      </c>
      <c r="BH58" s="4">
        <v>1</v>
      </c>
      <c r="BI58" s="4">
        <v>0.16400000000000001</v>
      </c>
      <c r="BJ58" s="4">
        <v>0.60599999999999998</v>
      </c>
      <c r="BK58" s="4">
        <v>0.96599999999999997</v>
      </c>
    </row>
    <row r="59" spans="1:63" x14ac:dyDescent="0.3">
      <c r="A59" t="s">
        <v>70</v>
      </c>
      <c r="B59" s="53">
        <f t="shared" si="8"/>
        <v>0</v>
      </c>
      <c r="C59" s="53">
        <f t="shared" si="4"/>
        <v>0</v>
      </c>
      <c r="D59" s="53">
        <f t="shared" si="5"/>
        <v>0</v>
      </c>
      <c r="E59" s="53">
        <v>0</v>
      </c>
      <c r="F59" s="15">
        <v>1.794</v>
      </c>
      <c r="G59">
        <v>2.2589999999999999</v>
      </c>
      <c r="H59" t="s">
        <v>71</v>
      </c>
      <c r="I59" t="str">
        <f>VLOOKUP(A59,Planilha6!$BL$9:$BN$222,2,0)</f>
        <v>basic_materials</v>
      </c>
      <c r="J59" t="str">
        <f>VLOOKUP(A59,Planilha6!$BL$9:$BN$222,3,0)</f>
        <v>low_beta</v>
      </c>
      <c r="K59" s="2">
        <v>0</v>
      </c>
      <c r="L59" s="2">
        <v>0</v>
      </c>
      <c r="M59" s="29">
        <v>0</v>
      </c>
      <c r="N59" s="47">
        <f>VLOOKUP(A59,'Mandato ISEE'!$A$1:$C$215,2,0)</f>
        <v>0</v>
      </c>
      <c r="O59" s="48">
        <f t="shared" si="6"/>
        <v>0</v>
      </c>
      <c r="P59" s="47">
        <f>VLOOKUP(A59,'Mandato ISEE'!$A$1:$C$215,3,0)</f>
        <v>0</v>
      </c>
      <c r="Q59" s="48">
        <f t="shared" si="7"/>
        <v>0</v>
      </c>
      <c r="R59" s="15">
        <v>-0.40200000000000002</v>
      </c>
      <c r="S59" s="15">
        <v>0.16500000000000001</v>
      </c>
      <c r="T59" s="15">
        <v>-0.57899999999999996</v>
      </c>
      <c r="U59" s="15">
        <v>-0.34799999999999998</v>
      </c>
      <c r="V59" s="15">
        <v>-0.11600000000000001</v>
      </c>
      <c r="W59" s="15">
        <v>0.28299999999999997</v>
      </c>
      <c r="X59" s="15">
        <v>0.61099999999999999</v>
      </c>
      <c r="Y59" s="15">
        <v>0.66300000000000003</v>
      </c>
      <c r="Z59" s="15">
        <v>0.77300000000000002</v>
      </c>
      <c r="AA59" s="15">
        <v>0.77400000000000002</v>
      </c>
      <c r="AB59" s="15">
        <v>0.626</v>
      </c>
      <c r="AC59" s="15">
        <v>0.65700000000000003</v>
      </c>
      <c r="AD59" s="15">
        <v>0.81</v>
      </c>
      <c r="AE59" s="14">
        <v>-0.223</v>
      </c>
      <c r="AF59" s="15">
        <v>-0.92</v>
      </c>
      <c r="AG59" s="15">
        <v>0.36</v>
      </c>
      <c r="AH59" s="15">
        <v>-0.55300000000000005</v>
      </c>
      <c r="AI59" s="15">
        <v>8.5000000000000006E-2</v>
      </c>
      <c r="AJ59" s="9">
        <v>-0.51800000000000002</v>
      </c>
      <c r="AK59" s="4">
        <v>-0.34</v>
      </c>
      <c r="AL59" s="4">
        <v>0.89900000000000002</v>
      </c>
      <c r="AM59" s="4">
        <v>-0.42699999999999999</v>
      </c>
      <c r="AN59" s="4">
        <v>-0.52600000000000002</v>
      </c>
      <c r="AO59" s="4">
        <v>0.76700000000000002</v>
      </c>
      <c r="AP59" s="4">
        <v>0.14000000000000001</v>
      </c>
      <c r="AQ59" s="4">
        <v>-0.93600000000000005</v>
      </c>
      <c r="AR59" s="4">
        <v>-1</v>
      </c>
      <c r="AS59" s="4">
        <v>-0.67100000000000004</v>
      </c>
      <c r="AT59" s="4">
        <v>-0.26900000000000002</v>
      </c>
      <c r="AU59" s="4">
        <v>0.309</v>
      </c>
      <c r="AV59" s="4">
        <v>-8.2000000000000003E-2</v>
      </c>
      <c r="AW59" s="4">
        <v>0.67800000000000005</v>
      </c>
      <c r="AX59" s="4">
        <v>0.04</v>
      </c>
      <c r="AY59" s="4">
        <v>0.70099999999999996</v>
      </c>
      <c r="AZ59" s="4">
        <v>-0.90700000000000003</v>
      </c>
      <c r="BA59" s="4">
        <v>0.98299999999999998</v>
      </c>
      <c r="BB59" s="4">
        <v>-0.14799999999999999</v>
      </c>
      <c r="BC59" s="4">
        <v>0.46800000000000003</v>
      </c>
      <c r="BD59" s="4">
        <v>0.35099999999999998</v>
      </c>
      <c r="BE59" s="4">
        <v>7.0000000000000001E-3</v>
      </c>
      <c r="BF59" s="4">
        <v>5.8000000000000003E-2</v>
      </c>
      <c r="BG59" s="4">
        <v>0.998</v>
      </c>
      <c r="BH59" s="4">
        <v>-0.35199999999999998</v>
      </c>
      <c r="BI59" s="4">
        <v>-0.34699999999999998</v>
      </c>
      <c r="BJ59" s="4">
        <v>1</v>
      </c>
      <c r="BK59" s="4">
        <v>8.5000000000000006E-2</v>
      </c>
    </row>
    <row r="60" spans="1:63" x14ac:dyDescent="0.3">
      <c r="A60" t="s">
        <v>118</v>
      </c>
      <c r="B60" s="53">
        <f t="shared" si="8"/>
        <v>0</v>
      </c>
      <c r="C60" s="53">
        <f t="shared" si="4"/>
        <v>0</v>
      </c>
      <c r="D60" s="53">
        <f t="shared" si="5"/>
        <v>0</v>
      </c>
      <c r="E60" s="53">
        <v>0</v>
      </c>
      <c r="F60" s="15">
        <v>1.792</v>
      </c>
      <c r="G60">
        <v>1.401</v>
      </c>
      <c r="H60" t="s">
        <v>57</v>
      </c>
      <c r="I60" t="str">
        <f>VLOOKUP(A60,Planilha6!$BL$9:$BN$222,2,0)</f>
        <v>homebuilders</v>
      </c>
      <c r="J60" t="str">
        <f>VLOOKUP(A60,Planilha6!$BL$9:$BN$222,3,0)</f>
        <v>very_high_beta</v>
      </c>
      <c r="K60" s="2">
        <v>0</v>
      </c>
      <c r="L60" s="2">
        <v>0</v>
      </c>
      <c r="M60" s="29">
        <v>0</v>
      </c>
      <c r="N60" s="47">
        <f>VLOOKUP(A60,'Mandato ISEE'!$A$1:$C$215,2,0)</f>
        <v>0</v>
      </c>
      <c r="O60" s="48">
        <f t="shared" si="6"/>
        <v>0</v>
      </c>
      <c r="P60" s="47">
        <f>VLOOKUP(A60,'Mandato ISEE'!$A$1:$C$215,3,0)</f>
        <v>0</v>
      </c>
      <c r="Q60" s="48">
        <f t="shared" si="7"/>
        <v>0</v>
      </c>
      <c r="R60" s="15">
        <v>0.34599999999999997</v>
      </c>
      <c r="S60" s="15">
        <v>0.23</v>
      </c>
      <c r="T60" s="15">
        <v>0.22800000000000001</v>
      </c>
      <c r="U60" s="15">
        <v>0.28899999999999998</v>
      </c>
      <c r="V60" s="15">
        <v>0.33700000000000002</v>
      </c>
      <c r="W60" s="15">
        <v>0.14299999999999999</v>
      </c>
      <c r="X60" s="15">
        <v>-0.03</v>
      </c>
      <c r="Y60" s="15">
        <v>1.7000000000000001E-2</v>
      </c>
      <c r="Z60" s="15">
        <v>0.26600000000000001</v>
      </c>
      <c r="AA60" s="15">
        <v>0.26400000000000001</v>
      </c>
      <c r="AB60" s="15">
        <v>0.85899999999999999</v>
      </c>
      <c r="AC60" s="15">
        <v>0.92700000000000005</v>
      </c>
      <c r="AD60" s="15">
        <v>0.78800000000000003</v>
      </c>
      <c r="AE60" s="14">
        <v>-1.7999999999999999E-2</v>
      </c>
      <c r="AF60" s="15">
        <v>0.70199999999999996</v>
      </c>
      <c r="AG60" s="15">
        <v>0.26800000000000002</v>
      </c>
      <c r="AH60" s="15">
        <v>-0.06</v>
      </c>
      <c r="AI60" s="15">
        <v>1</v>
      </c>
      <c r="AJ60" s="9">
        <v>-0.125</v>
      </c>
      <c r="AK60" s="4">
        <v>-0.309</v>
      </c>
      <c r="AL60" s="4">
        <v>-1.0999999999999999E-2</v>
      </c>
      <c r="AM60" s="4">
        <v>-0.57999999999999996</v>
      </c>
      <c r="AN60" s="4">
        <v>0.25900000000000001</v>
      </c>
      <c r="AO60" s="4">
        <v>0.34100000000000003</v>
      </c>
      <c r="AP60" s="4">
        <v>0.76100000000000001</v>
      </c>
      <c r="AQ60" s="4">
        <v>0.51500000000000001</v>
      </c>
      <c r="AR60" s="4">
        <v>0.51100000000000001</v>
      </c>
      <c r="AS60" s="4">
        <v>0.97</v>
      </c>
      <c r="AT60" s="4">
        <v>0.16</v>
      </c>
      <c r="AU60" s="4">
        <v>-0.10100000000000001</v>
      </c>
      <c r="AV60" s="4">
        <v>4.2999999999999997E-2</v>
      </c>
      <c r="AW60" s="4">
        <v>-0.251</v>
      </c>
      <c r="AX60" s="4">
        <v>-0.123</v>
      </c>
      <c r="AY60" s="4">
        <v>0.85699999999999998</v>
      </c>
      <c r="AZ60" s="4">
        <v>0.53</v>
      </c>
      <c r="BA60" s="4">
        <v>0.375</v>
      </c>
      <c r="BB60" s="4">
        <v>-0.56399999999999995</v>
      </c>
      <c r="BC60" s="4">
        <v>-0.35399999999999998</v>
      </c>
      <c r="BD60" s="4">
        <v>-0.27300000000000002</v>
      </c>
      <c r="BE60" s="4">
        <v>-0.05</v>
      </c>
      <c r="BF60" s="4">
        <v>-1.7999999999999999E-2</v>
      </c>
      <c r="BG60" s="4">
        <v>0.122</v>
      </c>
      <c r="BH60" s="4">
        <v>-0.999</v>
      </c>
      <c r="BI60" s="4">
        <v>0.84299999999999997</v>
      </c>
      <c r="BJ60" s="4">
        <v>-0.51500000000000001</v>
      </c>
      <c r="BK60" s="4">
        <v>0.16</v>
      </c>
    </row>
    <row r="61" spans="1:63" x14ac:dyDescent="0.3">
      <c r="A61" t="s">
        <v>127</v>
      </c>
      <c r="B61" s="53">
        <f t="shared" si="8"/>
        <v>2.5000000000000001E-2</v>
      </c>
      <c r="C61" s="53">
        <f t="shared" si="4"/>
        <v>9.0000000000000011E-3</v>
      </c>
      <c r="D61" s="53">
        <f t="shared" si="5"/>
        <v>0</v>
      </c>
      <c r="E61" s="53">
        <v>1.6E-2</v>
      </c>
      <c r="F61" s="15">
        <v>1.7889999999999999</v>
      </c>
      <c r="G61">
        <v>3.0209999999999999</v>
      </c>
      <c r="H61" t="s">
        <v>53</v>
      </c>
      <c r="I61" t="str">
        <f>VLOOKUP(A61,Planilha6!$BL$9:$BN$222,2,0)</f>
        <v>float_financials</v>
      </c>
      <c r="J61" t="str">
        <f>VLOOKUP(A61,Planilha6!$BL$9:$BN$222,3,0)</f>
        <v>very_low_beta</v>
      </c>
      <c r="K61" s="2">
        <v>2.5000000000000001E-2</v>
      </c>
      <c r="L61" s="2">
        <v>8.9999999999999993E-3</v>
      </c>
      <c r="M61" s="29">
        <v>1.6E-2</v>
      </c>
      <c r="N61" s="47">
        <f>VLOOKUP(A61,'Mandato ISEE'!$A$1:$C$215,2,0)</f>
        <v>5.9551521571764299E-2</v>
      </c>
      <c r="O61" s="48">
        <f t="shared" si="6"/>
        <v>-3.4551521571764297E-2</v>
      </c>
      <c r="P61" s="47">
        <f>VLOOKUP(A61,'Mandato ISEE'!$A$1:$C$215,3,0)</f>
        <v>3.5607644625039701E-2</v>
      </c>
      <c r="Q61" s="48">
        <f t="shared" si="7"/>
        <v>-1.06076446250397E-2</v>
      </c>
      <c r="R61" s="15">
        <v>-8.2000000000000003E-2</v>
      </c>
      <c r="S61" s="15">
        <v>0.312</v>
      </c>
      <c r="T61" s="15">
        <v>-0.34</v>
      </c>
      <c r="U61" s="15">
        <v>0.123</v>
      </c>
      <c r="V61" s="15">
        <v>0.246</v>
      </c>
      <c r="W61" s="15">
        <v>0.33300000000000002</v>
      </c>
      <c r="X61" s="15">
        <v>0.56799999999999995</v>
      </c>
      <c r="Y61" s="15">
        <v>0.32800000000000001</v>
      </c>
      <c r="Z61" s="15">
        <v>0.59599999999999997</v>
      </c>
      <c r="AA61" s="15">
        <v>0.6</v>
      </c>
      <c r="AB61" s="15">
        <v>0.69599999999999995</v>
      </c>
      <c r="AC61" s="15">
        <v>0.82199999999999995</v>
      </c>
      <c r="AD61" s="15">
        <v>0.61299999999999999</v>
      </c>
      <c r="AE61" s="14">
        <v>6.6000000000000003E-2</v>
      </c>
      <c r="AF61" s="15">
        <v>0.186</v>
      </c>
      <c r="AG61" s="15">
        <v>-0.17499999999999999</v>
      </c>
      <c r="AH61" s="15">
        <v>-0.88100000000000001</v>
      </c>
      <c r="AI61" s="15">
        <v>-0.72799999999999998</v>
      </c>
      <c r="AJ61" s="9">
        <v>-0.28199999999999997</v>
      </c>
      <c r="AK61" s="4">
        <v>-0.23</v>
      </c>
      <c r="AL61" s="4">
        <v>-0.27600000000000002</v>
      </c>
      <c r="AM61" s="4">
        <v>-0.71699999999999997</v>
      </c>
      <c r="AN61" s="4">
        <v>0.03</v>
      </c>
      <c r="AO61" s="4">
        <v>0.155</v>
      </c>
      <c r="AP61" s="4">
        <v>0.375</v>
      </c>
      <c r="AQ61" s="4">
        <v>0.55800000000000005</v>
      </c>
      <c r="AR61" s="4">
        <v>0.127</v>
      </c>
      <c r="AS61" s="4">
        <v>0.495</v>
      </c>
      <c r="AT61" s="4">
        <v>0.45700000000000002</v>
      </c>
      <c r="AU61" s="4">
        <v>0.24199999999999999</v>
      </c>
      <c r="AV61" s="4">
        <v>0.38600000000000001</v>
      </c>
      <c r="AW61" s="4">
        <v>0.78400000000000003</v>
      </c>
      <c r="AX61" s="4">
        <v>0.66800000000000004</v>
      </c>
      <c r="AY61" s="4">
        <v>0.91300000000000003</v>
      </c>
      <c r="AZ61" s="4">
        <v>0.70899999999999996</v>
      </c>
      <c r="BA61" s="4">
        <v>0.35899999999999999</v>
      </c>
      <c r="BB61" s="4">
        <v>-9.8000000000000004E-2</v>
      </c>
      <c r="BC61" s="4">
        <v>-6.5000000000000002E-2</v>
      </c>
      <c r="BD61" s="4">
        <v>-0.82</v>
      </c>
      <c r="BE61" s="4">
        <v>-0.159</v>
      </c>
      <c r="BF61" s="4">
        <v>0.61699999999999999</v>
      </c>
      <c r="BG61" s="4">
        <v>0.73199999999999998</v>
      </c>
      <c r="BH61" s="4">
        <v>-0.71699999999999997</v>
      </c>
      <c r="BI61" s="4">
        <v>-0.48899999999999999</v>
      </c>
      <c r="BJ61" s="4">
        <v>5.5E-2</v>
      </c>
      <c r="BK61" s="4">
        <v>-0.26700000000000002</v>
      </c>
    </row>
    <row r="62" spans="1:63" x14ac:dyDescent="0.3">
      <c r="A62" t="s">
        <v>115</v>
      </c>
      <c r="B62" s="53">
        <f t="shared" si="8"/>
        <v>0</v>
      </c>
      <c r="C62" s="53">
        <f t="shared" si="4"/>
        <v>0</v>
      </c>
      <c r="D62" s="53">
        <f t="shared" si="5"/>
        <v>0</v>
      </c>
      <c r="E62" s="53">
        <v>0</v>
      </c>
      <c r="F62" s="15">
        <v>1.7529999999999999</v>
      </c>
      <c r="G62">
        <v>2.0990000000000002</v>
      </c>
      <c r="H62" t="s">
        <v>55</v>
      </c>
      <c r="I62" t="str">
        <f>VLOOKUP(A62,Planilha6!$BL$9:$BN$222,2,0)</f>
        <v>utilities</v>
      </c>
      <c r="J62" t="str">
        <f>VLOOKUP(A62,Planilha6!$BL$9:$BN$222,3,0)</f>
        <v>very_low_beta</v>
      </c>
      <c r="K62" s="2">
        <v>0</v>
      </c>
      <c r="L62" s="2">
        <v>0</v>
      </c>
      <c r="M62" s="29">
        <v>0</v>
      </c>
      <c r="N62" s="47">
        <f>VLOOKUP(A62,'Mandato ISEE'!$A$1:$C$215,2,0)</f>
        <v>0</v>
      </c>
      <c r="O62" s="48">
        <f t="shared" si="6"/>
        <v>0</v>
      </c>
      <c r="P62" s="47">
        <f>VLOOKUP(A62,'Mandato ISEE'!$A$1:$C$215,3,0)</f>
        <v>0</v>
      </c>
      <c r="Q62" s="48">
        <f t="shared" si="7"/>
        <v>0</v>
      </c>
      <c r="R62" s="15">
        <v>-0.311</v>
      </c>
      <c r="S62" s="15">
        <v>0.57199999999999995</v>
      </c>
      <c r="T62" s="15">
        <v>-0.626</v>
      </c>
      <c r="U62" s="15">
        <v>-0.107</v>
      </c>
      <c r="V62" s="15">
        <v>0.17799999999999999</v>
      </c>
      <c r="W62" s="15">
        <v>0.183</v>
      </c>
      <c r="X62" s="15">
        <v>0.33900000000000002</v>
      </c>
      <c r="Y62" s="15">
        <v>0.35</v>
      </c>
      <c r="Z62" s="15">
        <v>0.876</v>
      </c>
      <c r="AA62" s="15">
        <v>0.88500000000000001</v>
      </c>
      <c r="AB62" s="15">
        <v>0.67600000000000005</v>
      </c>
      <c r="AC62" s="15">
        <v>0.74</v>
      </c>
      <c r="AD62" s="15">
        <v>0.84499999999999997</v>
      </c>
      <c r="AE62" s="14">
        <v>-0.45800000000000002</v>
      </c>
      <c r="AF62" s="15">
        <v>-0.63</v>
      </c>
      <c r="AG62" s="15">
        <v>1</v>
      </c>
      <c r="AH62" s="15">
        <v>-0.92800000000000005</v>
      </c>
      <c r="AI62" s="15">
        <v>-0.13900000000000001</v>
      </c>
      <c r="AJ62" s="9">
        <v>-0.98599999999999999</v>
      </c>
      <c r="AK62" s="4">
        <v>-0.42899999999999999</v>
      </c>
      <c r="AL62" s="4">
        <v>-0.35899999999999999</v>
      </c>
      <c r="AM62" s="4">
        <v>-0.308</v>
      </c>
      <c r="AN62" s="4">
        <v>-0.45</v>
      </c>
      <c r="AO62" s="4">
        <v>0.86299999999999999</v>
      </c>
      <c r="AP62" s="4">
        <v>0.64100000000000001</v>
      </c>
      <c r="AQ62" s="4">
        <v>-0.128</v>
      </c>
      <c r="AR62" s="4">
        <v>0.34699999999999998</v>
      </c>
      <c r="AS62" s="4">
        <v>0.38500000000000001</v>
      </c>
      <c r="AT62" s="4">
        <v>0.11799999999999999</v>
      </c>
      <c r="AU62" s="4">
        <v>-0.17100000000000001</v>
      </c>
      <c r="AV62" s="4">
        <v>-7.9000000000000001E-2</v>
      </c>
      <c r="AW62" s="4">
        <v>0.82699999999999996</v>
      </c>
      <c r="AX62" s="4">
        <v>-0.71299999999999997</v>
      </c>
      <c r="AY62" s="4">
        <v>0.98899999999999999</v>
      </c>
      <c r="AZ62" s="4">
        <v>0.76300000000000001</v>
      </c>
      <c r="BA62" s="4">
        <v>1</v>
      </c>
      <c r="BB62" s="4">
        <v>-0.23300000000000001</v>
      </c>
      <c r="BC62" s="4">
        <v>-0.53200000000000003</v>
      </c>
      <c r="BD62" s="4">
        <v>0.312</v>
      </c>
      <c r="BE62" s="4">
        <v>0.36599999999999999</v>
      </c>
      <c r="BF62" s="4">
        <v>-0.29799999999999999</v>
      </c>
      <c r="BG62" s="4">
        <v>1</v>
      </c>
      <c r="BH62" s="4">
        <v>-0.752</v>
      </c>
      <c r="BI62" s="4">
        <v>-0.70099999999999996</v>
      </c>
      <c r="BJ62" s="4">
        <v>8.6999999999999994E-2</v>
      </c>
      <c r="BK62" s="4">
        <v>-0.35099999999999998</v>
      </c>
    </row>
    <row r="63" spans="1:63" x14ac:dyDescent="0.3">
      <c r="A63" t="s">
        <v>137</v>
      </c>
      <c r="B63" s="53">
        <f t="shared" si="8"/>
        <v>0</v>
      </c>
      <c r="C63" s="53">
        <f t="shared" si="4"/>
        <v>0</v>
      </c>
      <c r="D63" s="53">
        <f t="shared" si="5"/>
        <v>0</v>
      </c>
      <c r="E63" s="53">
        <v>0</v>
      </c>
      <c r="F63" s="15">
        <v>1.7250000000000001</v>
      </c>
      <c r="G63">
        <v>1.2470000000000001</v>
      </c>
      <c r="H63" t="s">
        <v>57</v>
      </c>
      <c r="I63" t="str">
        <f>VLOOKUP(A63,Planilha6!$BL$9:$BN$222,2,0)</f>
        <v>education</v>
      </c>
      <c r="J63" t="str">
        <f>VLOOKUP(A63,Planilha6!$BL$9:$BN$222,3,0)</f>
        <v>neutral_beta</v>
      </c>
      <c r="K63" s="2">
        <v>0</v>
      </c>
      <c r="L63" s="2">
        <v>0</v>
      </c>
      <c r="M63" s="29">
        <v>0</v>
      </c>
      <c r="N63" s="47">
        <f>VLOOKUP(A63,'Mandato ISEE'!$A$1:$C$215,2,0)</f>
        <v>0</v>
      </c>
      <c r="O63" s="48">
        <f t="shared" si="6"/>
        <v>0</v>
      </c>
      <c r="P63" s="47">
        <f>VLOOKUP(A63,'Mandato ISEE'!$A$1:$C$215,3,0)</f>
        <v>0</v>
      </c>
      <c r="Q63" s="48">
        <f t="shared" si="7"/>
        <v>0</v>
      </c>
      <c r="R63" s="15">
        <v>0.72699999999999998</v>
      </c>
      <c r="S63" s="15">
        <v>0.111</v>
      </c>
      <c r="T63" s="15">
        <v>0.68300000000000005</v>
      </c>
      <c r="U63" s="15">
        <v>0.61399999999999999</v>
      </c>
      <c r="V63" s="15">
        <v>0.44800000000000001</v>
      </c>
      <c r="W63" s="15">
        <v>-2.5999999999999999E-2</v>
      </c>
      <c r="X63" s="15">
        <v>-0.40200000000000002</v>
      </c>
      <c r="Y63" s="15">
        <v>-0.39700000000000002</v>
      </c>
      <c r="Z63" s="15">
        <v>0.24299999999999999</v>
      </c>
      <c r="AA63" s="15">
        <v>0.24399999999999999</v>
      </c>
      <c r="AB63" s="15">
        <v>0.93100000000000005</v>
      </c>
      <c r="AC63" s="15">
        <v>0.77700000000000002</v>
      </c>
      <c r="AD63" s="15">
        <v>0.78700000000000003</v>
      </c>
      <c r="AE63" s="14">
        <v>0.86499999999999999</v>
      </c>
      <c r="AF63" s="15">
        <v>0.57199999999999995</v>
      </c>
      <c r="AG63" s="15">
        <v>7.0000000000000001E-3</v>
      </c>
      <c r="AH63" s="15">
        <v>-2.8000000000000001E-2</v>
      </c>
      <c r="AI63" s="15">
        <v>0.75800000000000001</v>
      </c>
      <c r="AJ63" s="9">
        <v>1</v>
      </c>
      <c r="AK63" s="4">
        <v>0.108</v>
      </c>
      <c r="AL63" s="4">
        <v>-0.69899999999999995</v>
      </c>
      <c r="AM63" s="4">
        <v>-0.54200000000000004</v>
      </c>
      <c r="AN63" s="4">
        <v>0.53</v>
      </c>
      <c r="AO63" s="4">
        <v>0.125</v>
      </c>
      <c r="AP63" s="4">
        <v>0.122</v>
      </c>
      <c r="AQ63" s="4">
        <v>0.49</v>
      </c>
      <c r="AR63" s="4">
        <v>0.93400000000000005</v>
      </c>
      <c r="AS63" s="4">
        <v>0.441</v>
      </c>
      <c r="AT63" s="4">
        <v>0.50900000000000001</v>
      </c>
      <c r="AU63" s="4">
        <v>7.9000000000000001E-2</v>
      </c>
      <c r="AV63" s="4">
        <v>0.88700000000000001</v>
      </c>
      <c r="AW63" s="4">
        <v>-0.57099999999999995</v>
      </c>
      <c r="AX63" s="4">
        <v>-0.16400000000000001</v>
      </c>
      <c r="AY63" s="4">
        <v>0.78100000000000003</v>
      </c>
      <c r="AZ63" s="4">
        <v>0.44500000000000001</v>
      </c>
      <c r="BA63" s="4">
        <v>0.61099999999999999</v>
      </c>
      <c r="BB63" s="4">
        <v>8.5999999999999993E-2</v>
      </c>
      <c r="BC63" s="4">
        <v>-9.4E-2</v>
      </c>
      <c r="BD63" s="4">
        <v>0.93400000000000005</v>
      </c>
      <c r="BE63" s="4">
        <v>-1</v>
      </c>
      <c r="BF63" s="4">
        <v>-1</v>
      </c>
      <c r="BG63" s="4">
        <v>-0.61</v>
      </c>
      <c r="BH63" s="4">
        <v>-0.64200000000000002</v>
      </c>
      <c r="BI63" s="4">
        <v>-0.01</v>
      </c>
      <c r="BJ63" s="4">
        <v>-1E-3</v>
      </c>
      <c r="BK63" s="4">
        <v>0.55400000000000005</v>
      </c>
    </row>
    <row r="64" spans="1:63" x14ac:dyDescent="0.3">
      <c r="A64" t="s">
        <v>111</v>
      </c>
      <c r="B64" s="53">
        <f t="shared" si="8"/>
        <v>2.1000000000000001E-2</v>
      </c>
      <c r="C64" s="53">
        <f t="shared" si="4"/>
        <v>0.02</v>
      </c>
      <c r="D64" s="53">
        <f t="shared" si="5"/>
        <v>0</v>
      </c>
      <c r="E64" s="53">
        <v>1E-3</v>
      </c>
      <c r="F64" s="15">
        <v>1.641</v>
      </c>
      <c r="G64">
        <v>1.583</v>
      </c>
      <c r="H64" t="s">
        <v>53</v>
      </c>
      <c r="I64" t="str">
        <f>VLOOKUP(A64,Planilha6!$BL$9:$BN$222,2,0)</f>
        <v>consumer_staples</v>
      </c>
      <c r="J64" t="str">
        <f>VLOOKUP(A64,Planilha6!$BL$9:$BN$222,3,0)</f>
        <v>very_high_beta</v>
      </c>
      <c r="K64" s="2">
        <v>2.1000000000000001E-2</v>
      </c>
      <c r="L64" s="2">
        <v>0.02</v>
      </c>
      <c r="M64" s="29">
        <v>1E-3</v>
      </c>
      <c r="N64" s="47">
        <f>VLOOKUP(A64,'Mandato ISEE'!$A$1:$C$215,2,0)</f>
        <v>1.7565937812657102E-2</v>
      </c>
      <c r="O64" s="48">
        <f t="shared" si="6"/>
        <v>3.4340621873428998E-3</v>
      </c>
      <c r="P64" s="47">
        <f>VLOOKUP(A64,'Mandato ISEE'!$A$1:$C$215,3,0)</f>
        <v>0</v>
      </c>
      <c r="Q64" s="48">
        <f t="shared" si="7"/>
        <v>2.1000000000000001E-2</v>
      </c>
      <c r="R64" s="15">
        <v>0.30599999999999999</v>
      </c>
      <c r="S64" s="15">
        <v>0.20100000000000001</v>
      </c>
      <c r="T64" s="15">
        <v>0.23300000000000001</v>
      </c>
      <c r="U64" s="15">
        <v>0.14000000000000001</v>
      </c>
      <c r="V64" s="15">
        <v>0.223</v>
      </c>
      <c r="W64" s="15">
        <v>-6.9000000000000006E-2</v>
      </c>
      <c r="X64" s="15">
        <v>-0.26200000000000001</v>
      </c>
      <c r="Y64" s="15">
        <v>-0.154</v>
      </c>
      <c r="Z64" s="15">
        <v>0.47299999999999998</v>
      </c>
      <c r="AA64" s="15">
        <v>0.47699999999999998</v>
      </c>
      <c r="AB64" s="15">
        <v>0.88200000000000001</v>
      </c>
      <c r="AC64" s="15">
        <v>0.91500000000000004</v>
      </c>
      <c r="AD64" s="15">
        <v>0.82299999999999995</v>
      </c>
      <c r="AE64" s="14">
        <v>-8.8999999999999996E-2</v>
      </c>
      <c r="AF64" s="15">
        <v>2.4E-2</v>
      </c>
      <c r="AG64" s="15">
        <v>1</v>
      </c>
      <c r="AH64" s="15">
        <v>0.19</v>
      </c>
      <c r="AI64" s="15">
        <v>0.747</v>
      </c>
      <c r="AJ64" s="9">
        <v>-0.51300000000000001</v>
      </c>
      <c r="AK64" s="4">
        <v>0.16200000000000001</v>
      </c>
      <c r="AL64" s="4">
        <v>-0.39700000000000002</v>
      </c>
      <c r="AM64" s="4">
        <v>0.09</v>
      </c>
      <c r="AN64" s="4">
        <v>-6.0999999999999999E-2</v>
      </c>
      <c r="AO64" s="4">
        <v>0.311</v>
      </c>
      <c r="AP64" s="4">
        <v>0.312</v>
      </c>
      <c r="AQ64" s="4">
        <v>-2.5999999999999999E-2</v>
      </c>
      <c r="AR64" s="4">
        <v>7.9000000000000001E-2</v>
      </c>
      <c r="AS64" s="4">
        <v>-0.33700000000000002</v>
      </c>
      <c r="AT64" s="4">
        <v>0.24199999999999999</v>
      </c>
      <c r="AU64" s="4">
        <v>-0.45800000000000002</v>
      </c>
      <c r="AV64" s="4">
        <v>2.1999999999999999E-2</v>
      </c>
      <c r="AW64" s="4">
        <v>0.34599999999999997</v>
      </c>
      <c r="AX64" s="4">
        <v>-0.26500000000000001</v>
      </c>
      <c r="AY64" s="4">
        <v>0.72199999999999998</v>
      </c>
      <c r="AZ64" s="4">
        <v>0.308</v>
      </c>
      <c r="BA64" s="4">
        <v>0.245</v>
      </c>
      <c r="BB64" s="4">
        <v>7.0000000000000001E-3</v>
      </c>
      <c r="BC64" s="4">
        <v>9.5000000000000001E-2</v>
      </c>
      <c r="BD64" s="4">
        <v>0.28599999999999998</v>
      </c>
      <c r="BE64" s="4">
        <v>-0.46800000000000003</v>
      </c>
      <c r="BF64" s="4">
        <v>-0.23899999999999999</v>
      </c>
      <c r="BG64" s="4">
        <v>5.2999999999999999E-2</v>
      </c>
      <c r="BH64" s="4">
        <v>-5.2999999999999999E-2</v>
      </c>
      <c r="BI64" s="4">
        <v>0.55000000000000004</v>
      </c>
      <c r="BJ64" s="4">
        <v>0.56499999999999995</v>
      </c>
      <c r="BK64" s="4">
        <v>0.47599999999999998</v>
      </c>
    </row>
    <row r="65" spans="1:63" x14ac:dyDescent="0.3">
      <c r="A65" t="s">
        <v>75</v>
      </c>
      <c r="B65" s="53">
        <f t="shared" si="8"/>
        <v>0</v>
      </c>
      <c r="C65" s="53">
        <f t="shared" si="4"/>
        <v>0</v>
      </c>
      <c r="D65" s="53">
        <f t="shared" si="5"/>
        <v>0</v>
      </c>
      <c r="E65" s="53">
        <v>0</v>
      </c>
      <c r="F65" s="15">
        <v>1.6180000000000001</v>
      </c>
      <c r="G65">
        <v>1.2470000000000001</v>
      </c>
      <c r="H65" t="s">
        <v>55</v>
      </c>
      <c r="I65" t="str">
        <f>VLOOKUP(A65,Planilha6!$BL$9:$BN$222,2,0)</f>
        <v>real_estate</v>
      </c>
      <c r="J65" t="str">
        <f>VLOOKUP(A65,Planilha6!$BL$9:$BN$222,3,0)</f>
        <v>very_high_beta</v>
      </c>
      <c r="K65" s="2">
        <v>0</v>
      </c>
      <c r="L65" s="2">
        <v>0</v>
      </c>
      <c r="M65" s="29">
        <v>0</v>
      </c>
      <c r="N65" s="47">
        <f>VLOOKUP(A65,'Mandato ISEE'!$A$1:$C$215,2,0)</f>
        <v>0</v>
      </c>
      <c r="O65" s="48">
        <f t="shared" si="6"/>
        <v>0</v>
      </c>
      <c r="P65" s="47">
        <f>VLOOKUP(A65,'Mandato ISEE'!$A$1:$C$215,3,0)</f>
        <v>0</v>
      </c>
      <c r="Q65" s="48">
        <f t="shared" si="7"/>
        <v>0</v>
      </c>
      <c r="R65" s="15">
        <v>0.375</v>
      </c>
      <c r="S65" s="15">
        <v>-0.26</v>
      </c>
      <c r="T65" s="15">
        <v>0.44</v>
      </c>
      <c r="U65" s="15">
        <v>3.5000000000000003E-2</v>
      </c>
      <c r="V65" s="15">
        <v>1.4999999999999999E-2</v>
      </c>
      <c r="W65" s="15">
        <v>6.3E-2</v>
      </c>
      <c r="X65" s="15">
        <v>4.2000000000000003E-2</v>
      </c>
      <c r="Y65" s="15">
        <v>-0.22900000000000001</v>
      </c>
      <c r="Z65" s="15">
        <v>0.59399999999999997</v>
      </c>
      <c r="AA65" s="15">
        <v>0.59399999999999997</v>
      </c>
      <c r="AB65" s="15">
        <v>0.70899999999999996</v>
      </c>
      <c r="AC65" s="15">
        <v>0.95399999999999996</v>
      </c>
      <c r="AD65" s="15">
        <v>0.71</v>
      </c>
      <c r="AE65" s="14">
        <v>0.33300000000000002</v>
      </c>
      <c r="AF65" s="15">
        <v>0.59299999999999997</v>
      </c>
      <c r="AG65" s="15">
        <v>-8.0000000000000002E-3</v>
      </c>
      <c r="AH65" s="15">
        <v>1</v>
      </c>
      <c r="AI65" s="15">
        <v>-4.2999999999999997E-2</v>
      </c>
      <c r="AJ65" s="9">
        <v>-0.32500000000000001</v>
      </c>
      <c r="AK65" s="4">
        <v>0.23100000000000001</v>
      </c>
      <c r="AL65" s="4">
        <v>-1.0999999999999999E-2</v>
      </c>
      <c r="AM65" s="4">
        <v>1</v>
      </c>
      <c r="AN65" s="4">
        <v>0.497</v>
      </c>
      <c r="AO65" s="4">
        <v>-0.19400000000000001</v>
      </c>
      <c r="AP65" s="4">
        <v>-0.72599999999999998</v>
      </c>
      <c r="AQ65" s="4">
        <v>-0.39900000000000002</v>
      </c>
      <c r="AR65" s="4">
        <v>0.121</v>
      </c>
      <c r="AS65" s="4">
        <v>0.38200000000000001</v>
      </c>
      <c r="AT65" s="4">
        <v>-6.5000000000000002E-2</v>
      </c>
      <c r="AU65" s="4">
        <v>8.2000000000000003E-2</v>
      </c>
      <c r="AV65" s="4">
        <v>-0.22900000000000001</v>
      </c>
      <c r="AW65" s="4">
        <v>2E-3</v>
      </c>
      <c r="AX65" s="4">
        <v>-0.79400000000000004</v>
      </c>
      <c r="AY65" s="4">
        <v>-0.11700000000000001</v>
      </c>
      <c r="AZ65" s="4">
        <v>-0.38100000000000001</v>
      </c>
      <c r="BA65" s="4">
        <v>0.85499999999999998</v>
      </c>
      <c r="BB65" s="4">
        <v>-8.4000000000000005E-2</v>
      </c>
      <c r="BC65" s="4">
        <v>0.122</v>
      </c>
      <c r="BD65" s="4">
        <v>9.9000000000000005E-2</v>
      </c>
      <c r="BE65" s="4">
        <v>-0.36699999999999999</v>
      </c>
      <c r="BF65" s="4">
        <v>0.28799999999999998</v>
      </c>
      <c r="BG65" s="4">
        <v>0.14199999999999999</v>
      </c>
      <c r="BH65" s="4">
        <v>0.16400000000000001</v>
      </c>
      <c r="BI65" s="4">
        <v>0.8</v>
      </c>
      <c r="BJ65" s="4">
        <v>0.61299999999999999</v>
      </c>
      <c r="BK65" s="4">
        <v>0.96</v>
      </c>
    </row>
    <row r="66" spans="1:63" x14ac:dyDescent="0.3">
      <c r="A66" t="s">
        <v>110</v>
      </c>
      <c r="B66" s="53">
        <f t="shared" si="8"/>
        <v>0</v>
      </c>
      <c r="C66" s="53">
        <f t="shared" si="4"/>
        <v>0</v>
      </c>
      <c r="D66" s="53">
        <f t="shared" si="5"/>
        <v>0</v>
      </c>
      <c r="E66" s="53">
        <v>0</v>
      </c>
      <c r="F66" s="15">
        <v>1.5840000000000001</v>
      </c>
      <c r="G66">
        <v>2.1030000000000002</v>
      </c>
      <c r="H66" t="s">
        <v>57</v>
      </c>
      <c r="I66" t="str">
        <f>VLOOKUP(A66,Planilha6!$BL$9:$BN$222,2,0)</f>
        <v>banks</v>
      </c>
      <c r="J66" t="str">
        <f>VLOOKUP(A66,Planilha6!$BL$9:$BN$222,3,0)</f>
        <v>neutral_beta</v>
      </c>
      <c r="K66" s="2">
        <v>0</v>
      </c>
      <c r="L66" s="2">
        <v>0</v>
      </c>
      <c r="M66" s="29">
        <v>0</v>
      </c>
      <c r="N66" s="47">
        <f>VLOOKUP(A66,'Mandato ISEE'!$A$1:$C$215,2,0)</f>
        <v>0</v>
      </c>
      <c r="O66" s="48">
        <f t="shared" si="6"/>
        <v>0</v>
      </c>
      <c r="P66" s="47">
        <f>VLOOKUP(A66,'Mandato ISEE'!$A$1:$C$215,3,0)</f>
        <v>0</v>
      </c>
      <c r="Q66" s="48">
        <f t="shared" si="7"/>
        <v>0</v>
      </c>
      <c r="R66" s="15">
        <v>-0.40500000000000003</v>
      </c>
      <c r="S66" s="15">
        <v>0.42399999999999999</v>
      </c>
      <c r="T66" s="15">
        <v>-0.73399999999999999</v>
      </c>
      <c r="U66" s="15">
        <v>-3.4000000000000002E-2</v>
      </c>
      <c r="V66" s="15">
        <v>0.09</v>
      </c>
      <c r="W66" s="15">
        <v>2.7E-2</v>
      </c>
      <c r="X66" s="15">
        <v>0.19</v>
      </c>
      <c r="Y66" s="15">
        <v>0.33500000000000002</v>
      </c>
      <c r="Z66" s="15">
        <v>0.86699999999999999</v>
      </c>
      <c r="AA66" s="15">
        <v>0.875</v>
      </c>
      <c r="AB66" s="15">
        <v>0.68200000000000005</v>
      </c>
      <c r="AC66" s="15">
        <v>0.77500000000000002</v>
      </c>
      <c r="AD66" s="15">
        <v>0.77700000000000002</v>
      </c>
      <c r="AE66" s="14">
        <v>-0.58299999999999996</v>
      </c>
      <c r="AF66" s="15">
        <v>4.2000000000000003E-2</v>
      </c>
      <c r="AG66" s="15">
        <v>0.94399999999999995</v>
      </c>
      <c r="AH66" s="15">
        <v>-0.96299999999999997</v>
      </c>
      <c r="AI66" s="15">
        <v>-0.60299999999999998</v>
      </c>
      <c r="AJ66" s="9">
        <v>-0.96699999999999997</v>
      </c>
      <c r="AK66" s="4">
        <v>-0.19400000000000001</v>
      </c>
      <c r="AL66" s="4">
        <v>9.8000000000000004E-2</v>
      </c>
      <c r="AM66" s="4">
        <v>-0.54800000000000004</v>
      </c>
      <c r="AN66" s="4">
        <v>-0.309</v>
      </c>
      <c r="AO66" s="4">
        <v>0.753</v>
      </c>
      <c r="AP66" s="4">
        <v>0.80700000000000005</v>
      </c>
      <c r="AQ66" s="4">
        <v>0.27400000000000002</v>
      </c>
      <c r="AR66" s="4">
        <v>0.11899999999999999</v>
      </c>
      <c r="AS66" s="4">
        <v>-6.3E-2</v>
      </c>
      <c r="AT66" s="4">
        <v>5.1999999999999998E-2</v>
      </c>
      <c r="AU66" s="4">
        <v>-0.185</v>
      </c>
      <c r="AV66" s="4">
        <v>-0.18099999999999999</v>
      </c>
      <c r="AW66" s="4">
        <v>0.48099999999999998</v>
      </c>
      <c r="AX66" s="4">
        <v>-0.53500000000000003</v>
      </c>
      <c r="AY66" s="4">
        <v>0.89300000000000002</v>
      </c>
      <c r="AZ66" s="4">
        <v>0.36</v>
      </c>
      <c r="BA66" s="4">
        <v>-0.26700000000000002</v>
      </c>
      <c r="BB66" s="4">
        <v>-0.24199999999999999</v>
      </c>
      <c r="BC66" s="4">
        <v>-0.24199999999999999</v>
      </c>
      <c r="BD66" s="4">
        <v>0.39700000000000002</v>
      </c>
      <c r="BE66" s="4">
        <v>-0.28399999999999997</v>
      </c>
      <c r="BF66" s="4">
        <v>0.13100000000000001</v>
      </c>
      <c r="BG66" s="4">
        <v>0.83399999999999996</v>
      </c>
      <c r="BH66" s="4">
        <v>-0.82399999999999995</v>
      </c>
      <c r="BI66" s="4">
        <v>-5.7000000000000002E-2</v>
      </c>
      <c r="BJ66" s="4">
        <v>0.35099999999999998</v>
      </c>
      <c r="BK66" s="4">
        <v>-0.92300000000000004</v>
      </c>
    </row>
    <row r="67" spans="1:63" x14ac:dyDescent="0.3">
      <c r="A67" t="s">
        <v>95</v>
      </c>
      <c r="B67" s="53">
        <f t="shared" si="8"/>
        <v>0</v>
      </c>
      <c r="C67" s="53">
        <f t="shared" si="4"/>
        <v>0</v>
      </c>
      <c r="D67" s="53">
        <f t="shared" si="5"/>
        <v>0</v>
      </c>
      <c r="E67" s="53">
        <v>0</v>
      </c>
      <c r="F67" s="15">
        <v>1.5409999999999999</v>
      </c>
      <c r="G67">
        <v>1.9530000000000001</v>
      </c>
      <c r="H67" t="s">
        <v>53</v>
      </c>
      <c r="I67" t="str">
        <f>VLOOKUP(A67,Planilha6!$BL$9:$BN$222,2,0)</f>
        <v>float_financials</v>
      </c>
      <c r="J67" t="str">
        <f>VLOOKUP(A67,Planilha6!$BL$9:$BN$222,3,0)</f>
        <v>very_low_beta</v>
      </c>
      <c r="K67" s="2">
        <v>0</v>
      </c>
      <c r="L67" s="2">
        <v>0</v>
      </c>
      <c r="M67" s="29">
        <v>0</v>
      </c>
      <c r="N67" s="47">
        <f>VLOOKUP(A67,'Mandato ISEE'!$A$1:$C$215,2,0)</f>
        <v>0</v>
      </c>
      <c r="O67" s="48">
        <f t="shared" si="6"/>
        <v>0</v>
      </c>
      <c r="P67" s="47">
        <f>VLOOKUP(A67,'Mandato ISEE'!$A$1:$C$215,3,0)</f>
        <v>0</v>
      </c>
      <c r="Q67" s="48">
        <f t="shared" si="7"/>
        <v>0</v>
      </c>
      <c r="R67" s="15">
        <v>-0.54</v>
      </c>
      <c r="S67" s="15">
        <v>-1.2999999999999999E-2</v>
      </c>
      <c r="T67" s="15">
        <v>-0.81799999999999995</v>
      </c>
      <c r="U67" s="15">
        <v>4.2000000000000003E-2</v>
      </c>
      <c r="V67" s="15">
        <v>-0.03</v>
      </c>
      <c r="W67" s="15">
        <v>0.25600000000000001</v>
      </c>
      <c r="X67" s="15">
        <v>0.85399999999999998</v>
      </c>
      <c r="Y67" s="15">
        <v>0.57999999999999996</v>
      </c>
      <c r="Z67" s="15">
        <v>0.57299999999999995</v>
      </c>
      <c r="AA67" s="15">
        <v>0.58199999999999996</v>
      </c>
      <c r="AB67" s="15">
        <v>0.71099999999999997</v>
      </c>
      <c r="AC67" s="15">
        <v>0.76700000000000002</v>
      </c>
      <c r="AD67" s="15">
        <v>0.48</v>
      </c>
      <c r="AE67" s="14">
        <v>0.155</v>
      </c>
      <c r="AF67" s="15">
        <v>0.75</v>
      </c>
      <c r="AG67" s="15">
        <v>-0.14099999999999999</v>
      </c>
      <c r="AH67" s="15">
        <v>-0.80600000000000005</v>
      </c>
      <c r="AI67" s="15">
        <v>-0.84699999999999998</v>
      </c>
      <c r="AJ67" s="9">
        <v>-0.61199999999999999</v>
      </c>
      <c r="AK67" s="4">
        <v>-0.27700000000000002</v>
      </c>
      <c r="AL67" s="4">
        <v>0.61599999999999999</v>
      </c>
      <c r="AM67" s="4">
        <v>-0.94799999999999995</v>
      </c>
      <c r="AN67" s="4">
        <v>0.374</v>
      </c>
      <c r="AO67" s="4">
        <v>0.22900000000000001</v>
      </c>
      <c r="AP67" s="4">
        <v>0.35599999999999998</v>
      </c>
      <c r="AQ67" s="4">
        <v>0.17199999999999999</v>
      </c>
      <c r="AR67" s="4">
        <v>5.1999999999999998E-2</v>
      </c>
      <c r="AS67" s="4">
        <v>-0.33100000000000002</v>
      </c>
      <c r="AT67" s="4">
        <v>0.66900000000000004</v>
      </c>
      <c r="AU67" s="4">
        <v>0.36499999999999999</v>
      </c>
      <c r="AV67" s="4">
        <v>-0.27900000000000003</v>
      </c>
      <c r="AW67" s="4">
        <v>0.93</v>
      </c>
      <c r="AX67" s="4">
        <v>0.371</v>
      </c>
      <c r="AY67" s="4">
        <v>0.83399999999999996</v>
      </c>
      <c r="AZ67" s="4">
        <v>-0.92700000000000005</v>
      </c>
      <c r="BA67" s="4">
        <v>-0.53200000000000003</v>
      </c>
      <c r="BB67" s="4">
        <v>-6.6000000000000003E-2</v>
      </c>
      <c r="BC67" s="4">
        <v>-6.6000000000000003E-2</v>
      </c>
      <c r="BD67" s="4">
        <v>-0.99299999999999999</v>
      </c>
      <c r="BE67" s="4">
        <v>0.44400000000000001</v>
      </c>
      <c r="BF67" s="4">
        <v>0.20799999999999999</v>
      </c>
      <c r="BG67" s="4">
        <v>1</v>
      </c>
      <c r="BH67" s="4">
        <v>-0.45900000000000002</v>
      </c>
      <c r="BI67" s="4">
        <v>-0.59199999999999997</v>
      </c>
      <c r="BJ67" s="4">
        <v>-9.7000000000000003E-2</v>
      </c>
      <c r="BK67" s="4">
        <v>-0.57499999999999996</v>
      </c>
    </row>
    <row r="68" spans="1:63" x14ac:dyDescent="0.3">
      <c r="A68" t="s">
        <v>108</v>
      </c>
      <c r="B68" s="53">
        <f t="shared" si="8"/>
        <v>0</v>
      </c>
      <c r="C68" s="53">
        <f t="shared" si="4"/>
        <v>0</v>
      </c>
      <c r="D68" s="53">
        <f t="shared" si="5"/>
        <v>0</v>
      </c>
      <c r="E68" s="53">
        <v>0</v>
      </c>
      <c r="F68" s="15">
        <v>1.478</v>
      </c>
      <c r="G68">
        <v>1.944</v>
      </c>
      <c r="H68" t="s">
        <v>55</v>
      </c>
      <c r="I68" t="str">
        <f>VLOOKUP(A68,Planilha6!$BL$9:$BN$222,2,0)</f>
        <v>utilities</v>
      </c>
      <c r="J68" t="str">
        <f>VLOOKUP(A68,Planilha6!$BL$9:$BN$222,3,0)</f>
        <v>low_beta</v>
      </c>
      <c r="K68" s="2">
        <v>0</v>
      </c>
      <c r="L68" s="2">
        <v>0</v>
      </c>
      <c r="M68" s="29">
        <v>0</v>
      </c>
      <c r="N68" s="47">
        <f>VLOOKUP(A68,'Mandato ISEE'!$A$1:$C$215,2,0)</f>
        <v>0</v>
      </c>
      <c r="O68" s="48">
        <f t="shared" si="6"/>
        <v>0</v>
      </c>
      <c r="P68" s="47">
        <f>VLOOKUP(A68,'Mandato ISEE'!$A$1:$C$215,3,0)</f>
        <v>0</v>
      </c>
      <c r="Q68" s="48">
        <f t="shared" si="7"/>
        <v>0</v>
      </c>
      <c r="R68" s="15">
        <v>-0.58399999999999996</v>
      </c>
      <c r="S68" s="15">
        <v>0.21099999999999999</v>
      </c>
      <c r="T68" s="15">
        <v>-0.62</v>
      </c>
      <c r="U68" s="15">
        <v>-0.39100000000000001</v>
      </c>
      <c r="V68" s="15">
        <v>-8.7999999999999995E-2</v>
      </c>
      <c r="W68" s="15">
        <v>5.6000000000000001E-2</v>
      </c>
      <c r="X68" s="15">
        <v>0.58199999999999996</v>
      </c>
      <c r="Y68" s="15">
        <v>0.39100000000000001</v>
      </c>
      <c r="Z68" s="15">
        <v>0.90400000000000003</v>
      </c>
      <c r="AA68" s="15">
        <v>0.90800000000000003</v>
      </c>
      <c r="AB68" s="15">
        <v>0.65100000000000002</v>
      </c>
      <c r="AC68" s="15">
        <v>0.71099999999999997</v>
      </c>
      <c r="AD68" s="15">
        <v>0.64900000000000002</v>
      </c>
      <c r="AE68" s="14">
        <v>-0.54300000000000004</v>
      </c>
      <c r="AF68" s="15">
        <v>-0.67500000000000004</v>
      </c>
      <c r="AG68" s="15">
        <v>2E-3</v>
      </c>
      <c r="AH68" s="15">
        <v>-0.79</v>
      </c>
      <c r="AI68" s="15">
        <v>-0.34200000000000003</v>
      </c>
      <c r="AJ68" s="9">
        <v>-0.88800000000000001</v>
      </c>
      <c r="AK68" s="4">
        <v>-0.26900000000000002</v>
      </c>
      <c r="AL68" s="4">
        <v>0.155</v>
      </c>
      <c r="AM68" s="4">
        <v>-0.59299999999999997</v>
      </c>
      <c r="AN68" s="4">
        <v>-0.435</v>
      </c>
      <c r="AO68" s="4">
        <v>0.373</v>
      </c>
      <c r="AP68" s="4">
        <v>0.45200000000000001</v>
      </c>
      <c r="AQ68" s="4">
        <v>-0.16600000000000001</v>
      </c>
      <c r="AR68" s="4">
        <v>-0.14199999999999999</v>
      </c>
      <c r="AS68" s="4">
        <v>0.17499999999999999</v>
      </c>
      <c r="AT68" s="4">
        <v>0.191</v>
      </c>
      <c r="AU68" s="4">
        <v>0.503</v>
      </c>
      <c r="AV68" s="4">
        <v>-0.157</v>
      </c>
      <c r="AW68" s="4">
        <v>0.92500000000000004</v>
      </c>
      <c r="AX68" s="4">
        <v>-0.92800000000000005</v>
      </c>
      <c r="AY68" s="4">
        <v>0.495</v>
      </c>
      <c r="AZ68" s="4">
        <v>7.2999999999999995E-2</v>
      </c>
      <c r="BA68" s="4">
        <v>-2E-3</v>
      </c>
      <c r="BB68" s="4">
        <v>-0.41599999999999998</v>
      </c>
      <c r="BC68" s="4">
        <v>-0.52100000000000002</v>
      </c>
      <c r="BD68" s="4">
        <v>0.18</v>
      </c>
      <c r="BE68" s="4">
        <v>7.0000000000000007E-2</v>
      </c>
      <c r="BF68" s="4">
        <v>-0.189</v>
      </c>
      <c r="BG68" s="4">
        <v>0.93100000000000005</v>
      </c>
      <c r="BH68" s="4">
        <v>-0.435</v>
      </c>
      <c r="BI68" s="4">
        <v>-0.27400000000000002</v>
      </c>
      <c r="BJ68" s="4">
        <v>1</v>
      </c>
      <c r="BK68" s="4">
        <v>4.3999999999999997E-2</v>
      </c>
    </row>
    <row r="69" spans="1:63" x14ac:dyDescent="0.3">
      <c r="A69" t="s">
        <v>104</v>
      </c>
      <c r="B69" s="53">
        <f t="shared" si="8"/>
        <v>0</v>
      </c>
      <c r="C69" s="53">
        <f t="shared" si="4"/>
        <v>0</v>
      </c>
      <c r="D69" s="53">
        <f t="shared" si="5"/>
        <v>0</v>
      </c>
      <c r="E69" s="53">
        <v>0</v>
      </c>
      <c r="F69" s="15">
        <v>1.4590000000000001</v>
      </c>
      <c r="G69">
        <v>1.9379999999999999</v>
      </c>
      <c r="H69" t="s">
        <v>55</v>
      </c>
      <c r="I69" t="str">
        <f>VLOOKUP(A69,Planilha6!$BL$9:$BN$222,2,0)</f>
        <v>utilities</v>
      </c>
      <c r="J69" t="str">
        <f>VLOOKUP(A69,Planilha6!$BL$9:$BN$222,3,0)</f>
        <v>low_beta</v>
      </c>
      <c r="K69" s="2">
        <v>0</v>
      </c>
      <c r="L69" s="2">
        <v>0</v>
      </c>
      <c r="M69" s="29">
        <v>0</v>
      </c>
      <c r="N69" s="47">
        <f>VLOOKUP(A69,'Mandato ISEE'!$A$1:$C$215,2,0)</f>
        <v>0</v>
      </c>
      <c r="O69" s="48">
        <f t="shared" si="6"/>
        <v>0</v>
      </c>
      <c r="P69" s="47">
        <f>VLOOKUP(A69,'Mandato ISEE'!$A$1:$C$215,3,0)</f>
        <v>0</v>
      </c>
      <c r="Q69" s="48">
        <f t="shared" si="7"/>
        <v>0</v>
      </c>
      <c r="R69" s="15">
        <v>-0.55600000000000005</v>
      </c>
      <c r="S69" s="15">
        <v>0.219</v>
      </c>
      <c r="T69" s="15">
        <v>-0.63600000000000001</v>
      </c>
      <c r="U69" s="15">
        <v>-0.36</v>
      </c>
      <c r="V69" s="15">
        <v>-8.7999999999999995E-2</v>
      </c>
      <c r="W69" s="15">
        <v>4.2999999999999997E-2</v>
      </c>
      <c r="X69" s="15">
        <v>0.54500000000000004</v>
      </c>
      <c r="Y69" s="15">
        <v>0.374</v>
      </c>
      <c r="Z69" s="15">
        <v>0.85199999999999998</v>
      </c>
      <c r="AA69" s="15">
        <v>0.85599999999999998</v>
      </c>
      <c r="AB69" s="15">
        <v>0.64200000000000002</v>
      </c>
      <c r="AC69" s="15">
        <v>0.65200000000000002</v>
      </c>
      <c r="AD69" s="15">
        <v>0.66100000000000003</v>
      </c>
      <c r="AE69" s="14">
        <v>-0.54800000000000004</v>
      </c>
      <c r="AF69" s="15">
        <v>-0.68</v>
      </c>
      <c r="AG69" s="15">
        <v>9.5000000000000001E-2</v>
      </c>
      <c r="AH69" s="15">
        <v>-0.79300000000000004</v>
      </c>
      <c r="AI69" s="15">
        <v>-0.28199999999999997</v>
      </c>
      <c r="AJ69" s="9">
        <v>-0.88800000000000001</v>
      </c>
      <c r="AK69" s="4">
        <v>-0.26900000000000002</v>
      </c>
      <c r="AL69" s="4">
        <v>0.14499999999999999</v>
      </c>
      <c r="AM69" s="4">
        <v>-0.59299999999999997</v>
      </c>
      <c r="AN69" s="4">
        <v>-0.44</v>
      </c>
      <c r="AO69" s="4">
        <v>0.41699999999999998</v>
      </c>
      <c r="AP69" s="4">
        <v>0.49199999999999999</v>
      </c>
      <c r="AQ69" s="4">
        <v>-0.16600000000000001</v>
      </c>
      <c r="AR69" s="4">
        <v>-0.14199999999999999</v>
      </c>
      <c r="AS69" s="4">
        <v>0.17499999999999999</v>
      </c>
      <c r="AT69" s="4">
        <v>0.191</v>
      </c>
      <c r="AU69" s="4">
        <v>0.503</v>
      </c>
      <c r="AV69" s="4">
        <v>-0.157</v>
      </c>
      <c r="AW69" s="4">
        <v>0.91700000000000004</v>
      </c>
      <c r="AX69" s="4">
        <v>-0.92800000000000005</v>
      </c>
      <c r="AY69" s="4">
        <v>0.495</v>
      </c>
      <c r="AZ69" s="4">
        <v>4.0000000000000001E-3</v>
      </c>
      <c r="BA69" s="4">
        <v>0.26100000000000001</v>
      </c>
      <c r="BB69" s="4">
        <v>-0.41599999999999998</v>
      </c>
      <c r="BC69" s="4">
        <v>-0.52100000000000002</v>
      </c>
      <c r="BD69" s="4">
        <v>0.188</v>
      </c>
      <c r="BE69" s="4">
        <v>7.4999999999999997E-2</v>
      </c>
      <c r="BF69" s="4">
        <v>-0.58799999999999997</v>
      </c>
      <c r="BG69" s="4">
        <v>0.82299999999999995</v>
      </c>
      <c r="BH69" s="4">
        <v>-0.44400000000000001</v>
      </c>
      <c r="BI69" s="4">
        <v>-0.247</v>
      </c>
      <c r="BJ69" s="4">
        <v>0.90300000000000002</v>
      </c>
      <c r="BK69" s="4">
        <v>4.3999999999999997E-2</v>
      </c>
    </row>
    <row r="70" spans="1:63" x14ac:dyDescent="0.3">
      <c r="A70" t="s">
        <v>232</v>
      </c>
      <c r="B70" s="53">
        <f t="shared" si="8"/>
        <v>0.02</v>
      </c>
      <c r="C70" s="53">
        <f t="shared" si="4"/>
        <v>1.4999999999999999E-2</v>
      </c>
      <c r="D70" s="53">
        <f t="shared" si="5"/>
        <v>0</v>
      </c>
      <c r="E70" s="53">
        <v>5.0000000000000001E-3</v>
      </c>
      <c r="F70" s="15">
        <v>1.4379999999999999</v>
      </c>
      <c r="G70">
        <v>1.159</v>
      </c>
      <c r="H70" t="s">
        <v>57</v>
      </c>
      <c r="I70" t="str">
        <f>VLOOKUP(A70,Planilha6!$BL$9:$BN$222,2,0)</f>
        <v>apparel</v>
      </c>
      <c r="J70" t="str">
        <f>VLOOKUP(A70,Planilha6!$BL$9:$BN$222,3,0)</f>
        <v>neutral_beta</v>
      </c>
      <c r="K70" s="2">
        <v>0.02</v>
      </c>
      <c r="L70" s="2">
        <v>1.4999999999999999E-2</v>
      </c>
      <c r="M70" s="29">
        <v>5.0000000000000001E-3</v>
      </c>
      <c r="N70" s="47">
        <f>VLOOKUP(A70,'Mandato ISEE'!$A$1:$C$215,2,0)</f>
        <v>2.14633002454475E-2</v>
      </c>
      <c r="O70" s="48">
        <f t="shared" si="6"/>
        <v>-1.4633002454474998E-3</v>
      </c>
      <c r="P70" s="47">
        <f>VLOOKUP(A70,'Mandato ISEE'!$A$1:$C$215,3,0)</f>
        <v>0</v>
      </c>
      <c r="Q70" s="48">
        <f t="shared" si="7"/>
        <v>0.02</v>
      </c>
      <c r="R70" s="15">
        <v>9.0999999999999998E-2</v>
      </c>
      <c r="S70" s="15">
        <v>-6.8000000000000005E-2</v>
      </c>
      <c r="T70" s="15">
        <v>-6.9000000000000006E-2</v>
      </c>
      <c r="U70" s="15">
        <v>7.6999999999999999E-2</v>
      </c>
      <c r="V70" s="15">
        <v>5.8000000000000003E-2</v>
      </c>
      <c r="W70" s="15">
        <v>1.4999999999999999E-2</v>
      </c>
      <c r="X70" s="15">
        <v>-2.1999999999999999E-2</v>
      </c>
      <c r="Y70" s="15">
        <v>-8.1000000000000003E-2</v>
      </c>
      <c r="Z70" s="15">
        <v>0.52</v>
      </c>
      <c r="AA70" s="15">
        <v>0.52200000000000002</v>
      </c>
      <c r="AB70" s="15">
        <v>0.78300000000000003</v>
      </c>
      <c r="AC70" s="15">
        <v>0.91100000000000003</v>
      </c>
      <c r="AD70" s="15">
        <v>0.59499999999999997</v>
      </c>
      <c r="AE70" s="14">
        <v>0.29599999999999999</v>
      </c>
      <c r="AF70" s="15">
        <v>0.434</v>
      </c>
      <c r="AG70" s="15">
        <v>0.38200000000000001</v>
      </c>
      <c r="AH70" s="15">
        <v>8.9999999999999993E-3</v>
      </c>
      <c r="AI70" s="15">
        <v>3.0000000000000001E-3</v>
      </c>
      <c r="AJ70" s="9">
        <v>-0.255</v>
      </c>
      <c r="AK70" s="4">
        <v>0.17799999999999999</v>
      </c>
      <c r="AL70" s="4">
        <v>-4.4999999999999998E-2</v>
      </c>
      <c r="AM70" s="4">
        <v>0.33500000000000002</v>
      </c>
      <c r="AN70" s="4">
        <v>1</v>
      </c>
      <c r="AO70" s="4">
        <v>-0.26500000000000001</v>
      </c>
      <c r="AP70" s="4">
        <v>0.17199999999999999</v>
      </c>
      <c r="AQ70" s="4">
        <v>-5.0000000000000001E-3</v>
      </c>
      <c r="AR70" s="4">
        <v>0.76100000000000001</v>
      </c>
      <c r="AS70" s="4">
        <v>0.312</v>
      </c>
      <c r="AT70" s="4">
        <v>0.21199999999999999</v>
      </c>
      <c r="AU70" s="4">
        <v>3.1E-2</v>
      </c>
      <c r="AV70" s="4">
        <v>6.8000000000000005E-2</v>
      </c>
      <c r="AW70" s="4">
        <v>-0.27600000000000002</v>
      </c>
      <c r="AX70" s="4">
        <v>-0.186</v>
      </c>
      <c r="AY70" s="4">
        <v>0.86599999999999999</v>
      </c>
      <c r="AZ70" s="4">
        <v>0.49199999999999999</v>
      </c>
      <c r="BA70" s="4">
        <v>-0.66700000000000004</v>
      </c>
      <c r="BB70" s="4">
        <v>-0.47399999999999998</v>
      </c>
      <c r="BC70" s="4">
        <v>-0.30499999999999999</v>
      </c>
      <c r="BD70" s="4">
        <v>-0.58699999999999997</v>
      </c>
      <c r="BE70" s="4">
        <v>1</v>
      </c>
      <c r="BF70" s="4">
        <v>1</v>
      </c>
      <c r="BG70" s="4">
        <v>0.43</v>
      </c>
      <c r="BH70" s="4">
        <v>0.33600000000000002</v>
      </c>
      <c r="BI70" s="4">
        <v>-3.3000000000000002E-2</v>
      </c>
      <c r="BJ70" s="4">
        <v>-0.74299999999999999</v>
      </c>
      <c r="BK70" s="4">
        <v>0.22500000000000001</v>
      </c>
    </row>
    <row r="71" spans="1:63" x14ac:dyDescent="0.3">
      <c r="A71" t="s">
        <v>188</v>
      </c>
      <c r="B71" s="53">
        <f t="shared" si="8"/>
        <v>0</v>
      </c>
      <c r="C71" s="53">
        <f t="shared" si="4"/>
        <v>0</v>
      </c>
      <c r="D71" s="53">
        <f t="shared" si="5"/>
        <v>0</v>
      </c>
      <c r="E71" s="53">
        <v>0</v>
      </c>
      <c r="F71" s="15">
        <v>1.4339999999999999</v>
      </c>
      <c r="G71">
        <v>1.778</v>
      </c>
      <c r="H71" t="s">
        <v>55</v>
      </c>
      <c r="I71" t="str">
        <f>VLOOKUP(A71,Planilha6!$BL$9:$BN$222,2,0)</f>
        <v>utilities</v>
      </c>
      <c r="J71" t="str">
        <f>VLOOKUP(A71,Planilha6!$BL$9:$BN$222,3,0)</f>
        <v>high_beta</v>
      </c>
      <c r="K71" s="2">
        <v>0</v>
      </c>
      <c r="L71" s="2">
        <v>0</v>
      </c>
      <c r="M71" s="29">
        <v>0</v>
      </c>
      <c r="N71" s="47">
        <f>VLOOKUP(A71,'Mandato ISEE'!$A$1:$C$215,2,0)</f>
        <v>0</v>
      </c>
      <c r="O71" s="48">
        <f t="shared" si="6"/>
        <v>0</v>
      </c>
      <c r="P71" s="47">
        <f>VLOOKUP(A71,'Mandato ISEE'!$A$1:$C$215,3,0)</f>
        <v>0</v>
      </c>
      <c r="Q71" s="48">
        <f t="shared" si="7"/>
        <v>0</v>
      </c>
      <c r="R71" s="15">
        <v>-0.26400000000000001</v>
      </c>
      <c r="S71" s="15">
        <v>0.48</v>
      </c>
      <c r="T71" s="15">
        <v>-0.64900000000000002</v>
      </c>
      <c r="U71" s="15">
        <v>-0.22800000000000001</v>
      </c>
      <c r="V71" s="15">
        <v>-7.0000000000000001E-3</v>
      </c>
      <c r="W71" s="15">
        <v>8.4000000000000005E-2</v>
      </c>
      <c r="X71" s="15">
        <v>0.158</v>
      </c>
      <c r="Y71" s="15">
        <v>0.112</v>
      </c>
      <c r="Z71" s="15">
        <v>0.63</v>
      </c>
      <c r="AA71" s="15">
        <v>0.63800000000000001</v>
      </c>
      <c r="AB71" s="15">
        <v>0.72</v>
      </c>
      <c r="AC71" s="15">
        <v>0.82299999999999995</v>
      </c>
      <c r="AD71" s="15">
        <v>0.71</v>
      </c>
      <c r="AE71" s="14">
        <v>-0.65700000000000003</v>
      </c>
      <c r="AF71" s="15">
        <v>-0.442</v>
      </c>
      <c r="AG71" s="15">
        <v>0.55700000000000005</v>
      </c>
      <c r="AH71" s="15">
        <v>-1</v>
      </c>
      <c r="AI71" s="15">
        <v>-0.57999999999999996</v>
      </c>
      <c r="AJ71" s="9">
        <v>-0.998</v>
      </c>
      <c r="AK71" s="4">
        <v>-0.371</v>
      </c>
      <c r="AL71" s="4">
        <v>-0.36399999999999999</v>
      </c>
      <c r="AM71" s="4">
        <v>-0.56399999999999995</v>
      </c>
      <c r="AN71" s="4">
        <v>-0.52700000000000002</v>
      </c>
      <c r="AO71" s="4">
        <v>0.82599999999999996</v>
      </c>
      <c r="AP71" s="4">
        <v>0.90900000000000003</v>
      </c>
      <c r="AQ71" s="4">
        <v>0.13900000000000001</v>
      </c>
      <c r="AR71" s="4">
        <v>1</v>
      </c>
      <c r="AS71" s="4">
        <v>0.31</v>
      </c>
      <c r="AT71" s="4">
        <v>-4.8000000000000001E-2</v>
      </c>
      <c r="AU71" s="4">
        <v>-3.0000000000000001E-3</v>
      </c>
      <c r="AV71" s="4">
        <v>-9.8000000000000004E-2</v>
      </c>
      <c r="AW71" s="4">
        <v>0.35799999999999998</v>
      </c>
      <c r="AX71" s="4">
        <v>-0.68400000000000005</v>
      </c>
      <c r="AY71" s="4">
        <v>0.74399999999999999</v>
      </c>
      <c r="AZ71" s="4">
        <v>0.92600000000000005</v>
      </c>
      <c r="BA71" s="4">
        <v>0.61599999999999999</v>
      </c>
      <c r="BB71" s="4">
        <v>0.12</v>
      </c>
      <c r="BC71" s="4">
        <v>-0.26100000000000001</v>
      </c>
      <c r="BD71" s="4">
        <v>0.63</v>
      </c>
      <c r="BE71" s="4">
        <v>-0.32100000000000001</v>
      </c>
      <c r="BF71" s="4">
        <v>5.0999999999999997E-2</v>
      </c>
      <c r="BG71" s="4">
        <v>0.69499999999999995</v>
      </c>
      <c r="BH71" s="4">
        <v>-0.73899999999999999</v>
      </c>
      <c r="BI71" s="4">
        <v>6.5000000000000002E-2</v>
      </c>
      <c r="BJ71" s="4">
        <v>0.182</v>
      </c>
      <c r="BK71" s="4">
        <v>-1</v>
      </c>
    </row>
    <row r="72" spans="1:63" x14ac:dyDescent="0.3">
      <c r="A72" t="s">
        <v>113</v>
      </c>
      <c r="B72" s="53">
        <f t="shared" si="8"/>
        <v>0</v>
      </c>
      <c r="C72" s="53">
        <f t="shared" si="4"/>
        <v>0</v>
      </c>
      <c r="D72" s="53">
        <f t="shared" si="5"/>
        <v>0</v>
      </c>
      <c r="E72" s="53">
        <v>0</v>
      </c>
      <c r="F72" s="15">
        <v>1.429</v>
      </c>
      <c r="G72">
        <v>1.8360000000000001</v>
      </c>
      <c r="H72" t="s">
        <v>57</v>
      </c>
      <c r="I72" t="str">
        <f>VLOOKUP(A72,Planilha6!$BL$9:$BN$222,2,0)</f>
        <v>banks</v>
      </c>
      <c r="J72" t="str">
        <f>VLOOKUP(A72,Planilha6!$BL$9:$BN$222,3,0)</f>
        <v>neutral_beta</v>
      </c>
      <c r="K72" s="2">
        <v>0</v>
      </c>
      <c r="L72" s="2">
        <v>0</v>
      </c>
      <c r="M72" s="29">
        <v>0</v>
      </c>
      <c r="N72" s="47">
        <f>VLOOKUP(A72,'Mandato ISEE'!$A$1:$C$215,2,0)</f>
        <v>0</v>
      </c>
      <c r="O72" s="48">
        <f t="shared" si="6"/>
        <v>0</v>
      </c>
      <c r="P72" s="47">
        <f>VLOOKUP(A72,'Mandato ISEE'!$A$1:$C$215,3,0)</f>
        <v>0</v>
      </c>
      <c r="Q72" s="48">
        <f t="shared" si="7"/>
        <v>0</v>
      </c>
      <c r="R72" s="15">
        <v>-0.34799999999999998</v>
      </c>
      <c r="S72" s="15">
        <v>0.16900000000000001</v>
      </c>
      <c r="T72" s="15">
        <v>-0.67500000000000004</v>
      </c>
      <c r="U72" s="15">
        <v>-0.22500000000000001</v>
      </c>
      <c r="V72" s="15">
        <v>-0.11700000000000001</v>
      </c>
      <c r="W72" s="15">
        <v>-7.0000000000000001E-3</v>
      </c>
      <c r="X72" s="15">
        <v>0.156</v>
      </c>
      <c r="Y72" s="15">
        <v>0.154</v>
      </c>
      <c r="Z72" s="15">
        <v>0.84799999999999998</v>
      </c>
      <c r="AA72" s="15">
        <v>0.85399999999999998</v>
      </c>
      <c r="AB72" s="15">
        <v>0.73399999999999999</v>
      </c>
      <c r="AC72" s="15">
        <v>0.96899999999999997</v>
      </c>
      <c r="AD72" s="15">
        <v>0.71499999999999997</v>
      </c>
      <c r="AE72" s="14">
        <v>-0.59699999999999998</v>
      </c>
      <c r="AF72" s="15">
        <v>-0.151</v>
      </c>
      <c r="AG72" s="15">
        <v>0.53700000000000003</v>
      </c>
      <c r="AH72" s="15">
        <v>-0.92700000000000005</v>
      </c>
      <c r="AI72" s="15">
        <v>-0.84399999999999997</v>
      </c>
      <c r="AJ72" s="9">
        <v>-1</v>
      </c>
      <c r="AK72" s="4">
        <v>-0.11799999999999999</v>
      </c>
      <c r="AL72" s="4">
        <v>0.155</v>
      </c>
      <c r="AM72" s="4">
        <v>-7.9000000000000001E-2</v>
      </c>
      <c r="AN72" s="4">
        <v>-3.0000000000000001E-3</v>
      </c>
      <c r="AO72" s="4">
        <v>0.22700000000000001</v>
      </c>
      <c r="AP72" s="4">
        <v>0.38400000000000001</v>
      </c>
      <c r="AQ72" s="4">
        <v>5.7000000000000002E-2</v>
      </c>
      <c r="AR72" s="4">
        <v>0.27600000000000002</v>
      </c>
      <c r="AS72" s="4">
        <v>0.77500000000000002</v>
      </c>
      <c r="AT72" s="4">
        <v>-4.2000000000000003E-2</v>
      </c>
      <c r="AU72" s="4">
        <v>-0.115</v>
      </c>
      <c r="AV72" s="4">
        <v>-0.317</v>
      </c>
      <c r="AW72" s="4">
        <v>0.316</v>
      </c>
      <c r="AX72" s="4">
        <v>-0.374</v>
      </c>
      <c r="AY72" s="4">
        <v>0.84</v>
      </c>
      <c r="AZ72" s="4">
        <v>0.39800000000000002</v>
      </c>
      <c r="BA72" s="4">
        <v>1E-3</v>
      </c>
      <c r="BB72" s="4">
        <v>-0.20699999999999999</v>
      </c>
      <c r="BC72" s="4">
        <v>-0.08</v>
      </c>
      <c r="BD72" s="4">
        <v>0.34599999999999997</v>
      </c>
      <c r="BE72" s="4">
        <v>-0.122</v>
      </c>
      <c r="BF72" s="4">
        <v>-0.45400000000000001</v>
      </c>
      <c r="BG72" s="4">
        <v>0.81699999999999995</v>
      </c>
      <c r="BH72" s="4">
        <v>-0.42199999999999999</v>
      </c>
      <c r="BI72" s="4">
        <v>-0.03</v>
      </c>
      <c r="BJ72" s="4">
        <v>0.16200000000000001</v>
      </c>
      <c r="BK72" s="4">
        <v>-0.754</v>
      </c>
    </row>
    <row r="73" spans="1:63" x14ac:dyDescent="0.3">
      <c r="A73" t="s">
        <v>122</v>
      </c>
      <c r="B73" s="53">
        <f t="shared" si="8"/>
        <v>0</v>
      </c>
      <c r="C73" s="53">
        <f t="shared" si="4"/>
        <v>0</v>
      </c>
      <c r="D73" s="53">
        <f t="shared" si="5"/>
        <v>0</v>
      </c>
      <c r="E73" s="53">
        <v>0</v>
      </c>
      <c r="F73" s="15">
        <v>1.37</v>
      </c>
      <c r="G73">
        <v>1.3280000000000001</v>
      </c>
      <c r="H73" t="s">
        <v>57</v>
      </c>
      <c r="I73" t="str">
        <f>VLOOKUP(A73,Planilha6!$BL$9:$BN$222,2,0)</f>
        <v>banks</v>
      </c>
      <c r="J73" t="str">
        <f>VLOOKUP(A73,Planilha6!$BL$9:$BN$222,3,0)</f>
        <v>very_low_beta</v>
      </c>
      <c r="K73" s="2">
        <v>0</v>
      </c>
      <c r="L73" s="2">
        <v>0</v>
      </c>
      <c r="M73" s="29">
        <v>0</v>
      </c>
      <c r="N73" s="47">
        <f>VLOOKUP(A73,'Mandato ISEE'!$A$1:$C$215,2,0)</f>
        <v>0</v>
      </c>
      <c r="O73" s="48">
        <f t="shared" si="6"/>
        <v>0</v>
      </c>
      <c r="P73" s="47">
        <f>VLOOKUP(A73,'Mandato ISEE'!$A$1:$C$215,3,0)</f>
        <v>0</v>
      </c>
      <c r="Q73" s="48">
        <f t="shared" si="7"/>
        <v>0</v>
      </c>
      <c r="R73" s="15">
        <v>-0.14199999999999999</v>
      </c>
      <c r="S73" s="15">
        <v>-0.08</v>
      </c>
      <c r="T73" s="15">
        <v>0.14099999999999999</v>
      </c>
      <c r="U73" s="15">
        <v>-0.56499999999999995</v>
      </c>
      <c r="V73" s="15">
        <v>-0.155</v>
      </c>
      <c r="W73" s="15">
        <v>-7.5999999999999998E-2</v>
      </c>
      <c r="X73" s="15">
        <v>8.1000000000000003E-2</v>
      </c>
      <c r="Y73" s="15">
        <v>0.182</v>
      </c>
      <c r="Z73" s="15">
        <v>0.36199999999999999</v>
      </c>
      <c r="AA73" s="15">
        <v>0.36299999999999999</v>
      </c>
      <c r="AB73" s="15">
        <v>0.64500000000000002</v>
      </c>
      <c r="AC73" s="15">
        <v>0.622</v>
      </c>
      <c r="AD73" s="15">
        <v>0.70899999999999996</v>
      </c>
      <c r="AE73" s="14">
        <v>-0.43099999999999999</v>
      </c>
      <c r="AF73" s="15">
        <v>-0.74</v>
      </c>
      <c r="AG73" s="15">
        <v>-0.66800000000000004</v>
      </c>
      <c r="AH73" s="15">
        <v>-0.35599999999999998</v>
      </c>
      <c r="AI73" s="15">
        <v>0.26200000000000001</v>
      </c>
      <c r="AJ73" s="9">
        <v>0.68100000000000005</v>
      </c>
      <c r="AK73" s="4">
        <v>-0.79900000000000004</v>
      </c>
      <c r="AL73" s="4">
        <v>0.33800000000000002</v>
      </c>
      <c r="AM73" s="4">
        <v>-0.64800000000000002</v>
      </c>
      <c r="AN73" s="4">
        <v>-9.6000000000000002E-2</v>
      </c>
      <c r="AO73" s="4">
        <v>0.112</v>
      </c>
      <c r="AP73" s="4">
        <v>6.9000000000000006E-2</v>
      </c>
      <c r="AQ73" s="4">
        <v>-0.23799999999999999</v>
      </c>
      <c r="AR73" s="4">
        <v>0.08</v>
      </c>
      <c r="AS73" s="4">
        <v>0.34699999999999998</v>
      </c>
      <c r="AT73" s="4">
        <v>-0.23499999999999999</v>
      </c>
      <c r="AU73" s="4">
        <v>0.21299999999999999</v>
      </c>
      <c r="AV73" s="4">
        <v>-0.217</v>
      </c>
      <c r="AW73" s="4">
        <v>0.55700000000000005</v>
      </c>
      <c r="AX73" s="4">
        <v>1</v>
      </c>
      <c r="AY73" s="4">
        <v>2.8000000000000001E-2</v>
      </c>
      <c r="AZ73" s="4">
        <v>0.46400000000000002</v>
      </c>
      <c r="BA73" s="4">
        <v>0.61399999999999999</v>
      </c>
      <c r="BB73" s="4">
        <v>0.20499999999999999</v>
      </c>
      <c r="BC73" s="4">
        <v>0.253</v>
      </c>
      <c r="BD73" s="4">
        <v>4.0000000000000001E-3</v>
      </c>
      <c r="BE73" s="4">
        <v>0.156</v>
      </c>
      <c r="BF73" s="4">
        <v>-0.20200000000000001</v>
      </c>
      <c r="BG73" s="4">
        <v>0.51900000000000002</v>
      </c>
      <c r="BH73" s="4">
        <v>-0.65200000000000002</v>
      </c>
      <c r="BI73" s="4">
        <v>-0.38100000000000001</v>
      </c>
      <c r="BJ73" s="4">
        <v>0.58599999999999997</v>
      </c>
      <c r="BK73" s="4">
        <v>0.746</v>
      </c>
    </row>
    <row r="74" spans="1:63" x14ac:dyDescent="0.3">
      <c r="A74" t="s">
        <v>185</v>
      </c>
      <c r="B74" s="53">
        <f t="shared" ref="B74:B137" si="9">K74</f>
        <v>4.7E-2</v>
      </c>
      <c r="C74" s="53">
        <f t="shared" ref="C74:C137" si="10">B74-E74</f>
        <v>1.9E-2</v>
      </c>
      <c r="D74" s="53">
        <f t="shared" ref="D74:D137" si="11">B74-K74</f>
        <v>0</v>
      </c>
      <c r="E74" s="53">
        <v>2.8000000000000001E-2</v>
      </c>
      <c r="F74" s="15">
        <v>1.355</v>
      </c>
      <c r="G74">
        <v>2.8780000000000001</v>
      </c>
      <c r="H74" t="s">
        <v>55</v>
      </c>
      <c r="I74" t="str">
        <f>VLOOKUP(A74,Planilha6!$BL$9:$BN$222,2,0)</f>
        <v>utilities</v>
      </c>
      <c r="J74" t="str">
        <f>VLOOKUP(A74,Planilha6!$BL$9:$BN$222,3,0)</f>
        <v>neutral_beta</v>
      </c>
      <c r="K74" s="2">
        <v>4.7E-2</v>
      </c>
      <c r="L74" s="2">
        <v>1.9E-2</v>
      </c>
      <c r="M74" s="29">
        <v>2.8000000000000001E-2</v>
      </c>
      <c r="N74" s="47">
        <f>VLOOKUP(A74,'Mandato ISEE'!$A$1:$C$215,2,0)</f>
        <v>6.4467104767116701E-2</v>
      </c>
      <c r="O74" s="48">
        <f t="shared" ref="O74:O137" si="12">K74-N74</f>
        <v>-1.7467104767116701E-2</v>
      </c>
      <c r="P74" s="47">
        <f>VLOOKUP(A74,'Mandato ISEE'!$A$1:$C$215,3,0)</f>
        <v>7.4334394083604496E-2</v>
      </c>
      <c r="Q74" s="48">
        <f t="shared" ref="Q74:Q137" si="13">K74-P74</f>
        <v>-2.7334394083604496E-2</v>
      </c>
      <c r="R74" s="15">
        <v>-0.36499999999999999</v>
      </c>
      <c r="S74" s="15">
        <v>0.28999999999999998</v>
      </c>
      <c r="T74" s="15">
        <v>-0.71299999999999997</v>
      </c>
      <c r="U74" s="15">
        <v>-0.13800000000000001</v>
      </c>
      <c r="V74" s="15">
        <v>-2.1999999999999999E-2</v>
      </c>
      <c r="W74" s="15">
        <v>2.9000000000000001E-2</v>
      </c>
      <c r="X74" s="15">
        <v>0.109</v>
      </c>
      <c r="Y74" s="15">
        <v>0.14899999999999999</v>
      </c>
      <c r="Z74" s="15">
        <v>0.60199999999999998</v>
      </c>
      <c r="AA74" s="15">
        <v>0.60799999999999998</v>
      </c>
      <c r="AB74" s="15">
        <v>0.70899999999999996</v>
      </c>
      <c r="AC74" s="15">
        <v>0.871</v>
      </c>
      <c r="AD74" s="15">
        <v>0.7</v>
      </c>
      <c r="AE74" s="14">
        <v>-0.54600000000000004</v>
      </c>
      <c r="AF74" s="15">
        <v>-0.32900000000000001</v>
      </c>
      <c r="AG74" s="15">
        <v>0.39100000000000001</v>
      </c>
      <c r="AH74" s="15">
        <v>-0.93799999999999994</v>
      </c>
      <c r="AI74" s="15">
        <v>-0.39700000000000002</v>
      </c>
      <c r="AJ74" s="9">
        <v>-0.92500000000000004</v>
      </c>
      <c r="AK74" s="4">
        <v>-0.34200000000000003</v>
      </c>
      <c r="AL74" s="4">
        <v>-0.188</v>
      </c>
      <c r="AM74" s="4">
        <v>-0.64500000000000002</v>
      </c>
      <c r="AN74" s="4">
        <v>-0.56699999999999995</v>
      </c>
      <c r="AO74" s="4">
        <v>0.69599999999999995</v>
      </c>
      <c r="AP74" s="4">
        <v>0.86899999999999999</v>
      </c>
      <c r="AQ74" s="4">
        <v>0.34399999999999997</v>
      </c>
      <c r="AR74" s="4">
        <v>0.439</v>
      </c>
      <c r="AS74" s="4">
        <v>0.92300000000000004</v>
      </c>
      <c r="AT74" s="4">
        <v>0.121</v>
      </c>
      <c r="AU74" s="4">
        <v>-0.22</v>
      </c>
      <c r="AV74" s="4">
        <v>-6.3E-2</v>
      </c>
      <c r="AW74" s="4">
        <v>0.66300000000000003</v>
      </c>
      <c r="AX74" s="4">
        <v>-0.59299999999999997</v>
      </c>
      <c r="AY74" s="4">
        <v>0.96699999999999997</v>
      </c>
      <c r="AZ74" s="4">
        <v>0.56299999999999994</v>
      </c>
      <c r="BA74" s="4">
        <v>0.6</v>
      </c>
      <c r="BB74" s="4">
        <v>0.17299999999999999</v>
      </c>
      <c r="BC74" s="4">
        <v>-0.29799999999999999</v>
      </c>
      <c r="BD74" s="4">
        <v>0.28699999999999998</v>
      </c>
      <c r="BE74" s="4">
        <v>-0.48499999999999999</v>
      </c>
      <c r="BF74" s="4">
        <v>0.16600000000000001</v>
      </c>
      <c r="BG74" s="4">
        <v>0.57299999999999995</v>
      </c>
      <c r="BH74" s="4">
        <v>-0.82599999999999996</v>
      </c>
      <c r="BI74" s="4">
        <v>-8.3000000000000004E-2</v>
      </c>
      <c r="BJ74" s="4">
        <v>-0.26600000000000001</v>
      </c>
      <c r="BK74" s="4">
        <v>-0.436</v>
      </c>
    </row>
    <row r="75" spans="1:63" x14ac:dyDescent="0.3">
      <c r="A75" t="s">
        <v>82</v>
      </c>
      <c r="B75" s="53">
        <f t="shared" si="9"/>
        <v>0</v>
      </c>
      <c r="C75" s="53">
        <f t="shared" si="10"/>
        <v>0</v>
      </c>
      <c r="D75" s="53">
        <f t="shared" si="11"/>
        <v>0</v>
      </c>
      <c r="E75" s="53">
        <v>0</v>
      </c>
      <c r="F75" s="15">
        <v>1.349</v>
      </c>
      <c r="G75">
        <v>1.6739999999999999</v>
      </c>
      <c r="H75" t="s">
        <v>71</v>
      </c>
      <c r="I75" t="str">
        <f>VLOOKUP(A75,Planilha6!$BL$9:$BN$222,2,0)</f>
        <v>basic_materials</v>
      </c>
      <c r="J75" t="str">
        <f>VLOOKUP(A75,Planilha6!$BL$9:$BN$222,3,0)</f>
        <v>high_beta</v>
      </c>
      <c r="K75" s="2">
        <v>0</v>
      </c>
      <c r="L75" s="2">
        <v>0</v>
      </c>
      <c r="M75" s="29">
        <v>0</v>
      </c>
      <c r="N75" s="47">
        <f>VLOOKUP(A75,'Mandato ISEE'!$A$1:$C$215,2,0)</f>
        <v>0</v>
      </c>
      <c r="O75" s="48">
        <f t="shared" si="12"/>
        <v>0</v>
      </c>
      <c r="P75" s="47">
        <f>VLOOKUP(A75,'Mandato ISEE'!$A$1:$C$215,3,0)</f>
        <v>0</v>
      </c>
      <c r="Q75" s="48">
        <f t="shared" si="13"/>
        <v>0</v>
      </c>
      <c r="R75" s="15">
        <v>-0.65500000000000003</v>
      </c>
      <c r="S75" s="15">
        <v>2.1000000000000001E-2</v>
      </c>
      <c r="T75" s="15">
        <v>-0.84299999999999997</v>
      </c>
      <c r="U75" s="15">
        <v>-0.44900000000000001</v>
      </c>
      <c r="V75" s="15">
        <v>-0.30199999999999999</v>
      </c>
      <c r="W75" s="15">
        <v>1.2999999999999999E-2</v>
      </c>
      <c r="X75" s="15">
        <v>0.26900000000000002</v>
      </c>
      <c r="Y75" s="15">
        <v>0.496</v>
      </c>
      <c r="Z75" s="15">
        <v>0.628</v>
      </c>
      <c r="AA75" s="15">
        <v>0.628</v>
      </c>
      <c r="AB75" s="15">
        <v>0.75600000000000001</v>
      </c>
      <c r="AC75" s="15">
        <v>0.84299999999999997</v>
      </c>
      <c r="AD75" s="15">
        <v>0.73399999999999999</v>
      </c>
      <c r="AE75" s="14">
        <v>-0.26300000000000001</v>
      </c>
      <c r="AF75" s="15">
        <v>-0.93500000000000005</v>
      </c>
      <c r="AG75" s="15">
        <v>0.60099999999999998</v>
      </c>
      <c r="AH75" s="15">
        <v>-0.57599999999999996</v>
      </c>
      <c r="AI75" s="15">
        <v>0.32700000000000001</v>
      </c>
      <c r="AJ75" s="9">
        <v>-0.51800000000000002</v>
      </c>
      <c r="AK75" s="4">
        <v>-0.34</v>
      </c>
      <c r="AL75" s="4">
        <v>0.82699999999999996</v>
      </c>
      <c r="AM75" s="4">
        <v>-0.42699999999999999</v>
      </c>
      <c r="AN75" s="4">
        <v>-0.52900000000000003</v>
      </c>
      <c r="AO75" s="4">
        <v>0.89</v>
      </c>
      <c r="AP75" s="4">
        <v>0.25700000000000001</v>
      </c>
      <c r="AQ75" s="4">
        <v>-0.93600000000000005</v>
      </c>
      <c r="AR75" s="4">
        <v>-1</v>
      </c>
      <c r="AS75" s="4">
        <v>-0.66</v>
      </c>
      <c r="AT75" s="4">
        <v>-0.26900000000000002</v>
      </c>
      <c r="AU75" s="4">
        <v>6.3E-2</v>
      </c>
      <c r="AV75" s="4">
        <v>-8.2000000000000003E-2</v>
      </c>
      <c r="AW75" s="4">
        <v>0.56899999999999995</v>
      </c>
      <c r="AX75" s="4">
        <v>4.1000000000000002E-2</v>
      </c>
      <c r="AY75" s="4">
        <v>0.70799999999999996</v>
      </c>
      <c r="AZ75" s="4">
        <v>-0.82599999999999996</v>
      </c>
      <c r="BA75" s="4">
        <v>0.02</v>
      </c>
      <c r="BB75" s="4">
        <v>-0.14799999999999999</v>
      </c>
      <c r="BC75" s="4">
        <v>0.46800000000000003</v>
      </c>
      <c r="BD75" s="4">
        <v>0.433</v>
      </c>
      <c r="BE75" s="4">
        <v>-0.26200000000000001</v>
      </c>
      <c r="BF75" s="4">
        <v>0.2</v>
      </c>
      <c r="BG75" s="4">
        <v>0.92100000000000004</v>
      </c>
      <c r="BH75" s="4">
        <v>-0.35899999999999999</v>
      </c>
      <c r="BI75" s="4">
        <v>-0.182</v>
      </c>
      <c r="BJ75" s="4">
        <v>-0.35299999999999998</v>
      </c>
      <c r="BK75" s="4">
        <v>8.5000000000000006E-2</v>
      </c>
    </row>
    <row r="76" spans="1:63" x14ac:dyDescent="0.3">
      <c r="A76" t="s">
        <v>151</v>
      </c>
      <c r="B76" s="53">
        <f t="shared" si="9"/>
        <v>0</v>
      </c>
      <c r="C76" s="53">
        <f t="shared" si="10"/>
        <v>0</v>
      </c>
      <c r="D76" s="53">
        <f t="shared" si="11"/>
        <v>0</v>
      </c>
      <c r="E76" s="53">
        <v>0</v>
      </c>
      <c r="F76" s="15">
        <v>1.3340000000000001</v>
      </c>
      <c r="G76">
        <v>1.284</v>
      </c>
      <c r="H76" t="s">
        <v>57</v>
      </c>
      <c r="I76" t="str">
        <f>VLOOKUP(A76,Planilha6!$BL$9:$BN$222,2,0)</f>
        <v>homebuilders</v>
      </c>
      <c r="J76" t="str">
        <f>VLOOKUP(A76,Planilha6!$BL$9:$BN$222,3,0)</f>
        <v>high_beta</v>
      </c>
      <c r="K76" s="2">
        <v>0</v>
      </c>
      <c r="L76" s="2">
        <v>0</v>
      </c>
      <c r="M76" s="29">
        <v>0</v>
      </c>
      <c r="N76" s="47">
        <f>VLOOKUP(A76,'Mandato ISEE'!$A$1:$C$215,2,0)</f>
        <v>0</v>
      </c>
      <c r="O76" s="48">
        <f t="shared" si="12"/>
        <v>0</v>
      </c>
      <c r="P76" s="47">
        <f>VLOOKUP(A76,'Mandato ISEE'!$A$1:$C$215,3,0)</f>
        <v>0</v>
      </c>
      <c r="Q76" s="48">
        <f t="shared" si="13"/>
        <v>0</v>
      </c>
      <c r="R76" s="15">
        <v>-0.24299999999999999</v>
      </c>
      <c r="S76" s="15">
        <v>-4.5999999999999999E-2</v>
      </c>
      <c r="T76" s="15">
        <v>-0.50700000000000001</v>
      </c>
      <c r="U76" s="15">
        <v>-6.6000000000000003E-2</v>
      </c>
      <c r="V76" s="15">
        <v>-3.3000000000000002E-2</v>
      </c>
      <c r="W76" s="15">
        <v>8.8999999999999996E-2</v>
      </c>
      <c r="X76" s="15">
        <v>0.21</v>
      </c>
      <c r="Y76" s="15">
        <v>0.39</v>
      </c>
      <c r="Z76" s="15">
        <v>0.251</v>
      </c>
      <c r="AA76" s="15">
        <v>0.25</v>
      </c>
      <c r="AB76" s="15">
        <v>0.68799999999999994</v>
      </c>
      <c r="AC76" s="15">
        <v>0.70199999999999996</v>
      </c>
      <c r="AD76" s="15">
        <v>0.43099999999999999</v>
      </c>
      <c r="AE76" s="14">
        <v>0.21299999999999999</v>
      </c>
      <c r="AF76" s="15">
        <v>0.42099999999999999</v>
      </c>
      <c r="AG76" s="15">
        <v>-0.59899999999999998</v>
      </c>
      <c r="AH76" s="15">
        <v>-0.44900000000000001</v>
      </c>
      <c r="AI76" s="15">
        <v>-0.46100000000000002</v>
      </c>
      <c r="AJ76" s="9">
        <v>-0.55800000000000005</v>
      </c>
      <c r="AK76" s="4">
        <v>-0.16</v>
      </c>
      <c r="AL76" s="4">
        <v>0.57699999999999996</v>
      </c>
      <c r="AM76" s="4">
        <v>-0.71199999999999997</v>
      </c>
      <c r="AN76" s="4">
        <v>0.51500000000000001</v>
      </c>
      <c r="AO76" s="4">
        <v>-0.20200000000000001</v>
      </c>
      <c r="AP76" s="4">
        <v>0.158</v>
      </c>
      <c r="AQ76" s="4">
        <v>0.49399999999999999</v>
      </c>
      <c r="AR76" s="4">
        <v>0.17799999999999999</v>
      </c>
      <c r="AS76" s="4">
        <v>0.111</v>
      </c>
      <c r="AT76" s="4">
        <v>0.28999999999999998</v>
      </c>
      <c r="AU76" s="4">
        <v>3.9E-2</v>
      </c>
      <c r="AV76" s="4">
        <v>0.16400000000000001</v>
      </c>
      <c r="AW76" s="4">
        <v>4.2999999999999997E-2</v>
      </c>
      <c r="AX76" s="4">
        <v>-7.1999999999999995E-2</v>
      </c>
      <c r="AY76" s="4">
        <v>0.76300000000000001</v>
      </c>
      <c r="AZ76" s="4">
        <v>1</v>
      </c>
      <c r="BA76" s="4">
        <v>0.26</v>
      </c>
      <c r="BB76" s="4">
        <v>-0.44700000000000001</v>
      </c>
      <c r="BC76" s="4">
        <v>-0.248</v>
      </c>
      <c r="BD76" s="4">
        <v>-0.247</v>
      </c>
      <c r="BE76" s="4">
        <v>0.122</v>
      </c>
      <c r="BF76" s="4">
        <v>-0.14599999999999999</v>
      </c>
      <c r="BG76" s="4">
        <v>0.28699999999999998</v>
      </c>
      <c r="BH76" s="4">
        <v>-0.92600000000000005</v>
      </c>
      <c r="BI76" s="4">
        <v>0.54300000000000004</v>
      </c>
      <c r="BJ76" s="4">
        <v>-0.66100000000000003</v>
      </c>
      <c r="BK76" s="4">
        <v>-0.20200000000000001</v>
      </c>
    </row>
    <row r="77" spans="1:63" x14ac:dyDescent="0.3">
      <c r="A77" t="s">
        <v>154</v>
      </c>
      <c r="B77" s="53">
        <f t="shared" si="9"/>
        <v>3.5000000000000003E-2</v>
      </c>
      <c r="C77" s="53">
        <f t="shared" si="10"/>
        <v>8.0000000000000036E-3</v>
      </c>
      <c r="D77" s="53">
        <f t="shared" si="11"/>
        <v>0</v>
      </c>
      <c r="E77" s="53">
        <v>2.7E-2</v>
      </c>
      <c r="F77" s="15">
        <v>1.3129999999999999</v>
      </c>
      <c r="G77">
        <v>2.7879999999999998</v>
      </c>
      <c r="H77" t="s">
        <v>55</v>
      </c>
      <c r="I77" t="str">
        <f>VLOOKUP(A77,Planilha6!$BL$9:$BN$222,2,0)</f>
        <v>utilities</v>
      </c>
      <c r="J77" t="str">
        <f>VLOOKUP(A77,Planilha6!$BL$9:$BN$222,3,0)</f>
        <v>low_beta</v>
      </c>
      <c r="K77" s="2">
        <v>3.5000000000000003E-2</v>
      </c>
      <c r="L77" s="2">
        <v>8.9999999999999993E-3</v>
      </c>
      <c r="M77" s="29">
        <v>2.7E-2</v>
      </c>
      <c r="N77" s="47">
        <f>VLOOKUP(A77,'Mandato ISEE'!$A$1:$C$215,2,0)</f>
        <v>6.2456410358038297E-2</v>
      </c>
      <c r="O77" s="48">
        <f t="shared" si="12"/>
        <v>-2.7456410358038294E-2</v>
      </c>
      <c r="P77" s="47">
        <f>VLOOKUP(A77,'Mandato ISEE'!$A$1:$C$215,3,0)</f>
        <v>4.5553730431503299E-2</v>
      </c>
      <c r="Q77" s="48">
        <f t="shared" si="13"/>
        <v>-1.0553730431503296E-2</v>
      </c>
      <c r="R77" s="15">
        <v>-0.71699999999999997</v>
      </c>
      <c r="S77" s="15">
        <v>0.121</v>
      </c>
      <c r="T77" s="15">
        <v>-0.81299999999999994</v>
      </c>
      <c r="U77" s="15">
        <v>-0.41</v>
      </c>
      <c r="V77" s="15">
        <v>-0.14199999999999999</v>
      </c>
      <c r="W77" s="15">
        <v>-4.2999999999999997E-2</v>
      </c>
      <c r="X77" s="15">
        <v>0.20699999999999999</v>
      </c>
      <c r="Y77" s="15">
        <v>0.58199999999999996</v>
      </c>
      <c r="Z77" s="15">
        <v>0.80700000000000005</v>
      </c>
      <c r="AA77" s="15">
        <v>0.81299999999999994</v>
      </c>
      <c r="AB77" s="15">
        <v>0.64800000000000002</v>
      </c>
      <c r="AC77" s="15">
        <v>0.71</v>
      </c>
      <c r="AD77" s="15">
        <v>0.54100000000000004</v>
      </c>
      <c r="AE77" s="14">
        <v>-0.6</v>
      </c>
      <c r="AF77" s="15">
        <v>-0.42799999999999999</v>
      </c>
      <c r="AG77" s="15">
        <v>0.33500000000000002</v>
      </c>
      <c r="AH77" s="15">
        <v>-0.86399999999999999</v>
      </c>
      <c r="AI77" s="15">
        <v>-0.55600000000000005</v>
      </c>
      <c r="AJ77" s="9">
        <v>-0.95799999999999996</v>
      </c>
      <c r="AK77" s="4">
        <v>-0.38400000000000001</v>
      </c>
      <c r="AL77" s="4">
        <v>0.70499999999999996</v>
      </c>
      <c r="AM77" s="4">
        <v>-0.51900000000000002</v>
      </c>
      <c r="AN77" s="4">
        <v>-0.59099999999999997</v>
      </c>
      <c r="AO77" s="4">
        <v>0.439</v>
      </c>
      <c r="AP77" s="4">
        <v>0.79</v>
      </c>
      <c r="AQ77" s="4">
        <v>-0.106</v>
      </c>
      <c r="AR77" s="4">
        <v>0.38800000000000001</v>
      </c>
      <c r="AS77" s="4">
        <v>-0.15</v>
      </c>
      <c r="AT77" s="4">
        <v>0.33600000000000002</v>
      </c>
      <c r="AU77" s="4">
        <v>-0.27300000000000002</v>
      </c>
      <c r="AV77" s="4">
        <v>-0.29699999999999999</v>
      </c>
      <c r="AW77" s="4">
        <v>0.55900000000000005</v>
      </c>
      <c r="AX77" s="4">
        <v>-0.55800000000000005</v>
      </c>
      <c r="AY77" s="4">
        <v>0.90800000000000003</v>
      </c>
      <c r="AZ77" s="4">
        <v>0.745</v>
      </c>
      <c r="BA77" s="4">
        <v>-0.57799999999999996</v>
      </c>
      <c r="BB77" s="4">
        <v>-0.46899999999999997</v>
      </c>
      <c r="BC77" s="4">
        <v>-0.66100000000000003</v>
      </c>
      <c r="BD77" s="4">
        <v>-0.127</v>
      </c>
      <c r="BE77" s="4">
        <v>-0.44700000000000001</v>
      </c>
      <c r="BF77" s="4">
        <v>-0.13600000000000001</v>
      </c>
      <c r="BG77" s="4">
        <v>0.85</v>
      </c>
      <c r="BH77" s="4">
        <v>-0.68600000000000005</v>
      </c>
      <c r="BI77" s="4">
        <v>-0.247</v>
      </c>
      <c r="BJ77" s="4">
        <v>-9.7000000000000003E-2</v>
      </c>
      <c r="BK77" s="4">
        <v>-0.38600000000000001</v>
      </c>
    </row>
    <row r="78" spans="1:63" x14ac:dyDescent="0.3">
      <c r="A78" t="s">
        <v>138</v>
      </c>
      <c r="B78" s="53">
        <f t="shared" si="9"/>
        <v>0</v>
      </c>
      <c r="C78" s="53">
        <f t="shared" si="10"/>
        <v>0</v>
      </c>
      <c r="D78" s="53">
        <f t="shared" si="11"/>
        <v>0</v>
      </c>
      <c r="E78" s="53">
        <v>0</v>
      </c>
      <c r="F78" s="15">
        <v>1.292</v>
      </c>
      <c r="G78">
        <v>1.3160000000000001</v>
      </c>
      <c r="H78" t="s">
        <v>71</v>
      </c>
      <c r="I78" t="str">
        <f>VLOOKUP(A78,Planilha6!$BL$9:$BN$222,2,0)</f>
        <v>basic_materials</v>
      </c>
      <c r="J78" t="str">
        <f>VLOOKUP(A78,Planilha6!$BL$9:$BN$222,3,0)</f>
        <v>low_beta</v>
      </c>
      <c r="K78" s="2">
        <v>0</v>
      </c>
      <c r="L78" s="2">
        <v>0</v>
      </c>
      <c r="M78" s="29">
        <v>0</v>
      </c>
      <c r="N78" s="47">
        <f>VLOOKUP(A78,'Mandato ISEE'!$A$1:$C$215,2,0)</f>
        <v>0</v>
      </c>
      <c r="O78" s="48">
        <f t="shared" si="12"/>
        <v>0</v>
      </c>
      <c r="P78" s="47">
        <f>VLOOKUP(A78,'Mandato ISEE'!$A$1:$C$215,3,0)</f>
        <v>0</v>
      </c>
      <c r="Q78" s="48">
        <f t="shared" si="13"/>
        <v>0</v>
      </c>
      <c r="R78" s="15">
        <v>-0.22500000000000001</v>
      </c>
      <c r="S78" s="15">
        <v>-0.14199999999999999</v>
      </c>
      <c r="T78" s="15">
        <v>-0.19700000000000001</v>
      </c>
      <c r="U78" s="15">
        <v>-0.505</v>
      </c>
      <c r="V78" s="15">
        <v>-0.26800000000000002</v>
      </c>
      <c r="W78" s="15">
        <v>2E-3</v>
      </c>
      <c r="X78" s="15">
        <v>-0.127</v>
      </c>
      <c r="Y78" s="15">
        <v>3.1E-2</v>
      </c>
      <c r="Z78" s="15">
        <v>0.73</v>
      </c>
      <c r="AA78" s="15">
        <v>0.72699999999999998</v>
      </c>
      <c r="AB78" s="15">
        <v>0.68</v>
      </c>
      <c r="AC78" s="15">
        <v>0.66600000000000004</v>
      </c>
      <c r="AD78" s="15">
        <v>0.75900000000000001</v>
      </c>
      <c r="AE78" s="14">
        <v>-0.33400000000000002</v>
      </c>
      <c r="AF78" s="15">
        <v>-0.90700000000000003</v>
      </c>
      <c r="AG78" s="15">
        <v>-0.16</v>
      </c>
      <c r="AH78" s="15">
        <v>-0.28299999999999997</v>
      </c>
      <c r="AI78" s="15">
        <v>0.184</v>
      </c>
      <c r="AJ78" s="9">
        <v>-0.35099999999999998</v>
      </c>
      <c r="AK78" s="4">
        <v>-0.22500000000000001</v>
      </c>
      <c r="AL78" s="4">
        <v>0.17699999999999999</v>
      </c>
      <c r="AM78" s="4">
        <v>-0.308</v>
      </c>
      <c r="AN78" s="4">
        <v>-0.22700000000000001</v>
      </c>
      <c r="AO78" s="4">
        <v>0.35499999999999998</v>
      </c>
      <c r="AP78" s="4">
        <v>0.313</v>
      </c>
      <c r="AQ78" s="4">
        <v>-0.92800000000000005</v>
      </c>
      <c r="AR78" s="4">
        <v>-4.2000000000000003E-2</v>
      </c>
      <c r="AS78" s="4">
        <v>0.14499999999999999</v>
      </c>
      <c r="AT78" s="4">
        <v>0.13800000000000001</v>
      </c>
      <c r="AU78" s="4">
        <v>-0.32700000000000001</v>
      </c>
      <c r="AV78" s="4">
        <v>-1.2E-2</v>
      </c>
      <c r="AW78" s="4">
        <v>0.48699999999999999</v>
      </c>
      <c r="AX78" s="4">
        <v>0.45900000000000002</v>
      </c>
      <c r="AY78" s="4">
        <v>0.85299999999999998</v>
      </c>
      <c r="AZ78" s="4">
        <v>2.8000000000000001E-2</v>
      </c>
      <c r="BA78" s="4">
        <v>0.83199999999999996</v>
      </c>
      <c r="BB78" s="4">
        <v>0.14899999999999999</v>
      </c>
      <c r="BC78" s="4">
        <v>8.3000000000000004E-2</v>
      </c>
      <c r="BD78" s="4">
        <v>0.36099999999999999</v>
      </c>
      <c r="BE78" s="4">
        <v>-5.8999999999999997E-2</v>
      </c>
      <c r="BF78" s="4">
        <v>-4.9000000000000002E-2</v>
      </c>
      <c r="BG78" s="4">
        <v>0.53500000000000003</v>
      </c>
      <c r="BH78" s="4">
        <v>-0.108</v>
      </c>
      <c r="BI78" s="4">
        <v>-0.39600000000000002</v>
      </c>
      <c r="BJ78" s="4">
        <v>0.625</v>
      </c>
      <c r="BK78" s="4">
        <v>0.505</v>
      </c>
    </row>
    <row r="79" spans="1:63" x14ac:dyDescent="0.3">
      <c r="A79" t="s">
        <v>147</v>
      </c>
      <c r="B79" s="53">
        <f t="shared" si="9"/>
        <v>3.2000000000000001E-2</v>
      </c>
      <c r="C79" s="53">
        <f t="shared" si="10"/>
        <v>6.0000000000000019E-3</v>
      </c>
      <c r="D79" s="53">
        <f t="shared" si="11"/>
        <v>0</v>
      </c>
      <c r="E79" s="53">
        <v>2.5999999999999999E-2</v>
      </c>
      <c r="F79" s="15">
        <v>1.278</v>
      </c>
      <c r="G79">
        <v>2.14</v>
      </c>
      <c r="H79" t="s">
        <v>57</v>
      </c>
      <c r="I79" t="str">
        <f>VLOOKUP(A79,Planilha6!$BL$9:$BN$222,2,0)</f>
        <v>apparel</v>
      </c>
      <c r="J79" t="str">
        <f>VLOOKUP(A79,Planilha6!$BL$9:$BN$222,3,0)</f>
        <v>neutral_beta</v>
      </c>
      <c r="K79" s="2">
        <v>3.2000000000000001E-2</v>
      </c>
      <c r="L79" s="2">
        <v>6.0000000000000001E-3</v>
      </c>
      <c r="M79" s="29">
        <v>2.5999999999999999E-2</v>
      </c>
      <c r="N79" s="47">
        <f>VLOOKUP(A79,'Mandato ISEE'!$A$1:$C$215,2,0)</f>
        <v>6.0799064848071599E-2</v>
      </c>
      <c r="O79" s="48">
        <f t="shared" si="12"/>
        <v>-2.8799064848071598E-2</v>
      </c>
      <c r="P79" s="47">
        <f>VLOOKUP(A79,'Mandato ISEE'!$A$1:$C$215,3,0)</f>
        <v>0</v>
      </c>
      <c r="Q79" s="48">
        <f t="shared" si="13"/>
        <v>3.2000000000000001E-2</v>
      </c>
      <c r="R79" s="15">
        <v>1.4999999999999999E-2</v>
      </c>
      <c r="S79" s="15">
        <v>2.3E-2</v>
      </c>
      <c r="T79" s="15">
        <v>-0.495</v>
      </c>
      <c r="U79" s="15">
        <v>0.14899999999999999</v>
      </c>
      <c r="V79" s="15">
        <v>-5.6000000000000001E-2</v>
      </c>
      <c r="W79" s="15">
        <v>0.11600000000000001</v>
      </c>
      <c r="X79" s="15">
        <v>0.14899999999999999</v>
      </c>
      <c r="Y79" s="15">
        <v>-6.8000000000000005E-2</v>
      </c>
      <c r="Z79" s="15">
        <v>0.29899999999999999</v>
      </c>
      <c r="AA79" s="15">
        <v>0.30199999999999999</v>
      </c>
      <c r="AB79" s="15">
        <v>0.73399999999999999</v>
      </c>
      <c r="AC79" s="15">
        <v>0.69599999999999995</v>
      </c>
      <c r="AD79" s="15">
        <v>0.501</v>
      </c>
      <c r="AE79" s="14">
        <v>0.94099999999999995</v>
      </c>
      <c r="AF79" s="15">
        <v>-0.11</v>
      </c>
      <c r="AG79" s="15">
        <v>-0.41499999999999998</v>
      </c>
      <c r="AH79" s="15">
        <v>-0.76900000000000002</v>
      </c>
      <c r="AI79" s="15">
        <v>-0.67300000000000004</v>
      </c>
      <c r="AJ79" s="9">
        <v>1E-3</v>
      </c>
      <c r="AK79" s="4">
        <v>5.0999999999999997E-2</v>
      </c>
      <c r="AL79" s="4">
        <v>-0.24399999999999999</v>
      </c>
      <c r="AM79" s="4">
        <v>-0.54600000000000004</v>
      </c>
      <c r="AN79" s="4">
        <v>0.49199999999999999</v>
      </c>
      <c r="AO79" s="4">
        <v>-0.22800000000000001</v>
      </c>
      <c r="AP79" s="4">
        <v>0.48899999999999999</v>
      </c>
      <c r="AQ79" s="4">
        <v>0.251</v>
      </c>
      <c r="AR79" s="4">
        <v>0.17100000000000001</v>
      </c>
      <c r="AS79" s="4">
        <v>0.16</v>
      </c>
      <c r="AT79" s="4">
        <v>0.45200000000000001</v>
      </c>
      <c r="AU79" s="4">
        <v>0.04</v>
      </c>
      <c r="AV79" s="4">
        <v>1</v>
      </c>
      <c r="AW79" s="4">
        <v>-0.192</v>
      </c>
      <c r="AX79" s="4">
        <v>0.48599999999999999</v>
      </c>
      <c r="AY79" s="4">
        <v>0.91700000000000004</v>
      </c>
      <c r="AZ79" s="4">
        <v>0.28499999999999998</v>
      </c>
      <c r="BA79" s="4">
        <v>-9.9000000000000005E-2</v>
      </c>
      <c r="BB79" s="4">
        <v>0.189</v>
      </c>
      <c r="BC79" s="4">
        <v>8.0000000000000002E-3</v>
      </c>
      <c r="BD79" s="4">
        <v>0.66700000000000004</v>
      </c>
      <c r="BE79" s="4">
        <v>0.186</v>
      </c>
      <c r="BF79" s="4">
        <v>-0.53300000000000003</v>
      </c>
      <c r="BG79" s="4">
        <v>0.51600000000000001</v>
      </c>
      <c r="BH79" s="4">
        <v>-0.10100000000000001</v>
      </c>
      <c r="BI79" s="4">
        <v>-0.06</v>
      </c>
      <c r="BJ79" s="4">
        <v>-0.95399999999999996</v>
      </c>
      <c r="BK79" s="4">
        <v>-0.58099999999999996</v>
      </c>
    </row>
    <row r="80" spans="1:63" x14ac:dyDescent="0.3">
      <c r="A80" t="s">
        <v>88</v>
      </c>
      <c r="B80" s="53">
        <f t="shared" si="9"/>
        <v>2.5999999999999999E-2</v>
      </c>
      <c r="C80" s="53">
        <f t="shared" si="10"/>
        <v>2.4E-2</v>
      </c>
      <c r="D80" s="53">
        <f t="shared" si="11"/>
        <v>0</v>
      </c>
      <c r="E80" s="53">
        <v>2E-3</v>
      </c>
      <c r="F80" s="15">
        <v>1.268</v>
      </c>
      <c r="G80">
        <v>1.542</v>
      </c>
      <c r="H80" t="s">
        <v>53</v>
      </c>
      <c r="I80" t="str">
        <f>VLOOKUP(A80,Planilha6!$BL$9:$BN$222,2,0)</f>
        <v>consumer_staples</v>
      </c>
      <c r="J80" t="str">
        <f>VLOOKUP(A80,Planilha6!$BL$9:$BN$222,3,0)</f>
        <v>low_beta</v>
      </c>
      <c r="K80" s="2">
        <v>2.5999999999999999E-2</v>
      </c>
      <c r="L80" s="2">
        <v>2.4E-2</v>
      </c>
      <c r="M80" s="29">
        <v>2E-3</v>
      </c>
      <c r="N80" s="47">
        <f>VLOOKUP(A80,'Mandato ISEE'!$A$1:$C$215,2,0)</f>
        <v>0</v>
      </c>
      <c r="O80" s="48">
        <f t="shared" si="12"/>
        <v>2.5999999999999999E-2</v>
      </c>
      <c r="P80" s="47">
        <f>VLOOKUP(A80,'Mandato ISEE'!$A$1:$C$215,3,0)</f>
        <v>0</v>
      </c>
      <c r="Q80" s="48">
        <f t="shared" si="13"/>
        <v>2.5999999999999999E-2</v>
      </c>
      <c r="R80" s="15">
        <v>-0.32500000000000001</v>
      </c>
      <c r="S80" s="15">
        <v>6.8000000000000005E-2</v>
      </c>
      <c r="T80" s="15">
        <v>-0.25900000000000001</v>
      </c>
      <c r="U80" s="15">
        <v>-0.495</v>
      </c>
      <c r="V80" s="15">
        <v>-0.14799999999999999</v>
      </c>
      <c r="W80" s="15">
        <v>-2.5000000000000001E-2</v>
      </c>
      <c r="X80" s="15">
        <v>0.29099999999999998</v>
      </c>
      <c r="Y80" s="15">
        <v>0.20699999999999999</v>
      </c>
      <c r="Z80" s="15">
        <v>0.41</v>
      </c>
      <c r="AA80" s="15">
        <v>0.41099999999999998</v>
      </c>
      <c r="AB80" s="15">
        <v>0.625</v>
      </c>
      <c r="AC80" s="15">
        <v>0.59799999999999998</v>
      </c>
      <c r="AD80" s="15">
        <v>0.58499999999999996</v>
      </c>
      <c r="AE80" s="14">
        <v>-0.28000000000000003</v>
      </c>
      <c r="AF80" s="15">
        <v>-0.77700000000000002</v>
      </c>
      <c r="AG80" s="15">
        <v>-0.311</v>
      </c>
      <c r="AH80" s="15">
        <v>-0.1</v>
      </c>
      <c r="AI80" s="15">
        <v>0.27100000000000002</v>
      </c>
      <c r="AJ80" s="9">
        <v>-0.495</v>
      </c>
      <c r="AK80" s="4">
        <v>-0.109</v>
      </c>
      <c r="AL80" s="4">
        <v>7.1999999999999995E-2</v>
      </c>
      <c r="AM80" s="4">
        <v>-0.54200000000000004</v>
      </c>
      <c r="AN80" s="4">
        <v>-0.12</v>
      </c>
      <c r="AO80" s="4">
        <v>-0.13200000000000001</v>
      </c>
      <c r="AP80" s="4">
        <v>0.19</v>
      </c>
      <c r="AQ80" s="4">
        <v>-0.159</v>
      </c>
      <c r="AR80" s="4">
        <v>-0.752</v>
      </c>
      <c r="AS80" s="4">
        <v>-0.495</v>
      </c>
      <c r="AT80" s="4">
        <v>0.25700000000000001</v>
      </c>
      <c r="AU80" s="4">
        <v>0.153</v>
      </c>
      <c r="AV80" s="4">
        <v>1.4E-2</v>
      </c>
      <c r="AW80" s="4">
        <v>0.66400000000000003</v>
      </c>
      <c r="AX80" s="4">
        <v>2.1000000000000001E-2</v>
      </c>
      <c r="AY80" s="4">
        <v>0.67100000000000004</v>
      </c>
      <c r="AZ80" s="4">
        <v>0.73</v>
      </c>
      <c r="BA80" s="4">
        <v>0.81899999999999995</v>
      </c>
      <c r="BB80" s="4">
        <v>-0.14599999999999999</v>
      </c>
      <c r="BC80" s="4">
        <v>-0.223</v>
      </c>
      <c r="BD80" s="4">
        <v>0.245</v>
      </c>
      <c r="BE80" s="4">
        <v>0.29199999999999998</v>
      </c>
      <c r="BF80" s="4">
        <v>-0.60199999999999998</v>
      </c>
      <c r="BG80" s="4">
        <v>0.72699999999999998</v>
      </c>
      <c r="BH80" s="4">
        <v>-0.51800000000000002</v>
      </c>
      <c r="BI80" s="4">
        <v>-0.21199999999999999</v>
      </c>
      <c r="BJ80" s="4">
        <v>0.55500000000000005</v>
      </c>
      <c r="BK80" s="4">
        <v>0.52500000000000002</v>
      </c>
    </row>
    <row r="81" spans="1:63" x14ac:dyDescent="0.3">
      <c r="A81" t="s">
        <v>112</v>
      </c>
      <c r="B81" s="53">
        <f t="shared" si="9"/>
        <v>2.7E-2</v>
      </c>
      <c r="C81" s="53">
        <f t="shared" si="10"/>
        <v>8.0000000000000002E-3</v>
      </c>
      <c r="D81" s="53">
        <f t="shared" si="11"/>
        <v>0</v>
      </c>
      <c r="E81" s="53">
        <v>1.9E-2</v>
      </c>
      <c r="F81" s="15">
        <v>1.2310000000000001</v>
      </c>
      <c r="G81">
        <v>2.0720000000000001</v>
      </c>
      <c r="H81" t="s">
        <v>55</v>
      </c>
      <c r="I81" t="str">
        <f>VLOOKUP(A81,Planilha6!$BL$9:$BN$222,2,0)</f>
        <v>utilities</v>
      </c>
      <c r="J81" t="str">
        <f>VLOOKUP(A81,Planilha6!$BL$9:$BN$222,3,0)</f>
        <v>low_beta</v>
      </c>
      <c r="K81" s="2">
        <v>2.7E-2</v>
      </c>
      <c r="L81" s="2">
        <v>8.0000000000000002E-3</v>
      </c>
      <c r="M81" s="29">
        <v>1.9E-2</v>
      </c>
      <c r="N81" s="47">
        <f>VLOOKUP(A81,'Mandato ISEE'!$A$1:$C$215,2,0)</f>
        <v>0</v>
      </c>
      <c r="O81" s="48">
        <f t="shared" si="12"/>
        <v>2.7E-2</v>
      </c>
      <c r="P81" s="47">
        <f>VLOOKUP(A81,'Mandato ISEE'!$A$1:$C$215,3,0)</f>
        <v>5.0856651392812098E-2</v>
      </c>
      <c r="Q81" s="48">
        <f t="shared" si="13"/>
        <v>-2.3856651392812098E-2</v>
      </c>
      <c r="R81" s="15">
        <v>-0.68300000000000005</v>
      </c>
      <c r="S81" s="15">
        <v>0.35199999999999998</v>
      </c>
      <c r="T81" s="15">
        <v>-0.82899999999999996</v>
      </c>
      <c r="U81" s="15">
        <v>-0.246</v>
      </c>
      <c r="V81" s="15">
        <v>-3.5999999999999997E-2</v>
      </c>
      <c r="W81" s="15">
        <v>-0.16900000000000001</v>
      </c>
      <c r="X81" s="15">
        <v>9.8000000000000004E-2</v>
      </c>
      <c r="Y81" s="15">
        <v>0.25800000000000001</v>
      </c>
      <c r="Z81" s="15">
        <v>0.875</v>
      </c>
      <c r="AA81" s="15">
        <v>0.88200000000000001</v>
      </c>
      <c r="AB81" s="15">
        <v>0.58899999999999997</v>
      </c>
      <c r="AC81" s="15">
        <v>0.62</v>
      </c>
      <c r="AD81" s="15">
        <v>0.69099999999999995</v>
      </c>
      <c r="AE81" s="14">
        <v>-0.73299999999999998</v>
      </c>
      <c r="AF81" s="15">
        <v>-0.48099999999999998</v>
      </c>
      <c r="AG81" s="15">
        <v>0.80900000000000005</v>
      </c>
      <c r="AH81" s="15">
        <v>-0.91100000000000003</v>
      </c>
      <c r="AI81" s="15">
        <v>0.13</v>
      </c>
      <c r="AJ81" s="9">
        <v>-0.73099999999999998</v>
      </c>
      <c r="AK81" s="4">
        <v>-0.38</v>
      </c>
      <c r="AL81" s="4">
        <v>-3.2000000000000001E-2</v>
      </c>
      <c r="AM81" s="4">
        <v>-0.70399999999999996</v>
      </c>
      <c r="AN81" s="4">
        <v>-0.88500000000000001</v>
      </c>
      <c r="AO81" s="4">
        <v>0.91400000000000003</v>
      </c>
      <c r="AP81" s="4">
        <v>0.93400000000000005</v>
      </c>
      <c r="AQ81" s="4">
        <v>0.37</v>
      </c>
      <c r="AR81" s="4">
        <v>0.14599999999999999</v>
      </c>
      <c r="AS81" s="4">
        <v>-8.2000000000000003E-2</v>
      </c>
      <c r="AT81" s="4">
        <v>0.35199999999999998</v>
      </c>
      <c r="AU81" s="4">
        <v>0.10199999999999999</v>
      </c>
      <c r="AV81" s="4">
        <v>-0.252</v>
      </c>
      <c r="AW81" s="4">
        <v>0.61599999999999999</v>
      </c>
      <c r="AX81" s="4">
        <v>-0.61899999999999999</v>
      </c>
      <c r="AY81" s="4">
        <v>1</v>
      </c>
      <c r="AZ81" s="4">
        <v>0.379</v>
      </c>
      <c r="BA81" s="4">
        <v>-0.90100000000000002</v>
      </c>
      <c r="BB81" s="4">
        <v>-0.26200000000000001</v>
      </c>
      <c r="BC81" s="4">
        <v>-0.64100000000000001</v>
      </c>
      <c r="BD81" s="4">
        <v>0.35699999999999998</v>
      </c>
      <c r="BE81" s="4">
        <v>-0.13300000000000001</v>
      </c>
      <c r="BF81" s="4">
        <v>0.442</v>
      </c>
      <c r="BG81" s="4">
        <v>0.67800000000000005</v>
      </c>
      <c r="BH81" s="4">
        <v>-1</v>
      </c>
      <c r="BI81" s="4">
        <v>-0.247</v>
      </c>
      <c r="BJ81" s="4">
        <v>-0.316</v>
      </c>
      <c r="BK81" s="4">
        <v>-9.8000000000000004E-2</v>
      </c>
    </row>
    <row r="82" spans="1:63" x14ac:dyDescent="0.3">
      <c r="A82" t="s">
        <v>94</v>
      </c>
      <c r="B82" s="53">
        <v>0.04</v>
      </c>
      <c r="C82" s="53">
        <f t="shared" si="10"/>
        <v>2.9000000000000001E-2</v>
      </c>
      <c r="D82" s="53">
        <f t="shared" si="11"/>
        <v>-2.0000000000000018E-3</v>
      </c>
      <c r="E82" s="53">
        <v>1.0999999999999999E-2</v>
      </c>
      <c r="F82" s="15">
        <v>1.1499999999999999</v>
      </c>
      <c r="G82">
        <v>2.008</v>
      </c>
      <c r="H82" t="s">
        <v>55</v>
      </c>
      <c r="I82" t="str">
        <f>VLOOKUP(A82,Planilha6!$BL$9:$BN$222,2,0)</f>
        <v>real_estate</v>
      </c>
      <c r="J82" t="str">
        <f>VLOOKUP(A82,Planilha6!$BL$9:$BN$222,3,0)</f>
        <v>high_beta</v>
      </c>
      <c r="K82" s="2">
        <v>4.2000000000000003E-2</v>
      </c>
      <c r="L82" s="2">
        <v>3.1E-2</v>
      </c>
      <c r="M82" s="29">
        <v>1.0999999999999999E-2</v>
      </c>
      <c r="N82" s="47">
        <f>VLOOKUP(A82,'Mandato ISEE'!$A$1:$C$215,2,0)</f>
        <v>0</v>
      </c>
      <c r="O82" s="48">
        <f t="shared" si="12"/>
        <v>4.2000000000000003E-2</v>
      </c>
      <c r="P82" s="47">
        <f>VLOOKUP(A82,'Mandato ISEE'!$A$1:$C$215,3,0)</f>
        <v>3.4435209071714303E-2</v>
      </c>
      <c r="Q82" s="48">
        <f t="shared" si="13"/>
        <v>7.5647909282857001E-3</v>
      </c>
      <c r="R82" s="15">
        <v>-0.19800000000000001</v>
      </c>
      <c r="S82" s="15">
        <v>0.21299999999999999</v>
      </c>
      <c r="T82" s="15">
        <v>-0.47199999999999998</v>
      </c>
      <c r="U82" s="15">
        <v>-0.126</v>
      </c>
      <c r="V82" s="15">
        <v>-0.05</v>
      </c>
      <c r="W82" s="15">
        <v>4.0000000000000001E-3</v>
      </c>
      <c r="X82" s="15">
        <v>0.224</v>
      </c>
      <c r="Y82" s="15">
        <v>-0.16600000000000001</v>
      </c>
      <c r="Z82" s="15">
        <v>0.35</v>
      </c>
      <c r="AA82" s="15">
        <v>0.35199999999999998</v>
      </c>
      <c r="AB82" s="15">
        <v>0.70699999999999996</v>
      </c>
      <c r="AC82" s="15">
        <v>0.73299999999999998</v>
      </c>
      <c r="AD82" s="15">
        <v>0.55700000000000005</v>
      </c>
      <c r="AE82" s="14">
        <v>-0.19400000000000001</v>
      </c>
      <c r="AF82" s="15">
        <v>-0.23699999999999999</v>
      </c>
      <c r="AG82" s="15">
        <v>5.0000000000000001E-3</v>
      </c>
      <c r="AH82" s="15">
        <v>-0.78800000000000003</v>
      </c>
      <c r="AI82" s="15">
        <v>7.6999999999999999E-2</v>
      </c>
      <c r="AJ82" s="9">
        <v>-7.9000000000000001E-2</v>
      </c>
      <c r="AK82" s="4">
        <v>-0.439</v>
      </c>
      <c r="AL82" s="4">
        <v>-0.59299999999999997</v>
      </c>
      <c r="AM82" s="4">
        <v>-0.64300000000000002</v>
      </c>
      <c r="AN82" s="4">
        <v>-0.128</v>
      </c>
      <c r="AO82" s="4">
        <v>0.39600000000000002</v>
      </c>
      <c r="AP82" s="4">
        <v>0.45900000000000002</v>
      </c>
      <c r="AQ82" s="4">
        <v>0.82699999999999996</v>
      </c>
      <c r="AR82" s="4">
        <v>4.8000000000000001E-2</v>
      </c>
      <c r="AS82" s="4">
        <v>-2.8000000000000001E-2</v>
      </c>
      <c r="AT82" s="4">
        <v>0.16200000000000001</v>
      </c>
      <c r="AU82" s="4">
        <v>0.53400000000000003</v>
      </c>
      <c r="AV82" s="4">
        <v>0.438</v>
      </c>
      <c r="AW82" s="4">
        <v>0.22600000000000001</v>
      </c>
      <c r="AX82" s="4">
        <v>-0.28399999999999997</v>
      </c>
      <c r="AY82" s="4">
        <v>0.65800000000000003</v>
      </c>
      <c r="AZ82" s="4">
        <v>0.33800000000000002</v>
      </c>
      <c r="BA82" s="4">
        <v>-0.26300000000000001</v>
      </c>
      <c r="BB82" s="4">
        <v>-0.51500000000000001</v>
      </c>
      <c r="BC82" s="4">
        <v>-3.2000000000000001E-2</v>
      </c>
      <c r="BD82" s="4">
        <v>0.27800000000000002</v>
      </c>
      <c r="BE82" s="4">
        <v>-0.30299999999999999</v>
      </c>
      <c r="BF82" s="4">
        <v>0.113</v>
      </c>
      <c r="BG82" s="4">
        <v>0.48</v>
      </c>
      <c r="BH82" s="4">
        <v>-0.432</v>
      </c>
      <c r="BI82" s="4">
        <v>0.47099999999999997</v>
      </c>
      <c r="BJ82" s="4">
        <v>-0.314</v>
      </c>
      <c r="BK82" s="4">
        <v>-0.16</v>
      </c>
    </row>
    <row r="83" spans="1:63" x14ac:dyDescent="0.3">
      <c r="A83" t="s">
        <v>166</v>
      </c>
      <c r="B83" s="53">
        <f t="shared" si="9"/>
        <v>0</v>
      </c>
      <c r="C83" s="53">
        <f t="shared" si="10"/>
        <v>0</v>
      </c>
      <c r="D83" s="53">
        <f t="shared" si="11"/>
        <v>0</v>
      </c>
      <c r="E83" s="53">
        <v>0</v>
      </c>
      <c r="F83" s="15">
        <v>1.105</v>
      </c>
      <c r="G83">
        <v>1.179</v>
      </c>
      <c r="H83" t="s">
        <v>55</v>
      </c>
      <c r="I83" t="str">
        <f>VLOOKUP(A83,Planilha6!$BL$9:$BN$222,2,0)</f>
        <v>utilities</v>
      </c>
      <c r="J83" t="str">
        <f>VLOOKUP(A83,Planilha6!$BL$9:$BN$222,3,0)</f>
        <v>very_low_beta</v>
      </c>
      <c r="K83" s="2">
        <v>0</v>
      </c>
      <c r="L83" s="2">
        <v>0</v>
      </c>
      <c r="M83" s="29">
        <v>0</v>
      </c>
      <c r="N83" s="47">
        <f>VLOOKUP(A83,'Mandato ISEE'!$A$1:$C$215,2,0)</f>
        <v>0</v>
      </c>
      <c r="O83" s="48">
        <f t="shared" si="12"/>
        <v>0</v>
      </c>
      <c r="P83" s="47">
        <f>VLOOKUP(A83,'Mandato ISEE'!$A$1:$C$215,3,0)</f>
        <v>0</v>
      </c>
      <c r="Q83" s="48">
        <f t="shared" si="13"/>
        <v>0</v>
      </c>
      <c r="R83" s="15">
        <v>-0.67400000000000004</v>
      </c>
      <c r="S83" s="15">
        <v>-0.02</v>
      </c>
      <c r="T83" s="15">
        <v>-0.7</v>
      </c>
      <c r="U83" s="15">
        <v>-0.47</v>
      </c>
      <c r="V83" s="15">
        <v>-0.20899999999999999</v>
      </c>
      <c r="W83" s="15">
        <v>-0.22600000000000001</v>
      </c>
      <c r="X83" s="15">
        <v>-7.8E-2</v>
      </c>
      <c r="Y83" s="15">
        <v>0.26600000000000001</v>
      </c>
      <c r="Z83" s="15">
        <v>0.82799999999999996</v>
      </c>
      <c r="AA83" s="15">
        <v>0.83399999999999996</v>
      </c>
      <c r="AB83" s="15">
        <v>0.69099999999999995</v>
      </c>
      <c r="AC83" s="15">
        <v>0.77300000000000002</v>
      </c>
      <c r="AD83" s="15">
        <v>0.60599999999999998</v>
      </c>
      <c r="AE83" s="14">
        <v>-0.67600000000000005</v>
      </c>
      <c r="AF83" s="15">
        <v>-0.53800000000000003</v>
      </c>
      <c r="AG83" s="15">
        <v>0.27700000000000002</v>
      </c>
      <c r="AH83" s="15">
        <v>-0.90100000000000002</v>
      </c>
      <c r="AI83" s="15">
        <v>-0.64800000000000002</v>
      </c>
      <c r="AJ83" s="9">
        <v>-0.95399999999999996</v>
      </c>
      <c r="AK83" s="4">
        <v>-0.38400000000000001</v>
      </c>
      <c r="AL83" s="4">
        <v>0.29899999999999999</v>
      </c>
      <c r="AM83" s="4">
        <v>-0.51900000000000002</v>
      </c>
      <c r="AN83" s="4">
        <v>-0.621</v>
      </c>
      <c r="AO83" s="4">
        <v>0.54200000000000004</v>
      </c>
      <c r="AP83" s="4">
        <v>0.78400000000000003</v>
      </c>
      <c r="AQ83" s="4">
        <v>-0.106</v>
      </c>
      <c r="AR83" s="4">
        <v>0.38800000000000001</v>
      </c>
      <c r="AS83" s="4">
        <v>-0.15</v>
      </c>
      <c r="AT83" s="4">
        <v>0.33600000000000002</v>
      </c>
      <c r="AU83" s="4">
        <v>-0.27300000000000002</v>
      </c>
      <c r="AV83" s="4">
        <v>-0.28499999999999998</v>
      </c>
      <c r="AW83" s="4">
        <v>0.61899999999999999</v>
      </c>
      <c r="AX83" s="4">
        <v>-0.55800000000000005</v>
      </c>
      <c r="AY83" s="4">
        <v>0.90800000000000003</v>
      </c>
      <c r="AZ83" s="4">
        <v>0.58299999999999996</v>
      </c>
      <c r="BA83" s="4">
        <v>9.8000000000000004E-2</v>
      </c>
      <c r="BB83" s="4">
        <v>-0.46899999999999997</v>
      </c>
      <c r="BC83" s="4">
        <v>-0.66100000000000003</v>
      </c>
      <c r="BD83" s="4">
        <v>-0.14799999999999999</v>
      </c>
      <c r="BE83" s="4">
        <v>-0.751</v>
      </c>
      <c r="BF83" s="4">
        <v>-0.58199999999999996</v>
      </c>
      <c r="BG83" s="4">
        <v>0.502</v>
      </c>
      <c r="BH83" s="4">
        <v>-0.59799999999999998</v>
      </c>
      <c r="BI83" s="4">
        <v>-0.35699999999999998</v>
      </c>
      <c r="BJ83" s="4">
        <v>0.91500000000000004</v>
      </c>
      <c r="BK83" s="4">
        <v>-0.38600000000000001</v>
      </c>
    </row>
    <row r="84" spans="1:63" x14ac:dyDescent="0.3">
      <c r="A84" t="s">
        <v>124</v>
      </c>
      <c r="B84" s="53">
        <f t="shared" si="9"/>
        <v>0</v>
      </c>
      <c r="C84" s="53">
        <f t="shared" si="10"/>
        <v>0</v>
      </c>
      <c r="D84" s="53">
        <f t="shared" si="11"/>
        <v>0</v>
      </c>
      <c r="E84" s="53">
        <v>0</v>
      </c>
      <c r="F84" s="15">
        <v>1.101</v>
      </c>
      <c r="G84">
        <v>1.462</v>
      </c>
      <c r="H84" t="s">
        <v>55</v>
      </c>
      <c r="I84" t="str">
        <f>VLOOKUP(A84,Planilha6!$BL$9:$BN$222,2,0)</f>
        <v>utilities</v>
      </c>
      <c r="J84" t="str">
        <f>VLOOKUP(A84,Planilha6!$BL$9:$BN$222,3,0)</f>
        <v>low_beta</v>
      </c>
      <c r="K84" s="2">
        <v>0</v>
      </c>
      <c r="L84" s="2">
        <v>0</v>
      </c>
      <c r="M84" s="29">
        <v>0</v>
      </c>
      <c r="N84" s="47">
        <f>VLOOKUP(A84,'Mandato ISEE'!$A$1:$C$215,2,0)</f>
        <v>0</v>
      </c>
      <c r="O84" s="48">
        <f t="shared" si="12"/>
        <v>0</v>
      </c>
      <c r="P84" s="47">
        <f>VLOOKUP(A84,'Mandato ISEE'!$A$1:$C$215,3,0)</f>
        <v>0</v>
      </c>
      <c r="Q84" s="48">
        <f t="shared" si="13"/>
        <v>0</v>
      </c>
      <c r="R84" s="15">
        <v>-0.73799999999999999</v>
      </c>
      <c r="S84" s="15">
        <v>7.5999999999999998E-2</v>
      </c>
      <c r="T84" s="15">
        <v>-0.85099999999999998</v>
      </c>
      <c r="U84" s="15">
        <v>-0.495</v>
      </c>
      <c r="V84" s="15">
        <v>-0.27500000000000002</v>
      </c>
      <c r="W84" s="15">
        <v>-0.13500000000000001</v>
      </c>
      <c r="X84" s="15">
        <v>0.40799999999999997</v>
      </c>
      <c r="Y84" s="15">
        <v>0.29599999999999999</v>
      </c>
      <c r="Z84" s="15">
        <v>0.73699999999999999</v>
      </c>
      <c r="AA84" s="15">
        <v>0.74099999999999999</v>
      </c>
      <c r="AB84" s="15">
        <v>0.60399999999999998</v>
      </c>
      <c r="AC84" s="15">
        <v>0.6</v>
      </c>
      <c r="AD84" s="15">
        <v>0.54900000000000004</v>
      </c>
      <c r="AE84" s="14">
        <v>-0.54800000000000004</v>
      </c>
      <c r="AF84" s="15">
        <v>-0.67900000000000005</v>
      </c>
      <c r="AG84" s="15">
        <v>5.8000000000000003E-2</v>
      </c>
      <c r="AH84" s="15">
        <v>-0.79300000000000004</v>
      </c>
      <c r="AI84" s="15">
        <v>-0.317</v>
      </c>
      <c r="AJ84" s="9">
        <v>-0.88800000000000001</v>
      </c>
      <c r="AK84" s="4">
        <v>-0.26900000000000002</v>
      </c>
      <c r="AL84" s="4">
        <v>0.14499999999999999</v>
      </c>
      <c r="AM84" s="4">
        <v>-0.59299999999999997</v>
      </c>
      <c r="AN84" s="4">
        <v>-0.44</v>
      </c>
      <c r="AO84" s="4">
        <v>0.36899999999999999</v>
      </c>
      <c r="AP84" s="4">
        <v>0.443</v>
      </c>
      <c r="AQ84" s="4">
        <v>-0.16600000000000001</v>
      </c>
      <c r="AR84" s="4">
        <v>-0.14199999999999999</v>
      </c>
      <c r="AS84" s="4">
        <v>0.17499999999999999</v>
      </c>
      <c r="AT84" s="4">
        <v>0.191</v>
      </c>
      <c r="AU84" s="4">
        <v>0.503</v>
      </c>
      <c r="AV84" s="4">
        <v>-0.157</v>
      </c>
      <c r="AW84" s="4">
        <v>0.85699999999999998</v>
      </c>
      <c r="AX84" s="4">
        <v>-0.92800000000000005</v>
      </c>
      <c r="AY84" s="4">
        <v>0.495</v>
      </c>
      <c r="AZ84" s="4">
        <v>0.1</v>
      </c>
      <c r="BA84" s="4">
        <v>-0.41299999999999998</v>
      </c>
      <c r="BB84" s="4">
        <v>-0.41599999999999998</v>
      </c>
      <c r="BC84" s="4">
        <v>-0.52100000000000002</v>
      </c>
      <c r="BD84" s="4">
        <v>0.186</v>
      </c>
      <c r="BE84" s="4">
        <v>4.2999999999999997E-2</v>
      </c>
      <c r="BF84" s="4">
        <v>-7.3999999999999996E-2</v>
      </c>
      <c r="BG84" s="4">
        <v>0.86099999999999999</v>
      </c>
      <c r="BH84" s="4">
        <v>-0.437</v>
      </c>
      <c r="BI84" s="4">
        <v>-0.253</v>
      </c>
      <c r="BJ84" s="4">
        <v>-0.155</v>
      </c>
      <c r="BK84" s="4">
        <v>4.3999999999999997E-2</v>
      </c>
    </row>
    <row r="85" spans="1:63" x14ac:dyDescent="0.3">
      <c r="A85" t="s">
        <v>163</v>
      </c>
      <c r="B85" s="53">
        <f t="shared" si="9"/>
        <v>0</v>
      </c>
      <c r="C85" s="53">
        <f t="shared" si="10"/>
        <v>0</v>
      </c>
      <c r="D85" s="53">
        <f t="shared" si="11"/>
        <v>0</v>
      </c>
      <c r="E85" s="53">
        <v>0</v>
      </c>
      <c r="F85" s="15">
        <v>1.0900000000000001</v>
      </c>
      <c r="G85">
        <v>1.351</v>
      </c>
      <c r="H85" t="s">
        <v>68</v>
      </c>
      <c r="I85" t="str">
        <f>VLOOKUP(A85,Planilha6!$BL$9:$BN$222,2,0)</f>
        <v>building_materials</v>
      </c>
      <c r="J85" t="str">
        <f>VLOOKUP(A85,Planilha6!$BL$9:$BN$222,3,0)</f>
        <v>neutral_beta</v>
      </c>
      <c r="K85" s="2">
        <v>0</v>
      </c>
      <c r="L85" s="2">
        <v>0</v>
      </c>
      <c r="M85" s="29">
        <v>0</v>
      </c>
      <c r="N85" s="47">
        <f>VLOOKUP(A85,'Mandato ISEE'!$A$1:$C$215,2,0)</f>
        <v>0</v>
      </c>
      <c r="O85" s="48">
        <f t="shared" si="12"/>
        <v>0</v>
      </c>
      <c r="P85" s="47">
        <f>VLOOKUP(A85,'Mandato ISEE'!$A$1:$C$215,3,0)</f>
        <v>0</v>
      </c>
      <c r="Q85" s="48">
        <f t="shared" si="13"/>
        <v>0</v>
      </c>
      <c r="R85" s="15">
        <v>-0.29599999999999999</v>
      </c>
      <c r="S85" s="15">
        <v>0.157</v>
      </c>
      <c r="T85" s="15">
        <v>-0.4</v>
      </c>
      <c r="U85" s="15">
        <v>-0.52</v>
      </c>
      <c r="V85" s="15">
        <v>-0.23499999999999999</v>
      </c>
      <c r="W85" s="15">
        <v>-0.125</v>
      </c>
      <c r="X85" s="15">
        <v>0.25800000000000001</v>
      </c>
      <c r="Y85" s="15">
        <v>-0.22800000000000001</v>
      </c>
      <c r="Z85" s="15">
        <v>0.61</v>
      </c>
      <c r="AA85" s="15">
        <v>0.60899999999999999</v>
      </c>
      <c r="AB85" s="15">
        <v>0.69</v>
      </c>
      <c r="AC85" s="15">
        <v>0.63400000000000001</v>
      </c>
      <c r="AD85" s="15">
        <v>0.64600000000000002</v>
      </c>
      <c r="AE85" s="14">
        <v>-0.77200000000000002</v>
      </c>
      <c r="AF85" s="15">
        <v>-0.57199999999999995</v>
      </c>
      <c r="AG85" s="15">
        <v>-0.11899999999999999</v>
      </c>
      <c r="AH85" s="15">
        <v>-0.52900000000000003</v>
      </c>
      <c r="AI85" s="15">
        <v>0.63400000000000001</v>
      </c>
      <c r="AJ85" s="9">
        <v>-0.52500000000000002</v>
      </c>
      <c r="AK85" s="4">
        <v>-0.14899999999999999</v>
      </c>
      <c r="AL85" s="4">
        <v>-0.54900000000000004</v>
      </c>
      <c r="AM85" s="4">
        <v>-0.65600000000000003</v>
      </c>
      <c r="AN85" s="4">
        <v>0.17599999999999999</v>
      </c>
      <c r="AO85" s="4">
        <v>0.17799999999999999</v>
      </c>
      <c r="AP85" s="4">
        <v>-1.4999999999999999E-2</v>
      </c>
      <c r="AQ85" s="4">
        <v>0.25600000000000001</v>
      </c>
      <c r="AR85" s="4">
        <v>6.5000000000000002E-2</v>
      </c>
      <c r="AS85" s="4">
        <v>-0.24099999999999999</v>
      </c>
      <c r="AT85" s="4">
        <v>0.379</v>
      </c>
      <c r="AU85" s="4">
        <v>0.54400000000000004</v>
      </c>
      <c r="AV85" s="4">
        <v>-0.247</v>
      </c>
      <c r="AW85" s="4">
        <v>0.40600000000000003</v>
      </c>
      <c r="AX85" s="4">
        <v>-4.7E-2</v>
      </c>
      <c r="AY85" s="4">
        <v>0.64900000000000002</v>
      </c>
      <c r="AZ85" s="4">
        <v>0.33200000000000002</v>
      </c>
      <c r="BA85" s="4">
        <v>0.442</v>
      </c>
      <c r="BB85" s="4">
        <v>-0.23100000000000001</v>
      </c>
      <c r="BC85" s="4">
        <v>-0.46700000000000003</v>
      </c>
      <c r="BD85" s="4">
        <v>0.22600000000000001</v>
      </c>
      <c r="BE85" s="4">
        <v>0.25700000000000001</v>
      </c>
      <c r="BF85" s="4">
        <v>-5.8000000000000003E-2</v>
      </c>
      <c r="BG85" s="4">
        <v>0.871</v>
      </c>
      <c r="BH85" s="4">
        <v>-0.52800000000000002</v>
      </c>
      <c r="BI85" s="4">
        <v>0.33</v>
      </c>
      <c r="BJ85" s="4">
        <v>0.249</v>
      </c>
      <c r="BK85" s="4">
        <v>-6.4000000000000001E-2</v>
      </c>
    </row>
    <row r="86" spans="1:63" x14ac:dyDescent="0.3">
      <c r="A86" t="s">
        <v>135</v>
      </c>
      <c r="B86" s="53">
        <v>4.2500000000000003E-2</v>
      </c>
      <c r="C86" s="53">
        <f t="shared" si="10"/>
        <v>1.6500000000000004E-2</v>
      </c>
      <c r="D86" s="53">
        <f t="shared" si="11"/>
        <v>-4.4999999999999971E-3</v>
      </c>
      <c r="E86" s="53">
        <v>2.5999999999999999E-2</v>
      </c>
      <c r="F86" s="15">
        <v>1.046</v>
      </c>
      <c r="G86">
        <v>2.2210000000000001</v>
      </c>
      <c r="H86" t="s">
        <v>57</v>
      </c>
      <c r="I86" t="str">
        <f>VLOOKUP(A86,Planilha6!$BL$9:$BN$222,2,0)</f>
        <v>banks</v>
      </c>
      <c r="J86" t="str">
        <f>VLOOKUP(A86,Planilha6!$BL$9:$BN$222,3,0)</f>
        <v>neutral_beta</v>
      </c>
      <c r="K86" s="2">
        <v>4.7E-2</v>
      </c>
      <c r="L86" s="2">
        <v>2.1000000000000001E-2</v>
      </c>
      <c r="M86" s="29">
        <v>2.5999999999999999E-2</v>
      </c>
      <c r="N86" s="47">
        <f>VLOOKUP(A86,'Mandato ISEE'!$A$1:$C$215,2,0)</f>
        <v>0</v>
      </c>
      <c r="O86" s="48">
        <f t="shared" si="12"/>
        <v>4.7E-2</v>
      </c>
      <c r="P86" s="47">
        <f>VLOOKUP(A86,'Mandato ISEE'!$A$1:$C$215,3,0)</f>
        <v>4.4105926367722599E-2</v>
      </c>
      <c r="Q86" s="48">
        <f t="shared" si="13"/>
        <v>2.8940736322774011E-3</v>
      </c>
      <c r="R86" s="15">
        <v>-0.56100000000000005</v>
      </c>
      <c r="S86" s="15">
        <v>8.5000000000000006E-2</v>
      </c>
      <c r="T86" s="15">
        <v>-0.84799999999999998</v>
      </c>
      <c r="U86" s="15">
        <v>-0.30099999999999999</v>
      </c>
      <c r="V86" s="15">
        <v>-0.255</v>
      </c>
      <c r="W86" s="15">
        <v>-0.13800000000000001</v>
      </c>
      <c r="X86" s="15">
        <v>7.0000000000000007E-2</v>
      </c>
      <c r="Y86" s="15">
        <v>7.8E-2</v>
      </c>
      <c r="Z86" s="15">
        <v>0.56200000000000006</v>
      </c>
      <c r="AA86" s="15">
        <v>0.56699999999999995</v>
      </c>
      <c r="AB86" s="15">
        <v>0.69499999999999995</v>
      </c>
      <c r="AC86" s="15">
        <v>0.79200000000000004</v>
      </c>
      <c r="AD86" s="15">
        <v>0.627</v>
      </c>
      <c r="AE86" s="14">
        <v>-0.61</v>
      </c>
      <c r="AF86" s="15">
        <v>3.9E-2</v>
      </c>
      <c r="AG86" s="15">
        <v>0.44900000000000001</v>
      </c>
      <c r="AH86" s="15">
        <v>-0.96399999999999997</v>
      </c>
      <c r="AI86" s="15">
        <v>-0.751</v>
      </c>
      <c r="AJ86" s="9">
        <v>-0.97899999999999998</v>
      </c>
      <c r="AK86" s="4">
        <v>-0.183</v>
      </c>
      <c r="AL86" s="4">
        <v>2.8000000000000001E-2</v>
      </c>
      <c r="AM86" s="4">
        <v>-0.53600000000000003</v>
      </c>
      <c r="AN86" s="4">
        <v>-0.16500000000000001</v>
      </c>
      <c r="AO86" s="4">
        <v>0.40699999999999997</v>
      </c>
      <c r="AP86" s="4">
        <v>0.53700000000000003</v>
      </c>
      <c r="AQ86" s="4">
        <v>0.27900000000000003</v>
      </c>
      <c r="AR86" s="4">
        <v>0.11899999999999999</v>
      </c>
      <c r="AS86" s="4">
        <v>-6.3E-2</v>
      </c>
      <c r="AT86" s="4">
        <v>4.1000000000000002E-2</v>
      </c>
      <c r="AU86" s="4">
        <v>-0.16900000000000001</v>
      </c>
      <c r="AV86" s="4">
        <v>-0.20599999999999999</v>
      </c>
      <c r="AW86" s="4">
        <v>0.44400000000000001</v>
      </c>
      <c r="AX86" s="4">
        <v>-0.47099999999999997</v>
      </c>
      <c r="AY86" s="4">
        <v>0.85599999999999998</v>
      </c>
      <c r="AZ86" s="4">
        <v>0.251</v>
      </c>
      <c r="BA86" s="4">
        <v>0.34200000000000003</v>
      </c>
      <c r="BB86" s="4">
        <v>-0.159</v>
      </c>
      <c r="BC86" s="4">
        <v>-5.1999999999999998E-2</v>
      </c>
      <c r="BD86" s="4">
        <v>0.30299999999999999</v>
      </c>
      <c r="BE86" s="4">
        <v>-0.14299999999999999</v>
      </c>
      <c r="BF86" s="4">
        <v>-0.26500000000000001</v>
      </c>
      <c r="BG86" s="4">
        <v>0.80100000000000005</v>
      </c>
      <c r="BH86" s="4">
        <v>-0.72499999999999998</v>
      </c>
      <c r="BI86" s="4">
        <v>8.0000000000000002E-3</v>
      </c>
      <c r="BJ86" s="4">
        <v>-0.19900000000000001</v>
      </c>
      <c r="BK86" s="4">
        <v>-0.92300000000000004</v>
      </c>
    </row>
    <row r="87" spans="1:63" x14ac:dyDescent="0.3">
      <c r="A87" t="s">
        <v>143</v>
      </c>
      <c r="B87" s="53">
        <v>4.2500000000000003E-2</v>
      </c>
      <c r="C87" s="53">
        <f t="shared" si="10"/>
        <v>2.8500000000000004E-2</v>
      </c>
      <c r="D87" s="53">
        <f t="shared" si="11"/>
        <v>-2.4999999999999953E-3</v>
      </c>
      <c r="E87" s="53">
        <v>1.4E-2</v>
      </c>
      <c r="F87" s="15">
        <v>1.0289999999999999</v>
      </c>
      <c r="G87">
        <v>1.627</v>
      </c>
      <c r="H87" t="s">
        <v>53</v>
      </c>
      <c r="I87" t="str">
        <f>VLOOKUP(A87,Planilha6!$BL$9:$BN$222,2,0)</f>
        <v>healthcare</v>
      </c>
      <c r="J87" t="str">
        <f>VLOOKUP(A87,Planilha6!$BL$9:$BN$222,3,0)</f>
        <v>low_beta</v>
      </c>
      <c r="K87" s="2">
        <v>4.4999999999999998E-2</v>
      </c>
      <c r="L87" s="2">
        <v>3.1E-2</v>
      </c>
      <c r="M87" s="29">
        <v>1.4E-2</v>
      </c>
      <c r="N87" s="47">
        <f>VLOOKUP(A87,'Mandato ISEE'!$A$1:$C$215,2,0)</f>
        <v>0</v>
      </c>
      <c r="O87" s="48">
        <f t="shared" si="12"/>
        <v>4.4999999999999998E-2</v>
      </c>
      <c r="P87" s="47">
        <f>VLOOKUP(A87,'Mandato ISEE'!$A$1:$C$215,3,0)</f>
        <v>0</v>
      </c>
      <c r="Q87" s="48">
        <f t="shared" si="13"/>
        <v>4.4999999999999998E-2</v>
      </c>
      <c r="R87" s="15">
        <v>-0.36299999999999999</v>
      </c>
      <c r="S87" s="15">
        <v>-5.7000000000000002E-2</v>
      </c>
      <c r="T87" s="15">
        <v>-0.60499999999999998</v>
      </c>
      <c r="U87" s="15">
        <v>-0.35299999999999998</v>
      </c>
      <c r="V87" s="15">
        <v>-0.254</v>
      </c>
      <c r="W87" s="15">
        <v>-6.0999999999999999E-2</v>
      </c>
      <c r="X87" s="15">
        <v>0.17100000000000001</v>
      </c>
      <c r="Y87" s="15">
        <v>-0.02</v>
      </c>
      <c r="Z87" s="15">
        <v>0.38500000000000001</v>
      </c>
      <c r="AA87" s="15">
        <v>0.38800000000000001</v>
      </c>
      <c r="AB87" s="15">
        <v>0.71499999999999997</v>
      </c>
      <c r="AC87" s="15">
        <v>0.77600000000000002</v>
      </c>
      <c r="AD87" s="15">
        <v>0.50900000000000001</v>
      </c>
      <c r="AE87" s="14">
        <v>-0.20599999999999999</v>
      </c>
      <c r="AF87" s="15">
        <v>-0.378</v>
      </c>
      <c r="AG87" s="15">
        <v>-0.29399999999999998</v>
      </c>
      <c r="AH87" s="15">
        <v>-0.60899999999999999</v>
      </c>
      <c r="AI87" s="15">
        <v>-0.43</v>
      </c>
      <c r="AJ87" s="9">
        <v>-0.74</v>
      </c>
      <c r="AK87" s="4">
        <v>-1.6E-2</v>
      </c>
      <c r="AL87" s="4">
        <v>-0.10100000000000001</v>
      </c>
      <c r="AM87" s="4">
        <v>-0.61699999999999999</v>
      </c>
      <c r="AN87" s="4">
        <v>0.20799999999999999</v>
      </c>
      <c r="AO87" s="4">
        <v>-2.3E-2</v>
      </c>
      <c r="AP87" s="4">
        <v>0.17199999999999999</v>
      </c>
      <c r="AQ87" s="4">
        <v>9.4E-2</v>
      </c>
      <c r="AR87" s="4">
        <v>0.20699999999999999</v>
      </c>
      <c r="AS87" s="4">
        <v>0.20399999999999999</v>
      </c>
      <c r="AT87" s="4">
        <v>0.28000000000000003</v>
      </c>
      <c r="AU87" s="4">
        <v>-0.106</v>
      </c>
      <c r="AV87" s="4">
        <v>8.5000000000000006E-2</v>
      </c>
      <c r="AW87" s="4">
        <v>0.45600000000000002</v>
      </c>
      <c r="AX87" s="4">
        <v>-0.17799999999999999</v>
      </c>
      <c r="AY87" s="4">
        <v>0.95899999999999996</v>
      </c>
      <c r="AZ87" s="4">
        <v>0.47799999999999998</v>
      </c>
      <c r="BA87" s="4">
        <v>0.13800000000000001</v>
      </c>
      <c r="BB87" s="4">
        <v>-2.3E-2</v>
      </c>
      <c r="BC87" s="4">
        <v>7.0000000000000001E-3</v>
      </c>
      <c r="BD87" s="4">
        <v>0.27900000000000003</v>
      </c>
      <c r="BE87" s="4">
        <v>-0.09</v>
      </c>
      <c r="BF87" s="4">
        <v>0.16900000000000001</v>
      </c>
      <c r="BG87" s="4">
        <v>0.73799999999999999</v>
      </c>
      <c r="BH87" s="4">
        <v>-0.21199999999999999</v>
      </c>
      <c r="BI87" s="4">
        <v>-0.13400000000000001</v>
      </c>
      <c r="BJ87" s="4">
        <v>-4.7E-2</v>
      </c>
      <c r="BK87" s="4">
        <v>-0.152</v>
      </c>
    </row>
    <row r="88" spans="1:63" x14ac:dyDescent="0.3">
      <c r="A88" t="s">
        <v>119</v>
      </c>
      <c r="B88" s="53">
        <f t="shared" si="9"/>
        <v>0</v>
      </c>
      <c r="C88" s="53">
        <f t="shared" si="10"/>
        <v>0</v>
      </c>
      <c r="D88" s="53">
        <f t="shared" si="11"/>
        <v>0</v>
      </c>
      <c r="E88" s="53">
        <v>0</v>
      </c>
      <c r="F88" s="15">
        <v>1.018</v>
      </c>
      <c r="G88">
        <v>0.97799999999999998</v>
      </c>
      <c r="H88" t="s">
        <v>57</v>
      </c>
      <c r="I88" t="str">
        <f>VLOOKUP(A88,Planilha6!$BL$9:$BN$222,2,0)</f>
        <v>homebuilders</v>
      </c>
      <c r="J88" t="str">
        <f>VLOOKUP(A88,Planilha6!$BL$9:$BN$222,3,0)</f>
        <v>high_beta</v>
      </c>
      <c r="K88" s="2">
        <v>0</v>
      </c>
      <c r="L88" s="2">
        <v>0</v>
      </c>
      <c r="M88" s="29">
        <v>0</v>
      </c>
      <c r="N88" s="47">
        <f>VLOOKUP(A88,'Mandato ISEE'!$A$1:$C$215,2,0)</f>
        <v>0</v>
      </c>
      <c r="O88" s="48">
        <f t="shared" si="12"/>
        <v>0</v>
      </c>
      <c r="P88" s="47">
        <f>VLOOKUP(A88,'Mandato ISEE'!$A$1:$C$215,3,0)</f>
        <v>0</v>
      </c>
      <c r="Q88" s="48">
        <f t="shared" si="13"/>
        <v>0</v>
      </c>
      <c r="R88" s="15">
        <v>-0.21099999999999999</v>
      </c>
      <c r="S88" s="15">
        <v>-8.8999999999999996E-2</v>
      </c>
      <c r="T88" s="15">
        <v>-0.39400000000000002</v>
      </c>
      <c r="U88" s="15">
        <v>-0.23200000000000001</v>
      </c>
      <c r="V88" s="15">
        <v>-0.189</v>
      </c>
      <c r="W88" s="15">
        <v>-0.16500000000000001</v>
      </c>
      <c r="X88" s="15">
        <v>0.04</v>
      </c>
      <c r="Y88" s="15">
        <v>-0.24399999999999999</v>
      </c>
      <c r="Z88" s="15">
        <v>0.41199999999999998</v>
      </c>
      <c r="AA88" s="15">
        <v>0.41299999999999998</v>
      </c>
      <c r="AB88" s="15">
        <v>0.72699999999999998</v>
      </c>
      <c r="AC88" s="15">
        <v>0.76400000000000001</v>
      </c>
      <c r="AD88" s="15">
        <v>0.57599999999999996</v>
      </c>
      <c r="AE88" s="14">
        <v>-0.02</v>
      </c>
      <c r="AF88" s="15">
        <v>-0.06</v>
      </c>
      <c r="AG88" s="15">
        <v>-5.1999999999999998E-2</v>
      </c>
      <c r="AH88" s="15">
        <v>-0.38300000000000001</v>
      </c>
      <c r="AI88" s="15">
        <v>-0.158</v>
      </c>
      <c r="AJ88" s="9">
        <v>-0.30199999999999999</v>
      </c>
      <c r="AK88" s="4">
        <v>-0.26900000000000002</v>
      </c>
      <c r="AL88" s="4">
        <v>-0.33900000000000002</v>
      </c>
      <c r="AM88" s="4">
        <v>-0.28399999999999997</v>
      </c>
      <c r="AN88" s="4">
        <v>0.56299999999999994</v>
      </c>
      <c r="AO88" s="4">
        <v>0.20699999999999999</v>
      </c>
      <c r="AP88" s="4">
        <v>1.0999999999999999E-2</v>
      </c>
      <c r="AQ88" s="4">
        <v>0.39300000000000002</v>
      </c>
      <c r="AR88" s="4">
        <v>-5.0000000000000001E-3</v>
      </c>
      <c r="AS88" s="4">
        <v>-6.6000000000000003E-2</v>
      </c>
      <c r="AT88" s="4">
        <v>2E-3</v>
      </c>
      <c r="AU88" s="4">
        <v>0.51600000000000001</v>
      </c>
      <c r="AV88" s="4">
        <v>0.19500000000000001</v>
      </c>
      <c r="AW88" s="4">
        <v>-0.09</v>
      </c>
      <c r="AX88" s="4">
        <v>9.9000000000000005E-2</v>
      </c>
      <c r="AY88" s="4">
        <v>0.60299999999999998</v>
      </c>
      <c r="AZ88" s="4">
        <v>0.15</v>
      </c>
      <c r="BA88" s="4">
        <v>5.5E-2</v>
      </c>
      <c r="BB88" s="4">
        <v>-0.20899999999999999</v>
      </c>
      <c r="BC88" s="4">
        <v>-0.30599999999999999</v>
      </c>
      <c r="BD88" s="4">
        <v>-0.3</v>
      </c>
      <c r="BE88" s="4">
        <v>-0.376</v>
      </c>
      <c r="BF88" s="4">
        <v>0.27300000000000002</v>
      </c>
      <c r="BG88" s="4">
        <v>0.44</v>
      </c>
      <c r="BH88" s="4">
        <v>-0.18</v>
      </c>
      <c r="BI88" s="4">
        <v>0.41299999999999998</v>
      </c>
      <c r="BJ88" s="4">
        <v>-2.8000000000000001E-2</v>
      </c>
      <c r="BK88" s="4">
        <v>-1.0999999999999999E-2</v>
      </c>
    </row>
    <row r="89" spans="1:63" x14ac:dyDescent="0.3">
      <c r="A89" t="s">
        <v>125</v>
      </c>
      <c r="B89" s="53">
        <f t="shared" si="9"/>
        <v>0</v>
      </c>
      <c r="C89" s="53">
        <f t="shared" si="10"/>
        <v>0</v>
      </c>
      <c r="D89" s="53">
        <f t="shared" si="11"/>
        <v>0</v>
      </c>
      <c r="E89" s="53">
        <v>0</v>
      </c>
      <c r="F89" s="15">
        <v>1.0149999999999999</v>
      </c>
      <c r="G89">
        <v>1.347</v>
      </c>
      <c r="H89" t="s">
        <v>55</v>
      </c>
      <c r="I89" t="str">
        <f>VLOOKUP(A89,Planilha6!$BL$9:$BN$222,2,0)</f>
        <v>real_estate</v>
      </c>
      <c r="J89" t="str">
        <f>VLOOKUP(A89,Planilha6!$BL$9:$BN$222,3,0)</f>
        <v>high_beta</v>
      </c>
      <c r="K89" s="2">
        <v>0</v>
      </c>
      <c r="L89" s="2">
        <v>0</v>
      </c>
      <c r="M89" s="29">
        <v>0</v>
      </c>
      <c r="N89" s="47">
        <f>VLOOKUP(A89,'Mandato ISEE'!$A$1:$C$215,2,0)</f>
        <v>0</v>
      </c>
      <c r="O89" s="48">
        <f t="shared" si="12"/>
        <v>0</v>
      </c>
      <c r="P89" s="47">
        <f>VLOOKUP(A89,'Mandato ISEE'!$A$1:$C$215,3,0)</f>
        <v>0</v>
      </c>
      <c r="Q89" s="48">
        <f t="shared" si="13"/>
        <v>0</v>
      </c>
      <c r="R89" s="15">
        <v>-0.47399999999999998</v>
      </c>
      <c r="S89" s="15">
        <v>0.20599999999999999</v>
      </c>
      <c r="T89" s="15">
        <v>-0.78100000000000003</v>
      </c>
      <c r="U89" s="15">
        <v>-0.36</v>
      </c>
      <c r="V89" s="15">
        <v>-0.23100000000000001</v>
      </c>
      <c r="W89" s="15">
        <v>5.0000000000000001E-3</v>
      </c>
      <c r="X89" s="15">
        <v>0.499</v>
      </c>
      <c r="Y89" s="15">
        <v>5.0000000000000001E-3</v>
      </c>
      <c r="Z89" s="15">
        <v>0.40200000000000002</v>
      </c>
      <c r="AA89" s="15">
        <v>0.40699999999999997</v>
      </c>
      <c r="AB89" s="15">
        <v>0.59799999999999998</v>
      </c>
      <c r="AC89" s="15">
        <v>0.63700000000000001</v>
      </c>
      <c r="AD89" s="15">
        <v>0.44</v>
      </c>
      <c r="AE89" s="14">
        <v>-0.20200000000000001</v>
      </c>
      <c r="AF89" s="15">
        <v>-0.57199999999999995</v>
      </c>
      <c r="AG89" s="15">
        <v>-0.20399999999999999</v>
      </c>
      <c r="AH89" s="15">
        <v>-0.874</v>
      </c>
      <c r="AI89" s="15">
        <v>-0.45</v>
      </c>
      <c r="AJ89" s="9">
        <v>-0.51800000000000002</v>
      </c>
      <c r="AK89" s="4">
        <v>-0.3</v>
      </c>
      <c r="AL89" s="4">
        <v>-0.42099999999999999</v>
      </c>
      <c r="AM89" s="4">
        <v>-0.76200000000000001</v>
      </c>
      <c r="AN89" s="4">
        <v>1.4999999999999999E-2</v>
      </c>
      <c r="AO89" s="4">
        <v>0.214</v>
      </c>
      <c r="AP89" s="4">
        <v>0.54</v>
      </c>
      <c r="AQ89" s="4">
        <v>0.16200000000000001</v>
      </c>
      <c r="AR89" s="4">
        <v>-6.2E-2</v>
      </c>
      <c r="AS89" s="4">
        <v>-0.42299999999999999</v>
      </c>
      <c r="AT89" s="4">
        <v>0.5</v>
      </c>
      <c r="AU89" s="4">
        <v>0.98599999999999999</v>
      </c>
      <c r="AV89" s="4">
        <v>0.34399999999999997</v>
      </c>
      <c r="AW89" s="4">
        <v>0.315</v>
      </c>
      <c r="AX89" s="4">
        <v>-0.63100000000000001</v>
      </c>
      <c r="AY89" s="4">
        <v>0.874</v>
      </c>
      <c r="AZ89" s="4">
        <v>0.318</v>
      </c>
      <c r="BA89" s="4">
        <v>-0.36799999999999999</v>
      </c>
      <c r="BB89" s="4">
        <v>-0.28399999999999997</v>
      </c>
      <c r="BC89" s="4">
        <v>0.28399999999999997</v>
      </c>
      <c r="BD89" s="4">
        <v>0.184</v>
      </c>
      <c r="BE89" s="4">
        <v>-0.36599999999999999</v>
      </c>
      <c r="BF89" s="4">
        <v>-0.17499999999999999</v>
      </c>
      <c r="BG89" s="4">
        <v>0.64800000000000002</v>
      </c>
      <c r="BH89" s="4">
        <v>-0.39800000000000002</v>
      </c>
      <c r="BI89" s="4">
        <v>0.52500000000000002</v>
      </c>
      <c r="BJ89" s="4">
        <v>-0.28999999999999998</v>
      </c>
      <c r="BK89" s="4">
        <v>-0.434</v>
      </c>
    </row>
    <row r="90" spans="1:63" x14ac:dyDescent="0.3">
      <c r="A90" t="s">
        <v>177</v>
      </c>
      <c r="B90" s="53">
        <f t="shared" si="9"/>
        <v>0</v>
      </c>
      <c r="C90" s="53">
        <f t="shared" si="10"/>
        <v>0</v>
      </c>
      <c r="D90" s="53">
        <f t="shared" si="11"/>
        <v>0</v>
      </c>
      <c r="E90" s="53">
        <v>0</v>
      </c>
      <c r="F90" s="15">
        <v>1.0069999999999999</v>
      </c>
      <c r="G90">
        <v>1.2130000000000001</v>
      </c>
      <c r="H90" t="s">
        <v>71</v>
      </c>
      <c r="I90" t="str">
        <f>VLOOKUP(A90,Planilha6!$BL$9:$BN$222,2,0)</f>
        <v>basic_materials</v>
      </c>
      <c r="J90" t="str">
        <f>VLOOKUP(A90,Planilha6!$BL$9:$BN$222,3,0)</f>
        <v>very_low_beta</v>
      </c>
      <c r="K90" s="2">
        <v>0</v>
      </c>
      <c r="L90" s="2">
        <v>0</v>
      </c>
      <c r="M90" s="29">
        <v>0</v>
      </c>
      <c r="N90" s="47">
        <f>VLOOKUP(A90,'Mandato ISEE'!$A$1:$C$215,2,0)</f>
        <v>0</v>
      </c>
      <c r="O90" s="48">
        <f t="shared" si="12"/>
        <v>0</v>
      </c>
      <c r="P90" s="47">
        <f>VLOOKUP(A90,'Mandato ISEE'!$A$1:$C$215,3,0)</f>
        <v>0</v>
      </c>
      <c r="Q90" s="48">
        <f t="shared" si="13"/>
        <v>0</v>
      </c>
      <c r="R90" s="15">
        <v>-0.70399999999999996</v>
      </c>
      <c r="S90" s="15">
        <v>-0.22700000000000001</v>
      </c>
      <c r="T90" s="15">
        <v>-0.81299999999999994</v>
      </c>
      <c r="U90" s="15">
        <v>-0.51600000000000001</v>
      </c>
      <c r="V90" s="15">
        <v>-0.41499999999999998</v>
      </c>
      <c r="W90" s="15">
        <v>-5.7000000000000002E-2</v>
      </c>
      <c r="X90" s="15">
        <v>0.19500000000000001</v>
      </c>
      <c r="Y90" s="15">
        <v>0.113</v>
      </c>
      <c r="Z90" s="15">
        <v>0.88</v>
      </c>
      <c r="AA90" s="15">
        <v>0.88200000000000001</v>
      </c>
      <c r="AB90" s="15">
        <v>0.61399999999999999</v>
      </c>
      <c r="AC90" s="15">
        <v>0.68300000000000005</v>
      </c>
      <c r="AD90" s="15">
        <v>0.59</v>
      </c>
      <c r="AE90" s="14">
        <v>-1E-3</v>
      </c>
      <c r="AF90" s="15">
        <v>-0.82899999999999996</v>
      </c>
      <c r="AG90" s="15">
        <v>-0.186</v>
      </c>
      <c r="AH90" s="15">
        <v>-0.754</v>
      </c>
      <c r="AI90" s="15">
        <v>-0.74099999999999999</v>
      </c>
      <c r="AJ90" s="9">
        <v>-0.97499999999999998</v>
      </c>
      <c r="AK90" s="4">
        <v>0.122</v>
      </c>
      <c r="AL90" s="4">
        <v>2.8000000000000001E-2</v>
      </c>
      <c r="AM90" s="4">
        <v>-0.42299999999999999</v>
      </c>
      <c r="AN90" s="4">
        <v>-5.3999999999999999E-2</v>
      </c>
      <c r="AO90" s="4">
        <v>0.28199999999999997</v>
      </c>
      <c r="AP90" s="4">
        <v>-2E-3</v>
      </c>
      <c r="AQ90" s="4">
        <v>-0.38700000000000001</v>
      </c>
      <c r="AR90" s="4">
        <v>-0.65300000000000002</v>
      </c>
      <c r="AS90" s="4">
        <v>-0.49</v>
      </c>
      <c r="AT90" s="4">
        <v>0.184</v>
      </c>
      <c r="AU90" s="4">
        <v>-7.0999999999999994E-2</v>
      </c>
      <c r="AV90" s="4">
        <v>1.7000000000000001E-2</v>
      </c>
      <c r="AW90" s="4">
        <v>0.97899999999999998</v>
      </c>
      <c r="AX90" s="4">
        <v>-0.34599999999999997</v>
      </c>
      <c r="AY90" s="4">
        <v>0.75800000000000001</v>
      </c>
      <c r="AZ90" s="4">
        <v>-0.33600000000000002</v>
      </c>
      <c r="BA90" s="4">
        <v>0.23400000000000001</v>
      </c>
      <c r="BB90" s="4">
        <v>9.2999999999999999E-2</v>
      </c>
      <c r="BC90" s="4">
        <v>-7.0000000000000007E-2</v>
      </c>
      <c r="BD90" s="4">
        <v>0.20499999999999999</v>
      </c>
      <c r="BE90" s="4">
        <v>0.45800000000000002</v>
      </c>
      <c r="BF90" s="4">
        <v>0.45100000000000001</v>
      </c>
      <c r="BG90" s="4">
        <v>0.94799999999999995</v>
      </c>
      <c r="BH90" s="4">
        <v>-0.29599999999999999</v>
      </c>
      <c r="BI90" s="4">
        <v>-0.62</v>
      </c>
      <c r="BJ90" s="4">
        <v>0.85399999999999998</v>
      </c>
      <c r="BK90" s="4">
        <v>-0.29599999999999999</v>
      </c>
    </row>
    <row r="91" spans="1:63" x14ac:dyDescent="0.3">
      <c r="A91" t="s">
        <v>159</v>
      </c>
      <c r="B91" s="53">
        <f t="shared" si="9"/>
        <v>0</v>
      </c>
      <c r="C91" s="53">
        <f t="shared" si="10"/>
        <v>0</v>
      </c>
      <c r="D91" s="53">
        <f t="shared" si="11"/>
        <v>0</v>
      </c>
      <c r="E91" s="53">
        <v>0</v>
      </c>
      <c r="F91" s="15">
        <v>1.0049999999999999</v>
      </c>
      <c r="G91">
        <v>1.2470000000000001</v>
      </c>
      <c r="H91" t="s">
        <v>71</v>
      </c>
      <c r="I91" t="str">
        <f>VLOOKUP(A91,Planilha6!$BL$9:$BN$222,2,0)</f>
        <v>basic_materials</v>
      </c>
      <c r="J91" t="str">
        <f>VLOOKUP(A91,Planilha6!$BL$9:$BN$222,3,0)</f>
        <v>low_beta</v>
      </c>
      <c r="K91" s="2">
        <v>0</v>
      </c>
      <c r="L91" s="2">
        <v>0</v>
      </c>
      <c r="M91" s="29">
        <v>0</v>
      </c>
      <c r="N91" s="47">
        <f>VLOOKUP(A91,'Mandato ISEE'!$A$1:$C$215,2,0)</f>
        <v>0</v>
      </c>
      <c r="O91" s="48">
        <f t="shared" si="12"/>
        <v>0</v>
      </c>
      <c r="P91" s="47">
        <f>VLOOKUP(A91,'Mandato ISEE'!$A$1:$C$215,3,0)</f>
        <v>0</v>
      </c>
      <c r="Q91" s="48">
        <f t="shared" si="13"/>
        <v>0</v>
      </c>
      <c r="R91" s="15">
        <v>-0.68600000000000005</v>
      </c>
      <c r="S91" s="15">
        <v>-0.20100000000000001</v>
      </c>
      <c r="T91" s="15">
        <v>-0.84199999999999997</v>
      </c>
      <c r="U91" s="15">
        <v>-0.495</v>
      </c>
      <c r="V91" s="15">
        <v>-0.42799999999999999</v>
      </c>
      <c r="W91" s="15">
        <v>-3.4000000000000002E-2</v>
      </c>
      <c r="X91" s="15">
        <v>0.21299999999999999</v>
      </c>
      <c r="Y91" s="15">
        <v>0.122</v>
      </c>
      <c r="Z91" s="15">
        <v>0.79100000000000004</v>
      </c>
      <c r="AA91" s="15">
        <v>0.79400000000000004</v>
      </c>
      <c r="AB91" s="15">
        <v>0.63300000000000001</v>
      </c>
      <c r="AC91" s="15">
        <v>0.68</v>
      </c>
      <c r="AD91" s="15">
        <v>0.58699999999999997</v>
      </c>
      <c r="AE91" s="14">
        <v>-3.0000000000000001E-3</v>
      </c>
      <c r="AF91" s="15">
        <v>-0.83</v>
      </c>
      <c r="AG91" s="15">
        <v>-0.13</v>
      </c>
      <c r="AH91" s="15">
        <v>-0.754</v>
      </c>
      <c r="AI91" s="15">
        <v>-0.71899999999999997</v>
      </c>
      <c r="AJ91" s="9">
        <v>-0.97499999999999998</v>
      </c>
      <c r="AK91" s="4">
        <v>0.122</v>
      </c>
      <c r="AL91" s="4">
        <v>4.2999999999999997E-2</v>
      </c>
      <c r="AM91" s="4">
        <v>-0.42299999999999999</v>
      </c>
      <c r="AN91" s="4">
        <v>-0.06</v>
      </c>
      <c r="AO91" s="4">
        <v>0.308</v>
      </c>
      <c r="AP91" s="4">
        <v>5.7000000000000002E-2</v>
      </c>
      <c r="AQ91" s="4">
        <v>-0.38700000000000001</v>
      </c>
      <c r="AR91" s="4">
        <v>-0.65300000000000002</v>
      </c>
      <c r="AS91" s="4">
        <v>-0.49</v>
      </c>
      <c r="AT91" s="4">
        <v>0.184</v>
      </c>
      <c r="AU91" s="4">
        <v>-7.0999999999999994E-2</v>
      </c>
      <c r="AV91" s="4">
        <v>1.7000000000000001E-2</v>
      </c>
      <c r="AW91" s="4">
        <v>0.97599999999999998</v>
      </c>
      <c r="AX91" s="4">
        <v>-0.34599999999999997</v>
      </c>
      <c r="AY91" s="4">
        <v>0.75800000000000001</v>
      </c>
      <c r="AZ91" s="4">
        <v>-0.39800000000000002</v>
      </c>
      <c r="BA91" s="4">
        <v>0.627</v>
      </c>
      <c r="BB91" s="4">
        <v>9.2999999999999999E-2</v>
      </c>
      <c r="BC91" s="4">
        <v>-7.0000000000000007E-2</v>
      </c>
      <c r="BD91" s="4">
        <v>0.222</v>
      </c>
      <c r="BE91" s="4">
        <v>0.41699999999999998</v>
      </c>
      <c r="BF91" s="4">
        <v>0.15</v>
      </c>
      <c r="BG91" s="4">
        <v>0.91</v>
      </c>
      <c r="BH91" s="4">
        <v>-0.30299999999999999</v>
      </c>
      <c r="BI91" s="4">
        <v>-0.58899999999999997</v>
      </c>
      <c r="BJ91" s="4">
        <v>0.56299999999999994</v>
      </c>
      <c r="BK91" s="4">
        <v>-0.29599999999999999</v>
      </c>
    </row>
    <row r="92" spans="1:63" x14ac:dyDescent="0.3">
      <c r="A92" t="s">
        <v>196</v>
      </c>
      <c r="B92" s="53">
        <f t="shared" si="9"/>
        <v>0</v>
      </c>
      <c r="C92" s="53">
        <f t="shared" si="10"/>
        <v>0</v>
      </c>
      <c r="D92" s="53">
        <f t="shared" si="11"/>
        <v>0</v>
      </c>
      <c r="E92" s="53">
        <v>0</v>
      </c>
      <c r="F92" s="15">
        <v>0.99099999999999999</v>
      </c>
      <c r="G92">
        <v>0.71299999999999997</v>
      </c>
      <c r="H92" t="s">
        <v>57</v>
      </c>
      <c r="I92" t="str">
        <f>VLOOKUP(A92,Planilha6!$BL$9:$BN$222,2,0)</f>
        <v>education</v>
      </c>
      <c r="J92" t="str">
        <f>VLOOKUP(A92,Planilha6!$BL$9:$BN$222,3,0)</f>
        <v>very_high_beta</v>
      </c>
      <c r="K92" s="2">
        <v>0</v>
      </c>
      <c r="L92" s="2">
        <v>0</v>
      </c>
      <c r="M92" s="29">
        <v>0</v>
      </c>
      <c r="N92" s="47">
        <f>VLOOKUP(A92,'Mandato ISEE'!$A$1:$C$215,2,0)</f>
        <v>0</v>
      </c>
      <c r="O92" s="48">
        <f t="shared" si="12"/>
        <v>0</v>
      </c>
      <c r="P92" s="47">
        <f>VLOOKUP(A92,'Mandato ISEE'!$A$1:$C$215,3,0)</f>
        <v>0</v>
      </c>
      <c r="Q92" s="48">
        <f t="shared" si="13"/>
        <v>0</v>
      </c>
      <c r="R92" s="15">
        <v>0.34</v>
      </c>
      <c r="S92" s="15">
        <v>-1.9E-2</v>
      </c>
      <c r="T92" s="15">
        <v>0.25</v>
      </c>
      <c r="U92" s="15">
        <v>0.34300000000000003</v>
      </c>
      <c r="V92" s="15">
        <v>0.20300000000000001</v>
      </c>
      <c r="W92" s="15">
        <v>-0.17199999999999999</v>
      </c>
      <c r="X92" s="15">
        <v>-0.45</v>
      </c>
      <c r="Y92" s="15">
        <v>-0.57399999999999995</v>
      </c>
      <c r="Z92" s="15">
        <v>-3.5000000000000003E-2</v>
      </c>
      <c r="AA92" s="15">
        <v>-3.2000000000000001E-2</v>
      </c>
      <c r="AB92" s="15">
        <v>0.317</v>
      </c>
      <c r="AC92" s="15">
        <v>0.44700000000000001</v>
      </c>
      <c r="AD92" s="15">
        <v>0.56100000000000005</v>
      </c>
      <c r="AE92" s="14">
        <v>0.76500000000000001</v>
      </c>
      <c r="AF92" s="15">
        <v>0.623</v>
      </c>
      <c r="AG92" s="15">
        <v>0.53</v>
      </c>
      <c r="AH92" s="15">
        <v>0.159</v>
      </c>
      <c r="AI92" s="15">
        <v>0.434</v>
      </c>
      <c r="AJ92" s="9">
        <v>0.76900000000000002</v>
      </c>
      <c r="AK92" s="4">
        <v>9.0999999999999998E-2</v>
      </c>
      <c r="AL92" s="4">
        <v>-0.81499999999999995</v>
      </c>
      <c r="AM92" s="4">
        <v>0.14000000000000001</v>
      </c>
      <c r="AN92" s="4">
        <v>0.125</v>
      </c>
      <c r="AO92" s="4">
        <v>0.14299999999999999</v>
      </c>
      <c r="AP92" s="4">
        <v>7.6999999999999999E-2</v>
      </c>
      <c r="AQ92" s="4">
        <v>0.77200000000000002</v>
      </c>
      <c r="AR92" s="4">
        <v>-0.68799999999999994</v>
      </c>
      <c r="AS92" s="4">
        <v>-8.0000000000000002E-3</v>
      </c>
      <c r="AT92" s="4">
        <v>0.13300000000000001</v>
      </c>
      <c r="AU92" s="4">
        <v>-5.7000000000000002E-2</v>
      </c>
      <c r="AV92" s="4">
        <v>0.70299999999999996</v>
      </c>
      <c r="AW92" s="4">
        <v>-0.92800000000000005</v>
      </c>
      <c r="AX92" s="4">
        <v>-0.48099999999999998</v>
      </c>
      <c r="AY92" s="4">
        <v>0.72799999999999998</v>
      </c>
      <c r="AZ92" s="4">
        <v>0.39700000000000002</v>
      </c>
      <c r="BA92" s="4">
        <v>0.78300000000000003</v>
      </c>
      <c r="BB92" s="4">
        <v>0.151</v>
      </c>
      <c r="BC92" s="4">
        <v>-0.182</v>
      </c>
      <c r="BD92" s="4">
        <v>0.41599999999999998</v>
      </c>
      <c r="BE92" s="4">
        <v>3.7999999999999999E-2</v>
      </c>
      <c r="BF92" s="4">
        <v>-0.47199999999999998</v>
      </c>
      <c r="BG92" s="4">
        <v>7.9000000000000001E-2</v>
      </c>
      <c r="BH92" s="4">
        <v>-0.214</v>
      </c>
      <c r="BI92" s="4">
        <v>0.54700000000000004</v>
      </c>
      <c r="BJ92" s="4">
        <v>-0.67</v>
      </c>
      <c r="BK92" s="4">
        <v>0.51400000000000001</v>
      </c>
    </row>
    <row r="93" spans="1:63" x14ac:dyDescent="0.3">
      <c r="A93" t="s">
        <v>158</v>
      </c>
      <c r="B93" s="53">
        <v>0.02</v>
      </c>
      <c r="C93" s="53">
        <f t="shared" si="10"/>
        <v>1.3000000000000001E-2</v>
      </c>
      <c r="D93" s="53">
        <f t="shared" si="11"/>
        <v>-2.9999999999999992E-3</v>
      </c>
      <c r="E93" s="53">
        <v>7.0000000000000001E-3</v>
      </c>
      <c r="F93" s="15">
        <v>0.98099999999999998</v>
      </c>
      <c r="G93">
        <v>1.4790000000000001</v>
      </c>
      <c r="H93" t="s">
        <v>71</v>
      </c>
      <c r="I93" t="str">
        <f>VLOOKUP(A93,Planilha6!$BL$9:$BN$222,2,0)</f>
        <v>food</v>
      </c>
      <c r="J93" t="str">
        <f>VLOOKUP(A93,Planilha6!$BL$9:$BN$222,3,0)</f>
        <v>very_low_beta</v>
      </c>
      <c r="K93" s="2">
        <v>2.3E-2</v>
      </c>
      <c r="L93" s="2">
        <v>1.6E-2</v>
      </c>
      <c r="M93" s="29">
        <v>7.0000000000000001E-3</v>
      </c>
      <c r="N93" s="47">
        <f>VLOOKUP(A93,'Mandato ISEE'!$A$1:$C$215,2,0)</f>
        <v>0</v>
      </c>
      <c r="O93" s="48">
        <f t="shared" si="12"/>
        <v>2.3E-2</v>
      </c>
      <c r="P93" s="47">
        <f>VLOOKUP(A93,'Mandato ISEE'!$A$1:$C$215,3,0)</f>
        <v>0</v>
      </c>
      <c r="Q93" s="48">
        <f t="shared" si="13"/>
        <v>2.3E-2</v>
      </c>
      <c r="R93" s="15">
        <v>-0.68400000000000005</v>
      </c>
      <c r="S93" s="15">
        <v>-0.14199999999999999</v>
      </c>
      <c r="T93" s="15">
        <v>-0.80900000000000005</v>
      </c>
      <c r="U93" s="15">
        <v>-0.41599999999999998</v>
      </c>
      <c r="V93" s="15">
        <v>-0.34</v>
      </c>
      <c r="W93" s="15">
        <v>-0.10199999999999999</v>
      </c>
      <c r="X93" s="15">
        <v>9.0999999999999998E-2</v>
      </c>
      <c r="Y93" s="15">
        <v>2.7E-2</v>
      </c>
      <c r="Z93" s="15">
        <v>0.85099999999999998</v>
      </c>
      <c r="AA93" s="15">
        <v>0.85299999999999998</v>
      </c>
      <c r="AB93" s="15">
        <v>0.57499999999999996</v>
      </c>
      <c r="AC93" s="15">
        <v>0.61399999999999999</v>
      </c>
      <c r="AD93" s="15">
        <v>0.65700000000000003</v>
      </c>
      <c r="AE93" s="14">
        <v>-0.24299999999999999</v>
      </c>
      <c r="AF93" s="15">
        <v>-0.78800000000000003</v>
      </c>
      <c r="AG93" s="15">
        <v>0.27900000000000003</v>
      </c>
      <c r="AH93" s="15">
        <v>-0.68500000000000005</v>
      </c>
      <c r="AI93" s="15">
        <v>3.2000000000000001E-2</v>
      </c>
      <c r="AJ93" s="9">
        <v>-0.85199999999999998</v>
      </c>
      <c r="AK93" s="4">
        <v>-0.24199999999999999</v>
      </c>
      <c r="AL93" s="4">
        <v>-0.125</v>
      </c>
      <c r="AM93" s="4">
        <v>-0.55900000000000005</v>
      </c>
      <c r="AN93" s="4">
        <v>2.1000000000000001E-2</v>
      </c>
      <c r="AO93" s="4">
        <v>0.47</v>
      </c>
      <c r="AP93" s="4">
        <v>0.79</v>
      </c>
      <c r="AQ93" s="4">
        <v>-0.23599999999999999</v>
      </c>
      <c r="AR93" s="4">
        <v>4.9000000000000002E-2</v>
      </c>
      <c r="AS93" s="4">
        <v>2.5000000000000001E-2</v>
      </c>
      <c r="AT93" s="4">
        <v>7.6999999999999999E-2</v>
      </c>
      <c r="AU93" s="4">
        <v>-3.3000000000000002E-2</v>
      </c>
      <c r="AV93" s="4">
        <v>9.6000000000000002E-2</v>
      </c>
      <c r="AW93" s="4">
        <v>1</v>
      </c>
      <c r="AX93" s="4">
        <v>-0.13400000000000001</v>
      </c>
      <c r="AY93" s="4">
        <v>0.59899999999999998</v>
      </c>
      <c r="AZ93" s="4">
        <v>-0.496</v>
      </c>
      <c r="BA93" s="4">
        <v>-0.28499999999999998</v>
      </c>
      <c r="BB93" s="4">
        <v>-0.63900000000000001</v>
      </c>
      <c r="BC93" s="4">
        <v>-0.748</v>
      </c>
      <c r="BD93" s="4">
        <v>-0.27100000000000002</v>
      </c>
      <c r="BE93" s="4">
        <v>0.34399999999999997</v>
      </c>
      <c r="BF93" s="4">
        <v>1</v>
      </c>
      <c r="BG93" s="4">
        <v>0.82699999999999996</v>
      </c>
      <c r="BH93" s="4">
        <v>-0.31</v>
      </c>
      <c r="BI93" s="4">
        <v>-0.88400000000000001</v>
      </c>
      <c r="BJ93" s="4">
        <v>8.3000000000000004E-2</v>
      </c>
      <c r="BK93" s="4">
        <v>-8.5000000000000006E-2</v>
      </c>
    </row>
    <row r="94" spans="1:63" x14ac:dyDescent="0.3">
      <c r="A94" t="s">
        <v>78</v>
      </c>
      <c r="B94" s="53">
        <f t="shared" si="9"/>
        <v>0</v>
      </c>
      <c r="C94" s="53">
        <f t="shared" si="10"/>
        <v>0</v>
      </c>
      <c r="D94" s="53">
        <f t="shared" si="11"/>
        <v>0</v>
      </c>
      <c r="E94" s="53">
        <v>0</v>
      </c>
      <c r="F94" s="15">
        <v>0.97099999999999997</v>
      </c>
      <c r="G94">
        <v>1.071</v>
      </c>
      <c r="H94" t="s">
        <v>57</v>
      </c>
      <c r="I94" t="str">
        <f>VLOOKUP(A94,Planilha6!$BL$9:$BN$222,2,0)</f>
        <v>transportation</v>
      </c>
      <c r="J94" t="str">
        <f>VLOOKUP(A94,Planilha6!$BL$9:$BN$222,3,0)</f>
        <v>neutral_beta</v>
      </c>
      <c r="K94" s="2">
        <v>0</v>
      </c>
      <c r="L94" s="2">
        <v>0</v>
      </c>
      <c r="M94" s="29">
        <v>0</v>
      </c>
      <c r="N94" s="47">
        <f>VLOOKUP(A94,'Mandato ISEE'!$A$1:$C$215,2,0)</f>
        <v>0</v>
      </c>
      <c r="O94" s="48">
        <f t="shared" si="12"/>
        <v>0</v>
      </c>
      <c r="P94" s="47">
        <f>VLOOKUP(A94,'Mandato ISEE'!$A$1:$C$215,3,0)</f>
        <v>0</v>
      </c>
      <c r="Q94" s="48">
        <f t="shared" si="13"/>
        <v>0</v>
      </c>
      <c r="R94" s="15">
        <v>-0.33900000000000002</v>
      </c>
      <c r="S94" s="15">
        <v>-0.29499999999999998</v>
      </c>
      <c r="T94" s="15">
        <v>-7.6999999999999999E-2</v>
      </c>
      <c r="U94" s="15">
        <v>-0.373</v>
      </c>
      <c r="V94" s="15">
        <v>-0.17599999999999999</v>
      </c>
      <c r="W94" s="15">
        <v>-0.20599999999999999</v>
      </c>
      <c r="X94" s="15">
        <v>-7.4999999999999997E-2</v>
      </c>
      <c r="Y94" s="15">
        <v>0.09</v>
      </c>
      <c r="Z94" s="15">
        <v>0.26200000000000001</v>
      </c>
      <c r="AA94" s="15">
        <v>0.26900000000000002</v>
      </c>
      <c r="AB94" s="15">
        <v>0.65800000000000003</v>
      </c>
      <c r="AC94" s="15">
        <v>0.58899999999999997</v>
      </c>
      <c r="AD94" s="15">
        <v>0.41099999999999998</v>
      </c>
      <c r="AE94" s="14">
        <v>2.4E-2</v>
      </c>
      <c r="AF94" s="15">
        <v>-0.19</v>
      </c>
      <c r="AG94" s="15">
        <v>-0.85399999999999998</v>
      </c>
      <c r="AH94" s="15">
        <v>-9.8000000000000004E-2</v>
      </c>
      <c r="AI94" s="15">
        <v>-0.46200000000000002</v>
      </c>
      <c r="AJ94" s="9">
        <v>0.98399999999999999</v>
      </c>
      <c r="AK94" s="4">
        <v>-0.159</v>
      </c>
      <c r="AL94" s="4">
        <v>0.318</v>
      </c>
      <c r="AM94" s="4">
        <v>-0.874</v>
      </c>
      <c r="AN94" s="4">
        <v>0.14099999999999999</v>
      </c>
      <c r="AO94" s="4">
        <v>-0.16900000000000001</v>
      </c>
      <c r="AP94" s="4">
        <v>-0.34799999999999998</v>
      </c>
      <c r="AQ94" s="4">
        <v>0.26600000000000001</v>
      </c>
      <c r="AR94" s="4">
        <v>-0.161</v>
      </c>
      <c r="AS94" s="4">
        <v>-0.96599999999999997</v>
      </c>
      <c r="AT94" s="4">
        <v>0.90900000000000003</v>
      </c>
      <c r="AU94" s="4">
        <v>-0.28000000000000003</v>
      </c>
      <c r="AV94" s="4">
        <v>4.2000000000000003E-2</v>
      </c>
      <c r="AW94" s="4">
        <v>0.38100000000000001</v>
      </c>
      <c r="AX94" s="4">
        <v>7.4999999999999997E-2</v>
      </c>
      <c r="AY94" s="4">
        <v>0.90700000000000003</v>
      </c>
      <c r="AZ94" s="4">
        <v>0.47299999999999998</v>
      </c>
      <c r="BA94" s="4">
        <v>0.35799999999999998</v>
      </c>
      <c r="BB94" s="4">
        <v>-0.09</v>
      </c>
      <c r="BC94" s="4">
        <v>-0.42</v>
      </c>
      <c r="BD94" s="4">
        <v>4.8000000000000001E-2</v>
      </c>
      <c r="BE94" s="4">
        <v>-3.9E-2</v>
      </c>
      <c r="BF94" s="4">
        <v>0.38</v>
      </c>
      <c r="BG94" s="4">
        <v>0.34899999999999998</v>
      </c>
      <c r="BH94" s="4">
        <v>-0.59899999999999998</v>
      </c>
      <c r="BI94" s="4">
        <v>0.27</v>
      </c>
      <c r="BJ94" s="4">
        <v>0.34499999999999997</v>
      </c>
      <c r="BK94" s="4">
        <v>0.59399999999999997</v>
      </c>
    </row>
    <row r="95" spans="1:63" x14ac:dyDescent="0.3">
      <c r="A95" t="s">
        <v>142</v>
      </c>
      <c r="B95" s="53">
        <v>1.4999999999999999E-2</v>
      </c>
      <c r="C95" s="53">
        <f t="shared" si="10"/>
        <v>1.2E-2</v>
      </c>
      <c r="D95" s="53">
        <f t="shared" si="11"/>
        <v>-2.9999999999999992E-3</v>
      </c>
      <c r="E95" s="53">
        <v>3.0000000000000001E-3</v>
      </c>
      <c r="F95" s="15">
        <v>0.96699999999999997</v>
      </c>
      <c r="G95">
        <v>0.89700000000000002</v>
      </c>
      <c r="H95" t="s">
        <v>53</v>
      </c>
      <c r="I95" t="str">
        <f>VLOOKUP(A95,Planilha6!$BL$9:$BN$222,2,0)</f>
        <v>consumer_staples</v>
      </c>
      <c r="J95" t="str">
        <f>VLOOKUP(A95,Planilha6!$BL$9:$BN$222,3,0)</f>
        <v>low_beta</v>
      </c>
      <c r="K95" s="2">
        <v>1.7999999999999999E-2</v>
      </c>
      <c r="L95" s="2">
        <v>1.4999999999999999E-2</v>
      </c>
      <c r="M95" s="29">
        <v>3.0000000000000001E-3</v>
      </c>
      <c r="N95" s="47">
        <f>VLOOKUP(A95,'Mandato ISEE'!$A$1:$C$215,2,0)</f>
        <v>0</v>
      </c>
      <c r="O95" s="48">
        <f t="shared" si="12"/>
        <v>1.7999999999999999E-2</v>
      </c>
      <c r="P95" s="47">
        <f>VLOOKUP(A95,'Mandato ISEE'!$A$1:$C$215,3,0)</f>
        <v>0</v>
      </c>
      <c r="Q95" s="48">
        <f t="shared" si="13"/>
        <v>1.7999999999999999E-2</v>
      </c>
      <c r="R95" s="15">
        <v>-9.5000000000000001E-2</v>
      </c>
      <c r="S95" s="15">
        <v>-0.27600000000000002</v>
      </c>
      <c r="T95" s="15">
        <v>-0.106</v>
      </c>
      <c r="U95" s="15">
        <v>-0.248</v>
      </c>
      <c r="V95" s="15">
        <v>-0.20799999999999999</v>
      </c>
      <c r="W95" s="15">
        <v>-8.0000000000000002E-3</v>
      </c>
      <c r="X95" s="15">
        <v>0.105</v>
      </c>
      <c r="Y95" s="15">
        <v>-0.28999999999999998</v>
      </c>
      <c r="Z95" s="15">
        <v>0.27700000000000002</v>
      </c>
      <c r="AA95" s="15">
        <v>0.28100000000000003</v>
      </c>
      <c r="AB95" s="15">
        <v>0.65100000000000002</v>
      </c>
      <c r="AC95" s="15">
        <v>0.49399999999999999</v>
      </c>
      <c r="AD95" s="15">
        <v>0.45400000000000001</v>
      </c>
      <c r="AE95" s="14">
        <v>0.36799999999999999</v>
      </c>
      <c r="AF95" s="15">
        <v>-4.8000000000000001E-2</v>
      </c>
      <c r="AG95" s="15">
        <v>-0.88500000000000001</v>
      </c>
      <c r="AH95" s="15">
        <v>-0.59799999999999998</v>
      </c>
      <c r="AI95" s="15">
        <v>-0.92500000000000004</v>
      </c>
      <c r="AJ95" s="9">
        <v>0.11899999999999999</v>
      </c>
      <c r="AK95" s="4">
        <v>-0.11799999999999999</v>
      </c>
      <c r="AL95" s="4">
        <v>-0.53900000000000003</v>
      </c>
      <c r="AM95" s="4">
        <v>-0.27500000000000002</v>
      </c>
      <c r="AN95" s="4">
        <v>0.36899999999999999</v>
      </c>
      <c r="AO95" s="4">
        <v>-0.623</v>
      </c>
      <c r="AP95" s="4">
        <v>-0.45800000000000002</v>
      </c>
      <c r="AQ95" s="4">
        <v>0.42599999999999999</v>
      </c>
      <c r="AR95" s="4">
        <v>2.1000000000000001E-2</v>
      </c>
      <c r="AS95" s="4">
        <v>0.22800000000000001</v>
      </c>
      <c r="AT95" s="4">
        <v>0.25</v>
      </c>
      <c r="AU95" s="4">
        <v>-0.28199999999999997</v>
      </c>
      <c r="AV95" s="4">
        <v>0.52800000000000002</v>
      </c>
      <c r="AW95" s="4">
        <v>0.60599999999999998</v>
      </c>
      <c r="AX95" s="4">
        <v>0.24</v>
      </c>
      <c r="AY95" s="4">
        <v>0.91200000000000003</v>
      </c>
      <c r="AZ95" s="4">
        <v>0.55700000000000005</v>
      </c>
      <c r="BA95" s="4">
        <v>0.58899999999999997</v>
      </c>
      <c r="BB95" s="4">
        <v>0.14799999999999999</v>
      </c>
      <c r="BC95" s="4">
        <v>1.6E-2</v>
      </c>
      <c r="BD95" s="4">
        <v>0.53100000000000003</v>
      </c>
      <c r="BE95" s="4">
        <v>0.03</v>
      </c>
      <c r="BF95" s="4">
        <v>-0.77300000000000002</v>
      </c>
      <c r="BG95" s="4">
        <v>0.67</v>
      </c>
      <c r="BH95" s="4">
        <v>-0.11899999999999999</v>
      </c>
      <c r="BI95" s="4">
        <v>-0.17699999999999999</v>
      </c>
      <c r="BJ95" s="4">
        <v>0.45500000000000002</v>
      </c>
      <c r="BK95" s="4">
        <v>4.5999999999999999E-2</v>
      </c>
    </row>
    <row r="96" spans="1:63" x14ac:dyDescent="0.3">
      <c r="A96" t="s">
        <v>134</v>
      </c>
      <c r="B96" s="53">
        <v>4.2000000000000003E-2</v>
      </c>
      <c r="C96" s="53">
        <f t="shared" si="10"/>
        <v>1.8000000000000002E-2</v>
      </c>
      <c r="D96" s="53">
        <f t="shared" si="11"/>
        <v>-3.9999999999999966E-3</v>
      </c>
      <c r="E96" s="53">
        <v>2.4E-2</v>
      </c>
      <c r="F96" s="15">
        <v>0.96199999999999997</v>
      </c>
      <c r="G96">
        <v>1.958</v>
      </c>
      <c r="H96" t="s">
        <v>57</v>
      </c>
      <c r="I96" t="str">
        <f>VLOOKUP(A96,Planilha6!$BL$9:$BN$222,2,0)</f>
        <v>banks</v>
      </c>
      <c r="J96" t="str">
        <f>VLOOKUP(A96,Planilha6!$BL$9:$BN$222,3,0)</f>
        <v>neutral_beta</v>
      </c>
      <c r="K96" s="2">
        <v>4.5999999999999999E-2</v>
      </c>
      <c r="L96" s="2">
        <v>2.1999999999999999E-2</v>
      </c>
      <c r="M96" s="29">
        <v>2.4E-2</v>
      </c>
      <c r="N96" s="47">
        <f>VLOOKUP(A96,'Mandato ISEE'!$A$1:$C$215,2,0)</f>
        <v>0</v>
      </c>
      <c r="O96" s="48">
        <f t="shared" si="12"/>
        <v>4.5999999999999999E-2</v>
      </c>
      <c r="P96" s="47">
        <f>VLOOKUP(A96,'Mandato ISEE'!$A$1:$C$215,3,0)</f>
        <v>3.9488618172292898E-2</v>
      </c>
      <c r="Q96" s="48">
        <f t="shared" si="13"/>
        <v>6.5113818277071009E-3</v>
      </c>
      <c r="R96" s="15">
        <v>-0.58199999999999996</v>
      </c>
      <c r="S96" s="15">
        <v>-6.5000000000000002E-2</v>
      </c>
      <c r="T96" s="15">
        <v>-0.80600000000000005</v>
      </c>
      <c r="U96" s="15">
        <v>-0.40200000000000002</v>
      </c>
      <c r="V96" s="15">
        <v>-0.33900000000000002</v>
      </c>
      <c r="W96" s="15">
        <v>-0.24099999999999999</v>
      </c>
      <c r="X96" s="15">
        <v>-6.6000000000000003E-2</v>
      </c>
      <c r="Y96" s="15">
        <v>-3.7999999999999999E-2</v>
      </c>
      <c r="Z96" s="15">
        <v>0.78400000000000003</v>
      </c>
      <c r="AA96" s="15">
        <v>0.78900000000000003</v>
      </c>
      <c r="AB96" s="15">
        <v>0.69899999999999995</v>
      </c>
      <c r="AC96" s="15">
        <v>0.81100000000000005</v>
      </c>
      <c r="AD96" s="15">
        <v>0.629</v>
      </c>
      <c r="AE96" s="14">
        <v>-0.62</v>
      </c>
      <c r="AF96" s="15">
        <v>-0.17499999999999999</v>
      </c>
      <c r="AG96" s="15">
        <v>0.35899999999999999</v>
      </c>
      <c r="AH96" s="15">
        <v>-0.93200000000000005</v>
      </c>
      <c r="AI96" s="15">
        <v>-0.878</v>
      </c>
      <c r="AJ96" s="9">
        <v>-1</v>
      </c>
      <c r="AK96" s="4">
        <v>-0.154</v>
      </c>
      <c r="AL96" s="4">
        <v>9.8000000000000004E-2</v>
      </c>
      <c r="AM96" s="4">
        <v>-5.3999999999999999E-2</v>
      </c>
      <c r="AN96" s="4">
        <v>-1.0999999999999999E-2</v>
      </c>
      <c r="AO96" s="4">
        <v>0.154</v>
      </c>
      <c r="AP96" s="4">
        <v>0.314</v>
      </c>
      <c r="AQ96" s="4">
        <v>5.7000000000000002E-2</v>
      </c>
      <c r="AR96" s="4">
        <v>0.27600000000000002</v>
      </c>
      <c r="AS96" s="4">
        <v>0.77500000000000002</v>
      </c>
      <c r="AT96" s="4">
        <v>-4.2000000000000003E-2</v>
      </c>
      <c r="AU96" s="4">
        <v>-0.115</v>
      </c>
      <c r="AV96" s="4">
        <v>-0.33500000000000002</v>
      </c>
      <c r="AW96" s="4">
        <v>0.23100000000000001</v>
      </c>
      <c r="AX96" s="4">
        <v>-0.33700000000000002</v>
      </c>
      <c r="AY96" s="4">
        <v>0.84</v>
      </c>
      <c r="AZ96" s="4">
        <v>0.35499999999999998</v>
      </c>
      <c r="BA96" s="4">
        <v>-0.39</v>
      </c>
      <c r="BB96" s="4">
        <v>-0.20699999999999999</v>
      </c>
      <c r="BC96" s="4">
        <v>-0.2</v>
      </c>
      <c r="BD96" s="4">
        <v>0.36899999999999999</v>
      </c>
      <c r="BE96" s="4">
        <v>-0.11700000000000001</v>
      </c>
      <c r="BF96" s="4">
        <v>-0.56999999999999995</v>
      </c>
      <c r="BG96" s="4">
        <v>0.72099999999999997</v>
      </c>
      <c r="BH96" s="4">
        <v>-0.42899999999999999</v>
      </c>
      <c r="BI96" s="4">
        <v>0.04</v>
      </c>
      <c r="BJ96" s="4">
        <v>-0.25900000000000001</v>
      </c>
      <c r="BK96" s="4">
        <v>-0.754</v>
      </c>
    </row>
    <row r="97" spans="1:63" x14ac:dyDescent="0.3">
      <c r="A97" t="s">
        <v>107</v>
      </c>
      <c r="B97" s="53">
        <f t="shared" si="9"/>
        <v>0</v>
      </c>
      <c r="C97" s="53">
        <f t="shared" si="10"/>
        <v>0</v>
      </c>
      <c r="D97" s="53">
        <f t="shared" si="11"/>
        <v>0</v>
      </c>
      <c r="E97" s="53">
        <v>0</v>
      </c>
      <c r="F97" s="15">
        <v>0.95599999999999996</v>
      </c>
      <c r="G97">
        <v>1.1919999999999999</v>
      </c>
      <c r="H97" t="s">
        <v>53</v>
      </c>
      <c r="I97" t="str">
        <f>VLOOKUP(A97,Planilha6!$BL$9:$BN$222,2,0)</f>
        <v>float_financials</v>
      </c>
      <c r="J97" t="str">
        <f>VLOOKUP(A97,Planilha6!$BL$9:$BN$222,3,0)</f>
        <v>very_low_beta</v>
      </c>
      <c r="K97" s="2">
        <v>0</v>
      </c>
      <c r="L97" s="2">
        <v>0</v>
      </c>
      <c r="M97" s="29">
        <v>0</v>
      </c>
      <c r="N97" s="47">
        <f>VLOOKUP(A97,'Mandato ISEE'!$A$1:$C$215,2,0)</f>
        <v>0</v>
      </c>
      <c r="O97" s="48">
        <f t="shared" si="12"/>
        <v>0</v>
      </c>
      <c r="P97" s="47">
        <f>VLOOKUP(A97,'Mandato ISEE'!$A$1:$C$215,3,0)</f>
        <v>0</v>
      </c>
      <c r="Q97" s="48">
        <f t="shared" si="13"/>
        <v>0</v>
      </c>
      <c r="R97" s="15">
        <v>-0.69</v>
      </c>
      <c r="S97" s="15">
        <v>-0.17299999999999999</v>
      </c>
      <c r="T97" s="15">
        <v>-0.86699999999999999</v>
      </c>
      <c r="U97" s="15">
        <v>-0.252</v>
      </c>
      <c r="V97" s="15">
        <v>-0.30599999999999999</v>
      </c>
      <c r="W97" s="15">
        <v>-0.192</v>
      </c>
      <c r="X97" s="15">
        <v>0.33700000000000002</v>
      </c>
      <c r="Y97" s="15">
        <v>8.8999999999999996E-2</v>
      </c>
      <c r="Z97" s="15">
        <v>0.49199999999999999</v>
      </c>
      <c r="AA97" s="15">
        <v>0.5</v>
      </c>
      <c r="AB97" s="15">
        <v>0.70799999999999996</v>
      </c>
      <c r="AC97" s="15">
        <v>0.86299999999999999</v>
      </c>
      <c r="AD97" s="15">
        <v>0.54600000000000004</v>
      </c>
      <c r="AE97" s="14">
        <v>-0.193</v>
      </c>
      <c r="AF97" s="15">
        <v>-0.14000000000000001</v>
      </c>
      <c r="AG97" s="15">
        <v>0.23400000000000001</v>
      </c>
      <c r="AH97" s="15">
        <v>-0.91400000000000003</v>
      </c>
      <c r="AI97" s="15">
        <v>-0.57999999999999996</v>
      </c>
      <c r="AJ97" s="9">
        <v>-0.54900000000000004</v>
      </c>
      <c r="AK97" s="4">
        <v>-0.312</v>
      </c>
      <c r="AL97" s="4">
        <v>9.2999999999999999E-2</v>
      </c>
      <c r="AM97" s="4">
        <v>-0.872</v>
      </c>
      <c r="AN97" s="4">
        <v>-0.20100000000000001</v>
      </c>
      <c r="AO97" s="4">
        <v>0.52600000000000002</v>
      </c>
      <c r="AP97" s="4">
        <v>0.61499999999999999</v>
      </c>
      <c r="AQ97" s="4">
        <v>0.11899999999999999</v>
      </c>
      <c r="AR97" s="4">
        <v>1.0999999999999999E-2</v>
      </c>
      <c r="AS97" s="4">
        <v>-0.32100000000000001</v>
      </c>
      <c r="AT97" s="4">
        <v>0.29099999999999998</v>
      </c>
      <c r="AU97" s="4">
        <v>0.33300000000000002</v>
      </c>
      <c r="AV97" s="4">
        <v>6.4000000000000001E-2</v>
      </c>
      <c r="AW97" s="4">
        <v>0.79400000000000004</v>
      </c>
      <c r="AX97" s="4">
        <v>3.4000000000000002E-2</v>
      </c>
      <c r="AY97" s="4">
        <v>0.88400000000000001</v>
      </c>
      <c r="AZ97" s="4">
        <v>-1</v>
      </c>
      <c r="BA97" s="4">
        <v>-3.5999999999999997E-2</v>
      </c>
      <c r="BB97" s="4">
        <v>-9.9000000000000005E-2</v>
      </c>
      <c r="BC97" s="4">
        <v>-0.223</v>
      </c>
      <c r="BD97" s="4">
        <v>-0.85899999999999999</v>
      </c>
      <c r="BE97" s="4">
        <v>0.24099999999999999</v>
      </c>
      <c r="BF97" s="4">
        <v>0.38900000000000001</v>
      </c>
      <c r="BG97" s="4">
        <v>0.73699999999999999</v>
      </c>
      <c r="BH97" s="4">
        <v>-0.70599999999999996</v>
      </c>
      <c r="BI97" s="4">
        <v>-0.36299999999999999</v>
      </c>
      <c r="BJ97" s="4">
        <v>0.20100000000000001</v>
      </c>
      <c r="BK97" s="4">
        <v>-0.48099999999999998</v>
      </c>
    </row>
    <row r="98" spans="1:63" x14ac:dyDescent="0.3">
      <c r="A98" t="s">
        <v>152</v>
      </c>
      <c r="B98" s="53">
        <f t="shared" si="9"/>
        <v>0</v>
      </c>
      <c r="C98" s="53">
        <f t="shared" si="10"/>
        <v>0</v>
      </c>
      <c r="D98" s="53">
        <f t="shared" si="11"/>
        <v>0</v>
      </c>
      <c r="E98" s="53">
        <v>0</v>
      </c>
      <c r="F98" s="15">
        <v>0.95399999999999996</v>
      </c>
      <c r="G98">
        <v>0.72399999999999998</v>
      </c>
      <c r="H98" t="s">
        <v>57</v>
      </c>
      <c r="I98" t="str">
        <f>VLOOKUP(A98,Planilha6!$BL$9:$BN$222,2,0)</f>
        <v>homebuilders</v>
      </c>
      <c r="J98" t="str">
        <f>VLOOKUP(A98,Planilha6!$BL$9:$BN$222,3,0)</f>
        <v>neutral_beta</v>
      </c>
      <c r="K98" s="2">
        <v>0</v>
      </c>
      <c r="L98" s="2">
        <v>0</v>
      </c>
      <c r="M98" s="29">
        <v>0</v>
      </c>
      <c r="N98" s="47">
        <f>VLOOKUP(A98,'Mandato ISEE'!$A$1:$C$215,2,0)</f>
        <v>0</v>
      </c>
      <c r="O98" s="48">
        <f t="shared" si="12"/>
        <v>0</v>
      </c>
      <c r="P98" s="47">
        <f>VLOOKUP(A98,'Mandato ISEE'!$A$1:$C$215,3,0)</f>
        <v>0</v>
      </c>
      <c r="Q98" s="48">
        <f t="shared" si="13"/>
        <v>0</v>
      </c>
      <c r="R98" s="15">
        <v>0.20200000000000001</v>
      </c>
      <c r="S98" s="15">
        <v>2.4E-2</v>
      </c>
      <c r="T98" s="15">
        <v>-0.20300000000000001</v>
      </c>
      <c r="U98" s="15">
        <v>8.2000000000000003E-2</v>
      </c>
      <c r="V98" s="15">
        <v>-7.0999999999999994E-2</v>
      </c>
      <c r="W98" s="15">
        <v>-0.216</v>
      </c>
      <c r="X98" s="15">
        <v>-0.46100000000000002</v>
      </c>
      <c r="Y98" s="15">
        <v>-0.56200000000000006</v>
      </c>
      <c r="Z98" s="15">
        <v>0.219</v>
      </c>
      <c r="AA98" s="15">
        <v>0.218</v>
      </c>
      <c r="AB98" s="15">
        <v>0.77200000000000002</v>
      </c>
      <c r="AC98" s="15">
        <v>0.79300000000000004</v>
      </c>
      <c r="AD98" s="15">
        <v>0.51600000000000001</v>
      </c>
      <c r="AE98" s="14">
        <v>-7.1999999999999995E-2</v>
      </c>
      <c r="AF98" s="15">
        <v>0.15</v>
      </c>
      <c r="AG98" s="15">
        <v>3.5000000000000003E-2</v>
      </c>
      <c r="AH98" s="15">
        <v>-0.57099999999999995</v>
      </c>
      <c r="AI98" s="15">
        <v>0.71399999999999997</v>
      </c>
      <c r="AJ98" s="9">
        <v>-5.0000000000000001E-3</v>
      </c>
      <c r="AK98" s="4">
        <v>-0.16800000000000001</v>
      </c>
      <c r="AL98" s="4">
        <v>-0.77</v>
      </c>
      <c r="AM98" s="4">
        <v>-0.73299999999999998</v>
      </c>
      <c r="AN98" s="4">
        <v>0.42399999999999999</v>
      </c>
      <c r="AO98" s="4">
        <v>0.32200000000000001</v>
      </c>
      <c r="AP98" s="4">
        <v>0.83499999999999996</v>
      </c>
      <c r="AQ98" s="4">
        <v>0.81399999999999995</v>
      </c>
      <c r="AR98" s="4">
        <v>0.82899999999999996</v>
      </c>
      <c r="AS98" s="4">
        <v>0.39800000000000002</v>
      </c>
      <c r="AT98" s="4">
        <v>0.432</v>
      </c>
      <c r="AU98" s="4">
        <v>-0.192</v>
      </c>
      <c r="AV98" s="4">
        <v>0.45</v>
      </c>
      <c r="AW98" s="4">
        <v>-0.29099999999999998</v>
      </c>
      <c r="AX98" s="4">
        <v>3.5000000000000003E-2</v>
      </c>
      <c r="AY98" s="4">
        <v>-0.21299999999999999</v>
      </c>
      <c r="AZ98" s="4">
        <v>0.37</v>
      </c>
      <c r="BA98" s="4">
        <v>0.53800000000000003</v>
      </c>
      <c r="BB98" s="4">
        <v>-0.23599999999999999</v>
      </c>
      <c r="BC98" s="4">
        <v>-0.151</v>
      </c>
      <c r="BD98" s="4">
        <v>0.69399999999999995</v>
      </c>
      <c r="BE98" s="4">
        <v>-0.35499999999999998</v>
      </c>
      <c r="BF98" s="4">
        <v>-0.55200000000000005</v>
      </c>
      <c r="BG98" s="4">
        <v>-0.17100000000000001</v>
      </c>
      <c r="BH98" s="4">
        <v>-0.68799999999999994</v>
      </c>
      <c r="BI98" s="4">
        <v>0.34499999999999997</v>
      </c>
      <c r="BJ98" s="4">
        <v>-0.79200000000000004</v>
      </c>
      <c r="BK98" s="4">
        <v>1.2999999999999999E-2</v>
      </c>
    </row>
    <row r="99" spans="1:63" x14ac:dyDescent="0.3">
      <c r="A99" t="s">
        <v>132</v>
      </c>
      <c r="B99" s="53">
        <f t="shared" si="9"/>
        <v>0</v>
      </c>
      <c r="C99" s="53">
        <f t="shared" si="10"/>
        <v>0</v>
      </c>
      <c r="D99" s="53">
        <f t="shared" si="11"/>
        <v>0</v>
      </c>
      <c r="E99" s="53">
        <v>0</v>
      </c>
      <c r="F99" s="15">
        <v>0.93300000000000005</v>
      </c>
      <c r="G99">
        <v>0.75900000000000001</v>
      </c>
      <c r="H99" t="s">
        <v>53</v>
      </c>
      <c r="I99" t="str">
        <f>VLOOKUP(A99,Planilha6!$BL$9:$BN$222,2,0)</f>
        <v>healthcare</v>
      </c>
      <c r="J99" t="str">
        <f>VLOOKUP(A99,Planilha6!$BL$9:$BN$222,3,0)</f>
        <v>high_beta</v>
      </c>
      <c r="K99" s="2">
        <v>0</v>
      </c>
      <c r="L99" s="2">
        <v>0</v>
      </c>
      <c r="M99" s="29">
        <v>0</v>
      </c>
      <c r="N99" s="47">
        <f>VLOOKUP(A99,'Mandato ISEE'!$A$1:$C$215,2,0)</f>
        <v>0</v>
      </c>
      <c r="O99" s="48">
        <f t="shared" si="12"/>
        <v>0</v>
      </c>
      <c r="P99" s="47">
        <f>VLOOKUP(A99,'Mandato ISEE'!$A$1:$C$215,3,0)</f>
        <v>0</v>
      </c>
      <c r="Q99" s="48">
        <f t="shared" si="13"/>
        <v>0</v>
      </c>
      <c r="R99" s="15">
        <v>-0.318</v>
      </c>
      <c r="S99" s="15">
        <v>-0.20100000000000001</v>
      </c>
      <c r="T99" s="15">
        <v>-0.51800000000000002</v>
      </c>
      <c r="U99" s="15">
        <v>-0.26300000000000001</v>
      </c>
      <c r="V99" s="15">
        <v>-0.28100000000000003</v>
      </c>
      <c r="W99" s="15">
        <v>-0.25800000000000001</v>
      </c>
      <c r="X99" s="15">
        <v>-0.111</v>
      </c>
      <c r="Y99" s="15">
        <v>-0.29799999999999999</v>
      </c>
      <c r="Z99" s="15">
        <v>0.55900000000000005</v>
      </c>
      <c r="AA99" s="15">
        <v>0.55600000000000005</v>
      </c>
      <c r="AB99" s="15">
        <v>0.70499999999999996</v>
      </c>
      <c r="AC99" s="15">
        <v>0.71799999999999997</v>
      </c>
      <c r="AD99" s="15">
        <v>0.68200000000000005</v>
      </c>
      <c r="AE99" s="14">
        <v>-0.27800000000000002</v>
      </c>
      <c r="AF99" s="15">
        <v>-0.46</v>
      </c>
      <c r="AG99" s="15">
        <v>8.8999999999999996E-2</v>
      </c>
      <c r="AH99" s="15">
        <v>-0.55200000000000005</v>
      </c>
      <c r="AI99" s="15">
        <v>0.63300000000000001</v>
      </c>
      <c r="AJ99" s="9">
        <v>-0.54900000000000004</v>
      </c>
      <c r="AK99" s="4">
        <v>-0.253</v>
      </c>
      <c r="AL99" s="4">
        <v>-9.6000000000000002E-2</v>
      </c>
      <c r="AM99" s="4">
        <v>-0.443</v>
      </c>
      <c r="AN99" s="4">
        <v>-0.154</v>
      </c>
      <c r="AO99" s="4">
        <v>0.57799999999999996</v>
      </c>
      <c r="AP99" s="4">
        <v>-0.34300000000000003</v>
      </c>
      <c r="AQ99" s="4">
        <v>0.186</v>
      </c>
      <c r="AR99" s="4">
        <v>0.38800000000000001</v>
      </c>
      <c r="AS99" s="4">
        <v>0.17100000000000001</v>
      </c>
      <c r="AT99" s="4">
        <v>0.42499999999999999</v>
      </c>
      <c r="AU99" s="4">
        <v>-0.34</v>
      </c>
      <c r="AV99" s="4">
        <v>0.22</v>
      </c>
      <c r="AW99" s="4">
        <v>-0.13</v>
      </c>
      <c r="AX99" s="4">
        <v>-0.19</v>
      </c>
      <c r="AY99" s="4">
        <v>0.91300000000000003</v>
      </c>
      <c r="AZ99" s="4">
        <v>-0.38400000000000001</v>
      </c>
      <c r="BA99" s="4">
        <v>0.751</v>
      </c>
      <c r="BB99" s="4">
        <v>-0.28000000000000003</v>
      </c>
      <c r="BC99" s="4">
        <v>-0.41899999999999998</v>
      </c>
      <c r="BD99" s="4">
        <v>0.377</v>
      </c>
      <c r="BE99" s="4">
        <v>0.57499999999999996</v>
      </c>
      <c r="BF99" s="4">
        <v>-0.27500000000000002</v>
      </c>
      <c r="BG99" s="4">
        <v>0.63900000000000001</v>
      </c>
      <c r="BH99" s="4">
        <v>-0.45700000000000002</v>
      </c>
      <c r="BI99" s="4">
        <v>0.20200000000000001</v>
      </c>
      <c r="BJ99" s="4">
        <v>-7.6999999999999999E-2</v>
      </c>
      <c r="BK99" s="4">
        <v>0.186</v>
      </c>
    </row>
    <row r="100" spans="1:63" x14ac:dyDescent="0.3">
      <c r="A100" t="s">
        <v>172</v>
      </c>
      <c r="B100" s="53">
        <v>2.3E-2</v>
      </c>
      <c r="C100" s="53">
        <f t="shared" si="10"/>
        <v>0</v>
      </c>
      <c r="D100" s="53">
        <f t="shared" si="11"/>
        <v>-2.0000000000000018E-3</v>
      </c>
      <c r="E100" s="53">
        <v>2.3E-2</v>
      </c>
      <c r="F100" s="15">
        <v>0.92600000000000005</v>
      </c>
      <c r="G100">
        <v>1.833</v>
      </c>
      <c r="H100" t="s">
        <v>71</v>
      </c>
      <c r="I100" t="str">
        <f>VLOOKUP(A100,Planilha6!$BL$9:$BN$222,2,0)</f>
        <v>basic_materials</v>
      </c>
      <c r="J100" t="str">
        <f>VLOOKUP(A100,Planilha6!$BL$9:$BN$222,3,0)</f>
        <v>low_beta</v>
      </c>
      <c r="K100" s="2">
        <v>2.5000000000000001E-2</v>
      </c>
      <c r="L100" s="2">
        <v>3.0000000000000001E-3</v>
      </c>
      <c r="M100" s="29">
        <v>2.3E-2</v>
      </c>
      <c r="N100" s="47">
        <f>VLOOKUP(A100,'Mandato ISEE'!$A$1:$C$215,2,0)</f>
        <v>0</v>
      </c>
      <c r="O100" s="48">
        <f t="shared" si="12"/>
        <v>2.5000000000000001E-2</v>
      </c>
      <c r="P100" s="47">
        <f>VLOOKUP(A100,'Mandato ISEE'!$A$1:$C$215,3,0)</f>
        <v>0</v>
      </c>
      <c r="Q100" s="48">
        <f t="shared" si="13"/>
        <v>2.5000000000000001E-2</v>
      </c>
      <c r="R100" s="15">
        <v>-0.77100000000000002</v>
      </c>
      <c r="S100" s="15">
        <v>-0.21</v>
      </c>
      <c r="T100" s="15">
        <v>-0.91700000000000004</v>
      </c>
      <c r="U100" s="15">
        <v>-0.49399999999999999</v>
      </c>
      <c r="V100" s="15">
        <v>-0.45800000000000002</v>
      </c>
      <c r="W100" s="15">
        <v>-0.13200000000000001</v>
      </c>
      <c r="X100" s="15">
        <v>0.14699999999999999</v>
      </c>
      <c r="Y100" s="15">
        <v>0.12</v>
      </c>
      <c r="Z100" s="15">
        <v>0.83299999999999996</v>
      </c>
      <c r="AA100" s="15">
        <v>0.83599999999999997</v>
      </c>
      <c r="AB100" s="15">
        <v>0.65200000000000002</v>
      </c>
      <c r="AC100" s="15">
        <v>0.65</v>
      </c>
      <c r="AD100" s="15">
        <v>0.56599999999999995</v>
      </c>
      <c r="AE100" s="14">
        <v>-1E-3</v>
      </c>
      <c r="AF100" s="15">
        <v>-0.82899999999999996</v>
      </c>
      <c r="AG100" s="15">
        <v>0.10199999999999999</v>
      </c>
      <c r="AH100" s="15">
        <v>-0.754</v>
      </c>
      <c r="AI100" s="15">
        <v>-0.63300000000000001</v>
      </c>
      <c r="AJ100" s="9">
        <v>-0.97499999999999998</v>
      </c>
      <c r="AK100" s="4">
        <v>0.122</v>
      </c>
      <c r="AL100" s="4">
        <v>0.04</v>
      </c>
      <c r="AM100" s="4">
        <v>-0.42299999999999999</v>
      </c>
      <c r="AN100" s="4">
        <v>-5.8000000000000003E-2</v>
      </c>
      <c r="AO100" s="4">
        <v>0.44500000000000001</v>
      </c>
      <c r="AP100" s="4">
        <v>-1.4E-2</v>
      </c>
      <c r="AQ100" s="4">
        <v>-0.38700000000000001</v>
      </c>
      <c r="AR100" s="4">
        <v>-0.65300000000000002</v>
      </c>
      <c r="AS100" s="4">
        <v>-0.49</v>
      </c>
      <c r="AT100" s="4">
        <v>0.184</v>
      </c>
      <c r="AU100" s="4">
        <v>-7.0999999999999994E-2</v>
      </c>
      <c r="AV100" s="4">
        <v>1.7000000000000001E-2</v>
      </c>
      <c r="AW100" s="4">
        <v>0.95099999999999996</v>
      </c>
      <c r="AX100" s="4">
        <v>-0.34599999999999997</v>
      </c>
      <c r="AY100" s="4">
        <v>0.75800000000000001</v>
      </c>
      <c r="AZ100" s="4">
        <v>-0.437</v>
      </c>
      <c r="BA100" s="4">
        <v>-0.22800000000000001</v>
      </c>
      <c r="BB100" s="4">
        <v>9.2999999999999999E-2</v>
      </c>
      <c r="BC100" s="4">
        <v>-7.0000000000000007E-2</v>
      </c>
      <c r="BD100" s="4">
        <v>0.217</v>
      </c>
      <c r="BE100" s="4">
        <v>0.43</v>
      </c>
      <c r="BF100" s="4">
        <v>0.31900000000000001</v>
      </c>
      <c r="BG100" s="4">
        <v>0.96099999999999997</v>
      </c>
      <c r="BH100" s="4">
        <v>-0.33900000000000002</v>
      </c>
      <c r="BI100" s="4">
        <v>-0.55800000000000005</v>
      </c>
      <c r="BJ100" s="4">
        <v>-0.06</v>
      </c>
      <c r="BK100" s="4">
        <v>-0.29599999999999999</v>
      </c>
    </row>
    <row r="101" spans="1:63" x14ac:dyDescent="0.3">
      <c r="A101" t="s">
        <v>203</v>
      </c>
      <c r="B101" s="53">
        <v>2.5000000000000001E-2</v>
      </c>
      <c r="C101" s="53">
        <f t="shared" si="10"/>
        <v>1.2000000000000002E-2</v>
      </c>
      <c r="D101" s="53">
        <f t="shared" si="11"/>
        <v>-6.9999999999999993E-3</v>
      </c>
      <c r="E101" s="53">
        <v>1.2999999999999999E-2</v>
      </c>
      <c r="F101" s="15">
        <v>0.91</v>
      </c>
      <c r="G101">
        <v>1.282</v>
      </c>
      <c r="H101" t="s">
        <v>53</v>
      </c>
      <c r="I101" t="str">
        <f>VLOOKUP(A101,Planilha6!$BL$9:$BN$222,2,0)</f>
        <v>healthcare</v>
      </c>
      <c r="J101" t="str">
        <f>VLOOKUP(A101,Planilha6!$BL$9:$BN$222,3,0)</f>
        <v>low_beta</v>
      </c>
      <c r="K101" s="2">
        <v>3.2000000000000001E-2</v>
      </c>
      <c r="L101" s="2">
        <v>1.9E-2</v>
      </c>
      <c r="M101" s="29">
        <v>1.2999999999999999E-2</v>
      </c>
      <c r="N101" s="47">
        <f>VLOOKUP(A101,'Mandato ISEE'!$A$1:$C$215,2,0)</f>
        <v>0</v>
      </c>
      <c r="O101" s="48">
        <f t="shared" si="12"/>
        <v>3.2000000000000001E-2</v>
      </c>
      <c r="P101" s="47">
        <f>VLOOKUP(A101,'Mandato ISEE'!$A$1:$C$215,3,0)</f>
        <v>0</v>
      </c>
      <c r="Q101" s="48">
        <f t="shared" si="13"/>
        <v>3.2000000000000001E-2</v>
      </c>
      <c r="R101" s="15">
        <v>-0.35</v>
      </c>
      <c r="S101" s="15">
        <v>-0.14299999999999999</v>
      </c>
      <c r="T101" s="15">
        <v>-0.56799999999999995</v>
      </c>
      <c r="U101" s="15">
        <v>-0.41699999999999998</v>
      </c>
      <c r="V101" s="15">
        <v>-0.309</v>
      </c>
      <c r="W101" s="15">
        <v>-0.09</v>
      </c>
      <c r="X101" s="15">
        <v>0.20100000000000001</v>
      </c>
      <c r="Y101" s="15">
        <v>-0.11899999999999999</v>
      </c>
      <c r="Z101" s="15">
        <v>0.32700000000000001</v>
      </c>
      <c r="AA101" s="15">
        <v>0.32900000000000001</v>
      </c>
      <c r="AB101" s="15">
        <v>0.59</v>
      </c>
      <c r="AC101" s="15">
        <v>0.72699999999999998</v>
      </c>
      <c r="AD101" s="15">
        <v>0.44900000000000001</v>
      </c>
      <c r="AE101" s="14">
        <v>-9.8000000000000004E-2</v>
      </c>
      <c r="AF101" s="15">
        <v>-0.32200000000000001</v>
      </c>
      <c r="AG101" s="15">
        <v>-0.71599999999999997</v>
      </c>
      <c r="AH101" s="15">
        <v>-0.80300000000000005</v>
      </c>
      <c r="AI101" s="15">
        <v>-0.90600000000000003</v>
      </c>
      <c r="AJ101" s="9">
        <v>-0.80200000000000005</v>
      </c>
      <c r="AK101" s="4">
        <v>-0.22500000000000001</v>
      </c>
      <c r="AL101" s="4">
        <v>-0.33400000000000002</v>
      </c>
      <c r="AM101" s="4">
        <v>-0.49399999999999999</v>
      </c>
      <c r="AN101" s="4">
        <v>0.218</v>
      </c>
      <c r="AO101" s="4">
        <v>-0.16800000000000001</v>
      </c>
      <c r="AP101" s="4">
        <v>-0.19700000000000001</v>
      </c>
      <c r="AQ101" s="4">
        <v>-5.0000000000000001E-3</v>
      </c>
      <c r="AR101" s="4">
        <v>1</v>
      </c>
      <c r="AS101" s="4">
        <v>0.68400000000000005</v>
      </c>
      <c r="AT101" s="4">
        <v>0.14399999999999999</v>
      </c>
      <c r="AU101" s="4">
        <v>0.23599999999999999</v>
      </c>
      <c r="AV101" s="4">
        <v>0.27</v>
      </c>
      <c r="AW101" s="4">
        <v>0.38500000000000001</v>
      </c>
      <c r="AX101" s="4">
        <v>-0.56200000000000006</v>
      </c>
      <c r="AY101" s="4">
        <v>0.873</v>
      </c>
      <c r="AZ101" s="4">
        <v>0.77500000000000002</v>
      </c>
      <c r="BA101" s="4">
        <v>0.80600000000000005</v>
      </c>
      <c r="BB101" s="4">
        <v>4.7E-2</v>
      </c>
      <c r="BC101" s="4">
        <v>-0.25700000000000001</v>
      </c>
      <c r="BD101" s="4">
        <v>0.29499999999999998</v>
      </c>
      <c r="BE101" s="4">
        <v>-9.1999999999999998E-2</v>
      </c>
      <c r="BF101" s="4">
        <v>-0.127</v>
      </c>
      <c r="BG101" s="4">
        <v>0.63400000000000001</v>
      </c>
      <c r="BH101" s="4">
        <v>1.2E-2</v>
      </c>
      <c r="BI101" s="4">
        <v>-0.255</v>
      </c>
      <c r="BJ101" s="4">
        <v>1.9E-2</v>
      </c>
      <c r="BK101" s="4">
        <v>-0.374</v>
      </c>
    </row>
    <row r="102" spans="1:63" x14ac:dyDescent="0.3">
      <c r="A102" t="s">
        <v>210</v>
      </c>
      <c r="B102" s="53">
        <v>4.4999999999999998E-2</v>
      </c>
      <c r="C102" s="53">
        <f t="shared" si="10"/>
        <v>1.9999999999999997E-2</v>
      </c>
      <c r="D102" s="53">
        <f t="shared" si="11"/>
        <v>-8.0000000000000002E-3</v>
      </c>
      <c r="E102" s="53">
        <v>2.5000000000000001E-2</v>
      </c>
      <c r="F102" s="15">
        <v>0.89</v>
      </c>
      <c r="G102">
        <v>1.843</v>
      </c>
      <c r="H102" t="s">
        <v>55</v>
      </c>
      <c r="I102" t="str">
        <f>VLOOKUP(A102,Planilha6!$BL$9:$BN$222,2,0)</f>
        <v>utilities</v>
      </c>
      <c r="J102" t="str">
        <f>VLOOKUP(A102,Planilha6!$BL$9:$BN$222,3,0)</f>
        <v>high_beta</v>
      </c>
      <c r="K102" s="2">
        <v>5.2999999999999999E-2</v>
      </c>
      <c r="L102" s="2">
        <v>2.7E-2</v>
      </c>
      <c r="M102" s="29">
        <v>2.5000000000000001E-2</v>
      </c>
      <c r="N102" s="47">
        <f>VLOOKUP(A102,'Mandato ISEE'!$A$1:$C$215,2,0)</f>
        <v>0</v>
      </c>
      <c r="O102" s="48">
        <f t="shared" si="12"/>
        <v>5.2999999999999999E-2</v>
      </c>
      <c r="P102" s="47">
        <f>VLOOKUP(A102,'Mandato ISEE'!$A$1:$C$215,3,0)</f>
        <v>6.2238861662695197E-2</v>
      </c>
      <c r="Q102" s="48">
        <f t="shared" si="13"/>
        <v>-9.2388616626951983E-3</v>
      </c>
      <c r="R102" s="15">
        <v>-0.497</v>
      </c>
      <c r="S102" s="15">
        <v>0.19400000000000001</v>
      </c>
      <c r="T102" s="15">
        <v>-0.81200000000000006</v>
      </c>
      <c r="U102" s="15">
        <v>-0.40300000000000002</v>
      </c>
      <c r="V102" s="15">
        <v>-0.28000000000000003</v>
      </c>
      <c r="W102" s="15">
        <v>-0.161</v>
      </c>
      <c r="X102" s="15">
        <v>-5.3999999999999999E-2</v>
      </c>
      <c r="Y102" s="15">
        <v>-0.19900000000000001</v>
      </c>
      <c r="Z102" s="15">
        <v>0.48</v>
      </c>
      <c r="AA102" s="15">
        <v>0.48799999999999999</v>
      </c>
      <c r="AB102" s="15">
        <v>0.67600000000000005</v>
      </c>
      <c r="AC102" s="15">
        <v>0.83799999999999997</v>
      </c>
      <c r="AD102" s="15">
        <v>0.61699999999999999</v>
      </c>
      <c r="AE102" s="14">
        <v>-0.64500000000000002</v>
      </c>
      <c r="AF102" s="15">
        <v>-0.40200000000000002</v>
      </c>
      <c r="AG102" s="15">
        <v>0.441</v>
      </c>
      <c r="AH102" s="15">
        <v>-1</v>
      </c>
      <c r="AI102" s="15">
        <v>-0.621</v>
      </c>
      <c r="AJ102" s="9">
        <v>-1</v>
      </c>
      <c r="AK102" s="4">
        <v>-0.371</v>
      </c>
      <c r="AL102" s="4">
        <v>-0.56399999999999995</v>
      </c>
      <c r="AM102" s="4">
        <v>-0.56399999999999995</v>
      </c>
      <c r="AN102" s="4">
        <v>-0.38100000000000001</v>
      </c>
      <c r="AO102" s="4">
        <v>0.71699999999999997</v>
      </c>
      <c r="AP102" s="4">
        <v>0.78</v>
      </c>
      <c r="AQ102" s="4">
        <v>0.13900000000000001</v>
      </c>
      <c r="AR102" s="4">
        <v>1</v>
      </c>
      <c r="AS102" s="4">
        <v>0.31</v>
      </c>
      <c r="AT102" s="4">
        <v>-4.8000000000000001E-2</v>
      </c>
      <c r="AU102" s="4">
        <v>-3.0000000000000001E-3</v>
      </c>
      <c r="AV102" s="4">
        <v>-0.129</v>
      </c>
      <c r="AW102" s="4">
        <v>0.27100000000000002</v>
      </c>
      <c r="AX102" s="4">
        <v>-0.68400000000000005</v>
      </c>
      <c r="AY102" s="4">
        <v>0.74399999999999999</v>
      </c>
      <c r="AZ102" s="4">
        <v>0.64500000000000002</v>
      </c>
      <c r="BA102" s="4">
        <v>0.36399999999999999</v>
      </c>
      <c r="BB102" s="4">
        <v>0.12</v>
      </c>
      <c r="BC102" s="4">
        <v>-0.26100000000000001</v>
      </c>
      <c r="BD102" s="4">
        <v>0.628</v>
      </c>
      <c r="BE102" s="4">
        <v>-0.252</v>
      </c>
      <c r="BF102" s="4">
        <v>0.104</v>
      </c>
      <c r="BG102" s="4">
        <v>0.67200000000000004</v>
      </c>
      <c r="BH102" s="4">
        <v>-0.67800000000000005</v>
      </c>
      <c r="BI102" s="4">
        <v>8.5000000000000006E-2</v>
      </c>
      <c r="BJ102" s="4">
        <v>-0.28399999999999997</v>
      </c>
      <c r="BK102" s="4">
        <v>-1</v>
      </c>
    </row>
    <row r="103" spans="1:63" x14ac:dyDescent="0.3">
      <c r="A103" t="s">
        <v>117</v>
      </c>
      <c r="B103" s="53">
        <v>2.7E-2</v>
      </c>
      <c r="C103" s="53">
        <f t="shared" si="10"/>
        <v>9.0000000000000011E-3</v>
      </c>
      <c r="D103" s="53">
        <f t="shared" si="11"/>
        <v>-5.000000000000001E-3</v>
      </c>
      <c r="E103" s="53">
        <v>1.7999999999999999E-2</v>
      </c>
      <c r="F103" s="15">
        <v>0.872</v>
      </c>
      <c r="G103">
        <v>1.6659999999999999</v>
      </c>
      <c r="H103" t="s">
        <v>55</v>
      </c>
      <c r="I103" t="str">
        <f>VLOOKUP(A103,Planilha6!$BL$9:$BN$222,2,0)</f>
        <v>utilities</v>
      </c>
      <c r="J103" t="str">
        <f>VLOOKUP(A103,Planilha6!$BL$9:$BN$222,3,0)</f>
        <v>low_beta</v>
      </c>
      <c r="K103" s="2">
        <v>3.2000000000000001E-2</v>
      </c>
      <c r="L103" s="2">
        <v>1.4E-2</v>
      </c>
      <c r="M103" s="29">
        <v>1.7999999999999999E-2</v>
      </c>
      <c r="N103" s="47">
        <f>VLOOKUP(A103,'Mandato ISEE'!$A$1:$C$215,2,0)</f>
        <v>0</v>
      </c>
      <c r="O103" s="48">
        <f t="shared" si="12"/>
        <v>3.2000000000000001E-2</v>
      </c>
      <c r="P103" s="47">
        <f>VLOOKUP(A103,'Mandato ISEE'!$A$1:$C$215,3,0)</f>
        <v>0</v>
      </c>
      <c r="Q103" s="48">
        <f t="shared" si="13"/>
        <v>3.2000000000000001E-2</v>
      </c>
      <c r="R103" s="15">
        <v>-0.76400000000000001</v>
      </c>
      <c r="S103" s="15">
        <v>-0.06</v>
      </c>
      <c r="T103" s="15">
        <v>-0.88900000000000001</v>
      </c>
      <c r="U103" s="15">
        <v>-0.53300000000000003</v>
      </c>
      <c r="V103" s="15">
        <v>-0.38200000000000001</v>
      </c>
      <c r="W103" s="15">
        <v>-0.32600000000000001</v>
      </c>
      <c r="X103" s="15">
        <v>-8.0000000000000002E-3</v>
      </c>
      <c r="Y103" s="15">
        <v>9.8000000000000004E-2</v>
      </c>
      <c r="Z103" s="15">
        <v>0.70199999999999996</v>
      </c>
      <c r="AA103" s="15">
        <v>0.70699999999999996</v>
      </c>
      <c r="AB103" s="15">
        <v>0.69799999999999995</v>
      </c>
      <c r="AC103" s="15">
        <v>0.79600000000000004</v>
      </c>
      <c r="AD103" s="15">
        <v>0.54500000000000004</v>
      </c>
      <c r="AE103" s="14">
        <v>-0.57699999999999996</v>
      </c>
      <c r="AF103" s="15">
        <v>-0.66700000000000004</v>
      </c>
      <c r="AG103" s="15">
        <v>5.2999999999999999E-2</v>
      </c>
      <c r="AH103" s="15">
        <v>-0.96099999999999997</v>
      </c>
      <c r="AI103" s="15">
        <v>-0.76100000000000001</v>
      </c>
      <c r="AJ103" s="9">
        <v>-0.92700000000000005</v>
      </c>
      <c r="AK103" s="4">
        <v>-0.24199999999999999</v>
      </c>
      <c r="AL103" s="4">
        <v>-5.5E-2</v>
      </c>
      <c r="AM103" s="4">
        <v>-0.69599999999999995</v>
      </c>
      <c r="AN103" s="4">
        <v>-1</v>
      </c>
      <c r="AO103" s="4">
        <v>0.66</v>
      </c>
      <c r="AP103" s="4">
        <v>1.7000000000000001E-2</v>
      </c>
      <c r="AQ103" s="4">
        <v>7.0000000000000001E-3</v>
      </c>
      <c r="AR103" s="4">
        <v>4.7E-2</v>
      </c>
      <c r="AS103" s="4">
        <v>-0.36899999999999999</v>
      </c>
      <c r="AT103" s="4">
        <v>0.45900000000000002</v>
      </c>
      <c r="AU103" s="4">
        <v>-6.9000000000000006E-2</v>
      </c>
      <c r="AV103" s="4">
        <v>-4.2999999999999997E-2</v>
      </c>
      <c r="AW103" s="4">
        <v>0.751</v>
      </c>
      <c r="AX103" s="4">
        <v>-0.63900000000000001</v>
      </c>
      <c r="AY103" s="4">
        <v>0.96299999999999997</v>
      </c>
      <c r="AZ103" s="4">
        <v>0.26200000000000001</v>
      </c>
      <c r="BA103" s="4">
        <v>0.38900000000000001</v>
      </c>
      <c r="BB103" s="4">
        <v>-4.7E-2</v>
      </c>
      <c r="BC103" s="4">
        <v>-0.29499999999999998</v>
      </c>
      <c r="BD103" s="4">
        <v>0.371</v>
      </c>
      <c r="BE103" s="4">
        <v>-0.39</v>
      </c>
      <c r="BF103" s="4">
        <v>0.441</v>
      </c>
      <c r="BG103" s="4">
        <v>0.68300000000000005</v>
      </c>
      <c r="BH103" s="4">
        <v>-0.60099999999999998</v>
      </c>
      <c r="BI103" s="4">
        <v>-0.104</v>
      </c>
      <c r="BJ103" s="4">
        <v>0.11899999999999999</v>
      </c>
      <c r="BK103" s="4">
        <v>-0.54300000000000004</v>
      </c>
    </row>
    <row r="104" spans="1:63" x14ac:dyDescent="0.3">
      <c r="A104" t="s">
        <v>144</v>
      </c>
      <c r="B104" s="53">
        <v>3.5000000000000003E-2</v>
      </c>
      <c r="C104" s="53">
        <f t="shared" si="10"/>
        <v>1.4000000000000002E-2</v>
      </c>
      <c r="D104" s="53">
        <f t="shared" si="11"/>
        <v>-4.9999999999999975E-3</v>
      </c>
      <c r="E104" s="53">
        <v>2.1000000000000001E-2</v>
      </c>
      <c r="F104" s="15">
        <v>0.83399999999999996</v>
      </c>
      <c r="G104">
        <v>1.764</v>
      </c>
      <c r="H104" t="s">
        <v>55</v>
      </c>
      <c r="I104" t="str">
        <f>VLOOKUP(A104,Planilha6!$BL$9:$BN$222,2,0)</f>
        <v>utilities</v>
      </c>
      <c r="J104" t="str">
        <f>VLOOKUP(A104,Planilha6!$BL$9:$BN$222,3,0)</f>
        <v>low_beta</v>
      </c>
      <c r="K104" s="2">
        <v>0.04</v>
      </c>
      <c r="L104" s="2">
        <v>1.9E-2</v>
      </c>
      <c r="M104" s="29">
        <v>2.1000000000000001E-2</v>
      </c>
      <c r="N104" s="47">
        <f>VLOOKUP(A104,'Mandato ISEE'!$A$1:$C$215,2,0)</f>
        <v>0</v>
      </c>
      <c r="O104" s="48">
        <f t="shared" si="12"/>
        <v>0.04</v>
      </c>
      <c r="P104" s="47">
        <f>VLOOKUP(A104,'Mandato ISEE'!$A$1:$C$215,3,0)</f>
        <v>4.57663703281204E-2</v>
      </c>
      <c r="Q104" s="48">
        <f t="shared" si="13"/>
        <v>-5.7663703281203987E-3</v>
      </c>
      <c r="R104" s="15">
        <v>-0.79500000000000004</v>
      </c>
      <c r="S104" s="15">
        <v>-9.0999999999999998E-2</v>
      </c>
      <c r="T104" s="15">
        <v>-0.88200000000000001</v>
      </c>
      <c r="U104" s="15">
        <v>-0.629</v>
      </c>
      <c r="V104" s="15">
        <v>-0.44800000000000001</v>
      </c>
      <c r="W104" s="15">
        <v>-0.38500000000000001</v>
      </c>
      <c r="X104" s="15">
        <v>-2E-3</v>
      </c>
      <c r="Y104" s="15">
        <v>6.9000000000000006E-2</v>
      </c>
      <c r="Z104" s="15">
        <v>0.65100000000000002</v>
      </c>
      <c r="AA104" s="15">
        <v>0.65900000000000003</v>
      </c>
      <c r="AB104" s="15">
        <v>0.69599999999999995</v>
      </c>
      <c r="AC104" s="15">
        <v>0.68500000000000005</v>
      </c>
      <c r="AD104" s="15">
        <v>0.61899999999999999</v>
      </c>
      <c r="AE104" s="14">
        <v>-0.72399999999999998</v>
      </c>
      <c r="AF104" s="15">
        <v>-0.83599999999999997</v>
      </c>
      <c r="AG104" s="15">
        <v>0.65200000000000002</v>
      </c>
      <c r="AH104" s="15">
        <v>-0.85899999999999999</v>
      </c>
      <c r="AI104" s="15">
        <v>-0.27200000000000002</v>
      </c>
      <c r="AJ104" s="9">
        <v>-0.93300000000000005</v>
      </c>
      <c r="AK104" s="4">
        <v>-0.46</v>
      </c>
      <c r="AL104" s="4">
        <v>4.5999999999999999E-2</v>
      </c>
      <c r="AM104" s="4">
        <v>-0.29299999999999998</v>
      </c>
      <c r="AN104" s="4">
        <v>-0.81699999999999995</v>
      </c>
      <c r="AO104" s="4">
        <v>0.58799999999999997</v>
      </c>
      <c r="AP104" s="4">
        <v>0.71199999999999997</v>
      </c>
      <c r="AQ104" s="4">
        <v>-0.35599999999999998</v>
      </c>
      <c r="AR104" s="4">
        <v>-0.21299999999999999</v>
      </c>
      <c r="AS104" s="4">
        <v>-0.20699999999999999</v>
      </c>
      <c r="AT104" s="4">
        <v>-6.6000000000000003E-2</v>
      </c>
      <c r="AU104" s="4">
        <v>2.1000000000000001E-2</v>
      </c>
      <c r="AV104" s="4">
        <v>-0.34100000000000003</v>
      </c>
      <c r="AW104" s="4">
        <v>0.85599999999999998</v>
      </c>
      <c r="AX104" s="4">
        <v>-0.73599999999999999</v>
      </c>
      <c r="AY104" s="4">
        <v>0.82899999999999996</v>
      </c>
      <c r="AZ104" s="4">
        <v>-0.153</v>
      </c>
      <c r="BA104" s="4">
        <v>0.11</v>
      </c>
      <c r="BB104" s="4">
        <v>-0.432</v>
      </c>
      <c r="BC104" s="4">
        <v>-0.65800000000000003</v>
      </c>
      <c r="BD104" s="4">
        <v>3.1E-2</v>
      </c>
      <c r="BE104" s="4">
        <v>-0.30099999999999999</v>
      </c>
      <c r="BF104" s="4">
        <v>0.16300000000000001</v>
      </c>
      <c r="BG104" s="4">
        <v>0.83599999999999997</v>
      </c>
      <c r="BH104" s="4">
        <v>-0.46100000000000002</v>
      </c>
      <c r="BI104" s="4">
        <v>-0.255</v>
      </c>
      <c r="BJ104" s="4">
        <v>9.8000000000000004E-2</v>
      </c>
      <c r="BK104" s="4">
        <v>-9.6000000000000002E-2</v>
      </c>
    </row>
    <row r="105" spans="1:63" x14ac:dyDescent="0.3">
      <c r="A105" t="s">
        <v>85</v>
      </c>
      <c r="B105" s="53">
        <f t="shared" si="9"/>
        <v>0</v>
      </c>
      <c r="C105" s="53">
        <f t="shared" si="10"/>
        <v>0</v>
      </c>
      <c r="D105" s="53">
        <f t="shared" si="11"/>
        <v>0</v>
      </c>
      <c r="E105" s="53">
        <v>0</v>
      </c>
      <c r="F105" s="15">
        <v>0.83</v>
      </c>
      <c r="G105">
        <v>0.63800000000000001</v>
      </c>
      <c r="H105" t="s">
        <v>57</v>
      </c>
      <c r="I105" t="str">
        <f>VLOOKUP(A105,Planilha6!$BL$9:$BN$222,2,0)</f>
        <v>education</v>
      </c>
      <c r="J105" t="str">
        <f>VLOOKUP(A105,Planilha6!$BL$9:$BN$222,3,0)</f>
        <v>low_beta</v>
      </c>
      <c r="K105" s="2">
        <v>0</v>
      </c>
      <c r="L105" s="2">
        <v>0</v>
      </c>
      <c r="M105" s="29">
        <v>0</v>
      </c>
      <c r="N105" s="47">
        <f>VLOOKUP(A105,'Mandato ISEE'!$A$1:$C$215,2,0)</f>
        <v>0</v>
      </c>
      <c r="O105" s="48">
        <f t="shared" si="12"/>
        <v>0</v>
      </c>
      <c r="P105" s="47">
        <f>VLOOKUP(A105,'Mandato ISEE'!$A$1:$C$215,3,0)</f>
        <v>0</v>
      </c>
      <c r="Q105" s="48">
        <f t="shared" si="13"/>
        <v>0</v>
      </c>
      <c r="R105" s="15">
        <v>-0.17499999999999999</v>
      </c>
      <c r="S105" s="15">
        <v>-0.219</v>
      </c>
      <c r="T105" s="15">
        <v>-6.8000000000000005E-2</v>
      </c>
      <c r="U105" s="15">
        <v>-0.17899999999999999</v>
      </c>
      <c r="V105" s="15">
        <v>-0.13600000000000001</v>
      </c>
      <c r="W105" s="15">
        <v>-0.53900000000000003</v>
      </c>
      <c r="X105" s="15">
        <v>-0.54800000000000004</v>
      </c>
      <c r="Y105" s="15">
        <v>-0.59199999999999997</v>
      </c>
      <c r="Z105" s="15">
        <v>0.52100000000000002</v>
      </c>
      <c r="AA105" s="15">
        <v>0.52800000000000002</v>
      </c>
      <c r="AB105" s="15">
        <v>0.67600000000000005</v>
      </c>
      <c r="AC105" s="15">
        <v>0.627</v>
      </c>
      <c r="AD105" s="15">
        <v>0.75700000000000001</v>
      </c>
      <c r="AE105" s="14">
        <v>0.33200000000000002</v>
      </c>
      <c r="AF105" s="15">
        <v>-0.77</v>
      </c>
      <c r="AG105" s="15">
        <v>0.73499999999999999</v>
      </c>
      <c r="AH105" s="15">
        <v>9.0999999999999998E-2</v>
      </c>
      <c r="AI105" s="15">
        <v>0.77100000000000002</v>
      </c>
      <c r="AJ105" s="9">
        <v>-7.9000000000000001E-2</v>
      </c>
      <c r="AK105" s="4">
        <v>-0.04</v>
      </c>
      <c r="AL105" s="4">
        <v>-0.77300000000000002</v>
      </c>
      <c r="AM105" s="4">
        <v>0.129</v>
      </c>
      <c r="AN105" s="4">
        <v>0.35599999999999998</v>
      </c>
      <c r="AO105" s="4">
        <v>0.26100000000000001</v>
      </c>
      <c r="AP105" s="4">
        <v>-0.40100000000000002</v>
      </c>
      <c r="AQ105" s="4">
        <v>0.23300000000000001</v>
      </c>
      <c r="AR105" s="4">
        <v>-0.33800000000000002</v>
      </c>
      <c r="AS105" s="4">
        <v>0.02</v>
      </c>
      <c r="AT105" s="4">
        <v>0.19800000000000001</v>
      </c>
      <c r="AU105" s="4">
        <v>9.5000000000000001E-2</v>
      </c>
      <c r="AV105" s="4">
        <v>0.17199999999999999</v>
      </c>
      <c r="AW105" s="4">
        <v>-0.39700000000000002</v>
      </c>
      <c r="AX105" s="4">
        <v>-0.4</v>
      </c>
      <c r="AY105" s="4">
        <v>0.63500000000000001</v>
      </c>
      <c r="AZ105" s="4">
        <v>0.104</v>
      </c>
      <c r="BA105" s="4">
        <v>-0.13700000000000001</v>
      </c>
      <c r="BB105" s="4">
        <v>6.7000000000000004E-2</v>
      </c>
      <c r="BC105" s="4">
        <v>-0.311</v>
      </c>
      <c r="BD105" s="4">
        <v>0.45700000000000002</v>
      </c>
      <c r="BE105" s="4">
        <v>0.36599999999999999</v>
      </c>
      <c r="BF105" s="4">
        <v>-0.20599999999999999</v>
      </c>
      <c r="BG105" s="4">
        <v>0.13400000000000001</v>
      </c>
      <c r="BH105" s="4">
        <v>-0.14699999999999999</v>
      </c>
      <c r="BI105" s="4">
        <v>-0.23899999999999999</v>
      </c>
      <c r="BJ105" s="4">
        <v>0.374</v>
      </c>
      <c r="BK105" s="4">
        <v>0.50600000000000001</v>
      </c>
    </row>
    <row r="106" spans="1:63" x14ac:dyDescent="0.3">
      <c r="A106" t="s">
        <v>205</v>
      </c>
      <c r="B106" s="53">
        <v>3.5000000000000003E-2</v>
      </c>
      <c r="C106" s="53">
        <f t="shared" si="10"/>
        <v>1.0000000000000002E-2</v>
      </c>
      <c r="D106" s="53">
        <f t="shared" si="11"/>
        <v>-2.9999999999999957E-3</v>
      </c>
      <c r="E106" s="53">
        <v>2.5000000000000001E-2</v>
      </c>
      <c r="F106" s="15">
        <v>0.82799999999999996</v>
      </c>
      <c r="G106">
        <v>1.63</v>
      </c>
      <c r="H106" t="s">
        <v>57</v>
      </c>
      <c r="I106" t="str">
        <f>VLOOKUP(A106,Planilha6!$BL$9:$BN$222,2,0)</f>
        <v>consumer_services</v>
      </c>
      <c r="J106" t="str">
        <f>VLOOKUP(A106,Planilha6!$BL$9:$BN$222,3,0)</f>
        <v>low_beta</v>
      </c>
      <c r="K106" s="2">
        <v>3.7999999999999999E-2</v>
      </c>
      <c r="L106" s="2">
        <v>1.4E-2</v>
      </c>
      <c r="M106" s="29">
        <v>2.5000000000000001E-2</v>
      </c>
      <c r="N106" s="47">
        <f>VLOOKUP(A106,'Mandato ISEE'!$A$1:$C$215,2,0)</f>
        <v>0</v>
      </c>
      <c r="O106" s="48">
        <f t="shared" si="12"/>
        <v>3.7999999999999999E-2</v>
      </c>
      <c r="P106" s="47">
        <f>VLOOKUP(A106,'Mandato ISEE'!$A$1:$C$215,3,0)</f>
        <v>5.06977923591048E-2</v>
      </c>
      <c r="Q106" s="48">
        <f t="shared" si="13"/>
        <v>-1.2697792359104801E-2</v>
      </c>
      <c r="R106" s="15">
        <v>-0.67800000000000005</v>
      </c>
      <c r="S106" s="15">
        <v>2.7E-2</v>
      </c>
      <c r="T106" s="15">
        <v>-0.86199999999999999</v>
      </c>
      <c r="U106" s="15">
        <v>-0.32100000000000001</v>
      </c>
      <c r="V106" s="15">
        <v>-0.27400000000000002</v>
      </c>
      <c r="W106" s="15">
        <v>-0.432</v>
      </c>
      <c r="X106" s="15">
        <v>-0.40400000000000003</v>
      </c>
      <c r="Y106" s="15">
        <v>-0.151</v>
      </c>
      <c r="Z106" s="15">
        <v>0.86699999999999999</v>
      </c>
      <c r="AA106" s="15">
        <v>0.872</v>
      </c>
      <c r="AB106" s="15">
        <v>0.50700000000000001</v>
      </c>
      <c r="AC106" s="15">
        <v>0.71299999999999997</v>
      </c>
      <c r="AD106" s="15">
        <v>0.69699999999999995</v>
      </c>
      <c r="AE106" s="14">
        <v>-0.54300000000000004</v>
      </c>
      <c r="AF106" s="15">
        <v>-0.505</v>
      </c>
      <c r="AG106" s="15">
        <v>0.69899999999999995</v>
      </c>
      <c r="AH106" s="15">
        <v>-0.93400000000000005</v>
      </c>
      <c r="AI106" s="15">
        <v>-0.30199999999999999</v>
      </c>
      <c r="AJ106" s="9">
        <v>-0.99399999999999999</v>
      </c>
      <c r="AK106" s="4">
        <v>-4.9000000000000002E-2</v>
      </c>
      <c r="AL106" s="4">
        <v>-0.249</v>
      </c>
      <c r="AM106" s="4">
        <v>-0.47499999999999998</v>
      </c>
      <c r="AN106" s="4">
        <v>-0.30599999999999999</v>
      </c>
      <c r="AO106" s="4">
        <v>0.70799999999999996</v>
      </c>
      <c r="AP106" s="4">
        <v>0.82</v>
      </c>
      <c r="AQ106" s="4">
        <v>0.215</v>
      </c>
      <c r="AR106" s="4">
        <v>0.17399999999999999</v>
      </c>
      <c r="AS106" s="4">
        <v>0.22900000000000001</v>
      </c>
      <c r="AT106" s="4">
        <v>0.435</v>
      </c>
      <c r="AU106" s="4">
        <v>-0.52800000000000002</v>
      </c>
      <c r="AV106" s="4">
        <v>-0.108</v>
      </c>
      <c r="AW106" s="4">
        <v>0.2</v>
      </c>
      <c r="AX106" s="4">
        <v>-0.48599999999999999</v>
      </c>
      <c r="AY106" s="4">
        <v>0.69099999999999995</v>
      </c>
      <c r="AZ106" s="4">
        <v>0.47699999999999998</v>
      </c>
      <c r="BA106" s="4">
        <v>-0.375</v>
      </c>
      <c r="BB106" s="4">
        <v>-0.71699999999999997</v>
      </c>
      <c r="BC106" s="4">
        <v>-0.79200000000000004</v>
      </c>
      <c r="BD106" s="4">
        <v>0.46800000000000003</v>
      </c>
      <c r="BE106" s="4">
        <v>-0.40300000000000002</v>
      </c>
      <c r="BF106" s="4">
        <v>0.16600000000000001</v>
      </c>
      <c r="BG106" s="4">
        <v>0.622</v>
      </c>
      <c r="BH106" s="4">
        <v>-0.73099999999999998</v>
      </c>
      <c r="BI106" s="4">
        <v>-0.30599999999999999</v>
      </c>
      <c r="BJ106" s="4">
        <v>-0.44400000000000001</v>
      </c>
      <c r="BK106" s="4">
        <v>-0.436</v>
      </c>
    </row>
    <row r="107" spans="1:63" x14ac:dyDescent="0.3">
      <c r="A107" t="s">
        <v>105</v>
      </c>
      <c r="B107" s="53">
        <v>0.01</v>
      </c>
      <c r="C107" s="53">
        <f t="shared" si="10"/>
        <v>9.0000000000000011E-3</v>
      </c>
      <c r="D107" s="53">
        <f t="shared" si="11"/>
        <v>-4.0000000000000001E-3</v>
      </c>
      <c r="E107" s="53">
        <v>1E-3</v>
      </c>
      <c r="F107" s="15">
        <v>0.82699999999999996</v>
      </c>
      <c r="G107">
        <v>0.61799999999999999</v>
      </c>
      <c r="H107" t="s">
        <v>57</v>
      </c>
      <c r="I107" t="str">
        <f>VLOOKUP(A107,Planilha6!$BL$9:$BN$222,2,0)</f>
        <v>transportation</v>
      </c>
      <c r="J107" t="str">
        <f>VLOOKUP(A107,Planilha6!$BL$9:$BN$222,3,0)</f>
        <v>very_high_beta</v>
      </c>
      <c r="K107" s="2">
        <v>1.4E-2</v>
      </c>
      <c r="L107" s="2">
        <v>1.4E-2</v>
      </c>
      <c r="M107" s="29">
        <v>1E-3</v>
      </c>
      <c r="N107" s="47">
        <f>VLOOKUP(A107,'Mandato ISEE'!$A$1:$C$215,2,0)</f>
        <v>0</v>
      </c>
      <c r="O107" s="48">
        <f t="shared" si="12"/>
        <v>1.4E-2</v>
      </c>
      <c r="P107" s="47">
        <f>VLOOKUP(A107,'Mandato ISEE'!$A$1:$C$215,3,0)</f>
        <v>0</v>
      </c>
      <c r="Q107" s="48">
        <f t="shared" si="13"/>
        <v>1.4E-2</v>
      </c>
      <c r="R107" s="15">
        <v>-0.17499999999999999</v>
      </c>
      <c r="S107" s="15">
        <v>-0.378</v>
      </c>
      <c r="T107" s="15">
        <v>-0.28999999999999998</v>
      </c>
      <c r="U107" s="15">
        <v>-0.17100000000000001</v>
      </c>
      <c r="V107" s="15">
        <v>-0.29399999999999998</v>
      </c>
      <c r="W107" s="15">
        <v>-0.61</v>
      </c>
      <c r="X107" s="15">
        <v>-0.69</v>
      </c>
      <c r="Y107" s="15">
        <v>-0.27600000000000002</v>
      </c>
      <c r="Z107" s="15">
        <v>0.378</v>
      </c>
      <c r="AA107" s="15">
        <v>0.379</v>
      </c>
      <c r="AB107" s="15">
        <v>0.73399999999999999</v>
      </c>
      <c r="AC107" s="15">
        <v>0.88800000000000001</v>
      </c>
      <c r="AD107" s="15">
        <v>0.58199999999999996</v>
      </c>
      <c r="AE107" s="14">
        <v>-0.19</v>
      </c>
      <c r="AF107" s="15">
        <v>-0.25800000000000001</v>
      </c>
      <c r="AG107" s="15">
        <v>0.73599999999999999</v>
      </c>
      <c r="AH107" s="15">
        <v>0.63700000000000001</v>
      </c>
      <c r="AI107" s="15">
        <v>0.74199999999999999</v>
      </c>
      <c r="AJ107" s="9">
        <v>-0.745</v>
      </c>
      <c r="AK107" s="4">
        <v>0.50700000000000001</v>
      </c>
      <c r="AL107" s="4">
        <v>0.53200000000000003</v>
      </c>
      <c r="AM107" s="4">
        <v>-0.17199999999999999</v>
      </c>
      <c r="AN107" s="4">
        <v>0.156</v>
      </c>
      <c r="AO107" s="4">
        <v>0.54900000000000004</v>
      </c>
      <c r="AP107" s="4">
        <v>0.42799999999999999</v>
      </c>
      <c r="AQ107" s="4">
        <v>-0.29699999999999999</v>
      </c>
      <c r="AR107" s="4">
        <v>-0.248</v>
      </c>
      <c r="AS107" s="4">
        <v>-0.65900000000000003</v>
      </c>
      <c r="AT107" s="4">
        <v>0.23400000000000001</v>
      </c>
      <c r="AU107" s="4">
        <v>-0.32</v>
      </c>
      <c r="AV107" s="4">
        <v>-0.38200000000000001</v>
      </c>
      <c r="AW107" s="4">
        <v>-0.49199999999999999</v>
      </c>
      <c r="AX107" s="4">
        <v>-0.56299999999999994</v>
      </c>
      <c r="AY107" s="4">
        <v>0.501</v>
      </c>
      <c r="AZ107" s="4">
        <v>-0.442</v>
      </c>
      <c r="BA107" s="4">
        <v>1.6E-2</v>
      </c>
      <c r="BB107" s="4">
        <v>0.14699999999999999</v>
      </c>
      <c r="BC107" s="4">
        <v>0</v>
      </c>
      <c r="BD107" s="4">
        <v>0.38300000000000001</v>
      </c>
      <c r="BE107" s="4">
        <v>-1</v>
      </c>
      <c r="BF107" s="4">
        <v>-0.84799999999999998</v>
      </c>
      <c r="BG107" s="4">
        <v>-0.751</v>
      </c>
      <c r="BH107" s="4">
        <v>-0.35799999999999998</v>
      </c>
      <c r="BI107" s="4">
        <v>0.98799999999999999</v>
      </c>
      <c r="BJ107" s="4">
        <v>0.39900000000000002</v>
      </c>
      <c r="BK107" s="4">
        <v>0.56599999999999995</v>
      </c>
    </row>
    <row r="108" spans="1:63" x14ac:dyDescent="0.3">
      <c r="A108" t="s">
        <v>161</v>
      </c>
      <c r="B108" s="53">
        <f t="shared" si="9"/>
        <v>0</v>
      </c>
      <c r="C108" s="53">
        <f t="shared" si="10"/>
        <v>0</v>
      </c>
      <c r="D108" s="53">
        <f t="shared" si="11"/>
        <v>0</v>
      </c>
      <c r="E108" s="53">
        <v>0</v>
      </c>
      <c r="F108" s="15">
        <v>0.81399999999999995</v>
      </c>
      <c r="G108">
        <v>0.93600000000000005</v>
      </c>
      <c r="H108" t="s">
        <v>57</v>
      </c>
      <c r="I108" t="str">
        <f>VLOOKUP(A108,Planilha6!$BL$9:$BN$222,2,0)</f>
        <v>banks</v>
      </c>
      <c r="J108" t="str">
        <f>VLOOKUP(A108,Planilha6!$BL$9:$BN$222,3,0)</f>
        <v>high_beta</v>
      </c>
      <c r="K108" s="2">
        <v>0</v>
      </c>
      <c r="L108" s="2">
        <v>0</v>
      </c>
      <c r="M108" s="29">
        <v>0</v>
      </c>
      <c r="N108" s="47">
        <f>VLOOKUP(A108,'Mandato ISEE'!$A$1:$C$215,2,0)</f>
        <v>0</v>
      </c>
      <c r="O108" s="48">
        <f t="shared" si="12"/>
        <v>0</v>
      </c>
      <c r="P108" s="47">
        <f>VLOOKUP(A108,'Mandato ISEE'!$A$1:$C$215,3,0)</f>
        <v>0</v>
      </c>
      <c r="Q108" s="48">
        <f t="shared" si="13"/>
        <v>0</v>
      </c>
      <c r="R108" s="15">
        <v>-0.56499999999999995</v>
      </c>
      <c r="S108" s="15">
        <v>-0.35299999999999998</v>
      </c>
      <c r="T108" s="15">
        <v>-0.66100000000000003</v>
      </c>
      <c r="U108" s="15">
        <v>-0.55200000000000005</v>
      </c>
      <c r="V108" s="15">
        <v>-0.47799999999999998</v>
      </c>
      <c r="W108" s="15">
        <v>-0.34699999999999998</v>
      </c>
      <c r="X108" s="15">
        <v>-0.13500000000000001</v>
      </c>
      <c r="Y108" s="15">
        <v>-0.29699999999999999</v>
      </c>
      <c r="Z108" s="15">
        <v>0.80200000000000005</v>
      </c>
      <c r="AA108" s="15">
        <v>0.80400000000000005</v>
      </c>
      <c r="AB108" s="15">
        <v>0.749</v>
      </c>
      <c r="AC108" s="15">
        <v>0.85299999999999998</v>
      </c>
      <c r="AD108" s="15">
        <v>0.64800000000000002</v>
      </c>
      <c r="AE108" s="14">
        <v>-0.67400000000000004</v>
      </c>
      <c r="AF108" s="15">
        <v>-1.4E-2</v>
      </c>
      <c r="AG108" s="15">
        <v>-9.5000000000000001E-2</v>
      </c>
      <c r="AH108" s="15">
        <v>-0.89900000000000002</v>
      </c>
      <c r="AI108" s="15">
        <v>-0.999</v>
      </c>
      <c r="AJ108" s="9">
        <v>-1</v>
      </c>
      <c r="AK108" s="4">
        <v>-0.159</v>
      </c>
      <c r="AL108" s="4">
        <v>-8.7999999999999995E-2</v>
      </c>
      <c r="AM108" s="4">
        <v>4.5999999999999999E-2</v>
      </c>
      <c r="AN108" s="4">
        <v>-0.106</v>
      </c>
      <c r="AO108" s="4">
        <v>0.10199999999999999</v>
      </c>
      <c r="AP108" s="4">
        <v>-0.29399999999999998</v>
      </c>
      <c r="AQ108" s="4">
        <v>9.8000000000000004E-2</v>
      </c>
      <c r="AR108" s="4">
        <v>0.19900000000000001</v>
      </c>
      <c r="AS108" s="4">
        <v>0.51600000000000001</v>
      </c>
      <c r="AT108" s="4">
        <v>-8.5999999999999993E-2</v>
      </c>
      <c r="AU108" s="4">
        <v>-0.11600000000000001</v>
      </c>
      <c r="AV108" s="4">
        <v>-0.45800000000000002</v>
      </c>
      <c r="AW108" s="4">
        <v>0.33600000000000002</v>
      </c>
      <c r="AX108" s="4">
        <v>-0.44800000000000001</v>
      </c>
      <c r="AY108" s="4">
        <v>0.84899999999999998</v>
      </c>
      <c r="AZ108" s="4">
        <v>-8.1000000000000003E-2</v>
      </c>
      <c r="BA108" s="4">
        <v>0.66400000000000003</v>
      </c>
      <c r="BB108" s="4">
        <v>-0.151</v>
      </c>
      <c r="BC108" s="4">
        <v>-0.2</v>
      </c>
      <c r="BD108" s="4">
        <v>0.183</v>
      </c>
      <c r="BE108" s="4">
        <v>0.17899999999999999</v>
      </c>
      <c r="BF108" s="4">
        <v>-0.28699999999999998</v>
      </c>
      <c r="BG108" s="4">
        <v>0.72199999999999998</v>
      </c>
      <c r="BH108" s="4">
        <v>-0.314</v>
      </c>
      <c r="BI108" s="4">
        <v>0.11</v>
      </c>
      <c r="BJ108" s="4">
        <v>1</v>
      </c>
      <c r="BK108" s="4">
        <v>-0.56899999999999995</v>
      </c>
    </row>
    <row r="109" spans="1:63" x14ac:dyDescent="0.3">
      <c r="A109" t="s">
        <v>201</v>
      </c>
      <c r="B109" s="53">
        <f t="shared" si="9"/>
        <v>0</v>
      </c>
      <c r="C109" s="53">
        <f t="shared" si="10"/>
        <v>0</v>
      </c>
      <c r="D109" s="53">
        <f t="shared" si="11"/>
        <v>0</v>
      </c>
      <c r="E109" s="53">
        <v>0</v>
      </c>
      <c r="F109" s="15">
        <v>0.79700000000000004</v>
      </c>
      <c r="G109">
        <v>0.624</v>
      </c>
      <c r="H109" t="s">
        <v>71</v>
      </c>
      <c r="I109" t="str">
        <f>VLOOKUP(A109,Planilha6!$BL$9:$BN$222,2,0)</f>
        <v>food</v>
      </c>
      <c r="J109" t="str">
        <f>VLOOKUP(A109,Planilha6!$BL$9:$BN$222,3,0)</f>
        <v>very_low_beta</v>
      </c>
      <c r="K109" s="2">
        <v>0</v>
      </c>
      <c r="L109" s="2">
        <v>0</v>
      </c>
      <c r="M109" s="29">
        <v>0</v>
      </c>
      <c r="N109" s="47">
        <f>VLOOKUP(A109,'Mandato ISEE'!$A$1:$C$215,2,0)</f>
        <v>0</v>
      </c>
      <c r="O109" s="48">
        <f t="shared" si="12"/>
        <v>0</v>
      </c>
      <c r="P109" s="47">
        <f>VLOOKUP(A109,'Mandato ISEE'!$A$1:$C$215,3,0)</f>
        <v>0</v>
      </c>
      <c r="Q109" s="48">
        <f t="shared" si="13"/>
        <v>0</v>
      </c>
      <c r="R109" s="15">
        <v>-0.14000000000000001</v>
      </c>
      <c r="S109" s="15">
        <v>-0.53200000000000003</v>
      </c>
      <c r="T109" s="15">
        <v>-2E-3</v>
      </c>
      <c r="U109" s="15">
        <v>-0.42399999999999999</v>
      </c>
      <c r="V109" s="15">
        <v>-0.39800000000000002</v>
      </c>
      <c r="W109" s="15">
        <v>-0.51300000000000001</v>
      </c>
      <c r="X109" s="15">
        <v>-0.71</v>
      </c>
      <c r="Y109" s="15">
        <v>-0.70199999999999996</v>
      </c>
      <c r="Z109" s="15">
        <v>0.53400000000000003</v>
      </c>
      <c r="AA109" s="15">
        <v>0.53800000000000003</v>
      </c>
      <c r="AB109" s="15">
        <v>1</v>
      </c>
      <c r="AC109" s="15">
        <v>1</v>
      </c>
      <c r="AD109" s="15">
        <v>0.79800000000000004</v>
      </c>
      <c r="AE109" s="14">
        <v>-0.13100000000000001</v>
      </c>
      <c r="AF109" s="15">
        <v>-0.19</v>
      </c>
      <c r="AG109" s="15">
        <v>0.67</v>
      </c>
      <c r="AH109" s="15">
        <v>0.98199999999999998</v>
      </c>
      <c r="AI109" s="15">
        <v>0.31900000000000001</v>
      </c>
      <c r="AJ109" s="9">
        <v>-0.628</v>
      </c>
      <c r="AK109" s="4">
        <v>0.3</v>
      </c>
      <c r="AL109" s="4">
        <v>-0.86199999999999999</v>
      </c>
      <c r="AM109" s="4">
        <v>0.48099999999999998</v>
      </c>
      <c r="AN109" s="4">
        <v>-0.124</v>
      </c>
      <c r="AO109" s="4">
        <v>0.11899999999999999</v>
      </c>
      <c r="AP109" s="4">
        <v>0.20200000000000001</v>
      </c>
      <c r="AQ109" s="4">
        <v>-0.98899999999999999</v>
      </c>
      <c r="AR109" s="4">
        <v>0.64500000000000002</v>
      </c>
      <c r="AS109" s="4">
        <v>0.13800000000000001</v>
      </c>
      <c r="AT109" s="4">
        <v>-0.10100000000000001</v>
      </c>
      <c r="AU109" s="4">
        <v>-0.313</v>
      </c>
      <c r="AV109" s="4">
        <v>-0.23200000000000001</v>
      </c>
      <c r="AW109" s="4">
        <v>0.251</v>
      </c>
      <c r="AX109" s="4">
        <v>-0.13700000000000001</v>
      </c>
      <c r="AY109" s="4">
        <v>0.29099999999999998</v>
      </c>
      <c r="AZ109" s="4">
        <v>-0.28000000000000003</v>
      </c>
      <c r="BA109" s="4">
        <v>0.70599999999999996</v>
      </c>
      <c r="BB109" s="4">
        <v>4.3999999999999997E-2</v>
      </c>
      <c r="BC109" s="4">
        <v>-2.5000000000000001E-2</v>
      </c>
      <c r="BD109" s="4">
        <v>-0.17100000000000001</v>
      </c>
      <c r="BE109" s="4">
        <v>-0.11600000000000001</v>
      </c>
      <c r="BF109" s="4">
        <v>-0.34200000000000003</v>
      </c>
      <c r="BG109" s="4">
        <v>-8.8999999999999996E-2</v>
      </c>
      <c r="BH109" s="4">
        <v>0.20699999999999999</v>
      </c>
      <c r="BI109" s="4">
        <v>-0.68600000000000005</v>
      </c>
      <c r="BJ109" s="4">
        <v>0.58899999999999997</v>
      </c>
      <c r="BK109" s="4">
        <v>0.77100000000000002</v>
      </c>
    </row>
    <row r="110" spans="1:63" x14ac:dyDescent="0.3">
      <c r="A110" t="s">
        <v>162</v>
      </c>
      <c r="B110" s="53">
        <f t="shared" si="9"/>
        <v>0</v>
      </c>
      <c r="C110" s="53">
        <f t="shared" si="10"/>
        <v>0</v>
      </c>
      <c r="D110" s="53">
        <f t="shared" si="11"/>
        <v>0</v>
      </c>
      <c r="E110" s="53">
        <v>0</v>
      </c>
      <c r="F110" s="15">
        <v>0.78300000000000003</v>
      </c>
      <c r="G110">
        <v>0.93200000000000005</v>
      </c>
      <c r="H110" t="s">
        <v>57</v>
      </c>
      <c r="I110" t="str">
        <f>VLOOKUP(A110,Planilha6!$BL$9:$BN$222,2,0)</f>
        <v>banks</v>
      </c>
      <c r="J110" t="str">
        <f>VLOOKUP(A110,Planilha6!$BL$9:$BN$222,3,0)</f>
        <v>neutral_beta</v>
      </c>
      <c r="K110" s="2">
        <v>0</v>
      </c>
      <c r="L110" s="2">
        <v>0</v>
      </c>
      <c r="M110" s="29">
        <v>0</v>
      </c>
      <c r="N110" s="47">
        <f>VLOOKUP(A110,'Mandato ISEE'!$A$1:$C$215,2,0)</f>
        <v>0</v>
      </c>
      <c r="O110" s="48">
        <f t="shared" si="12"/>
        <v>0</v>
      </c>
      <c r="P110" s="47">
        <f>VLOOKUP(A110,'Mandato ISEE'!$A$1:$C$215,3,0)</f>
        <v>0</v>
      </c>
      <c r="Q110" s="48">
        <f t="shared" si="13"/>
        <v>0</v>
      </c>
      <c r="R110" s="15">
        <v>-0.58599999999999997</v>
      </c>
      <c r="S110" s="15">
        <v>-0.442</v>
      </c>
      <c r="T110" s="15">
        <v>-0.68200000000000005</v>
      </c>
      <c r="U110" s="15">
        <v>-0.58799999999999997</v>
      </c>
      <c r="V110" s="15">
        <v>-0.53900000000000003</v>
      </c>
      <c r="W110" s="15">
        <v>-0.32400000000000001</v>
      </c>
      <c r="X110" s="15">
        <v>-5.1999999999999998E-2</v>
      </c>
      <c r="Y110" s="15">
        <v>-0.32100000000000001</v>
      </c>
      <c r="Z110" s="15">
        <v>0.80300000000000005</v>
      </c>
      <c r="AA110" s="15">
        <v>0.80200000000000005</v>
      </c>
      <c r="AB110" s="15">
        <v>0.73099999999999998</v>
      </c>
      <c r="AC110" s="15">
        <v>0.80400000000000005</v>
      </c>
      <c r="AD110" s="15">
        <v>0.61699999999999999</v>
      </c>
      <c r="AE110" s="14">
        <v>-0.64700000000000002</v>
      </c>
      <c r="AF110" s="15">
        <v>2.5999999999999999E-2</v>
      </c>
      <c r="AG110" s="15">
        <v>-0.33300000000000002</v>
      </c>
      <c r="AH110" s="15">
        <v>-0.89100000000000001</v>
      </c>
      <c r="AI110" s="15">
        <v>-1</v>
      </c>
      <c r="AJ110" s="9">
        <v>-0.996</v>
      </c>
      <c r="AK110" s="4">
        <v>-0.159</v>
      </c>
      <c r="AL110" s="4">
        <v>-5.6000000000000001E-2</v>
      </c>
      <c r="AM110" s="4">
        <v>4.5999999999999999E-2</v>
      </c>
      <c r="AN110" s="4">
        <v>4.2999999999999997E-2</v>
      </c>
      <c r="AO110" s="4">
        <v>-4.3999999999999997E-2</v>
      </c>
      <c r="AP110" s="4">
        <v>-0.35099999999999998</v>
      </c>
      <c r="AQ110" s="4">
        <v>0.107</v>
      </c>
      <c r="AR110" s="4">
        <v>0.19900000000000001</v>
      </c>
      <c r="AS110" s="4">
        <v>0.51600000000000001</v>
      </c>
      <c r="AT110" s="4">
        <v>-5.3999999999999999E-2</v>
      </c>
      <c r="AU110" s="4">
        <v>-0.11600000000000001</v>
      </c>
      <c r="AV110" s="4">
        <v>-0.443</v>
      </c>
      <c r="AW110" s="4">
        <v>0.42199999999999999</v>
      </c>
      <c r="AX110" s="4">
        <v>-0.44800000000000001</v>
      </c>
      <c r="AY110" s="4">
        <v>0.32900000000000001</v>
      </c>
      <c r="AZ110" s="4">
        <v>-0.26800000000000002</v>
      </c>
      <c r="BA110" s="4">
        <v>0.76900000000000002</v>
      </c>
      <c r="BB110" s="4">
        <v>-0.13800000000000001</v>
      </c>
      <c r="BC110" s="4">
        <v>-0.2</v>
      </c>
      <c r="BD110" s="4">
        <v>0.13400000000000001</v>
      </c>
      <c r="BE110" s="4">
        <v>0.24099999999999999</v>
      </c>
      <c r="BF110" s="4">
        <v>-0.55000000000000004</v>
      </c>
      <c r="BG110" s="4">
        <v>0.82799999999999996</v>
      </c>
      <c r="BH110" s="4">
        <v>-0.28100000000000003</v>
      </c>
      <c r="BI110" s="4">
        <v>4.0000000000000001E-3</v>
      </c>
      <c r="BJ110" s="4">
        <v>0.97699999999999998</v>
      </c>
      <c r="BK110" s="4">
        <v>-0.56899999999999995</v>
      </c>
    </row>
    <row r="111" spans="1:63" x14ac:dyDescent="0.3">
      <c r="A111" t="s">
        <v>180</v>
      </c>
      <c r="B111" s="53">
        <f t="shared" si="9"/>
        <v>0</v>
      </c>
      <c r="C111" s="53">
        <f t="shared" si="10"/>
        <v>0</v>
      </c>
      <c r="D111" s="53">
        <f t="shared" si="11"/>
        <v>0</v>
      </c>
      <c r="E111" s="53">
        <v>0</v>
      </c>
      <c r="F111" s="15">
        <v>0.77200000000000002</v>
      </c>
      <c r="G111">
        <v>0.85099999999999998</v>
      </c>
      <c r="H111" t="s">
        <v>57</v>
      </c>
      <c r="I111" t="str">
        <f>VLOOKUP(A111,Planilha6!$BL$9:$BN$222,2,0)</f>
        <v>apparel</v>
      </c>
      <c r="J111" t="str">
        <f>VLOOKUP(A111,Planilha6!$BL$9:$BN$222,3,0)</f>
        <v>high_beta</v>
      </c>
      <c r="K111" s="2">
        <v>0</v>
      </c>
      <c r="L111" s="2">
        <v>0</v>
      </c>
      <c r="M111" s="29">
        <v>0</v>
      </c>
      <c r="N111" s="47">
        <f>VLOOKUP(A111,'Mandato ISEE'!$A$1:$C$215,2,0)</f>
        <v>0</v>
      </c>
      <c r="O111" s="48">
        <f t="shared" si="12"/>
        <v>0</v>
      </c>
      <c r="P111" s="47">
        <f>VLOOKUP(A111,'Mandato ISEE'!$A$1:$C$215,3,0)</f>
        <v>0</v>
      </c>
      <c r="Q111" s="48">
        <f t="shared" si="13"/>
        <v>0</v>
      </c>
      <c r="R111" s="15">
        <v>-0.16400000000000001</v>
      </c>
      <c r="S111" s="15">
        <v>-0.19800000000000001</v>
      </c>
      <c r="T111" s="15">
        <v>6.5000000000000002E-2</v>
      </c>
      <c r="U111" s="15">
        <v>-0.35199999999999998</v>
      </c>
      <c r="V111" s="15">
        <v>-0.161</v>
      </c>
      <c r="W111" s="15">
        <v>-0.17899999999999999</v>
      </c>
      <c r="X111" s="15">
        <v>-4.0000000000000001E-3</v>
      </c>
      <c r="Y111" s="15">
        <v>-0.371</v>
      </c>
      <c r="Z111" s="15">
        <v>0.20399999999999999</v>
      </c>
      <c r="AA111" s="15">
        <v>0.20799999999999999</v>
      </c>
      <c r="AB111" s="15">
        <v>0.51300000000000001</v>
      </c>
      <c r="AC111" s="15">
        <v>0.39100000000000001</v>
      </c>
      <c r="AD111" s="15">
        <v>0.216</v>
      </c>
      <c r="AE111" s="14">
        <v>0.182</v>
      </c>
      <c r="AF111" s="15">
        <v>-0.58499999999999996</v>
      </c>
      <c r="AG111" s="15">
        <v>-0.8</v>
      </c>
      <c r="AH111" s="15">
        <v>-0.51900000000000002</v>
      </c>
      <c r="AI111" s="15">
        <v>-7.0000000000000001E-3</v>
      </c>
      <c r="AJ111" s="9">
        <v>1</v>
      </c>
      <c r="AK111" s="4">
        <v>-0.46400000000000002</v>
      </c>
      <c r="AL111" s="4">
        <v>-0.75</v>
      </c>
      <c r="AM111" s="4">
        <v>-0.95</v>
      </c>
      <c r="AN111" s="4">
        <v>0.39300000000000002</v>
      </c>
      <c r="AO111" s="4">
        <v>-0.439</v>
      </c>
      <c r="AP111" s="4">
        <v>7.3999999999999996E-2</v>
      </c>
      <c r="AQ111" s="4">
        <v>0.155</v>
      </c>
      <c r="AR111" s="4">
        <v>0.03</v>
      </c>
      <c r="AS111" s="4">
        <v>-0.24099999999999999</v>
      </c>
      <c r="AT111" s="4">
        <v>0.874</v>
      </c>
      <c r="AU111" s="4">
        <v>7.6999999999999999E-2</v>
      </c>
      <c r="AV111" s="4">
        <v>0.878</v>
      </c>
      <c r="AW111" s="4">
        <v>0.39</v>
      </c>
      <c r="AX111" s="4">
        <v>2.1999999999999999E-2</v>
      </c>
      <c r="AY111" s="4">
        <v>0.91500000000000004</v>
      </c>
      <c r="AZ111" s="4">
        <v>0.54</v>
      </c>
      <c r="BA111" s="4">
        <v>0.46300000000000002</v>
      </c>
      <c r="BB111" s="4">
        <v>-0.52</v>
      </c>
      <c r="BC111" s="4">
        <v>-0.52</v>
      </c>
      <c r="BD111" s="4">
        <v>0.11700000000000001</v>
      </c>
      <c r="BE111" s="4">
        <v>0.46200000000000002</v>
      </c>
      <c r="BF111" s="4">
        <v>-0.40899999999999997</v>
      </c>
      <c r="BG111" s="4">
        <v>0.53900000000000003</v>
      </c>
      <c r="BH111" s="4">
        <v>-0.42899999999999999</v>
      </c>
      <c r="BI111" s="4">
        <v>0.155</v>
      </c>
      <c r="BJ111" s="4">
        <v>0.313</v>
      </c>
      <c r="BK111" s="4">
        <v>0.72199999999999998</v>
      </c>
    </row>
    <row r="112" spans="1:63" x14ac:dyDescent="0.3">
      <c r="A112" t="s">
        <v>176</v>
      </c>
      <c r="B112" s="53">
        <v>0.01</v>
      </c>
      <c r="C112" s="53">
        <f t="shared" si="10"/>
        <v>5.0000000000000001E-3</v>
      </c>
      <c r="D112" s="53">
        <f t="shared" si="11"/>
        <v>-4.9999999999999992E-3</v>
      </c>
      <c r="E112" s="53">
        <v>5.0000000000000001E-3</v>
      </c>
      <c r="F112" s="15">
        <v>0.76</v>
      </c>
      <c r="G112">
        <v>0.58899999999999997</v>
      </c>
      <c r="H112" t="s">
        <v>57</v>
      </c>
      <c r="I112" t="str">
        <f>VLOOKUP(A112,Planilha6!$BL$9:$BN$222,2,0)</f>
        <v>apparel</v>
      </c>
      <c r="J112" t="str">
        <f>VLOOKUP(A112,Planilha6!$BL$9:$BN$222,3,0)</f>
        <v>very_high_beta</v>
      </c>
      <c r="K112" s="2">
        <v>1.4999999999999999E-2</v>
      </c>
      <c r="L112" s="2">
        <v>0.01</v>
      </c>
      <c r="M112" s="29">
        <v>5.0000000000000001E-3</v>
      </c>
      <c r="N112" s="47">
        <f>VLOOKUP(A112,'Mandato ISEE'!$A$1:$C$215,2,0)</f>
        <v>0</v>
      </c>
      <c r="O112" s="48">
        <f t="shared" si="12"/>
        <v>1.4999999999999999E-2</v>
      </c>
      <c r="P112" s="47">
        <f>VLOOKUP(A112,'Mandato ISEE'!$A$1:$C$215,3,0)</f>
        <v>0</v>
      </c>
      <c r="Q112" s="48">
        <f t="shared" si="13"/>
        <v>1.4999999999999999E-2</v>
      </c>
      <c r="R112" s="15">
        <v>0.10100000000000001</v>
      </c>
      <c r="S112" s="15">
        <v>-0.25900000000000001</v>
      </c>
      <c r="T112" s="15">
        <v>-0.14699999999999999</v>
      </c>
      <c r="U112" s="15">
        <v>0.19700000000000001</v>
      </c>
      <c r="V112" s="15">
        <v>-0.113</v>
      </c>
      <c r="W112" s="15">
        <v>-0.14000000000000001</v>
      </c>
      <c r="X112" s="15">
        <v>-0.24399999999999999</v>
      </c>
      <c r="Y112" s="15">
        <v>-0.60199999999999998</v>
      </c>
      <c r="Z112" s="15">
        <v>4.5999999999999999E-2</v>
      </c>
      <c r="AA112" s="15">
        <v>5.1999999999999998E-2</v>
      </c>
      <c r="AB112" s="15">
        <v>0.36099999999999999</v>
      </c>
      <c r="AC112" s="15">
        <v>0.25700000000000001</v>
      </c>
      <c r="AD112" s="15">
        <v>0.34699999999999998</v>
      </c>
      <c r="AE112" s="14">
        <v>1</v>
      </c>
      <c r="AF112" s="15">
        <v>0.55100000000000005</v>
      </c>
      <c r="AG112" s="15">
        <v>-0.29499999999999998</v>
      </c>
      <c r="AH112" s="15">
        <v>-0.2</v>
      </c>
      <c r="AI112" s="15">
        <v>-0.28299999999999997</v>
      </c>
      <c r="AJ112" s="9">
        <v>0.84099999999999997</v>
      </c>
      <c r="AK112" s="4">
        <v>0.48699999999999999</v>
      </c>
      <c r="AL112" s="4">
        <v>-0.73299999999999998</v>
      </c>
      <c r="AM112" s="4">
        <v>-0.26700000000000002</v>
      </c>
      <c r="AN112" s="4">
        <v>0.254</v>
      </c>
      <c r="AO112" s="4">
        <v>-0.71099999999999997</v>
      </c>
      <c r="AP112" s="4">
        <v>0.46700000000000003</v>
      </c>
      <c r="AQ112" s="4">
        <v>0.74399999999999999</v>
      </c>
      <c r="AR112" s="4">
        <v>0.187</v>
      </c>
      <c r="AS112" s="4">
        <v>-0.26100000000000001</v>
      </c>
      <c r="AT112" s="4">
        <v>0.53</v>
      </c>
      <c r="AU112" s="4">
        <v>3.5999999999999997E-2</v>
      </c>
      <c r="AV112" s="4">
        <v>0.91200000000000003</v>
      </c>
      <c r="AW112" s="4">
        <v>-0.54500000000000004</v>
      </c>
      <c r="AX112" s="4">
        <v>0.126</v>
      </c>
      <c r="AY112" s="4">
        <v>0.72699999999999998</v>
      </c>
      <c r="AZ112" s="4">
        <v>6.5000000000000002E-2</v>
      </c>
      <c r="BA112" s="4">
        <v>-0.254</v>
      </c>
      <c r="BB112" s="4">
        <v>-0.104</v>
      </c>
      <c r="BC112" s="4">
        <v>-8.5000000000000006E-2</v>
      </c>
      <c r="BD112" s="4">
        <v>0.59</v>
      </c>
      <c r="BE112" s="4">
        <v>-0.45200000000000001</v>
      </c>
      <c r="BF112" s="4">
        <v>-0.34499999999999997</v>
      </c>
      <c r="BG112" s="4">
        <v>0.223</v>
      </c>
      <c r="BH112" s="4">
        <v>-0.67100000000000004</v>
      </c>
      <c r="BI112" s="4">
        <v>0.36099999999999999</v>
      </c>
      <c r="BJ112" s="4">
        <v>-0.92</v>
      </c>
      <c r="BK112" s="4">
        <v>0.34100000000000003</v>
      </c>
    </row>
    <row r="113" spans="1:63" x14ac:dyDescent="0.3">
      <c r="A113" t="s">
        <v>150</v>
      </c>
      <c r="B113" s="53">
        <f t="shared" si="9"/>
        <v>0</v>
      </c>
      <c r="C113" s="53">
        <f t="shared" si="10"/>
        <v>0</v>
      </c>
      <c r="D113" s="53">
        <f t="shared" si="11"/>
        <v>0</v>
      </c>
      <c r="E113" s="53">
        <v>0</v>
      </c>
      <c r="F113" s="15">
        <v>0.75700000000000001</v>
      </c>
      <c r="G113">
        <v>0.63100000000000001</v>
      </c>
      <c r="H113" t="s">
        <v>53</v>
      </c>
      <c r="I113" t="str">
        <f>VLOOKUP(A113,Planilha6!$BL$9:$BN$222,2,0)</f>
        <v>healthcare</v>
      </c>
      <c r="J113" t="str">
        <f>VLOOKUP(A113,Planilha6!$BL$9:$BN$222,3,0)</f>
        <v>neutral_beta</v>
      </c>
      <c r="K113" s="2">
        <v>0</v>
      </c>
      <c r="L113" s="2">
        <v>0</v>
      </c>
      <c r="M113" s="29">
        <v>0</v>
      </c>
      <c r="N113" s="47">
        <f>VLOOKUP(A113,'Mandato ISEE'!$A$1:$C$215,2,0)</f>
        <v>0</v>
      </c>
      <c r="O113" s="48">
        <f t="shared" si="12"/>
        <v>0</v>
      </c>
      <c r="P113" s="47">
        <f>VLOOKUP(A113,'Mandato ISEE'!$A$1:$C$215,3,0)</f>
        <v>0</v>
      </c>
      <c r="Q113" s="48">
        <f t="shared" si="13"/>
        <v>0</v>
      </c>
      <c r="R113" s="15">
        <v>-0.28399999999999997</v>
      </c>
      <c r="S113" s="15">
        <v>-0.254</v>
      </c>
      <c r="T113" s="15">
        <v>-0.26700000000000002</v>
      </c>
      <c r="U113" s="15">
        <v>-0.56299999999999994</v>
      </c>
      <c r="V113" s="15">
        <v>-0.41499999999999998</v>
      </c>
      <c r="W113" s="15">
        <v>-0.25600000000000001</v>
      </c>
      <c r="X113" s="15">
        <v>-5.7000000000000002E-2</v>
      </c>
      <c r="Y113" s="15">
        <v>-0.372</v>
      </c>
      <c r="Z113" s="15">
        <v>0.16200000000000001</v>
      </c>
      <c r="AA113" s="15">
        <v>0.16400000000000001</v>
      </c>
      <c r="AB113" s="15">
        <v>0.55600000000000005</v>
      </c>
      <c r="AC113" s="15">
        <v>0.502</v>
      </c>
      <c r="AD113" s="15">
        <v>0.53300000000000003</v>
      </c>
      <c r="AE113" s="14">
        <v>-0.17499999999999999</v>
      </c>
      <c r="AF113" s="15">
        <v>-0.76900000000000002</v>
      </c>
      <c r="AG113" s="15">
        <v>-0.41899999999999998</v>
      </c>
      <c r="AH113" s="15">
        <v>-0.44800000000000001</v>
      </c>
      <c r="AI113" s="15">
        <v>0.105</v>
      </c>
      <c r="AJ113" s="9">
        <v>-6.3E-2</v>
      </c>
      <c r="AK113" s="4">
        <v>-0.32900000000000001</v>
      </c>
      <c r="AL113" s="4">
        <v>-0.35899999999999999</v>
      </c>
      <c r="AM113" s="4">
        <v>-0.60199999999999998</v>
      </c>
      <c r="AN113" s="4">
        <v>0.14299999999999999</v>
      </c>
      <c r="AO113" s="4">
        <v>0.126</v>
      </c>
      <c r="AP113" s="4">
        <v>0.55800000000000005</v>
      </c>
      <c r="AQ113" s="4">
        <v>-9.1999999999999998E-2</v>
      </c>
      <c r="AR113" s="4">
        <v>-0.16800000000000001</v>
      </c>
      <c r="AS113" s="4">
        <v>-0.58599999999999997</v>
      </c>
      <c r="AT113" s="4">
        <v>0.188</v>
      </c>
      <c r="AU113" s="4">
        <v>4.3999999999999997E-2</v>
      </c>
      <c r="AV113" s="4">
        <v>0.246</v>
      </c>
      <c r="AW113" s="4">
        <v>0.26700000000000002</v>
      </c>
      <c r="AX113" s="4">
        <v>0.28000000000000003</v>
      </c>
      <c r="AY113" s="4">
        <v>0.872</v>
      </c>
      <c r="AZ113" s="4">
        <v>-9.5000000000000001E-2</v>
      </c>
      <c r="BA113" s="4">
        <v>0.69099999999999995</v>
      </c>
      <c r="BB113" s="4">
        <v>-6.5000000000000002E-2</v>
      </c>
      <c r="BC113" s="4">
        <v>-0.22</v>
      </c>
      <c r="BD113" s="4">
        <v>8.0000000000000002E-3</v>
      </c>
      <c r="BE113" s="4">
        <v>-0.36599999999999999</v>
      </c>
      <c r="BF113" s="4">
        <v>0.26500000000000001</v>
      </c>
      <c r="BG113" s="4">
        <v>0.61199999999999999</v>
      </c>
      <c r="BH113" s="4">
        <v>0.20799999999999999</v>
      </c>
      <c r="BI113" s="4">
        <v>-7.4999999999999997E-2</v>
      </c>
      <c r="BJ113" s="4">
        <v>0.67200000000000004</v>
      </c>
      <c r="BK113" s="4">
        <v>0.23300000000000001</v>
      </c>
    </row>
    <row r="114" spans="1:63" x14ac:dyDescent="0.3">
      <c r="A114" t="s">
        <v>199</v>
      </c>
      <c r="B114" s="53">
        <f t="shared" si="9"/>
        <v>0</v>
      </c>
      <c r="C114" s="53">
        <f t="shared" si="10"/>
        <v>0</v>
      </c>
      <c r="D114" s="53">
        <f t="shared" si="11"/>
        <v>0</v>
      </c>
      <c r="E114" s="53">
        <v>0</v>
      </c>
      <c r="F114" s="15">
        <v>0.748</v>
      </c>
      <c r="G114">
        <v>0.871</v>
      </c>
      <c r="H114" t="s">
        <v>55</v>
      </c>
      <c r="I114" t="str">
        <f>VLOOKUP(A114,Planilha6!$BL$9:$BN$222,2,0)</f>
        <v>utilities</v>
      </c>
      <c r="J114" t="str">
        <f>VLOOKUP(A114,Planilha6!$BL$9:$BN$222,3,0)</f>
        <v>high_beta</v>
      </c>
      <c r="K114" s="2">
        <v>0</v>
      </c>
      <c r="L114" s="2">
        <v>0</v>
      </c>
      <c r="M114" s="29">
        <v>0</v>
      </c>
      <c r="N114" s="47">
        <f>VLOOKUP(A114,'Mandato ISEE'!$A$1:$C$215,2,0)</f>
        <v>0</v>
      </c>
      <c r="O114" s="48">
        <f t="shared" si="12"/>
        <v>0</v>
      </c>
      <c r="P114" s="47">
        <f>VLOOKUP(A114,'Mandato ISEE'!$A$1:$C$215,3,0)</f>
        <v>0</v>
      </c>
      <c r="Q114" s="48">
        <f t="shared" si="13"/>
        <v>0</v>
      </c>
      <c r="R114" s="15">
        <v>-0.439</v>
      </c>
      <c r="S114" s="15">
        <v>3.6999999999999998E-2</v>
      </c>
      <c r="T114" s="15">
        <v>-0.55600000000000005</v>
      </c>
      <c r="U114" s="15">
        <v>-0.41699999999999998</v>
      </c>
      <c r="V114" s="15">
        <v>-0.23899999999999999</v>
      </c>
      <c r="W114" s="15">
        <v>-0.22700000000000001</v>
      </c>
      <c r="X114" s="15">
        <v>-0.106</v>
      </c>
      <c r="Y114" s="15">
        <v>-0.44400000000000001</v>
      </c>
      <c r="Z114" s="15">
        <v>0.53800000000000003</v>
      </c>
      <c r="AA114" s="15">
        <v>0.53700000000000003</v>
      </c>
      <c r="AB114" s="15">
        <v>0.56399999999999995</v>
      </c>
      <c r="AC114" s="15">
        <v>0.58199999999999996</v>
      </c>
      <c r="AD114" s="15">
        <v>0.45</v>
      </c>
      <c r="AE114" s="14">
        <v>-0.61499999999999999</v>
      </c>
      <c r="AF114" s="15">
        <v>-0.36199999999999999</v>
      </c>
      <c r="AG114" s="15">
        <v>-0.16700000000000001</v>
      </c>
      <c r="AH114" s="15">
        <v>-0.85599999999999998</v>
      </c>
      <c r="AI114" s="15">
        <v>0.13400000000000001</v>
      </c>
      <c r="AJ114" s="9">
        <v>-0.55300000000000005</v>
      </c>
      <c r="AK114" s="4">
        <v>-0.51500000000000001</v>
      </c>
      <c r="AL114" s="4">
        <v>-1</v>
      </c>
      <c r="AM114" s="4">
        <v>-0.86199999999999999</v>
      </c>
      <c r="AN114" s="4">
        <v>0.17699999999999999</v>
      </c>
      <c r="AO114" s="4">
        <v>0.627</v>
      </c>
      <c r="AP114" s="4">
        <v>0.25900000000000001</v>
      </c>
      <c r="AQ114" s="4">
        <v>0.77100000000000002</v>
      </c>
      <c r="AR114" s="4">
        <v>0.86399999999999999</v>
      </c>
      <c r="AS114" s="4">
        <v>0.52700000000000002</v>
      </c>
      <c r="AT114" s="4">
        <v>-0.107</v>
      </c>
      <c r="AU114" s="4">
        <v>0.107</v>
      </c>
      <c r="AV114" s="4">
        <v>0.18</v>
      </c>
      <c r="AW114" s="4">
        <v>0.51500000000000001</v>
      </c>
      <c r="AX114" s="4">
        <v>-8.1000000000000003E-2</v>
      </c>
      <c r="AY114" s="4">
        <v>0.625</v>
      </c>
      <c r="AZ114" s="4">
        <v>0.73399999999999999</v>
      </c>
      <c r="BA114" s="4">
        <v>-0.34499999999999997</v>
      </c>
      <c r="BB114" s="4">
        <v>-0.68600000000000005</v>
      </c>
      <c r="BC114" s="4">
        <v>-0.92200000000000004</v>
      </c>
      <c r="BD114" s="4">
        <v>0.21099999999999999</v>
      </c>
      <c r="BE114" s="4">
        <v>-0.96299999999999997</v>
      </c>
      <c r="BF114" s="4">
        <v>0.36199999999999999</v>
      </c>
      <c r="BG114" s="4">
        <v>0.57899999999999996</v>
      </c>
      <c r="BH114" s="4">
        <v>-0.65700000000000003</v>
      </c>
      <c r="BI114" s="4">
        <v>0.22500000000000001</v>
      </c>
      <c r="BJ114" s="4">
        <v>-8.7999999999999995E-2</v>
      </c>
      <c r="BK114" s="4">
        <v>0.311</v>
      </c>
    </row>
    <row r="115" spans="1:63" x14ac:dyDescent="0.3">
      <c r="A115" t="s">
        <v>174</v>
      </c>
      <c r="B115" s="53">
        <f t="shared" si="9"/>
        <v>0</v>
      </c>
      <c r="C115" s="53">
        <f t="shared" si="10"/>
        <v>0</v>
      </c>
      <c r="D115" s="53">
        <f t="shared" si="11"/>
        <v>0</v>
      </c>
      <c r="E115" s="53">
        <v>0</v>
      </c>
      <c r="F115" s="15">
        <v>0.74099999999999999</v>
      </c>
      <c r="G115">
        <v>0.56299999999999994</v>
      </c>
      <c r="H115" t="s">
        <v>68</v>
      </c>
      <c r="I115" t="str">
        <f>VLOOKUP(A115,Planilha6!$BL$9:$BN$222,2,0)</f>
        <v>capital_goods</v>
      </c>
      <c r="J115" t="str">
        <f>VLOOKUP(A115,Planilha6!$BL$9:$BN$222,3,0)</f>
        <v>very_low_beta</v>
      </c>
      <c r="K115" s="2">
        <v>0</v>
      </c>
      <c r="L115" s="2">
        <v>0</v>
      </c>
      <c r="M115" s="29">
        <v>0</v>
      </c>
      <c r="N115" s="47">
        <f>VLOOKUP(A115,'Mandato ISEE'!$A$1:$C$215,2,0)</f>
        <v>0</v>
      </c>
      <c r="O115" s="48">
        <f t="shared" si="12"/>
        <v>0</v>
      </c>
      <c r="P115" s="47">
        <f>VLOOKUP(A115,'Mandato ISEE'!$A$1:$C$215,3,0)</f>
        <v>0</v>
      </c>
      <c r="Q115" s="48">
        <f t="shared" si="13"/>
        <v>0</v>
      </c>
      <c r="R115" s="15">
        <v>-0.20499999999999999</v>
      </c>
      <c r="S115" s="15">
        <v>-0.53400000000000003</v>
      </c>
      <c r="T115" s="15">
        <v>0.108</v>
      </c>
      <c r="U115" s="15">
        <v>-0.44900000000000001</v>
      </c>
      <c r="V115" s="15">
        <v>-0.372</v>
      </c>
      <c r="W115" s="15">
        <v>-0.65400000000000003</v>
      </c>
      <c r="X115" s="15">
        <v>-0.71599999999999997</v>
      </c>
      <c r="Y115" s="15">
        <v>-0.67</v>
      </c>
      <c r="Z115" s="15">
        <v>0.79200000000000004</v>
      </c>
      <c r="AA115" s="15">
        <v>0.79300000000000004</v>
      </c>
      <c r="AB115" s="15">
        <v>0.64100000000000001</v>
      </c>
      <c r="AC115" s="15">
        <v>0.69</v>
      </c>
      <c r="AD115" s="15">
        <v>0.65100000000000002</v>
      </c>
      <c r="AE115" s="14">
        <v>-0.22900000000000001</v>
      </c>
      <c r="AF115" s="15">
        <v>0</v>
      </c>
      <c r="AG115" s="15">
        <v>0.26900000000000002</v>
      </c>
      <c r="AH115" s="15">
        <v>1</v>
      </c>
      <c r="AI115" s="15">
        <v>0.19700000000000001</v>
      </c>
      <c r="AJ115" s="9">
        <v>-0.374</v>
      </c>
      <c r="AK115" s="4">
        <v>0.621</v>
      </c>
      <c r="AL115" s="4">
        <v>-0.58199999999999996</v>
      </c>
      <c r="AM115" s="4">
        <v>0.90600000000000003</v>
      </c>
      <c r="AN115" s="4">
        <v>-0.26600000000000001</v>
      </c>
      <c r="AO115" s="4">
        <v>-0.14499999999999999</v>
      </c>
      <c r="AP115" s="4">
        <v>-0.109</v>
      </c>
      <c r="AQ115" s="4">
        <v>-0.38100000000000001</v>
      </c>
      <c r="AR115" s="4">
        <v>-0.1</v>
      </c>
      <c r="AS115" s="4">
        <v>-0.61699999999999999</v>
      </c>
      <c r="AT115" s="4">
        <v>0.26600000000000001</v>
      </c>
      <c r="AU115" s="4">
        <v>-0.48399999999999999</v>
      </c>
      <c r="AV115" s="4">
        <v>-0.35499999999999998</v>
      </c>
      <c r="AW115" s="4">
        <v>0.14799999999999999</v>
      </c>
      <c r="AX115" s="4">
        <v>-0.755</v>
      </c>
      <c r="AY115" s="4">
        <v>0.82399999999999995</v>
      </c>
      <c r="AZ115" s="4">
        <v>6.5000000000000002E-2</v>
      </c>
      <c r="BA115" s="4">
        <v>0.122</v>
      </c>
      <c r="BB115" s="4">
        <v>0.27800000000000002</v>
      </c>
      <c r="BC115" s="4">
        <v>-7.8E-2</v>
      </c>
      <c r="BD115" s="4">
        <v>0.30499999999999999</v>
      </c>
      <c r="BE115" s="4">
        <v>-0.46899999999999997</v>
      </c>
      <c r="BF115" s="4">
        <v>-7.5999999999999998E-2</v>
      </c>
      <c r="BG115" s="4">
        <v>-2.1000000000000001E-2</v>
      </c>
      <c r="BH115" s="4">
        <v>1.2E-2</v>
      </c>
      <c r="BI115" s="4">
        <v>-0.11</v>
      </c>
      <c r="BJ115" s="4">
        <v>0.93100000000000005</v>
      </c>
      <c r="BK115" s="4">
        <v>0.71699999999999997</v>
      </c>
    </row>
    <row r="116" spans="1:63" x14ac:dyDescent="0.3">
      <c r="A116" t="s">
        <v>214</v>
      </c>
      <c r="B116" s="53">
        <f t="shared" si="9"/>
        <v>0</v>
      </c>
      <c r="C116" s="53">
        <f t="shared" si="10"/>
        <v>0</v>
      </c>
      <c r="D116" s="53">
        <f t="shared" si="11"/>
        <v>0</v>
      </c>
      <c r="E116" s="53">
        <v>0</v>
      </c>
      <c r="F116" s="15">
        <v>0.73799999999999999</v>
      </c>
      <c r="G116">
        <v>0.72299999999999998</v>
      </c>
      <c r="H116" t="s">
        <v>53</v>
      </c>
      <c r="I116" t="str">
        <f>VLOOKUP(A116,Planilha6!$BL$9:$BN$222,2,0)</f>
        <v>float_financials</v>
      </c>
      <c r="J116" t="str">
        <f>VLOOKUP(A116,Planilha6!$BL$9:$BN$222,3,0)</f>
        <v>low_beta</v>
      </c>
      <c r="K116" s="2">
        <v>0</v>
      </c>
      <c r="L116" s="2">
        <v>0</v>
      </c>
      <c r="M116" s="29">
        <v>0</v>
      </c>
      <c r="N116" s="47">
        <f>VLOOKUP(A116,'Mandato ISEE'!$A$1:$C$215,2,0)</f>
        <v>0</v>
      </c>
      <c r="O116" s="48">
        <f t="shared" si="12"/>
        <v>0</v>
      </c>
      <c r="P116" s="47">
        <f>VLOOKUP(A116,'Mandato ISEE'!$A$1:$C$215,3,0)</f>
        <v>0</v>
      </c>
      <c r="Q116" s="48">
        <f t="shared" si="13"/>
        <v>0</v>
      </c>
      <c r="R116" s="15">
        <v>-0.312</v>
      </c>
      <c r="S116" s="15">
        <v>-7.9000000000000001E-2</v>
      </c>
      <c r="T116" s="15">
        <v>-0.58399999999999996</v>
      </c>
      <c r="U116" s="15">
        <v>-0.41799999999999998</v>
      </c>
      <c r="V116" s="15">
        <v>-0.39400000000000002</v>
      </c>
      <c r="W116" s="15">
        <v>-0.28000000000000003</v>
      </c>
      <c r="X116" s="15">
        <v>-5.2999999999999999E-2</v>
      </c>
      <c r="Y116" s="15">
        <v>-0.60899999999999999</v>
      </c>
      <c r="Z116" s="15">
        <v>0.36299999999999999</v>
      </c>
      <c r="AA116" s="15">
        <v>0.36899999999999999</v>
      </c>
      <c r="AB116" s="15">
        <v>0.63</v>
      </c>
      <c r="AC116" s="15">
        <v>0.88900000000000001</v>
      </c>
      <c r="AD116" s="15">
        <v>0.54200000000000004</v>
      </c>
      <c r="AE116" s="14">
        <v>-0.42299999999999999</v>
      </c>
      <c r="AF116" s="15">
        <v>-0.215</v>
      </c>
      <c r="AG116" s="15">
        <v>0.10100000000000001</v>
      </c>
      <c r="AH116" s="15">
        <v>-0.47599999999999998</v>
      </c>
      <c r="AI116" s="15">
        <v>-7.0000000000000001E-3</v>
      </c>
      <c r="AJ116" s="9">
        <v>5.8000000000000003E-2</v>
      </c>
      <c r="AK116" s="4">
        <v>-0.156</v>
      </c>
      <c r="AL116" s="4">
        <v>-0.93400000000000005</v>
      </c>
      <c r="AM116" s="4">
        <v>-0.26</v>
      </c>
      <c r="AN116" s="4">
        <v>0.35399999999999998</v>
      </c>
      <c r="AO116" s="4">
        <v>0.184</v>
      </c>
      <c r="AP116" s="4">
        <v>0.39600000000000002</v>
      </c>
      <c r="AQ116" s="4">
        <v>0.51100000000000001</v>
      </c>
      <c r="AR116" s="4">
        <v>-0.71199999999999997</v>
      </c>
      <c r="AS116" s="4">
        <v>-0.28999999999999998</v>
      </c>
      <c r="AT116" s="4">
        <v>0.25700000000000001</v>
      </c>
      <c r="AU116" s="4">
        <v>0.23699999999999999</v>
      </c>
      <c r="AV116" s="4">
        <v>-0.111</v>
      </c>
      <c r="AW116" s="4">
        <v>0.28599999999999998</v>
      </c>
      <c r="AX116" s="4">
        <v>0.30199999999999999</v>
      </c>
      <c r="AY116" s="4">
        <v>0.86799999999999999</v>
      </c>
      <c r="AZ116" s="4">
        <v>-0.27700000000000002</v>
      </c>
      <c r="BA116" s="4">
        <v>0.01</v>
      </c>
      <c r="BB116" s="4">
        <v>0.129</v>
      </c>
      <c r="BC116" s="4">
        <v>-6.7000000000000004E-2</v>
      </c>
      <c r="BD116" s="4">
        <v>0.66600000000000004</v>
      </c>
      <c r="BE116" s="4">
        <v>6.7000000000000004E-2</v>
      </c>
      <c r="BF116" s="4">
        <v>-0.16600000000000001</v>
      </c>
      <c r="BG116" s="4">
        <v>0.70199999999999996</v>
      </c>
      <c r="BH116" s="4">
        <v>-0.16</v>
      </c>
      <c r="BI116" s="4">
        <v>-0.14599999999999999</v>
      </c>
      <c r="BJ116" s="4">
        <v>-0.255</v>
      </c>
      <c r="BK116" s="4">
        <v>0.60299999999999998</v>
      </c>
    </row>
    <row r="117" spans="1:63" x14ac:dyDescent="0.3">
      <c r="A117" t="s">
        <v>209</v>
      </c>
      <c r="B117" s="53">
        <f t="shared" si="9"/>
        <v>0</v>
      </c>
      <c r="C117" s="53">
        <f t="shared" si="10"/>
        <v>-6.0000000000000001E-3</v>
      </c>
      <c r="D117" s="53">
        <f t="shared" si="11"/>
        <v>0</v>
      </c>
      <c r="E117" s="53">
        <v>6.0000000000000001E-3</v>
      </c>
      <c r="F117" s="15">
        <v>0.73499999999999999</v>
      </c>
      <c r="G117">
        <v>1.1279999999999999</v>
      </c>
      <c r="H117" t="s">
        <v>55</v>
      </c>
      <c r="I117" t="str">
        <f>VLOOKUP(A117,Planilha6!$BL$9:$BN$222,2,0)</f>
        <v>utilities</v>
      </c>
      <c r="J117" t="str">
        <f>VLOOKUP(A117,Planilha6!$BL$9:$BN$222,3,0)</f>
        <v>high_beta</v>
      </c>
      <c r="K117" s="2">
        <v>0</v>
      </c>
      <c r="L117" s="2">
        <v>-6.0000000000000001E-3</v>
      </c>
      <c r="M117" s="29">
        <v>6.0000000000000001E-3</v>
      </c>
      <c r="N117" s="47">
        <f>VLOOKUP(A117,'Mandato ISEE'!$A$1:$C$215,2,0)</f>
        <v>0</v>
      </c>
      <c r="O117" s="48">
        <f t="shared" si="12"/>
        <v>0</v>
      </c>
      <c r="P117" s="47">
        <f>VLOOKUP(A117,'Mandato ISEE'!$A$1:$C$215,3,0)</f>
        <v>2.23022873940848E-2</v>
      </c>
      <c r="Q117" s="48">
        <f t="shared" si="13"/>
        <v>-2.23022873940848E-2</v>
      </c>
      <c r="R117" s="15">
        <v>-0.57899999999999996</v>
      </c>
      <c r="S117" s="15">
        <v>3.6999999999999998E-2</v>
      </c>
      <c r="T117" s="15">
        <v>-0.80700000000000005</v>
      </c>
      <c r="U117" s="15">
        <v>-0.59399999999999997</v>
      </c>
      <c r="V117" s="15">
        <v>-0.438</v>
      </c>
      <c r="W117" s="15">
        <v>-0.32</v>
      </c>
      <c r="X117" s="15">
        <v>-0.19400000000000001</v>
      </c>
      <c r="Y117" s="15">
        <v>-0.38800000000000001</v>
      </c>
      <c r="Z117" s="15">
        <v>0.47</v>
      </c>
      <c r="AA117" s="15">
        <v>0.48099999999999998</v>
      </c>
      <c r="AB117" s="15">
        <v>0.67</v>
      </c>
      <c r="AC117" s="15">
        <v>0.92300000000000004</v>
      </c>
      <c r="AD117" s="15">
        <v>0.62</v>
      </c>
      <c r="AE117" s="14">
        <v>-1</v>
      </c>
      <c r="AF117" s="15">
        <v>-0.45700000000000002</v>
      </c>
      <c r="AG117" s="15">
        <v>0.31</v>
      </c>
      <c r="AH117" s="15">
        <v>-1</v>
      </c>
      <c r="AI117" s="15">
        <v>-0.66100000000000003</v>
      </c>
      <c r="AJ117" s="9">
        <v>-0.96299999999999997</v>
      </c>
      <c r="AK117" s="4">
        <v>-0.371</v>
      </c>
      <c r="AL117" s="4">
        <v>-0.67900000000000005</v>
      </c>
      <c r="AM117" s="4">
        <v>-0.56399999999999995</v>
      </c>
      <c r="AN117" s="4">
        <v>-0.52300000000000002</v>
      </c>
      <c r="AO117" s="4">
        <v>0.69899999999999995</v>
      </c>
      <c r="AP117" s="4">
        <v>0.74199999999999999</v>
      </c>
      <c r="AQ117" s="4">
        <v>0.21199999999999999</v>
      </c>
      <c r="AR117" s="4">
        <v>0.80500000000000005</v>
      </c>
      <c r="AS117" s="4">
        <v>0.30599999999999999</v>
      </c>
      <c r="AT117" s="4">
        <v>0.20100000000000001</v>
      </c>
      <c r="AU117" s="4">
        <v>-3.0000000000000001E-3</v>
      </c>
      <c r="AV117" s="4">
        <v>-0.69</v>
      </c>
      <c r="AW117" s="4">
        <v>0.51100000000000001</v>
      </c>
      <c r="AX117" s="4">
        <v>-0.68799999999999994</v>
      </c>
      <c r="AY117" s="4">
        <v>0.83899999999999997</v>
      </c>
      <c r="AZ117" s="4">
        <v>0.40300000000000002</v>
      </c>
      <c r="BA117" s="4">
        <v>0.70599999999999996</v>
      </c>
      <c r="BB117" s="4">
        <v>-3.5999999999999997E-2</v>
      </c>
      <c r="BC117" s="4">
        <v>3.1E-2</v>
      </c>
      <c r="BD117" s="4">
        <v>0.36399999999999999</v>
      </c>
      <c r="BE117" s="4">
        <v>-0.26500000000000001</v>
      </c>
      <c r="BF117" s="4">
        <v>0.13100000000000001</v>
      </c>
      <c r="BG117" s="4">
        <v>0.55100000000000005</v>
      </c>
      <c r="BH117" s="4">
        <v>-0.76300000000000001</v>
      </c>
      <c r="BI117" s="4">
        <v>0.16500000000000001</v>
      </c>
      <c r="BJ117" s="4">
        <v>0.19700000000000001</v>
      </c>
      <c r="BK117" s="4">
        <v>-1</v>
      </c>
    </row>
    <row r="118" spans="1:63" x14ac:dyDescent="0.3">
      <c r="A118" t="s">
        <v>102</v>
      </c>
      <c r="B118" s="53">
        <f t="shared" si="9"/>
        <v>0</v>
      </c>
      <c r="C118" s="53">
        <f t="shared" si="10"/>
        <v>-1.0999999999999999E-2</v>
      </c>
      <c r="D118" s="53">
        <f t="shared" si="11"/>
        <v>0</v>
      </c>
      <c r="E118" s="53">
        <v>1.0999999999999999E-2</v>
      </c>
      <c r="F118" s="15">
        <v>0.72899999999999998</v>
      </c>
      <c r="G118">
        <v>0.64400000000000002</v>
      </c>
      <c r="H118" t="s">
        <v>57</v>
      </c>
      <c r="I118" t="str">
        <f>VLOOKUP(A118,Planilha6!$BL$9:$BN$222,2,0)</f>
        <v>education</v>
      </c>
      <c r="J118" t="str">
        <f>VLOOKUP(A118,Planilha6!$BL$9:$BN$222,3,0)</f>
        <v>high_beta</v>
      </c>
      <c r="K118" s="2">
        <v>0</v>
      </c>
      <c r="L118" s="2">
        <v>-1.0999999999999999E-2</v>
      </c>
      <c r="M118" s="29">
        <v>1.0999999999999999E-2</v>
      </c>
      <c r="N118" s="47">
        <f>VLOOKUP(A118,'Mandato ISEE'!$A$1:$C$215,2,0)</f>
        <v>0</v>
      </c>
      <c r="O118" s="48">
        <f t="shared" si="12"/>
        <v>0</v>
      </c>
      <c r="P118" s="47">
        <f>VLOOKUP(A118,'Mandato ISEE'!$A$1:$C$215,3,0)</f>
        <v>0</v>
      </c>
      <c r="Q118" s="48">
        <f t="shared" si="13"/>
        <v>0</v>
      </c>
      <c r="R118" s="15">
        <v>-0.29799999999999999</v>
      </c>
      <c r="S118" s="15">
        <v>-0.31900000000000001</v>
      </c>
      <c r="T118" s="15">
        <v>-0.57399999999999995</v>
      </c>
      <c r="U118" s="15">
        <v>-4.7E-2</v>
      </c>
      <c r="V118" s="15">
        <v>-0.221</v>
      </c>
      <c r="W118" s="15">
        <v>-0.33300000000000002</v>
      </c>
      <c r="X118" s="15">
        <v>-0.29199999999999998</v>
      </c>
      <c r="Y118" s="15">
        <v>-0.51700000000000002</v>
      </c>
      <c r="Z118" s="15">
        <v>0.309</v>
      </c>
      <c r="AA118" s="15">
        <v>0.309</v>
      </c>
      <c r="AB118" s="15">
        <v>0.72799999999999998</v>
      </c>
      <c r="AC118" s="15">
        <v>0.68100000000000005</v>
      </c>
      <c r="AD118" s="15">
        <v>0.48499999999999999</v>
      </c>
      <c r="AE118" s="14">
        <v>0.63400000000000001</v>
      </c>
      <c r="AF118" s="15">
        <v>0.81100000000000005</v>
      </c>
      <c r="AG118" s="15">
        <v>5.3999999999999999E-2</v>
      </c>
      <c r="AH118" s="15">
        <v>-0.39800000000000002</v>
      </c>
      <c r="AI118" s="15">
        <v>-0.49099999999999999</v>
      </c>
      <c r="AJ118" s="9">
        <v>7.2999999999999995E-2</v>
      </c>
      <c r="AK118" s="4">
        <v>-0.13100000000000001</v>
      </c>
      <c r="AL118" s="4">
        <v>-0.68400000000000005</v>
      </c>
      <c r="AM118" s="4">
        <v>0.39800000000000002</v>
      </c>
      <c r="AN118" s="4">
        <v>0.61499999999999999</v>
      </c>
      <c r="AO118" s="4">
        <v>2.8000000000000001E-2</v>
      </c>
      <c r="AP118" s="4">
        <v>-0.60799999999999998</v>
      </c>
      <c r="AQ118" s="4">
        <v>0.61599999999999999</v>
      </c>
      <c r="AR118" s="4">
        <v>-0.73599999999999999</v>
      </c>
      <c r="AS118" s="4">
        <v>-0.61</v>
      </c>
      <c r="AT118" s="4">
        <v>3.5000000000000003E-2</v>
      </c>
      <c r="AU118" s="4">
        <v>9.5000000000000001E-2</v>
      </c>
      <c r="AV118" s="4">
        <v>0.44600000000000001</v>
      </c>
      <c r="AW118" s="4">
        <v>-0.39500000000000002</v>
      </c>
      <c r="AX118" s="4">
        <v>-0.503</v>
      </c>
      <c r="AY118" s="4">
        <v>0.84</v>
      </c>
      <c r="AZ118" s="4">
        <v>0.22</v>
      </c>
      <c r="BA118" s="4">
        <v>0.39300000000000002</v>
      </c>
      <c r="BB118" s="4">
        <v>0.107</v>
      </c>
      <c r="BC118" s="4">
        <v>-0.17499999999999999</v>
      </c>
      <c r="BD118" s="4">
        <v>0.54100000000000004</v>
      </c>
      <c r="BE118" s="4">
        <v>-0.125</v>
      </c>
      <c r="BF118" s="4">
        <v>-0.38600000000000001</v>
      </c>
      <c r="BG118" s="4">
        <v>0.41</v>
      </c>
      <c r="BH118" s="4">
        <v>-0.33800000000000002</v>
      </c>
      <c r="BI118" s="4">
        <v>0.16</v>
      </c>
      <c r="BJ118" s="4">
        <v>-0.80300000000000005</v>
      </c>
      <c r="BK118" s="4">
        <v>-0.442</v>
      </c>
    </row>
    <row r="119" spans="1:63" x14ac:dyDescent="0.3">
      <c r="A119" t="s">
        <v>171</v>
      </c>
      <c r="B119" s="53">
        <f t="shared" si="9"/>
        <v>0</v>
      </c>
      <c r="C119" s="53">
        <f t="shared" si="10"/>
        <v>-0.02</v>
      </c>
      <c r="D119" s="53">
        <f t="shared" si="11"/>
        <v>0</v>
      </c>
      <c r="E119" s="53">
        <v>0.02</v>
      </c>
      <c r="F119" s="15">
        <v>0.71</v>
      </c>
      <c r="G119">
        <v>1.3819999999999999</v>
      </c>
      <c r="H119" t="s">
        <v>57</v>
      </c>
      <c r="I119" t="str">
        <f>VLOOKUP(A119,Planilha6!$BL$9:$BN$222,2,0)</f>
        <v>banks</v>
      </c>
      <c r="J119" t="str">
        <f>VLOOKUP(A119,Planilha6!$BL$9:$BN$222,3,0)</f>
        <v>neutral_beta</v>
      </c>
      <c r="K119" s="2">
        <v>0</v>
      </c>
      <c r="L119" s="2">
        <v>-0.02</v>
      </c>
      <c r="M119" s="29">
        <v>0.02</v>
      </c>
      <c r="N119" s="47">
        <f>VLOOKUP(A119,'Mandato ISEE'!$A$1:$C$215,2,0)</f>
        <v>0</v>
      </c>
      <c r="O119" s="48">
        <f t="shared" si="12"/>
        <v>0</v>
      </c>
      <c r="P119" s="47">
        <f>VLOOKUP(A119,'Mandato ISEE'!$A$1:$C$215,3,0)</f>
        <v>0</v>
      </c>
      <c r="Q119" s="48">
        <f t="shared" si="13"/>
        <v>0</v>
      </c>
      <c r="R119" s="15">
        <v>-0.68500000000000005</v>
      </c>
      <c r="S119" s="15">
        <v>-0.42899999999999999</v>
      </c>
      <c r="T119" s="15">
        <v>-0.83499999999999996</v>
      </c>
      <c r="U119" s="15">
        <v>-0.60699999999999998</v>
      </c>
      <c r="V119" s="15">
        <v>-0.58599999999999997</v>
      </c>
      <c r="W119" s="15">
        <v>-0.39400000000000002</v>
      </c>
      <c r="X119" s="15">
        <v>-0.106</v>
      </c>
      <c r="Y119" s="15">
        <v>-0.33500000000000002</v>
      </c>
      <c r="Z119" s="15">
        <v>0.71499999999999997</v>
      </c>
      <c r="AA119" s="15">
        <v>0.71599999999999997</v>
      </c>
      <c r="AB119" s="15">
        <v>0.69499999999999995</v>
      </c>
      <c r="AC119" s="15">
        <v>0.81399999999999995</v>
      </c>
      <c r="AD119" s="15">
        <v>0.57499999999999996</v>
      </c>
      <c r="AE119" s="14">
        <v>-0.67800000000000005</v>
      </c>
      <c r="AF119" s="15">
        <v>6.0000000000000001E-3</v>
      </c>
      <c r="AG119" s="15">
        <v>-0.109</v>
      </c>
      <c r="AH119" s="15">
        <v>-0.89500000000000002</v>
      </c>
      <c r="AI119" s="15">
        <v>-1</v>
      </c>
      <c r="AJ119" s="9">
        <v>-1</v>
      </c>
      <c r="AK119" s="4">
        <v>-0.159</v>
      </c>
      <c r="AL119" s="4">
        <v>-7.1999999999999995E-2</v>
      </c>
      <c r="AM119" s="4">
        <v>4.5999999999999999E-2</v>
      </c>
      <c r="AN119" s="4">
        <v>1.7000000000000001E-2</v>
      </c>
      <c r="AO119" s="4">
        <v>5.5E-2</v>
      </c>
      <c r="AP119" s="4">
        <v>-0.27</v>
      </c>
      <c r="AQ119" s="4">
        <v>0.107</v>
      </c>
      <c r="AR119" s="4">
        <v>0.19900000000000001</v>
      </c>
      <c r="AS119" s="4">
        <v>0.51600000000000001</v>
      </c>
      <c r="AT119" s="4">
        <v>-5.3999999999999999E-2</v>
      </c>
      <c r="AU119" s="4">
        <v>-0.11600000000000001</v>
      </c>
      <c r="AV119" s="4">
        <v>-0.47599999999999998</v>
      </c>
      <c r="AW119" s="4">
        <v>0.33200000000000002</v>
      </c>
      <c r="AX119" s="4">
        <v>-0.46899999999999997</v>
      </c>
      <c r="AY119" s="4">
        <v>0.32900000000000001</v>
      </c>
      <c r="AZ119" s="4">
        <v>-0.217</v>
      </c>
      <c r="BA119" s="4">
        <v>0.47299999999999998</v>
      </c>
      <c r="BB119" s="4">
        <v>-0.14000000000000001</v>
      </c>
      <c r="BC119" s="4">
        <v>-0.23</v>
      </c>
      <c r="BD119" s="4">
        <v>0.123</v>
      </c>
      <c r="BE119" s="4">
        <v>0.19800000000000001</v>
      </c>
      <c r="BF119" s="4">
        <v>-0.32200000000000001</v>
      </c>
      <c r="BG119" s="4">
        <v>0.89100000000000001</v>
      </c>
      <c r="BH119" s="4">
        <v>-0.30499999999999999</v>
      </c>
      <c r="BI119" s="4">
        <v>-1.2999999999999999E-2</v>
      </c>
      <c r="BJ119" s="4">
        <v>0.14099999999999999</v>
      </c>
      <c r="BK119" s="4">
        <v>-0.56899999999999995</v>
      </c>
    </row>
    <row r="120" spans="1:63" x14ac:dyDescent="0.3">
      <c r="A120" t="s">
        <v>120</v>
      </c>
      <c r="B120" s="53">
        <f t="shared" si="9"/>
        <v>0</v>
      </c>
      <c r="C120" s="53">
        <f t="shared" si="10"/>
        <v>0</v>
      </c>
      <c r="D120" s="53">
        <f t="shared" si="11"/>
        <v>0</v>
      </c>
      <c r="E120" s="53">
        <v>0</v>
      </c>
      <c r="F120" s="15">
        <v>0.7</v>
      </c>
      <c r="G120">
        <v>0.80800000000000005</v>
      </c>
      <c r="H120" t="s">
        <v>71</v>
      </c>
      <c r="I120" t="str">
        <f>VLOOKUP(A120,Planilha6!$BL$9:$BN$222,2,0)</f>
        <v>basic_materials</v>
      </c>
      <c r="J120" t="str">
        <f>VLOOKUP(A120,Planilha6!$BL$9:$BN$222,3,0)</f>
        <v>neutral_beta</v>
      </c>
      <c r="K120" s="2">
        <v>0</v>
      </c>
      <c r="L120" s="2">
        <v>0</v>
      </c>
      <c r="M120" s="29">
        <v>0</v>
      </c>
      <c r="N120" s="47">
        <f>VLOOKUP(A120,'Mandato ISEE'!$A$1:$C$215,2,0)</f>
        <v>0</v>
      </c>
      <c r="O120" s="48">
        <f t="shared" si="12"/>
        <v>0</v>
      </c>
      <c r="P120" s="47">
        <f>VLOOKUP(A120,'Mandato ISEE'!$A$1:$C$215,3,0)</f>
        <v>0</v>
      </c>
      <c r="Q120" s="48">
        <f t="shared" si="13"/>
        <v>0</v>
      </c>
      <c r="R120" s="15">
        <v>-0.79</v>
      </c>
      <c r="S120" s="15">
        <v>-0.41899999999999998</v>
      </c>
      <c r="T120" s="15">
        <v>-0.88600000000000001</v>
      </c>
      <c r="U120" s="15">
        <v>-0.66100000000000003</v>
      </c>
      <c r="V120" s="15">
        <v>-0.59299999999999997</v>
      </c>
      <c r="W120" s="15">
        <v>-0.50600000000000001</v>
      </c>
      <c r="X120" s="15">
        <v>-0.50800000000000001</v>
      </c>
      <c r="Y120" s="15">
        <v>-0.223</v>
      </c>
      <c r="Z120" s="15">
        <v>0.94799999999999995</v>
      </c>
      <c r="AA120" s="15">
        <v>0.95199999999999996</v>
      </c>
      <c r="AB120" s="15">
        <v>0.59799999999999998</v>
      </c>
      <c r="AC120" s="15">
        <v>0.73899999999999999</v>
      </c>
      <c r="AD120" s="15">
        <v>0.64</v>
      </c>
      <c r="AE120" s="14">
        <v>-0.53</v>
      </c>
      <c r="AF120" s="15">
        <v>-0.71199999999999997</v>
      </c>
      <c r="AG120" s="15">
        <v>1</v>
      </c>
      <c r="AH120" s="15">
        <v>-0.35299999999999998</v>
      </c>
      <c r="AI120" s="15">
        <v>-0.67700000000000005</v>
      </c>
      <c r="AJ120" s="9">
        <v>-0.84599999999999997</v>
      </c>
      <c r="AK120" s="4">
        <v>0.41799999999999998</v>
      </c>
      <c r="AL120" s="4">
        <v>1.2E-2</v>
      </c>
      <c r="AM120" s="4">
        <v>0.68799999999999994</v>
      </c>
      <c r="AN120" s="4">
        <v>-0.63200000000000001</v>
      </c>
      <c r="AO120" s="4">
        <v>0.159</v>
      </c>
      <c r="AP120" s="4">
        <v>-0.44500000000000001</v>
      </c>
      <c r="AQ120" s="4">
        <v>-0.95199999999999996</v>
      </c>
      <c r="AR120" s="4">
        <v>-0.98599999999999999</v>
      </c>
      <c r="AS120" s="4">
        <v>-0.66500000000000004</v>
      </c>
      <c r="AT120" s="4">
        <v>0.121</v>
      </c>
      <c r="AU120" s="4">
        <v>-0.38400000000000001</v>
      </c>
      <c r="AV120" s="4">
        <v>-0.441</v>
      </c>
      <c r="AW120" s="4">
        <v>0.42299999999999999</v>
      </c>
      <c r="AX120" s="4">
        <v>-5.3999999999999999E-2</v>
      </c>
      <c r="AY120" s="4">
        <v>0.86399999999999999</v>
      </c>
      <c r="AZ120" s="4">
        <v>-2.5000000000000001E-2</v>
      </c>
      <c r="BA120" s="4">
        <v>0.23899999999999999</v>
      </c>
      <c r="BB120" s="4">
        <v>0.14299999999999999</v>
      </c>
      <c r="BC120" s="4">
        <v>-9.9000000000000005E-2</v>
      </c>
      <c r="BD120" s="4">
        <v>0.35399999999999998</v>
      </c>
      <c r="BE120" s="4">
        <v>-0.45300000000000001</v>
      </c>
      <c r="BF120" s="4">
        <v>-0.36699999999999999</v>
      </c>
      <c r="BG120" s="4">
        <v>0.57999999999999996</v>
      </c>
      <c r="BH120" s="4">
        <v>-0.27500000000000002</v>
      </c>
      <c r="BI120" s="4">
        <v>-0.314</v>
      </c>
      <c r="BJ120" s="4">
        <v>-0.19900000000000001</v>
      </c>
      <c r="BK120" s="4">
        <v>-2.9000000000000001E-2</v>
      </c>
    </row>
    <row r="121" spans="1:63" x14ac:dyDescent="0.3">
      <c r="A121" t="s">
        <v>173</v>
      </c>
      <c r="B121" s="53">
        <f t="shared" si="9"/>
        <v>0</v>
      </c>
      <c r="C121" s="53">
        <f t="shared" si="10"/>
        <v>-2.3E-2</v>
      </c>
      <c r="D121" s="53">
        <f t="shared" si="11"/>
        <v>0</v>
      </c>
      <c r="E121" s="53">
        <v>2.3E-2</v>
      </c>
      <c r="F121" s="15">
        <v>0.68400000000000005</v>
      </c>
      <c r="G121">
        <v>1.3320000000000001</v>
      </c>
      <c r="H121" t="s">
        <v>55</v>
      </c>
      <c r="I121" t="str">
        <f>VLOOKUP(A121,Planilha6!$BL$9:$BN$222,2,0)</f>
        <v>utilities</v>
      </c>
      <c r="J121" t="str">
        <f>VLOOKUP(A121,Planilha6!$BL$9:$BN$222,3,0)</f>
        <v>low_beta</v>
      </c>
      <c r="K121" s="2">
        <v>0</v>
      </c>
      <c r="L121" s="2">
        <v>-2.3E-2</v>
      </c>
      <c r="M121" s="29">
        <v>2.3E-2</v>
      </c>
      <c r="N121" s="47">
        <f>VLOOKUP(A121,'Mandato ISEE'!$A$1:$C$215,2,0)</f>
        <v>0</v>
      </c>
      <c r="O121" s="48">
        <f t="shared" si="12"/>
        <v>0</v>
      </c>
      <c r="P121" s="47">
        <f>VLOOKUP(A121,'Mandato ISEE'!$A$1:$C$215,3,0)</f>
        <v>0</v>
      </c>
      <c r="Q121" s="48">
        <f t="shared" si="13"/>
        <v>0</v>
      </c>
      <c r="R121" s="15">
        <v>-0.83899999999999997</v>
      </c>
      <c r="S121" s="15">
        <v>-0.122</v>
      </c>
      <c r="T121" s="15">
        <v>-0.88400000000000001</v>
      </c>
      <c r="U121" s="15">
        <v>-0.76400000000000001</v>
      </c>
      <c r="V121" s="15">
        <v>-0.54200000000000004</v>
      </c>
      <c r="W121" s="15">
        <v>-0.47299999999999998</v>
      </c>
      <c r="X121" s="15">
        <v>-0.08</v>
      </c>
      <c r="Y121" s="15">
        <v>-3.9E-2</v>
      </c>
      <c r="Z121" s="15">
        <v>0.51</v>
      </c>
      <c r="AA121" s="15">
        <v>0.51500000000000001</v>
      </c>
      <c r="AB121" s="15">
        <v>0.59499999999999997</v>
      </c>
      <c r="AC121" s="15">
        <v>0.57099999999999995</v>
      </c>
      <c r="AD121" s="15">
        <v>0.41499999999999998</v>
      </c>
      <c r="AE121" s="14">
        <v>-0.87</v>
      </c>
      <c r="AF121" s="15">
        <v>-0.81399999999999995</v>
      </c>
      <c r="AG121" s="15">
        <v>-0.17699999999999999</v>
      </c>
      <c r="AH121" s="15">
        <v>-0.96899999999999997</v>
      </c>
      <c r="AI121" s="15">
        <v>-0.70099999999999996</v>
      </c>
      <c r="AJ121" s="9">
        <v>-0.999</v>
      </c>
      <c r="AK121" s="4">
        <v>-0.377</v>
      </c>
      <c r="AL121" s="4">
        <v>-0.26800000000000002</v>
      </c>
      <c r="AM121" s="4">
        <v>-0.70399999999999996</v>
      </c>
      <c r="AN121" s="4">
        <v>-0.48799999999999999</v>
      </c>
      <c r="AO121" s="4">
        <v>0.34499999999999997</v>
      </c>
      <c r="AP121" s="4">
        <v>0.55300000000000005</v>
      </c>
      <c r="AQ121" s="4">
        <v>-8.5999999999999993E-2</v>
      </c>
      <c r="AR121" s="4">
        <v>-0.189</v>
      </c>
      <c r="AS121" s="4">
        <v>-0.41499999999999998</v>
      </c>
      <c r="AT121" s="4">
        <v>0.14299999999999999</v>
      </c>
      <c r="AU121" s="4">
        <v>0.36899999999999999</v>
      </c>
      <c r="AV121" s="4">
        <v>-0.42399999999999999</v>
      </c>
      <c r="AW121" s="4">
        <v>0.75</v>
      </c>
      <c r="AX121" s="4">
        <v>-0.66400000000000003</v>
      </c>
      <c r="AY121" s="4">
        <v>0.83499999999999996</v>
      </c>
      <c r="AZ121" s="4">
        <v>1</v>
      </c>
      <c r="BA121" s="4">
        <v>-0.28000000000000003</v>
      </c>
      <c r="BB121" s="4">
        <v>-0.47299999999999998</v>
      </c>
      <c r="BC121" s="4">
        <v>-0.71799999999999997</v>
      </c>
      <c r="BD121" s="4">
        <v>5.6000000000000001E-2</v>
      </c>
      <c r="BE121" s="4">
        <v>-0.58499999999999996</v>
      </c>
      <c r="BF121" s="4">
        <v>0.17100000000000001</v>
      </c>
      <c r="BG121" s="4">
        <v>0.68799999999999994</v>
      </c>
      <c r="BH121" s="4">
        <v>-0.36199999999999999</v>
      </c>
      <c r="BI121" s="4">
        <v>-0.13</v>
      </c>
      <c r="BJ121" s="4">
        <v>0.20300000000000001</v>
      </c>
      <c r="BK121" s="4">
        <v>-0.38100000000000001</v>
      </c>
    </row>
    <row r="122" spans="1:63" x14ac:dyDescent="0.3">
      <c r="A122" t="s">
        <v>211</v>
      </c>
      <c r="B122" s="53">
        <f t="shared" si="9"/>
        <v>0</v>
      </c>
      <c r="C122" s="53">
        <f t="shared" si="10"/>
        <v>-0.03</v>
      </c>
      <c r="D122" s="53">
        <f t="shared" si="11"/>
        <v>0</v>
      </c>
      <c r="E122" s="53">
        <v>0.03</v>
      </c>
      <c r="F122" s="15">
        <v>0.68300000000000005</v>
      </c>
      <c r="G122">
        <v>1.3520000000000001</v>
      </c>
      <c r="H122" t="s">
        <v>57</v>
      </c>
      <c r="I122" t="str">
        <f>VLOOKUP(A122,Planilha6!$BL$9:$BN$222,2,0)</f>
        <v>banks</v>
      </c>
      <c r="J122" t="str">
        <f>VLOOKUP(A122,Planilha6!$BL$9:$BN$222,3,0)</f>
        <v>very_high_beta</v>
      </c>
      <c r="K122" s="2">
        <v>0</v>
      </c>
      <c r="L122" s="2">
        <v>-0.03</v>
      </c>
      <c r="M122" s="29">
        <v>0.03</v>
      </c>
      <c r="N122" s="47">
        <f>VLOOKUP(A122,'Mandato ISEE'!$A$1:$C$215,2,0)</f>
        <v>0</v>
      </c>
      <c r="O122" s="48">
        <f t="shared" si="12"/>
        <v>0</v>
      </c>
      <c r="P122" s="47">
        <f>VLOOKUP(A122,'Mandato ISEE'!$A$1:$C$215,3,0)</f>
        <v>0</v>
      </c>
      <c r="Q122" s="48">
        <f t="shared" si="13"/>
        <v>0</v>
      </c>
      <c r="R122" s="15">
        <v>-0.54600000000000004</v>
      </c>
      <c r="S122" s="15">
        <v>-6.2E-2</v>
      </c>
      <c r="T122" s="15">
        <v>-0.77700000000000002</v>
      </c>
      <c r="U122" s="15">
        <v>-0.438</v>
      </c>
      <c r="V122" s="15">
        <v>-0.36399999999999999</v>
      </c>
      <c r="W122" s="15">
        <v>-0.375</v>
      </c>
      <c r="X122" s="15">
        <v>-0.28100000000000003</v>
      </c>
      <c r="Y122" s="15">
        <v>-0.40400000000000003</v>
      </c>
      <c r="Z122" s="15">
        <v>0.33900000000000002</v>
      </c>
      <c r="AA122" s="15">
        <v>0.34200000000000003</v>
      </c>
      <c r="AB122" s="15">
        <v>0.70699999999999996</v>
      </c>
      <c r="AC122" s="15">
        <v>0.748</v>
      </c>
      <c r="AD122" s="15">
        <v>0.45400000000000001</v>
      </c>
      <c r="AE122" s="14">
        <v>-0.46100000000000002</v>
      </c>
      <c r="AF122" s="15">
        <v>-0.127</v>
      </c>
      <c r="AG122" s="15">
        <v>-0.11899999999999999</v>
      </c>
      <c r="AH122" s="15">
        <v>-1</v>
      </c>
      <c r="AI122" s="15">
        <v>-0.86299999999999999</v>
      </c>
      <c r="AJ122" s="9">
        <v>-0.72599999999999998</v>
      </c>
      <c r="AK122" s="4">
        <v>-0.16</v>
      </c>
      <c r="AL122" s="4">
        <v>-0.69</v>
      </c>
      <c r="AM122" s="4">
        <v>-0.70599999999999996</v>
      </c>
      <c r="AN122" s="4">
        <v>-0.08</v>
      </c>
      <c r="AO122" s="4">
        <v>0.26700000000000002</v>
      </c>
      <c r="AP122" s="4">
        <v>0.308</v>
      </c>
      <c r="AQ122" s="4">
        <v>0.621</v>
      </c>
      <c r="AR122" s="4">
        <v>0.26800000000000002</v>
      </c>
      <c r="AS122" s="4">
        <v>0.20499999999999999</v>
      </c>
      <c r="AT122" s="4">
        <v>1.4E-2</v>
      </c>
      <c r="AU122" s="4">
        <v>0.122</v>
      </c>
      <c r="AV122" s="4">
        <v>0.17699999999999999</v>
      </c>
      <c r="AW122" s="4">
        <v>3.5000000000000003E-2</v>
      </c>
      <c r="AX122" s="4">
        <v>-0.434</v>
      </c>
      <c r="AY122" s="4">
        <v>0.33300000000000002</v>
      </c>
      <c r="AZ122" s="4">
        <v>1</v>
      </c>
      <c r="BA122" s="4">
        <v>0.16500000000000001</v>
      </c>
      <c r="BB122" s="4">
        <v>-0.55200000000000005</v>
      </c>
      <c r="BC122" s="4">
        <v>-0.05</v>
      </c>
      <c r="BD122" s="4">
        <v>0.435</v>
      </c>
      <c r="BE122" s="4">
        <v>-0.36399999999999999</v>
      </c>
      <c r="BF122" s="4">
        <v>-0.22700000000000001</v>
      </c>
      <c r="BG122" s="4">
        <v>0.45500000000000002</v>
      </c>
      <c r="BH122" s="4">
        <v>-0.73899999999999999</v>
      </c>
      <c r="BI122" s="4">
        <v>0.31900000000000001</v>
      </c>
      <c r="BJ122" s="4">
        <v>-0.14599999999999999</v>
      </c>
      <c r="BK122" s="4">
        <v>-0.82</v>
      </c>
    </row>
    <row r="123" spans="1:63" x14ac:dyDescent="0.3">
      <c r="A123" t="s">
        <v>133</v>
      </c>
      <c r="B123" s="53">
        <f t="shared" si="9"/>
        <v>0</v>
      </c>
      <c r="C123" s="53">
        <f t="shared" si="10"/>
        <v>0</v>
      </c>
      <c r="D123" s="53">
        <f t="shared" si="11"/>
        <v>0</v>
      </c>
      <c r="E123" s="53">
        <v>0</v>
      </c>
      <c r="F123" s="15">
        <v>0.67600000000000005</v>
      </c>
      <c r="G123">
        <v>0.81200000000000006</v>
      </c>
      <c r="H123" t="s">
        <v>68</v>
      </c>
      <c r="I123" t="str">
        <f>VLOOKUP(A123,Planilha6!$BL$9:$BN$222,2,0)</f>
        <v>capital_goods</v>
      </c>
      <c r="J123" t="str">
        <f>VLOOKUP(A123,Planilha6!$BL$9:$BN$222,3,0)</f>
        <v>very_low_beta</v>
      </c>
      <c r="K123" s="2">
        <v>0</v>
      </c>
      <c r="L123" s="2">
        <v>0</v>
      </c>
      <c r="M123" s="29">
        <v>0</v>
      </c>
      <c r="N123" s="47">
        <f>VLOOKUP(A123,'Mandato ISEE'!$A$1:$C$215,2,0)</f>
        <v>0</v>
      </c>
      <c r="O123" s="48">
        <f t="shared" si="12"/>
        <v>0</v>
      </c>
      <c r="P123" s="47">
        <f>VLOOKUP(A123,'Mandato ISEE'!$A$1:$C$215,3,0)</f>
        <v>0</v>
      </c>
      <c r="Q123" s="48">
        <f t="shared" si="13"/>
        <v>0</v>
      </c>
      <c r="R123" s="15">
        <v>-0.52500000000000002</v>
      </c>
      <c r="S123" s="15">
        <v>-0.59699999999999998</v>
      </c>
      <c r="T123" s="15">
        <v>-0.25</v>
      </c>
      <c r="U123" s="15">
        <v>-0.72399999999999998</v>
      </c>
      <c r="V123" s="15">
        <v>-0.61399999999999999</v>
      </c>
      <c r="W123" s="15">
        <v>-0.52300000000000002</v>
      </c>
      <c r="X123" s="15">
        <v>-0.24299999999999999</v>
      </c>
      <c r="Y123" s="15">
        <v>-0.38600000000000001</v>
      </c>
      <c r="Z123" s="15">
        <v>0.46100000000000002</v>
      </c>
      <c r="AA123" s="15">
        <v>0.46200000000000002</v>
      </c>
      <c r="AB123" s="15">
        <v>0.501</v>
      </c>
      <c r="AC123" s="15">
        <v>0.47899999999999998</v>
      </c>
      <c r="AD123" s="15">
        <v>0.56000000000000005</v>
      </c>
      <c r="AE123" s="14">
        <v>-0.504</v>
      </c>
      <c r="AF123" s="15">
        <v>-0.72699999999999998</v>
      </c>
      <c r="AG123" s="15">
        <v>-0.16900000000000001</v>
      </c>
      <c r="AH123" s="15">
        <v>0.71399999999999997</v>
      </c>
      <c r="AI123" s="15">
        <v>0.436</v>
      </c>
      <c r="AJ123" s="9">
        <v>-0.29499999999999998</v>
      </c>
      <c r="AK123" s="4">
        <v>-0.17399999999999999</v>
      </c>
      <c r="AL123" s="4">
        <v>0.13100000000000001</v>
      </c>
      <c r="AM123" s="4">
        <v>0.246</v>
      </c>
      <c r="AN123" s="4">
        <v>6.3E-2</v>
      </c>
      <c r="AO123" s="4">
        <v>-0.29399999999999998</v>
      </c>
      <c r="AP123" s="4">
        <v>-0.44800000000000001</v>
      </c>
      <c r="AQ123" s="4">
        <v>-0.40500000000000003</v>
      </c>
      <c r="AR123" s="4">
        <v>-0.67200000000000004</v>
      </c>
      <c r="AS123" s="4">
        <v>-0.88100000000000001</v>
      </c>
      <c r="AT123" s="4">
        <v>-2E-3</v>
      </c>
      <c r="AU123" s="4">
        <v>-0.30399999999999999</v>
      </c>
      <c r="AV123" s="4">
        <v>-0.32300000000000001</v>
      </c>
      <c r="AW123" s="4">
        <v>0.66400000000000003</v>
      </c>
      <c r="AX123" s="4">
        <v>-0.152</v>
      </c>
      <c r="AY123" s="4">
        <v>0.85099999999999998</v>
      </c>
      <c r="AZ123" s="4">
        <v>-0.79600000000000004</v>
      </c>
      <c r="BA123" s="4">
        <v>0.83299999999999996</v>
      </c>
      <c r="BB123" s="4">
        <v>-8.6999999999999994E-2</v>
      </c>
      <c r="BC123" s="4">
        <v>-0.378</v>
      </c>
      <c r="BD123" s="4">
        <v>-9.5000000000000001E-2</v>
      </c>
      <c r="BE123" s="4">
        <v>1</v>
      </c>
      <c r="BF123" s="4">
        <v>0.97</v>
      </c>
      <c r="BG123" s="4">
        <v>0.79100000000000004</v>
      </c>
      <c r="BH123" s="4">
        <v>0.21099999999999999</v>
      </c>
      <c r="BI123" s="4">
        <v>-0.06</v>
      </c>
      <c r="BJ123" s="4">
        <v>0.82199999999999995</v>
      </c>
      <c r="BK123" s="4">
        <v>0.64800000000000002</v>
      </c>
    </row>
    <row r="124" spans="1:63" x14ac:dyDescent="0.3">
      <c r="A124" t="s">
        <v>204</v>
      </c>
      <c r="B124" s="53">
        <f t="shared" si="9"/>
        <v>0</v>
      </c>
      <c r="C124" s="53">
        <f t="shared" si="10"/>
        <v>-2.1000000000000001E-2</v>
      </c>
      <c r="D124" s="53">
        <f t="shared" si="11"/>
        <v>0</v>
      </c>
      <c r="E124" s="53">
        <v>2.1000000000000001E-2</v>
      </c>
      <c r="F124" s="15">
        <v>0.65500000000000003</v>
      </c>
      <c r="G124">
        <v>1.29</v>
      </c>
      <c r="H124" t="s">
        <v>55</v>
      </c>
      <c r="I124" t="str">
        <f>VLOOKUP(A124,Planilha6!$BL$9:$BN$222,2,0)</f>
        <v>utilities</v>
      </c>
      <c r="J124" t="str">
        <f>VLOOKUP(A124,Planilha6!$BL$9:$BN$222,3,0)</f>
        <v>low_beta</v>
      </c>
      <c r="K124" s="2">
        <v>0</v>
      </c>
      <c r="L124" s="2">
        <v>-2.1000000000000001E-2</v>
      </c>
      <c r="M124" s="29">
        <v>2.1000000000000001E-2</v>
      </c>
      <c r="N124" s="47">
        <f>VLOOKUP(A124,'Mandato ISEE'!$A$1:$C$215,2,0)</f>
        <v>0</v>
      </c>
      <c r="O124" s="48">
        <f t="shared" si="12"/>
        <v>0</v>
      </c>
      <c r="P124" s="47">
        <f>VLOOKUP(A124,'Mandato ISEE'!$A$1:$C$215,3,0)</f>
        <v>4.8250871783096803E-2</v>
      </c>
      <c r="Q124" s="48">
        <f t="shared" si="13"/>
        <v>-4.8250871783096803E-2</v>
      </c>
      <c r="R124" s="15">
        <v>-0.77300000000000002</v>
      </c>
      <c r="S124" s="15">
        <v>-0.22</v>
      </c>
      <c r="T124" s="15">
        <v>-0.94499999999999995</v>
      </c>
      <c r="U124" s="15">
        <v>-0.57099999999999995</v>
      </c>
      <c r="V124" s="15">
        <v>-0.58199999999999996</v>
      </c>
      <c r="W124" s="15">
        <v>-0.39900000000000002</v>
      </c>
      <c r="X124" s="15">
        <v>-5.6000000000000001E-2</v>
      </c>
      <c r="Y124" s="15">
        <v>-0.437</v>
      </c>
      <c r="Z124" s="15">
        <v>0.56499999999999995</v>
      </c>
      <c r="AA124" s="15">
        <v>0.57299999999999995</v>
      </c>
      <c r="AB124" s="15">
        <v>0.60199999999999998</v>
      </c>
      <c r="AC124" s="15">
        <v>0.72199999999999998</v>
      </c>
      <c r="AD124" s="15">
        <v>0.51900000000000002</v>
      </c>
      <c r="AE124" s="14">
        <v>-0.77200000000000002</v>
      </c>
      <c r="AF124" s="15">
        <v>-0.442</v>
      </c>
      <c r="AG124" s="15">
        <v>0.21</v>
      </c>
      <c r="AH124" s="15">
        <v>-1</v>
      </c>
      <c r="AI124" s="15">
        <v>-0.68500000000000005</v>
      </c>
      <c r="AJ124" s="9">
        <v>-0.95599999999999996</v>
      </c>
      <c r="AK124" s="4">
        <v>-0.45900000000000002</v>
      </c>
      <c r="AL124" s="4">
        <v>-0.57399999999999995</v>
      </c>
      <c r="AM124" s="4">
        <v>-0.73599999999999999</v>
      </c>
      <c r="AN124" s="4">
        <v>-9.6000000000000002E-2</v>
      </c>
      <c r="AO124" s="4">
        <v>0.58499999999999996</v>
      </c>
      <c r="AP124" s="4">
        <v>0.88500000000000001</v>
      </c>
      <c r="AQ124" s="4">
        <v>0.432</v>
      </c>
      <c r="AR124" s="4">
        <v>0.32</v>
      </c>
      <c r="AS124" s="4">
        <v>0.35299999999999998</v>
      </c>
      <c r="AT124" s="4">
        <v>0.30499999999999999</v>
      </c>
      <c r="AU124" s="4">
        <v>9.0999999999999998E-2</v>
      </c>
      <c r="AV124" s="4">
        <v>-0.19600000000000001</v>
      </c>
      <c r="AW124" s="4">
        <v>0.51100000000000001</v>
      </c>
      <c r="AX124" s="4">
        <v>-0.47799999999999998</v>
      </c>
      <c r="AY124" s="4">
        <v>0.77600000000000002</v>
      </c>
      <c r="AZ124" s="4">
        <v>-0.379</v>
      </c>
      <c r="BA124" s="4">
        <v>0.375</v>
      </c>
      <c r="BB124" s="4">
        <v>-0.54800000000000004</v>
      </c>
      <c r="BC124" s="4">
        <v>-0.73099999999999998</v>
      </c>
      <c r="BD124" s="4">
        <v>-9.6000000000000002E-2</v>
      </c>
      <c r="BE124" s="4">
        <v>-0.434</v>
      </c>
      <c r="BF124" s="4">
        <v>0.245</v>
      </c>
      <c r="BG124" s="4">
        <v>0.749</v>
      </c>
      <c r="BH124" s="4">
        <v>-0.96899999999999997</v>
      </c>
      <c r="BI124" s="4">
        <v>-0.24399999999999999</v>
      </c>
      <c r="BJ124" s="4">
        <v>-0.33</v>
      </c>
      <c r="BK124" s="4">
        <v>-0.79300000000000004</v>
      </c>
    </row>
    <row r="125" spans="1:63" x14ac:dyDescent="0.3">
      <c r="A125" t="s">
        <v>98</v>
      </c>
      <c r="B125" s="53">
        <f t="shared" si="9"/>
        <v>0</v>
      </c>
      <c r="C125" s="53">
        <f t="shared" si="10"/>
        <v>0</v>
      </c>
      <c r="D125" s="53">
        <f t="shared" si="11"/>
        <v>0</v>
      </c>
      <c r="E125" s="53">
        <v>0</v>
      </c>
      <c r="F125" s="15">
        <v>0.65400000000000003</v>
      </c>
      <c r="G125">
        <v>0.6</v>
      </c>
      <c r="H125" t="s">
        <v>68</v>
      </c>
      <c r="I125" t="str">
        <f>VLOOKUP(A125,Planilha6!$BL$9:$BN$222,2,0)</f>
        <v>chemicals</v>
      </c>
      <c r="J125" t="str">
        <f>VLOOKUP(A125,Planilha6!$BL$9:$BN$222,3,0)</f>
        <v>neutral_beta</v>
      </c>
      <c r="K125" s="2">
        <v>0</v>
      </c>
      <c r="L125" s="2">
        <v>0</v>
      </c>
      <c r="M125" s="29">
        <v>0</v>
      </c>
      <c r="N125" s="47">
        <f>VLOOKUP(A125,'Mandato ISEE'!$A$1:$C$215,2,0)</f>
        <v>0</v>
      </c>
      <c r="O125" s="48">
        <f t="shared" si="12"/>
        <v>0</v>
      </c>
      <c r="P125" s="47">
        <f>VLOOKUP(A125,'Mandato ISEE'!$A$1:$C$215,3,0)</f>
        <v>0</v>
      </c>
      <c r="Q125" s="48">
        <f t="shared" si="13"/>
        <v>0</v>
      </c>
      <c r="R125" s="15">
        <v>-0.85299999999999998</v>
      </c>
      <c r="S125" s="15">
        <v>-0.57499999999999996</v>
      </c>
      <c r="T125" s="15">
        <v>-0.80600000000000005</v>
      </c>
      <c r="U125" s="15">
        <v>-0.79</v>
      </c>
      <c r="V125" s="15">
        <v>-0.64400000000000002</v>
      </c>
      <c r="W125" s="15">
        <v>-0.61</v>
      </c>
      <c r="X125" s="15">
        <v>-0.32200000000000001</v>
      </c>
      <c r="Y125" s="15">
        <v>8.7999999999999995E-2</v>
      </c>
      <c r="Z125" s="15">
        <v>0.56200000000000006</v>
      </c>
      <c r="AA125" s="15">
        <v>0.56200000000000006</v>
      </c>
      <c r="AB125" s="15">
        <v>0.46700000000000003</v>
      </c>
      <c r="AC125" s="15">
        <v>0.42199999999999999</v>
      </c>
      <c r="AD125" s="15">
        <v>0.36599999999999999</v>
      </c>
      <c r="AE125" s="14">
        <v>-0.58799999999999997</v>
      </c>
      <c r="AF125" s="15">
        <v>-0.81299999999999994</v>
      </c>
      <c r="AG125" s="15">
        <v>-0.72199999999999998</v>
      </c>
      <c r="AH125" s="15">
        <v>-0.43099999999999999</v>
      </c>
      <c r="AI125" s="15">
        <v>-0.51500000000000001</v>
      </c>
      <c r="AJ125" s="9">
        <v>-0.82699999999999996</v>
      </c>
      <c r="AK125" s="4">
        <v>-0.108</v>
      </c>
      <c r="AL125" s="4">
        <v>0.72</v>
      </c>
      <c r="AM125" s="4">
        <v>-0.60699999999999998</v>
      </c>
      <c r="AN125" s="4">
        <v>-0.217</v>
      </c>
      <c r="AO125" s="4">
        <v>-0.214</v>
      </c>
      <c r="AP125" s="4">
        <v>0.185</v>
      </c>
      <c r="AQ125" s="4">
        <v>-0.51600000000000001</v>
      </c>
      <c r="AR125" s="4">
        <v>-0.309</v>
      </c>
      <c r="AS125" s="4">
        <v>-0.23400000000000001</v>
      </c>
      <c r="AT125" s="4">
        <v>0.27400000000000002</v>
      </c>
      <c r="AU125" s="4">
        <v>-0.14799999999999999</v>
      </c>
      <c r="AV125" s="4">
        <v>-0.39700000000000002</v>
      </c>
      <c r="AW125" s="4">
        <v>0.48099999999999998</v>
      </c>
      <c r="AX125" s="4">
        <v>-0.20499999999999999</v>
      </c>
      <c r="AY125" s="4">
        <v>0.755</v>
      </c>
      <c r="AZ125" s="4">
        <v>0.57399999999999995</v>
      </c>
      <c r="BA125" s="4">
        <v>-1</v>
      </c>
      <c r="BB125" s="4">
        <v>-1.9E-2</v>
      </c>
      <c r="BC125" s="4">
        <v>-0.46700000000000003</v>
      </c>
      <c r="BD125" s="4">
        <v>-0.26400000000000001</v>
      </c>
      <c r="BE125" s="4">
        <v>0.69</v>
      </c>
      <c r="BF125" s="4">
        <v>0.92100000000000004</v>
      </c>
      <c r="BG125" s="4">
        <v>0.57499999999999996</v>
      </c>
      <c r="BH125" s="4">
        <v>-0.41099999999999998</v>
      </c>
      <c r="BI125" s="4">
        <v>0.02</v>
      </c>
      <c r="BJ125" s="4">
        <v>0.34100000000000003</v>
      </c>
      <c r="BK125" s="4">
        <v>-0.13900000000000001</v>
      </c>
    </row>
    <row r="126" spans="1:63" x14ac:dyDescent="0.3">
      <c r="A126" t="s">
        <v>192</v>
      </c>
      <c r="B126" s="53">
        <f t="shared" si="9"/>
        <v>0</v>
      </c>
      <c r="C126" s="53">
        <f t="shared" si="10"/>
        <v>-2.5999999999999999E-2</v>
      </c>
      <c r="D126" s="53">
        <f t="shared" si="11"/>
        <v>0</v>
      </c>
      <c r="E126" s="53">
        <v>2.5999999999999999E-2</v>
      </c>
      <c r="F126" s="15">
        <v>0.64900000000000002</v>
      </c>
      <c r="G126">
        <v>1.1759999999999999</v>
      </c>
      <c r="H126" t="s">
        <v>57</v>
      </c>
      <c r="I126" t="str">
        <f>VLOOKUP(A126,Planilha6!$BL$9:$BN$222,2,0)</f>
        <v>banks</v>
      </c>
      <c r="J126" t="str">
        <f>VLOOKUP(A126,Planilha6!$BL$9:$BN$222,3,0)</f>
        <v>high_beta</v>
      </c>
      <c r="K126" s="2">
        <v>0</v>
      </c>
      <c r="L126" s="2">
        <v>-2.5999999999999999E-2</v>
      </c>
      <c r="M126" s="29">
        <v>2.5999999999999999E-2</v>
      </c>
      <c r="N126" s="47">
        <f>VLOOKUP(A126,'Mandato ISEE'!$A$1:$C$215,2,0)</f>
        <v>0</v>
      </c>
      <c r="O126" s="48">
        <f t="shared" si="12"/>
        <v>0</v>
      </c>
      <c r="P126" s="47">
        <f>VLOOKUP(A126,'Mandato ISEE'!$A$1:$C$215,3,0)</f>
        <v>0</v>
      </c>
      <c r="Q126" s="48">
        <f t="shared" si="13"/>
        <v>0</v>
      </c>
      <c r="R126" s="15">
        <v>-0.77</v>
      </c>
      <c r="S126" s="15">
        <v>-0.45300000000000001</v>
      </c>
      <c r="T126" s="15">
        <v>-0.91900000000000004</v>
      </c>
      <c r="U126" s="15">
        <v>-0.65100000000000002</v>
      </c>
      <c r="V126" s="15">
        <v>-0.66200000000000003</v>
      </c>
      <c r="W126" s="15">
        <v>-0.56499999999999995</v>
      </c>
      <c r="X126" s="15">
        <v>-0.33700000000000002</v>
      </c>
      <c r="Y126" s="15">
        <v>-0.42599999999999999</v>
      </c>
      <c r="Z126" s="15">
        <v>0.74399999999999999</v>
      </c>
      <c r="AA126" s="15">
        <v>0.75</v>
      </c>
      <c r="AB126" s="15">
        <v>0.73199999999999998</v>
      </c>
      <c r="AC126" s="15">
        <v>0.76900000000000002</v>
      </c>
      <c r="AD126" s="15">
        <v>0.56499999999999995</v>
      </c>
      <c r="AE126" s="14">
        <v>-0.73799999999999999</v>
      </c>
      <c r="AF126" s="15">
        <v>-0.20300000000000001</v>
      </c>
      <c r="AG126" s="15">
        <v>0.34200000000000003</v>
      </c>
      <c r="AH126" s="15">
        <v>-0.91200000000000003</v>
      </c>
      <c r="AI126" s="15">
        <v>-0.95399999999999996</v>
      </c>
      <c r="AJ126" s="9">
        <v>-1</v>
      </c>
      <c r="AK126" s="4">
        <v>2.1000000000000001E-2</v>
      </c>
      <c r="AL126" s="4">
        <v>-3.5000000000000003E-2</v>
      </c>
      <c r="AM126" s="4">
        <v>0.375</v>
      </c>
      <c r="AN126" s="4">
        <v>-0.46800000000000003</v>
      </c>
      <c r="AO126" s="4">
        <v>2.1000000000000001E-2</v>
      </c>
      <c r="AP126" s="4">
        <v>0.47499999999999998</v>
      </c>
      <c r="AQ126" s="4">
        <v>2.9000000000000001E-2</v>
      </c>
      <c r="AR126" s="4">
        <v>0.15</v>
      </c>
      <c r="AS126" s="4">
        <v>0.23899999999999999</v>
      </c>
      <c r="AT126" s="4">
        <v>-5.5E-2</v>
      </c>
      <c r="AU126" s="4">
        <v>-7.1999999999999995E-2</v>
      </c>
      <c r="AV126" s="4">
        <v>-0.626</v>
      </c>
      <c r="AW126" s="4">
        <v>0.30299999999999999</v>
      </c>
      <c r="AX126" s="4">
        <v>-0.50600000000000001</v>
      </c>
      <c r="AY126" s="4">
        <v>0.81</v>
      </c>
      <c r="AZ126" s="4">
        <v>-0.39100000000000001</v>
      </c>
      <c r="BA126" s="4">
        <v>-0.31900000000000001</v>
      </c>
      <c r="BB126" s="4">
        <v>8.0000000000000002E-3</v>
      </c>
      <c r="BC126" s="4">
        <v>-6.0999999999999999E-2</v>
      </c>
      <c r="BD126" s="4">
        <v>5.6000000000000001E-2</v>
      </c>
      <c r="BE126" s="4">
        <v>0.317</v>
      </c>
      <c r="BF126" s="4">
        <v>-4.0000000000000001E-3</v>
      </c>
      <c r="BG126" s="4">
        <v>0.68799999999999994</v>
      </c>
      <c r="BH126" s="4">
        <v>-0.48199999999999998</v>
      </c>
      <c r="BI126" s="4">
        <v>0.19900000000000001</v>
      </c>
      <c r="BJ126" s="4">
        <v>-0.35199999999999998</v>
      </c>
      <c r="BK126" s="4">
        <v>-0.626</v>
      </c>
    </row>
    <row r="127" spans="1:63" x14ac:dyDescent="0.3">
      <c r="A127" t="s">
        <v>168</v>
      </c>
      <c r="B127" s="53">
        <f t="shared" si="9"/>
        <v>0</v>
      </c>
      <c r="C127" s="53">
        <f t="shared" si="10"/>
        <v>-1.9E-2</v>
      </c>
      <c r="D127" s="53">
        <f t="shared" si="11"/>
        <v>0</v>
      </c>
      <c r="E127" s="53">
        <v>1.9E-2</v>
      </c>
      <c r="F127" s="15">
        <v>0.64900000000000002</v>
      </c>
      <c r="G127">
        <v>0.98299999999999998</v>
      </c>
      <c r="H127" t="s">
        <v>68</v>
      </c>
      <c r="I127" t="str">
        <f>VLOOKUP(A127,Planilha6!$BL$9:$BN$222,2,0)</f>
        <v>capital_goods</v>
      </c>
      <c r="J127" t="str">
        <f>VLOOKUP(A127,Planilha6!$BL$9:$BN$222,3,0)</f>
        <v>low_beta</v>
      </c>
      <c r="K127" s="2">
        <v>0</v>
      </c>
      <c r="L127" s="2">
        <v>-1.9E-2</v>
      </c>
      <c r="M127" s="29">
        <v>1.9E-2</v>
      </c>
      <c r="N127" s="47">
        <f>VLOOKUP(A127,'Mandato ISEE'!$A$1:$C$215,2,0)</f>
        <v>0</v>
      </c>
      <c r="O127" s="48">
        <f t="shared" si="12"/>
        <v>0</v>
      </c>
      <c r="P127" s="47">
        <f>VLOOKUP(A127,'Mandato ISEE'!$A$1:$C$215,3,0)</f>
        <v>0</v>
      </c>
      <c r="Q127" s="48">
        <f t="shared" si="13"/>
        <v>0</v>
      </c>
      <c r="R127" s="15">
        <v>-0.68799999999999994</v>
      </c>
      <c r="S127" s="15">
        <v>-0.38700000000000001</v>
      </c>
      <c r="T127" s="15">
        <v>-0.91800000000000004</v>
      </c>
      <c r="U127" s="15">
        <v>-0.55400000000000005</v>
      </c>
      <c r="V127" s="15">
        <v>-0.629</v>
      </c>
      <c r="W127" s="15">
        <v>-0.438</v>
      </c>
      <c r="X127" s="15">
        <v>-8.5000000000000006E-2</v>
      </c>
      <c r="Y127" s="15">
        <v>-0.47599999999999998</v>
      </c>
      <c r="Z127" s="15">
        <v>0.58799999999999997</v>
      </c>
      <c r="AA127" s="15">
        <v>0.59299999999999997</v>
      </c>
      <c r="AB127" s="15">
        <v>0.64</v>
      </c>
      <c r="AC127" s="15">
        <v>0.85399999999999998</v>
      </c>
      <c r="AD127" s="15">
        <v>0.441</v>
      </c>
      <c r="AE127" s="14">
        <v>-0.30299999999999999</v>
      </c>
      <c r="AF127" s="15">
        <v>-0.51400000000000001</v>
      </c>
      <c r="AG127" s="15">
        <v>-0.51900000000000002</v>
      </c>
      <c r="AH127" s="15">
        <v>-1</v>
      </c>
      <c r="AI127" s="15">
        <v>-0.99399999999999999</v>
      </c>
      <c r="AJ127" s="9">
        <v>-0.58399999999999996</v>
      </c>
      <c r="AK127" s="4">
        <v>-0.35799999999999998</v>
      </c>
      <c r="AL127" s="4">
        <v>-0.57999999999999996</v>
      </c>
      <c r="AM127" s="4">
        <v>-0.873</v>
      </c>
      <c r="AN127" s="4">
        <v>0.46500000000000002</v>
      </c>
      <c r="AO127" s="4">
        <v>0.42199999999999999</v>
      </c>
      <c r="AP127" s="4">
        <v>4.3999999999999997E-2</v>
      </c>
      <c r="AQ127" s="4">
        <v>0.379</v>
      </c>
      <c r="AR127" s="4">
        <v>0.114</v>
      </c>
      <c r="AS127" s="4">
        <v>-0.57999999999999996</v>
      </c>
      <c r="AT127" s="4">
        <v>0.76900000000000002</v>
      </c>
      <c r="AU127" s="4">
        <v>4.0000000000000001E-3</v>
      </c>
      <c r="AV127" s="4">
        <v>0.23200000000000001</v>
      </c>
      <c r="AW127" s="4">
        <v>0.59199999999999997</v>
      </c>
      <c r="AX127" s="4">
        <v>0.50600000000000001</v>
      </c>
      <c r="AY127" s="4">
        <v>0.96199999999999997</v>
      </c>
      <c r="AZ127" s="4">
        <v>-0.63</v>
      </c>
      <c r="BA127" s="4">
        <v>1.7999999999999999E-2</v>
      </c>
      <c r="BB127" s="4">
        <v>0.245</v>
      </c>
      <c r="BC127" s="4">
        <v>4.9000000000000002E-2</v>
      </c>
      <c r="BD127" s="4">
        <v>-2.5000000000000001E-2</v>
      </c>
      <c r="BE127" s="4">
        <v>2.5999999999999999E-2</v>
      </c>
      <c r="BF127" s="4">
        <v>-0.193</v>
      </c>
      <c r="BG127" s="4">
        <v>0.69299999999999995</v>
      </c>
      <c r="BH127" s="4">
        <v>-0.36699999999999999</v>
      </c>
      <c r="BI127" s="4">
        <v>6.0000000000000001E-3</v>
      </c>
      <c r="BJ127" s="4">
        <v>-0.152</v>
      </c>
      <c r="BK127" s="4">
        <v>-1</v>
      </c>
    </row>
    <row r="128" spans="1:63" x14ac:dyDescent="0.3">
      <c r="A128" t="s">
        <v>160</v>
      </c>
      <c r="B128" s="53">
        <f t="shared" si="9"/>
        <v>0</v>
      </c>
      <c r="C128" s="53">
        <f t="shared" si="10"/>
        <v>0</v>
      </c>
      <c r="D128" s="53">
        <f t="shared" si="11"/>
        <v>0</v>
      </c>
      <c r="E128" s="53">
        <v>0</v>
      </c>
      <c r="F128" s="15">
        <v>0.64500000000000002</v>
      </c>
      <c r="G128">
        <v>0.49</v>
      </c>
      <c r="H128" t="s">
        <v>57</v>
      </c>
      <c r="I128" t="str">
        <f>VLOOKUP(A128,Planilha6!$BL$9:$BN$222,2,0)</f>
        <v>financial_services</v>
      </c>
      <c r="J128" t="str">
        <f>VLOOKUP(A128,Planilha6!$BL$9:$BN$222,3,0)</f>
        <v>low_beta</v>
      </c>
      <c r="K128" s="2">
        <v>0</v>
      </c>
      <c r="L128" s="2">
        <v>0</v>
      </c>
      <c r="M128" s="29">
        <v>0</v>
      </c>
      <c r="N128" s="47">
        <f>VLOOKUP(A128,'Mandato ISEE'!$A$1:$C$215,2,0)</f>
        <v>0</v>
      </c>
      <c r="O128" s="48">
        <f t="shared" si="12"/>
        <v>0</v>
      </c>
      <c r="P128" s="47">
        <f>VLOOKUP(A128,'Mandato ISEE'!$A$1:$C$215,3,0)</f>
        <v>0</v>
      </c>
      <c r="Q128" s="48">
        <f t="shared" si="13"/>
        <v>0</v>
      </c>
      <c r="R128" s="15">
        <v>-0.57699999999999996</v>
      </c>
      <c r="S128" s="15">
        <v>-0.51700000000000002</v>
      </c>
      <c r="T128" s="15">
        <v>-0.72099999999999997</v>
      </c>
      <c r="U128" s="15">
        <v>-0.57599999999999996</v>
      </c>
      <c r="V128" s="15">
        <v>-0.61899999999999999</v>
      </c>
      <c r="W128" s="15">
        <v>-0.51800000000000002</v>
      </c>
      <c r="X128" s="15">
        <v>-0.17299999999999999</v>
      </c>
      <c r="Y128" s="15">
        <v>-0.65200000000000002</v>
      </c>
      <c r="Z128" s="15">
        <v>0.67300000000000004</v>
      </c>
      <c r="AA128" s="15">
        <v>0.67400000000000004</v>
      </c>
      <c r="AB128" s="15">
        <v>0.76600000000000001</v>
      </c>
      <c r="AC128" s="15">
        <v>0.79400000000000004</v>
      </c>
      <c r="AD128" s="15">
        <v>0.47599999999999998</v>
      </c>
      <c r="AE128" s="14">
        <v>-0.33100000000000002</v>
      </c>
      <c r="AF128" s="15">
        <v>0.20499999999999999</v>
      </c>
      <c r="AG128" s="15">
        <v>-0.434</v>
      </c>
      <c r="AH128" s="15">
        <v>-0.68600000000000005</v>
      </c>
      <c r="AI128" s="15">
        <v>-0.91400000000000003</v>
      </c>
      <c r="AJ128" s="9">
        <v>-0.55500000000000005</v>
      </c>
      <c r="AK128" s="4">
        <v>6.8000000000000005E-2</v>
      </c>
      <c r="AL128" s="4">
        <v>-0.70399999999999996</v>
      </c>
      <c r="AM128" s="4">
        <v>-0.09</v>
      </c>
      <c r="AN128" s="4">
        <v>0.73599999999999999</v>
      </c>
      <c r="AO128" s="4">
        <v>-9.6000000000000002E-2</v>
      </c>
      <c r="AP128" s="4">
        <v>-0.16400000000000001</v>
      </c>
      <c r="AQ128" s="4">
        <v>0.28399999999999997</v>
      </c>
      <c r="AR128" s="4">
        <v>-1.4999999999999999E-2</v>
      </c>
      <c r="AS128" s="4">
        <v>-0.89600000000000002</v>
      </c>
      <c r="AT128" s="4">
        <v>0.314</v>
      </c>
      <c r="AU128" s="4">
        <v>0.65</v>
      </c>
      <c r="AV128" s="4">
        <v>-0.158</v>
      </c>
      <c r="AW128" s="4">
        <v>0.11700000000000001</v>
      </c>
      <c r="AX128" s="4">
        <v>-0.28699999999999998</v>
      </c>
      <c r="AY128" s="4">
        <v>0.34</v>
      </c>
      <c r="AZ128" s="4">
        <v>-0.61099999999999999</v>
      </c>
      <c r="BA128" s="4">
        <v>-0.17100000000000001</v>
      </c>
      <c r="BB128" s="4">
        <v>-6.7000000000000004E-2</v>
      </c>
      <c r="BC128" s="4">
        <v>3.9E-2</v>
      </c>
      <c r="BD128" s="4">
        <v>7.0000000000000007E-2</v>
      </c>
      <c r="BE128" s="4">
        <v>-0.23300000000000001</v>
      </c>
      <c r="BF128" s="4">
        <v>3.2000000000000001E-2</v>
      </c>
      <c r="BG128" s="4">
        <v>0.434</v>
      </c>
      <c r="BH128" s="4">
        <v>0.14599999999999999</v>
      </c>
      <c r="BI128" s="4">
        <v>-9.7000000000000003E-2</v>
      </c>
      <c r="BJ128" s="4">
        <v>1</v>
      </c>
      <c r="BK128" s="4">
        <v>-5.7000000000000002E-2</v>
      </c>
    </row>
    <row r="129" spans="1:63" x14ac:dyDescent="0.3">
      <c r="A129" t="s">
        <v>155</v>
      </c>
      <c r="B129" s="53">
        <f t="shared" si="9"/>
        <v>0</v>
      </c>
      <c r="C129" s="53">
        <f t="shared" si="10"/>
        <v>0</v>
      </c>
      <c r="D129" s="53">
        <f t="shared" si="11"/>
        <v>0</v>
      </c>
      <c r="E129" s="53">
        <v>0</v>
      </c>
      <c r="F129" s="15">
        <v>0.64400000000000002</v>
      </c>
      <c r="G129">
        <v>0.46899999999999997</v>
      </c>
      <c r="H129" t="s">
        <v>55</v>
      </c>
      <c r="I129" t="str">
        <f>VLOOKUP(A129,Planilha6!$BL$9:$BN$222,2,0)</f>
        <v>utilities</v>
      </c>
      <c r="J129" t="str">
        <f>VLOOKUP(A129,Planilha6!$BL$9:$BN$222,3,0)</f>
        <v>low_beta</v>
      </c>
      <c r="K129" s="2">
        <v>0</v>
      </c>
      <c r="L129" s="2">
        <v>0</v>
      </c>
      <c r="M129" s="29">
        <v>0</v>
      </c>
      <c r="N129" s="47">
        <f>VLOOKUP(A129,'Mandato ISEE'!$A$1:$C$215,2,0)</f>
        <v>0</v>
      </c>
      <c r="O129" s="48">
        <f t="shared" si="12"/>
        <v>0</v>
      </c>
      <c r="P129" s="47">
        <f>VLOOKUP(A129,'Mandato ISEE'!$A$1:$C$215,3,0)</f>
        <v>0</v>
      </c>
      <c r="Q129" s="48">
        <f t="shared" si="13"/>
        <v>0</v>
      </c>
      <c r="R129" s="15">
        <v>-0.40200000000000002</v>
      </c>
      <c r="S129" s="15">
        <v>-0.58899999999999997</v>
      </c>
      <c r="T129" s="15">
        <v>-0.13800000000000001</v>
      </c>
      <c r="U129" s="15">
        <v>-0.35499999999999998</v>
      </c>
      <c r="V129" s="15">
        <v>-0.39700000000000002</v>
      </c>
      <c r="W129" s="15">
        <v>-0.61199999999999999</v>
      </c>
      <c r="X129" s="15">
        <v>-0.71199999999999997</v>
      </c>
      <c r="Y129" s="15">
        <v>-0.76900000000000002</v>
      </c>
      <c r="Z129" s="15">
        <v>0.56699999999999995</v>
      </c>
      <c r="AA129" s="15">
        <v>0.56699999999999995</v>
      </c>
      <c r="AB129" s="15">
        <v>0.57999999999999996</v>
      </c>
      <c r="AC129" s="15">
        <v>0.79600000000000004</v>
      </c>
      <c r="AD129" s="15">
        <v>0.55000000000000004</v>
      </c>
      <c r="AE129" s="14">
        <v>0.23</v>
      </c>
      <c r="AF129" s="15">
        <v>0.35299999999999998</v>
      </c>
      <c r="AG129" s="15">
        <v>0.13300000000000001</v>
      </c>
      <c r="AH129" s="15">
        <v>0.375</v>
      </c>
      <c r="AI129" s="15">
        <v>-2.5999999999999999E-2</v>
      </c>
      <c r="AJ129" s="9">
        <v>-0.51600000000000001</v>
      </c>
      <c r="AK129" s="4">
        <v>0.24</v>
      </c>
      <c r="AL129" s="4">
        <v>-1</v>
      </c>
      <c r="AM129" s="4">
        <v>0.80200000000000005</v>
      </c>
      <c r="AN129" s="4">
        <v>-0.27300000000000002</v>
      </c>
      <c r="AO129" s="4">
        <v>-0.17899999999999999</v>
      </c>
      <c r="AP129" s="4">
        <v>0.22800000000000001</v>
      </c>
      <c r="AQ129" s="4">
        <v>0.502</v>
      </c>
      <c r="AR129" s="4">
        <v>-0.32700000000000001</v>
      </c>
      <c r="AS129" s="4">
        <v>4.7E-2</v>
      </c>
      <c r="AT129" s="4">
        <v>-1.2999999999999999E-2</v>
      </c>
      <c r="AU129" s="4">
        <v>-0.51400000000000001</v>
      </c>
      <c r="AV129" s="4">
        <v>-8.9999999999999993E-3</v>
      </c>
      <c r="AW129" s="4">
        <v>-0.27</v>
      </c>
      <c r="AX129" s="4">
        <v>-0.78700000000000003</v>
      </c>
      <c r="AY129" s="4">
        <v>-0.124</v>
      </c>
      <c r="AZ129" s="4">
        <v>0.33700000000000002</v>
      </c>
      <c r="BA129" s="4">
        <v>-0.39500000000000002</v>
      </c>
      <c r="BB129" s="4">
        <v>2.8000000000000001E-2</v>
      </c>
      <c r="BC129" s="4">
        <v>-0.57099999999999995</v>
      </c>
      <c r="BD129" s="4">
        <v>0.27800000000000002</v>
      </c>
      <c r="BE129" s="4">
        <v>-0.55700000000000005</v>
      </c>
      <c r="BF129" s="4">
        <v>4.3999999999999997E-2</v>
      </c>
      <c r="BG129" s="4">
        <v>0.21199999999999999</v>
      </c>
      <c r="BH129" s="4">
        <v>-0.154</v>
      </c>
      <c r="BI129" s="4">
        <v>-0.16900000000000001</v>
      </c>
      <c r="BJ129" s="4">
        <v>0.47799999999999998</v>
      </c>
      <c r="BK129" s="4">
        <v>0.75</v>
      </c>
    </row>
    <row r="130" spans="1:63" x14ac:dyDescent="0.3">
      <c r="A130" t="s">
        <v>184</v>
      </c>
      <c r="B130" s="53">
        <f t="shared" si="9"/>
        <v>0</v>
      </c>
      <c r="C130" s="53">
        <f t="shared" si="10"/>
        <v>-3.1E-2</v>
      </c>
      <c r="D130" s="53">
        <f t="shared" si="11"/>
        <v>0</v>
      </c>
      <c r="E130" s="53">
        <v>3.1E-2</v>
      </c>
      <c r="F130" s="15">
        <v>0.64200000000000002</v>
      </c>
      <c r="G130">
        <v>1.25</v>
      </c>
      <c r="H130" t="s">
        <v>57</v>
      </c>
      <c r="I130" t="str">
        <f>VLOOKUP(A130,Planilha6!$BL$9:$BN$222,2,0)</f>
        <v>financial_services</v>
      </c>
      <c r="J130" t="str">
        <f>VLOOKUP(A130,Planilha6!$BL$9:$BN$222,3,0)</f>
        <v>very_high_beta</v>
      </c>
      <c r="K130" s="2">
        <v>0</v>
      </c>
      <c r="L130" s="2">
        <v>-3.1E-2</v>
      </c>
      <c r="M130" s="29">
        <v>3.1E-2</v>
      </c>
      <c r="N130" s="47">
        <f>VLOOKUP(A130,'Mandato ISEE'!$A$1:$C$215,2,0)</f>
        <v>0</v>
      </c>
      <c r="O130" s="48">
        <f t="shared" si="12"/>
        <v>0</v>
      </c>
      <c r="P130" s="47">
        <f>VLOOKUP(A130,'Mandato ISEE'!$A$1:$C$215,3,0)</f>
        <v>4.10629623701547E-2</v>
      </c>
      <c r="Q130" s="48">
        <f t="shared" si="13"/>
        <v>-4.10629623701547E-2</v>
      </c>
      <c r="R130" s="15">
        <v>-0.66400000000000003</v>
      </c>
      <c r="S130" s="15">
        <v>-0.06</v>
      </c>
      <c r="T130" s="15">
        <v>-0.93500000000000005</v>
      </c>
      <c r="U130" s="15">
        <v>-0.48899999999999999</v>
      </c>
      <c r="V130" s="15">
        <v>-0.54900000000000004</v>
      </c>
      <c r="W130" s="15">
        <v>-0.46100000000000002</v>
      </c>
      <c r="X130" s="15">
        <v>-4.2000000000000003E-2</v>
      </c>
      <c r="Y130" s="15">
        <v>-0.35699999999999998</v>
      </c>
      <c r="Z130" s="15">
        <v>0.224</v>
      </c>
      <c r="AA130" s="15">
        <v>0.23</v>
      </c>
      <c r="AB130" s="15">
        <v>0.58799999999999997</v>
      </c>
      <c r="AC130" s="15">
        <v>0.63500000000000001</v>
      </c>
      <c r="AD130" s="15">
        <v>0.36599999999999999</v>
      </c>
      <c r="AE130" s="14">
        <v>-0.20100000000000001</v>
      </c>
      <c r="AF130" s="15">
        <v>-0.72299999999999998</v>
      </c>
      <c r="AG130" s="15">
        <v>-3.2000000000000001E-2</v>
      </c>
      <c r="AH130" s="15">
        <v>-1</v>
      </c>
      <c r="AI130" s="15">
        <v>-0.68500000000000005</v>
      </c>
      <c r="AJ130" s="9">
        <v>-0.79100000000000004</v>
      </c>
      <c r="AK130" s="4">
        <v>-0.45600000000000002</v>
      </c>
      <c r="AL130" s="4">
        <v>-0.54600000000000004</v>
      </c>
      <c r="AM130" s="4">
        <v>-1</v>
      </c>
      <c r="AN130" s="4">
        <v>-0.6</v>
      </c>
      <c r="AO130" s="4">
        <v>0.47699999999999998</v>
      </c>
      <c r="AP130" s="4">
        <v>0.77900000000000003</v>
      </c>
      <c r="AQ130" s="4">
        <v>0.14899999999999999</v>
      </c>
      <c r="AR130" s="4">
        <v>-0.06</v>
      </c>
      <c r="AS130" s="4">
        <v>-0.47099999999999997</v>
      </c>
      <c r="AT130" s="4">
        <v>0.38200000000000001</v>
      </c>
      <c r="AU130" s="4">
        <v>1</v>
      </c>
      <c r="AV130" s="4">
        <v>0.47599999999999998</v>
      </c>
      <c r="AW130" s="4">
        <v>-3.2000000000000001E-2</v>
      </c>
      <c r="AX130" s="4">
        <v>0.15</v>
      </c>
      <c r="AY130" s="4">
        <v>0.44</v>
      </c>
      <c r="AZ130" s="4">
        <v>-0.29399999999999998</v>
      </c>
      <c r="BA130" s="4">
        <v>0.29299999999999998</v>
      </c>
      <c r="BB130" s="4">
        <v>0.221</v>
      </c>
      <c r="BC130" s="4">
        <v>0.10199999999999999</v>
      </c>
      <c r="BD130" s="4">
        <v>0.32</v>
      </c>
      <c r="BE130" s="4">
        <v>-0.42099999999999999</v>
      </c>
      <c r="BF130" s="4">
        <v>-0.38600000000000001</v>
      </c>
      <c r="BG130" s="4">
        <v>0.315</v>
      </c>
      <c r="BH130" s="4">
        <v>-0.38200000000000001</v>
      </c>
      <c r="BI130" s="4">
        <v>0.42099999999999999</v>
      </c>
      <c r="BJ130" s="4">
        <v>-0.51600000000000001</v>
      </c>
      <c r="BK130" s="4">
        <v>-0.747</v>
      </c>
    </row>
    <row r="131" spans="1:63" x14ac:dyDescent="0.3">
      <c r="A131" t="s">
        <v>165</v>
      </c>
      <c r="B131" s="53">
        <f t="shared" si="9"/>
        <v>0</v>
      </c>
      <c r="C131" s="53">
        <f t="shared" si="10"/>
        <v>0</v>
      </c>
      <c r="D131" s="53">
        <f t="shared" si="11"/>
        <v>0</v>
      </c>
      <c r="E131" s="53">
        <v>0</v>
      </c>
      <c r="F131" s="15">
        <v>0.63900000000000001</v>
      </c>
      <c r="G131">
        <v>0.49299999999999999</v>
      </c>
      <c r="H131" t="s">
        <v>71</v>
      </c>
      <c r="I131" t="str">
        <f>VLOOKUP(A131,Planilha6!$BL$9:$BN$222,2,0)</f>
        <v>basic_materials</v>
      </c>
      <c r="J131" t="str">
        <f>VLOOKUP(A131,Planilha6!$BL$9:$BN$222,3,0)</f>
        <v>neutral_beta</v>
      </c>
      <c r="K131" s="2">
        <v>0</v>
      </c>
      <c r="L131" s="2">
        <v>0</v>
      </c>
      <c r="M131" s="29">
        <v>0</v>
      </c>
      <c r="N131" s="47">
        <f>VLOOKUP(A131,'Mandato ISEE'!$A$1:$C$215,2,0)</f>
        <v>0</v>
      </c>
      <c r="O131" s="48">
        <f t="shared" si="12"/>
        <v>0</v>
      </c>
      <c r="P131" s="47">
        <f>VLOOKUP(A131,'Mandato ISEE'!$A$1:$C$215,3,0)</f>
        <v>0</v>
      </c>
      <c r="Q131" s="48">
        <f t="shared" si="13"/>
        <v>0</v>
      </c>
      <c r="R131" s="15">
        <v>-0.53400000000000003</v>
      </c>
      <c r="S131" s="15">
        <v>-0.66200000000000003</v>
      </c>
      <c r="T131" s="15">
        <v>-0.64</v>
      </c>
      <c r="U131" s="15">
        <v>-0.51800000000000002</v>
      </c>
      <c r="V131" s="15">
        <v>-0.63700000000000001</v>
      </c>
      <c r="W131" s="15">
        <v>-0.60899999999999999</v>
      </c>
      <c r="X131" s="15">
        <v>-0.72299999999999998</v>
      </c>
      <c r="Y131" s="15">
        <v>-0.75700000000000001</v>
      </c>
      <c r="Z131" s="15">
        <v>0.69199999999999995</v>
      </c>
      <c r="AA131" s="15">
        <v>0.69599999999999995</v>
      </c>
      <c r="AB131" s="15">
        <v>0.68300000000000005</v>
      </c>
      <c r="AC131" s="15">
        <v>0.94</v>
      </c>
      <c r="AD131" s="15">
        <v>0.748</v>
      </c>
      <c r="AE131" s="14">
        <v>-0.20799999999999999</v>
      </c>
      <c r="AF131" s="15">
        <v>-0.22600000000000001</v>
      </c>
      <c r="AG131" s="15">
        <v>0.59099999999999997</v>
      </c>
      <c r="AH131" s="15">
        <v>-0.52100000000000002</v>
      </c>
      <c r="AI131" s="15">
        <v>-0.48099999999999998</v>
      </c>
      <c r="AJ131" s="9">
        <v>-0.85299999999999998</v>
      </c>
      <c r="AK131" s="4">
        <v>-0.34399999999999997</v>
      </c>
      <c r="AL131" s="4">
        <v>-0.66700000000000004</v>
      </c>
      <c r="AM131" s="4">
        <v>0.5</v>
      </c>
      <c r="AN131" s="4">
        <v>-0.52700000000000002</v>
      </c>
      <c r="AO131" s="4">
        <v>0.437</v>
      </c>
      <c r="AP131" s="4">
        <v>-0.158</v>
      </c>
      <c r="AQ131" s="4">
        <v>-0.434</v>
      </c>
      <c r="AR131" s="4">
        <v>0.748</v>
      </c>
      <c r="AS131" s="4">
        <v>0.43099999999999999</v>
      </c>
      <c r="AT131" s="4">
        <v>-0.109</v>
      </c>
      <c r="AU131" s="4">
        <v>-0.60299999999999998</v>
      </c>
      <c r="AV131" s="4">
        <v>-7.5999999999999998E-2</v>
      </c>
      <c r="AW131" s="4">
        <v>-7.0999999999999994E-2</v>
      </c>
      <c r="AX131" s="4">
        <v>-0.17399999999999999</v>
      </c>
      <c r="AY131" s="4">
        <v>0.753</v>
      </c>
      <c r="AZ131" s="4">
        <v>-1</v>
      </c>
      <c r="BA131" s="4">
        <v>0.64500000000000002</v>
      </c>
      <c r="BB131" s="4">
        <v>0.45700000000000002</v>
      </c>
      <c r="BC131" s="4">
        <v>0.18099999999999999</v>
      </c>
      <c r="BD131" s="4">
        <v>0.30199999999999999</v>
      </c>
      <c r="BE131" s="4">
        <v>0.104</v>
      </c>
      <c r="BF131" s="4">
        <v>-0.14799999999999999</v>
      </c>
      <c r="BG131" s="4">
        <v>0.191</v>
      </c>
      <c r="BH131" s="4">
        <v>6.6000000000000003E-2</v>
      </c>
      <c r="BI131" s="4">
        <v>-0.27400000000000002</v>
      </c>
      <c r="BJ131" s="4">
        <v>0.81</v>
      </c>
      <c r="BK131" s="4">
        <v>0.11799999999999999</v>
      </c>
    </row>
    <row r="132" spans="1:63" x14ac:dyDescent="0.3">
      <c r="A132" t="s">
        <v>164</v>
      </c>
      <c r="B132" s="53">
        <f t="shared" si="9"/>
        <v>0</v>
      </c>
      <c r="C132" s="53">
        <f t="shared" si="10"/>
        <v>-2E-3</v>
      </c>
      <c r="D132" s="53">
        <f t="shared" si="11"/>
        <v>0</v>
      </c>
      <c r="E132" s="53">
        <v>2E-3</v>
      </c>
      <c r="F132" s="15">
        <v>0.63600000000000001</v>
      </c>
      <c r="G132">
        <v>0.72499999999999998</v>
      </c>
      <c r="H132" t="s">
        <v>68</v>
      </c>
      <c r="I132" t="str">
        <f>VLOOKUP(A132,Planilha6!$BL$9:$BN$222,2,0)</f>
        <v>capital_goods</v>
      </c>
      <c r="J132" t="str">
        <f>VLOOKUP(A132,Planilha6!$BL$9:$BN$222,3,0)</f>
        <v>low_beta</v>
      </c>
      <c r="K132" s="2">
        <v>0</v>
      </c>
      <c r="L132" s="2">
        <v>-2E-3</v>
      </c>
      <c r="M132" s="29">
        <v>2E-3</v>
      </c>
      <c r="N132" s="47">
        <f>VLOOKUP(A132,'Mandato ISEE'!$A$1:$C$215,2,0)</f>
        <v>0</v>
      </c>
      <c r="O132" s="48">
        <f t="shared" si="12"/>
        <v>0</v>
      </c>
      <c r="P132" s="47">
        <f>VLOOKUP(A132,'Mandato ISEE'!$A$1:$C$215,3,0)</f>
        <v>0</v>
      </c>
      <c r="Q132" s="48">
        <f t="shared" si="13"/>
        <v>0</v>
      </c>
      <c r="R132" s="15">
        <v>-0.55800000000000005</v>
      </c>
      <c r="S132" s="15">
        <v>-0.51400000000000001</v>
      </c>
      <c r="T132" s="15">
        <v>-0.38800000000000001</v>
      </c>
      <c r="U132" s="15">
        <v>-0.70599999999999996</v>
      </c>
      <c r="V132" s="15">
        <v>-0.57299999999999995</v>
      </c>
      <c r="W132" s="15">
        <v>-0.57999999999999996</v>
      </c>
      <c r="X132" s="15">
        <v>-0.55000000000000004</v>
      </c>
      <c r="Y132" s="15">
        <v>-0.52800000000000002</v>
      </c>
      <c r="Z132" s="15">
        <v>0.61399999999999999</v>
      </c>
      <c r="AA132" s="15">
        <v>0.61599999999999999</v>
      </c>
      <c r="AB132" s="15">
        <v>0.48599999999999999</v>
      </c>
      <c r="AC132" s="15">
        <v>0.58499999999999996</v>
      </c>
      <c r="AD132" s="15">
        <v>0.496</v>
      </c>
      <c r="AE132" s="14">
        <v>-0.28199999999999997</v>
      </c>
      <c r="AF132" s="15">
        <v>-0.52600000000000002</v>
      </c>
      <c r="AG132" s="15">
        <v>-0.33800000000000002</v>
      </c>
      <c r="AH132" s="15">
        <v>0.36099999999999999</v>
      </c>
      <c r="AI132" s="15">
        <v>-0.45200000000000001</v>
      </c>
      <c r="AJ132" s="9">
        <v>-0.55800000000000005</v>
      </c>
      <c r="AK132" s="4">
        <v>7.2999999999999995E-2</v>
      </c>
      <c r="AL132" s="4">
        <v>-0.45900000000000002</v>
      </c>
      <c r="AM132" s="4">
        <v>0.74</v>
      </c>
      <c r="AN132" s="4">
        <v>-0.30499999999999999</v>
      </c>
      <c r="AO132" s="4">
        <v>-0.54300000000000004</v>
      </c>
      <c r="AP132" s="4">
        <v>-0.16900000000000001</v>
      </c>
      <c r="AQ132" s="4">
        <v>-0.15</v>
      </c>
      <c r="AR132" s="4">
        <v>-0.307</v>
      </c>
      <c r="AS132" s="4">
        <v>-0.252</v>
      </c>
      <c r="AT132" s="4">
        <v>9.8000000000000004E-2</v>
      </c>
      <c r="AU132" s="4">
        <v>-0.45</v>
      </c>
      <c r="AV132" s="4">
        <v>-0.23400000000000001</v>
      </c>
      <c r="AW132" s="4">
        <v>0.54900000000000004</v>
      </c>
      <c r="AX132" s="4">
        <v>-0.26100000000000001</v>
      </c>
      <c r="AY132" s="4">
        <v>0.9</v>
      </c>
      <c r="AZ132" s="4">
        <v>0.77</v>
      </c>
      <c r="BA132" s="4">
        <v>-0.16800000000000001</v>
      </c>
      <c r="BB132" s="4">
        <v>0.24199999999999999</v>
      </c>
      <c r="BC132" s="4">
        <v>-8.2000000000000003E-2</v>
      </c>
      <c r="BD132" s="4">
        <v>0.28499999999999998</v>
      </c>
      <c r="BE132" s="4">
        <v>-0.14499999999999999</v>
      </c>
      <c r="BF132" s="4">
        <v>-0.16900000000000001</v>
      </c>
      <c r="BG132" s="4">
        <v>0.55400000000000005</v>
      </c>
      <c r="BH132" s="4">
        <v>-7.6999999999999999E-2</v>
      </c>
      <c r="BI132" s="4">
        <v>0.183</v>
      </c>
      <c r="BJ132" s="4">
        <v>4.0000000000000001E-3</v>
      </c>
      <c r="BK132" s="4">
        <v>0.35</v>
      </c>
    </row>
    <row r="133" spans="1:63" x14ac:dyDescent="0.3">
      <c r="A133" t="s">
        <v>182</v>
      </c>
      <c r="B133" s="53">
        <f t="shared" si="9"/>
        <v>0</v>
      </c>
      <c r="C133" s="53">
        <f t="shared" si="10"/>
        <v>0</v>
      </c>
      <c r="D133" s="53">
        <f t="shared" si="11"/>
        <v>0</v>
      </c>
      <c r="E133" s="53">
        <v>0</v>
      </c>
      <c r="F133" s="15">
        <v>0.627</v>
      </c>
      <c r="G133">
        <v>0.76200000000000001</v>
      </c>
      <c r="H133" t="s">
        <v>71</v>
      </c>
      <c r="I133" t="str">
        <f>VLOOKUP(A133,Planilha6!$BL$9:$BN$222,2,0)</f>
        <v>basic_materials</v>
      </c>
      <c r="J133" t="str">
        <f>VLOOKUP(A133,Planilha6!$BL$9:$BN$222,3,0)</f>
        <v>neutral_beta</v>
      </c>
      <c r="K133" s="2">
        <v>0</v>
      </c>
      <c r="L133" s="2">
        <v>0</v>
      </c>
      <c r="M133" s="29">
        <v>0</v>
      </c>
      <c r="N133" s="47">
        <f>VLOOKUP(A133,'Mandato ISEE'!$A$1:$C$215,2,0)</f>
        <v>0</v>
      </c>
      <c r="O133" s="48">
        <f t="shared" si="12"/>
        <v>0</v>
      </c>
      <c r="P133" s="47">
        <f>VLOOKUP(A133,'Mandato ISEE'!$A$1:$C$215,3,0)</f>
        <v>0</v>
      </c>
      <c r="Q133" s="48">
        <f t="shared" si="13"/>
        <v>0</v>
      </c>
      <c r="R133" s="15">
        <v>-0.91400000000000003</v>
      </c>
      <c r="S133" s="15">
        <v>-0.53100000000000003</v>
      </c>
      <c r="T133" s="15">
        <v>-1</v>
      </c>
      <c r="U133" s="15">
        <v>-0.77900000000000003</v>
      </c>
      <c r="V133" s="15">
        <v>-0.752</v>
      </c>
      <c r="W133" s="15">
        <v>-0.59699999999999998</v>
      </c>
      <c r="X133" s="15">
        <v>-0.35799999999999998</v>
      </c>
      <c r="Y133" s="15">
        <v>-0.224</v>
      </c>
      <c r="Z133" s="15">
        <v>0.59299999999999997</v>
      </c>
      <c r="AA133" s="15">
        <v>0.59499999999999997</v>
      </c>
      <c r="AB133" s="15">
        <v>0.63400000000000001</v>
      </c>
      <c r="AC133" s="15">
        <v>0.64300000000000002</v>
      </c>
      <c r="AD133" s="15">
        <v>0.53400000000000003</v>
      </c>
      <c r="AE133" s="14">
        <v>-0.66200000000000003</v>
      </c>
      <c r="AF133" s="15">
        <v>-1</v>
      </c>
      <c r="AG133" s="15">
        <v>0.308</v>
      </c>
      <c r="AH133" s="15">
        <v>-1</v>
      </c>
      <c r="AI133" s="15">
        <v>-0.71799999999999997</v>
      </c>
      <c r="AJ133" s="9">
        <v>-1</v>
      </c>
      <c r="AK133" s="4">
        <v>-0.27800000000000002</v>
      </c>
      <c r="AL133" s="4">
        <v>0.11600000000000001</v>
      </c>
      <c r="AM133" s="4">
        <v>-0.59699999999999998</v>
      </c>
      <c r="AN133" s="4">
        <v>-0.77700000000000002</v>
      </c>
      <c r="AO133" s="4">
        <v>0.81499999999999995</v>
      </c>
      <c r="AP133" s="4">
        <v>0.20499999999999999</v>
      </c>
      <c r="AQ133" s="4">
        <v>-0.93899999999999995</v>
      </c>
      <c r="AR133" s="4">
        <v>-0.76200000000000001</v>
      </c>
      <c r="AS133" s="4">
        <v>-0.56499999999999995</v>
      </c>
      <c r="AT133" s="4">
        <v>-4.2999999999999997E-2</v>
      </c>
      <c r="AU133" s="4">
        <v>-9.1999999999999998E-2</v>
      </c>
      <c r="AV133" s="4">
        <v>-0.16700000000000001</v>
      </c>
      <c r="AW133" s="4">
        <v>0.60399999999999998</v>
      </c>
      <c r="AX133" s="4">
        <v>-0.13400000000000001</v>
      </c>
      <c r="AY133" s="4">
        <v>0.67800000000000005</v>
      </c>
      <c r="AZ133" s="4">
        <v>-0.88700000000000001</v>
      </c>
      <c r="BA133" s="4">
        <v>-0.249</v>
      </c>
      <c r="BB133" s="4">
        <v>0.311</v>
      </c>
      <c r="BC133" s="4">
        <v>0.20100000000000001</v>
      </c>
      <c r="BD133" s="4">
        <v>0.32200000000000001</v>
      </c>
      <c r="BE133" s="4">
        <v>-0.192</v>
      </c>
      <c r="BF133" s="4">
        <v>6.0000000000000001E-3</v>
      </c>
      <c r="BG133" s="4">
        <v>0.86399999999999999</v>
      </c>
      <c r="BH133" s="4">
        <v>-0.33300000000000002</v>
      </c>
      <c r="BI133" s="4">
        <v>-0.30099999999999999</v>
      </c>
      <c r="BJ133" s="4">
        <v>-0.40300000000000002</v>
      </c>
      <c r="BK133" s="4">
        <v>-1</v>
      </c>
    </row>
    <row r="134" spans="1:63" x14ac:dyDescent="0.3">
      <c r="A134" t="s">
        <v>233</v>
      </c>
      <c r="B134" s="53">
        <f t="shared" si="9"/>
        <v>0</v>
      </c>
      <c r="C134" s="53">
        <f t="shared" si="10"/>
        <v>0</v>
      </c>
      <c r="D134" s="53">
        <f t="shared" si="11"/>
        <v>0</v>
      </c>
      <c r="E134" s="53">
        <v>0</v>
      </c>
      <c r="F134" s="15">
        <v>0.62</v>
      </c>
      <c r="G134">
        <v>0.49299999999999999</v>
      </c>
      <c r="H134" t="s">
        <v>71</v>
      </c>
      <c r="I134" t="str">
        <f>VLOOKUP(A134,Planilha6!$BL$9:$BN$222,2,0)</f>
        <v>crude_oil</v>
      </c>
      <c r="J134" t="str">
        <f>VLOOKUP(A134,Planilha6!$BL$9:$BN$222,3,0)</f>
        <v>very_low_beta</v>
      </c>
      <c r="K134" s="2">
        <v>0</v>
      </c>
      <c r="L134" s="2">
        <v>0</v>
      </c>
      <c r="M134" s="29">
        <v>0</v>
      </c>
      <c r="N134" s="47">
        <f>VLOOKUP(A134,'Mandato ISEE'!$A$1:$C$215,2,0)</f>
        <v>0</v>
      </c>
      <c r="O134" s="48">
        <f t="shared" si="12"/>
        <v>0</v>
      </c>
      <c r="P134" s="47">
        <f>VLOOKUP(A134,'Mandato ISEE'!$A$1:$C$215,3,0)</f>
        <v>0</v>
      </c>
      <c r="Q134" s="48">
        <f t="shared" si="13"/>
        <v>0</v>
      </c>
      <c r="R134" s="15">
        <v>-0.55000000000000004</v>
      </c>
      <c r="S134" s="15">
        <v>-0.51300000000000001</v>
      </c>
      <c r="T134" s="15">
        <v>-0.89200000000000002</v>
      </c>
      <c r="U134" s="15">
        <v>-0.23200000000000001</v>
      </c>
      <c r="V134" s="15">
        <v>-0.57699999999999996</v>
      </c>
      <c r="W134" s="15">
        <v>-0.44900000000000001</v>
      </c>
      <c r="X134" s="15">
        <v>-0.50900000000000001</v>
      </c>
      <c r="Y134" s="15">
        <v>-0.72899999999999998</v>
      </c>
      <c r="Z134" s="15">
        <v>0.438</v>
      </c>
      <c r="AA134" s="15">
        <v>0.438</v>
      </c>
      <c r="AB134" s="15">
        <v>0.54900000000000004</v>
      </c>
      <c r="AC134" s="15">
        <v>0.81</v>
      </c>
      <c r="AD134" s="15">
        <v>0.56999999999999995</v>
      </c>
      <c r="AE134" s="14">
        <v>-0.224</v>
      </c>
      <c r="AF134" s="15">
        <v>0.505</v>
      </c>
      <c r="AG134" s="15">
        <v>0.627</v>
      </c>
      <c r="AH134" s="15">
        <v>-0.55400000000000005</v>
      </c>
      <c r="AI134" s="15">
        <v>-0.54</v>
      </c>
      <c r="AJ134" s="9">
        <v>-0.61199999999999999</v>
      </c>
      <c r="AK134" s="4">
        <v>7.6999999999999999E-2</v>
      </c>
      <c r="AL134" s="4">
        <v>-1</v>
      </c>
      <c r="AM134" s="4">
        <v>0.10299999999999999</v>
      </c>
      <c r="AN134" s="4">
        <v>0.495</v>
      </c>
      <c r="AO134" s="4">
        <v>0.44400000000000001</v>
      </c>
      <c r="AP134" s="4">
        <v>0.317</v>
      </c>
      <c r="AQ134" s="4">
        <v>0.30299999999999999</v>
      </c>
      <c r="AR134" s="4">
        <v>0.39600000000000002</v>
      </c>
      <c r="AS134" s="4">
        <v>3.5000000000000003E-2</v>
      </c>
      <c r="AT134" s="4">
        <v>-0.105</v>
      </c>
      <c r="AU134" s="4">
        <v>0.129</v>
      </c>
      <c r="AV134" s="4">
        <v>0.18099999999999999</v>
      </c>
      <c r="AW134" s="4">
        <v>9.4E-2</v>
      </c>
      <c r="AX134" s="4">
        <v>-0.32700000000000001</v>
      </c>
      <c r="AY134" s="4">
        <v>0.51800000000000002</v>
      </c>
      <c r="AZ134" s="4">
        <v>-0.95099999999999996</v>
      </c>
      <c r="BA134" s="4">
        <v>0.35899999999999999</v>
      </c>
      <c r="BB134" s="4">
        <v>-0.376</v>
      </c>
      <c r="BC134" s="4">
        <v>-3.3000000000000002E-2</v>
      </c>
      <c r="BD134" s="4">
        <v>-0.251</v>
      </c>
      <c r="BE134" s="4">
        <v>-0.44500000000000001</v>
      </c>
      <c r="BF134" s="4">
        <v>0.39</v>
      </c>
      <c r="BG134" s="4">
        <v>0.19800000000000001</v>
      </c>
      <c r="BH134" s="4">
        <v>0.16500000000000001</v>
      </c>
      <c r="BI134" s="4">
        <v>-0.77900000000000003</v>
      </c>
      <c r="BJ134" s="4">
        <v>-0.99</v>
      </c>
      <c r="BK134" s="4">
        <v>0.16500000000000001</v>
      </c>
    </row>
    <row r="135" spans="1:63" x14ac:dyDescent="0.3">
      <c r="A135" t="s">
        <v>206</v>
      </c>
      <c r="B135" s="53">
        <f t="shared" si="9"/>
        <v>0</v>
      </c>
      <c r="C135" s="53">
        <f t="shared" si="10"/>
        <v>0</v>
      </c>
      <c r="D135" s="53">
        <f t="shared" si="11"/>
        <v>0</v>
      </c>
      <c r="E135" s="53">
        <v>0</v>
      </c>
      <c r="F135" s="15">
        <v>0.62</v>
      </c>
      <c r="G135">
        <v>0.59499999999999997</v>
      </c>
      <c r="H135" t="s">
        <v>57</v>
      </c>
      <c r="I135" t="str">
        <f>VLOOKUP(A135,Planilha6!$BL$9:$BN$222,2,0)</f>
        <v>financial_services</v>
      </c>
      <c r="J135" t="str">
        <f>VLOOKUP(A135,Planilha6!$BL$9:$BN$222,3,0)</f>
        <v>very_high_beta</v>
      </c>
      <c r="K135" s="2">
        <v>0</v>
      </c>
      <c r="L135" s="2">
        <v>0</v>
      </c>
      <c r="M135" s="29">
        <v>0</v>
      </c>
      <c r="N135" s="47">
        <f>VLOOKUP(A135,'Mandato ISEE'!$A$1:$C$215,2,0)</f>
        <v>0</v>
      </c>
      <c r="O135" s="48">
        <f t="shared" si="12"/>
        <v>0</v>
      </c>
      <c r="P135" s="47">
        <f>VLOOKUP(A135,'Mandato ISEE'!$A$1:$C$215,3,0)</f>
        <v>0</v>
      </c>
      <c r="Q135" s="48">
        <f t="shared" si="13"/>
        <v>0</v>
      </c>
      <c r="R135" s="15">
        <v>-0.51200000000000001</v>
      </c>
      <c r="S135" s="15">
        <v>-0.49099999999999999</v>
      </c>
      <c r="T135" s="15">
        <v>-0.747</v>
      </c>
      <c r="U135" s="15">
        <v>-0.52300000000000002</v>
      </c>
      <c r="V135" s="15">
        <v>-0.58299999999999996</v>
      </c>
      <c r="W135" s="15">
        <v>-0.48099999999999998</v>
      </c>
      <c r="X135" s="15">
        <v>-0.42</v>
      </c>
      <c r="Y135" s="15">
        <v>-0.628</v>
      </c>
      <c r="Z135" s="15">
        <v>0.26400000000000001</v>
      </c>
      <c r="AA135" s="15">
        <v>0.26300000000000001</v>
      </c>
      <c r="AB135" s="15">
        <v>0.66500000000000004</v>
      </c>
      <c r="AC135" s="15">
        <v>0.70699999999999996</v>
      </c>
      <c r="AD135" s="15">
        <v>0.505</v>
      </c>
      <c r="AE135" s="14">
        <v>-0.439</v>
      </c>
      <c r="AF135" s="15">
        <v>0.26600000000000001</v>
      </c>
      <c r="AG135" s="15">
        <v>-0.22800000000000001</v>
      </c>
      <c r="AH135" s="15">
        <v>-0.85099999999999998</v>
      </c>
      <c r="AI135" s="15">
        <v>-0.91500000000000004</v>
      </c>
      <c r="AJ135" s="9">
        <v>-0.93600000000000005</v>
      </c>
      <c r="AK135" s="4">
        <v>0.109</v>
      </c>
      <c r="AL135" s="4">
        <v>-0.60699999999999998</v>
      </c>
      <c r="AM135" s="4">
        <v>-0.41799999999999998</v>
      </c>
      <c r="AN135" s="4">
        <v>0.35299999999999998</v>
      </c>
      <c r="AO135" s="4">
        <v>-0.13300000000000001</v>
      </c>
      <c r="AP135" s="4">
        <v>0.28699999999999998</v>
      </c>
      <c r="AQ135" s="4">
        <v>9.7000000000000003E-2</v>
      </c>
      <c r="AR135" s="4">
        <v>5.6000000000000001E-2</v>
      </c>
      <c r="AS135" s="4">
        <v>0.5</v>
      </c>
      <c r="AT135" s="4">
        <v>1.4999999999999999E-2</v>
      </c>
      <c r="AU135" s="4">
        <v>-2.1999999999999999E-2</v>
      </c>
      <c r="AV135" s="4">
        <v>-7.3999999999999996E-2</v>
      </c>
      <c r="AW135" s="4">
        <v>6.4000000000000001E-2</v>
      </c>
      <c r="AX135" s="4">
        <v>-0.10199999999999999</v>
      </c>
      <c r="AY135" s="4">
        <v>3.9E-2</v>
      </c>
      <c r="AZ135" s="4">
        <v>0.06</v>
      </c>
      <c r="BA135" s="4">
        <v>0.54200000000000004</v>
      </c>
      <c r="BB135" s="4">
        <v>-0.308</v>
      </c>
      <c r="BC135" s="4">
        <v>2.3E-2</v>
      </c>
      <c r="BD135" s="4">
        <v>-6.9000000000000006E-2</v>
      </c>
      <c r="BE135" s="4">
        <v>1E-3</v>
      </c>
      <c r="BF135" s="4">
        <v>0.155</v>
      </c>
      <c r="BG135" s="4">
        <v>0.34799999999999998</v>
      </c>
      <c r="BH135" s="4">
        <v>-0.13</v>
      </c>
      <c r="BI135" s="4">
        <v>0.34599999999999997</v>
      </c>
      <c r="BJ135" s="4">
        <v>0.18</v>
      </c>
      <c r="BK135" s="4">
        <v>-0.5</v>
      </c>
    </row>
    <row r="136" spans="1:63" x14ac:dyDescent="0.3">
      <c r="A136" t="s">
        <v>130</v>
      </c>
      <c r="B136" s="53">
        <f t="shared" si="9"/>
        <v>0</v>
      </c>
      <c r="C136" s="53">
        <f t="shared" si="10"/>
        <v>0</v>
      </c>
      <c r="D136" s="53">
        <f t="shared" si="11"/>
        <v>0</v>
      </c>
      <c r="E136" s="53">
        <v>0</v>
      </c>
      <c r="F136" s="15">
        <v>0.61799999999999999</v>
      </c>
      <c r="G136">
        <v>0.443</v>
      </c>
      <c r="H136" t="s">
        <v>71</v>
      </c>
      <c r="I136" t="str">
        <f>VLOOKUP(A136,Planilha6!$BL$9:$BN$222,2,0)</f>
        <v>basic_materials</v>
      </c>
      <c r="J136" t="str">
        <f>VLOOKUP(A136,Planilha6!$BL$9:$BN$222,3,0)</f>
        <v>very_high_beta</v>
      </c>
      <c r="K136" s="2">
        <v>0</v>
      </c>
      <c r="L136" s="2">
        <v>0</v>
      </c>
      <c r="M136" s="29">
        <v>0</v>
      </c>
      <c r="N136" s="47">
        <f>VLOOKUP(A136,'Mandato ISEE'!$A$1:$C$215,2,0)</f>
        <v>0</v>
      </c>
      <c r="O136" s="48">
        <f t="shared" si="12"/>
        <v>0</v>
      </c>
      <c r="P136" s="47">
        <f>VLOOKUP(A136,'Mandato ISEE'!$A$1:$C$215,3,0)</f>
        <v>0</v>
      </c>
      <c r="Q136" s="48">
        <f t="shared" si="13"/>
        <v>0</v>
      </c>
      <c r="R136" s="15">
        <v>-0.67500000000000004</v>
      </c>
      <c r="S136" s="15">
        <v>-0.375</v>
      </c>
      <c r="T136" s="15">
        <v>-0.90300000000000002</v>
      </c>
      <c r="U136" s="15">
        <v>-0.54900000000000004</v>
      </c>
      <c r="V136" s="15">
        <v>-0.622</v>
      </c>
      <c r="W136" s="15">
        <v>-0.627</v>
      </c>
      <c r="X136" s="15">
        <v>-0.69099999999999995</v>
      </c>
      <c r="Y136" s="15">
        <v>-0.58199999999999996</v>
      </c>
      <c r="Z136" s="15">
        <v>0.60199999999999998</v>
      </c>
      <c r="AA136" s="15">
        <v>0.60099999999999998</v>
      </c>
      <c r="AB136" s="15">
        <v>0.52800000000000002</v>
      </c>
      <c r="AC136" s="15">
        <v>0.75700000000000001</v>
      </c>
      <c r="AD136" s="15">
        <v>0.61399999999999999</v>
      </c>
      <c r="AE136" s="14">
        <v>-0.66500000000000004</v>
      </c>
      <c r="AF136" s="15">
        <v>-0.80700000000000005</v>
      </c>
      <c r="AG136" s="15">
        <v>0.14499999999999999</v>
      </c>
      <c r="AH136" s="15">
        <v>-0.84499999999999997</v>
      </c>
      <c r="AI136" s="15">
        <v>-0.40600000000000003</v>
      </c>
      <c r="AJ136" s="9">
        <v>-0.96799999999999997</v>
      </c>
      <c r="AK136" s="4">
        <v>-7.0000000000000007E-2</v>
      </c>
      <c r="AL136" s="4">
        <v>-0.54</v>
      </c>
      <c r="AM136" s="4">
        <v>-0.496</v>
      </c>
      <c r="AN136" s="4">
        <v>-0.48199999999999998</v>
      </c>
      <c r="AO136" s="4">
        <v>0.79900000000000004</v>
      </c>
      <c r="AP136" s="4">
        <v>0.86499999999999999</v>
      </c>
      <c r="AQ136" s="4">
        <v>0.16400000000000001</v>
      </c>
      <c r="AR136" s="4">
        <v>-0.52200000000000002</v>
      </c>
      <c r="AS136" s="4">
        <v>-1.6E-2</v>
      </c>
      <c r="AT136" s="4">
        <v>0.25700000000000001</v>
      </c>
      <c r="AU136" s="4">
        <v>0.20699999999999999</v>
      </c>
      <c r="AV136" s="4">
        <v>0.14000000000000001</v>
      </c>
      <c r="AW136" s="4">
        <v>0.16400000000000001</v>
      </c>
      <c r="AX136" s="4">
        <v>0.158</v>
      </c>
      <c r="AY136" s="4">
        <v>0.17299999999999999</v>
      </c>
      <c r="AZ136" s="4">
        <v>8.0000000000000002E-3</v>
      </c>
      <c r="BA136" s="4">
        <v>0.46200000000000002</v>
      </c>
      <c r="BB136" s="4">
        <v>-9.8000000000000004E-2</v>
      </c>
      <c r="BC136" s="4">
        <v>0.42599999999999999</v>
      </c>
      <c r="BD136" s="4">
        <v>0.32600000000000001</v>
      </c>
      <c r="BE136" s="4">
        <v>-0.94599999999999995</v>
      </c>
      <c r="BF136" s="4">
        <v>0.35199999999999998</v>
      </c>
      <c r="BG136" s="4">
        <v>-0.70199999999999996</v>
      </c>
      <c r="BH136" s="4">
        <v>-1</v>
      </c>
      <c r="BI136" s="4">
        <v>0.39300000000000002</v>
      </c>
      <c r="BJ136" s="4">
        <v>-4.5999999999999999E-2</v>
      </c>
      <c r="BK136" s="4">
        <v>-0.56499999999999995</v>
      </c>
    </row>
    <row r="137" spans="1:63" x14ac:dyDescent="0.3">
      <c r="A137" t="s">
        <v>216</v>
      </c>
      <c r="B137" s="53">
        <f t="shared" si="9"/>
        <v>0</v>
      </c>
      <c r="C137" s="53">
        <f t="shared" si="10"/>
        <v>-4.0000000000000001E-3</v>
      </c>
      <c r="D137" s="53">
        <f t="shared" si="11"/>
        <v>0</v>
      </c>
      <c r="E137" s="53">
        <v>4.0000000000000001E-3</v>
      </c>
      <c r="F137" s="15">
        <v>0.61699999999999999</v>
      </c>
      <c r="G137">
        <v>0.46300000000000002</v>
      </c>
      <c r="H137" t="s">
        <v>71</v>
      </c>
      <c r="I137" t="str">
        <f>VLOOKUP(A137,Planilha6!$BL$9:$BN$222,2,0)</f>
        <v>basic_materials</v>
      </c>
      <c r="J137" t="str">
        <f>VLOOKUP(A137,Planilha6!$BL$9:$BN$222,3,0)</f>
        <v>very_low_beta</v>
      </c>
      <c r="K137" s="2">
        <v>0</v>
      </c>
      <c r="L137" s="2">
        <v>-4.0000000000000001E-3</v>
      </c>
      <c r="M137" s="29">
        <v>4.0000000000000001E-3</v>
      </c>
      <c r="N137" s="47">
        <f>VLOOKUP(A137,'Mandato ISEE'!$A$1:$C$215,2,0)</f>
        <v>0</v>
      </c>
      <c r="O137" s="48">
        <f t="shared" si="12"/>
        <v>0</v>
      </c>
      <c r="P137" s="47">
        <f>VLOOKUP(A137,'Mandato ISEE'!$A$1:$C$215,3,0)</f>
        <v>0</v>
      </c>
      <c r="Q137" s="48">
        <f t="shared" si="13"/>
        <v>0</v>
      </c>
      <c r="R137" s="15">
        <v>-0.71699999999999997</v>
      </c>
      <c r="S137" s="15">
        <v>-0.31</v>
      </c>
      <c r="T137" s="15">
        <v>-0.84899999999999998</v>
      </c>
      <c r="U137" s="15">
        <v>-0.67700000000000005</v>
      </c>
      <c r="V137" s="15">
        <v>-0.61699999999999999</v>
      </c>
      <c r="W137" s="15">
        <v>-0.52800000000000002</v>
      </c>
      <c r="X137" s="15">
        <v>-0.59</v>
      </c>
      <c r="Y137" s="15">
        <v>-0.71</v>
      </c>
      <c r="Z137" s="15">
        <v>0.57699999999999996</v>
      </c>
      <c r="AA137" s="15">
        <v>0.57599999999999996</v>
      </c>
      <c r="AB137" s="15">
        <v>0.46100000000000002</v>
      </c>
      <c r="AC137" s="15">
        <v>0.627</v>
      </c>
      <c r="AD137" s="15">
        <v>0.79900000000000004</v>
      </c>
      <c r="AE137" s="14">
        <v>-0.47199999999999998</v>
      </c>
      <c r="AF137" s="15">
        <v>-0.99199999999999999</v>
      </c>
      <c r="AG137" s="15">
        <v>0.71899999999999997</v>
      </c>
      <c r="AH137" s="15">
        <v>-0.72699999999999998</v>
      </c>
      <c r="AI137" s="15">
        <v>1</v>
      </c>
      <c r="AJ137" s="9">
        <v>-0.877</v>
      </c>
      <c r="AK137" s="4">
        <v>-0.186</v>
      </c>
      <c r="AL137" s="4">
        <v>-1</v>
      </c>
      <c r="AM137" s="4">
        <v>-0.44600000000000001</v>
      </c>
      <c r="AN137" s="4">
        <v>-0.13700000000000001</v>
      </c>
      <c r="AO137" s="4">
        <v>1</v>
      </c>
      <c r="AP137" s="4">
        <v>0.89400000000000002</v>
      </c>
      <c r="AQ137" s="4">
        <v>-0.53500000000000003</v>
      </c>
      <c r="AR137" s="4">
        <v>-0.48699999999999999</v>
      </c>
      <c r="AS137" s="4">
        <v>-0.27600000000000002</v>
      </c>
      <c r="AT137" s="4">
        <v>5.5E-2</v>
      </c>
      <c r="AU137" s="4">
        <v>-0.376</v>
      </c>
      <c r="AV137" s="4">
        <v>-4.5999999999999999E-2</v>
      </c>
      <c r="AW137" s="4">
        <v>-0.22900000000000001</v>
      </c>
      <c r="AX137" s="4">
        <v>-0.247</v>
      </c>
      <c r="AY137" s="4">
        <v>0.67900000000000005</v>
      </c>
      <c r="AZ137" s="4">
        <v>-0.38600000000000001</v>
      </c>
      <c r="BA137" s="4">
        <v>0.48299999999999998</v>
      </c>
      <c r="BB137" s="4">
        <v>4.5999999999999999E-2</v>
      </c>
      <c r="BC137" s="4">
        <v>-0.25600000000000001</v>
      </c>
      <c r="BD137" s="4">
        <v>0.622</v>
      </c>
      <c r="BE137" s="4">
        <v>0.34499999999999997</v>
      </c>
      <c r="BF137" s="4">
        <v>-1.0999999999999999E-2</v>
      </c>
      <c r="BG137" s="4">
        <v>1</v>
      </c>
      <c r="BH137" s="4">
        <v>-0.39100000000000001</v>
      </c>
      <c r="BI137" s="4">
        <v>-1</v>
      </c>
      <c r="BJ137" s="4">
        <v>-0.245</v>
      </c>
      <c r="BK137" s="4">
        <v>0.20899999999999999</v>
      </c>
    </row>
    <row r="138" spans="1:63" x14ac:dyDescent="0.3">
      <c r="A138" t="s">
        <v>194</v>
      </c>
      <c r="B138" s="53">
        <f t="shared" ref="B138:B201" si="14">K138</f>
        <v>0</v>
      </c>
      <c r="C138" s="53">
        <f t="shared" ref="C138:C201" si="15">B138-E138</f>
        <v>-1.2E-2</v>
      </c>
      <c r="D138" s="53">
        <f t="shared" ref="D138:D201" si="16">B138-K138</f>
        <v>0</v>
      </c>
      <c r="E138" s="53">
        <v>1.2E-2</v>
      </c>
      <c r="F138" s="15">
        <v>0.61599999999999999</v>
      </c>
      <c r="G138">
        <v>0.89700000000000002</v>
      </c>
      <c r="H138" t="s">
        <v>57</v>
      </c>
      <c r="I138" t="str">
        <f>VLOOKUP(A138,Planilha6!$BL$9:$BN$222,2,0)</f>
        <v>homebuilders</v>
      </c>
      <c r="J138" t="str">
        <f>VLOOKUP(A138,Planilha6!$BL$9:$BN$222,3,0)</f>
        <v>very_high_beta</v>
      </c>
      <c r="K138" s="2">
        <v>0</v>
      </c>
      <c r="L138" s="2">
        <v>-1.2E-2</v>
      </c>
      <c r="M138" s="29">
        <v>1.2E-2</v>
      </c>
      <c r="N138" s="47">
        <f>VLOOKUP(A138,'Mandato ISEE'!$A$1:$C$215,2,0)</f>
        <v>0</v>
      </c>
      <c r="O138" s="48">
        <f t="shared" ref="O138:O201" si="17">K138-N138</f>
        <v>0</v>
      </c>
      <c r="P138" s="47">
        <f>VLOOKUP(A138,'Mandato ISEE'!$A$1:$C$215,3,0)</f>
        <v>0</v>
      </c>
      <c r="Q138" s="48">
        <f t="shared" ref="Q138:Q201" si="18">K138-P138</f>
        <v>0</v>
      </c>
      <c r="R138" s="15">
        <v>-0.64500000000000002</v>
      </c>
      <c r="S138" s="15">
        <v>-0.51200000000000001</v>
      </c>
      <c r="T138" s="15">
        <v>-0.82699999999999996</v>
      </c>
      <c r="U138" s="15">
        <v>-0.48899999999999999</v>
      </c>
      <c r="V138" s="15">
        <v>-0.57699999999999996</v>
      </c>
      <c r="W138" s="15">
        <v>-0.53600000000000003</v>
      </c>
      <c r="X138" s="15">
        <v>-0.45100000000000001</v>
      </c>
      <c r="Y138" s="15">
        <v>-0.443</v>
      </c>
      <c r="Z138" s="15">
        <v>0.246</v>
      </c>
      <c r="AA138" s="15">
        <v>0.247</v>
      </c>
      <c r="AB138" s="15">
        <v>0.72299999999999998</v>
      </c>
      <c r="AC138" s="15">
        <v>0.66400000000000003</v>
      </c>
      <c r="AD138" s="15">
        <v>0.43099999999999999</v>
      </c>
      <c r="AE138" s="14">
        <v>-0.48299999999999998</v>
      </c>
      <c r="AF138" s="15">
        <v>0.32800000000000001</v>
      </c>
      <c r="AG138" s="15">
        <v>-0.157</v>
      </c>
      <c r="AH138" s="15">
        <v>-0.64200000000000002</v>
      </c>
      <c r="AI138" s="15">
        <v>-0.53400000000000003</v>
      </c>
      <c r="AJ138" s="9">
        <v>-0.82799999999999996</v>
      </c>
      <c r="AK138" s="4">
        <v>-0.27300000000000002</v>
      </c>
      <c r="AL138" s="4">
        <v>3.5000000000000003E-2</v>
      </c>
      <c r="AM138" s="4">
        <v>-0.38300000000000001</v>
      </c>
      <c r="AN138" s="4">
        <v>0.217</v>
      </c>
      <c r="AO138" s="4">
        <v>-6.7000000000000004E-2</v>
      </c>
      <c r="AP138" s="4">
        <v>0.27300000000000002</v>
      </c>
      <c r="AQ138" s="4">
        <v>0.45500000000000002</v>
      </c>
      <c r="AR138" s="4">
        <v>0.183</v>
      </c>
      <c r="AS138" s="4">
        <v>0.57399999999999995</v>
      </c>
      <c r="AT138" s="4">
        <v>0.14799999999999999</v>
      </c>
      <c r="AU138" s="4">
        <v>-6.9000000000000006E-2</v>
      </c>
      <c r="AV138" s="4">
        <v>-0.26200000000000001</v>
      </c>
      <c r="AW138" s="4">
        <v>-0.16200000000000001</v>
      </c>
      <c r="AX138" s="4">
        <v>-0.17199999999999999</v>
      </c>
      <c r="AY138" s="4">
        <v>0.84399999999999997</v>
      </c>
      <c r="AZ138" s="4">
        <v>9.8000000000000004E-2</v>
      </c>
      <c r="BA138" s="4">
        <v>0.107</v>
      </c>
      <c r="BB138" s="4">
        <v>-0.70899999999999996</v>
      </c>
      <c r="BC138" s="4">
        <v>-0.61299999999999999</v>
      </c>
      <c r="BD138" s="4">
        <v>-8.6999999999999994E-2</v>
      </c>
      <c r="BE138" s="4">
        <v>0.248</v>
      </c>
      <c r="BF138" s="4">
        <v>6.4000000000000001E-2</v>
      </c>
      <c r="BG138" s="4">
        <v>0.106</v>
      </c>
      <c r="BH138" s="4">
        <v>-0.61299999999999999</v>
      </c>
      <c r="BI138" s="4">
        <v>0.80800000000000005</v>
      </c>
      <c r="BJ138" s="4">
        <v>-0.73</v>
      </c>
      <c r="BK138" s="4">
        <v>-0.38700000000000001</v>
      </c>
    </row>
    <row r="139" spans="1:63" x14ac:dyDescent="0.3">
      <c r="A139" t="s">
        <v>153</v>
      </c>
      <c r="B139" s="53">
        <f t="shared" si="14"/>
        <v>0</v>
      </c>
      <c r="C139" s="53">
        <f t="shared" si="15"/>
        <v>-2.4E-2</v>
      </c>
      <c r="D139" s="53">
        <f t="shared" si="16"/>
        <v>0</v>
      </c>
      <c r="E139" s="53">
        <v>2.4E-2</v>
      </c>
      <c r="F139" s="15">
        <v>0.61499999999999999</v>
      </c>
      <c r="G139">
        <v>1.073</v>
      </c>
      <c r="H139" t="s">
        <v>57</v>
      </c>
      <c r="I139" t="str">
        <f>VLOOKUP(A139,Planilha6!$BL$9:$BN$222,2,0)</f>
        <v>consumer_services</v>
      </c>
      <c r="J139" t="str">
        <f>VLOOKUP(A139,Planilha6!$BL$9:$BN$222,3,0)</f>
        <v>very_low_beta</v>
      </c>
      <c r="K139" s="2">
        <v>0</v>
      </c>
      <c r="L139" s="2">
        <v>-2.4E-2</v>
      </c>
      <c r="M139" s="29">
        <v>2.4E-2</v>
      </c>
      <c r="N139" s="47">
        <f>VLOOKUP(A139,'Mandato ISEE'!$A$1:$C$215,2,0)</f>
        <v>0</v>
      </c>
      <c r="O139" s="48">
        <f t="shared" si="17"/>
        <v>0</v>
      </c>
      <c r="P139" s="47">
        <f>VLOOKUP(A139,'Mandato ISEE'!$A$1:$C$215,3,0)</f>
        <v>0</v>
      </c>
      <c r="Q139" s="48">
        <f t="shared" si="18"/>
        <v>0</v>
      </c>
      <c r="R139" s="15">
        <v>-0.78</v>
      </c>
      <c r="S139" s="15">
        <v>-0.36</v>
      </c>
      <c r="T139" s="15">
        <v>-0.94399999999999995</v>
      </c>
      <c r="U139" s="15">
        <v>-0.59199999999999997</v>
      </c>
      <c r="V139" s="15">
        <v>-0.63100000000000001</v>
      </c>
      <c r="W139" s="15">
        <v>-0.61499999999999999</v>
      </c>
      <c r="X139" s="15">
        <v>-0.53100000000000003</v>
      </c>
      <c r="Y139" s="15">
        <v>-0.54600000000000004</v>
      </c>
      <c r="Z139" s="15">
        <v>0.61499999999999999</v>
      </c>
      <c r="AA139" s="15">
        <v>0.62</v>
      </c>
      <c r="AB139" s="15">
        <v>0.57499999999999996</v>
      </c>
      <c r="AC139" s="15">
        <v>0.72599999999999998</v>
      </c>
      <c r="AD139" s="15">
        <v>0.59499999999999997</v>
      </c>
      <c r="AE139" s="14">
        <v>-0.64700000000000002</v>
      </c>
      <c r="AF139" s="15">
        <v>-0.52300000000000002</v>
      </c>
      <c r="AG139" s="15">
        <v>0.53200000000000003</v>
      </c>
      <c r="AH139" s="15">
        <v>-0.91100000000000003</v>
      </c>
      <c r="AI139" s="15">
        <v>-0.38900000000000001</v>
      </c>
      <c r="AJ139" s="9">
        <v>-0.95199999999999996</v>
      </c>
      <c r="AK139" s="4">
        <v>-0.01</v>
      </c>
      <c r="AL139" s="4">
        <v>-0.45500000000000002</v>
      </c>
      <c r="AM139" s="4">
        <v>-0.47499999999999998</v>
      </c>
      <c r="AN139" s="4">
        <v>-5.5E-2</v>
      </c>
      <c r="AO139" s="4">
        <v>0.56599999999999995</v>
      </c>
      <c r="AP139" s="4">
        <v>0.91400000000000003</v>
      </c>
      <c r="AQ139" s="4">
        <v>0.32400000000000001</v>
      </c>
      <c r="AR139" s="4">
        <v>-0.63</v>
      </c>
      <c r="AS139" s="4">
        <v>-0.63700000000000001</v>
      </c>
      <c r="AT139" s="4">
        <v>0.52600000000000002</v>
      </c>
      <c r="AU139" s="4">
        <v>-0.49299999999999999</v>
      </c>
      <c r="AV139" s="4">
        <v>-0.16200000000000001</v>
      </c>
      <c r="AW139" s="4">
        <v>8.5999999999999993E-2</v>
      </c>
      <c r="AX139" s="4">
        <v>-0.224</v>
      </c>
      <c r="AY139" s="4">
        <v>0.92700000000000005</v>
      </c>
      <c r="AZ139" s="4">
        <v>-0.26700000000000002</v>
      </c>
      <c r="BA139" s="4">
        <v>0.63700000000000001</v>
      </c>
      <c r="BB139" s="4">
        <v>-0.438</v>
      </c>
      <c r="BC139" s="4">
        <v>-0.64200000000000002</v>
      </c>
      <c r="BD139" s="4">
        <v>0.17499999999999999</v>
      </c>
      <c r="BE139" s="4">
        <v>-0.39800000000000002</v>
      </c>
      <c r="BF139" s="4">
        <v>0.29699999999999999</v>
      </c>
      <c r="BG139" s="4">
        <v>0.65800000000000003</v>
      </c>
      <c r="BH139" s="4">
        <v>-0.57999999999999996</v>
      </c>
      <c r="BI139" s="4">
        <v>-0.57599999999999996</v>
      </c>
      <c r="BJ139" s="4">
        <v>-0.218</v>
      </c>
      <c r="BK139" s="4">
        <v>-0.38900000000000001</v>
      </c>
    </row>
    <row r="140" spans="1:63" x14ac:dyDescent="0.3">
      <c r="A140" t="s">
        <v>222</v>
      </c>
      <c r="B140" s="53">
        <f t="shared" si="14"/>
        <v>0</v>
      </c>
      <c r="C140" s="53">
        <f t="shared" si="15"/>
        <v>0</v>
      </c>
      <c r="D140" s="53">
        <f t="shared" si="16"/>
        <v>0</v>
      </c>
      <c r="E140" s="53">
        <v>0</v>
      </c>
      <c r="F140" s="15">
        <v>0.61199999999999999</v>
      </c>
      <c r="G140">
        <v>0.63300000000000001</v>
      </c>
      <c r="H140" t="s">
        <v>71</v>
      </c>
      <c r="I140" t="str">
        <f>VLOOKUP(A140,Planilha6!$BL$9:$BN$222,2,0)</f>
        <v>basic_materials</v>
      </c>
      <c r="J140" t="str">
        <f>VLOOKUP(A140,Planilha6!$BL$9:$BN$222,3,0)</f>
        <v>very_low_beta</v>
      </c>
      <c r="K140" s="2">
        <v>0</v>
      </c>
      <c r="L140" s="2">
        <v>0</v>
      </c>
      <c r="M140" s="29">
        <v>0</v>
      </c>
      <c r="N140" s="47">
        <f>VLOOKUP(A140,'Mandato ISEE'!$A$1:$C$215,2,0)</f>
        <v>0</v>
      </c>
      <c r="O140" s="48">
        <f t="shared" si="17"/>
        <v>0</v>
      </c>
      <c r="P140" s="47">
        <f>VLOOKUP(A140,'Mandato ISEE'!$A$1:$C$215,3,0)</f>
        <v>0</v>
      </c>
      <c r="Q140" s="48">
        <f t="shared" si="18"/>
        <v>0</v>
      </c>
      <c r="R140" s="15">
        <v>-0.85699999999999998</v>
      </c>
      <c r="S140" s="15">
        <v>-0.59099999999999997</v>
      </c>
      <c r="T140" s="15">
        <v>-0.98099999999999998</v>
      </c>
      <c r="U140" s="15">
        <v>-0.71399999999999997</v>
      </c>
      <c r="V140" s="15">
        <v>-0.748</v>
      </c>
      <c r="W140" s="15">
        <v>-0.505</v>
      </c>
      <c r="X140" s="15">
        <v>-0.13600000000000001</v>
      </c>
      <c r="Y140" s="15">
        <v>-0.55800000000000005</v>
      </c>
      <c r="Z140" s="15">
        <v>0.80300000000000005</v>
      </c>
      <c r="AA140" s="15">
        <v>0.80700000000000005</v>
      </c>
      <c r="AB140" s="15">
        <v>0.67100000000000004</v>
      </c>
      <c r="AC140" s="15">
        <v>0.68799999999999994</v>
      </c>
      <c r="AD140" s="15">
        <v>0.44600000000000001</v>
      </c>
      <c r="AE140" s="14">
        <v>-0.53300000000000003</v>
      </c>
      <c r="AF140" s="15">
        <v>-0.54800000000000004</v>
      </c>
      <c r="AG140" s="15">
        <v>-0.14899999999999999</v>
      </c>
      <c r="AH140" s="15">
        <v>-0.86799999999999999</v>
      </c>
      <c r="AI140" s="15">
        <v>-0.94</v>
      </c>
      <c r="AJ140" s="9">
        <v>-1</v>
      </c>
      <c r="AK140" s="4">
        <v>0.13200000000000001</v>
      </c>
      <c r="AL140" s="4">
        <v>-0.56999999999999995</v>
      </c>
      <c r="AM140" s="4">
        <v>-0.36399999999999999</v>
      </c>
      <c r="AN140" s="4">
        <v>9.9000000000000005E-2</v>
      </c>
      <c r="AO140" s="4">
        <v>4.8000000000000001E-2</v>
      </c>
      <c r="AP140" s="4">
        <v>-0.16700000000000001</v>
      </c>
      <c r="AQ140" s="4">
        <v>-0.312</v>
      </c>
      <c r="AR140" s="4">
        <v>0.47299999999999998</v>
      </c>
      <c r="AS140" s="4">
        <v>2.3E-2</v>
      </c>
      <c r="AT140" s="4">
        <v>0.24099999999999999</v>
      </c>
      <c r="AU140" s="4">
        <v>0.219</v>
      </c>
      <c r="AV140" s="4">
        <v>-0.23899999999999999</v>
      </c>
      <c r="AW140" s="4">
        <v>0.95799999999999996</v>
      </c>
      <c r="AX140" s="4">
        <v>-0.41099999999999998</v>
      </c>
      <c r="AY140" s="4">
        <v>0.38700000000000001</v>
      </c>
      <c r="AZ140" s="4">
        <v>-1</v>
      </c>
      <c r="BA140" s="4">
        <v>-0.48499999999999999</v>
      </c>
      <c r="BB140" s="4">
        <v>-0.123</v>
      </c>
      <c r="BC140" s="4">
        <v>-0.26300000000000001</v>
      </c>
      <c r="BD140" s="4">
        <v>0.126</v>
      </c>
      <c r="BE140" s="4">
        <v>1</v>
      </c>
      <c r="BF140" s="4">
        <v>0.88500000000000001</v>
      </c>
      <c r="BG140" s="4">
        <v>0.84399999999999997</v>
      </c>
      <c r="BH140" s="4">
        <v>-0.24399999999999999</v>
      </c>
      <c r="BI140" s="4">
        <v>-0.64700000000000002</v>
      </c>
      <c r="BJ140" s="4">
        <v>-0.34200000000000003</v>
      </c>
      <c r="BK140" s="4">
        <v>-0.67</v>
      </c>
    </row>
    <row r="141" spans="1:63" x14ac:dyDescent="0.3">
      <c r="A141" t="s">
        <v>179</v>
      </c>
      <c r="B141" s="53">
        <f t="shared" si="14"/>
        <v>0</v>
      </c>
      <c r="C141" s="53">
        <f t="shared" si="15"/>
        <v>-6.0000000000000001E-3</v>
      </c>
      <c r="D141" s="53">
        <f t="shared" si="16"/>
        <v>0</v>
      </c>
      <c r="E141" s="53">
        <v>6.0000000000000001E-3</v>
      </c>
      <c r="F141" s="15">
        <v>0.61</v>
      </c>
      <c r="G141">
        <v>0.52800000000000002</v>
      </c>
      <c r="H141" t="s">
        <v>71</v>
      </c>
      <c r="I141" t="str">
        <f>VLOOKUP(A141,Planilha6!$BL$9:$BN$222,2,0)</f>
        <v>basic_materials</v>
      </c>
      <c r="J141" t="str">
        <f>VLOOKUP(A141,Planilha6!$BL$9:$BN$222,3,0)</f>
        <v>neutral_beta</v>
      </c>
      <c r="K141" s="2">
        <v>0</v>
      </c>
      <c r="L141" s="2">
        <v>-6.0000000000000001E-3</v>
      </c>
      <c r="M141" s="29">
        <v>6.0000000000000001E-3</v>
      </c>
      <c r="N141" s="47">
        <f>VLOOKUP(A141,'Mandato ISEE'!$A$1:$C$215,2,0)</f>
        <v>0</v>
      </c>
      <c r="O141" s="48">
        <f t="shared" si="17"/>
        <v>0</v>
      </c>
      <c r="P141" s="47">
        <f>VLOOKUP(A141,'Mandato ISEE'!$A$1:$C$215,3,0)</f>
        <v>0</v>
      </c>
      <c r="Q141" s="48">
        <f t="shared" si="18"/>
        <v>0</v>
      </c>
      <c r="R141" s="15">
        <v>-0.65600000000000003</v>
      </c>
      <c r="S141" s="15">
        <v>-0.63600000000000001</v>
      </c>
      <c r="T141" s="15">
        <v>-0.84699999999999998</v>
      </c>
      <c r="U141" s="15">
        <v>-0.53200000000000003</v>
      </c>
      <c r="V141" s="15">
        <v>-0.67200000000000004</v>
      </c>
      <c r="W141" s="15">
        <v>-0.61099999999999999</v>
      </c>
      <c r="X141" s="15">
        <v>-0.69899999999999995</v>
      </c>
      <c r="Y141" s="15">
        <v>-0.73699999999999999</v>
      </c>
      <c r="Z141" s="15">
        <v>0.60299999999999998</v>
      </c>
      <c r="AA141" s="15">
        <v>0.60799999999999998</v>
      </c>
      <c r="AB141" s="15">
        <v>0.61399999999999999</v>
      </c>
      <c r="AC141" s="15">
        <v>0.90600000000000003</v>
      </c>
      <c r="AD141" s="15">
        <v>0.69299999999999995</v>
      </c>
      <c r="AE141" s="14">
        <v>-0.215</v>
      </c>
      <c r="AF141" s="15">
        <v>-0.22600000000000001</v>
      </c>
      <c r="AG141" s="15">
        <v>0.77800000000000002</v>
      </c>
      <c r="AH141" s="15">
        <v>-0.52100000000000002</v>
      </c>
      <c r="AI141" s="15">
        <v>-0.42399999999999999</v>
      </c>
      <c r="AJ141" s="9">
        <v>-0.86199999999999999</v>
      </c>
      <c r="AK141" s="4">
        <v>-0.34399999999999997</v>
      </c>
      <c r="AL141" s="4">
        <v>-0.63600000000000001</v>
      </c>
      <c r="AM141" s="4">
        <v>0.5</v>
      </c>
      <c r="AN141" s="4">
        <v>-0.52800000000000002</v>
      </c>
      <c r="AO141" s="4">
        <v>0.505</v>
      </c>
      <c r="AP141" s="4">
        <v>-9.8000000000000004E-2</v>
      </c>
      <c r="AQ141" s="4">
        <v>-0.434</v>
      </c>
      <c r="AR141" s="4">
        <v>0.748</v>
      </c>
      <c r="AS141" s="4">
        <v>0.43099999999999999</v>
      </c>
      <c r="AT141" s="4">
        <v>-0.109</v>
      </c>
      <c r="AU141" s="4">
        <v>-0.60299999999999998</v>
      </c>
      <c r="AV141" s="4">
        <v>-9.2999999999999999E-2</v>
      </c>
      <c r="AW141" s="4">
        <v>-5.3999999999999999E-2</v>
      </c>
      <c r="AX141" s="4">
        <v>-0.159</v>
      </c>
      <c r="AY141" s="4">
        <v>0.753</v>
      </c>
      <c r="AZ141" s="4">
        <v>-1</v>
      </c>
      <c r="BA141" s="4">
        <v>0.26400000000000001</v>
      </c>
      <c r="BB141" s="4">
        <v>0.45700000000000002</v>
      </c>
      <c r="BC141" s="4">
        <v>0.16300000000000001</v>
      </c>
      <c r="BD141" s="4">
        <v>0.314</v>
      </c>
      <c r="BE141" s="4">
        <v>-2.5000000000000001E-2</v>
      </c>
      <c r="BF141" s="4">
        <v>0.23799999999999999</v>
      </c>
      <c r="BG141" s="4">
        <v>0.39200000000000002</v>
      </c>
      <c r="BH141" s="4">
        <v>0.03</v>
      </c>
      <c r="BI141" s="4">
        <v>-0.26700000000000002</v>
      </c>
      <c r="BJ141" s="4">
        <v>-0.40200000000000002</v>
      </c>
      <c r="BK141" s="4">
        <v>0.11799999999999999</v>
      </c>
    </row>
    <row r="142" spans="1:63" x14ac:dyDescent="0.3">
      <c r="A142" t="s">
        <v>190</v>
      </c>
      <c r="B142" s="53">
        <f t="shared" si="14"/>
        <v>0</v>
      </c>
      <c r="C142" s="53">
        <f t="shared" si="15"/>
        <v>0</v>
      </c>
      <c r="D142" s="53">
        <f t="shared" si="16"/>
        <v>0</v>
      </c>
      <c r="E142" s="53">
        <v>0</v>
      </c>
      <c r="F142" s="15">
        <v>0.60699999999999998</v>
      </c>
      <c r="G142">
        <v>0.437</v>
      </c>
      <c r="H142" t="s">
        <v>68</v>
      </c>
      <c r="I142" t="str">
        <f>VLOOKUP(A142,Planilha6!$BL$9:$BN$222,2,0)</f>
        <v>capital_goods</v>
      </c>
      <c r="J142" t="str">
        <f>VLOOKUP(A142,Planilha6!$BL$9:$BN$222,3,0)</f>
        <v>very_high_beta</v>
      </c>
      <c r="K142" s="2">
        <v>0</v>
      </c>
      <c r="L142" s="2">
        <v>0</v>
      </c>
      <c r="M142" s="29">
        <v>0</v>
      </c>
      <c r="N142" s="47">
        <f>VLOOKUP(A142,'Mandato ISEE'!$A$1:$C$215,2,0)</f>
        <v>0</v>
      </c>
      <c r="O142" s="48">
        <f t="shared" si="17"/>
        <v>0</v>
      </c>
      <c r="P142" s="47">
        <f>VLOOKUP(A142,'Mandato ISEE'!$A$1:$C$215,3,0)</f>
        <v>0</v>
      </c>
      <c r="Q142" s="48">
        <f t="shared" si="18"/>
        <v>0</v>
      </c>
      <c r="R142" s="15">
        <v>-0.22900000000000001</v>
      </c>
      <c r="S142" s="15">
        <v>-0.626</v>
      </c>
      <c r="T142" s="15">
        <v>-0.24099999999999999</v>
      </c>
      <c r="U142" s="15">
        <v>-0.46300000000000002</v>
      </c>
      <c r="V142" s="15">
        <v>-0.58199999999999996</v>
      </c>
      <c r="W142" s="15">
        <v>-0.74199999999999999</v>
      </c>
      <c r="X142" s="15">
        <v>-0.78400000000000003</v>
      </c>
      <c r="Y142" s="15">
        <v>-0.72899999999999998</v>
      </c>
      <c r="Z142" s="15">
        <v>0.193</v>
      </c>
      <c r="AA142" s="15">
        <v>0.188</v>
      </c>
      <c r="AB142" s="15">
        <v>0.64900000000000002</v>
      </c>
      <c r="AC142" s="15">
        <v>0.17899999999999999</v>
      </c>
      <c r="AD142" s="15">
        <v>0.47799999999999998</v>
      </c>
      <c r="AE142" s="14">
        <v>-0.60099999999999998</v>
      </c>
      <c r="AF142" s="15">
        <v>-0.215</v>
      </c>
      <c r="AG142" s="15">
        <v>0.26500000000000001</v>
      </c>
      <c r="AH142" s="15">
        <v>-8.6999999999999994E-2</v>
      </c>
      <c r="AI142" s="15">
        <v>1</v>
      </c>
      <c r="AJ142" s="9">
        <v>-0.68</v>
      </c>
      <c r="AK142" s="4">
        <v>-0.19800000000000001</v>
      </c>
      <c r="AL142" s="4">
        <v>-5.1999999999999998E-2</v>
      </c>
      <c r="AM142" s="4">
        <v>-0.38900000000000001</v>
      </c>
      <c r="AN142" s="4">
        <v>0.56200000000000006</v>
      </c>
      <c r="AO142" s="4">
        <v>0.54800000000000004</v>
      </c>
      <c r="AP142" s="4">
        <v>0.58299999999999996</v>
      </c>
      <c r="AQ142" s="4">
        <v>-6.5000000000000002E-2</v>
      </c>
      <c r="AR142" s="4">
        <v>0.50600000000000001</v>
      </c>
      <c r="AS142" s="4">
        <v>0.24299999999999999</v>
      </c>
      <c r="AT142" s="4">
        <v>2.1999999999999999E-2</v>
      </c>
      <c r="AU142" s="4">
        <v>-0.10100000000000001</v>
      </c>
      <c r="AV142" s="4">
        <v>-0.33300000000000002</v>
      </c>
      <c r="AW142" s="4">
        <v>-0.66700000000000004</v>
      </c>
      <c r="AX142" s="4">
        <v>-9.2999999999999999E-2</v>
      </c>
      <c r="AY142" s="4">
        <v>0.44700000000000001</v>
      </c>
      <c r="AZ142" s="4">
        <v>-0.79100000000000004</v>
      </c>
      <c r="BA142" s="4">
        <v>-0.38900000000000001</v>
      </c>
      <c r="BB142" s="4">
        <v>-0.29399999999999998</v>
      </c>
      <c r="BC142" s="4">
        <v>-0.251</v>
      </c>
      <c r="BD142" s="4">
        <v>0.121</v>
      </c>
      <c r="BE142" s="4">
        <v>-0.41499999999999998</v>
      </c>
      <c r="BF142" s="4">
        <v>-1</v>
      </c>
      <c r="BG142" s="4">
        <v>-0.85299999999999998</v>
      </c>
      <c r="BH142" s="4">
        <v>0.39500000000000002</v>
      </c>
      <c r="BI142" s="4">
        <v>1</v>
      </c>
      <c r="BJ142" s="4">
        <v>0.60599999999999998</v>
      </c>
      <c r="BK142" s="4">
        <v>0.28499999999999998</v>
      </c>
    </row>
    <row r="143" spans="1:63" x14ac:dyDescent="0.3">
      <c r="A143" t="s">
        <v>141</v>
      </c>
      <c r="B143" s="53">
        <f t="shared" si="14"/>
        <v>0</v>
      </c>
      <c r="C143" s="53">
        <f t="shared" si="15"/>
        <v>-5.0000000000000001E-3</v>
      </c>
      <c r="D143" s="53">
        <f t="shared" si="16"/>
        <v>0</v>
      </c>
      <c r="E143" s="53">
        <v>5.0000000000000001E-3</v>
      </c>
      <c r="F143" s="15">
        <v>0.60399999999999998</v>
      </c>
      <c r="G143">
        <v>0.48599999999999999</v>
      </c>
      <c r="H143" t="s">
        <v>57</v>
      </c>
      <c r="I143" t="str">
        <f>VLOOKUP(A143,Planilha6!$BL$9:$BN$222,2,0)</f>
        <v>education</v>
      </c>
      <c r="J143" t="str">
        <f>VLOOKUP(A143,Planilha6!$BL$9:$BN$222,3,0)</f>
        <v>high_beta</v>
      </c>
      <c r="K143" s="2">
        <v>0</v>
      </c>
      <c r="L143" s="2">
        <v>-5.0000000000000001E-3</v>
      </c>
      <c r="M143" s="29">
        <v>5.0000000000000001E-3</v>
      </c>
      <c r="N143" s="47">
        <f>VLOOKUP(A143,'Mandato ISEE'!$A$1:$C$215,2,0)</f>
        <v>0</v>
      </c>
      <c r="O143" s="48">
        <f t="shared" si="17"/>
        <v>0</v>
      </c>
      <c r="P143" s="47">
        <f>VLOOKUP(A143,'Mandato ISEE'!$A$1:$C$215,3,0)</f>
        <v>0</v>
      </c>
      <c r="Q143" s="48">
        <f t="shared" si="18"/>
        <v>0</v>
      </c>
      <c r="R143" s="15">
        <v>-0.434</v>
      </c>
      <c r="S143" s="15">
        <v>-0.56799999999999995</v>
      </c>
      <c r="T143" s="15">
        <v>-0.41699999999999998</v>
      </c>
      <c r="U143" s="15">
        <v>-0.33200000000000002</v>
      </c>
      <c r="V143" s="15">
        <v>-0.41699999999999998</v>
      </c>
      <c r="W143" s="15">
        <v>-0.44600000000000001</v>
      </c>
      <c r="X143" s="15">
        <v>-0.375</v>
      </c>
      <c r="Y143" s="15">
        <v>-0.49299999999999999</v>
      </c>
      <c r="Z143" s="15">
        <v>-9.6000000000000002E-2</v>
      </c>
      <c r="AA143" s="15">
        <v>-9.4E-2</v>
      </c>
      <c r="AB143" s="15">
        <v>0.54400000000000004</v>
      </c>
      <c r="AC143" s="15">
        <v>0.56000000000000005</v>
      </c>
      <c r="AD143" s="15">
        <v>0.16</v>
      </c>
      <c r="AE143" s="14">
        <v>0.376</v>
      </c>
      <c r="AF143" s="15">
        <v>0.42899999999999999</v>
      </c>
      <c r="AG143" s="15">
        <v>-0.59599999999999997</v>
      </c>
      <c r="AH143" s="15">
        <v>9.7000000000000003E-2</v>
      </c>
      <c r="AI143" s="15">
        <v>-0.61599999999999999</v>
      </c>
      <c r="AJ143" s="9">
        <v>0.58899999999999997</v>
      </c>
      <c r="AK143" s="4">
        <v>0.27800000000000002</v>
      </c>
      <c r="AL143" s="4">
        <v>-0.17100000000000001</v>
      </c>
      <c r="AM143" s="4">
        <v>-0.39200000000000002</v>
      </c>
      <c r="AN143" s="4">
        <v>0.79400000000000004</v>
      </c>
      <c r="AO143" s="4">
        <v>-0.41199999999999998</v>
      </c>
      <c r="AP143" s="4">
        <v>-0.44400000000000001</v>
      </c>
      <c r="AQ143" s="4">
        <v>0.437</v>
      </c>
      <c r="AR143" s="4">
        <v>-0.92500000000000004</v>
      </c>
      <c r="AS143" s="4">
        <v>-0.56299999999999994</v>
      </c>
      <c r="AT143" s="4">
        <v>0.30399999999999999</v>
      </c>
      <c r="AU143" s="4">
        <v>-2.4E-2</v>
      </c>
      <c r="AV143" s="4">
        <v>0.30199999999999999</v>
      </c>
      <c r="AW143" s="4">
        <v>-0.44600000000000001</v>
      </c>
      <c r="AX143" s="4">
        <v>-0.432</v>
      </c>
      <c r="AY143" s="4">
        <v>0.79900000000000004</v>
      </c>
      <c r="AZ143" s="4">
        <v>0.27800000000000002</v>
      </c>
      <c r="BA143" s="4">
        <v>-0.15</v>
      </c>
      <c r="BB143" s="4">
        <v>0.24299999999999999</v>
      </c>
      <c r="BC143" s="4">
        <v>6.5000000000000002E-2</v>
      </c>
      <c r="BD143" s="4">
        <v>0.111</v>
      </c>
      <c r="BE143" s="4">
        <v>-0.34599999999999997</v>
      </c>
      <c r="BF143" s="4">
        <v>-7.6999999999999999E-2</v>
      </c>
      <c r="BG143" s="4">
        <v>0.316</v>
      </c>
      <c r="BH143" s="4">
        <v>-0.124</v>
      </c>
      <c r="BI143" s="4">
        <v>0.27100000000000002</v>
      </c>
      <c r="BJ143" s="4">
        <v>-0.54300000000000004</v>
      </c>
      <c r="BK143" s="4">
        <v>7.0000000000000001E-3</v>
      </c>
    </row>
    <row r="144" spans="1:63" x14ac:dyDescent="0.3">
      <c r="A144" t="s">
        <v>193</v>
      </c>
      <c r="B144" s="53">
        <f t="shared" si="14"/>
        <v>0</v>
      </c>
      <c r="C144" s="53">
        <f t="shared" si="15"/>
        <v>0</v>
      </c>
      <c r="D144" s="53">
        <f t="shared" si="16"/>
        <v>0</v>
      </c>
      <c r="E144" s="53">
        <v>0</v>
      </c>
      <c r="F144" s="15">
        <v>0.60299999999999998</v>
      </c>
      <c r="G144">
        <v>0.8</v>
      </c>
      <c r="H144" t="s">
        <v>55</v>
      </c>
      <c r="I144" t="str">
        <f>VLOOKUP(A144,Planilha6!$BL$9:$BN$222,2,0)</f>
        <v>utilities</v>
      </c>
      <c r="J144" t="str">
        <f>VLOOKUP(A144,Planilha6!$BL$9:$BN$222,3,0)</f>
        <v>neutral_beta</v>
      </c>
      <c r="K144" s="2">
        <v>0</v>
      </c>
      <c r="L144" s="2">
        <v>0</v>
      </c>
      <c r="M144" s="29">
        <v>0</v>
      </c>
      <c r="N144" s="47">
        <f>VLOOKUP(A144,'Mandato ISEE'!$A$1:$C$215,2,0)</f>
        <v>0</v>
      </c>
      <c r="O144" s="48">
        <f t="shared" si="17"/>
        <v>0</v>
      </c>
      <c r="P144" s="47">
        <f>VLOOKUP(A144,'Mandato ISEE'!$A$1:$C$215,3,0)</f>
        <v>0</v>
      </c>
      <c r="Q144" s="48">
        <f t="shared" si="18"/>
        <v>0</v>
      </c>
      <c r="R144" s="15">
        <v>-0.86499999999999999</v>
      </c>
      <c r="S144" s="15">
        <v>-0.29099999999999998</v>
      </c>
      <c r="T144" s="15">
        <v>-0.94699999999999995</v>
      </c>
      <c r="U144" s="15">
        <v>-0.749</v>
      </c>
      <c r="V144" s="15">
        <v>-0.64300000000000002</v>
      </c>
      <c r="W144" s="15">
        <v>-0.625</v>
      </c>
      <c r="X144" s="15">
        <v>-0.41099999999999998</v>
      </c>
      <c r="Y144" s="15">
        <v>-0.39500000000000002</v>
      </c>
      <c r="Z144" s="15">
        <v>0.435</v>
      </c>
      <c r="AA144" s="15">
        <v>0.44400000000000001</v>
      </c>
      <c r="AB144" s="15">
        <v>0.64500000000000002</v>
      </c>
      <c r="AC144" s="15">
        <v>0.55200000000000005</v>
      </c>
      <c r="AD144" s="15">
        <v>0.46100000000000002</v>
      </c>
      <c r="AE144" s="14">
        <v>-0.83399999999999996</v>
      </c>
      <c r="AF144" s="15">
        <v>-0.77700000000000002</v>
      </c>
      <c r="AG144" s="15">
        <v>0.69</v>
      </c>
      <c r="AH144" s="15">
        <v>-0.89600000000000002</v>
      </c>
      <c r="AI144" s="15">
        <v>-0.39400000000000002</v>
      </c>
      <c r="AJ144" s="9">
        <v>-0.98599999999999999</v>
      </c>
      <c r="AK144" s="4">
        <v>-0.245</v>
      </c>
      <c r="AL144" s="4">
        <v>-0.45500000000000002</v>
      </c>
      <c r="AM144" s="4">
        <v>-0.41399999999999998</v>
      </c>
      <c r="AN144" s="4">
        <v>-0.49</v>
      </c>
      <c r="AO144" s="4">
        <v>0.45300000000000001</v>
      </c>
      <c r="AP144" s="4">
        <v>0.68799999999999994</v>
      </c>
      <c r="AQ144" s="4">
        <v>-0.128</v>
      </c>
      <c r="AR144" s="4">
        <v>-0.33</v>
      </c>
      <c r="AS144" s="4">
        <v>-0.80900000000000005</v>
      </c>
      <c r="AT144" s="4">
        <v>0.16300000000000001</v>
      </c>
      <c r="AU144" s="4">
        <v>-0.124</v>
      </c>
      <c r="AV144" s="4">
        <v>-0.438</v>
      </c>
      <c r="AW144" s="4">
        <v>0.48899999999999999</v>
      </c>
      <c r="AX144" s="4">
        <v>-0.72499999999999998</v>
      </c>
      <c r="AY144" s="4">
        <v>0.94199999999999995</v>
      </c>
      <c r="AZ144" s="4">
        <v>0.26800000000000002</v>
      </c>
      <c r="BA144" s="4">
        <v>-0.56599999999999995</v>
      </c>
      <c r="BB144" s="4">
        <v>-0.33500000000000002</v>
      </c>
      <c r="BC144" s="4">
        <v>-0.53500000000000003</v>
      </c>
      <c r="BD144" s="4">
        <v>0.11899999999999999</v>
      </c>
      <c r="BE144" s="4">
        <v>-0.113</v>
      </c>
      <c r="BF144" s="4">
        <v>0.55400000000000005</v>
      </c>
      <c r="BG144" s="4">
        <v>0.77600000000000002</v>
      </c>
      <c r="BH144" s="4">
        <v>-0.433</v>
      </c>
      <c r="BI144" s="4">
        <v>2.4E-2</v>
      </c>
      <c r="BJ144" s="4">
        <v>-0.214</v>
      </c>
      <c r="BK144" s="4">
        <v>-0.22700000000000001</v>
      </c>
    </row>
    <row r="145" spans="1:63" x14ac:dyDescent="0.3">
      <c r="A145" t="s">
        <v>234</v>
      </c>
      <c r="B145" s="53">
        <f t="shared" si="14"/>
        <v>0</v>
      </c>
      <c r="C145" s="53">
        <f t="shared" si="15"/>
        <v>-8.0000000000000002E-3</v>
      </c>
      <c r="D145" s="53">
        <f t="shared" si="16"/>
        <v>0</v>
      </c>
      <c r="E145" s="53">
        <v>8.0000000000000002E-3</v>
      </c>
      <c r="F145" s="15">
        <v>0.6</v>
      </c>
      <c r="G145">
        <v>0.748</v>
      </c>
      <c r="H145" t="s">
        <v>55</v>
      </c>
      <c r="I145" t="str">
        <f>VLOOKUP(A145,Planilha6!$BL$9:$BN$222,2,0)</f>
        <v>utilities</v>
      </c>
      <c r="J145" t="str">
        <f>VLOOKUP(A145,Planilha6!$BL$9:$BN$222,3,0)</f>
        <v>neutral_beta</v>
      </c>
      <c r="K145" s="2">
        <v>0</v>
      </c>
      <c r="L145" s="2">
        <v>-8.0000000000000002E-3</v>
      </c>
      <c r="M145" s="29">
        <v>8.0000000000000002E-3</v>
      </c>
      <c r="N145" s="47">
        <f>VLOOKUP(A145,'Mandato ISEE'!$A$1:$C$215,2,0)</f>
        <v>0</v>
      </c>
      <c r="O145" s="48">
        <f t="shared" si="17"/>
        <v>0</v>
      </c>
      <c r="P145" s="47">
        <f>VLOOKUP(A145,'Mandato ISEE'!$A$1:$C$215,3,0)</f>
        <v>0</v>
      </c>
      <c r="Q145" s="48">
        <f t="shared" si="18"/>
        <v>0</v>
      </c>
      <c r="R145" s="15">
        <v>-0.80200000000000005</v>
      </c>
      <c r="S145" s="15">
        <v>-0.55300000000000005</v>
      </c>
      <c r="T145" s="15">
        <v>-0.84899999999999998</v>
      </c>
      <c r="U145" s="15">
        <v>-0.77</v>
      </c>
      <c r="V145" s="15">
        <v>-0.68899999999999995</v>
      </c>
      <c r="W145" s="15">
        <v>-0.629</v>
      </c>
      <c r="X145" s="15">
        <v>-0.53900000000000003</v>
      </c>
      <c r="Y145" s="15">
        <v>-0.42599999999999999</v>
      </c>
      <c r="Z145" s="15">
        <v>0.48399999999999999</v>
      </c>
      <c r="AA145" s="15">
        <v>0.48399999999999999</v>
      </c>
      <c r="AB145" s="15">
        <v>0.55500000000000005</v>
      </c>
      <c r="AC145" s="15">
        <v>0.58799999999999997</v>
      </c>
      <c r="AD145" s="15">
        <v>0.49299999999999999</v>
      </c>
      <c r="AE145" s="14">
        <v>-0.89800000000000002</v>
      </c>
      <c r="AF145" s="15">
        <v>-0.59499999999999997</v>
      </c>
      <c r="AG145" s="15">
        <v>-0.20100000000000001</v>
      </c>
      <c r="AH145" s="15">
        <v>-0.89200000000000002</v>
      </c>
      <c r="AI145" s="15">
        <v>-0.39200000000000002</v>
      </c>
      <c r="AJ145" s="9">
        <v>-0.94699999999999995</v>
      </c>
      <c r="AK145" s="4">
        <v>-0.376</v>
      </c>
      <c r="AL145" s="4">
        <v>-0.111</v>
      </c>
      <c r="AM145" s="4">
        <v>-0.28499999999999998</v>
      </c>
      <c r="AN145" s="4">
        <v>-0.36099999999999999</v>
      </c>
      <c r="AO145" s="4">
        <v>0.38400000000000001</v>
      </c>
      <c r="AP145" s="4">
        <v>0.41499999999999998</v>
      </c>
      <c r="AQ145" s="4">
        <v>-0.19400000000000001</v>
      </c>
      <c r="AR145" s="4">
        <v>0.72299999999999998</v>
      </c>
      <c r="AS145" s="4">
        <v>0.11899999999999999</v>
      </c>
      <c r="AT145" s="4">
        <v>-0.23300000000000001</v>
      </c>
      <c r="AU145" s="4">
        <v>-0.42499999999999999</v>
      </c>
      <c r="AV145" s="4">
        <v>-0.45500000000000002</v>
      </c>
      <c r="AW145" s="4">
        <v>0.58699999999999997</v>
      </c>
      <c r="AX145" s="4">
        <v>-0.65900000000000003</v>
      </c>
      <c r="AY145" s="4">
        <v>-0.192</v>
      </c>
      <c r="AZ145" s="4">
        <v>0.222</v>
      </c>
      <c r="BA145" s="4">
        <v>-0.34100000000000003</v>
      </c>
      <c r="BB145" s="4">
        <v>8.4000000000000005E-2</v>
      </c>
      <c r="BC145" s="4">
        <v>-0.24099999999999999</v>
      </c>
      <c r="BD145" s="4">
        <v>0.106</v>
      </c>
      <c r="BE145" s="4">
        <v>-0.60499999999999998</v>
      </c>
      <c r="BF145" s="4">
        <v>0.219</v>
      </c>
      <c r="BG145" s="4">
        <v>0.44900000000000001</v>
      </c>
      <c r="BH145" s="4">
        <v>-0.29499999999999998</v>
      </c>
      <c r="BI145" s="4">
        <v>3.1E-2</v>
      </c>
      <c r="BJ145" s="4">
        <v>6.4000000000000001E-2</v>
      </c>
      <c r="BK145" s="4">
        <v>5.8000000000000003E-2</v>
      </c>
    </row>
    <row r="146" spans="1:63" x14ac:dyDescent="0.3">
      <c r="A146" t="s">
        <v>200</v>
      </c>
      <c r="B146" s="53">
        <f t="shared" si="14"/>
        <v>0</v>
      </c>
      <c r="C146" s="53">
        <f t="shared" si="15"/>
        <v>-2.3E-2</v>
      </c>
      <c r="D146" s="53">
        <f t="shared" si="16"/>
        <v>0</v>
      </c>
      <c r="E146" s="53">
        <v>2.3E-2</v>
      </c>
      <c r="F146" s="15">
        <v>0.59799999999999998</v>
      </c>
      <c r="G146">
        <v>1.226</v>
      </c>
      <c r="H146" t="s">
        <v>55</v>
      </c>
      <c r="I146" t="str">
        <f>VLOOKUP(A146,Planilha6!$BL$9:$BN$222,2,0)</f>
        <v>transportation</v>
      </c>
      <c r="J146" t="str">
        <f>VLOOKUP(A146,Planilha6!$BL$9:$BN$222,3,0)</f>
        <v>high_beta</v>
      </c>
      <c r="K146" s="2">
        <v>0</v>
      </c>
      <c r="L146" s="2">
        <v>-2.3E-2</v>
      </c>
      <c r="M146" s="29">
        <v>2.3E-2</v>
      </c>
      <c r="N146" s="47">
        <f>VLOOKUP(A146,'Mandato ISEE'!$A$1:$C$215,2,0)</f>
        <v>0</v>
      </c>
      <c r="O146" s="48">
        <f t="shared" si="17"/>
        <v>0</v>
      </c>
      <c r="P146" s="47">
        <f>VLOOKUP(A146,'Mandato ISEE'!$A$1:$C$215,3,0)</f>
        <v>0</v>
      </c>
      <c r="Q146" s="48">
        <f t="shared" si="18"/>
        <v>0</v>
      </c>
      <c r="R146" s="15">
        <v>-0.73199999999999998</v>
      </c>
      <c r="S146" s="15">
        <v>-0.374</v>
      </c>
      <c r="T146" s="15">
        <v>-0.88700000000000001</v>
      </c>
      <c r="U146" s="15">
        <v>-0.71199999999999997</v>
      </c>
      <c r="V146" s="15">
        <v>-0.66700000000000004</v>
      </c>
      <c r="W146" s="15">
        <v>-0.46200000000000002</v>
      </c>
      <c r="X146" s="15">
        <v>-0.17499999999999999</v>
      </c>
      <c r="Y146" s="15">
        <v>-0.51700000000000002</v>
      </c>
      <c r="Z146" s="15">
        <v>0.21099999999999999</v>
      </c>
      <c r="AA146" s="15">
        <v>0.217</v>
      </c>
      <c r="AB146" s="15">
        <v>0.55600000000000005</v>
      </c>
      <c r="AC146" s="15">
        <v>0.59899999999999998</v>
      </c>
      <c r="AD146" s="15">
        <v>0.39</v>
      </c>
      <c r="AE146" s="14">
        <v>-0.55000000000000004</v>
      </c>
      <c r="AF146" s="15">
        <v>-0.65</v>
      </c>
      <c r="AG146" s="15">
        <v>-0.16300000000000001</v>
      </c>
      <c r="AH146" s="15">
        <v>-0.92500000000000004</v>
      </c>
      <c r="AI146" s="15">
        <v>-0.73499999999999999</v>
      </c>
      <c r="AJ146" s="9">
        <v>-0.99199999999999999</v>
      </c>
      <c r="AK146" s="4">
        <v>-0.20200000000000001</v>
      </c>
      <c r="AL146" s="4">
        <v>-0.58099999999999996</v>
      </c>
      <c r="AM146" s="4">
        <v>-0.55100000000000005</v>
      </c>
      <c r="AN146" s="4">
        <v>-0.188</v>
      </c>
      <c r="AO146" s="4">
        <v>9.6000000000000002E-2</v>
      </c>
      <c r="AP146" s="4">
        <v>0.29199999999999998</v>
      </c>
      <c r="AQ146" s="4">
        <v>-0.16700000000000001</v>
      </c>
      <c r="AR146" s="4">
        <v>0.57099999999999995</v>
      </c>
      <c r="AS146" s="4">
        <v>-9.9000000000000005E-2</v>
      </c>
      <c r="AT146" s="4">
        <v>0.20499999999999999</v>
      </c>
      <c r="AU146" s="4">
        <v>8.8999999999999996E-2</v>
      </c>
      <c r="AV146" s="4">
        <v>-0.122</v>
      </c>
      <c r="AW146" s="4">
        <v>0.33400000000000002</v>
      </c>
      <c r="AX146" s="4">
        <v>-0.70299999999999996</v>
      </c>
      <c r="AY146" s="4">
        <v>0.78600000000000003</v>
      </c>
      <c r="AZ146" s="4">
        <v>0.14499999999999999</v>
      </c>
      <c r="BA146" s="4">
        <v>0.76300000000000001</v>
      </c>
      <c r="BB146" s="4">
        <v>-0.40600000000000003</v>
      </c>
      <c r="BC146" s="4">
        <v>-0.45400000000000001</v>
      </c>
      <c r="BD146" s="4">
        <v>0.22800000000000001</v>
      </c>
      <c r="BE146" s="4">
        <v>-0.43099999999999999</v>
      </c>
      <c r="BF146" s="4">
        <v>-0.14699999999999999</v>
      </c>
      <c r="BG146" s="4">
        <v>0.66200000000000003</v>
      </c>
      <c r="BH146" s="4">
        <v>-0.35099999999999998</v>
      </c>
      <c r="BI146" s="4">
        <v>0.52200000000000002</v>
      </c>
      <c r="BJ146" s="4">
        <v>-0.20399999999999999</v>
      </c>
      <c r="BK146" s="4">
        <v>-0.68799999999999994</v>
      </c>
    </row>
    <row r="147" spans="1:63" x14ac:dyDescent="0.3">
      <c r="A147" t="s">
        <v>208</v>
      </c>
      <c r="B147" s="53">
        <f t="shared" si="14"/>
        <v>0</v>
      </c>
      <c r="C147" s="53">
        <f t="shared" si="15"/>
        <v>-3.0000000000000001E-3</v>
      </c>
      <c r="D147" s="53">
        <f t="shared" si="16"/>
        <v>0</v>
      </c>
      <c r="E147" s="53">
        <v>3.0000000000000001E-3</v>
      </c>
      <c r="F147" s="15">
        <v>0.59499999999999997</v>
      </c>
      <c r="G147">
        <v>0.436</v>
      </c>
      <c r="H147" t="s">
        <v>57</v>
      </c>
      <c r="I147" t="str">
        <f>VLOOKUP(A147,Planilha6!$BL$9:$BN$222,2,0)</f>
        <v>consumer_services</v>
      </c>
      <c r="J147" t="str">
        <f>VLOOKUP(A147,Planilha6!$BL$9:$BN$222,3,0)</f>
        <v>very_high_beta</v>
      </c>
      <c r="K147" s="2">
        <v>0</v>
      </c>
      <c r="L147" s="2">
        <v>-3.0000000000000001E-3</v>
      </c>
      <c r="M147" s="29">
        <v>3.0000000000000001E-3</v>
      </c>
      <c r="N147" s="47">
        <f>VLOOKUP(A147,'Mandato ISEE'!$A$1:$C$215,2,0)</f>
        <v>0</v>
      </c>
      <c r="O147" s="48">
        <f t="shared" si="17"/>
        <v>0</v>
      </c>
      <c r="P147" s="47">
        <f>VLOOKUP(A147,'Mandato ISEE'!$A$1:$C$215,3,0)</f>
        <v>0</v>
      </c>
      <c r="Q147" s="48">
        <f t="shared" si="18"/>
        <v>0</v>
      </c>
      <c r="R147" s="15">
        <v>-0.55300000000000005</v>
      </c>
      <c r="S147" s="15">
        <v>-0.52</v>
      </c>
      <c r="T147" s="15">
        <v>-0.73099999999999998</v>
      </c>
      <c r="U147" s="15">
        <v>-0.442</v>
      </c>
      <c r="V147" s="15">
        <v>-0.58099999999999996</v>
      </c>
      <c r="W147" s="15">
        <v>-0.71199999999999997</v>
      </c>
      <c r="X147" s="15">
        <v>-0.754</v>
      </c>
      <c r="Y147" s="15">
        <v>-0.72599999999999998</v>
      </c>
      <c r="Z147" s="15">
        <v>0.33</v>
      </c>
      <c r="AA147" s="15">
        <v>0.32900000000000001</v>
      </c>
      <c r="AB147" s="15">
        <v>0.54600000000000004</v>
      </c>
      <c r="AC147" s="15">
        <v>0.58799999999999997</v>
      </c>
      <c r="AD147" s="15">
        <v>0.6</v>
      </c>
      <c r="AE147" s="14">
        <v>-0.16500000000000001</v>
      </c>
      <c r="AF147" s="15">
        <v>-0.253</v>
      </c>
      <c r="AG147" s="15">
        <v>0.36299999999999999</v>
      </c>
      <c r="AH147" s="15">
        <v>-0.434</v>
      </c>
      <c r="AI147" s="15">
        <v>0.45500000000000002</v>
      </c>
      <c r="AJ147" s="9">
        <v>-0.84599999999999997</v>
      </c>
      <c r="AK147" s="4">
        <v>0.1</v>
      </c>
      <c r="AL147" s="4">
        <v>-0.433</v>
      </c>
      <c r="AM147" s="4">
        <v>-0.22600000000000001</v>
      </c>
      <c r="AN147" s="4">
        <v>0.13</v>
      </c>
      <c r="AO147" s="4">
        <v>0.44400000000000001</v>
      </c>
      <c r="AP147" s="4">
        <v>0.751</v>
      </c>
      <c r="AQ147" s="4">
        <v>4.7E-2</v>
      </c>
      <c r="AR147" s="4">
        <v>0.27300000000000002</v>
      </c>
      <c r="AS147" s="4">
        <v>0.27500000000000002</v>
      </c>
      <c r="AT147" s="4">
        <v>0.221</v>
      </c>
      <c r="AU147" s="4">
        <v>-0.27900000000000003</v>
      </c>
      <c r="AV147" s="4">
        <v>-4.7E-2</v>
      </c>
      <c r="AW147" s="4">
        <v>-0.92600000000000005</v>
      </c>
      <c r="AX147" s="4">
        <v>-0.54300000000000004</v>
      </c>
      <c r="AY147" s="4">
        <v>9.8000000000000004E-2</v>
      </c>
      <c r="AZ147" s="4">
        <v>-2.1999999999999999E-2</v>
      </c>
      <c r="BA147" s="4">
        <v>-0.435</v>
      </c>
      <c r="BB147" s="4">
        <v>-0.23699999999999999</v>
      </c>
      <c r="BC147" s="4">
        <v>-0.60899999999999999</v>
      </c>
      <c r="BD147" s="4">
        <v>0.59199999999999997</v>
      </c>
      <c r="BE147" s="4">
        <v>-0.45900000000000002</v>
      </c>
      <c r="BF147" s="4">
        <v>-0.17</v>
      </c>
      <c r="BG147" s="4">
        <v>-0.187</v>
      </c>
      <c r="BH147" s="4">
        <v>-0.35099999999999998</v>
      </c>
      <c r="BI147" s="4">
        <v>0.69699999999999995</v>
      </c>
      <c r="BJ147" s="4">
        <v>-0.55500000000000005</v>
      </c>
      <c r="BK147" s="4">
        <v>8.3000000000000004E-2</v>
      </c>
    </row>
    <row r="148" spans="1:63" x14ac:dyDescent="0.3">
      <c r="A148" t="s">
        <v>277</v>
      </c>
      <c r="B148" s="53">
        <f t="shared" si="14"/>
        <v>0</v>
      </c>
      <c r="C148" s="53">
        <f t="shared" si="15"/>
        <v>0</v>
      </c>
      <c r="D148" s="53">
        <f t="shared" si="16"/>
        <v>0</v>
      </c>
      <c r="E148" s="53">
        <v>0</v>
      </c>
      <c r="F148" s="15">
        <v>0.58899999999999997</v>
      </c>
      <c r="G148">
        <v>0.54</v>
      </c>
      <c r="H148" t="s">
        <v>55</v>
      </c>
      <c r="I148" t="str">
        <f>VLOOKUP(A148,Planilha6!$BL$9:$BN$222,2,0)</f>
        <v>telecom</v>
      </c>
      <c r="J148" t="str">
        <f>VLOOKUP(A148,Planilha6!$BL$9:$BN$222,3,0)</f>
        <v>low_beta</v>
      </c>
      <c r="K148" s="2">
        <v>0</v>
      </c>
      <c r="L148" s="2">
        <v>0</v>
      </c>
      <c r="M148" s="29">
        <v>0</v>
      </c>
      <c r="N148" s="47">
        <f>VLOOKUP(A148,'Mandato ISEE'!$A$1:$C$215,2,0)</f>
        <v>0</v>
      </c>
      <c r="O148" s="48">
        <f t="shared" si="17"/>
        <v>0</v>
      </c>
      <c r="P148" s="47">
        <f>VLOOKUP(A148,'Mandato ISEE'!$A$1:$C$215,3,0)</f>
        <v>0</v>
      </c>
      <c r="Q148" s="48">
        <f t="shared" si="18"/>
        <v>0</v>
      </c>
      <c r="R148" s="15">
        <v>-0.67500000000000004</v>
      </c>
      <c r="S148" s="15">
        <v>-0.44500000000000001</v>
      </c>
      <c r="T148" s="15">
        <v>-0.70699999999999996</v>
      </c>
      <c r="U148" s="15">
        <v>-0.77700000000000002</v>
      </c>
      <c r="V148" s="15">
        <v>-0.69</v>
      </c>
      <c r="W148" s="15">
        <v>-0.64400000000000002</v>
      </c>
      <c r="X148" s="15">
        <v>-0.54100000000000004</v>
      </c>
      <c r="Y148" s="15">
        <v>-0.71499999999999997</v>
      </c>
      <c r="Z148" s="15">
        <v>0.36299999999999999</v>
      </c>
      <c r="AA148" s="15">
        <v>0.36899999999999999</v>
      </c>
      <c r="AB148" s="15">
        <v>0.52500000000000002</v>
      </c>
      <c r="AC148" s="15">
        <v>0.59699999999999998</v>
      </c>
      <c r="AD148" s="15">
        <v>0.58199999999999996</v>
      </c>
      <c r="AE148" s="14">
        <v>-1</v>
      </c>
      <c r="AF148" s="15">
        <v>-0.99199999999999999</v>
      </c>
      <c r="AG148" s="15">
        <v>0.10100000000000001</v>
      </c>
      <c r="AH148" s="15">
        <v>-0.70699999999999996</v>
      </c>
      <c r="AI148" s="15">
        <v>0.03</v>
      </c>
      <c r="AJ148" s="9">
        <v>-0.42799999999999999</v>
      </c>
      <c r="AK148" s="4">
        <v>-0.28499999999999998</v>
      </c>
      <c r="AL148" s="4">
        <v>-0.79900000000000004</v>
      </c>
      <c r="AM148" s="4">
        <v>-0.504</v>
      </c>
      <c r="AN148" s="4">
        <v>-0.35</v>
      </c>
      <c r="AO148" s="4">
        <v>0.47899999999999998</v>
      </c>
      <c r="AP148" s="4">
        <v>0.31900000000000001</v>
      </c>
      <c r="AQ148" s="4">
        <v>-3.4000000000000002E-2</v>
      </c>
      <c r="AR148" s="4">
        <v>8.4000000000000005E-2</v>
      </c>
      <c r="AS148" s="4">
        <v>-0.26200000000000001</v>
      </c>
      <c r="AT148" s="4">
        <v>0.152</v>
      </c>
      <c r="AU148" s="4">
        <v>0.13700000000000001</v>
      </c>
      <c r="AV148" s="4">
        <v>-0.65</v>
      </c>
      <c r="AW148" s="4">
        <v>0.191</v>
      </c>
      <c r="AX148" s="4">
        <v>0.10299999999999999</v>
      </c>
      <c r="AY148" s="4">
        <v>0.59699999999999998</v>
      </c>
      <c r="AZ148" s="4">
        <v>-0.32400000000000001</v>
      </c>
      <c r="BA148" s="4">
        <v>0.57199999999999995</v>
      </c>
      <c r="BB148" s="4">
        <v>1.9E-2</v>
      </c>
      <c r="BC148" s="4">
        <v>-0.20100000000000001</v>
      </c>
      <c r="BD148" s="4">
        <v>0.42099999999999999</v>
      </c>
      <c r="BE148" s="4">
        <v>4.7E-2</v>
      </c>
      <c r="BF148" s="4">
        <v>0.373</v>
      </c>
      <c r="BG148" s="4">
        <v>0.40799999999999997</v>
      </c>
      <c r="BH148" s="4">
        <v>-5.0999999999999997E-2</v>
      </c>
      <c r="BI148" s="4">
        <v>-0.22</v>
      </c>
      <c r="BJ148" s="4">
        <v>0.76200000000000001</v>
      </c>
      <c r="BK148" s="4">
        <v>-9.1999999999999998E-2</v>
      </c>
    </row>
    <row r="149" spans="1:63" x14ac:dyDescent="0.3">
      <c r="A149" t="s">
        <v>148</v>
      </c>
      <c r="B149" s="53">
        <f t="shared" si="14"/>
        <v>0</v>
      </c>
      <c r="C149" s="53">
        <f t="shared" si="15"/>
        <v>0</v>
      </c>
      <c r="D149" s="53">
        <f t="shared" si="16"/>
        <v>0</v>
      </c>
      <c r="E149" s="53">
        <v>0</v>
      </c>
      <c r="F149" s="15">
        <v>0.58899999999999997</v>
      </c>
      <c r="G149">
        <v>0.52700000000000002</v>
      </c>
      <c r="H149" t="s">
        <v>68</v>
      </c>
      <c r="I149" t="str">
        <f>VLOOKUP(A149,Planilha6!$BL$9:$BN$222,2,0)</f>
        <v>capital_goods</v>
      </c>
      <c r="J149" t="str">
        <f>VLOOKUP(A149,Planilha6!$BL$9:$BN$222,3,0)</f>
        <v>high_beta</v>
      </c>
      <c r="K149" s="2">
        <v>0</v>
      </c>
      <c r="L149" s="2">
        <v>0</v>
      </c>
      <c r="M149" s="29">
        <v>0</v>
      </c>
      <c r="N149" s="47">
        <f>VLOOKUP(A149,'Mandato ISEE'!$A$1:$C$215,2,0)</f>
        <v>0</v>
      </c>
      <c r="O149" s="48">
        <f t="shared" si="17"/>
        <v>0</v>
      </c>
      <c r="P149" s="47">
        <f>VLOOKUP(A149,'Mandato ISEE'!$A$1:$C$215,3,0)</f>
        <v>0</v>
      </c>
      <c r="Q149" s="48">
        <f t="shared" si="18"/>
        <v>0</v>
      </c>
      <c r="R149" s="15">
        <v>-0.81200000000000006</v>
      </c>
      <c r="S149" s="15">
        <v>-0.64100000000000001</v>
      </c>
      <c r="T149" s="15">
        <v>-0.79100000000000004</v>
      </c>
      <c r="U149" s="15">
        <v>-0.79300000000000004</v>
      </c>
      <c r="V149" s="15">
        <v>-0.70399999999999996</v>
      </c>
      <c r="W149" s="15">
        <v>-0.69299999999999995</v>
      </c>
      <c r="X149" s="15">
        <v>-0.52400000000000002</v>
      </c>
      <c r="Y149" s="15">
        <v>-0.40600000000000003</v>
      </c>
      <c r="Z149" s="15">
        <v>0.497</v>
      </c>
      <c r="AA149" s="15">
        <v>0.496</v>
      </c>
      <c r="AB149" s="15">
        <v>0.45400000000000001</v>
      </c>
      <c r="AC149" s="15">
        <v>0.45900000000000002</v>
      </c>
      <c r="AD149" s="15">
        <v>0.42399999999999999</v>
      </c>
      <c r="AE149" s="14">
        <v>-0.68500000000000005</v>
      </c>
      <c r="AF149" s="15">
        <v>-0.89700000000000002</v>
      </c>
      <c r="AG149" s="15">
        <v>-0.755</v>
      </c>
      <c r="AH149" s="15">
        <v>-0.23300000000000001</v>
      </c>
      <c r="AI149" s="15">
        <v>-0.19600000000000001</v>
      </c>
      <c r="AJ149" s="9">
        <v>-0.23300000000000001</v>
      </c>
      <c r="AK149" s="4">
        <v>-0.16500000000000001</v>
      </c>
      <c r="AL149" s="4">
        <v>8.6999999999999994E-2</v>
      </c>
      <c r="AM149" s="4">
        <v>-0.61399999999999999</v>
      </c>
      <c r="AN149" s="4">
        <v>-0.46200000000000002</v>
      </c>
      <c r="AO149" s="4">
        <v>6.0000000000000001E-3</v>
      </c>
      <c r="AP149" s="4">
        <v>-0.72799999999999998</v>
      </c>
      <c r="AQ149" s="4">
        <v>-0.62</v>
      </c>
      <c r="AR149" s="4">
        <v>0.224</v>
      </c>
      <c r="AS149" s="4">
        <v>0.224</v>
      </c>
      <c r="AT149" s="4">
        <v>0.56299999999999994</v>
      </c>
      <c r="AU149" s="4">
        <v>-0.23499999999999999</v>
      </c>
      <c r="AV149" s="4">
        <v>-0.20699999999999999</v>
      </c>
      <c r="AW149" s="4">
        <v>0.373</v>
      </c>
      <c r="AX149" s="4">
        <v>0.33</v>
      </c>
      <c r="AY149" s="4">
        <v>0.70099999999999996</v>
      </c>
      <c r="AZ149" s="4">
        <v>0.10100000000000001</v>
      </c>
      <c r="BA149" s="4">
        <v>-0.497</v>
      </c>
      <c r="BB149" s="4">
        <v>-0.19900000000000001</v>
      </c>
      <c r="BC149" s="4">
        <v>-0.41</v>
      </c>
      <c r="BD149" s="4">
        <v>2.1000000000000001E-2</v>
      </c>
      <c r="BE149" s="4">
        <v>-1.7000000000000001E-2</v>
      </c>
      <c r="BF149" s="4">
        <v>-0.70099999999999996</v>
      </c>
      <c r="BG149" s="4">
        <v>0.52100000000000002</v>
      </c>
      <c r="BH149" s="4">
        <v>-0.40500000000000003</v>
      </c>
      <c r="BI149" s="4">
        <v>0.46700000000000003</v>
      </c>
      <c r="BJ149" s="4">
        <v>-0.57099999999999995</v>
      </c>
      <c r="BK149" s="4">
        <v>0.36599999999999999</v>
      </c>
    </row>
    <row r="150" spans="1:63" x14ac:dyDescent="0.3">
      <c r="A150" t="s">
        <v>157</v>
      </c>
      <c r="B150" s="53">
        <f t="shared" si="14"/>
        <v>0</v>
      </c>
      <c r="C150" s="53">
        <f t="shared" si="15"/>
        <v>-6.0000000000000001E-3</v>
      </c>
      <c r="D150" s="53">
        <f t="shared" si="16"/>
        <v>0</v>
      </c>
      <c r="E150" s="53">
        <v>6.0000000000000001E-3</v>
      </c>
      <c r="F150" s="15">
        <v>0.58799999999999997</v>
      </c>
      <c r="G150">
        <v>0.45600000000000002</v>
      </c>
      <c r="H150" t="s">
        <v>57</v>
      </c>
      <c r="I150" t="str">
        <f>VLOOKUP(A150,Planilha6!$BL$9:$BN$222,2,0)</f>
        <v>consumer_durables</v>
      </c>
      <c r="J150" t="str">
        <f>VLOOKUP(A150,Planilha6!$BL$9:$BN$222,3,0)</f>
        <v>very_high_beta</v>
      </c>
      <c r="K150" s="2">
        <v>0</v>
      </c>
      <c r="L150" s="2">
        <v>-6.0000000000000001E-3</v>
      </c>
      <c r="M150" s="29">
        <v>6.0000000000000001E-3</v>
      </c>
      <c r="N150" s="47">
        <f>VLOOKUP(A150,'Mandato ISEE'!$A$1:$C$215,2,0)</f>
        <v>0</v>
      </c>
      <c r="O150" s="48">
        <f t="shared" si="17"/>
        <v>0</v>
      </c>
      <c r="P150" s="47">
        <f>VLOOKUP(A150,'Mandato ISEE'!$A$1:$C$215,3,0)</f>
        <v>0</v>
      </c>
      <c r="Q150" s="48">
        <f t="shared" si="18"/>
        <v>0</v>
      </c>
      <c r="R150" s="15">
        <v>-2.7E-2</v>
      </c>
      <c r="S150" s="15">
        <v>-0.52500000000000002</v>
      </c>
      <c r="T150" s="15">
        <v>-0.51900000000000002</v>
      </c>
      <c r="U150" s="15">
        <v>7.4999999999999997E-2</v>
      </c>
      <c r="V150" s="15">
        <v>-0.41799999999999998</v>
      </c>
      <c r="W150" s="15">
        <v>-0.48799999999999999</v>
      </c>
      <c r="X150" s="15">
        <v>-0.59399999999999997</v>
      </c>
      <c r="Y150" s="15">
        <v>-0.78900000000000003</v>
      </c>
      <c r="Z150" s="15">
        <v>-0.106</v>
      </c>
      <c r="AA150" s="15">
        <v>-0.10100000000000001</v>
      </c>
      <c r="AB150" s="15">
        <v>0.23100000000000001</v>
      </c>
      <c r="AC150" s="15">
        <v>-0.72099999999999997</v>
      </c>
      <c r="AD150" s="15">
        <v>0.315</v>
      </c>
      <c r="AE150" s="14">
        <v>0.38300000000000001</v>
      </c>
      <c r="AF150" s="15">
        <v>1</v>
      </c>
      <c r="AG150" s="15">
        <v>0.46400000000000002</v>
      </c>
      <c r="AH150" s="15">
        <v>1.0999999999999999E-2</v>
      </c>
      <c r="AI150" s="15">
        <v>-0.44700000000000001</v>
      </c>
      <c r="AJ150" s="9">
        <v>-0.104</v>
      </c>
      <c r="AK150" s="4">
        <v>0.59899999999999998</v>
      </c>
      <c r="AL150" s="4">
        <v>-0.80500000000000005</v>
      </c>
      <c r="AM150" s="4">
        <v>4.5999999999999999E-2</v>
      </c>
      <c r="AN150" s="4">
        <v>0.47599999999999998</v>
      </c>
      <c r="AO150" s="4">
        <v>-0.23499999999999999</v>
      </c>
      <c r="AP150" s="4">
        <v>0.42599999999999999</v>
      </c>
      <c r="AQ150" s="4">
        <v>0.49399999999999999</v>
      </c>
      <c r="AR150" s="4">
        <v>-0.33900000000000002</v>
      </c>
      <c r="AS150" s="4">
        <v>0.16600000000000001</v>
      </c>
      <c r="AT150" s="4">
        <v>0.45700000000000002</v>
      </c>
      <c r="AU150" s="4">
        <v>-8.8999999999999996E-2</v>
      </c>
      <c r="AV150" s="4">
        <v>7.4999999999999997E-2</v>
      </c>
      <c r="AW150" s="4">
        <v>-0.76900000000000002</v>
      </c>
      <c r="AX150" s="4">
        <v>-0.17799999999999999</v>
      </c>
      <c r="AY150" s="4">
        <v>0.53500000000000003</v>
      </c>
      <c r="AZ150" s="4">
        <v>-1</v>
      </c>
      <c r="BA150" s="4">
        <v>-9.2999999999999999E-2</v>
      </c>
      <c r="BB150" s="4">
        <v>0.158</v>
      </c>
      <c r="BC150" s="4">
        <v>0.20399999999999999</v>
      </c>
      <c r="BD150" s="4">
        <v>0.24099999999999999</v>
      </c>
      <c r="BE150" s="4">
        <v>0.41599999999999998</v>
      </c>
      <c r="BF150" s="4">
        <v>-5.7000000000000002E-2</v>
      </c>
      <c r="BG150" s="4">
        <v>2.7E-2</v>
      </c>
      <c r="BH150" s="4">
        <v>0.97199999999999998</v>
      </c>
      <c r="BI150" s="4">
        <v>0.35799999999999998</v>
      </c>
      <c r="BJ150" s="4">
        <v>-0.98499999999999999</v>
      </c>
      <c r="BK150" s="4">
        <v>-0.45400000000000001</v>
      </c>
    </row>
    <row r="151" spans="1:63" x14ac:dyDescent="0.3">
      <c r="A151" t="s">
        <v>191</v>
      </c>
      <c r="B151" s="53">
        <f t="shared" si="14"/>
        <v>0</v>
      </c>
      <c r="C151" s="53">
        <f t="shared" si="15"/>
        <v>0</v>
      </c>
      <c r="D151" s="53">
        <f t="shared" si="16"/>
        <v>0</v>
      </c>
      <c r="E151" s="53">
        <v>0</v>
      </c>
      <c r="F151" s="15">
        <v>0.58699999999999997</v>
      </c>
      <c r="G151">
        <v>0.68799999999999994</v>
      </c>
      <c r="H151" t="s">
        <v>71</v>
      </c>
      <c r="I151" t="str">
        <f>VLOOKUP(A151,Planilha6!$BL$9:$BN$222,2,0)</f>
        <v>food</v>
      </c>
      <c r="J151" t="str">
        <f>VLOOKUP(A151,Planilha6!$BL$9:$BN$222,3,0)</f>
        <v>very_low_beta</v>
      </c>
      <c r="K151" s="2">
        <v>0</v>
      </c>
      <c r="L151" s="2">
        <v>0</v>
      </c>
      <c r="M151" s="29">
        <v>0</v>
      </c>
      <c r="N151" s="47">
        <f>VLOOKUP(A151,'Mandato ISEE'!$A$1:$C$215,2,0)</f>
        <v>0</v>
      </c>
      <c r="O151" s="48">
        <f t="shared" si="17"/>
        <v>0</v>
      </c>
      <c r="P151" s="47">
        <f>VLOOKUP(A151,'Mandato ISEE'!$A$1:$C$215,3,0)</f>
        <v>0</v>
      </c>
      <c r="Q151" s="48">
        <f t="shared" si="18"/>
        <v>0</v>
      </c>
      <c r="R151" s="15">
        <v>-0.82</v>
      </c>
      <c r="S151" s="15">
        <v>-0.73199999999999998</v>
      </c>
      <c r="T151" s="15">
        <v>-0.67600000000000005</v>
      </c>
      <c r="U151" s="15">
        <v>-0.80900000000000005</v>
      </c>
      <c r="V151" s="15">
        <v>-0.72899999999999998</v>
      </c>
      <c r="W151" s="15">
        <v>-0.64800000000000002</v>
      </c>
      <c r="X151" s="15">
        <v>-0.61399999999999999</v>
      </c>
      <c r="Y151" s="15">
        <v>-0.48799999999999999</v>
      </c>
      <c r="Z151" s="15">
        <v>0.58599999999999997</v>
      </c>
      <c r="AA151" s="15">
        <v>0.58199999999999996</v>
      </c>
      <c r="AB151" s="15">
        <v>0.30399999999999999</v>
      </c>
      <c r="AC151" s="15">
        <v>0.23200000000000001</v>
      </c>
      <c r="AD151" s="15">
        <v>0.56999999999999995</v>
      </c>
      <c r="AE151" s="14">
        <v>-0.86</v>
      </c>
      <c r="AF151" s="15">
        <v>-0.755</v>
      </c>
      <c r="AG151" s="15">
        <v>-0.53400000000000003</v>
      </c>
      <c r="AH151" s="15">
        <v>-0.38900000000000001</v>
      </c>
      <c r="AI151" s="15">
        <v>0.373</v>
      </c>
      <c r="AJ151" s="9">
        <v>-0.55300000000000005</v>
      </c>
      <c r="AK151" s="4">
        <v>-0.40100000000000002</v>
      </c>
      <c r="AL151" s="4">
        <v>0.16700000000000001</v>
      </c>
      <c r="AM151" s="4">
        <v>-0.32</v>
      </c>
      <c r="AN151" s="4">
        <v>-0.46500000000000002</v>
      </c>
      <c r="AO151" s="4">
        <v>6.9000000000000006E-2</v>
      </c>
      <c r="AP151" s="4">
        <v>0.17100000000000001</v>
      </c>
      <c r="AQ151" s="4">
        <v>-0.36299999999999999</v>
      </c>
      <c r="AR151" s="4">
        <v>0.50600000000000001</v>
      </c>
      <c r="AS151" s="4">
        <v>0.26200000000000001</v>
      </c>
      <c r="AT151" s="4">
        <v>-0.188</v>
      </c>
      <c r="AU151" s="4">
        <v>-0.63400000000000001</v>
      </c>
      <c r="AV151" s="4">
        <v>-0.49199999999999999</v>
      </c>
      <c r="AW151" s="4">
        <v>0.82599999999999996</v>
      </c>
      <c r="AX151" s="4">
        <v>-0.80400000000000005</v>
      </c>
      <c r="AY151" s="4">
        <v>0.121</v>
      </c>
      <c r="AZ151" s="4">
        <v>-0.499</v>
      </c>
      <c r="BA151" s="4">
        <v>-0.159</v>
      </c>
      <c r="BB151" s="4">
        <v>7.6999999999999999E-2</v>
      </c>
      <c r="BC151" s="4">
        <v>-0.25800000000000001</v>
      </c>
      <c r="BD151" s="4">
        <v>-1E-3</v>
      </c>
      <c r="BE151" s="4">
        <v>0.871</v>
      </c>
      <c r="BF151" s="4">
        <v>0.58099999999999996</v>
      </c>
      <c r="BG151" s="4">
        <v>0.48899999999999999</v>
      </c>
      <c r="BH151" s="4">
        <v>-0.25700000000000001</v>
      </c>
      <c r="BI151" s="4">
        <v>-0.78800000000000003</v>
      </c>
      <c r="BJ151" s="4">
        <v>0.71</v>
      </c>
      <c r="BK151" s="4">
        <v>0.48599999999999999</v>
      </c>
    </row>
    <row r="152" spans="1:63" x14ac:dyDescent="0.3">
      <c r="A152" t="s">
        <v>241</v>
      </c>
      <c r="B152" s="53">
        <f t="shared" si="14"/>
        <v>0</v>
      </c>
      <c r="C152" s="53">
        <f t="shared" si="15"/>
        <v>-2.3E-2</v>
      </c>
      <c r="D152" s="53">
        <f t="shared" si="16"/>
        <v>0</v>
      </c>
      <c r="E152" s="53">
        <v>2.3E-2</v>
      </c>
      <c r="F152" s="15">
        <v>0.58599999999999997</v>
      </c>
      <c r="G152">
        <v>0.91800000000000004</v>
      </c>
      <c r="H152" t="s">
        <v>57</v>
      </c>
      <c r="I152" t="str">
        <f>VLOOKUP(A152,Planilha6!$BL$9:$BN$222,2,0)</f>
        <v>transportation</v>
      </c>
      <c r="J152" t="str">
        <f>VLOOKUP(A152,Planilha6!$BL$9:$BN$222,3,0)</f>
        <v>low_beta</v>
      </c>
      <c r="K152" s="2">
        <v>0</v>
      </c>
      <c r="L152" s="2">
        <v>-2.3E-2</v>
      </c>
      <c r="M152" s="29">
        <v>2.3E-2</v>
      </c>
      <c r="N152" s="47">
        <f>VLOOKUP(A152,'Mandato ISEE'!$A$1:$C$215,2,0)</f>
        <v>0</v>
      </c>
      <c r="O152" s="48">
        <f t="shared" si="17"/>
        <v>0</v>
      </c>
      <c r="P152" s="47">
        <f>VLOOKUP(A152,'Mandato ISEE'!$A$1:$C$215,3,0)</f>
        <v>0</v>
      </c>
      <c r="Q152" s="48">
        <f t="shared" si="18"/>
        <v>0</v>
      </c>
      <c r="R152" s="15">
        <v>-0.64700000000000002</v>
      </c>
      <c r="S152" s="15">
        <v>-0.46500000000000002</v>
      </c>
      <c r="T152" s="15">
        <v>-0.88100000000000001</v>
      </c>
      <c r="U152" s="15">
        <v>-0.65800000000000003</v>
      </c>
      <c r="V152" s="15">
        <v>-0.7</v>
      </c>
      <c r="W152" s="15">
        <v>-0.48399999999999999</v>
      </c>
      <c r="X152" s="15">
        <v>-0.186</v>
      </c>
      <c r="Y152" s="15">
        <v>-0.66100000000000003</v>
      </c>
      <c r="Z152" s="15">
        <v>0.23899999999999999</v>
      </c>
      <c r="AA152" s="15">
        <v>0.24</v>
      </c>
      <c r="AB152" s="15">
        <v>0.6</v>
      </c>
      <c r="AC152" s="15">
        <v>0.64900000000000002</v>
      </c>
      <c r="AD152" s="15">
        <v>0.30199999999999999</v>
      </c>
      <c r="AE152" s="14">
        <v>-0.73699999999999999</v>
      </c>
      <c r="AF152" s="15">
        <v>-6.6000000000000003E-2</v>
      </c>
      <c r="AG152" s="15">
        <v>-0.47399999999999998</v>
      </c>
      <c r="AH152" s="15">
        <v>-0.90400000000000003</v>
      </c>
      <c r="AI152" s="15">
        <v>-0.79200000000000004</v>
      </c>
      <c r="AJ152" s="9">
        <v>-0.86399999999999999</v>
      </c>
      <c r="AK152" s="4">
        <v>-0.16600000000000001</v>
      </c>
      <c r="AL152" s="4">
        <v>-0.66200000000000003</v>
      </c>
      <c r="AM152" s="4">
        <v>-0.61499999999999999</v>
      </c>
      <c r="AN152" s="4">
        <v>0.65600000000000003</v>
      </c>
      <c r="AO152" s="4">
        <v>-9.8000000000000004E-2</v>
      </c>
      <c r="AP152" s="4">
        <v>0.748</v>
      </c>
      <c r="AQ152" s="4">
        <v>0.56599999999999995</v>
      </c>
      <c r="AR152" s="4">
        <v>0.66700000000000004</v>
      </c>
      <c r="AS152" s="4">
        <v>0.19900000000000001</v>
      </c>
      <c r="AT152" s="4">
        <v>5.1999999999999998E-2</v>
      </c>
      <c r="AU152" s="4">
        <v>0.28799999999999998</v>
      </c>
      <c r="AV152" s="4">
        <v>-0.18</v>
      </c>
      <c r="AW152" s="4">
        <v>0.23699999999999999</v>
      </c>
      <c r="AX152" s="4">
        <v>-0.35</v>
      </c>
      <c r="AY152" s="4">
        <v>0.77400000000000002</v>
      </c>
      <c r="AZ152" s="4">
        <v>-0.28199999999999997</v>
      </c>
      <c r="BA152" s="4">
        <v>0.28299999999999997</v>
      </c>
      <c r="BB152" s="4">
        <v>8.9999999999999993E-3</v>
      </c>
      <c r="BC152" s="4">
        <v>-0.52800000000000002</v>
      </c>
      <c r="BD152" s="4">
        <v>-7.4999999999999997E-2</v>
      </c>
      <c r="BE152" s="4">
        <v>0.224</v>
      </c>
      <c r="BF152" s="4">
        <v>-0.47699999999999998</v>
      </c>
      <c r="BG152" s="4">
        <v>0.57899999999999996</v>
      </c>
      <c r="BH152" s="4">
        <v>-8.6999999999999994E-2</v>
      </c>
      <c r="BI152" s="4">
        <v>0.22500000000000001</v>
      </c>
      <c r="BJ152" s="4">
        <v>-0.379</v>
      </c>
      <c r="BK152" s="4">
        <v>-0.63300000000000001</v>
      </c>
    </row>
    <row r="153" spans="1:63" x14ac:dyDescent="0.3">
      <c r="A153" t="s">
        <v>198</v>
      </c>
      <c r="B153" s="53">
        <f t="shared" si="14"/>
        <v>0</v>
      </c>
      <c r="C153" s="53">
        <f t="shared" si="15"/>
        <v>0</v>
      </c>
      <c r="D153" s="53">
        <f t="shared" si="16"/>
        <v>0</v>
      </c>
      <c r="E153" s="53">
        <v>0</v>
      </c>
      <c r="F153" s="15">
        <v>0.58299999999999996</v>
      </c>
      <c r="G153">
        <v>0.42299999999999999</v>
      </c>
      <c r="H153" t="s">
        <v>57</v>
      </c>
      <c r="I153" t="str">
        <f>VLOOKUP(A153,Planilha6!$BL$9:$BN$222,2,0)</f>
        <v>consumer_services</v>
      </c>
      <c r="J153" t="str">
        <f>VLOOKUP(A153,Planilha6!$BL$9:$BN$222,3,0)</f>
        <v>neutral_beta</v>
      </c>
      <c r="K153" s="2">
        <v>0</v>
      </c>
      <c r="L153" s="2">
        <v>0</v>
      </c>
      <c r="M153" s="29">
        <v>0</v>
      </c>
      <c r="N153" s="47">
        <f>VLOOKUP(A153,'Mandato ISEE'!$A$1:$C$215,2,0)</f>
        <v>0</v>
      </c>
      <c r="O153" s="48">
        <f t="shared" si="17"/>
        <v>0</v>
      </c>
      <c r="P153" s="47">
        <f>VLOOKUP(A153,'Mandato ISEE'!$A$1:$C$215,3,0)</f>
        <v>0</v>
      </c>
      <c r="Q153" s="48">
        <f t="shared" si="18"/>
        <v>0</v>
      </c>
      <c r="R153" s="15">
        <v>-8.2000000000000003E-2</v>
      </c>
      <c r="S153" s="15">
        <v>-0.61699999999999999</v>
      </c>
      <c r="T153" s="15">
        <v>-0.24</v>
      </c>
      <c r="U153" s="15">
        <v>-0.251</v>
      </c>
      <c r="V153" s="15">
        <v>-0.54100000000000004</v>
      </c>
      <c r="W153" s="15">
        <v>-0.53900000000000003</v>
      </c>
      <c r="X153" s="15">
        <v>-0.49099999999999999</v>
      </c>
      <c r="Y153" s="15">
        <v>-0.83399999999999996</v>
      </c>
      <c r="Z153" s="15">
        <v>-1.6E-2</v>
      </c>
      <c r="AA153" s="15">
        <v>-1.9E-2</v>
      </c>
      <c r="AB153" s="15">
        <v>0.41499999999999998</v>
      </c>
      <c r="AC153" s="15">
        <v>-0.27600000000000002</v>
      </c>
      <c r="AD153" s="15">
        <v>0.16500000000000001</v>
      </c>
      <c r="AE153" s="14">
        <v>-4.0000000000000001E-3</v>
      </c>
      <c r="AF153" s="15">
        <v>0.45200000000000001</v>
      </c>
      <c r="AG153" s="15">
        <v>-0.71399999999999997</v>
      </c>
      <c r="AH153" s="15">
        <v>8.9999999999999993E-3</v>
      </c>
      <c r="AI153" s="15">
        <v>-7.9000000000000001E-2</v>
      </c>
      <c r="AJ153" s="9">
        <v>1</v>
      </c>
      <c r="AK153" s="4">
        <v>0.22600000000000001</v>
      </c>
      <c r="AL153" s="4">
        <v>-1</v>
      </c>
      <c r="AM153" s="4">
        <v>-0.47</v>
      </c>
      <c r="AN153" s="4">
        <v>0.59</v>
      </c>
      <c r="AO153" s="4">
        <v>-6.0999999999999999E-2</v>
      </c>
      <c r="AP153" s="4">
        <v>-0.876</v>
      </c>
      <c r="AQ153" s="4">
        <v>0.83399999999999996</v>
      </c>
      <c r="AR153" s="4">
        <v>0.46500000000000002</v>
      </c>
      <c r="AS153" s="4">
        <v>0.23400000000000001</v>
      </c>
      <c r="AT153" s="4">
        <v>0.253</v>
      </c>
      <c r="AU153" s="4">
        <v>0.32</v>
      </c>
      <c r="AV153" s="4">
        <v>0.54600000000000004</v>
      </c>
      <c r="AW153" s="4">
        <v>-0.76400000000000001</v>
      </c>
      <c r="AX153" s="4">
        <v>-0.129</v>
      </c>
      <c r="AY153" s="4">
        <v>-0.63500000000000001</v>
      </c>
      <c r="AZ153" s="4">
        <v>-0.876</v>
      </c>
      <c r="BA153" s="4">
        <v>-0.15</v>
      </c>
      <c r="BB153" s="4">
        <v>3.5999999999999997E-2</v>
      </c>
      <c r="BC153" s="4">
        <v>0.497</v>
      </c>
      <c r="BD153" s="4">
        <v>0.51300000000000001</v>
      </c>
      <c r="BE153" s="4">
        <v>0.123</v>
      </c>
      <c r="BF153" s="4">
        <v>-0.20899999999999999</v>
      </c>
      <c r="BG153" s="4">
        <v>0.28399999999999997</v>
      </c>
      <c r="BH153" s="4">
        <v>0.54900000000000004</v>
      </c>
      <c r="BI153" s="4">
        <v>6.8000000000000005E-2</v>
      </c>
      <c r="BJ153" s="4">
        <v>-0.70699999999999996</v>
      </c>
      <c r="BK153" s="4">
        <v>0.51100000000000001</v>
      </c>
    </row>
    <row r="154" spans="1:63" x14ac:dyDescent="0.3">
      <c r="A154" t="s">
        <v>235</v>
      </c>
      <c r="B154" s="53">
        <f t="shared" si="14"/>
        <v>0</v>
      </c>
      <c r="C154" s="53">
        <f t="shared" si="15"/>
        <v>0</v>
      </c>
      <c r="D154" s="53">
        <f t="shared" si="16"/>
        <v>0</v>
      </c>
      <c r="E154" s="53">
        <v>0</v>
      </c>
      <c r="F154" s="15">
        <v>0.57899999999999996</v>
      </c>
      <c r="G154">
        <v>0.505</v>
      </c>
      <c r="H154" t="s">
        <v>57</v>
      </c>
      <c r="I154" t="str">
        <f>VLOOKUP(A154,Planilha6!$BL$9:$BN$222,2,0)</f>
        <v>apparel</v>
      </c>
      <c r="J154" t="str">
        <f>VLOOKUP(A154,Planilha6!$BL$9:$BN$222,3,0)</f>
        <v>low_beta</v>
      </c>
      <c r="K154" s="2">
        <v>0</v>
      </c>
      <c r="L154" s="2">
        <v>0</v>
      </c>
      <c r="M154" s="29">
        <v>0</v>
      </c>
      <c r="N154" s="47">
        <f>VLOOKUP(A154,'Mandato ISEE'!$A$1:$C$215,2,0)</f>
        <v>0</v>
      </c>
      <c r="O154" s="48">
        <f t="shared" si="17"/>
        <v>0</v>
      </c>
      <c r="P154" s="47">
        <f>VLOOKUP(A154,'Mandato ISEE'!$A$1:$C$215,3,0)</f>
        <v>0</v>
      </c>
      <c r="Q154" s="48">
        <f t="shared" si="18"/>
        <v>0</v>
      </c>
      <c r="R154" s="15">
        <v>-0.65500000000000003</v>
      </c>
      <c r="S154" s="15">
        <v>-0.48299999999999998</v>
      </c>
      <c r="T154" s="15">
        <v>-0.67400000000000004</v>
      </c>
      <c r="U154" s="15">
        <v>-0.61499999999999999</v>
      </c>
      <c r="V154" s="15">
        <v>-0.52700000000000002</v>
      </c>
      <c r="W154" s="15">
        <v>-0.51200000000000001</v>
      </c>
      <c r="X154" s="15">
        <v>-0.27</v>
      </c>
      <c r="Y154" s="15">
        <v>-0.441</v>
      </c>
      <c r="Z154" s="15">
        <v>3.7999999999999999E-2</v>
      </c>
      <c r="AA154" s="15">
        <v>4.1000000000000002E-2</v>
      </c>
      <c r="AB154" s="15">
        <v>0.56599999999999995</v>
      </c>
      <c r="AC154" s="15">
        <v>0.39</v>
      </c>
      <c r="AD154" s="15">
        <v>8.2000000000000003E-2</v>
      </c>
      <c r="AE154" s="14">
        <v>0.111</v>
      </c>
      <c r="AF154" s="15">
        <v>-0.433</v>
      </c>
      <c r="AG154" s="15">
        <v>-0.80700000000000005</v>
      </c>
      <c r="AH154" s="15">
        <v>-0.65300000000000002</v>
      </c>
      <c r="AI154" s="15">
        <v>-0.64200000000000002</v>
      </c>
      <c r="AJ154" s="9">
        <v>0.63800000000000001</v>
      </c>
      <c r="AK154" s="4">
        <v>-0.35</v>
      </c>
      <c r="AL154" s="4">
        <v>-0.55400000000000005</v>
      </c>
      <c r="AM154" s="4">
        <v>-0.749</v>
      </c>
      <c r="AN154" s="4">
        <v>0.75700000000000001</v>
      </c>
      <c r="AO154" s="4">
        <v>-0.317</v>
      </c>
      <c r="AP154" s="4">
        <v>-0.432</v>
      </c>
      <c r="AQ154" s="4">
        <v>0.21199999999999999</v>
      </c>
      <c r="AR154" s="4">
        <v>-0.26200000000000001</v>
      </c>
      <c r="AS154" s="4">
        <v>-0.54300000000000004</v>
      </c>
      <c r="AT154" s="4">
        <v>0.497</v>
      </c>
      <c r="AU154" s="4">
        <v>0.39400000000000002</v>
      </c>
      <c r="AV154" s="4">
        <v>0.53900000000000003</v>
      </c>
      <c r="AW154" s="4">
        <v>-5.0000000000000001E-3</v>
      </c>
      <c r="AX154" s="4">
        <v>0.19400000000000001</v>
      </c>
      <c r="AY154" s="4">
        <v>0.69699999999999995</v>
      </c>
      <c r="AZ154" s="4">
        <v>0.84299999999999997</v>
      </c>
      <c r="BA154" s="4">
        <v>0.13600000000000001</v>
      </c>
      <c r="BB154" s="4">
        <v>-0.48599999999999999</v>
      </c>
      <c r="BC154" s="4">
        <v>-0.47399999999999998</v>
      </c>
      <c r="BD154" s="4">
        <v>-0.10199999999999999</v>
      </c>
      <c r="BE154" s="4">
        <v>-6.7000000000000004E-2</v>
      </c>
      <c r="BF154" s="4">
        <v>-0.21299999999999999</v>
      </c>
      <c r="BG154" s="4">
        <v>0.36399999999999999</v>
      </c>
      <c r="BH154" s="4">
        <v>-0.30099999999999999</v>
      </c>
      <c r="BI154" s="4">
        <v>-0.153</v>
      </c>
      <c r="BJ154" s="4">
        <v>-0.754</v>
      </c>
      <c r="BK154" s="4">
        <v>-4.3999999999999997E-2</v>
      </c>
    </row>
    <row r="155" spans="1:63" x14ac:dyDescent="0.3">
      <c r="A155" t="s">
        <v>244</v>
      </c>
      <c r="B155" s="53">
        <f t="shared" si="14"/>
        <v>0</v>
      </c>
      <c r="C155" s="53">
        <f t="shared" si="15"/>
        <v>0</v>
      </c>
      <c r="D155" s="53">
        <f t="shared" si="16"/>
        <v>0</v>
      </c>
      <c r="E155" s="53">
        <v>0</v>
      </c>
      <c r="F155" s="15">
        <v>0.57799999999999996</v>
      </c>
      <c r="G155">
        <v>0.41299999999999998</v>
      </c>
      <c r="H155" t="s">
        <v>57</v>
      </c>
      <c r="I155" t="str">
        <f>VLOOKUP(A155,Planilha6!$BL$9:$BN$222,2,0)</f>
        <v>consumer_durables</v>
      </c>
      <c r="J155" t="str">
        <f>VLOOKUP(A155,Planilha6!$BL$9:$BN$222,3,0)</f>
        <v>high_beta</v>
      </c>
      <c r="K155" s="2">
        <v>0</v>
      </c>
      <c r="L155" s="2">
        <v>0</v>
      </c>
      <c r="M155" s="29">
        <v>0</v>
      </c>
      <c r="N155" s="47">
        <f>VLOOKUP(A155,'Mandato ISEE'!$A$1:$C$215,2,0)</f>
        <v>0</v>
      </c>
      <c r="O155" s="48">
        <f t="shared" si="17"/>
        <v>0</v>
      </c>
      <c r="P155" s="47">
        <f>VLOOKUP(A155,'Mandato ISEE'!$A$1:$C$215,3,0)</f>
        <v>0</v>
      </c>
      <c r="Q155" s="48">
        <f t="shared" si="18"/>
        <v>0</v>
      </c>
      <c r="R155" s="15">
        <v>-8.7999999999999995E-2</v>
      </c>
      <c r="S155" s="15">
        <v>-0.71799999999999997</v>
      </c>
      <c r="T155" s="15">
        <v>-0.19600000000000001</v>
      </c>
      <c r="U155" s="15">
        <v>-0.46300000000000002</v>
      </c>
      <c r="V155" s="15">
        <v>-0.66800000000000004</v>
      </c>
      <c r="W155" s="15">
        <v>-0.81799999999999995</v>
      </c>
      <c r="X155" s="15">
        <v>-0.89300000000000002</v>
      </c>
      <c r="Y155" s="15">
        <v>-0.89700000000000002</v>
      </c>
      <c r="Z155" s="15">
        <v>0.254</v>
      </c>
      <c r="AA155" s="15">
        <v>0.254</v>
      </c>
      <c r="AB155" s="15">
        <v>0.26900000000000002</v>
      </c>
      <c r="AC155" s="15">
        <v>0.21299999999999999</v>
      </c>
      <c r="AD155" s="15">
        <v>0.29199999999999998</v>
      </c>
      <c r="AE155" s="14">
        <v>-0.42099999999999999</v>
      </c>
      <c r="AF155" s="15">
        <v>0.29699999999999999</v>
      </c>
      <c r="AG155" s="15">
        <v>0.80300000000000005</v>
      </c>
      <c r="AH155" s="15">
        <v>0.45700000000000002</v>
      </c>
      <c r="AI155" s="15">
        <v>0.58899999999999997</v>
      </c>
      <c r="AJ155" s="9">
        <v>-0.68</v>
      </c>
      <c r="AK155" s="4">
        <v>7.0000000000000007E-2</v>
      </c>
      <c r="AL155" s="4">
        <v>-1</v>
      </c>
      <c r="AM155" s="4">
        <v>0.89600000000000002</v>
      </c>
      <c r="AN155" s="4">
        <v>3.5999999999999997E-2</v>
      </c>
      <c r="AO155" s="4">
        <v>-7.1999999999999995E-2</v>
      </c>
      <c r="AP155" s="4">
        <v>0.53900000000000003</v>
      </c>
      <c r="AQ155" s="4">
        <v>-0.34599999999999997</v>
      </c>
      <c r="AR155" s="4">
        <v>1</v>
      </c>
      <c r="AS155" s="4">
        <v>0.23300000000000001</v>
      </c>
      <c r="AT155" s="4">
        <v>-3.4000000000000002E-2</v>
      </c>
      <c r="AU155" s="4">
        <v>-0.27700000000000002</v>
      </c>
      <c r="AV155" s="4">
        <v>-0.38600000000000001</v>
      </c>
      <c r="AW155" s="4">
        <v>-0.52200000000000002</v>
      </c>
      <c r="AX155" s="4">
        <v>-9.6000000000000002E-2</v>
      </c>
      <c r="AY155" s="4">
        <v>-0.52900000000000003</v>
      </c>
      <c r="AZ155" s="4">
        <v>-0.73699999999999999</v>
      </c>
      <c r="BA155" s="4">
        <v>-0.153</v>
      </c>
      <c r="BB155" s="4">
        <v>0.49</v>
      </c>
      <c r="BC155" s="4">
        <v>0.23899999999999999</v>
      </c>
      <c r="BD155" s="4">
        <v>0.36899999999999999</v>
      </c>
      <c r="BE155" s="4">
        <v>-1</v>
      </c>
      <c r="BF155" s="4">
        <v>-0.91500000000000004</v>
      </c>
      <c r="BG155" s="4">
        <v>-1</v>
      </c>
      <c r="BH155" s="4">
        <v>1</v>
      </c>
      <c r="BI155" s="4">
        <v>0.26500000000000001</v>
      </c>
      <c r="BJ155" s="4">
        <v>-0.10100000000000001</v>
      </c>
      <c r="BK155" s="4">
        <v>0.35699999999999998</v>
      </c>
    </row>
    <row r="156" spans="1:63" x14ac:dyDescent="0.3">
      <c r="A156" t="s">
        <v>218</v>
      </c>
      <c r="B156" s="53">
        <f t="shared" si="14"/>
        <v>0</v>
      </c>
      <c r="C156" s="53">
        <f t="shared" si="15"/>
        <v>-2.4E-2</v>
      </c>
      <c r="D156" s="53">
        <f t="shared" si="16"/>
        <v>0</v>
      </c>
      <c r="E156" s="53">
        <v>2.4E-2</v>
      </c>
      <c r="F156" s="15">
        <v>0.57299999999999995</v>
      </c>
      <c r="G156">
        <v>1.216</v>
      </c>
      <c r="H156" t="s">
        <v>55</v>
      </c>
      <c r="I156" t="str">
        <f>VLOOKUP(A156,Planilha6!$BL$9:$BN$222,2,0)</f>
        <v>utilities</v>
      </c>
      <c r="J156" t="str">
        <f>VLOOKUP(A156,Planilha6!$BL$9:$BN$222,3,0)</f>
        <v>neutral_beta</v>
      </c>
      <c r="K156" s="2">
        <v>0</v>
      </c>
      <c r="L156" s="2">
        <v>-2.4E-2</v>
      </c>
      <c r="M156" s="29">
        <v>2.4E-2</v>
      </c>
      <c r="N156" s="47">
        <f>VLOOKUP(A156,'Mandato ISEE'!$A$1:$C$215,2,0)</f>
        <v>0</v>
      </c>
      <c r="O156" s="48">
        <f t="shared" si="17"/>
        <v>0</v>
      </c>
      <c r="P156" s="47">
        <f>VLOOKUP(A156,'Mandato ISEE'!$A$1:$C$215,3,0)</f>
        <v>0</v>
      </c>
      <c r="Q156" s="48">
        <f t="shared" si="18"/>
        <v>0</v>
      </c>
      <c r="R156" s="15">
        <v>-0.84799999999999998</v>
      </c>
      <c r="S156" s="15">
        <v>-0.49399999999999999</v>
      </c>
      <c r="T156" s="15">
        <v>-0.94399999999999995</v>
      </c>
      <c r="U156" s="15">
        <v>-0.78600000000000003</v>
      </c>
      <c r="V156" s="15">
        <v>-0.71899999999999997</v>
      </c>
      <c r="W156" s="15">
        <v>-0.629</v>
      </c>
      <c r="X156" s="15">
        <v>-0.47399999999999998</v>
      </c>
      <c r="Y156" s="15">
        <v>-0.53400000000000003</v>
      </c>
      <c r="Z156" s="15">
        <v>0.20899999999999999</v>
      </c>
      <c r="AA156" s="15">
        <v>0.214</v>
      </c>
      <c r="AB156" s="15">
        <v>0.624</v>
      </c>
      <c r="AC156" s="15">
        <v>0.64300000000000002</v>
      </c>
      <c r="AD156" s="15">
        <v>0.40400000000000003</v>
      </c>
      <c r="AE156" s="14">
        <v>-0.71799999999999997</v>
      </c>
      <c r="AF156" s="15">
        <v>-0.72699999999999998</v>
      </c>
      <c r="AG156" s="15">
        <v>-0.17899999999999999</v>
      </c>
      <c r="AH156" s="15">
        <v>-0.97</v>
      </c>
      <c r="AI156" s="15">
        <v>-0.71499999999999997</v>
      </c>
      <c r="AJ156" s="9">
        <v>-1</v>
      </c>
      <c r="AK156" s="4">
        <v>-0.34100000000000003</v>
      </c>
      <c r="AL156" s="4">
        <v>-0.55700000000000005</v>
      </c>
      <c r="AM156" s="4">
        <v>-0.56699999999999995</v>
      </c>
      <c r="AN156" s="4">
        <v>-0.189</v>
      </c>
      <c r="AO156" s="4">
        <v>0.32700000000000001</v>
      </c>
      <c r="AP156" s="4">
        <v>0.54300000000000004</v>
      </c>
      <c r="AQ156" s="4">
        <v>-6.4000000000000001E-2</v>
      </c>
      <c r="AR156" s="4">
        <v>-0.32</v>
      </c>
      <c r="AS156" s="4">
        <v>-4.5999999999999999E-2</v>
      </c>
      <c r="AT156" s="4">
        <v>1.2E-2</v>
      </c>
      <c r="AU156" s="4">
        <v>-0.26600000000000001</v>
      </c>
      <c r="AV156" s="4">
        <v>-0.26400000000000001</v>
      </c>
      <c r="AW156" s="4">
        <v>0.52500000000000002</v>
      </c>
      <c r="AX156" s="4">
        <v>-0.80600000000000005</v>
      </c>
      <c r="AY156" s="4">
        <v>0.96299999999999997</v>
      </c>
      <c r="AZ156" s="4">
        <v>0.44500000000000001</v>
      </c>
      <c r="BA156" s="4">
        <v>0.17699999999999999</v>
      </c>
      <c r="BB156" s="4">
        <v>0.14099999999999999</v>
      </c>
      <c r="BC156" s="4">
        <v>-9.4E-2</v>
      </c>
      <c r="BD156" s="4">
        <v>0.28399999999999997</v>
      </c>
      <c r="BE156" s="4">
        <v>-0.21099999999999999</v>
      </c>
      <c r="BF156" s="4">
        <v>0.67400000000000004</v>
      </c>
      <c r="BG156" s="4">
        <v>0.66100000000000003</v>
      </c>
      <c r="BH156" s="4">
        <v>-0.47599999999999998</v>
      </c>
      <c r="BI156" s="4">
        <v>1.0999999999999999E-2</v>
      </c>
      <c r="BJ156" s="4">
        <v>-0.39400000000000002</v>
      </c>
      <c r="BK156" s="4">
        <v>-0.48899999999999999</v>
      </c>
    </row>
    <row r="157" spans="1:63" x14ac:dyDescent="0.3">
      <c r="A157" t="s">
        <v>139</v>
      </c>
      <c r="B157" s="53">
        <f t="shared" si="14"/>
        <v>0</v>
      </c>
      <c r="C157" s="53">
        <f t="shared" si="15"/>
        <v>0</v>
      </c>
      <c r="D157" s="53">
        <f t="shared" si="16"/>
        <v>0</v>
      </c>
      <c r="E157" s="53">
        <v>0</v>
      </c>
      <c r="F157" s="15">
        <v>0.57199999999999995</v>
      </c>
      <c r="G157">
        <v>0.60499999999999998</v>
      </c>
      <c r="H157" t="s">
        <v>71</v>
      </c>
      <c r="I157" t="str">
        <f>VLOOKUP(A157,Planilha6!$BL$9:$BN$222,2,0)</f>
        <v>basic_materials</v>
      </c>
      <c r="J157" t="str">
        <f>VLOOKUP(A157,Planilha6!$BL$9:$BN$222,3,0)</f>
        <v>high_beta</v>
      </c>
      <c r="K157" s="2">
        <v>0</v>
      </c>
      <c r="L157" s="2">
        <v>0</v>
      </c>
      <c r="M157" s="29">
        <v>0</v>
      </c>
      <c r="N157" s="47">
        <f>VLOOKUP(A157,'Mandato ISEE'!$A$1:$C$215,2,0)</f>
        <v>0</v>
      </c>
      <c r="O157" s="48">
        <f t="shared" si="17"/>
        <v>0</v>
      </c>
      <c r="P157" s="47">
        <f>VLOOKUP(A157,'Mandato ISEE'!$A$1:$C$215,3,0)</f>
        <v>0</v>
      </c>
      <c r="Q157" s="48">
        <f t="shared" si="18"/>
        <v>0</v>
      </c>
      <c r="R157" s="15">
        <v>-0.88800000000000001</v>
      </c>
      <c r="S157" s="15">
        <v>-0.76500000000000001</v>
      </c>
      <c r="T157" s="15">
        <v>-0.95699999999999996</v>
      </c>
      <c r="U157" s="15">
        <v>-0.82099999999999995</v>
      </c>
      <c r="V157" s="15">
        <v>-0.82799999999999996</v>
      </c>
      <c r="W157" s="15">
        <v>-0.53500000000000003</v>
      </c>
      <c r="X157" s="15">
        <v>-0.18</v>
      </c>
      <c r="Y157" s="15">
        <v>-0.39900000000000002</v>
      </c>
      <c r="Z157" s="15">
        <v>0.35699999999999998</v>
      </c>
      <c r="AA157" s="15">
        <v>0.35699999999999998</v>
      </c>
      <c r="AB157" s="15">
        <v>0.41799999999999998</v>
      </c>
      <c r="AC157" s="15">
        <v>0.43</v>
      </c>
      <c r="AD157" s="15">
        <v>0.23499999999999999</v>
      </c>
      <c r="AE157" s="14">
        <v>-0.754</v>
      </c>
      <c r="AF157" s="15">
        <v>-0.41</v>
      </c>
      <c r="AG157" s="15">
        <v>-1</v>
      </c>
      <c r="AH157" s="15">
        <v>-0.88200000000000001</v>
      </c>
      <c r="AI157" s="15">
        <v>-1</v>
      </c>
      <c r="AJ157" s="9">
        <v>-0.89900000000000002</v>
      </c>
      <c r="AK157" s="4">
        <v>-0.47699999999999998</v>
      </c>
      <c r="AL157" s="4">
        <v>0.61899999999999999</v>
      </c>
      <c r="AM157" s="4">
        <v>-0.751</v>
      </c>
      <c r="AN157" s="4">
        <v>-0.60399999999999998</v>
      </c>
      <c r="AO157" s="4">
        <v>-0.49399999999999999</v>
      </c>
      <c r="AP157" s="4">
        <v>-0.69199999999999995</v>
      </c>
      <c r="AQ157" s="4">
        <v>0.28100000000000003</v>
      </c>
      <c r="AR157" s="4">
        <v>-0.06</v>
      </c>
      <c r="AS157" s="4">
        <v>-0.13600000000000001</v>
      </c>
      <c r="AT157" s="4">
        <v>0.33800000000000002</v>
      </c>
      <c r="AU157" s="4">
        <v>1.6E-2</v>
      </c>
      <c r="AV157" s="4">
        <v>-0.39600000000000002</v>
      </c>
      <c r="AW157" s="4">
        <v>0.16900000000000001</v>
      </c>
      <c r="AX157" s="4">
        <v>0.27300000000000002</v>
      </c>
      <c r="AY157" s="4">
        <v>0.32900000000000001</v>
      </c>
      <c r="AZ157" s="4">
        <v>-0.999</v>
      </c>
      <c r="BA157" s="4">
        <v>0.40699999999999997</v>
      </c>
      <c r="BB157" s="4">
        <v>0.312</v>
      </c>
      <c r="BC157" s="4">
        <v>-8.3000000000000004E-2</v>
      </c>
      <c r="BD157" s="4">
        <v>0.20200000000000001</v>
      </c>
      <c r="BE157" s="4">
        <v>0.26400000000000001</v>
      </c>
      <c r="BF157" s="4">
        <v>-0.55700000000000005</v>
      </c>
      <c r="BG157" s="4">
        <v>0.79200000000000004</v>
      </c>
      <c r="BH157" s="4">
        <v>-0.311</v>
      </c>
      <c r="BI157" s="4">
        <v>-0.183</v>
      </c>
      <c r="BJ157" s="4">
        <v>0.34200000000000003</v>
      </c>
      <c r="BK157" s="4">
        <v>-0.35099999999999998</v>
      </c>
    </row>
    <row r="158" spans="1:63" x14ac:dyDescent="0.3">
      <c r="A158" t="s">
        <v>197</v>
      </c>
      <c r="B158" s="53">
        <f t="shared" si="14"/>
        <v>0</v>
      </c>
      <c r="C158" s="53">
        <f t="shared" si="15"/>
        <v>-1.7999999999999999E-2</v>
      </c>
      <c r="D158" s="53">
        <f t="shared" si="16"/>
        <v>0</v>
      </c>
      <c r="E158" s="53">
        <v>1.7999999999999999E-2</v>
      </c>
      <c r="F158" s="15">
        <v>0.57099999999999995</v>
      </c>
      <c r="G158">
        <v>1.008</v>
      </c>
      <c r="H158" t="s">
        <v>53</v>
      </c>
      <c r="I158" t="str">
        <f>VLOOKUP(A158,Planilha6!$BL$9:$BN$222,2,0)</f>
        <v>healthcare</v>
      </c>
      <c r="J158" t="str">
        <f>VLOOKUP(A158,Planilha6!$BL$9:$BN$222,3,0)</f>
        <v>low_beta</v>
      </c>
      <c r="K158" s="2">
        <v>0</v>
      </c>
      <c r="L158" s="2">
        <v>-1.7999999999999999E-2</v>
      </c>
      <c r="M158" s="29">
        <v>1.7999999999999999E-2</v>
      </c>
      <c r="N158" s="47">
        <f>VLOOKUP(A158,'Mandato ISEE'!$A$1:$C$215,2,0)</f>
        <v>0</v>
      </c>
      <c r="O158" s="48">
        <f t="shared" si="17"/>
        <v>0</v>
      </c>
      <c r="P158" s="47">
        <f>VLOOKUP(A158,'Mandato ISEE'!$A$1:$C$215,3,0)</f>
        <v>0</v>
      </c>
      <c r="Q158" s="48">
        <f t="shared" si="18"/>
        <v>0</v>
      </c>
      <c r="R158" s="15">
        <v>-0.77100000000000002</v>
      </c>
      <c r="S158" s="15">
        <v>-0.64100000000000001</v>
      </c>
      <c r="T158" s="15">
        <v>-0.91300000000000003</v>
      </c>
      <c r="U158" s="15">
        <v>-0.72</v>
      </c>
      <c r="V158" s="15">
        <v>-0.73599999999999999</v>
      </c>
      <c r="W158" s="15">
        <v>-0.50700000000000001</v>
      </c>
      <c r="X158" s="15">
        <v>-0.218</v>
      </c>
      <c r="Y158" s="15">
        <v>-0.52500000000000002</v>
      </c>
      <c r="Z158" s="15">
        <v>5.6000000000000001E-2</v>
      </c>
      <c r="AA158" s="15">
        <v>5.8000000000000003E-2</v>
      </c>
      <c r="AB158" s="15">
        <v>0.56699999999999995</v>
      </c>
      <c r="AC158" s="15">
        <v>0.56799999999999995</v>
      </c>
      <c r="AD158" s="15">
        <v>0.27700000000000002</v>
      </c>
      <c r="AE158" s="14">
        <v>-0.498</v>
      </c>
      <c r="AF158" s="15">
        <v>1.0999999999999999E-2</v>
      </c>
      <c r="AG158" s="15">
        <v>-0.80600000000000005</v>
      </c>
      <c r="AH158" s="15">
        <v>-0.95299999999999996</v>
      </c>
      <c r="AI158" s="15">
        <v>-1</v>
      </c>
      <c r="AJ158" s="9">
        <v>-0.97599999999999998</v>
      </c>
      <c r="AK158" s="4">
        <v>-0.49299999999999999</v>
      </c>
      <c r="AL158" s="4">
        <v>-0.16400000000000001</v>
      </c>
      <c r="AM158" s="4">
        <v>-0.84099999999999997</v>
      </c>
      <c r="AN158" s="4">
        <v>0.498</v>
      </c>
      <c r="AO158" s="4">
        <v>-0.19700000000000001</v>
      </c>
      <c r="AP158" s="4">
        <v>-0.23100000000000001</v>
      </c>
      <c r="AQ158" s="4">
        <v>0.442</v>
      </c>
      <c r="AR158" s="4">
        <v>0.26200000000000001</v>
      </c>
      <c r="AS158" s="4">
        <v>-4.5999999999999999E-2</v>
      </c>
      <c r="AT158" s="4">
        <v>0.111</v>
      </c>
      <c r="AU158" s="4">
        <v>-0.29299999999999998</v>
      </c>
      <c r="AV158" s="4">
        <v>-0.107</v>
      </c>
      <c r="AW158" s="4">
        <v>0.254</v>
      </c>
      <c r="AX158" s="4">
        <v>0.223</v>
      </c>
      <c r="AY158" s="4">
        <v>0.88400000000000001</v>
      </c>
      <c r="AZ158" s="4">
        <v>-5.8000000000000003E-2</v>
      </c>
      <c r="BA158" s="4">
        <v>0.46899999999999997</v>
      </c>
      <c r="BB158" s="4">
        <v>0.28799999999999998</v>
      </c>
      <c r="BC158" s="4">
        <v>-0.108</v>
      </c>
      <c r="BD158" s="4">
        <v>0.14699999999999999</v>
      </c>
      <c r="BE158" s="4">
        <v>-4.1000000000000002E-2</v>
      </c>
      <c r="BF158" s="4">
        <v>1</v>
      </c>
      <c r="BG158" s="4">
        <v>0.753</v>
      </c>
      <c r="BH158" s="4">
        <v>-0.32400000000000001</v>
      </c>
      <c r="BI158" s="4">
        <v>-0.20200000000000001</v>
      </c>
      <c r="BJ158" s="4">
        <v>-0.159</v>
      </c>
      <c r="BK158" s="4">
        <v>-0.872</v>
      </c>
    </row>
    <row r="159" spans="1:63" x14ac:dyDescent="0.3">
      <c r="A159" t="s">
        <v>226</v>
      </c>
      <c r="B159" s="53">
        <f t="shared" si="14"/>
        <v>0</v>
      </c>
      <c r="C159" s="53">
        <f t="shared" si="15"/>
        <v>-2.4E-2</v>
      </c>
      <c r="D159" s="53">
        <f t="shared" si="16"/>
        <v>0</v>
      </c>
      <c r="E159" s="53">
        <v>2.4E-2</v>
      </c>
      <c r="F159" s="15">
        <v>0.56999999999999995</v>
      </c>
      <c r="G159">
        <v>0.91600000000000004</v>
      </c>
      <c r="H159" t="s">
        <v>55</v>
      </c>
      <c r="I159" t="str">
        <f>VLOOKUP(A159,Planilha6!$BL$9:$BN$222,2,0)</f>
        <v>utilities</v>
      </c>
      <c r="J159" t="str">
        <f>VLOOKUP(A159,Planilha6!$BL$9:$BN$222,3,0)</f>
        <v>neutral_beta</v>
      </c>
      <c r="K159" s="2">
        <v>0</v>
      </c>
      <c r="L159" s="2">
        <v>-2.4E-2</v>
      </c>
      <c r="M159" s="29">
        <v>2.4E-2</v>
      </c>
      <c r="N159" s="47">
        <f>VLOOKUP(A159,'Mandato ISEE'!$A$1:$C$215,2,0)</f>
        <v>0</v>
      </c>
      <c r="O159" s="48">
        <f t="shared" si="17"/>
        <v>0</v>
      </c>
      <c r="P159" s="47">
        <f>VLOOKUP(A159,'Mandato ISEE'!$A$1:$C$215,3,0)</f>
        <v>5.4284640243097398E-2</v>
      </c>
      <c r="Q159" s="48">
        <f t="shared" si="18"/>
        <v>-5.4284640243097398E-2</v>
      </c>
      <c r="R159" s="15">
        <v>-0.71299999999999997</v>
      </c>
      <c r="S159" s="15">
        <v>-0.47499999999999998</v>
      </c>
      <c r="T159" s="15">
        <v>-0.88300000000000001</v>
      </c>
      <c r="U159" s="15">
        <v>-0.59499999999999997</v>
      </c>
      <c r="V159" s="15">
        <v>-0.63100000000000001</v>
      </c>
      <c r="W159" s="15">
        <v>-0.70899999999999996</v>
      </c>
      <c r="X159" s="15">
        <v>-0.72099999999999997</v>
      </c>
      <c r="Y159" s="15">
        <v>-0.69299999999999995</v>
      </c>
      <c r="Z159" s="15">
        <v>0.22700000000000001</v>
      </c>
      <c r="AA159" s="15">
        <v>0.22900000000000001</v>
      </c>
      <c r="AB159" s="15">
        <v>0.54</v>
      </c>
      <c r="AC159" s="15">
        <v>0.60199999999999998</v>
      </c>
      <c r="AD159" s="15">
        <v>0.47299999999999998</v>
      </c>
      <c r="AE159" s="14">
        <v>-0.64</v>
      </c>
      <c r="AF159" s="15">
        <v>-0.39400000000000002</v>
      </c>
      <c r="AG159" s="15">
        <v>-8.5000000000000006E-2</v>
      </c>
      <c r="AH159" s="15">
        <v>-0.996</v>
      </c>
      <c r="AI159" s="15">
        <v>-0.66200000000000003</v>
      </c>
      <c r="AJ159" s="9">
        <v>-0.81599999999999995</v>
      </c>
      <c r="AK159" s="4">
        <v>-0.372</v>
      </c>
      <c r="AL159" s="4">
        <v>-1</v>
      </c>
      <c r="AM159" s="4">
        <v>-0.68400000000000005</v>
      </c>
      <c r="AN159" s="4">
        <v>-3.5999999999999997E-2</v>
      </c>
      <c r="AO159" s="4">
        <v>0.64</v>
      </c>
      <c r="AP159" s="4">
        <v>0.22700000000000001</v>
      </c>
      <c r="AQ159" s="4">
        <v>0.53700000000000003</v>
      </c>
      <c r="AR159" s="4">
        <v>0.52</v>
      </c>
      <c r="AS159" s="4">
        <v>0.53400000000000003</v>
      </c>
      <c r="AT159" s="4">
        <v>1.2E-2</v>
      </c>
      <c r="AU159" s="4">
        <v>-9.0999999999999998E-2</v>
      </c>
      <c r="AV159" s="4">
        <v>7.0000000000000007E-2</v>
      </c>
      <c r="AW159" s="4">
        <v>0.26200000000000001</v>
      </c>
      <c r="AX159" s="4">
        <v>-0.33700000000000002</v>
      </c>
      <c r="AY159" s="4">
        <v>0.79100000000000004</v>
      </c>
      <c r="AZ159" s="4">
        <v>0.68</v>
      </c>
      <c r="BA159" s="4">
        <v>0.76500000000000001</v>
      </c>
      <c r="BB159" s="4">
        <v>-0.129</v>
      </c>
      <c r="BC159" s="4">
        <v>-0.59599999999999997</v>
      </c>
      <c r="BD159" s="4">
        <v>0.57799999999999996</v>
      </c>
      <c r="BE159" s="4">
        <v>-1</v>
      </c>
      <c r="BF159" s="4">
        <v>-1</v>
      </c>
      <c r="BG159" s="4">
        <v>-0.47199999999999998</v>
      </c>
      <c r="BH159" s="4">
        <v>-0.53900000000000003</v>
      </c>
      <c r="BI159" s="4">
        <v>-0.105</v>
      </c>
      <c r="BJ159" s="4">
        <v>-0.48099999999999998</v>
      </c>
      <c r="BK159" s="4">
        <v>-0.45700000000000002</v>
      </c>
    </row>
    <row r="160" spans="1:63" x14ac:dyDescent="0.3">
      <c r="A160" t="s">
        <v>156</v>
      </c>
      <c r="B160" s="53">
        <f t="shared" si="14"/>
        <v>0</v>
      </c>
      <c r="C160" s="53">
        <f t="shared" si="15"/>
        <v>-6.0000000000000001E-3</v>
      </c>
      <c r="D160" s="53">
        <f t="shared" si="16"/>
        <v>0</v>
      </c>
      <c r="E160" s="53">
        <v>6.0000000000000001E-3</v>
      </c>
      <c r="F160" s="15">
        <v>0.56799999999999995</v>
      </c>
      <c r="G160">
        <v>0.629</v>
      </c>
      <c r="H160" t="s">
        <v>55</v>
      </c>
      <c r="I160" t="str">
        <f>VLOOKUP(A160,Planilha6!$BL$9:$BN$222,2,0)</f>
        <v>transportation</v>
      </c>
      <c r="J160" t="str">
        <f>VLOOKUP(A160,Planilha6!$BL$9:$BN$222,3,0)</f>
        <v>very_high_beta</v>
      </c>
      <c r="K160" s="2">
        <v>0</v>
      </c>
      <c r="L160" s="2">
        <v>-6.0000000000000001E-3</v>
      </c>
      <c r="M160" s="29">
        <v>6.0000000000000001E-3</v>
      </c>
      <c r="N160" s="47">
        <f>VLOOKUP(A160,'Mandato ISEE'!$A$1:$C$215,2,0)</f>
        <v>0</v>
      </c>
      <c r="O160" s="48">
        <f t="shared" si="17"/>
        <v>0</v>
      </c>
      <c r="P160" s="47">
        <f>VLOOKUP(A160,'Mandato ISEE'!$A$1:$C$215,3,0)</f>
        <v>0</v>
      </c>
      <c r="Q160" s="48">
        <f t="shared" si="18"/>
        <v>0</v>
      </c>
      <c r="R160" s="15">
        <v>-0.74299999999999999</v>
      </c>
      <c r="S160" s="15">
        <v>-0.56999999999999995</v>
      </c>
      <c r="T160" s="15">
        <v>-0.86699999999999999</v>
      </c>
      <c r="U160" s="15">
        <v>-0.59299999999999997</v>
      </c>
      <c r="V160" s="15">
        <v>-0.66</v>
      </c>
      <c r="W160" s="15">
        <v>-0.66300000000000003</v>
      </c>
      <c r="X160" s="15">
        <v>-0.51200000000000001</v>
      </c>
      <c r="Y160" s="15">
        <v>-0.71299999999999997</v>
      </c>
      <c r="Z160" s="15">
        <v>0.24399999999999999</v>
      </c>
      <c r="AA160" s="15">
        <v>0.247</v>
      </c>
      <c r="AB160" s="15">
        <v>0.57899999999999996</v>
      </c>
      <c r="AC160" s="15">
        <v>0.71099999999999997</v>
      </c>
      <c r="AD160" s="15">
        <v>0.376</v>
      </c>
      <c r="AE160" s="14">
        <v>-0.82499999999999996</v>
      </c>
      <c r="AF160" s="15">
        <v>0.27400000000000002</v>
      </c>
      <c r="AG160" s="15">
        <v>0.58899999999999997</v>
      </c>
      <c r="AH160" s="15">
        <v>-0.42599999999999999</v>
      </c>
      <c r="AI160" s="15">
        <v>-0.40799999999999997</v>
      </c>
      <c r="AJ160" s="9">
        <v>-0.77700000000000002</v>
      </c>
      <c r="AK160" s="4">
        <v>-0.122</v>
      </c>
      <c r="AL160" s="4">
        <v>-0.56599999999999995</v>
      </c>
      <c r="AM160" s="4">
        <v>-1E-3</v>
      </c>
      <c r="AN160" s="4">
        <v>0.22800000000000001</v>
      </c>
      <c r="AO160" s="4">
        <v>0.121</v>
      </c>
      <c r="AP160" s="4">
        <v>-0.438</v>
      </c>
      <c r="AQ160" s="4">
        <v>0.57999999999999996</v>
      </c>
      <c r="AR160" s="4">
        <v>-0.19800000000000001</v>
      </c>
      <c r="AS160" s="4">
        <v>-0.29299999999999998</v>
      </c>
      <c r="AT160" s="4">
        <v>0.11899999999999999</v>
      </c>
      <c r="AU160" s="4">
        <v>0.23300000000000001</v>
      </c>
      <c r="AV160" s="4">
        <v>-0.32300000000000001</v>
      </c>
      <c r="AW160" s="4">
        <v>-0.318</v>
      </c>
      <c r="AX160" s="4">
        <v>-0.95699999999999996</v>
      </c>
      <c r="AY160" s="4">
        <v>0.92800000000000005</v>
      </c>
      <c r="AZ160" s="4">
        <v>-0.34499999999999997</v>
      </c>
      <c r="BA160" s="4">
        <v>0.39300000000000002</v>
      </c>
      <c r="BB160" s="4">
        <v>-0.70699999999999996</v>
      </c>
      <c r="BC160" s="4">
        <v>-1</v>
      </c>
      <c r="BD160" s="4">
        <v>5.0000000000000001E-3</v>
      </c>
      <c r="BE160" s="4">
        <v>-0.20899999999999999</v>
      </c>
      <c r="BF160" s="4">
        <v>0.51600000000000001</v>
      </c>
      <c r="BG160" s="4">
        <v>0.13200000000000001</v>
      </c>
      <c r="BH160" s="4">
        <v>-0.24199999999999999</v>
      </c>
      <c r="BI160" s="4">
        <v>0.93600000000000005</v>
      </c>
      <c r="BJ160" s="4">
        <v>-0.25600000000000001</v>
      </c>
      <c r="BK160" s="4">
        <v>6.3E-2</v>
      </c>
    </row>
    <row r="161" spans="1:63" x14ac:dyDescent="0.3">
      <c r="A161" t="s">
        <v>229</v>
      </c>
      <c r="B161" s="53">
        <f t="shared" si="14"/>
        <v>0</v>
      </c>
      <c r="C161" s="53">
        <f t="shared" si="15"/>
        <v>0</v>
      </c>
      <c r="D161" s="53">
        <f t="shared" si="16"/>
        <v>0</v>
      </c>
      <c r="E161" s="53">
        <v>0</v>
      </c>
      <c r="F161" s="15">
        <v>0.56699999999999995</v>
      </c>
      <c r="G161">
        <v>0.438</v>
      </c>
      <c r="H161" t="s">
        <v>71</v>
      </c>
      <c r="I161" t="str">
        <f>VLOOKUP(A161,Planilha6!$BL$9:$BN$222,2,0)</f>
        <v>food</v>
      </c>
      <c r="J161" t="str">
        <f>VLOOKUP(A161,Planilha6!$BL$9:$BN$222,3,0)</f>
        <v>very_low_beta</v>
      </c>
      <c r="K161" s="2">
        <v>0</v>
      </c>
      <c r="L161" s="2">
        <v>0</v>
      </c>
      <c r="M161" s="29">
        <v>0</v>
      </c>
      <c r="N161" s="47">
        <f>VLOOKUP(A161,'Mandato ISEE'!$A$1:$C$215,2,0)</f>
        <v>0</v>
      </c>
      <c r="O161" s="48">
        <f t="shared" si="17"/>
        <v>0</v>
      </c>
      <c r="P161" s="47">
        <f>VLOOKUP(A161,'Mandato ISEE'!$A$1:$C$215,3,0)</f>
        <v>0</v>
      </c>
      <c r="Q161" s="48">
        <f t="shared" si="18"/>
        <v>0</v>
      </c>
      <c r="R161" s="15">
        <v>-0.80700000000000005</v>
      </c>
      <c r="S161" s="15">
        <v>-0.69699999999999995</v>
      </c>
      <c r="T161" s="15">
        <v>-0.873</v>
      </c>
      <c r="U161" s="15">
        <v>-0.79300000000000004</v>
      </c>
      <c r="V161" s="15">
        <v>-0.77500000000000002</v>
      </c>
      <c r="W161" s="15">
        <v>-0.67900000000000005</v>
      </c>
      <c r="X161" s="15">
        <v>-0.66800000000000004</v>
      </c>
      <c r="Y161" s="15">
        <v>-0.70599999999999996</v>
      </c>
      <c r="Z161" s="15">
        <v>0.44400000000000001</v>
      </c>
      <c r="AA161" s="15">
        <v>0.44600000000000001</v>
      </c>
      <c r="AB161" s="15">
        <v>0.59899999999999998</v>
      </c>
      <c r="AC161" s="15">
        <v>0.71299999999999997</v>
      </c>
      <c r="AD161" s="15">
        <v>0.47899999999999998</v>
      </c>
      <c r="AE161" s="14">
        <v>-0.77800000000000002</v>
      </c>
      <c r="AF161" s="15">
        <v>-0.55400000000000005</v>
      </c>
      <c r="AG161" s="15">
        <v>-0.122</v>
      </c>
      <c r="AH161" s="15">
        <v>-0.44400000000000001</v>
      </c>
      <c r="AI161" s="15">
        <v>-0.46800000000000003</v>
      </c>
      <c r="AJ161" s="9">
        <v>-0.82299999999999995</v>
      </c>
      <c r="AK161" s="4">
        <v>-0.33400000000000002</v>
      </c>
      <c r="AL161" s="4">
        <v>-0.46899999999999997</v>
      </c>
      <c r="AM161" s="4">
        <v>-6.6000000000000003E-2</v>
      </c>
      <c r="AN161" s="4">
        <v>-0.12</v>
      </c>
      <c r="AO161" s="4">
        <v>2.3E-2</v>
      </c>
      <c r="AP161" s="4">
        <v>0.19400000000000001</v>
      </c>
      <c r="AQ161" s="4">
        <v>-0.317</v>
      </c>
      <c r="AR161" s="4">
        <v>0.59499999999999997</v>
      </c>
      <c r="AS161" s="4">
        <v>0.36599999999999999</v>
      </c>
      <c r="AT161" s="4">
        <v>-2.5000000000000001E-2</v>
      </c>
      <c r="AU161" s="4">
        <v>-0.113</v>
      </c>
      <c r="AV161" s="4">
        <v>-0.44800000000000001</v>
      </c>
      <c r="AW161" s="4">
        <v>0.19700000000000001</v>
      </c>
      <c r="AX161" s="4">
        <v>-0.26500000000000001</v>
      </c>
      <c r="AY161" s="4">
        <v>0.57099999999999995</v>
      </c>
      <c r="AZ161" s="4">
        <v>-0.223</v>
      </c>
      <c r="BA161" s="4">
        <v>0.48699999999999999</v>
      </c>
      <c r="BB161" s="4">
        <v>-9.1999999999999998E-2</v>
      </c>
      <c r="BC161" s="4">
        <v>-0.443</v>
      </c>
      <c r="BD161" s="4">
        <v>0.105</v>
      </c>
      <c r="BE161" s="4">
        <v>0.36899999999999999</v>
      </c>
      <c r="BF161" s="4">
        <v>0.56100000000000005</v>
      </c>
      <c r="BG161" s="4">
        <v>0.26900000000000002</v>
      </c>
      <c r="BH161" s="4">
        <v>-0.06</v>
      </c>
      <c r="BI161" s="4">
        <v>-0.85599999999999998</v>
      </c>
      <c r="BJ161" s="4">
        <v>-0.20300000000000001</v>
      </c>
      <c r="BK161" s="4">
        <v>9.4E-2</v>
      </c>
    </row>
    <row r="162" spans="1:63" x14ac:dyDescent="0.3">
      <c r="A162" t="s">
        <v>170</v>
      </c>
      <c r="B162" s="53">
        <f t="shared" si="14"/>
        <v>0</v>
      </c>
      <c r="C162" s="53">
        <f t="shared" si="15"/>
        <v>0</v>
      </c>
      <c r="D162" s="53">
        <f t="shared" si="16"/>
        <v>0</v>
      </c>
      <c r="E162" s="53">
        <v>0</v>
      </c>
      <c r="F162" s="15">
        <v>0.56599999999999995</v>
      </c>
      <c r="G162">
        <v>0.48499999999999999</v>
      </c>
      <c r="H162" t="s">
        <v>57</v>
      </c>
      <c r="I162" t="str">
        <f>VLOOKUP(A162,Planilha6!$BL$9:$BN$222,2,0)</f>
        <v>consumer_durables</v>
      </c>
      <c r="J162" t="str">
        <f>VLOOKUP(A162,Planilha6!$BL$9:$BN$222,3,0)</f>
        <v>high_beta</v>
      </c>
      <c r="K162" s="2">
        <v>0</v>
      </c>
      <c r="L162" s="2">
        <v>0</v>
      </c>
      <c r="M162" s="29">
        <v>0</v>
      </c>
      <c r="N162" s="47">
        <f>VLOOKUP(A162,'Mandato ISEE'!$A$1:$C$215,2,0)</f>
        <v>0</v>
      </c>
      <c r="O162" s="48">
        <f t="shared" si="17"/>
        <v>0</v>
      </c>
      <c r="P162" s="47">
        <f>VLOOKUP(A162,'Mandato ISEE'!$A$1:$C$215,3,0)</f>
        <v>0</v>
      </c>
      <c r="Q162" s="48">
        <f t="shared" si="18"/>
        <v>0</v>
      </c>
      <c r="R162" s="15">
        <v>-0.57899999999999996</v>
      </c>
      <c r="S162" s="15">
        <v>-0.621</v>
      </c>
      <c r="T162" s="15">
        <v>-0.54600000000000004</v>
      </c>
      <c r="U162" s="15">
        <v>-0.68200000000000005</v>
      </c>
      <c r="V162" s="15">
        <v>-0.65</v>
      </c>
      <c r="W162" s="15">
        <v>-0.60899999999999999</v>
      </c>
      <c r="X162" s="15">
        <v>-0.56599999999999995</v>
      </c>
      <c r="Y162" s="15">
        <v>-0.71099999999999997</v>
      </c>
      <c r="Z162" s="15">
        <v>4.5999999999999999E-2</v>
      </c>
      <c r="AA162" s="15">
        <v>4.7E-2</v>
      </c>
      <c r="AB162" s="15">
        <v>0.52500000000000002</v>
      </c>
      <c r="AC162" s="15">
        <v>0.439</v>
      </c>
      <c r="AD162" s="15">
        <v>0.30099999999999999</v>
      </c>
      <c r="AE162" s="14">
        <v>-0.312</v>
      </c>
      <c r="AF162" s="15">
        <v>-0.17</v>
      </c>
      <c r="AG162" s="15">
        <v>-0.63600000000000001</v>
      </c>
      <c r="AH162" s="15">
        <v>-0.255</v>
      </c>
      <c r="AI162" s="15">
        <v>-0.51500000000000001</v>
      </c>
      <c r="AJ162" s="9">
        <v>-8.6999999999999994E-2</v>
      </c>
      <c r="AK162" s="4">
        <v>-0.19</v>
      </c>
      <c r="AL162" s="4">
        <v>-0.60599999999999998</v>
      </c>
      <c r="AM162" s="4">
        <v>-0.35499999999999998</v>
      </c>
      <c r="AN162" s="4">
        <v>0.28399999999999997</v>
      </c>
      <c r="AO162" s="4">
        <v>-0.39700000000000002</v>
      </c>
      <c r="AP162" s="4">
        <v>-0.32300000000000001</v>
      </c>
      <c r="AQ162" s="4">
        <v>0.32700000000000001</v>
      </c>
      <c r="AR162" s="4">
        <v>3.4000000000000002E-2</v>
      </c>
      <c r="AS162" s="4">
        <v>9.7000000000000003E-2</v>
      </c>
      <c r="AT162" s="4">
        <v>0.32300000000000001</v>
      </c>
      <c r="AU162" s="4">
        <v>-0.17699999999999999</v>
      </c>
      <c r="AV162" s="4">
        <v>6.4000000000000001E-2</v>
      </c>
      <c r="AW162" s="4">
        <v>-0.38700000000000001</v>
      </c>
      <c r="AX162" s="4">
        <v>-0.28299999999999997</v>
      </c>
      <c r="AY162" s="4">
        <v>0.77400000000000002</v>
      </c>
      <c r="AZ162" s="4">
        <v>0.49299999999999999</v>
      </c>
      <c r="BA162" s="4">
        <v>0.63800000000000001</v>
      </c>
      <c r="BB162" s="4">
        <v>-0.10199999999999999</v>
      </c>
      <c r="BC162" s="4">
        <v>-0.29399999999999998</v>
      </c>
      <c r="BD162" s="4">
        <v>0.221</v>
      </c>
      <c r="BE162" s="4">
        <v>-0.27500000000000002</v>
      </c>
      <c r="BF162" s="4">
        <v>-0.28000000000000003</v>
      </c>
      <c r="BG162" s="4">
        <v>0.45200000000000001</v>
      </c>
      <c r="BH162" s="4">
        <v>-0.17</v>
      </c>
      <c r="BI162" s="4">
        <v>0.23899999999999999</v>
      </c>
      <c r="BJ162" s="4">
        <v>-0.17699999999999999</v>
      </c>
      <c r="BK162" s="4">
        <v>-8.9999999999999993E-3</v>
      </c>
    </row>
    <row r="163" spans="1:63" x14ac:dyDescent="0.3">
      <c r="A163" t="s">
        <v>250</v>
      </c>
      <c r="B163" s="53">
        <f t="shared" si="14"/>
        <v>0</v>
      </c>
      <c r="C163" s="53">
        <f t="shared" si="15"/>
        <v>0</v>
      </c>
      <c r="D163" s="53">
        <f t="shared" si="16"/>
        <v>0</v>
      </c>
      <c r="E163" s="53">
        <v>0</v>
      </c>
      <c r="F163" s="15">
        <v>0.56599999999999995</v>
      </c>
      <c r="G163">
        <v>0.435</v>
      </c>
      <c r="H163" t="s">
        <v>57</v>
      </c>
      <c r="I163" t="str">
        <f>VLOOKUP(A163,Planilha6!$BL$9:$BN$222,2,0)</f>
        <v>tech</v>
      </c>
      <c r="J163" t="str">
        <f>VLOOKUP(A163,Planilha6!$BL$9:$BN$222,3,0)</f>
        <v>very_high_beta</v>
      </c>
      <c r="K163" s="2">
        <v>0</v>
      </c>
      <c r="L163" s="2">
        <v>0</v>
      </c>
      <c r="M163" s="29">
        <v>0</v>
      </c>
      <c r="N163" s="47">
        <f>VLOOKUP(A163,'Mandato ISEE'!$A$1:$C$215,2,0)</f>
        <v>0</v>
      </c>
      <c r="O163" s="48">
        <f t="shared" si="17"/>
        <v>0</v>
      </c>
      <c r="P163" s="47">
        <f>VLOOKUP(A163,'Mandato ISEE'!$A$1:$C$215,3,0)</f>
        <v>0</v>
      </c>
      <c r="Q163" s="48">
        <f t="shared" si="18"/>
        <v>0</v>
      </c>
      <c r="R163" s="15">
        <v>-0.32600000000000001</v>
      </c>
      <c r="S163" s="15">
        <v>-0.70099999999999996</v>
      </c>
      <c r="T163" s="15">
        <v>-0.16400000000000001</v>
      </c>
      <c r="U163" s="15">
        <v>-0.65700000000000003</v>
      </c>
      <c r="V163" s="15">
        <v>-0.65500000000000003</v>
      </c>
      <c r="W163" s="15">
        <v>-0.63500000000000001</v>
      </c>
      <c r="X163" s="15">
        <v>-0.67900000000000005</v>
      </c>
      <c r="Y163" s="15">
        <v>-0.746</v>
      </c>
      <c r="Z163" s="15">
        <v>-0.13600000000000001</v>
      </c>
      <c r="AA163" s="15">
        <v>-0.13800000000000001</v>
      </c>
      <c r="AB163" s="15">
        <v>0.40400000000000003</v>
      </c>
      <c r="AC163" s="15">
        <v>0.56499999999999995</v>
      </c>
      <c r="AD163" s="15">
        <v>0.14899999999999999</v>
      </c>
      <c r="AE163" s="14">
        <v>-6.9000000000000006E-2</v>
      </c>
      <c r="AF163" s="15">
        <v>-0.13600000000000001</v>
      </c>
      <c r="AG163" s="15">
        <v>-0.76100000000000001</v>
      </c>
      <c r="AH163" s="15">
        <v>-0.31</v>
      </c>
      <c r="AI163" s="15">
        <v>-0.222</v>
      </c>
      <c r="AJ163" s="9">
        <v>0.40600000000000003</v>
      </c>
      <c r="AK163" s="4">
        <v>-0.45600000000000002</v>
      </c>
      <c r="AL163" s="4">
        <v>-0.44900000000000001</v>
      </c>
      <c r="AM163" s="4">
        <v>-0.31900000000000001</v>
      </c>
      <c r="AN163" s="4">
        <v>0.35299999999999998</v>
      </c>
      <c r="AO163" s="4">
        <v>-0.217</v>
      </c>
      <c r="AP163" s="4">
        <v>-0.217</v>
      </c>
      <c r="AQ163" s="4">
        <v>-0.17799999999999999</v>
      </c>
      <c r="AR163" s="4">
        <v>0.877</v>
      </c>
      <c r="AS163" s="4">
        <v>0.20300000000000001</v>
      </c>
      <c r="AT163" s="4">
        <v>-0.24399999999999999</v>
      </c>
      <c r="AU163" s="4">
        <v>-0.436</v>
      </c>
      <c r="AV163" s="4">
        <v>0.33700000000000002</v>
      </c>
      <c r="AW163" s="4">
        <v>-0.39500000000000002</v>
      </c>
      <c r="AX163" s="4">
        <v>7.0999999999999994E-2</v>
      </c>
      <c r="AY163" s="4">
        <v>0.76700000000000002</v>
      </c>
      <c r="AZ163" s="4">
        <v>-1.7000000000000001E-2</v>
      </c>
      <c r="BA163" s="4">
        <v>0.155</v>
      </c>
      <c r="BB163" s="4">
        <v>0.39</v>
      </c>
      <c r="BC163" s="4">
        <v>5.7000000000000002E-2</v>
      </c>
      <c r="BD163" s="4">
        <v>0.372</v>
      </c>
      <c r="BE163" s="4">
        <v>-0.14099999999999999</v>
      </c>
      <c r="BF163" s="4">
        <v>3.6999999999999998E-2</v>
      </c>
      <c r="BG163" s="4">
        <v>0.19600000000000001</v>
      </c>
      <c r="BH163" s="4">
        <v>0.36099999999999999</v>
      </c>
      <c r="BI163" s="4">
        <v>0.48199999999999998</v>
      </c>
      <c r="BJ163" s="4">
        <v>4.1000000000000002E-2</v>
      </c>
      <c r="BK163" s="4">
        <v>0.19700000000000001</v>
      </c>
    </row>
    <row r="164" spans="1:63" x14ac:dyDescent="0.3">
      <c r="A164" t="s">
        <v>202</v>
      </c>
      <c r="B164" s="53">
        <f t="shared" si="14"/>
        <v>0</v>
      </c>
      <c r="C164" s="53">
        <f t="shared" si="15"/>
        <v>-4.0000000000000001E-3</v>
      </c>
      <c r="D164" s="53">
        <f t="shared" si="16"/>
        <v>0</v>
      </c>
      <c r="E164" s="53">
        <v>4.0000000000000001E-3</v>
      </c>
      <c r="F164" s="15">
        <v>0.56299999999999994</v>
      </c>
      <c r="G164">
        <v>0.47499999999999998</v>
      </c>
      <c r="H164" t="s">
        <v>57</v>
      </c>
      <c r="I164" t="str">
        <f>VLOOKUP(A164,Planilha6!$BL$9:$BN$222,2,0)</f>
        <v>transportation</v>
      </c>
      <c r="J164" t="str">
        <f>VLOOKUP(A164,Planilha6!$BL$9:$BN$222,3,0)</f>
        <v>low_beta</v>
      </c>
      <c r="K164" s="2">
        <v>0</v>
      </c>
      <c r="L164" s="2">
        <v>-4.0000000000000001E-3</v>
      </c>
      <c r="M164" s="29">
        <v>4.0000000000000001E-3</v>
      </c>
      <c r="N164" s="47">
        <f>VLOOKUP(A164,'Mandato ISEE'!$A$1:$C$215,2,0)</f>
        <v>0</v>
      </c>
      <c r="O164" s="48">
        <f t="shared" si="17"/>
        <v>0</v>
      </c>
      <c r="P164" s="47">
        <f>VLOOKUP(A164,'Mandato ISEE'!$A$1:$C$215,3,0)</f>
        <v>0</v>
      </c>
      <c r="Q164" s="48">
        <f t="shared" si="18"/>
        <v>0</v>
      </c>
      <c r="R164" s="15">
        <v>-0.59899999999999998</v>
      </c>
      <c r="S164" s="15">
        <v>-0.56799999999999995</v>
      </c>
      <c r="T164" s="15">
        <v>-0.66900000000000004</v>
      </c>
      <c r="U164" s="15">
        <v>-0.75600000000000001</v>
      </c>
      <c r="V164" s="15">
        <v>-0.70799999999999996</v>
      </c>
      <c r="W164" s="15">
        <v>-0.60799999999999998</v>
      </c>
      <c r="X164" s="15">
        <v>-0.48799999999999999</v>
      </c>
      <c r="Y164" s="15">
        <v>-0.755</v>
      </c>
      <c r="Z164" s="15">
        <v>0.16700000000000001</v>
      </c>
      <c r="AA164" s="15">
        <v>0.16500000000000001</v>
      </c>
      <c r="AB164" s="15">
        <v>0.54200000000000004</v>
      </c>
      <c r="AC164" s="15">
        <v>0.45</v>
      </c>
      <c r="AD164" s="15">
        <v>0.25900000000000001</v>
      </c>
      <c r="AE164" s="14">
        <v>-0.53300000000000003</v>
      </c>
      <c r="AF164" s="15">
        <v>-0.51700000000000002</v>
      </c>
      <c r="AG164" s="15">
        <v>-0.70299999999999996</v>
      </c>
      <c r="AH164" s="15">
        <v>-0.67100000000000004</v>
      </c>
      <c r="AI164" s="15">
        <v>-0.30299999999999999</v>
      </c>
      <c r="AJ164" s="9">
        <v>-0.81399999999999995</v>
      </c>
      <c r="AK164" s="4">
        <v>-0.17499999999999999</v>
      </c>
      <c r="AL164" s="4">
        <v>-1</v>
      </c>
      <c r="AM164" s="4">
        <v>-0.755</v>
      </c>
      <c r="AN164" s="4">
        <v>0.33</v>
      </c>
      <c r="AO164" s="4">
        <v>-7.5999999999999998E-2</v>
      </c>
      <c r="AP164" s="4">
        <v>-6.3E-2</v>
      </c>
      <c r="AQ164" s="4">
        <v>-0.28100000000000003</v>
      </c>
      <c r="AR164" s="4">
        <v>0.375</v>
      </c>
      <c r="AS164" s="4">
        <v>0.52500000000000002</v>
      </c>
      <c r="AT164" s="4">
        <v>-0.18</v>
      </c>
      <c r="AU164" s="4">
        <v>3.5999999999999997E-2</v>
      </c>
      <c r="AV164" s="4">
        <v>8.9999999999999993E-3</v>
      </c>
      <c r="AW164" s="4">
        <v>0.14599999999999999</v>
      </c>
      <c r="AX164" s="4">
        <v>-0.185</v>
      </c>
      <c r="AY164" s="4">
        <v>-0.20300000000000001</v>
      </c>
      <c r="AZ164" s="4">
        <v>7.3999999999999996E-2</v>
      </c>
      <c r="BA164" s="4">
        <v>0.874</v>
      </c>
      <c r="BB164" s="4">
        <v>-0.106</v>
      </c>
      <c r="BC164" s="4">
        <v>-0.13500000000000001</v>
      </c>
      <c r="BD164" s="4">
        <v>0.65800000000000003</v>
      </c>
      <c r="BE164" s="4">
        <v>0.188</v>
      </c>
      <c r="BF164" s="4">
        <v>-0.23300000000000001</v>
      </c>
      <c r="BG164" s="4">
        <v>0.60699999999999998</v>
      </c>
      <c r="BH164" s="4">
        <v>-0.252</v>
      </c>
      <c r="BI164" s="4">
        <v>0.16200000000000001</v>
      </c>
      <c r="BJ164" s="4">
        <v>0.52400000000000002</v>
      </c>
      <c r="BK164" s="4">
        <v>0.191</v>
      </c>
    </row>
    <row r="165" spans="1:63" x14ac:dyDescent="0.3">
      <c r="A165" t="s">
        <v>220</v>
      </c>
      <c r="B165" s="53">
        <f t="shared" si="14"/>
        <v>0</v>
      </c>
      <c r="C165" s="53">
        <f t="shared" si="15"/>
        <v>0</v>
      </c>
      <c r="D165" s="53">
        <f t="shared" si="16"/>
        <v>0</v>
      </c>
      <c r="E165" s="53">
        <v>0</v>
      </c>
      <c r="F165" s="15">
        <v>0.55900000000000005</v>
      </c>
      <c r="G165">
        <v>0.58499999999999996</v>
      </c>
      <c r="H165" t="s">
        <v>57</v>
      </c>
      <c r="I165" t="str">
        <f>VLOOKUP(A165,Planilha6!$BL$9:$BN$222,2,0)</f>
        <v>consumer_services</v>
      </c>
      <c r="J165" t="str">
        <f>VLOOKUP(A165,Planilha6!$BL$9:$BN$222,3,0)</f>
        <v>very_high_beta</v>
      </c>
      <c r="K165" s="2">
        <v>0</v>
      </c>
      <c r="L165" s="2">
        <v>0</v>
      </c>
      <c r="M165" s="29">
        <v>0</v>
      </c>
      <c r="N165" s="47">
        <f>VLOOKUP(A165,'Mandato ISEE'!$A$1:$C$215,2,0)</f>
        <v>0</v>
      </c>
      <c r="O165" s="48">
        <f t="shared" si="17"/>
        <v>0</v>
      </c>
      <c r="P165" s="47">
        <f>VLOOKUP(A165,'Mandato ISEE'!$A$1:$C$215,3,0)</f>
        <v>0</v>
      </c>
      <c r="Q165" s="48">
        <f t="shared" si="18"/>
        <v>0</v>
      </c>
      <c r="R165" s="15">
        <v>-0.77400000000000002</v>
      </c>
      <c r="S165" s="15">
        <v>-0.63200000000000001</v>
      </c>
      <c r="T165" s="15">
        <v>-0.93500000000000005</v>
      </c>
      <c r="U165" s="15">
        <v>-0.72799999999999998</v>
      </c>
      <c r="V165" s="15">
        <v>-0.76500000000000001</v>
      </c>
      <c r="W165" s="15">
        <v>-0.71499999999999997</v>
      </c>
      <c r="X165" s="15">
        <v>-0.66400000000000003</v>
      </c>
      <c r="Y165" s="15">
        <v>-0.69</v>
      </c>
      <c r="Z165" s="15">
        <v>0.19800000000000001</v>
      </c>
      <c r="AA165" s="15">
        <v>0.19900000000000001</v>
      </c>
      <c r="AB165" s="15">
        <v>0.59899999999999998</v>
      </c>
      <c r="AC165" s="15">
        <v>0.621</v>
      </c>
      <c r="AD165" s="15">
        <v>0.42699999999999999</v>
      </c>
      <c r="AE165" s="14">
        <v>-0.46800000000000003</v>
      </c>
      <c r="AF165" s="15">
        <v>-0.61199999999999999</v>
      </c>
      <c r="AG165" s="15">
        <v>-0.32300000000000001</v>
      </c>
      <c r="AH165" s="15">
        <v>-0.98699999999999999</v>
      </c>
      <c r="AI165" s="15">
        <v>-0.78</v>
      </c>
      <c r="AJ165" s="9">
        <v>-1</v>
      </c>
      <c r="AK165" s="4">
        <v>-0.188</v>
      </c>
      <c r="AL165" s="4">
        <v>-0.44800000000000001</v>
      </c>
      <c r="AM165" s="4">
        <v>-0.497</v>
      </c>
      <c r="AN165" s="4">
        <v>0.129</v>
      </c>
      <c r="AO165" s="4">
        <v>0.29699999999999999</v>
      </c>
      <c r="AP165" s="4">
        <v>0.46600000000000003</v>
      </c>
      <c r="AQ165" s="4">
        <v>2.3E-2</v>
      </c>
      <c r="AR165" s="4">
        <v>0.159</v>
      </c>
      <c r="AS165" s="4">
        <v>0.16800000000000001</v>
      </c>
      <c r="AT165" s="4">
        <v>8.3000000000000004E-2</v>
      </c>
      <c r="AU165" s="4">
        <v>-0.29699999999999999</v>
      </c>
      <c r="AV165" s="4">
        <v>-2.1000000000000001E-2</v>
      </c>
      <c r="AW165" s="4">
        <v>-6.9000000000000006E-2</v>
      </c>
      <c r="AX165" s="4">
        <v>-0.26</v>
      </c>
      <c r="AY165" s="4">
        <v>0.51900000000000002</v>
      </c>
      <c r="AZ165" s="4">
        <v>-9.5000000000000001E-2</v>
      </c>
      <c r="BA165" s="4">
        <v>0.27300000000000002</v>
      </c>
      <c r="BB165" s="4">
        <v>4.1000000000000002E-2</v>
      </c>
      <c r="BC165" s="4">
        <v>-0.128</v>
      </c>
      <c r="BD165" s="4">
        <v>0.29899999999999999</v>
      </c>
      <c r="BE165" s="4">
        <v>-0.52900000000000003</v>
      </c>
      <c r="BF165" s="4">
        <v>-0.74099999999999999</v>
      </c>
      <c r="BG165" s="4">
        <v>0.19900000000000001</v>
      </c>
      <c r="BH165" s="4">
        <v>-0.11799999999999999</v>
      </c>
      <c r="BI165" s="4">
        <v>0.4</v>
      </c>
      <c r="BJ165" s="4">
        <v>-0.54200000000000004</v>
      </c>
      <c r="BK165" s="4">
        <v>-0.52700000000000002</v>
      </c>
    </row>
    <row r="166" spans="1:63" x14ac:dyDescent="0.3">
      <c r="A166" t="s">
        <v>140</v>
      </c>
      <c r="B166" s="53">
        <f t="shared" si="14"/>
        <v>0</v>
      </c>
      <c r="C166" s="53">
        <f t="shared" si="15"/>
        <v>-2.1999999999999999E-2</v>
      </c>
      <c r="D166" s="53">
        <f t="shared" si="16"/>
        <v>0</v>
      </c>
      <c r="E166" s="53">
        <v>2.1999999999999999E-2</v>
      </c>
      <c r="F166" s="15">
        <v>0.55600000000000005</v>
      </c>
      <c r="G166">
        <v>0.44900000000000001</v>
      </c>
      <c r="H166" t="s">
        <v>71</v>
      </c>
      <c r="I166" t="str">
        <f>VLOOKUP(A166,Planilha6!$BL$9:$BN$222,2,0)</f>
        <v>food</v>
      </c>
      <c r="J166" t="str">
        <f>VLOOKUP(A166,Planilha6!$BL$9:$BN$222,3,0)</f>
        <v>very_low_beta</v>
      </c>
      <c r="K166" s="2">
        <v>0</v>
      </c>
      <c r="L166" s="2">
        <v>-2.1999999999999999E-2</v>
      </c>
      <c r="M166" s="29">
        <v>2.1999999999999999E-2</v>
      </c>
      <c r="N166" s="47">
        <f>VLOOKUP(A166,'Mandato ISEE'!$A$1:$C$215,2,0)</f>
        <v>0</v>
      </c>
      <c r="O166" s="48">
        <f t="shared" si="17"/>
        <v>0</v>
      </c>
      <c r="P166" s="47">
        <f>VLOOKUP(A166,'Mandato ISEE'!$A$1:$C$215,3,0)</f>
        <v>0</v>
      </c>
      <c r="Q166" s="48">
        <f t="shared" si="18"/>
        <v>0</v>
      </c>
      <c r="R166" s="15">
        <v>-0.95299999999999996</v>
      </c>
      <c r="S166" s="15">
        <v>-0.84699999999999998</v>
      </c>
      <c r="T166" s="15">
        <v>-1</v>
      </c>
      <c r="U166" s="15">
        <v>-0.77</v>
      </c>
      <c r="V166" s="15">
        <v>-0.82299999999999995</v>
      </c>
      <c r="W166" s="15">
        <v>-0.82899999999999996</v>
      </c>
      <c r="X166" s="15">
        <v>-0.82499999999999996</v>
      </c>
      <c r="Y166" s="15">
        <v>-0.34399999999999997</v>
      </c>
      <c r="Z166" s="15">
        <v>0.373</v>
      </c>
      <c r="AA166" s="15">
        <v>0.371</v>
      </c>
      <c r="AB166" s="15">
        <v>0.47499999999999998</v>
      </c>
      <c r="AC166" s="15">
        <v>0.70499999999999996</v>
      </c>
      <c r="AD166" s="15">
        <v>0.246</v>
      </c>
      <c r="AE166" s="14">
        <v>-0.41299999999999998</v>
      </c>
      <c r="AF166" s="15">
        <v>-0.35599999999999998</v>
      </c>
      <c r="AG166" s="15">
        <v>-0.48199999999999998</v>
      </c>
      <c r="AH166" s="15">
        <v>-0.67900000000000005</v>
      </c>
      <c r="AI166" s="15">
        <v>-1</v>
      </c>
      <c r="AJ166" s="9">
        <v>-0.99</v>
      </c>
      <c r="AK166" s="4">
        <v>0.155</v>
      </c>
      <c r="AL166" s="4">
        <v>0.91400000000000003</v>
      </c>
      <c r="AM166" s="4">
        <v>-0.497</v>
      </c>
      <c r="AN166" s="4">
        <v>-0.32900000000000001</v>
      </c>
      <c r="AO166" s="4">
        <v>3.2000000000000001E-2</v>
      </c>
      <c r="AP166" s="4">
        <v>-0.314</v>
      </c>
      <c r="AQ166" s="4">
        <v>-0.17</v>
      </c>
      <c r="AR166" s="4">
        <v>-0.30499999999999999</v>
      </c>
      <c r="AS166" s="4">
        <v>-0.11600000000000001</v>
      </c>
      <c r="AT166" s="4">
        <v>0.16900000000000001</v>
      </c>
      <c r="AU166" s="4">
        <v>-0.46800000000000003</v>
      </c>
      <c r="AV166" s="4">
        <v>-0.312</v>
      </c>
      <c r="AW166" s="4">
        <v>6.0000000000000001E-3</v>
      </c>
      <c r="AX166" s="4">
        <v>-0.58199999999999996</v>
      </c>
      <c r="AY166" s="4">
        <v>0.76600000000000001</v>
      </c>
      <c r="AZ166" s="4">
        <v>-2.5999999999999999E-2</v>
      </c>
      <c r="BA166" s="4">
        <v>-0.36299999999999999</v>
      </c>
      <c r="BB166" s="4">
        <v>0.51300000000000001</v>
      </c>
      <c r="BC166" s="4">
        <v>0.02</v>
      </c>
      <c r="BD166" s="4">
        <v>7.3999999999999996E-2</v>
      </c>
      <c r="BE166" s="4">
        <v>-0.33</v>
      </c>
      <c r="BF166" s="4">
        <v>-0.32600000000000001</v>
      </c>
      <c r="BG166" s="4">
        <v>-0.77600000000000002</v>
      </c>
      <c r="BH166" s="4">
        <v>-0.82799999999999996</v>
      </c>
      <c r="BI166" s="4">
        <v>-0.77100000000000002</v>
      </c>
      <c r="BJ166" s="4">
        <v>-0.47599999999999998</v>
      </c>
      <c r="BK166" s="4">
        <v>-0.52200000000000002</v>
      </c>
    </row>
    <row r="167" spans="1:63" x14ac:dyDescent="0.3">
      <c r="A167" t="s">
        <v>169</v>
      </c>
      <c r="B167" s="53">
        <f t="shared" si="14"/>
        <v>0</v>
      </c>
      <c r="C167" s="53">
        <f t="shared" si="15"/>
        <v>-2E-3</v>
      </c>
      <c r="D167" s="53">
        <f t="shared" si="16"/>
        <v>0</v>
      </c>
      <c r="E167" s="53">
        <v>2E-3</v>
      </c>
      <c r="F167" s="15">
        <v>0.55300000000000005</v>
      </c>
      <c r="G167">
        <v>0.55200000000000005</v>
      </c>
      <c r="H167" t="s">
        <v>57</v>
      </c>
      <c r="I167" t="str">
        <f>VLOOKUP(A167,Planilha6!$BL$9:$BN$222,2,0)</f>
        <v>homebuilders</v>
      </c>
      <c r="J167" t="str">
        <f>VLOOKUP(A167,Planilha6!$BL$9:$BN$222,3,0)</f>
        <v>very_high_beta</v>
      </c>
      <c r="K167" s="2">
        <v>0</v>
      </c>
      <c r="L167" s="2">
        <v>-2E-3</v>
      </c>
      <c r="M167" s="29">
        <v>2E-3</v>
      </c>
      <c r="N167" s="47">
        <f>VLOOKUP(A167,'Mandato ISEE'!$A$1:$C$215,2,0)</f>
        <v>0</v>
      </c>
      <c r="O167" s="48">
        <f t="shared" si="17"/>
        <v>0</v>
      </c>
      <c r="P167" s="47">
        <f>VLOOKUP(A167,'Mandato ISEE'!$A$1:$C$215,3,0)</f>
        <v>0</v>
      </c>
      <c r="Q167" s="48">
        <f t="shared" si="18"/>
        <v>0</v>
      </c>
      <c r="R167" s="15">
        <v>-0.72399999999999998</v>
      </c>
      <c r="S167" s="15">
        <v>-0.65100000000000002</v>
      </c>
      <c r="T167" s="15">
        <v>-0.71699999999999997</v>
      </c>
      <c r="U167" s="15">
        <v>-0.76700000000000002</v>
      </c>
      <c r="V167" s="15">
        <v>-0.71499999999999997</v>
      </c>
      <c r="W167" s="15">
        <v>-0.71199999999999997</v>
      </c>
      <c r="X167" s="15">
        <v>-0.66600000000000004</v>
      </c>
      <c r="Y167" s="15">
        <v>-0.73099999999999998</v>
      </c>
      <c r="Z167" s="15">
        <v>0.24299999999999999</v>
      </c>
      <c r="AA167" s="15">
        <v>0.245</v>
      </c>
      <c r="AB167" s="15">
        <v>0.54300000000000004</v>
      </c>
      <c r="AC167" s="15">
        <v>0.65</v>
      </c>
      <c r="AD167" s="15">
        <v>0.23100000000000001</v>
      </c>
      <c r="AE167" s="14">
        <v>-0.97199999999999998</v>
      </c>
      <c r="AF167" s="15">
        <v>0.11</v>
      </c>
      <c r="AG167" s="15">
        <v>-0.499</v>
      </c>
      <c r="AH167" s="15">
        <v>-0.79700000000000004</v>
      </c>
      <c r="AI167" s="15">
        <v>-0.79200000000000004</v>
      </c>
      <c r="AJ167" s="9">
        <v>-0.54900000000000004</v>
      </c>
      <c r="AK167" s="4">
        <v>-0.27300000000000002</v>
      </c>
      <c r="AL167" s="4">
        <v>-0.59699999999999998</v>
      </c>
      <c r="AM167" s="4">
        <v>-0.38300000000000001</v>
      </c>
      <c r="AN167" s="4">
        <v>0.221</v>
      </c>
      <c r="AO167" s="4">
        <v>-0.115</v>
      </c>
      <c r="AP167" s="4">
        <v>0.153</v>
      </c>
      <c r="AQ167" s="4">
        <v>0.42</v>
      </c>
      <c r="AR167" s="4">
        <v>0.19500000000000001</v>
      </c>
      <c r="AS167" s="4">
        <v>-4.3999999999999997E-2</v>
      </c>
      <c r="AT167" s="4">
        <v>0.28499999999999998</v>
      </c>
      <c r="AU167" s="4">
        <v>-6.9000000000000006E-2</v>
      </c>
      <c r="AV167" s="4">
        <v>-0.63700000000000001</v>
      </c>
      <c r="AW167" s="4">
        <v>3.9E-2</v>
      </c>
      <c r="AX167" s="4">
        <v>-0.17799999999999999</v>
      </c>
      <c r="AY167" s="4">
        <v>0.75</v>
      </c>
      <c r="AZ167" s="4">
        <v>0.438</v>
      </c>
      <c r="BA167" s="4">
        <v>0.46700000000000003</v>
      </c>
      <c r="BB167" s="4">
        <v>-0.50700000000000001</v>
      </c>
      <c r="BC167" s="4">
        <v>-0.54600000000000004</v>
      </c>
      <c r="BD167" s="4">
        <v>-0.39200000000000002</v>
      </c>
      <c r="BE167" s="4">
        <v>0.436</v>
      </c>
      <c r="BF167" s="4">
        <v>0.157</v>
      </c>
      <c r="BG167" s="4">
        <v>-1.6E-2</v>
      </c>
      <c r="BH167" s="4">
        <v>-0.64900000000000002</v>
      </c>
      <c r="BI167" s="4">
        <v>0.99</v>
      </c>
      <c r="BJ167" s="4">
        <v>0.56799999999999995</v>
      </c>
      <c r="BK167" s="4">
        <v>-0.38700000000000001</v>
      </c>
    </row>
    <row r="168" spans="1:63" x14ac:dyDescent="0.3">
      <c r="A168" t="s">
        <v>213</v>
      </c>
      <c r="B168" s="53">
        <f t="shared" si="14"/>
        <v>0</v>
      </c>
      <c r="C168" s="53">
        <f t="shared" si="15"/>
        <v>0</v>
      </c>
      <c r="D168" s="53">
        <f t="shared" si="16"/>
        <v>0</v>
      </c>
      <c r="E168" s="53">
        <v>0</v>
      </c>
      <c r="F168" s="15">
        <v>0.55000000000000004</v>
      </c>
      <c r="G168">
        <v>0.57199999999999995</v>
      </c>
      <c r="H168" t="s">
        <v>57</v>
      </c>
      <c r="I168" t="str">
        <f>VLOOKUP(A168,Planilha6!$BL$9:$BN$222,2,0)</f>
        <v>tech</v>
      </c>
      <c r="J168" t="str">
        <f>VLOOKUP(A168,Planilha6!$BL$9:$BN$222,3,0)</f>
        <v>neutral_beta</v>
      </c>
      <c r="K168" s="2">
        <v>0</v>
      </c>
      <c r="L168" s="2">
        <v>0</v>
      </c>
      <c r="M168" s="29">
        <v>0</v>
      </c>
      <c r="N168" s="47">
        <f>VLOOKUP(A168,'Mandato ISEE'!$A$1:$C$215,2,0)</f>
        <v>0</v>
      </c>
      <c r="O168" s="48">
        <f t="shared" si="17"/>
        <v>0</v>
      </c>
      <c r="P168" s="47">
        <f>VLOOKUP(A168,'Mandato ISEE'!$A$1:$C$215,3,0)</f>
        <v>0</v>
      </c>
      <c r="Q168" s="48">
        <f t="shared" si="18"/>
        <v>0</v>
      </c>
      <c r="R168" s="15">
        <v>-0.76200000000000001</v>
      </c>
      <c r="S168" s="15">
        <v>-0.64400000000000002</v>
      </c>
      <c r="T168" s="15">
        <v>-0.85099999999999998</v>
      </c>
      <c r="U168" s="15">
        <v>-0.69199999999999995</v>
      </c>
      <c r="V168" s="15">
        <v>-0.70499999999999996</v>
      </c>
      <c r="W168" s="15">
        <v>-0.54800000000000004</v>
      </c>
      <c r="X168" s="15">
        <v>-0.121</v>
      </c>
      <c r="Y168" s="15">
        <v>-0.63900000000000001</v>
      </c>
      <c r="Z168" s="15">
        <v>0.11600000000000001</v>
      </c>
      <c r="AA168" s="15">
        <v>0.11899999999999999</v>
      </c>
      <c r="AB168" s="15">
        <v>0.35799999999999998</v>
      </c>
      <c r="AC168" s="15">
        <v>0.372</v>
      </c>
      <c r="AD168" s="15">
        <v>2.3E-2</v>
      </c>
      <c r="AE168" s="14">
        <v>-6.4000000000000001E-2</v>
      </c>
      <c r="AF168" s="15">
        <v>-0.44800000000000001</v>
      </c>
      <c r="AG168" s="15">
        <v>-1</v>
      </c>
      <c r="AH168" s="15">
        <v>-0.93500000000000005</v>
      </c>
      <c r="AI168" s="15">
        <v>-1</v>
      </c>
      <c r="AJ168" s="9">
        <v>-0.128</v>
      </c>
      <c r="AK168" s="4">
        <v>-0.41399999999999998</v>
      </c>
      <c r="AL168" s="4">
        <v>-0.754</v>
      </c>
      <c r="AM168" s="4">
        <v>-0.94799999999999995</v>
      </c>
      <c r="AN168" s="4">
        <v>0.41899999999999998</v>
      </c>
      <c r="AO168" s="4">
        <v>-0.68700000000000006</v>
      </c>
      <c r="AP168" s="4">
        <v>-0.83599999999999997</v>
      </c>
      <c r="AQ168" s="4">
        <v>0.40699999999999997</v>
      </c>
      <c r="AR168" s="4">
        <v>0.23200000000000001</v>
      </c>
      <c r="AS168" s="4">
        <v>1.4E-2</v>
      </c>
      <c r="AT168" s="4">
        <v>0.495</v>
      </c>
      <c r="AU168" s="4">
        <v>0.25800000000000001</v>
      </c>
      <c r="AV168" s="4">
        <v>0.69199999999999995</v>
      </c>
      <c r="AW168" s="4">
        <v>0.26300000000000001</v>
      </c>
      <c r="AX168" s="4">
        <v>7.0999999999999994E-2</v>
      </c>
      <c r="AY168" s="4">
        <v>0.90700000000000003</v>
      </c>
      <c r="AZ168" s="4">
        <v>4.0000000000000001E-3</v>
      </c>
      <c r="BA168" s="4">
        <v>0.442</v>
      </c>
      <c r="BB168" s="4">
        <v>-0.219</v>
      </c>
      <c r="BC168" s="4">
        <v>-0.436</v>
      </c>
      <c r="BD168" s="4">
        <v>9.7000000000000003E-2</v>
      </c>
      <c r="BE168" s="4">
        <v>0.314</v>
      </c>
      <c r="BF168" s="4">
        <v>0.16400000000000001</v>
      </c>
      <c r="BG168" s="4">
        <v>0.82199999999999995</v>
      </c>
      <c r="BH168" s="4">
        <v>-0.33900000000000002</v>
      </c>
      <c r="BI168" s="4">
        <v>-0.121</v>
      </c>
      <c r="BJ168" s="4">
        <v>-0.26300000000000001</v>
      </c>
      <c r="BK168" s="4">
        <v>-0.63</v>
      </c>
    </row>
    <row r="169" spans="1:63" x14ac:dyDescent="0.3">
      <c r="A169" t="s">
        <v>183</v>
      </c>
      <c r="B169" s="53">
        <f t="shared" si="14"/>
        <v>0</v>
      </c>
      <c r="C169" s="53">
        <f t="shared" si="15"/>
        <v>0</v>
      </c>
      <c r="D169" s="53">
        <f t="shared" si="16"/>
        <v>0</v>
      </c>
      <c r="E169" s="53">
        <v>0</v>
      </c>
      <c r="F169" s="15">
        <v>0.54900000000000004</v>
      </c>
      <c r="G169">
        <v>0.625</v>
      </c>
      <c r="H169" t="s">
        <v>68</v>
      </c>
      <c r="I169" t="str">
        <f>VLOOKUP(A169,Planilha6!$BL$9:$BN$222,2,0)</f>
        <v>capital_goods</v>
      </c>
      <c r="J169" t="str">
        <f>VLOOKUP(A169,Planilha6!$BL$9:$BN$222,3,0)</f>
        <v>low_beta</v>
      </c>
      <c r="K169" s="2">
        <v>0</v>
      </c>
      <c r="L169" s="2">
        <v>0</v>
      </c>
      <c r="M169" s="29">
        <v>0</v>
      </c>
      <c r="N169" s="47">
        <f>VLOOKUP(A169,'Mandato ISEE'!$A$1:$C$215,2,0)</f>
        <v>0</v>
      </c>
      <c r="O169" s="48">
        <f t="shared" si="17"/>
        <v>0</v>
      </c>
      <c r="P169" s="47">
        <f>VLOOKUP(A169,'Mandato ISEE'!$A$1:$C$215,3,0)</f>
        <v>0</v>
      </c>
      <c r="Q169" s="48">
        <f t="shared" si="18"/>
        <v>0</v>
      </c>
      <c r="R169" s="15">
        <v>-0.77</v>
      </c>
      <c r="S169" s="15">
        <v>-0.66600000000000004</v>
      </c>
      <c r="T169" s="15">
        <v>-0.86199999999999999</v>
      </c>
      <c r="U169" s="15">
        <v>-0.78900000000000003</v>
      </c>
      <c r="V169" s="15">
        <v>-0.76400000000000001</v>
      </c>
      <c r="W169" s="15">
        <v>-0.67500000000000004</v>
      </c>
      <c r="X169" s="15">
        <v>-0.58199999999999996</v>
      </c>
      <c r="Y169" s="15">
        <v>-0.71399999999999997</v>
      </c>
      <c r="Z169" s="15">
        <v>0.16300000000000001</v>
      </c>
      <c r="AA169" s="15">
        <v>0.16500000000000001</v>
      </c>
      <c r="AB169" s="15">
        <v>0.45400000000000001</v>
      </c>
      <c r="AC169" s="15">
        <v>0.47499999999999998</v>
      </c>
      <c r="AD169" s="15">
        <v>0.30199999999999999</v>
      </c>
      <c r="AE169" s="14">
        <v>-0.50900000000000001</v>
      </c>
      <c r="AF169" s="15">
        <v>-0.55600000000000005</v>
      </c>
      <c r="AG169" s="15">
        <v>-0.75600000000000001</v>
      </c>
      <c r="AH169" s="15">
        <v>-0.81699999999999995</v>
      </c>
      <c r="AI169" s="15">
        <v>-0.68700000000000006</v>
      </c>
      <c r="AJ169" s="9">
        <v>-0.90600000000000003</v>
      </c>
      <c r="AK169" s="4">
        <v>-7.9000000000000001E-2</v>
      </c>
      <c r="AL169" s="4">
        <v>-0.74099999999999999</v>
      </c>
      <c r="AM169" s="4">
        <v>-0.69399999999999995</v>
      </c>
      <c r="AN169" s="4">
        <v>0.23100000000000001</v>
      </c>
      <c r="AO169" s="4">
        <v>-0.314</v>
      </c>
      <c r="AP169" s="4">
        <v>-6.3E-2</v>
      </c>
      <c r="AQ169" s="4">
        <v>0.14299999999999999</v>
      </c>
      <c r="AR169" s="4">
        <v>8.2000000000000003E-2</v>
      </c>
      <c r="AS169" s="4">
        <v>-0.27</v>
      </c>
      <c r="AT169" s="4">
        <v>0.48899999999999999</v>
      </c>
      <c r="AU169" s="4">
        <v>-0.434</v>
      </c>
      <c r="AV169" s="4">
        <v>-8.7999999999999995E-2</v>
      </c>
      <c r="AW169" s="4">
        <v>0.32900000000000001</v>
      </c>
      <c r="AX169" s="4">
        <v>4.3999999999999997E-2</v>
      </c>
      <c r="AY169" s="4">
        <v>0.95199999999999996</v>
      </c>
      <c r="AZ169" s="4">
        <v>0.34</v>
      </c>
      <c r="BA169" s="4">
        <v>0.63</v>
      </c>
      <c r="BB169" s="4">
        <v>-0.315</v>
      </c>
      <c r="BC169" s="4">
        <v>8.9999999999999993E-3</v>
      </c>
      <c r="BD169" s="4">
        <v>-1.2E-2</v>
      </c>
      <c r="BE169" s="4">
        <v>0.54400000000000004</v>
      </c>
      <c r="BF169" s="4">
        <v>-0.51800000000000002</v>
      </c>
      <c r="BG169" s="4">
        <v>0.58099999999999996</v>
      </c>
      <c r="BH169" s="4">
        <v>-0.43099999999999999</v>
      </c>
      <c r="BI169" s="4">
        <v>0.129</v>
      </c>
      <c r="BJ169" s="4">
        <v>8.2000000000000003E-2</v>
      </c>
      <c r="BK169" s="4">
        <v>-0.34</v>
      </c>
    </row>
    <row r="170" spans="1:63" x14ac:dyDescent="0.3">
      <c r="A170" t="s">
        <v>228</v>
      </c>
      <c r="B170" s="53">
        <f t="shared" si="14"/>
        <v>0</v>
      </c>
      <c r="C170" s="53">
        <f t="shared" si="15"/>
        <v>0</v>
      </c>
      <c r="D170" s="53">
        <f t="shared" si="16"/>
        <v>0</v>
      </c>
      <c r="E170" s="53">
        <v>0</v>
      </c>
      <c r="F170" s="15">
        <v>0.54800000000000004</v>
      </c>
      <c r="G170">
        <v>0.42899999999999999</v>
      </c>
      <c r="H170" t="s">
        <v>57</v>
      </c>
      <c r="I170" t="str">
        <f>VLOOKUP(A170,Planilha6!$BL$9:$BN$222,2,0)</f>
        <v>consumer_durables</v>
      </c>
      <c r="J170" t="str">
        <f>VLOOKUP(A170,Planilha6!$BL$9:$BN$222,3,0)</f>
        <v>high_beta</v>
      </c>
      <c r="K170" s="2">
        <v>0</v>
      </c>
      <c r="L170" s="2">
        <v>0</v>
      </c>
      <c r="M170" s="29">
        <v>0</v>
      </c>
      <c r="N170" s="47">
        <f>VLOOKUP(A170,'Mandato ISEE'!$A$1:$C$215,2,0)</f>
        <v>0</v>
      </c>
      <c r="O170" s="48">
        <f t="shared" si="17"/>
        <v>0</v>
      </c>
      <c r="P170" s="47">
        <f>VLOOKUP(A170,'Mandato ISEE'!$A$1:$C$215,3,0)</f>
        <v>0</v>
      </c>
      <c r="Q170" s="48">
        <f t="shared" si="18"/>
        <v>0</v>
      </c>
      <c r="R170" s="15">
        <v>-0.55400000000000005</v>
      </c>
      <c r="S170" s="15">
        <v>-0.71</v>
      </c>
      <c r="T170" s="15">
        <v>-0.23</v>
      </c>
      <c r="U170" s="15">
        <v>-0.76200000000000001</v>
      </c>
      <c r="V170" s="15">
        <v>-0.68100000000000005</v>
      </c>
      <c r="W170" s="15">
        <v>-0.746</v>
      </c>
      <c r="X170" s="15">
        <v>-0.75800000000000001</v>
      </c>
      <c r="Y170" s="15">
        <v>-0.81100000000000005</v>
      </c>
      <c r="Z170" s="15">
        <v>-0.17299999999999999</v>
      </c>
      <c r="AA170" s="15">
        <v>-0.17100000000000001</v>
      </c>
      <c r="AB170" s="15">
        <v>0.59099999999999997</v>
      </c>
      <c r="AC170" s="15">
        <v>0.63900000000000001</v>
      </c>
      <c r="AD170" s="15">
        <v>0.19700000000000001</v>
      </c>
      <c r="AE170" s="14">
        <v>-0.94</v>
      </c>
      <c r="AF170" s="15">
        <v>-0.13</v>
      </c>
      <c r="AG170" s="15">
        <v>-0.13800000000000001</v>
      </c>
      <c r="AH170" s="15">
        <v>0.14599999999999999</v>
      </c>
      <c r="AI170" s="15">
        <v>0.35199999999999998</v>
      </c>
      <c r="AJ170" s="9">
        <v>0.21199999999999999</v>
      </c>
      <c r="AK170" s="4">
        <v>0.17599999999999999</v>
      </c>
      <c r="AL170" s="4">
        <v>-0.71699999999999997</v>
      </c>
      <c r="AM170" s="4">
        <v>-0.67600000000000005</v>
      </c>
      <c r="AN170" s="4">
        <v>-5.6000000000000001E-2</v>
      </c>
      <c r="AO170" s="4">
        <v>-0.17599999999999999</v>
      </c>
      <c r="AP170" s="4">
        <v>-0.186</v>
      </c>
      <c r="AQ170" s="4">
        <v>1.7000000000000001E-2</v>
      </c>
      <c r="AR170" s="4">
        <v>0.114</v>
      </c>
      <c r="AS170" s="4">
        <v>4.8000000000000001E-2</v>
      </c>
      <c r="AT170" s="4">
        <v>0.217</v>
      </c>
      <c r="AU170" s="4">
        <v>-0.158</v>
      </c>
      <c r="AV170" s="4">
        <v>-0.61099999999999999</v>
      </c>
      <c r="AW170" s="4">
        <v>-0.29599999999999999</v>
      </c>
      <c r="AX170" s="4">
        <v>0.44600000000000001</v>
      </c>
      <c r="AY170" s="4">
        <v>7.4999999999999997E-2</v>
      </c>
      <c r="AZ170" s="4">
        <v>6.3E-2</v>
      </c>
      <c r="BA170" s="4">
        <v>-0.154</v>
      </c>
      <c r="BB170" s="4">
        <v>0.307</v>
      </c>
      <c r="BC170" s="4">
        <v>0.63800000000000001</v>
      </c>
      <c r="BD170" s="4">
        <v>-0.89500000000000002</v>
      </c>
      <c r="BE170" s="4">
        <v>-0.83799999999999997</v>
      </c>
      <c r="BF170" s="4">
        <v>-0.71399999999999997</v>
      </c>
      <c r="BG170" s="4">
        <v>0.17699999999999999</v>
      </c>
      <c r="BH170" s="4">
        <v>0.30399999999999999</v>
      </c>
      <c r="BI170" s="4">
        <v>-3.5000000000000003E-2</v>
      </c>
      <c r="BJ170" s="4">
        <v>0.29099999999999998</v>
      </c>
      <c r="BK170" s="4">
        <v>0.34100000000000003</v>
      </c>
    </row>
    <row r="171" spans="1:63" x14ac:dyDescent="0.3">
      <c r="A171" t="s">
        <v>219</v>
      </c>
      <c r="B171" s="53">
        <f t="shared" si="14"/>
        <v>0</v>
      </c>
      <c r="C171" s="53">
        <f t="shared" si="15"/>
        <v>0</v>
      </c>
      <c r="D171" s="53">
        <f t="shared" si="16"/>
        <v>0</v>
      </c>
      <c r="E171" s="53">
        <v>0</v>
      </c>
      <c r="F171" s="15">
        <v>0.54800000000000004</v>
      </c>
      <c r="G171">
        <v>0.49399999999999999</v>
      </c>
      <c r="H171" t="s">
        <v>57</v>
      </c>
      <c r="I171" t="str">
        <f>VLOOKUP(A171,Planilha6!$BL$9:$BN$222,2,0)</f>
        <v>banks</v>
      </c>
      <c r="J171" t="str">
        <f>VLOOKUP(A171,Planilha6!$BL$9:$BN$222,3,0)</f>
        <v>neutral_beta</v>
      </c>
      <c r="K171" s="2">
        <v>0</v>
      </c>
      <c r="L171" s="2">
        <v>0</v>
      </c>
      <c r="M171" s="29">
        <v>0</v>
      </c>
      <c r="N171" s="47">
        <f>VLOOKUP(A171,'Mandato ISEE'!$A$1:$C$215,2,0)</f>
        <v>0</v>
      </c>
      <c r="O171" s="48">
        <f t="shared" si="17"/>
        <v>0</v>
      </c>
      <c r="P171" s="47">
        <f>VLOOKUP(A171,'Mandato ISEE'!$A$1:$C$215,3,0)</f>
        <v>0</v>
      </c>
      <c r="Q171" s="48">
        <f t="shared" si="18"/>
        <v>0</v>
      </c>
      <c r="R171" s="15">
        <v>-0.69099999999999995</v>
      </c>
      <c r="S171" s="15">
        <v>-0.65100000000000002</v>
      </c>
      <c r="T171" s="15">
        <v>-0.78500000000000003</v>
      </c>
      <c r="U171" s="15">
        <v>-0.67800000000000005</v>
      </c>
      <c r="V171" s="15">
        <v>-0.69799999999999995</v>
      </c>
      <c r="W171" s="15">
        <v>-0.58399999999999996</v>
      </c>
      <c r="X171" s="15">
        <v>-0.43</v>
      </c>
      <c r="Y171" s="15">
        <v>-0.752</v>
      </c>
      <c r="Z171" s="15">
        <v>0.127</v>
      </c>
      <c r="AA171" s="15">
        <v>0.126</v>
      </c>
      <c r="AB171" s="15">
        <v>0.46300000000000002</v>
      </c>
      <c r="AC171" s="15">
        <v>0.377</v>
      </c>
      <c r="AD171" s="15">
        <v>0.112</v>
      </c>
      <c r="AE171" s="14">
        <v>-0.36399999999999999</v>
      </c>
      <c r="AF171" s="15">
        <v>0.26100000000000001</v>
      </c>
      <c r="AG171" s="15">
        <v>-0.82899999999999996</v>
      </c>
      <c r="AH171" s="15">
        <v>-0.878</v>
      </c>
      <c r="AI171" s="15">
        <v>-0.95099999999999996</v>
      </c>
      <c r="AJ171" s="9">
        <v>-0.313</v>
      </c>
      <c r="AK171" s="4">
        <v>-0.26200000000000001</v>
      </c>
      <c r="AL171" s="4">
        <v>-0.87</v>
      </c>
      <c r="AM171" s="4">
        <v>-0.44800000000000001</v>
      </c>
      <c r="AN171" s="4">
        <v>0.504</v>
      </c>
      <c r="AO171" s="4">
        <v>-0.42399999999999999</v>
      </c>
      <c r="AP171" s="4">
        <v>-0.246</v>
      </c>
      <c r="AQ171" s="4">
        <v>0.77800000000000002</v>
      </c>
      <c r="AR171" s="4">
        <v>0.14599999999999999</v>
      </c>
      <c r="AS171" s="4">
        <v>0.161</v>
      </c>
      <c r="AT171" s="4">
        <v>5.3999999999999999E-2</v>
      </c>
      <c r="AU171" s="4">
        <v>7.8E-2</v>
      </c>
      <c r="AV171" s="4">
        <v>0.2</v>
      </c>
      <c r="AW171" s="4">
        <v>-0.21</v>
      </c>
      <c r="AX171" s="4">
        <v>-0.32400000000000001</v>
      </c>
      <c r="AY171" s="4">
        <v>0.85899999999999999</v>
      </c>
      <c r="AZ171" s="4">
        <v>0.28799999999999998</v>
      </c>
      <c r="BA171" s="4">
        <v>0.873</v>
      </c>
      <c r="BB171" s="4">
        <v>-0.625</v>
      </c>
      <c r="BC171" s="4">
        <v>-0.33800000000000002</v>
      </c>
      <c r="BD171" s="4">
        <v>-3.5000000000000003E-2</v>
      </c>
      <c r="BE171" s="4">
        <v>0.47299999999999998</v>
      </c>
      <c r="BF171" s="4">
        <v>4.2999999999999997E-2</v>
      </c>
      <c r="BG171" s="4">
        <v>0.61899999999999999</v>
      </c>
      <c r="BH171" s="4">
        <v>-0.69899999999999995</v>
      </c>
      <c r="BI171" s="4">
        <v>2.5999999999999999E-2</v>
      </c>
      <c r="BJ171" s="4">
        <v>-2.1999999999999999E-2</v>
      </c>
      <c r="BK171" s="4">
        <v>0.08</v>
      </c>
    </row>
    <row r="172" spans="1:63" x14ac:dyDescent="0.3">
      <c r="A172" t="s">
        <v>225</v>
      </c>
      <c r="B172" s="53">
        <f t="shared" si="14"/>
        <v>0</v>
      </c>
      <c r="C172" s="53">
        <f t="shared" si="15"/>
        <v>-3.0000000000000001E-3</v>
      </c>
      <c r="D172" s="53">
        <f t="shared" si="16"/>
        <v>0</v>
      </c>
      <c r="E172" s="53">
        <v>3.0000000000000001E-3</v>
      </c>
      <c r="F172" s="15">
        <v>0.54700000000000004</v>
      </c>
      <c r="G172">
        <v>0.41699999999999998</v>
      </c>
      <c r="H172" t="s">
        <v>71</v>
      </c>
      <c r="I172" t="str">
        <f>VLOOKUP(A172,Planilha6!$BL$9:$BN$222,2,0)</f>
        <v>food</v>
      </c>
      <c r="J172" t="str">
        <f>VLOOKUP(A172,Planilha6!$BL$9:$BN$222,3,0)</f>
        <v>high_beta</v>
      </c>
      <c r="K172" s="2">
        <v>0</v>
      </c>
      <c r="L172" s="2">
        <v>-3.0000000000000001E-3</v>
      </c>
      <c r="M172" s="29">
        <v>3.0000000000000001E-3</v>
      </c>
      <c r="N172" s="47">
        <f>VLOOKUP(A172,'Mandato ISEE'!$A$1:$C$215,2,0)</f>
        <v>0</v>
      </c>
      <c r="O172" s="48">
        <f t="shared" si="17"/>
        <v>0</v>
      </c>
      <c r="P172" s="47">
        <f>VLOOKUP(A172,'Mandato ISEE'!$A$1:$C$215,3,0)</f>
        <v>0</v>
      </c>
      <c r="Q172" s="48">
        <f t="shared" si="18"/>
        <v>0</v>
      </c>
      <c r="R172" s="15">
        <v>-0.68100000000000005</v>
      </c>
      <c r="S172" s="15">
        <v>-0.80700000000000005</v>
      </c>
      <c r="T172" s="15">
        <v>-0.80600000000000005</v>
      </c>
      <c r="U172" s="15">
        <v>-0.57299999999999995</v>
      </c>
      <c r="V172" s="15">
        <v>-0.753</v>
      </c>
      <c r="W172" s="15">
        <v>-0.61899999999999999</v>
      </c>
      <c r="X172" s="15">
        <v>-0.66</v>
      </c>
      <c r="Y172" s="15">
        <v>-0.77100000000000002</v>
      </c>
      <c r="Z172" s="15">
        <v>9.1999999999999998E-2</v>
      </c>
      <c r="AA172" s="15">
        <v>9.5000000000000001E-2</v>
      </c>
      <c r="AB172" s="15">
        <v>0.46600000000000003</v>
      </c>
      <c r="AC172" s="15">
        <v>0.628</v>
      </c>
      <c r="AD172" s="15">
        <v>0.21299999999999999</v>
      </c>
      <c r="AE172" s="14">
        <v>0.14699999999999999</v>
      </c>
      <c r="AF172" s="15">
        <v>0.23499999999999999</v>
      </c>
      <c r="AG172" s="15">
        <v>-0.68300000000000005</v>
      </c>
      <c r="AH172" s="15">
        <v>0.35199999999999998</v>
      </c>
      <c r="AI172" s="15">
        <v>-0.90300000000000002</v>
      </c>
      <c r="AJ172" s="9">
        <v>-0.75600000000000001</v>
      </c>
      <c r="AK172" s="4">
        <v>1</v>
      </c>
      <c r="AL172" s="4">
        <v>-0.51300000000000001</v>
      </c>
      <c r="AM172" s="4">
        <v>-0.30199999999999999</v>
      </c>
      <c r="AN172" s="4">
        <v>0.30099999999999999</v>
      </c>
      <c r="AO172" s="4">
        <v>-0.95599999999999996</v>
      </c>
      <c r="AP172" s="4">
        <v>-0.80700000000000005</v>
      </c>
      <c r="AQ172" s="4">
        <v>-8.9999999999999993E-3</v>
      </c>
      <c r="AR172" s="4">
        <v>0.47599999999999998</v>
      </c>
      <c r="AS172" s="4">
        <v>0.437</v>
      </c>
      <c r="AT172" s="4">
        <v>0.63200000000000001</v>
      </c>
      <c r="AU172" s="4">
        <v>-0.41</v>
      </c>
      <c r="AV172" s="4">
        <v>-0.11700000000000001</v>
      </c>
      <c r="AW172" s="4">
        <v>0.191</v>
      </c>
      <c r="AX172" s="4">
        <v>-0.29199999999999998</v>
      </c>
      <c r="AY172" s="4">
        <v>-9.2999999999999999E-2</v>
      </c>
      <c r="AZ172" s="4">
        <v>-0.55600000000000005</v>
      </c>
      <c r="BA172" s="4">
        <v>-0.25600000000000001</v>
      </c>
      <c r="BB172" s="4">
        <v>-0.24299999999999999</v>
      </c>
      <c r="BC172" s="4">
        <v>0.34100000000000003</v>
      </c>
      <c r="BD172" s="4">
        <v>-0.14399999999999999</v>
      </c>
      <c r="BE172" s="4">
        <v>0.61499999999999999</v>
      </c>
      <c r="BF172" s="4">
        <v>0.57999999999999996</v>
      </c>
      <c r="BG172" s="4">
        <v>3.3000000000000002E-2</v>
      </c>
      <c r="BH172" s="4">
        <v>0.27300000000000002</v>
      </c>
      <c r="BI172" s="4">
        <v>-0.127</v>
      </c>
      <c r="BJ172" s="4">
        <v>-0.70199999999999996</v>
      </c>
      <c r="BK172" s="4">
        <v>0.22</v>
      </c>
    </row>
    <row r="173" spans="1:63" x14ac:dyDescent="0.3">
      <c r="A173" t="s">
        <v>217</v>
      </c>
      <c r="B173" s="53">
        <f t="shared" si="14"/>
        <v>0</v>
      </c>
      <c r="C173" s="53">
        <f t="shared" si="15"/>
        <v>0</v>
      </c>
      <c r="D173" s="53">
        <f t="shared" si="16"/>
        <v>0</v>
      </c>
      <c r="E173" s="53">
        <v>0</v>
      </c>
      <c r="F173" s="15">
        <v>0.54500000000000004</v>
      </c>
      <c r="G173">
        <v>0.496</v>
      </c>
      <c r="H173" t="s">
        <v>57</v>
      </c>
      <c r="I173" t="str">
        <f>VLOOKUP(A173,Planilha6!$BL$9:$BN$222,2,0)</f>
        <v>consumer_services</v>
      </c>
      <c r="J173" t="str">
        <f>VLOOKUP(A173,Planilha6!$BL$9:$BN$222,3,0)</f>
        <v>very_high_beta</v>
      </c>
      <c r="K173" s="2">
        <v>0</v>
      </c>
      <c r="L173" s="2">
        <v>0</v>
      </c>
      <c r="M173" s="29">
        <v>0</v>
      </c>
      <c r="N173" s="47">
        <f>VLOOKUP(A173,'Mandato ISEE'!$A$1:$C$215,2,0)</f>
        <v>0</v>
      </c>
      <c r="O173" s="48">
        <f t="shared" si="17"/>
        <v>0</v>
      </c>
      <c r="P173" s="47">
        <f>VLOOKUP(A173,'Mandato ISEE'!$A$1:$C$215,3,0)</f>
        <v>0</v>
      </c>
      <c r="Q173" s="48">
        <f t="shared" si="18"/>
        <v>0</v>
      </c>
      <c r="R173" s="15">
        <v>-0.79</v>
      </c>
      <c r="S173" s="15">
        <v>-0.71399999999999997</v>
      </c>
      <c r="T173" s="15">
        <v>-0.84899999999999998</v>
      </c>
      <c r="U173" s="15">
        <v>-0.82399999999999995</v>
      </c>
      <c r="V173" s="15">
        <v>-0.80400000000000005</v>
      </c>
      <c r="W173" s="15">
        <v>-0.79900000000000004</v>
      </c>
      <c r="X173" s="15">
        <v>-0.78100000000000003</v>
      </c>
      <c r="Y173" s="15">
        <v>-0.81</v>
      </c>
      <c r="Z173" s="15">
        <v>8.4000000000000005E-2</v>
      </c>
      <c r="AA173" s="15">
        <v>8.8999999999999996E-2</v>
      </c>
      <c r="AB173" s="15">
        <v>0.65300000000000002</v>
      </c>
      <c r="AC173" s="15">
        <v>0.72</v>
      </c>
      <c r="AD173" s="15">
        <v>0.439</v>
      </c>
      <c r="AE173" s="14">
        <v>-1</v>
      </c>
      <c r="AF173" s="15">
        <v>-0.34699999999999998</v>
      </c>
      <c r="AG173" s="15">
        <v>-0.182</v>
      </c>
      <c r="AH173" s="15">
        <v>-0.999</v>
      </c>
      <c r="AI173" s="15">
        <v>-0.65200000000000002</v>
      </c>
      <c r="AJ173" s="9">
        <v>-0.96799999999999997</v>
      </c>
      <c r="AK173" s="4">
        <v>-0.188</v>
      </c>
      <c r="AL173" s="4">
        <v>-0.622</v>
      </c>
      <c r="AM173" s="4">
        <v>-0.497</v>
      </c>
      <c r="AN173" s="4">
        <v>-3.6999999999999998E-2</v>
      </c>
      <c r="AO173" s="4">
        <v>8.6999999999999994E-2</v>
      </c>
      <c r="AP173" s="4">
        <v>0.41699999999999998</v>
      </c>
      <c r="AQ173" s="4">
        <v>6.6000000000000003E-2</v>
      </c>
      <c r="AR173" s="4">
        <v>0.14399999999999999</v>
      </c>
      <c r="AS173" s="4">
        <v>0.124</v>
      </c>
      <c r="AT173" s="4">
        <v>0.17599999999999999</v>
      </c>
      <c r="AU173" s="4">
        <v>-0.29699999999999999</v>
      </c>
      <c r="AV173" s="4">
        <v>-0.88200000000000001</v>
      </c>
      <c r="AW173" s="4">
        <v>-0.188</v>
      </c>
      <c r="AX173" s="4">
        <v>-0.255</v>
      </c>
      <c r="AY173" s="4">
        <v>0.72599999999999998</v>
      </c>
      <c r="AZ173" s="4">
        <v>-1.4E-2</v>
      </c>
      <c r="BA173" s="4">
        <v>0.46700000000000003</v>
      </c>
      <c r="BB173" s="4">
        <v>-0.16900000000000001</v>
      </c>
      <c r="BC173" s="4">
        <v>-0.127</v>
      </c>
      <c r="BD173" s="4">
        <v>0.188</v>
      </c>
      <c r="BE173" s="4">
        <v>-0.58099999999999996</v>
      </c>
      <c r="BF173" s="4">
        <v>-0.84899999999999998</v>
      </c>
      <c r="BG173" s="4">
        <v>0</v>
      </c>
      <c r="BH173" s="4">
        <v>-0.109</v>
      </c>
      <c r="BI173" s="4">
        <v>0.497</v>
      </c>
      <c r="BJ173" s="4">
        <v>0.60499999999999998</v>
      </c>
      <c r="BK173" s="4">
        <v>-0.52700000000000002</v>
      </c>
    </row>
    <row r="174" spans="1:63" x14ac:dyDescent="0.3">
      <c r="A174" t="s">
        <v>189</v>
      </c>
      <c r="B174" s="53">
        <f t="shared" si="14"/>
        <v>0</v>
      </c>
      <c r="C174" s="53">
        <f t="shared" si="15"/>
        <v>0</v>
      </c>
      <c r="D174" s="53">
        <f t="shared" si="16"/>
        <v>0</v>
      </c>
      <c r="E174" s="53">
        <v>0</v>
      </c>
      <c r="F174" s="15">
        <v>0.54500000000000004</v>
      </c>
      <c r="G174">
        <v>0.63700000000000001</v>
      </c>
      <c r="H174" t="s">
        <v>68</v>
      </c>
      <c r="I174" t="str">
        <f>VLOOKUP(A174,Planilha6!$BL$9:$BN$222,2,0)</f>
        <v>capital_goods</v>
      </c>
      <c r="J174" t="str">
        <f>VLOOKUP(A174,Planilha6!$BL$9:$BN$222,3,0)</f>
        <v>neutral_beta</v>
      </c>
      <c r="K174" s="2">
        <v>0</v>
      </c>
      <c r="L174" s="2">
        <v>0</v>
      </c>
      <c r="M174" s="29">
        <v>0</v>
      </c>
      <c r="N174" s="47">
        <f>VLOOKUP(A174,'Mandato ISEE'!$A$1:$C$215,2,0)</f>
        <v>0</v>
      </c>
      <c r="O174" s="48">
        <f t="shared" si="17"/>
        <v>0</v>
      </c>
      <c r="P174" s="47">
        <f>VLOOKUP(A174,'Mandato ISEE'!$A$1:$C$215,3,0)</f>
        <v>0</v>
      </c>
      <c r="Q174" s="48">
        <f t="shared" si="18"/>
        <v>0</v>
      </c>
      <c r="R174" s="15">
        <v>-0.88600000000000001</v>
      </c>
      <c r="S174" s="15">
        <v>-0.71799999999999997</v>
      </c>
      <c r="T174" s="15">
        <v>-0.80400000000000005</v>
      </c>
      <c r="U174" s="15">
        <v>-0.82899999999999996</v>
      </c>
      <c r="V174" s="15">
        <v>-0.73599999999999999</v>
      </c>
      <c r="W174" s="15">
        <v>-0.72599999999999998</v>
      </c>
      <c r="X174" s="15">
        <v>-0.48699999999999999</v>
      </c>
      <c r="Y174" s="15">
        <v>-0.626</v>
      </c>
      <c r="Z174" s="15">
        <v>0.35699999999999998</v>
      </c>
      <c r="AA174" s="15">
        <v>0.35899999999999999</v>
      </c>
      <c r="AB174" s="15">
        <v>0.41799999999999998</v>
      </c>
      <c r="AC174" s="15">
        <v>0.34</v>
      </c>
      <c r="AD174" s="15">
        <v>0.13900000000000001</v>
      </c>
      <c r="AE174" s="14">
        <v>-0.67400000000000004</v>
      </c>
      <c r="AF174" s="15">
        <v>-0.33100000000000002</v>
      </c>
      <c r="AG174" s="15">
        <v>-0.92700000000000005</v>
      </c>
      <c r="AH174" s="15">
        <v>-0.67300000000000004</v>
      </c>
      <c r="AI174" s="15">
        <v>-0.88500000000000001</v>
      </c>
      <c r="AJ174" s="9">
        <v>-0.113</v>
      </c>
      <c r="AK174" s="4">
        <v>-0.32200000000000001</v>
      </c>
      <c r="AL174" s="4">
        <v>-0.56599999999999995</v>
      </c>
      <c r="AM174" s="4">
        <v>-0.64500000000000002</v>
      </c>
      <c r="AN174" s="4">
        <v>0.13900000000000001</v>
      </c>
      <c r="AO174" s="4">
        <v>-0.38500000000000001</v>
      </c>
      <c r="AP174" s="4">
        <v>-0.48299999999999998</v>
      </c>
      <c r="AQ174" s="4">
        <v>0.439</v>
      </c>
      <c r="AR174" s="4">
        <v>-0.497</v>
      </c>
      <c r="AS174" s="4">
        <v>-0.57599999999999996</v>
      </c>
      <c r="AT174" s="4">
        <v>0.317</v>
      </c>
      <c r="AU174" s="4">
        <v>-5.8000000000000003E-2</v>
      </c>
      <c r="AV174" s="4">
        <v>-0.125</v>
      </c>
      <c r="AW174" s="4">
        <v>0.69</v>
      </c>
      <c r="AX174" s="4">
        <v>-4.3999999999999997E-2</v>
      </c>
      <c r="AY174" s="4">
        <v>0.79100000000000004</v>
      </c>
      <c r="AZ174" s="4">
        <v>0.42099999999999999</v>
      </c>
      <c r="BA174" s="4">
        <v>-0.46500000000000002</v>
      </c>
      <c r="BB174" s="4">
        <v>-0.88300000000000001</v>
      </c>
      <c r="BC174" s="4">
        <v>-0.92600000000000005</v>
      </c>
      <c r="BD174" s="4">
        <v>-0.82199999999999995</v>
      </c>
      <c r="BE174" s="4">
        <v>0.17100000000000001</v>
      </c>
      <c r="BF174" s="4">
        <v>-1</v>
      </c>
      <c r="BG174" s="4">
        <v>0.72599999999999998</v>
      </c>
      <c r="BH174" s="4">
        <v>-0.67600000000000005</v>
      </c>
      <c r="BI174" s="4">
        <v>0.19500000000000001</v>
      </c>
      <c r="BJ174" s="4">
        <v>0.60599999999999998</v>
      </c>
      <c r="BK174" s="4">
        <v>-0.108</v>
      </c>
    </row>
    <row r="175" spans="1:63" x14ac:dyDescent="0.3">
      <c r="A175" t="s">
        <v>227</v>
      </c>
      <c r="B175" s="53">
        <f t="shared" si="14"/>
        <v>0</v>
      </c>
      <c r="C175" s="53">
        <f t="shared" si="15"/>
        <v>0</v>
      </c>
      <c r="D175" s="53">
        <f t="shared" si="16"/>
        <v>0</v>
      </c>
      <c r="E175" s="53">
        <v>0</v>
      </c>
      <c r="F175" s="15">
        <v>0.54100000000000004</v>
      </c>
      <c r="G175">
        <v>0.45900000000000002</v>
      </c>
      <c r="H175" t="s">
        <v>71</v>
      </c>
      <c r="I175" t="str">
        <f>VLOOKUP(A175,Planilha6!$BL$9:$BN$222,2,0)</f>
        <v>food</v>
      </c>
      <c r="J175" t="str">
        <f>VLOOKUP(A175,Planilha6!$BL$9:$BN$222,3,0)</f>
        <v>very_low_beta</v>
      </c>
      <c r="K175" s="2">
        <v>0</v>
      </c>
      <c r="L175" s="2">
        <v>0</v>
      </c>
      <c r="M175" s="29">
        <v>0</v>
      </c>
      <c r="N175" s="47">
        <f>VLOOKUP(A175,'Mandato ISEE'!$A$1:$C$215,2,0)</f>
        <v>0</v>
      </c>
      <c r="O175" s="48">
        <f t="shared" si="17"/>
        <v>0</v>
      </c>
      <c r="P175" s="47">
        <f>VLOOKUP(A175,'Mandato ISEE'!$A$1:$C$215,3,0)</f>
        <v>0</v>
      </c>
      <c r="Q175" s="48">
        <f t="shared" si="18"/>
        <v>0</v>
      </c>
      <c r="R175" s="15">
        <v>-0.94699999999999995</v>
      </c>
      <c r="S175" s="15">
        <v>-0.78900000000000003</v>
      </c>
      <c r="T175" s="15">
        <v>-1</v>
      </c>
      <c r="U175" s="15">
        <v>-0.876</v>
      </c>
      <c r="V175" s="15">
        <v>-0.85899999999999999</v>
      </c>
      <c r="W175" s="15">
        <v>-0.80300000000000005</v>
      </c>
      <c r="X175" s="15">
        <v>-0.76100000000000001</v>
      </c>
      <c r="Y175" s="15">
        <v>-0.74199999999999999</v>
      </c>
      <c r="Z175" s="15">
        <v>0.45600000000000002</v>
      </c>
      <c r="AA175" s="15">
        <v>0.46100000000000002</v>
      </c>
      <c r="AB175" s="15">
        <v>0.48499999999999999</v>
      </c>
      <c r="AC175" s="15">
        <v>0.54700000000000004</v>
      </c>
      <c r="AD175" s="15">
        <v>0.379</v>
      </c>
      <c r="AE175" s="14">
        <v>-0.96199999999999997</v>
      </c>
      <c r="AF175" s="15">
        <v>-0.73699999999999999</v>
      </c>
      <c r="AG175" s="15">
        <v>-0.27500000000000002</v>
      </c>
      <c r="AH175" s="15">
        <v>-0.98199999999999998</v>
      </c>
      <c r="AI175" s="15">
        <v>-0.96199999999999997</v>
      </c>
      <c r="AJ175" s="9">
        <v>-0.9</v>
      </c>
      <c r="AK175" s="4">
        <v>-0.13</v>
      </c>
      <c r="AL175" s="4">
        <v>-0.46200000000000002</v>
      </c>
      <c r="AM175" s="4">
        <v>-0.59099999999999997</v>
      </c>
      <c r="AN175" s="4">
        <v>-0.38800000000000001</v>
      </c>
      <c r="AO175" s="4">
        <v>0.3</v>
      </c>
      <c r="AP175" s="4">
        <v>0.188</v>
      </c>
      <c r="AQ175" s="4">
        <v>-0.51800000000000002</v>
      </c>
      <c r="AR175" s="4">
        <v>-0.35499999999999998</v>
      </c>
      <c r="AS175" s="4">
        <v>-0.40100000000000002</v>
      </c>
      <c r="AT175" s="4">
        <v>0.64300000000000002</v>
      </c>
      <c r="AU175" s="4">
        <v>-0.45800000000000002</v>
      </c>
      <c r="AV175" s="4">
        <v>-0.65800000000000003</v>
      </c>
      <c r="AW175" s="4">
        <v>0.38400000000000001</v>
      </c>
      <c r="AX175" s="4">
        <v>-0.52400000000000002</v>
      </c>
      <c r="AY175" s="4">
        <v>0.74199999999999999</v>
      </c>
      <c r="AZ175" s="4">
        <v>-0.44400000000000001</v>
      </c>
      <c r="BA175" s="4">
        <v>0.49099999999999999</v>
      </c>
      <c r="BB175" s="4">
        <v>-0.03</v>
      </c>
      <c r="BC175" s="4">
        <v>-0.14000000000000001</v>
      </c>
      <c r="BD175" s="4">
        <v>-1.0999999999999999E-2</v>
      </c>
      <c r="BE175" s="4">
        <v>-9.4E-2</v>
      </c>
      <c r="BF175" s="4">
        <v>0.32800000000000001</v>
      </c>
      <c r="BG175" s="4">
        <v>0.34499999999999997</v>
      </c>
      <c r="BH175" s="4">
        <v>-0.36899999999999999</v>
      </c>
      <c r="BI175" s="4">
        <v>-0.89</v>
      </c>
      <c r="BJ175" s="4">
        <v>0.16700000000000001</v>
      </c>
      <c r="BK175" s="4">
        <v>-0.88300000000000001</v>
      </c>
    </row>
    <row r="176" spans="1:63" x14ac:dyDescent="0.3">
      <c r="A176" t="s">
        <v>212</v>
      </c>
      <c r="B176" s="53">
        <f t="shared" si="14"/>
        <v>0</v>
      </c>
      <c r="C176" s="53">
        <f t="shared" si="15"/>
        <v>0</v>
      </c>
      <c r="D176" s="53">
        <f t="shared" si="16"/>
        <v>0</v>
      </c>
      <c r="E176" s="53">
        <v>0</v>
      </c>
      <c r="F176" s="15">
        <v>0.53900000000000003</v>
      </c>
      <c r="G176">
        <v>0.42299999999999999</v>
      </c>
      <c r="H176" t="s">
        <v>57</v>
      </c>
      <c r="I176" t="str">
        <f>VLOOKUP(A176,Planilha6!$BL$9:$BN$222,2,0)</f>
        <v>homebuilders</v>
      </c>
      <c r="J176" t="str">
        <f>VLOOKUP(A176,Planilha6!$BL$9:$BN$222,3,0)</f>
        <v>low_beta</v>
      </c>
      <c r="K176" s="2">
        <v>0</v>
      </c>
      <c r="L176" s="2">
        <v>0</v>
      </c>
      <c r="M176" s="29">
        <v>0</v>
      </c>
      <c r="N176" s="47">
        <f>VLOOKUP(A176,'Mandato ISEE'!$A$1:$C$215,2,0)</f>
        <v>0</v>
      </c>
      <c r="O176" s="48">
        <f t="shared" si="17"/>
        <v>0</v>
      </c>
      <c r="P176" s="47">
        <f>VLOOKUP(A176,'Mandato ISEE'!$A$1:$C$215,3,0)</f>
        <v>0</v>
      </c>
      <c r="Q176" s="48">
        <f t="shared" si="18"/>
        <v>0</v>
      </c>
      <c r="R176" s="15">
        <v>-0.84299999999999997</v>
      </c>
      <c r="S176" s="15">
        <v>-0.76600000000000001</v>
      </c>
      <c r="T176" s="15">
        <v>-0.82199999999999995</v>
      </c>
      <c r="U176" s="15">
        <v>-0.82199999999999995</v>
      </c>
      <c r="V176" s="15">
        <v>-0.78900000000000003</v>
      </c>
      <c r="W176" s="15">
        <v>-0.78100000000000003</v>
      </c>
      <c r="X176" s="15">
        <v>-0.71199999999999997</v>
      </c>
      <c r="Y176" s="15">
        <v>-0.746</v>
      </c>
      <c r="Z176" s="15">
        <v>0.22600000000000001</v>
      </c>
      <c r="AA176" s="15">
        <v>0.22800000000000001</v>
      </c>
      <c r="AB176" s="15">
        <v>0.35599999999999998</v>
      </c>
      <c r="AC176" s="15">
        <v>0.40300000000000002</v>
      </c>
      <c r="AD176" s="15">
        <v>0.30399999999999999</v>
      </c>
      <c r="AE176" s="14">
        <v>-0.74299999999999999</v>
      </c>
      <c r="AF176" s="15">
        <v>-0.45400000000000001</v>
      </c>
      <c r="AG176" s="15">
        <v>-0.81699999999999995</v>
      </c>
      <c r="AH176" s="15">
        <v>-0.46</v>
      </c>
      <c r="AI176" s="15">
        <v>-0.39100000000000001</v>
      </c>
      <c r="AJ176" s="9">
        <v>-0.315</v>
      </c>
      <c r="AK176" s="4">
        <v>-0.18099999999999999</v>
      </c>
      <c r="AL176" s="4">
        <v>-0.373</v>
      </c>
      <c r="AM176" s="4">
        <v>-0.68200000000000005</v>
      </c>
      <c r="AN176" s="4">
        <v>-0.39300000000000002</v>
      </c>
      <c r="AO176" s="4">
        <v>-0.377</v>
      </c>
      <c r="AP176" s="4">
        <v>-0.222</v>
      </c>
      <c r="AQ176" s="4">
        <v>0.19400000000000001</v>
      </c>
      <c r="AR176" s="4">
        <v>6.7000000000000004E-2</v>
      </c>
      <c r="AS176" s="4">
        <v>0.27200000000000002</v>
      </c>
      <c r="AT176" s="4">
        <v>0.624</v>
      </c>
      <c r="AU176" s="4">
        <v>-0.182</v>
      </c>
      <c r="AV176" s="4">
        <v>-0.32800000000000001</v>
      </c>
      <c r="AW176" s="4">
        <v>-0.12</v>
      </c>
      <c r="AX176" s="4">
        <v>0.42799999999999999</v>
      </c>
      <c r="AY176" s="4">
        <v>0.83099999999999996</v>
      </c>
      <c r="AZ176" s="4">
        <v>0.14599999999999999</v>
      </c>
      <c r="BA176" s="4">
        <v>-5.7000000000000002E-2</v>
      </c>
      <c r="BB176" s="4">
        <v>-0.89600000000000002</v>
      </c>
      <c r="BC176" s="4">
        <v>-0.39500000000000002</v>
      </c>
      <c r="BD176" s="4">
        <v>-0.434</v>
      </c>
      <c r="BE176" s="4">
        <v>0.8</v>
      </c>
      <c r="BF176" s="4">
        <v>0.14899999999999999</v>
      </c>
      <c r="BG176" s="4">
        <v>0.25</v>
      </c>
      <c r="BH176" s="4">
        <v>-0.71299999999999997</v>
      </c>
      <c r="BI176" s="4">
        <v>0.223</v>
      </c>
      <c r="BJ176" s="4">
        <v>-0.16900000000000001</v>
      </c>
      <c r="BK176" s="4">
        <v>0.16500000000000001</v>
      </c>
    </row>
    <row r="177" spans="1:63" x14ac:dyDescent="0.3">
      <c r="A177" t="s">
        <v>186</v>
      </c>
      <c r="B177" s="53">
        <f t="shared" si="14"/>
        <v>0</v>
      </c>
      <c r="C177" s="53">
        <f t="shared" si="15"/>
        <v>0</v>
      </c>
      <c r="D177" s="53">
        <f t="shared" si="16"/>
        <v>0</v>
      </c>
      <c r="E177" s="53">
        <v>0</v>
      </c>
      <c r="F177" s="15">
        <v>0.53900000000000003</v>
      </c>
      <c r="G177">
        <v>0.62</v>
      </c>
      <c r="H177" t="s">
        <v>71</v>
      </c>
      <c r="I177" t="str">
        <f>VLOOKUP(A177,Planilha6!$BL$9:$BN$222,2,0)</f>
        <v>basic_materials</v>
      </c>
      <c r="J177" t="str">
        <f>VLOOKUP(A177,Planilha6!$BL$9:$BN$222,3,0)</f>
        <v>neutral_beta</v>
      </c>
      <c r="K177" s="2">
        <v>0</v>
      </c>
      <c r="L177" s="2">
        <v>0</v>
      </c>
      <c r="M177" s="29">
        <v>0</v>
      </c>
      <c r="N177" s="47">
        <f>VLOOKUP(A177,'Mandato ISEE'!$A$1:$C$215,2,0)</f>
        <v>0</v>
      </c>
      <c r="O177" s="48">
        <f t="shared" si="17"/>
        <v>0</v>
      </c>
      <c r="P177" s="47">
        <f>VLOOKUP(A177,'Mandato ISEE'!$A$1:$C$215,3,0)</f>
        <v>0</v>
      </c>
      <c r="Q177" s="48">
        <f t="shared" si="18"/>
        <v>0</v>
      </c>
      <c r="R177" s="15">
        <v>-0.97099999999999997</v>
      </c>
      <c r="S177" s="15">
        <v>-0.80700000000000005</v>
      </c>
      <c r="T177" s="15">
        <v>-1</v>
      </c>
      <c r="U177" s="15">
        <v>-0.91500000000000004</v>
      </c>
      <c r="V177" s="15">
        <v>-0.88800000000000001</v>
      </c>
      <c r="W177" s="15">
        <v>-0.82</v>
      </c>
      <c r="X177" s="15">
        <v>-0.748</v>
      </c>
      <c r="Y177" s="15">
        <v>-0.73</v>
      </c>
      <c r="Z177" s="15">
        <v>0.45300000000000001</v>
      </c>
      <c r="AA177" s="15">
        <v>0.45400000000000001</v>
      </c>
      <c r="AB177" s="15">
        <v>0.41899999999999998</v>
      </c>
      <c r="AC177" s="15">
        <v>0.60299999999999998</v>
      </c>
      <c r="AD177" s="15">
        <v>0.36</v>
      </c>
      <c r="AE177" s="14">
        <v>-0.79200000000000004</v>
      </c>
      <c r="AF177" s="15">
        <v>-1</v>
      </c>
      <c r="AG177" s="15">
        <v>-0.20200000000000001</v>
      </c>
      <c r="AH177" s="15">
        <v>-0.9</v>
      </c>
      <c r="AI177" s="15">
        <v>-0.94499999999999995</v>
      </c>
      <c r="AJ177" s="9">
        <v>-0.94899999999999995</v>
      </c>
      <c r="AK177" s="4">
        <v>-0.17</v>
      </c>
      <c r="AL177" s="4">
        <v>-0.41399999999999998</v>
      </c>
      <c r="AM177" s="4">
        <v>-0.112</v>
      </c>
      <c r="AN177" s="4">
        <v>-0.65400000000000003</v>
      </c>
      <c r="AO177" s="4">
        <v>0.122</v>
      </c>
      <c r="AP177" s="4">
        <v>-0.51900000000000002</v>
      </c>
      <c r="AQ177" s="4">
        <v>-0.96</v>
      </c>
      <c r="AR177" s="4">
        <v>-0.98599999999999999</v>
      </c>
      <c r="AS177" s="4">
        <v>-0.66300000000000003</v>
      </c>
      <c r="AT177" s="4">
        <v>0.122</v>
      </c>
      <c r="AU177" s="4">
        <v>-0.38400000000000001</v>
      </c>
      <c r="AV177" s="4">
        <v>-0.439</v>
      </c>
      <c r="AW177" s="4">
        <v>0.46800000000000003</v>
      </c>
      <c r="AX177" s="4">
        <v>-5.5E-2</v>
      </c>
      <c r="AY177" s="4">
        <v>0.876</v>
      </c>
      <c r="AZ177" s="4">
        <v>-0.39500000000000002</v>
      </c>
      <c r="BA177" s="4">
        <v>0.109</v>
      </c>
      <c r="BB177" s="4">
        <v>0.13600000000000001</v>
      </c>
      <c r="BC177" s="4">
        <v>-9.6000000000000002E-2</v>
      </c>
      <c r="BD177" s="4">
        <v>0.31900000000000001</v>
      </c>
      <c r="BE177" s="4">
        <v>-0.63700000000000001</v>
      </c>
      <c r="BF177" s="4">
        <v>-0.28799999999999998</v>
      </c>
      <c r="BG177" s="4">
        <v>0.63400000000000001</v>
      </c>
      <c r="BH177" s="4">
        <v>-0.18</v>
      </c>
      <c r="BI177" s="4">
        <v>-0.33700000000000002</v>
      </c>
      <c r="BJ177" s="4">
        <v>-0.29499999999999998</v>
      </c>
      <c r="BK177" s="4">
        <v>-0.51400000000000001</v>
      </c>
    </row>
    <row r="178" spans="1:63" x14ac:dyDescent="0.3">
      <c r="A178" t="s">
        <v>221</v>
      </c>
      <c r="B178" s="53">
        <f t="shared" si="14"/>
        <v>0</v>
      </c>
      <c r="C178" s="53">
        <f t="shared" si="15"/>
        <v>0</v>
      </c>
      <c r="D178" s="53">
        <f t="shared" si="16"/>
        <v>0</v>
      </c>
      <c r="E178" s="53">
        <v>0</v>
      </c>
      <c r="F178" s="15">
        <v>0.53500000000000003</v>
      </c>
      <c r="G178">
        <v>0.57899999999999996</v>
      </c>
      <c r="H178" t="s">
        <v>57</v>
      </c>
      <c r="I178" t="str">
        <f>VLOOKUP(A178,Planilha6!$BL$9:$BN$222,2,0)</f>
        <v>consumer_services</v>
      </c>
      <c r="J178" t="str">
        <f>VLOOKUP(A178,Planilha6!$BL$9:$BN$222,3,0)</f>
        <v>neutral_beta</v>
      </c>
      <c r="K178" s="2">
        <v>0</v>
      </c>
      <c r="L178" s="2">
        <v>0</v>
      </c>
      <c r="M178" s="29">
        <v>0</v>
      </c>
      <c r="N178" s="47">
        <f>VLOOKUP(A178,'Mandato ISEE'!$A$1:$C$215,2,0)</f>
        <v>0</v>
      </c>
      <c r="O178" s="48">
        <f t="shared" si="17"/>
        <v>0</v>
      </c>
      <c r="P178" s="47">
        <f>VLOOKUP(A178,'Mandato ISEE'!$A$1:$C$215,3,0)</f>
        <v>0</v>
      </c>
      <c r="Q178" s="48">
        <f t="shared" si="18"/>
        <v>0</v>
      </c>
      <c r="R178" s="15">
        <v>-0.79900000000000004</v>
      </c>
      <c r="S178" s="15">
        <v>-0.77800000000000002</v>
      </c>
      <c r="T178" s="15">
        <v>-0.90300000000000002</v>
      </c>
      <c r="U178" s="15">
        <v>-0.71799999999999997</v>
      </c>
      <c r="V178" s="15">
        <v>-0.79500000000000004</v>
      </c>
      <c r="W178" s="15">
        <v>-0.65</v>
      </c>
      <c r="X178" s="15">
        <v>-0.36699999999999999</v>
      </c>
      <c r="Y178" s="15">
        <v>-0.74099999999999999</v>
      </c>
      <c r="Z178" s="15">
        <v>7.3999999999999996E-2</v>
      </c>
      <c r="AA178" s="15">
        <v>7.0999999999999994E-2</v>
      </c>
      <c r="AB178" s="15">
        <v>0.32500000000000001</v>
      </c>
      <c r="AC178" s="15">
        <v>0.39500000000000002</v>
      </c>
      <c r="AD178" s="15">
        <v>6.5000000000000002E-2</v>
      </c>
      <c r="AE178" s="14">
        <v>-0.35399999999999998</v>
      </c>
      <c r="AF178" s="15">
        <v>0.24299999999999999</v>
      </c>
      <c r="AG178" s="15">
        <v>-1</v>
      </c>
      <c r="AH178" s="15">
        <v>-0.77900000000000003</v>
      </c>
      <c r="AI178" s="15">
        <v>-1</v>
      </c>
      <c r="AJ178" s="9">
        <v>-0.34599999999999997</v>
      </c>
      <c r="AK178" s="4">
        <v>-0.14699999999999999</v>
      </c>
      <c r="AL178" s="4">
        <v>-0.45400000000000001</v>
      </c>
      <c r="AM178" s="4">
        <v>-0.46700000000000003</v>
      </c>
      <c r="AN178" s="4">
        <v>0.66300000000000003</v>
      </c>
      <c r="AO178" s="4">
        <v>-0.80200000000000005</v>
      </c>
      <c r="AP178" s="4">
        <v>-0.81499999999999995</v>
      </c>
      <c r="AQ178" s="4">
        <v>1</v>
      </c>
      <c r="AR178" s="4">
        <v>0.17299999999999999</v>
      </c>
      <c r="AS178" s="4">
        <v>-3.6999999999999998E-2</v>
      </c>
      <c r="AT178" s="4">
        <v>0.109</v>
      </c>
      <c r="AU178" s="4">
        <v>4.4999999999999998E-2</v>
      </c>
      <c r="AV178" s="4">
        <v>0.20899999999999999</v>
      </c>
      <c r="AW178" s="4">
        <v>6.5000000000000002E-2</v>
      </c>
      <c r="AX178" s="4">
        <v>-3.5999999999999997E-2</v>
      </c>
      <c r="AY178" s="4">
        <v>0.76500000000000001</v>
      </c>
      <c r="AZ178" s="4">
        <v>-0.48799999999999999</v>
      </c>
      <c r="BA178" s="4">
        <v>0.315</v>
      </c>
      <c r="BB178" s="4">
        <v>-0.4</v>
      </c>
      <c r="BC178" s="4">
        <v>-0.42499999999999999</v>
      </c>
      <c r="BD178" s="4">
        <v>-0.29699999999999999</v>
      </c>
      <c r="BE178" s="4">
        <v>0.313</v>
      </c>
      <c r="BF178" s="4">
        <v>-0.24399999999999999</v>
      </c>
      <c r="BG178" s="4">
        <v>0.65</v>
      </c>
      <c r="BH178" s="4">
        <v>-0.18</v>
      </c>
      <c r="BI178" s="4">
        <v>-7.4999999999999997E-2</v>
      </c>
      <c r="BJ178" s="4">
        <v>-0.51800000000000002</v>
      </c>
      <c r="BK178" s="4">
        <v>-9.8000000000000004E-2</v>
      </c>
    </row>
    <row r="179" spans="1:63" x14ac:dyDescent="0.3">
      <c r="A179" t="s">
        <v>178</v>
      </c>
      <c r="B179" s="53">
        <f t="shared" si="14"/>
        <v>0</v>
      </c>
      <c r="C179" s="53">
        <f t="shared" si="15"/>
        <v>-2.1999999999999999E-2</v>
      </c>
      <c r="D179" s="53">
        <f t="shared" si="16"/>
        <v>0</v>
      </c>
      <c r="E179" s="53">
        <v>2.1999999999999999E-2</v>
      </c>
      <c r="F179" s="15">
        <v>0.53400000000000003</v>
      </c>
      <c r="G179">
        <v>0.54500000000000004</v>
      </c>
      <c r="H179" t="s">
        <v>53</v>
      </c>
      <c r="I179" t="str">
        <f>VLOOKUP(A179,Planilha6!$BL$9:$BN$222,2,0)</f>
        <v>healthcare</v>
      </c>
      <c r="J179" t="str">
        <f>VLOOKUP(A179,Planilha6!$BL$9:$BN$222,3,0)</f>
        <v>very_low_beta</v>
      </c>
      <c r="K179" s="2">
        <v>0</v>
      </c>
      <c r="L179" s="2">
        <v>-2.1999999999999999E-2</v>
      </c>
      <c r="M179" s="29">
        <v>2.1999999999999999E-2</v>
      </c>
      <c r="N179" s="47">
        <f>VLOOKUP(A179,'Mandato ISEE'!$A$1:$C$215,2,0)</f>
        <v>0</v>
      </c>
      <c r="O179" s="48">
        <f t="shared" si="17"/>
        <v>0</v>
      </c>
      <c r="P179" s="47">
        <f>VLOOKUP(A179,'Mandato ISEE'!$A$1:$C$215,3,0)</f>
        <v>0</v>
      </c>
      <c r="Q179" s="48">
        <f t="shared" si="18"/>
        <v>0</v>
      </c>
      <c r="R179" s="15">
        <v>-0.89200000000000002</v>
      </c>
      <c r="S179" s="15">
        <v>-0.76700000000000002</v>
      </c>
      <c r="T179" s="15">
        <v>-0.99299999999999999</v>
      </c>
      <c r="U179" s="15">
        <v>-0.81399999999999995</v>
      </c>
      <c r="V179" s="15">
        <v>-0.84599999999999997</v>
      </c>
      <c r="W179" s="15">
        <v>-0.77700000000000002</v>
      </c>
      <c r="X179" s="15">
        <v>-0.60499999999999998</v>
      </c>
      <c r="Y179" s="15">
        <v>-0.78900000000000003</v>
      </c>
      <c r="Z179" s="15">
        <v>0.13400000000000001</v>
      </c>
      <c r="AA179" s="15">
        <v>0.13900000000000001</v>
      </c>
      <c r="AB179" s="15">
        <v>0.51500000000000001</v>
      </c>
      <c r="AC179" s="15">
        <v>0.53300000000000003</v>
      </c>
      <c r="AD179" s="15">
        <v>0.28599999999999998</v>
      </c>
      <c r="AE179" s="14">
        <v>-0.54</v>
      </c>
      <c r="AF179" s="15">
        <v>-0.81799999999999995</v>
      </c>
      <c r="AG179" s="15">
        <v>-0.60199999999999998</v>
      </c>
      <c r="AH179" s="15">
        <v>-0.98499999999999999</v>
      </c>
      <c r="AI179" s="15">
        <v>-0.86499999999999999</v>
      </c>
      <c r="AJ179" s="9">
        <v>-0.69699999999999995</v>
      </c>
      <c r="AK179" s="4">
        <v>-0.39400000000000002</v>
      </c>
      <c r="AL179" s="4">
        <v>-0.76100000000000001</v>
      </c>
      <c r="AM179" s="4">
        <v>-0.89400000000000002</v>
      </c>
      <c r="AN179" s="4">
        <v>0.25600000000000001</v>
      </c>
      <c r="AO179" s="4">
        <v>0.25</v>
      </c>
      <c r="AP179" s="4">
        <v>-0.14099999999999999</v>
      </c>
      <c r="AQ179" s="4">
        <v>0.1</v>
      </c>
      <c r="AR179" s="4">
        <v>-8.3000000000000004E-2</v>
      </c>
      <c r="AS179" s="4">
        <v>-0.39900000000000002</v>
      </c>
      <c r="AT179" s="4">
        <v>0.63400000000000001</v>
      </c>
      <c r="AU179" s="4">
        <v>-0.35099999999999998</v>
      </c>
      <c r="AV179" s="4">
        <v>0.17</v>
      </c>
      <c r="AW179" s="4">
        <v>0.253</v>
      </c>
      <c r="AX179" s="4">
        <v>-0.121</v>
      </c>
      <c r="AY179" s="4">
        <v>0.97499999999999998</v>
      </c>
      <c r="AZ179" s="4">
        <v>-0.84899999999999998</v>
      </c>
      <c r="BA179" s="4">
        <v>0.56499999999999995</v>
      </c>
      <c r="BB179" s="4">
        <v>-0.32100000000000001</v>
      </c>
      <c r="BC179" s="4">
        <v>-0.23599999999999999</v>
      </c>
      <c r="BD179" s="4">
        <v>-2.8000000000000001E-2</v>
      </c>
      <c r="BE179" s="4">
        <v>0.31900000000000001</v>
      </c>
      <c r="BF179" s="4">
        <v>-6.6000000000000003E-2</v>
      </c>
      <c r="BG179" s="4">
        <v>0.59299999999999997</v>
      </c>
      <c r="BH179" s="4">
        <v>-0.20100000000000001</v>
      </c>
      <c r="BI179" s="4">
        <v>-0.38200000000000001</v>
      </c>
      <c r="BJ179" s="4">
        <v>-0.27600000000000002</v>
      </c>
      <c r="BK179" s="4">
        <v>-0.73699999999999999</v>
      </c>
    </row>
    <row r="180" spans="1:63" x14ac:dyDescent="0.3">
      <c r="A180" t="s">
        <v>187</v>
      </c>
      <c r="B180" s="53">
        <f t="shared" si="14"/>
        <v>0</v>
      </c>
      <c r="C180" s="53">
        <f t="shared" si="15"/>
        <v>0</v>
      </c>
      <c r="D180" s="53">
        <f t="shared" si="16"/>
        <v>0</v>
      </c>
      <c r="E180" s="53">
        <v>0</v>
      </c>
      <c r="F180" s="15">
        <v>0.53300000000000003</v>
      </c>
      <c r="G180">
        <v>0.502</v>
      </c>
      <c r="H180" t="s">
        <v>53</v>
      </c>
      <c r="I180" t="str">
        <f>VLOOKUP(A180,Planilha6!$BL$9:$BN$222,2,0)</f>
        <v>consumer_staples</v>
      </c>
      <c r="J180" t="str">
        <f>VLOOKUP(A180,Planilha6!$BL$9:$BN$222,3,0)</f>
        <v>low_beta</v>
      </c>
      <c r="K180" s="2">
        <v>0</v>
      </c>
      <c r="L180" s="2">
        <v>0</v>
      </c>
      <c r="M180" s="29">
        <v>0</v>
      </c>
      <c r="N180" s="47">
        <f>VLOOKUP(A180,'Mandato ISEE'!$A$1:$C$215,2,0)</f>
        <v>0</v>
      </c>
      <c r="O180" s="48">
        <f t="shared" si="17"/>
        <v>0</v>
      </c>
      <c r="P180" s="47">
        <f>VLOOKUP(A180,'Mandato ISEE'!$A$1:$C$215,3,0)</f>
        <v>0</v>
      </c>
      <c r="Q180" s="48">
        <f t="shared" si="18"/>
        <v>0</v>
      </c>
      <c r="R180" s="15">
        <v>-0.77900000000000003</v>
      </c>
      <c r="S180" s="15">
        <v>-0.79</v>
      </c>
      <c r="T180" s="15">
        <v>-0.84499999999999997</v>
      </c>
      <c r="U180" s="15">
        <v>-0.76100000000000001</v>
      </c>
      <c r="V180" s="15">
        <v>-0.80400000000000005</v>
      </c>
      <c r="W180" s="15">
        <v>-0.748</v>
      </c>
      <c r="X180" s="15">
        <v>-0.68400000000000005</v>
      </c>
      <c r="Y180" s="15">
        <v>-0.78800000000000003</v>
      </c>
      <c r="Z180" s="15">
        <v>0.111</v>
      </c>
      <c r="AA180" s="15">
        <v>0.114</v>
      </c>
      <c r="AB180" s="15">
        <v>0.51</v>
      </c>
      <c r="AC180" s="15">
        <v>0.48299999999999998</v>
      </c>
      <c r="AD180" s="15">
        <v>0.11700000000000001</v>
      </c>
      <c r="AE180" s="14">
        <v>-0.33700000000000002</v>
      </c>
      <c r="AF180" s="15">
        <v>-0.13400000000000001</v>
      </c>
      <c r="AG180" s="15">
        <v>-0.751</v>
      </c>
      <c r="AH180" s="15">
        <v>-0.65500000000000003</v>
      </c>
      <c r="AI180" s="15">
        <v>-0.94199999999999995</v>
      </c>
      <c r="AJ180" s="9">
        <v>-0.50700000000000001</v>
      </c>
      <c r="AK180" s="4">
        <v>-2.9000000000000001E-2</v>
      </c>
      <c r="AL180" s="4">
        <v>-0.58399999999999996</v>
      </c>
      <c r="AM180" s="4">
        <v>-0.22800000000000001</v>
      </c>
      <c r="AN180" s="4">
        <v>0.79400000000000004</v>
      </c>
      <c r="AO180" s="4">
        <v>-0.78900000000000003</v>
      </c>
      <c r="AP180" s="4">
        <v>0.157</v>
      </c>
      <c r="AQ180" s="4">
        <v>0.311</v>
      </c>
      <c r="AR180" s="4">
        <v>-8.5999999999999993E-2</v>
      </c>
      <c r="AS180" s="4">
        <v>-0.439</v>
      </c>
      <c r="AT180" s="4">
        <v>0.60899999999999999</v>
      </c>
      <c r="AU180" s="4">
        <v>-0.33500000000000002</v>
      </c>
      <c r="AV180" s="4">
        <v>-4.8000000000000001E-2</v>
      </c>
      <c r="AW180" s="4">
        <v>0.128</v>
      </c>
      <c r="AX180" s="4">
        <v>0.126</v>
      </c>
      <c r="AY180" s="4">
        <v>0.95399999999999996</v>
      </c>
      <c r="AZ180" s="4">
        <v>-6.0999999999999999E-2</v>
      </c>
      <c r="BA180" s="4">
        <v>2.7E-2</v>
      </c>
      <c r="BB180" s="4">
        <v>-0.54</v>
      </c>
      <c r="BC180" s="4">
        <v>-0.36499999999999999</v>
      </c>
      <c r="BD180" s="4">
        <v>-7.6999999999999999E-2</v>
      </c>
      <c r="BE180" s="4">
        <v>0.747</v>
      </c>
      <c r="BF180" s="4">
        <v>1</v>
      </c>
      <c r="BG180" s="4">
        <v>-4.9000000000000002E-2</v>
      </c>
      <c r="BH180" s="4">
        <v>-1.2999999999999999E-2</v>
      </c>
      <c r="BI180" s="4">
        <v>-0.219</v>
      </c>
      <c r="BJ180" s="4">
        <v>8.1000000000000003E-2</v>
      </c>
      <c r="BK180" s="4">
        <v>-6.5000000000000002E-2</v>
      </c>
    </row>
    <row r="181" spans="1:63" x14ac:dyDescent="0.3">
      <c r="A181" t="s">
        <v>128</v>
      </c>
      <c r="B181" s="53">
        <f t="shared" si="14"/>
        <v>0</v>
      </c>
      <c r="C181" s="53">
        <f t="shared" si="15"/>
        <v>0</v>
      </c>
      <c r="D181" s="53">
        <f t="shared" si="16"/>
        <v>0</v>
      </c>
      <c r="E181" s="53">
        <v>0</v>
      </c>
      <c r="F181" s="15">
        <v>0.53300000000000003</v>
      </c>
      <c r="G181">
        <v>0.41799999999999998</v>
      </c>
      <c r="H181" t="s">
        <v>68</v>
      </c>
      <c r="I181" t="str">
        <f>VLOOKUP(A181,Planilha6!$BL$9:$BN$222,2,0)</f>
        <v>capital_goods</v>
      </c>
      <c r="J181" t="str">
        <f>VLOOKUP(A181,Planilha6!$BL$9:$BN$222,3,0)</f>
        <v>very_low_beta</v>
      </c>
      <c r="K181" s="2">
        <v>0</v>
      </c>
      <c r="L181" s="2">
        <v>0</v>
      </c>
      <c r="M181" s="29">
        <v>0</v>
      </c>
      <c r="N181" s="47">
        <f>VLOOKUP(A181,'Mandato ISEE'!$A$1:$C$215,2,0)</f>
        <v>0</v>
      </c>
      <c r="O181" s="48">
        <f t="shared" si="17"/>
        <v>0</v>
      </c>
      <c r="P181" s="47">
        <f>VLOOKUP(A181,'Mandato ISEE'!$A$1:$C$215,3,0)</f>
        <v>0</v>
      </c>
      <c r="Q181" s="48">
        <f t="shared" si="18"/>
        <v>0</v>
      </c>
      <c r="R181" s="15">
        <v>-0.86699999999999999</v>
      </c>
      <c r="S181" s="15">
        <v>-0.83499999999999996</v>
      </c>
      <c r="T181" s="15">
        <v>-0.65700000000000003</v>
      </c>
      <c r="U181" s="15">
        <v>-0.90800000000000003</v>
      </c>
      <c r="V181" s="15">
        <v>-0.84599999999999997</v>
      </c>
      <c r="W181" s="15">
        <v>-0.86699999999999999</v>
      </c>
      <c r="X181" s="15">
        <v>-0.79100000000000004</v>
      </c>
      <c r="Y181" s="15">
        <v>-0.81100000000000005</v>
      </c>
      <c r="Z181" s="15">
        <v>0.153</v>
      </c>
      <c r="AA181" s="15">
        <v>0.151</v>
      </c>
      <c r="AB181" s="15">
        <v>0.35499999999999998</v>
      </c>
      <c r="AC181" s="15">
        <v>0.47199999999999998</v>
      </c>
      <c r="AD181" s="15">
        <v>0.35399999999999998</v>
      </c>
      <c r="AE181" s="14">
        <v>-0.76</v>
      </c>
      <c r="AF181" s="15">
        <v>-1</v>
      </c>
      <c r="AG181" s="15">
        <v>-0.43099999999999999</v>
      </c>
      <c r="AH181" s="15">
        <v>0.02</v>
      </c>
      <c r="AI181" s="15">
        <v>0.377</v>
      </c>
      <c r="AJ181" s="9">
        <v>-0.21299999999999999</v>
      </c>
      <c r="AK181" s="4">
        <v>-0.53800000000000003</v>
      </c>
      <c r="AL181" s="4">
        <v>-0.46700000000000003</v>
      </c>
      <c r="AM181" s="4">
        <v>0.127</v>
      </c>
      <c r="AN181" s="4">
        <v>-0.67300000000000004</v>
      </c>
      <c r="AO181" s="4">
        <v>-4.5999999999999999E-2</v>
      </c>
      <c r="AP181" s="4">
        <v>-0.16800000000000001</v>
      </c>
      <c r="AQ181" s="4">
        <v>-0.96799999999999997</v>
      </c>
      <c r="AR181" s="4">
        <v>-0.65400000000000003</v>
      </c>
      <c r="AS181" s="4">
        <v>-0.45500000000000002</v>
      </c>
      <c r="AT181" s="4">
        <v>-0.13600000000000001</v>
      </c>
      <c r="AU181" s="4">
        <v>-0.28299999999999997</v>
      </c>
      <c r="AV181" s="4">
        <v>-0.42399999999999999</v>
      </c>
      <c r="AW181" s="4">
        <v>0.35599999999999998</v>
      </c>
      <c r="AX181" s="4">
        <v>-0.28100000000000003</v>
      </c>
      <c r="AY181" s="4">
        <v>0.68500000000000005</v>
      </c>
      <c r="AZ181" s="4">
        <v>-0.83099999999999996</v>
      </c>
      <c r="BA181" s="4">
        <v>0.626</v>
      </c>
      <c r="BB181" s="4">
        <v>2.4E-2</v>
      </c>
      <c r="BC181" s="4">
        <v>-0.61499999999999999</v>
      </c>
      <c r="BD181" s="4">
        <v>-0.307</v>
      </c>
      <c r="BE181" s="4">
        <v>0.54200000000000004</v>
      </c>
      <c r="BF181" s="4">
        <v>0.13</v>
      </c>
      <c r="BG181" s="4">
        <v>0.39400000000000002</v>
      </c>
      <c r="BH181" s="4">
        <v>0.44500000000000001</v>
      </c>
      <c r="BI181" s="4">
        <v>-1.9E-2</v>
      </c>
      <c r="BJ181" s="4">
        <v>0.76100000000000001</v>
      </c>
      <c r="BK181" s="4">
        <v>0.60699999999999998</v>
      </c>
    </row>
    <row r="182" spans="1:63" x14ac:dyDescent="0.3">
      <c r="A182" t="s">
        <v>129</v>
      </c>
      <c r="B182" s="53">
        <f t="shared" si="14"/>
        <v>0</v>
      </c>
      <c r="C182" s="53">
        <f t="shared" si="15"/>
        <v>0</v>
      </c>
      <c r="D182" s="53">
        <f t="shared" si="16"/>
        <v>0</v>
      </c>
      <c r="E182" s="53">
        <v>0</v>
      </c>
      <c r="F182" s="15">
        <v>0.53200000000000003</v>
      </c>
      <c r="G182">
        <v>0.374</v>
      </c>
      <c r="H182" t="s">
        <v>57</v>
      </c>
      <c r="I182" t="str">
        <f>VLOOKUP(A182,Planilha6!$BL$9:$BN$222,2,0)</f>
        <v>homebuilders</v>
      </c>
      <c r="J182" t="str">
        <f>VLOOKUP(A182,Planilha6!$BL$9:$BN$222,3,0)</f>
        <v>very_high_beta</v>
      </c>
      <c r="K182" s="2">
        <v>0</v>
      </c>
      <c r="L182" s="2">
        <v>0</v>
      </c>
      <c r="M182" s="29">
        <v>0</v>
      </c>
      <c r="N182" s="47">
        <f>VLOOKUP(A182,'Mandato ISEE'!$A$1:$C$215,2,0)</f>
        <v>0</v>
      </c>
      <c r="O182" s="48">
        <f t="shared" si="17"/>
        <v>0</v>
      </c>
      <c r="P182" s="47">
        <f>VLOOKUP(A182,'Mandato ISEE'!$A$1:$C$215,3,0)</f>
        <v>0</v>
      </c>
      <c r="Q182" s="48">
        <f t="shared" si="18"/>
        <v>0</v>
      </c>
      <c r="R182" s="15">
        <v>-0.50800000000000001</v>
      </c>
      <c r="S182" s="15">
        <v>-0.72899999999999998</v>
      </c>
      <c r="T182" s="15">
        <v>-0.27800000000000002</v>
      </c>
      <c r="U182" s="15">
        <v>-0.69899999999999995</v>
      </c>
      <c r="V182" s="15">
        <v>-0.69899999999999995</v>
      </c>
      <c r="W182" s="15">
        <v>-0.76400000000000001</v>
      </c>
      <c r="X182" s="15">
        <v>-0.78800000000000003</v>
      </c>
      <c r="Y182" s="15">
        <v>-0.77700000000000002</v>
      </c>
      <c r="Z182" s="15">
        <v>0.06</v>
      </c>
      <c r="AA182" s="15">
        <v>5.8000000000000003E-2</v>
      </c>
      <c r="AB182" s="15">
        <v>-0.55200000000000005</v>
      </c>
      <c r="AC182" s="15">
        <v>-3.2000000000000001E-2</v>
      </c>
      <c r="AD182" s="15">
        <v>5.6000000000000001E-2</v>
      </c>
      <c r="AE182" s="14">
        <v>-0.30499999999999999</v>
      </c>
      <c r="AF182" s="15">
        <v>0.191</v>
      </c>
      <c r="AG182" s="15">
        <v>0.105</v>
      </c>
      <c r="AH182" s="15">
        <v>1</v>
      </c>
      <c r="AI182" s="15">
        <v>0.54300000000000004</v>
      </c>
      <c r="AJ182" s="9">
        <v>-0.41499999999999998</v>
      </c>
      <c r="AK182" s="4">
        <v>-6.5000000000000002E-2</v>
      </c>
      <c r="AL182" s="4">
        <v>-8.5000000000000006E-2</v>
      </c>
      <c r="AM182" s="4">
        <v>0.71599999999999997</v>
      </c>
      <c r="AN182" s="4">
        <v>0.109</v>
      </c>
      <c r="AO182" s="4">
        <v>-0.35499999999999998</v>
      </c>
      <c r="AP182" s="4">
        <v>0.113</v>
      </c>
      <c r="AQ182" s="4">
        <v>6.7000000000000004E-2</v>
      </c>
      <c r="AR182" s="4">
        <v>-0.434</v>
      </c>
      <c r="AS182" s="4">
        <v>-0.85099999999999998</v>
      </c>
      <c r="AT182" s="4">
        <v>-0.20399999999999999</v>
      </c>
      <c r="AU182" s="4">
        <v>-0.28399999999999997</v>
      </c>
      <c r="AV182" s="4">
        <v>-0.44700000000000001</v>
      </c>
      <c r="AW182" s="4">
        <v>-0.99299999999999999</v>
      </c>
      <c r="AX182" s="4">
        <v>-0.72599999999999998</v>
      </c>
      <c r="AY182" s="4">
        <v>4.2000000000000003E-2</v>
      </c>
      <c r="AZ182" s="4">
        <v>-8.6999999999999994E-2</v>
      </c>
      <c r="BA182" s="4">
        <v>-0.31</v>
      </c>
      <c r="BB182" s="4">
        <v>0.188</v>
      </c>
      <c r="BC182" s="4">
        <v>-0.14799999999999999</v>
      </c>
      <c r="BD182" s="4">
        <v>0.42199999999999999</v>
      </c>
      <c r="BE182" s="4">
        <v>0.84699999999999998</v>
      </c>
      <c r="BF182" s="4">
        <v>0.18099999999999999</v>
      </c>
      <c r="BG182" s="4">
        <v>-0.122</v>
      </c>
      <c r="BH182" s="4">
        <v>1.6E-2</v>
      </c>
      <c r="BI182" s="4">
        <v>0.90300000000000002</v>
      </c>
      <c r="BJ182" s="4">
        <v>-7.0000000000000001E-3</v>
      </c>
      <c r="BK182" s="4">
        <v>0.88500000000000001</v>
      </c>
    </row>
    <row r="183" spans="1:63" x14ac:dyDescent="0.3">
      <c r="A183" t="s">
        <v>253</v>
      </c>
      <c r="B183" s="53">
        <f t="shared" si="14"/>
        <v>0</v>
      </c>
      <c r="C183" s="53">
        <f t="shared" si="15"/>
        <v>0</v>
      </c>
      <c r="D183" s="53">
        <f t="shared" si="16"/>
        <v>0</v>
      </c>
      <c r="E183" s="53">
        <v>0</v>
      </c>
      <c r="F183" s="15">
        <v>0.53</v>
      </c>
      <c r="G183">
        <v>0.439</v>
      </c>
      <c r="H183" t="s">
        <v>68</v>
      </c>
      <c r="I183" t="str">
        <f>VLOOKUP(A183,Planilha6!$BL$9:$BN$222,2,0)</f>
        <v>capital_goods</v>
      </c>
      <c r="J183" t="str">
        <f>VLOOKUP(A183,Planilha6!$BL$9:$BN$222,3,0)</f>
        <v>very_high_beta</v>
      </c>
      <c r="K183" s="2">
        <v>0</v>
      </c>
      <c r="L183" s="2">
        <v>0</v>
      </c>
      <c r="M183" s="29">
        <v>0</v>
      </c>
      <c r="N183" s="47">
        <f>VLOOKUP(A183,'Mandato ISEE'!$A$1:$C$215,2,0)</f>
        <v>0</v>
      </c>
      <c r="O183" s="48">
        <f t="shared" si="17"/>
        <v>0</v>
      </c>
      <c r="P183" s="47">
        <f>VLOOKUP(A183,'Mandato ISEE'!$A$1:$C$215,3,0)</f>
        <v>0</v>
      </c>
      <c r="Q183" s="48">
        <f t="shared" si="18"/>
        <v>0</v>
      </c>
      <c r="R183" s="15">
        <v>-0.86699999999999999</v>
      </c>
      <c r="S183" s="15">
        <v>-0.81399999999999995</v>
      </c>
      <c r="T183" s="15">
        <v>-0.747</v>
      </c>
      <c r="U183" s="15">
        <v>-0.88</v>
      </c>
      <c r="V183" s="15">
        <v>-0.82699999999999996</v>
      </c>
      <c r="W183" s="15">
        <v>-0.86199999999999999</v>
      </c>
      <c r="X183" s="15">
        <v>-0.81</v>
      </c>
      <c r="Y183" s="15">
        <v>-0.81899999999999995</v>
      </c>
      <c r="Z183" s="15">
        <v>0.35199999999999998</v>
      </c>
      <c r="AA183" s="15">
        <v>0.35499999999999998</v>
      </c>
      <c r="AB183" s="15">
        <v>0.46300000000000002</v>
      </c>
      <c r="AC183" s="15">
        <v>0.60099999999999998</v>
      </c>
      <c r="AD183" s="15">
        <v>0.13500000000000001</v>
      </c>
      <c r="AE183" s="14">
        <v>-0.82699999999999996</v>
      </c>
      <c r="AF183" s="15">
        <v>-0.36699999999999999</v>
      </c>
      <c r="AG183" s="15">
        <v>-0.308</v>
      </c>
      <c r="AH183" s="15">
        <v>0.41499999999999998</v>
      </c>
      <c r="AI183" s="15">
        <v>-0.68899999999999995</v>
      </c>
      <c r="AJ183" s="9">
        <v>-0.65700000000000003</v>
      </c>
      <c r="AK183" s="4">
        <v>0.16</v>
      </c>
      <c r="AL183" s="4">
        <v>-0.57099999999999995</v>
      </c>
      <c r="AM183" s="4">
        <v>0.56699999999999995</v>
      </c>
      <c r="AN183" s="4">
        <v>-0.31900000000000001</v>
      </c>
      <c r="AO183" s="4">
        <v>-0.53600000000000003</v>
      </c>
      <c r="AP183" s="4">
        <v>-0.83</v>
      </c>
      <c r="AQ183" s="4">
        <v>-5.8000000000000003E-2</v>
      </c>
      <c r="AR183" s="4">
        <v>-0.50700000000000001</v>
      </c>
      <c r="AS183" s="4">
        <v>-0.67300000000000004</v>
      </c>
      <c r="AT183" s="4">
        <v>6.3E-2</v>
      </c>
      <c r="AU183" s="4">
        <v>-0.126</v>
      </c>
      <c r="AV183" s="4">
        <v>-0.76200000000000001</v>
      </c>
      <c r="AW183" s="4">
        <v>-1E-3</v>
      </c>
      <c r="AX183" s="4">
        <v>-0.24099999999999999</v>
      </c>
      <c r="AY183" s="4">
        <v>0.69</v>
      </c>
      <c r="AZ183" s="4">
        <v>0.29899999999999999</v>
      </c>
      <c r="BA183" s="4">
        <v>-0.71799999999999997</v>
      </c>
      <c r="BB183" s="4">
        <v>-0.44400000000000001</v>
      </c>
      <c r="BC183" s="4">
        <v>-0.41099999999999998</v>
      </c>
      <c r="BD183" s="4">
        <v>-0.39300000000000002</v>
      </c>
      <c r="BE183" s="4">
        <v>-0.14899999999999999</v>
      </c>
      <c r="BF183" s="4">
        <v>-0.45400000000000001</v>
      </c>
      <c r="BG183" s="4">
        <v>0.13100000000000001</v>
      </c>
      <c r="BH183" s="4">
        <v>0.12</v>
      </c>
      <c r="BI183" s="4">
        <v>0.60899999999999999</v>
      </c>
      <c r="BJ183" s="4">
        <v>0.45700000000000002</v>
      </c>
      <c r="BK183" s="4">
        <v>0.28000000000000003</v>
      </c>
    </row>
    <row r="184" spans="1:63" x14ac:dyDescent="0.3">
      <c r="A184" t="s">
        <v>240</v>
      </c>
      <c r="B184" s="53">
        <f t="shared" si="14"/>
        <v>0</v>
      </c>
      <c r="C184" s="53">
        <f t="shared" si="15"/>
        <v>0</v>
      </c>
      <c r="D184" s="53">
        <f t="shared" si="16"/>
        <v>0</v>
      </c>
      <c r="E184" s="53">
        <v>0</v>
      </c>
      <c r="F184" s="15">
        <v>0.53</v>
      </c>
      <c r="G184">
        <v>0.45100000000000001</v>
      </c>
      <c r="H184" t="s">
        <v>71</v>
      </c>
      <c r="I184" t="str">
        <f>VLOOKUP(A184,Planilha6!$BL$9:$BN$222,2,0)</f>
        <v>crude_oil</v>
      </c>
      <c r="J184" t="str">
        <f>VLOOKUP(A184,Planilha6!$BL$9:$BN$222,3,0)</f>
        <v>very_low_beta</v>
      </c>
      <c r="K184" s="2">
        <v>0</v>
      </c>
      <c r="L184" s="2">
        <v>0</v>
      </c>
      <c r="M184" s="29">
        <v>0</v>
      </c>
      <c r="N184" s="47">
        <f>VLOOKUP(A184,'Mandato ISEE'!$A$1:$C$215,2,0)</f>
        <v>0</v>
      </c>
      <c r="O184" s="48">
        <f t="shared" si="17"/>
        <v>0</v>
      </c>
      <c r="P184" s="47">
        <f>VLOOKUP(A184,'Mandato ISEE'!$A$1:$C$215,3,0)</f>
        <v>0</v>
      </c>
      <c r="Q184" s="48">
        <f t="shared" si="18"/>
        <v>0</v>
      </c>
      <c r="R184" s="15">
        <v>-0.97599999999999998</v>
      </c>
      <c r="S184" s="15">
        <v>-0.68799999999999994</v>
      </c>
      <c r="T184" s="15">
        <v>-1</v>
      </c>
      <c r="U184" s="15">
        <v>-0.89</v>
      </c>
      <c r="V184" s="15">
        <v>-0.85499999999999998</v>
      </c>
      <c r="W184" s="15">
        <v>-0.85299999999999998</v>
      </c>
      <c r="X184" s="15">
        <v>-0.80300000000000005</v>
      </c>
      <c r="Y184" s="15">
        <v>-0.76900000000000002</v>
      </c>
      <c r="Z184" s="15">
        <v>8.8999999999999996E-2</v>
      </c>
      <c r="AA184" s="15">
        <v>9.9000000000000005E-2</v>
      </c>
      <c r="AB184" s="15">
        <v>0.27600000000000002</v>
      </c>
      <c r="AC184" s="15">
        <v>0.48599999999999999</v>
      </c>
      <c r="AD184" s="15">
        <v>0.45800000000000002</v>
      </c>
      <c r="AE184" s="14">
        <v>-0.98499999999999999</v>
      </c>
      <c r="AF184" s="15">
        <v>-1</v>
      </c>
      <c r="AG184" s="15">
        <v>0.67500000000000004</v>
      </c>
      <c r="AH184" s="15">
        <v>-0.998</v>
      </c>
      <c r="AI184" s="15">
        <v>-0.33200000000000002</v>
      </c>
      <c r="AJ184" s="9">
        <v>-1</v>
      </c>
      <c r="AK184" s="4">
        <v>-0.625</v>
      </c>
      <c r="AL184" s="4">
        <v>-1</v>
      </c>
      <c r="AM184" s="4">
        <v>-0.73199999999999998</v>
      </c>
      <c r="AN184" s="4">
        <v>-0.36599999999999999</v>
      </c>
      <c r="AO184" s="4">
        <v>0.97</v>
      </c>
      <c r="AP184" s="4">
        <v>0.95299999999999996</v>
      </c>
      <c r="AQ184" s="4">
        <v>-0.75</v>
      </c>
      <c r="AR184" s="4">
        <v>-0.33200000000000002</v>
      </c>
      <c r="AS184" s="4">
        <v>-0.48399999999999999</v>
      </c>
      <c r="AT184" s="4">
        <v>-0.19600000000000001</v>
      </c>
      <c r="AU184" s="4">
        <v>9.4E-2</v>
      </c>
      <c r="AV184" s="4">
        <v>-0.66500000000000004</v>
      </c>
      <c r="AW184" s="4">
        <v>0.4</v>
      </c>
      <c r="AX184" s="4">
        <v>-0.502</v>
      </c>
      <c r="AY184" s="4">
        <v>0.17899999999999999</v>
      </c>
      <c r="AZ184" s="4">
        <v>-0.14000000000000001</v>
      </c>
      <c r="BA184" s="4">
        <v>0.45600000000000002</v>
      </c>
      <c r="BB184" s="4">
        <v>-0.63100000000000001</v>
      </c>
      <c r="BC184" s="4">
        <v>-0.82</v>
      </c>
      <c r="BD184" s="4">
        <v>1E-3</v>
      </c>
      <c r="BE184" s="4">
        <v>-2.1000000000000001E-2</v>
      </c>
      <c r="BF184" s="4">
        <v>0.71699999999999997</v>
      </c>
      <c r="BG184" s="4">
        <v>0.20200000000000001</v>
      </c>
      <c r="BH184" s="4">
        <v>-0.71499999999999997</v>
      </c>
      <c r="BI184" s="4">
        <v>-0.997</v>
      </c>
      <c r="BJ184" s="4">
        <v>-1</v>
      </c>
      <c r="BK184" s="4">
        <v>-0.34899999999999998</v>
      </c>
    </row>
    <row r="185" spans="1:63" x14ac:dyDescent="0.3">
      <c r="A185" t="s">
        <v>195</v>
      </c>
      <c r="B185" s="53">
        <f t="shared" si="14"/>
        <v>0</v>
      </c>
      <c r="C185" s="53">
        <f t="shared" si="15"/>
        <v>0</v>
      </c>
      <c r="D185" s="53">
        <f t="shared" si="16"/>
        <v>0</v>
      </c>
      <c r="E185" s="53">
        <v>0</v>
      </c>
      <c r="F185" s="15">
        <v>0.53</v>
      </c>
      <c r="G185">
        <v>0.47699999999999998</v>
      </c>
      <c r="H185" t="s">
        <v>57</v>
      </c>
      <c r="I185" t="str">
        <f>VLOOKUP(A185,Planilha6!$BL$9:$BN$222,2,0)</f>
        <v>banks</v>
      </c>
      <c r="J185" t="str">
        <f>VLOOKUP(A185,Planilha6!$BL$9:$BN$222,3,0)</f>
        <v>very_low_beta</v>
      </c>
      <c r="K185" s="2">
        <v>0</v>
      </c>
      <c r="L185" s="2">
        <v>0</v>
      </c>
      <c r="M185" s="29">
        <v>0</v>
      </c>
      <c r="N185" s="47">
        <f>VLOOKUP(A185,'Mandato ISEE'!$A$1:$C$215,2,0)</f>
        <v>0</v>
      </c>
      <c r="O185" s="48">
        <f t="shared" si="17"/>
        <v>0</v>
      </c>
      <c r="P185" s="47">
        <f>VLOOKUP(A185,'Mandato ISEE'!$A$1:$C$215,3,0)</f>
        <v>0</v>
      </c>
      <c r="Q185" s="48">
        <f t="shared" si="18"/>
        <v>0</v>
      </c>
      <c r="R185" s="15">
        <v>-0.9</v>
      </c>
      <c r="S185" s="15">
        <v>-0.77900000000000003</v>
      </c>
      <c r="T185" s="15">
        <v>-0.93600000000000005</v>
      </c>
      <c r="U185" s="15">
        <v>-0.874</v>
      </c>
      <c r="V185" s="15">
        <v>-0.84799999999999998</v>
      </c>
      <c r="W185" s="15">
        <v>-0.78400000000000003</v>
      </c>
      <c r="X185" s="15">
        <v>-0.61899999999999999</v>
      </c>
      <c r="Y185" s="15">
        <v>-0.79500000000000004</v>
      </c>
      <c r="Z185" s="15">
        <v>0.33500000000000002</v>
      </c>
      <c r="AA185" s="15">
        <v>0.33700000000000002</v>
      </c>
      <c r="AB185" s="15">
        <v>0.34300000000000003</v>
      </c>
      <c r="AC185" s="15">
        <v>0.255</v>
      </c>
      <c r="AD185" s="15">
        <v>0.20599999999999999</v>
      </c>
      <c r="AE185" s="14">
        <v>-0.97099999999999997</v>
      </c>
      <c r="AF185" s="15">
        <v>-0.78800000000000003</v>
      </c>
      <c r="AG185" s="15">
        <v>-1</v>
      </c>
      <c r="AH185" s="15">
        <v>-1</v>
      </c>
      <c r="AI185" s="15">
        <v>-1</v>
      </c>
      <c r="AJ185" s="9">
        <v>-0.54</v>
      </c>
      <c r="AK185" s="4">
        <v>-0.26700000000000002</v>
      </c>
      <c r="AL185" s="4">
        <v>-0.72099999999999997</v>
      </c>
      <c r="AM185" s="4">
        <v>-0.88400000000000001</v>
      </c>
      <c r="AN185" s="4">
        <v>0.245</v>
      </c>
      <c r="AO185" s="4">
        <v>-0.33500000000000002</v>
      </c>
      <c r="AP185" s="4">
        <v>-0.79100000000000004</v>
      </c>
      <c r="AQ185" s="4">
        <v>0.49099999999999999</v>
      </c>
      <c r="AR185" s="4">
        <v>0.1</v>
      </c>
      <c r="AS185" s="4">
        <v>0.28000000000000003</v>
      </c>
      <c r="AT185" s="4">
        <v>0.372</v>
      </c>
      <c r="AU185" s="4">
        <v>-8.9999999999999993E-3</v>
      </c>
      <c r="AV185" s="4">
        <v>-0.182</v>
      </c>
      <c r="AW185" s="4">
        <v>4.7E-2</v>
      </c>
      <c r="AX185" s="4">
        <v>0.22700000000000001</v>
      </c>
      <c r="AY185" s="4">
        <v>0.36099999999999999</v>
      </c>
      <c r="AZ185" s="4">
        <v>5.6000000000000001E-2</v>
      </c>
      <c r="BA185" s="4">
        <v>4.2999999999999997E-2</v>
      </c>
      <c r="BB185" s="4">
        <v>-0.69099999999999995</v>
      </c>
      <c r="BC185" s="4">
        <v>-0.25800000000000001</v>
      </c>
      <c r="BD185" s="4">
        <v>-9.2999999999999999E-2</v>
      </c>
      <c r="BE185" s="4">
        <v>0.20100000000000001</v>
      </c>
      <c r="BF185" s="4">
        <v>-0.41099999999999998</v>
      </c>
      <c r="BG185" s="4">
        <v>0.72499999999999998</v>
      </c>
      <c r="BH185" s="4">
        <v>-0.44600000000000001</v>
      </c>
      <c r="BI185" s="4">
        <v>-0.55100000000000005</v>
      </c>
      <c r="BJ185" s="4">
        <v>0.20599999999999999</v>
      </c>
      <c r="BK185" s="4">
        <v>-0.41099999999999998</v>
      </c>
    </row>
    <row r="186" spans="1:63" x14ac:dyDescent="0.3">
      <c r="A186" t="s">
        <v>215</v>
      </c>
      <c r="B186" s="53">
        <f t="shared" si="14"/>
        <v>0</v>
      </c>
      <c r="C186" s="53">
        <f t="shared" si="15"/>
        <v>0</v>
      </c>
      <c r="D186" s="53">
        <f t="shared" si="16"/>
        <v>0</v>
      </c>
      <c r="E186" s="53">
        <v>0</v>
      </c>
      <c r="F186" s="15">
        <v>0.52900000000000003</v>
      </c>
      <c r="G186">
        <v>0.376</v>
      </c>
      <c r="H186" t="s">
        <v>55</v>
      </c>
      <c r="I186" t="str">
        <f>VLOOKUP(A186,Planilha6!$BL$9:$BN$222,2,0)</f>
        <v>telecom</v>
      </c>
      <c r="J186" t="str">
        <f>VLOOKUP(A186,Planilha6!$BL$9:$BN$222,3,0)</f>
        <v>very_low_beta</v>
      </c>
      <c r="K186" s="2">
        <v>0</v>
      </c>
      <c r="L186" s="2">
        <v>0</v>
      </c>
      <c r="M186" s="29">
        <v>0</v>
      </c>
      <c r="N186" s="47">
        <f>VLOOKUP(A186,'Mandato ISEE'!$A$1:$C$215,2,0)</f>
        <v>0</v>
      </c>
      <c r="O186" s="48">
        <f t="shared" si="17"/>
        <v>0</v>
      </c>
      <c r="P186" s="47">
        <f>VLOOKUP(A186,'Mandato ISEE'!$A$1:$C$215,3,0)</f>
        <v>0</v>
      </c>
      <c r="Q186" s="48">
        <f t="shared" si="18"/>
        <v>0</v>
      </c>
      <c r="R186" s="15">
        <v>-0.85</v>
      </c>
      <c r="S186" s="15">
        <v>-0.82</v>
      </c>
      <c r="T186" s="15">
        <v>-0.874</v>
      </c>
      <c r="U186" s="15">
        <v>-0.82899999999999996</v>
      </c>
      <c r="V186" s="15">
        <v>-0.84299999999999997</v>
      </c>
      <c r="W186" s="15">
        <v>-0.88300000000000001</v>
      </c>
      <c r="X186" s="15">
        <v>-0.86099999999999999</v>
      </c>
      <c r="Y186" s="15">
        <v>-0.88300000000000001</v>
      </c>
      <c r="Z186" s="15">
        <v>0.223</v>
      </c>
      <c r="AA186" s="15">
        <v>0.217</v>
      </c>
      <c r="AB186" s="15">
        <v>0.51</v>
      </c>
      <c r="AC186" s="15">
        <v>0.42599999999999999</v>
      </c>
      <c r="AD186" s="15">
        <v>0.32200000000000001</v>
      </c>
      <c r="AE186" s="14">
        <v>-0.80800000000000005</v>
      </c>
      <c r="AF186" s="15">
        <v>-0.433</v>
      </c>
      <c r="AG186" s="15">
        <v>-0.503</v>
      </c>
      <c r="AH186" s="15">
        <v>-0.41399999999999998</v>
      </c>
      <c r="AI186" s="15">
        <v>0.17</v>
      </c>
      <c r="AJ186" s="9">
        <v>-0.40899999999999997</v>
      </c>
      <c r="AK186" s="4">
        <v>-0.20599999999999999</v>
      </c>
      <c r="AL186" s="4">
        <v>-0.93</v>
      </c>
      <c r="AM186" s="4">
        <v>-0.20499999999999999</v>
      </c>
      <c r="AN186" s="4">
        <v>9.6000000000000002E-2</v>
      </c>
      <c r="AO186" s="4">
        <v>0.32800000000000001</v>
      </c>
      <c r="AP186" s="4">
        <v>-0.39200000000000002</v>
      </c>
      <c r="AQ186" s="4">
        <v>0.17699999999999999</v>
      </c>
      <c r="AR186" s="4">
        <v>3.3000000000000002E-2</v>
      </c>
      <c r="AS186" s="4">
        <v>-6.3E-2</v>
      </c>
      <c r="AT186" s="4">
        <v>-6.0000000000000001E-3</v>
      </c>
      <c r="AU186" s="4">
        <v>0.23100000000000001</v>
      </c>
      <c r="AV186" s="4">
        <v>-0.24299999999999999</v>
      </c>
      <c r="AW186" s="4">
        <v>-0.42199999999999999</v>
      </c>
      <c r="AX186" s="4">
        <v>-0.218</v>
      </c>
      <c r="AY186" s="4">
        <v>0.80500000000000005</v>
      </c>
      <c r="AZ186" s="4">
        <v>-0.17499999999999999</v>
      </c>
      <c r="BA186" s="4">
        <v>0.68799999999999994</v>
      </c>
      <c r="BB186" s="4">
        <v>-0.24099999999999999</v>
      </c>
      <c r="BC186" s="4">
        <v>-0.55500000000000005</v>
      </c>
      <c r="BD186" s="4">
        <v>0.36</v>
      </c>
      <c r="BE186" s="4">
        <v>-1</v>
      </c>
      <c r="BF186" s="4">
        <v>-1</v>
      </c>
      <c r="BG186" s="4">
        <v>-0.70299999999999996</v>
      </c>
      <c r="BH186" s="4">
        <v>-0.38700000000000001</v>
      </c>
      <c r="BI186" s="4">
        <v>-0.59</v>
      </c>
      <c r="BJ186" s="4">
        <v>-0.18</v>
      </c>
      <c r="BK186" s="4">
        <v>0.55600000000000005</v>
      </c>
    </row>
    <row r="187" spans="1:63" x14ac:dyDescent="0.3">
      <c r="A187" t="s">
        <v>236</v>
      </c>
      <c r="B187" s="53">
        <f t="shared" si="14"/>
        <v>0</v>
      </c>
      <c r="C187" s="53">
        <f t="shared" si="15"/>
        <v>-3.0000000000000001E-3</v>
      </c>
      <c r="D187" s="53">
        <f t="shared" si="16"/>
        <v>0</v>
      </c>
      <c r="E187" s="53">
        <v>3.0000000000000001E-3</v>
      </c>
      <c r="F187" s="15">
        <v>0.52700000000000002</v>
      </c>
      <c r="G187">
        <v>0.56499999999999995</v>
      </c>
      <c r="H187" t="s">
        <v>68</v>
      </c>
      <c r="I187" t="str">
        <f>VLOOKUP(A187,Planilha6!$BL$9:$BN$222,2,0)</f>
        <v>building_materials</v>
      </c>
      <c r="J187" t="str">
        <f>VLOOKUP(A187,Planilha6!$BL$9:$BN$222,3,0)</f>
        <v>very_high_beta</v>
      </c>
      <c r="K187" s="2">
        <v>0</v>
      </c>
      <c r="L187" s="2">
        <v>-3.0000000000000001E-3</v>
      </c>
      <c r="M187" s="29">
        <v>3.0000000000000001E-3</v>
      </c>
      <c r="N187" s="47">
        <f>VLOOKUP(A187,'Mandato ISEE'!$A$1:$C$215,2,0)</f>
        <v>0</v>
      </c>
      <c r="O187" s="48">
        <f t="shared" si="17"/>
        <v>0</v>
      </c>
      <c r="P187" s="47">
        <f>VLOOKUP(A187,'Mandato ISEE'!$A$1:$C$215,3,0)</f>
        <v>0</v>
      </c>
      <c r="Q187" s="48">
        <f t="shared" si="18"/>
        <v>0</v>
      </c>
      <c r="R187" s="15">
        <v>-0.92100000000000004</v>
      </c>
      <c r="S187" s="15">
        <v>-0.82899999999999996</v>
      </c>
      <c r="T187" s="15">
        <v>-0.90700000000000003</v>
      </c>
      <c r="U187" s="15">
        <v>-0.90200000000000002</v>
      </c>
      <c r="V187" s="15">
        <v>-0.872</v>
      </c>
      <c r="W187" s="15">
        <v>-0.88900000000000001</v>
      </c>
      <c r="X187" s="15">
        <v>-0.83299999999999996</v>
      </c>
      <c r="Y187" s="15">
        <v>-0.84799999999999998</v>
      </c>
      <c r="Z187" s="15">
        <v>0.223</v>
      </c>
      <c r="AA187" s="15">
        <v>0.222</v>
      </c>
      <c r="AB187" s="15">
        <v>0.378</v>
      </c>
      <c r="AC187" s="15">
        <v>0.50800000000000001</v>
      </c>
      <c r="AD187" s="15">
        <v>0.33300000000000002</v>
      </c>
      <c r="AE187" s="14">
        <v>-0.52600000000000002</v>
      </c>
      <c r="AF187" s="15">
        <v>-0.99399999999999999</v>
      </c>
      <c r="AG187" s="15">
        <v>-0.36799999999999999</v>
      </c>
      <c r="AH187" s="15">
        <v>-0.58699999999999997</v>
      </c>
      <c r="AI187" s="15">
        <v>-0.51800000000000002</v>
      </c>
      <c r="AJ187" s="9">
        <v>-0.84799999999999998</v>
      </c>
      <c r="AK187" s="4">
        <v>-0.153</v>
      </c>
      <c r="AL187" s="4">
        <v>-0.75700000000000001</v>
      </c>
      <c r="AM187" s="4">
        <v>4.4999999999999998E-2</v>
      </c>
      <c r="AN187" s="4">
        <v>-0.61899999999999999</v>
      </c>
      <c r="AO187" s="4">
        <v>-2.7E-2</v>
      </c>
      <c r="AP187" s="4">
        <v>-0.186</v>
      </c>
      <c r="AQ187" s="4">
        <v>-0.75700000000000001</v>
      </c>
      <c r="AR187" s="4">
        <v>-0.72299999999999998</v>
      </c>
      <c r="AS187" s="4">
        <v>-0.442</v>
      </c>
      <c r="AT187" s="4">
        <v>-3.0000000000000001E-3</v>
      </c>
      <c r="AU187" s="4">
        <v>-0.32900000000000001</v>
      </c>
      <c r="AV187" s="4">
        <v>-0.21</v>
      </c>
      <c r="AW187" s="4">
        <v>3.5999999999999997E-2</v>
      </c>
      <c r="AX187" s="4">
        <v>-0.33300000000000002</v>
      </c>
      <c r="AY187" s="4">
        <v>0.9</v>
      </c>
      <c r="AZ187" s="4">
        <v>-0.27700000000000002</v>
      </c>
      <c r="BA187" s="4">
        <v>-0.17</v>
      </c>
      <c r="BB187" s="4">
        <v>1.7000000000000001E-2</v>
      </c>
      <c r="BC187" s="4">
        <v>-0.51200000000000001</v>
      </c>
      <c r="BD187" s="4">
        <v>9.9000000000000005E-2</v>
      </c>
      <c r="BE187" s="4">
        <v>-0.82899999999999996</v>
      </c>
      <c r="BF187" s="4">
        <v>-0.09</v>
      </c>
      <c r="BG187" s="4">
        <v>0.28100000000000003</v>
      </c>
      <c r="BH187" s="4">
        <v>0.107</v>
      </c>
      <c r="BI187" s="4">
        <v>0.66700000000000004</v>
      </c>
      <c r="BJ187" s="4">
        <v>0.41299999999999998</v>
      </c>
      <c r="BK187" s="4">
        <v>-0.22600000000000001</v>
      </c>
    </row>
    <row r="188" spans="1:63" x14ac:dyDescent="0.3">
      <c r="A188" t="s">
        <v>245</v>
      </c>
      <c r="B188" s="53">
        <f t="shared" si="14"/>
        <v>0</v>
      </c>
      <c r="C188" s="53">
        <f t="shared" si="15"/>
        <v>-3.0000000000000001E-3</v>
      </c>
      <c r="D188" s="53">
        <f t="shared" si="16"/>
        <v>0</v>
      </c>
      <c r="E188" s="53">
        <v>3.0000000000000001E-3</v>
      </c>
      <c r="F188" s="15">
        <v>0.52600000000000002</v>
      </c>
      <c r="G188">
        <v>0.4</v>
      </c>
      <c r="H188" t="s">
        <v>57</v>
      </c>
      <c r="I188" t="str">
        <f>VLOOKUP(A188,Planilha6!$BL$9:$BN$222,2,0)</f>
        <v>consumer_services</v>
      </c>
      <c r="J188" t="str">
        <f>VLOOKUP(A188,Planilha6!$BL$9:$BN$222,3,0)</f>
        <v>very_high_beta</v>
      </c>
      <c r="K188" s="2">
        <v>0</v>
      </c>
      <c r="L188" s="2">
        <v>-3.0000000000000001E-3</v>
      </c>
      <c r="M188" s="29">
        <v>3.0000000000000001E-3</v>
      </c>
      <c r="N188" s="47">
        <f>VLOOKUP(A188,'Mandato ISEE'!$A$1:$C$215,2,0)</f>
        <v>0</v>
      </c>
      <c r="O188" s="48">
        <f t="shared" si="17"/>
        <v>0</v>
      </c>
      <c r="P188" s="47">
        <f>VLOOKUP(A188,'Mandato ISEE'!$A$1:$C$215,3,0)</f>
        <v>0</v>
      </c>
      <c r="Q188" s="48">
        <f t="shared" si="18"/>
        <v>0</v>
      </c>
      <c r="R188" s="15">
        <v>-0.82799999999999996</v>
      </c>
      <c r="S188" s="15">
        <v>-0.81200000000000006</v>
      </c>
      <c r="T188" s="15">
        <v>-0.83499999999999996</v>
      </c>
      <c r="U188" s="15">
        <v>-0.86599999999999999</v>
      </c>
      <c r="V188" s="15">
        <v>-0.85699999999999998</v>
      </c>
      <c r="W188" s="15">
        <v>-0.84699999999999998</v>
      </c>
      <c r="X188" s="15">
        <v>-0.83799999999999997</v>
      </c>
      <c r="Y188" s="15">
        <v>-0.89100000000000001</v>
      </c>
      <c r="Z188" s="15">
        <v>0.28299999999999997</v>
      </c>
      <c r="AA188" s="15">
        <v>0.27800000000000002</v>
      </c>
      <c r="AB188" s="15">
        <v>0.28899999999999998</v>
      </c>
      <c r="AC188" s="15">
        <v>0.08</v>
      </c>
      <c r="AD188" s="15">
        <v>0.3</v>
      </c>
      <c r="AE188" s="14">
        <v>-0.752</v>
      </c>
      <c r="AF188" s="15">
        <v>-0.45200000000000001</v>
      </c>
      <c r="AG188" s="15">
        <v>-0.57999999999999996</v>
      </c>
      <c r="AH188" s="15">
        <v>-0.75700000000000001</v>
      </c>
      <c r="AI188" s="15">
        <v>-0.44900000000000001</v>
      </c>
      <c r="AJ188" s="9">
        <v>-0.85199999999999998</v>
      </c>
      <c r="AK188" s="4">
        <v>-0.121</v>
      </c>
      <c r="AL188" s="4">
        <v>-0.82399999999999995</v>
      </c>
      <c r="AM188" s="4">
        <v>0.154</v>
      </c>
      <c r="AN188" s="4">
        <v>5.7000000000000002E-2</v>
      </c>
      <c r="AO188" s="4">
        <v>-9.0999999999999998E-2</v>
      </c>
      <c r="AP188" s="4">
        <v>-1.6E-2</v>
      </c>
      <c r="AQ188" s="4">
        <v>-0.112</v>
      </c>
      <c r="AR188" s="4">
        <v>0.79300000000000004</v>
      </c>
      <c r="AS188" s="4">
        <v>0.23899999999999999</v>
      </c>
      <c r="AT188" s="4">
        <v>-4.0000000000000001E-3</v>
      </c>
      <c r="AU188" s="4">
        <v>-0.43</v>
      </c>
      <c r="AV188" s="4">
        <v>-0.3</v>
      </c>
      <c r="AW188" s="4">
        <v>-0.77300000000000002</v>
      </c>
      <c r="AX188" s="4">
        <v>-0.50700000000000001</v>
      </c>
      <c r="AY188" s="4">
        <v>0.624</v>
      </c>
      <c r="AZ188" s="4">
        <v>0.20200000000000001</v>
      </c>
      <c r="BA188" s="4">
        <v>-0.106</v>
      </c>
      <c r="BB188" s="4">
        <v>-0.25900000000000001</v>
      </c>
      <c r="BC188" s="4">
        <v>-0.61399999999999999</v>
      </c>
      <c r="BD188" s="4">
        <v>0.11899999999999999</v>
      </c>
      <c r="BE188" s="4">
        <v>0.218</v>
      </c>
      <c r="BF188" s="4">
        <v>-0.85199999999999998</v>
      </c>
      <c r="BG188" s="4">
        <v>0.22700000000000001</v>
      </c>
      <c r="BH188" s="4">
        <v>6.7000000000000004E-2</v>
      </c>
      <c r="BI188" s="4">
        <v>0.627</v>
      </c>
      <c r="BJ188" s="4">
        <v>-0.04</v>
      </c>
      <c r="BK188" s="4">
        <v>2.8000000000000001E-2</v>
      </c>
    </row>
    <row r="189" spans="1:63" x14ac:dyDescent="0.3">
      <c r="A189" t="s">
        <v>231</v>
      </c>
      <c r="B189" s="53">
        <f t="shared" si="14"/>
        <v>0</v>
      </c>
      <c r="C189" s="53">
        <f t="shared" si="15"/>
        <v>-3.0000000000000001E-3</v>
      </c>
      <c r="D189" s="53">
        <f t="shared" si="16"/>
        <v>0</v>
      </c>
      <c r="E189" s="53">
        <v>3.0000000000000001E-3</v>
      </c>
      <c r="F189" s="15">
        <v>0.52600000000000002</v>
      </c>
      <c r="G189">
        <v>0.56399999999999995</v>
      </c>
      <c r="H189" t="s">
        <v>71</v>
      </c>
      <c r="I189" t="str">
        <f>VLOOKUP(A189,Planilha6!$BL$9:$BN$222,2,0)</f>
        <v>food</v>
      </c>
      <c r="J189" t="str">
        <f>VLOOKUP(A189,Planilha6!$BL$9:$BN$222,3,0)</f>
        <v>low_beta</v>
      </c>
      <c r="K189" s="2">
        <v>0</v>
      </c>
      <c r="L189" s="2">
        <v>-3.0000000000000001E-3</v>
      </c>
      <c r="M189" s="29">
        <v>3.0000000000000001E-3</v>
      </c>
      <c r="N189" s="47">
        <f>VLOOKUP(A189,'Mandato ISEE'!$A$1:$C$215,2,0)</f>
        <v>0</v>
      </c>
      <c r="O189" s="48">
        <f t="shared" si="17"/>
        <v>0</v>
      </c>
      <c r="P189" s="47">
        <f>VLOOKUP(A189,'Mandato ISEE'!$A$1:$C$215,3,0)</f>
        <v>0</v>
      </c>
      <c r="Q189" s="48">
        <f t="shared" si="18"/>
        <v>0</v>
      </c>
      <c r="R189" s="15">
        <v>-0.95399999999999996</v>
      </c>
      <c r="S189" s="15">
        <v>-0.84399999999999997</v>
      </c>
      <c r="T189" s="15">
        <v>-0.98</v>
      </c>
      <c r="U189" s="15">
        <v>-0.91200000000000003</v>
      </c>
      <c r="V189" s="15">
        <v>-0.89400000000000002</v>
      </c>
      <c r="W189" s="15">
        <v>-0.79800000000000004</v>
      </c>
      <c r="X189" s="15">
        <v>-0.71199999999999997</v>
      </c>
      <c r="Y189" s="15">
        <v>-0.83699999999999997</v>
      </c>
      <c r="Z189" s="15">
        <v>0.23699999999999999</v>
      </c>
      <c r="AA189" s="15">
        <v>0.23899999999999999</v>
      </c>
      <c r="AB189" s="15">
        <v>0.46800000000000003</v>
      </c>
      <c r="AC189" s="15">
        <v>0.501</v>
      </c>
      <c r="AD189" s="15">
        <v>0.24399999999999999</v>
      </c>
      <c r="AE189" s="14">
        <v>-0.85799999999999998</v>
      </c>
      <c r="AF189" s="15">
        <v>-0.72899999999999998</v>
      </c>
      <c r="AG189" s="15">
        <v>-0.69599999999999995</v>
      </c>
      <c r="AH189" s="15">
        <v>-0.78600000000000003</v>
      </c>
      <c r="AI189" s="15">
        <v>-0.69899999999999995</v>
      </c>
      <c r="AJ189" s="9">
        <v>-0.72</v>
      </c>
      <c r="AK189" s="4">
        <v>-0.52500000000000002</v>
      </c>
      <c r="AL189" s="4">
        <v>-0.83699999999999997</v>
      </c>
      <c r="AM189" s="4">
        <v>-0.63300000000000001</v>
      </c>
      <c r="AN189" s="4">
        <v>-5.7000000000000002E-2</v>
      </c>
      <c r="AO189" s="4">
        <v>4.9000000000000002E-2</v>
      </c>
      <c r="AP189" s="4">
        <v>-5.0999999999999997E-2</v>
      </c>
      <c r="AQ189" s="4">
        <v>0.21299999999999999</v>
      </c>
      <c r="AR189" s="4">
        <v>-0.318</v>
      </c>
      <c r="AS189" s="4">
        <v>-0.77200000000000002</v>
      </c>
      <c r="AT189" s="4">
        <v>0.29499999999999998</v>
      </c>
      <c r="AU189" s="4">
        <v>-0.38</v>
      </c>
      <c r="AV189" s="4">
        <v>-0.38700000000000001</v>
      </c>
      <c r="AW189" s="4">
        <v>0.44500000000000001</v>
      </c>
      <c r="AX189" s="4">
        <v>6.6000000000000003E-2</v>
      </c>
      <c r="AY189" s="4">
        <v>0.81</v>
      </c>
      <c r="AZ189" s="4">
        <v>-0.68799999999999994</v>
      </c>
      <c r="BA189" s="4">
        <v>0.49299999999999999</v>
      </c>
      <c r="BB189" s="4">
        <v>-0.96699999999999997</v>
      </c>
      <c r="BC189" s="4">
        <v>-0.76700000000000002</v>
      </c>
      <c r="BD189" s="4">
        <v>-0.86299999999999999</v>
      </c>
      <c r="BE189" s="4">
        <v>-2.8000000000000001E-2</v>
      </c>
      <c r="BF189" s="4">
        <v>-0.39800000000000002</v>
      </c>
      <c r="BG189" s="4">
        <v>0.79200000000000004</v>
      </c>
      <c r="BH189" s="4">
        <v>-0.36899999999999999</v>
      </c>
      <c r="BI189" s="4">
        <v>-0.47299999999999998</v>
      </c>
      <c r="BJ189" s="4">
        <v>0.33500000000000002</v>
      </c>
      <c r="BK189" s="4">
        <v>-3.5999999999999997E-2</v>
      </c>
    </row>
    <row r="190" spans="1:63" x14ac:dyDescent="0.3">
      <c r="A190" t="s">
        <v>248</v>
      </c>
      <c r="B190" s="53">
        <f t="shared" si="14"/>
        <v>0</v>
      </c>
      <c r="C190" s="53">
        <f t="shared" si="15"/>
        <v>-5.0000000000000001E-3</v>
      </c>
      <c r="D190" s="53">
        <f t="shared" si="16"/>
        <v>0</v>
      </c>
      <c r="E190" s="53">
        <v>5.0000000000000001E-3</v>
      </c>
      <c r="F190" s="15">
        <v>0.52500000000000002</v>
      </c>
      <c r="G190">
        <v>0.42199999999999999</v>
      </c>
      <c r="H190" t="s">
        <v>57</v>
      </c>
      <c r="I190" t="str">
        <f>VLOOKUP(A190,Planilha6!$BL$9:$BN$222,2,0)</f>
        <v>homebuilders</v>
      </c>
      <c r="J190" t="str">
        <f>VLOOKUP(A190,Planilha6!$BL$9:$BN$222,3,0)</f>
        <v>very_high_beta</v>
      </c>
      <c r="K190" s="2">
        <v>0</v>
      </c>
      <c r="L190" s="2">
        <v>-5.0000000000000001E-3</v>
      </c>
      <c r="M190" s="29">
        <v>5.0000000000000001E-3</v>
      </c>
      <c r="N190" s="47">
        <f>VLOOKUP(A190,'Mandato ISEE'!$A$1:$C$215,2,0)</f>
        <v>0</v>
      </c>
      <c r="O190" s="48">
        <f t="shared" si="17"/>
        <v>0</v>
      </c>
      <c r="P190" s="47">
        <f>VLOOKUP(A190,'Mandato ISEE'!$A$1:$C$215,3,0)</f>
        <v>0</v>
      </c>
      <c r="Q190" s="48">
        <f t="shared" si="18"/>
        <v>0</v>
      </c>
      <c r="R190" s="15">
        <v>-0.71699999999999997</v>
      </c>
      <c r="S190" s="15">
        <v>-0.72</v>
      </c>
      <c r="T190" s="15">
        <v>-0.752</v>
      </c>
      <c r="U190" s="15">
        <v>-0.77100000000000002</v>
      </c>
      <c r="V190" s="15">
        <v>-0.75800000000000001</v>
      </c>
      <c r="W190" s="15">
        <v>-0.79800000000000004</v>
      </c>
      <c r="X190" s="15">
        <v>-0.81899999999999995</v>
      </c>
      <c r="Y190" s="15">
        <v>-0.83899999999999997</v>
      </c>
      <c r="Z190" s="15">
        <v>-0.112</v>
      </c>
      <c r="AA190" s="15">
        <v>-0.115</v>
      </c>
      <c r="AB190" s="15">
        <v>0.28399999999999997</v>
      </c>
      <c r="AC190" s="15">
        <v>0.56999999999999995</v>
      </c>
      <c r="AD190" s="15">
        <v>7.3999999999999996E-2</v>
      </c>
      <c r="AE190" s="14">
        <v>-0.318</v>
      </c>
      <c r="AF190" s="15">
        <v>-0.10199999999999999</v>
      </c>
      <c r="AG190" s="15">
        <v>-0.44</v>
      </c>
      <c r="AH190" s="15">
        <v>-0.40699999999999997</v>
      </c>
      <c r="AI190" s="15">
        <v>-0.114</v>
      </c>
      <c r="AJ190" s="9">
        <v>-0.75800000000000001</v>
      </c>
      <c r="AK190" s="4">
        <v>-0.126</v>
      </c>
      <c r="AL190" s="4">
        <v>-1</v>
      </c>
      <c r="AM190" s="4">
        <v>-6.9000000000000006E-2</v>
      </c>
      <c r="AN190" s="4">
        <v>-0.156</v>
      </c>
      <c r="AO190" s="4">
        <v>3.4000000000000002E-2</v>
      </c>
      <c r="AP190" s="4">
        <v>1.0999999999999999E-2</v>
      </c>
      <c r="AQ190" s="4">
        <v>-7.6999999999999999E-2</v>
      </c>
      <c r="AR190" s="4">
        <v>0.53500000000000003</v>
      </c>
      <c r="AS190" s="4">
        <v>0.2</v>
      </c>
      <c r="AT190" s="4">
        <v>-0.187</v>
      </c>
      <c r="AU190" s="4">
        <v>-0.439</v>
      </c>
      <c r="AV190" s="4">
        <v>-0.107</v>
      </c>
      <c r="AW190" s="4">
        <v>-0.45900000000000002</v>
      </c>
      <c r="AX190" s="4">
        <v>-0.85699999999999998</v>
      </c>
      <c r="AY190" s="4">
        <v>0.61599999999999999</v>
      </c>
      <c r="AZ190" s="4">
        <v>0.68100000000000005</v>
      </c>
      <c r="BA190" s="4">
        <v>0.44400000000000001</v>
      </c>
      <c r="BB190" s="4">
        <v>0.14799999999999999</v>
      </c>
      <c r="BC190" s="4">
        <v>-0.23</v>
      </c>
      <c r="BD190" s="4">
        <v>0.437</v>
      </c>
      <c r="BE190" s="4">
        <v>0.35</v>
      </c>
      <c r="BF190" s="4">
        <v>0.28199999999999997</v>
      </c>
      <c r="BG190" s="4">
        <v>6.8000000000000005E-2</v>
      </c>
      <c r="BH190" s="4">
        <v>-7.0000000000000001E-3</v>
      </c>
      <c r="BI190" s="4">
        <v>0.59899999999999998</v>
      </c>
      <c r="BJ190" s="4">
        <v>-0.68500000000000005</v>
      </c>
      <c r="BK190" s="4">
        <v>-8.9999999999999993E-3</v>
      </c>
    </row>
    <row r="191" spans="1:63" x14ac:dyDescent="0.3">
      <c r="A191" t="s">
        <v>181</v>
      </c>
      <c r="B191" s="53">
        <f t="shared" si="14"/>
        <v>0</v>
      </c>
      <c r="C191" s="53">
        <f t="shared" si="15"/>
        <v>0</v>
      </c>
      <c r="D191" s="53">
        <f t="shared" si="16"/>
        <v>0</v>
      </c>
      <c r="E191" s="53">
        <v>0</v>
      </c>
      <c r="F191" s="15">
        <v>0.52400000000000002</v>
      </c>
      <c r="G191">
        <v>0.432</v>
      </c>
      <c r="H191" t="s">
        <v>68</v>
      </c>
      <c r="I191" t="str">
        <f>VLOOKUP(A191,Planilha6!$BL$9:$BN$222,2,0)</f>
        <v>capital_goods</v>
      </c>
      <c r="J191" t="str">
        <f>VLOOKUP(A191,Planilha6!$BL$9:$BN$222,3,0)</f>
        <v>very_high_beta</v>
      </c>
      <c r="K191" s="2">
        <v>0</v>
      </c>
      <c r="L191" s="2">
        <v>0</v>
      </c>
      <c r="M191" s="29">
        <v>0</v>
      </c>
      <c r="N191" s="47">
        <f>VLOOKUP(A191,'Mandato ISEE'!$A$1:$C$215,2,0)</f>
        <v>0</v>
      </c>
      <c r="O191" s="48">
        <f t="shared" si="17"/>
        <v>0</v>
      </c>
      <c r="P191" s="47">
        <f>VLOOKUP(A191,'Mandato ISEE'!$A$1:$C$215,3,0)</f>
        <v>0</v>
      </c>
      <c r="Q191" s="48">
        <f t="shared" si="18"/>
        <v>0</v>
      </c>
      <c r="R191" s="15">
        <v>-0.78900000000000003</v>
      </c>
      <c r="S191" s="15">
        <v>-0.69799999999999995</v>
      </c>
      <c r="T191" s="15">
        <v>-0.93400000000000005</v>
      </c>
      <c r="U191" s="15">
        <v>-0.78</v>
      </c>
      <c r="V191" s="15">
        <v>-0.80400000000000005</v>
      </c>
      <c r="W191" s="15">
        <v>-0.71099999999999997</v>
      </c>
      <c r="X191" s="15">
        <v>-0.58399999999999996</v>
      </c>
      <c r="Y191" s="15">
        <v>-0.77100000000000002</v>
      </c>
      <c r="Z191" s="15">
        <v>0.11799999999999999</v>
      </c>
      <c r="AA191" s="15">
        <v>0.11899999999999999</v>
      </c>
      <c r="AB191" s="15">
        <v>0.44800000000000001</v>
      </c>
      <c r="AC191" s="15">
        <v>0.42899999999999999</v>
      </c>
      <c r="AD191" s="15">
        <v>-0.152</v>
      </c>
      <c r="AE191" s="14">
        <v>-0.435</v>
      </c>
      <c r="AF191" s="15">
        <v>-0.48499999999999999</v>
      </c>
      <c r="AG191" s="15">
        <v>-0.94899999999999995</v>
      </c>
      <c r="AH191" s="15">
        <v>-1</v>
      </c>
      <c r="AI191" s="15">
        <v>-1</v>
      </c>
      <c r="AJ191" s="9">
        <v>-0.77900000000000003</v>
      </c>
      <c r="AK191" s="4">
        <v>-0.28699999999999998</v>
      </c>
      <c r="AL191" s="4">
        <v>-0.94199999999999995</v>
      </c>
      <c r="AM191" s="4">
        <v>-0.72899999999999998</v>
      </c>
      <c r="AN191" s="4">
        <v>0.44600000000000001</v>
      </c>
      <c r="AO191" s="4">
        <v>-0.26500000000000001</v>
      </c>
      <c r="AP191" s="4">
        <v>-0.66800000000000004</v>
      </c>
      <c r="AQ191" s="4">
        <v>0.45500000000000002</v>
      </c>
      <c r="AR191" s="4">
        <v>0.47299999999999998</v>
      </c>
      <c r="AS191" s="4">
        <v>-7.3999999999999996E-2</v>
      </c>
      <c r="AT191" s="4">
        <v>9.9000000000000005E-2</v>
      </c>
      <c r="AU191" s="4">
        <v>-0.217</v>
      </c>
      <c r="AV191" s="4">
        <v>0.28399999999999997</v>
      </c>
      <c r="AW191" s="4">
        <v>0.41899999999999998</v>
      </c>
      <c r="AX191" s="4">
        <v>0.216</v>
      </c>
      <c r="AY191" s="4">
        <v>0.49299999999999999</v>
      </c>
      <c r="AZ191" s="4">
        <v>0.18</v>
      </c>
      <c r="BA191" s="4">
        <v>0.29899999999999999</v>
      </c>
      <c r="BB191" s="4">
        <v>0.224</v>
      </c>
      <c r="BC191" s="4">
        <v>0.17799999999999999</v>
      </c>
      <c r="BD191" s="4">
        <v>0.44500000000000001</v>
      </c>
      <c r="BE191" s="4">
        <v>-0.33800000000000002</v>
      </c>
      <c r="BF191" s="4">
        <v>-0.30599999999999999</v>
      </c>
      <c r="BG191" s="4">
        <v>0.34200000000000003</v>
      </c>
      <c r="BH191" s="4">
        <v>-0.98699999999999999</v>
      </c>
      <c r="BI191" s="4">
        <v>0.83099999999999996</v>
      </c>
      <c r="BJ191" s="4">
        <v>-0.435</v>
      </c>
      <c r="BK191" s="4">
        <v>-0.81100000000000005</v>
      </c>
    </row>
    <row r="192" spans="1:63" x14ac:dyDescent="0.3">
      <c r="A192" t="s">
        <v>223</v>
      </c>
      <c r="B192" s="53">
        <f t="shared" si="14"/>
        <v>0</v>
      </c>
      <c r="C192" s="53">
        <f t="shared" si="15"/>
        <v>0</v>
      </c>
      <c r="D192" s="53">
        <f t="shared" si="16"/>
        <v>0</v>
      </c>
      <c r="E192" s="53">
        <v>0</v>
      </c>
      <c r="F192" s="15">
        <v>0.52400000000000002</v>
      </c>
      <c r="G192">
        <v>0.58099999999999996</v>
      </c>
      <c r="H192" t="s">
        <v>68</v>
      </c>
      <c r="I192" t="str">
        <f>VLOOKUP(A192,Planilha6!$BL$9:$BN$222,2,0)</f>
        <v>capital_goods</v>
      </c>
      <c r="J192" t="str">
        <f>VLOOKUP(A192,Planilha6!$BL$9:$BN$222,3,0)</f>
        <v>high_beta</v>
      </c>
      <c r="K192" s="2">
        <v>0</v>
      </c>
      <c r="L192" s="2">
        <v>0</v>
      </c>
      <c r="M192" s="29">
        <v>0</v>
      </c>
      <c r="N192" s="47">
        <f>VLOOKUP(A192,'Mandato ISEE'!$A$1:$C$215,2,0)</f>
        <v>0</v>
      </c>
      <c r="O192" s="48">
        <f t="shared" si="17"/>
        <v>0</v>
      </c>
      <c r="P192" s="47">
        <f>VLOOKUP(A192,'Mandato ISEE'!$A$1:$C$215,3,0)</f>
        <v>0</v>
      </c>
      <c r="Q192" s="48">
        <f t="shared" si="18"/>
        <v>0</v>
      </c>
      <c r="R192" s="15">
        <v>-0.91400000000000003</v>
      </c>
      <c r="S192" s="15">
        <v>-0.75800000000000001</v>
      </c>
      <c r="T192" s="15">
        <v>-0.878</v>
      </c>
      <c r="U192" s="15">
        <v>-0.9</v>
      </c>
      <c r="V192" s="15">
        <v>-0.83199999999999996</v>
      </c>
      <c r="W192" s="15">
        <v>-0.86299999999999999</v>
      </c>
      <c r="X192" s="15">
        <v>-0.78700000000000003</v>
      </c>
      <c r="Y192" s="15">
        <v>-0.82299999999999995</v>
      </c>
      <c r="Z192" s="15">
        <v>0.219</v>
      </c>
      <c r="AA192" s="15">
        <v>0.216</v>
      </c>
      <c r="AB192" s="15">
        <v>0.30499999999999999</v>
      </c>
      <c r="AC192" s="15">
        <v>0.214</v>
      </c>
      <c r="AD192" s="15">
        <v>0.24099999999999999</v>
      </c>
      <c r="AE192" s="14">
        <v>-0.92400000000000004</v>
      </c>
      <c r="AF192" s="15">
        <v>-1</v>
      </c>
      <c r="AG192" s="15">
        <v>-0.108</v>
      </c>
      <c r="AH192" s="15">
        <v>-0.45200000000000001</v>
      </c>
      <c r="AI192" s="15">
        <v>1</v>
      </c>
      <c r="AJ192" s="9">
        <v>-0.55400000000000005</v>
      </c>
      <c r="AK192" s="4">
        <v>-0.31</v>
      </c>
      <c r="AL192" s="4">
        <v>-0.95</v>
      </c>
      <c r="AM192" s="4">
        <v>-0.57999999999999996</v>
      </c>
      <c r="AN192" s="4">
        <v>-0.379</v>
      </c>
      <c r="AO192" s="4">
        <v>0.436</v>
      </c>
      <c r="AP192" s="4">
        <v>0.95699999999999996</v>
      </c>
      <c r="AQ192" s="4">
        <v>-0.78600000000000003</v>
      </c>
      <c r="AR192" s="4">
        <v>-1</v>
      </c>
      <c r="AS192" s="4">
        <v>-0.85799999999999998</v>
      </c>
      <c r="AT192" s="4">
        <v>0.185</v>
      </c>
      <c r="AU192" s="4">
        <v>-0.35699999999999998</v>
      </c>
      <c r="AV192" s="4">
        <v>-0.42499999999999999</v>
      </c>
      <c r="AW192" s="4">
        <v>0.56699999999999995</v>
      </c>
      <c r="AX192" s="4">
        <v>-0.14799999999999999</v>
      </c>
      <c r="AY192" s="4">
        <v>0.82899999999999996</v>
      </c>
      <c r="AZ192" s="4">
        <v>-0.55700000000000005</v>
      </c>
      <c r="BA192" s="4">
        <v>-0.126</v>
      </c>
      <c r="BB192" s="4">
        <v>-1</v>
      </c>
      <c r="BC192" s="4">
        <v>-0.77700000000000002</v>
      </c>
      <c r="BD192" s="4">
        <v>-0.67300000000000004</v>
      </c>
      <c r="BE192" s="4">
        <v>-0.107</v>
      </c>
      <c r="BF192" s="4">
        <v>-0.41299999999999998</v>
      </c>
      <c r="BG192" s="4">
        <v>0.52500000000000002</v>
      </c>
      <c r="BH192" s="4">
        <v>-0.67800000000000005</v>
      </c>
      <c r="BI192" s="4">
        <v>0.39700000000000002</v>
      </c>
      <c r="BJ192" s="4">
        <v>0.11799999999999999</v>
      </c>
      <c r="BK192" s="4">
        <v>0.436</v>
      </c>
    </row>
    <row r="193" spans="1:63" x14ac:dyDescent="0.3">
      <c r="A193" t="s">
        <v>149</v>
      </c>
      <c r="B193" s="53">
        <f t="shared" si="14"/>
        <v>0</v>
      </c>
      <c r="C193" s="53">
        <f t="shared" si="15"/>
        <v>0</v>
      </c>
      <c r="D193" s="53">
        <f t="shared" si="16"/>
        <v>0</v>
      </c>
      <c r="E193" s="53">
        <v>0</v>
      </c>
      <c r="F193" s="15">
        <v>0.51900000000000002</v>
      </c>
      <c r="G193">
        <v>0.38800000000000001</v>
      </c>
      <c r="H193" t="s">
        <v>53</v>
      </c>
      <c r="I193" t="str">
        <f>VLOOKUP(A193,Planilha6!$BL$9:$BN$222,2,0)</f>
        <v>healthcare</v>
      </c>
      <c r="J193" t="str">
        <f>VLOOKUP(A193,Planilha6!$BL$9:$BN$222,3,0)</f>
        <v>very_high_beta</v>
      </c>
      <c r="K193" s="2">
        <v>0</v>
      </c>
      <c r="L193" s="2">
        <v>0</v>
      </c>
      <c r="M193" s="29">
        <v>0</v>
      </c>
      <c r="N193" s="47">
        <f>VLOOKUP(A193,'Mandato ISEE'!$A$1:$C$215,2,0)</f>
        <v>0</v>
      </c>
      <c r="O193" s="48">
        <f t="shared" si="17"/>
        <v>0</v>
      </c>
      <c r="P193" s="47">
        <f>VLOOKUP(A193,'Mandato ISEE'!$A$1:$C$215,3,0)</f>
        <v>0</v>
      </c>
      <c r="Q193" s="48">
        <f t="shared" si="18"/>
        <v>0</v>
      </c>
      <c r="R193" s="15">
        <v>-0.443</v>
      </c>
      <c r="S193" s="15">
        <v>-0.77700000000000002</v>
      </c>
      <c r="T193" s="15">
        <v>-0.254</v>
      </c>
      <c r="U193" s="15">
        <v>-0.69699999999999995</v>
      </c>
      <c r="V193" s="15">
        <v>-0.73199999999999998</v>
      </c>
      <c r="W193" s="15">
        <v>-0.81699999999999995</v>
      </c>
      <c r="X193" s="15">
        <v>-0.82899999999999996</v>
      </c>
      <c r="Y193" s="15">
        <v>-0.871</v>
      </c>
      <c r="Z193" s="15">
        <v>-0.34499999999999997</v>
      </c>
      <c r="AA193" s="15">
        <v>-0.34</v>
      </c>
      <c r="AB193" s="15">
        <v>0.27700000000000002</v>
      </c>
      <c r="AC193" s="15">
        <v>-7.6999999999999999E-2</v>
      </c>
      <c r="AD193" s="15">
        <v>-0.20799999999999999</v>
      </c>
      <c r="AE193" s="14">
        <v>0.13200000000000001</v>
      </c>
      <c r="AF193" s="15">
        <v>-0.40400000000000003</v>
      </c>
      <c r="AG193" s="15">
        <v>-0.32200000000000001</v>
      </c>
      <c r="AH193" s="15">
        <v>0.85699999999999998</v>
      </c>
      <c r="AI193" s="15">
        <v>-0.17899999999999999</v>
      </c>
      <c r="AJ193" s="9">
        <v>-0.16</v>
      </c>
      <c r="AK193" s="4">
        <v>0.20399999999999999</v>
      </c>
      <c r="AL193" s="4">
        <v>-0.96399999999999997</v>
      </c>
      <c r="AM193" s="4">
        <v>0.30199999999999999</v>
      </c>
      <c r="AN193" s="4">
        <v>-0.16300000000000001</v>
      </c>
      <c r="AO193" s="4">
        <v>-0.58799999999999997</v>
      </c>
      <c r="AP193" s="4">
        <v>-0.58699999999999997</v>
      </c>
      <c r="AQ193" s="4">
        <v>-0.28899999999999998</v>
      </c>
      <c r="AR193" s="4">
        <v>6.2E-2</v>
      </c>
      <c r="AS193" s="4">
        <v>-3.2000000000000001E-2</v>
      </c>
      <c r="AT193" s="4">
        <v>6.8000000000000005E-2</v>
      </c>
      <c r="AU193" s="4">
        <v>0.123</v>
      </c>
      <c r="AV193" s="4">
        <v>0.193</v>
      </c>
      <c r="AW193" s="4">
        <v>-0.65400000000000003</v>
      </c>
      <c r="AX193" s="4">
        <v>-0.215</v>
      </c>
      <c r="AY193" s="4">
        <v>0.63700000000000001</v>
      </c>
      <c r="AZ193" s="4">
        <v>0.17699999999999999</v>
      </c>
      <c r="BA193" s="4">
        <v>0.33700000000000002</v>
      </c>
      <c r="BB193" s="4">
        <v>0.30099999999999999</v>
      </c>
      <c r="BC193" s="4">
        <v>0.10299999999999999</v>
      </c>
      <c r="BD193" s="4">
        <v>0.33700000000000002</v>
      </c>
      <c r="BE193" s="4">
        <v>-0.47</v>
      </c>
      <c r="BF193" s="4">
        <v>-0.79300000000000004</v>
      </c>
      <c r="BG193" s="4">
        <v>-0.66</v>
      </c>
      <c r="BH193" s="4">
        <v>0.67600000000000005</v>
      </c>
      <c r="BI193" s="4">
        <v>0.54100000000000004</v>
      </c>
      <c r="BJ193" s="4">
        <v>-0.14199999999999999</v>
      </c>
      <c r="BK193" s="4">
        <v>0.91200000000000003</v>
      </c>
    </row>
    <row r="194" spans="1:63" x14ac:dyDescent="0.3">
      <c r="A194" t="s">
        <v>246</v>
      </c>
      <c r="B194" s="53">
        <f t="shared" si="14"/>
        <v>0</v>
      </c>
      <c r="C194" s="53">
        <f t="shared" si="15"/>
        <v>-1.4999999999999999E-2</v>
      </c>
      <c r="D194" s="53">
        <f t="shared" si="16"/>
        <v>0</v>
      </c>
      <c r="E194" s="53">
        <v>1.4999999999999999E-2</v>
      </c>
      <c r="F194" s="15">
        <v>0.51600000000000001</v>
      </c>
      <c r="G194">
        <v>0.70099999999999996</v>
      </c>
      <c r="H194" t="s">
        <v>53</v>
      </c>
      <c r="I194" t="str">
        <f>VLOOKUP(A194,Planilha6!$BL$9:$BN$222,2,0)</f>
        <v>consumer_staples</v>
      </c>
      <c r="J194" t="str">
        <f>VLOOKUP(A194,Planilha6!$BL$9:$BN$222,3,0)</f>
        <v>high_beta</v>
      </c>
      <c r="K194" s="2">
        <v>0</v>
      </c>
      <c r="L194" s="2">
        <v>-1.4999999999999999E-2</v>
      </c>
      <c r="M194" s="29">
        <v>1.4999999999999999E-2</v>
      </c>
      <c r="N194" s="47">
        <f>VLOOKUP(A194,'Mandato ISEE'!$A$1:$C$215,2,0)</f>
        <v>0</v>
      </c>
      <c r="O194" s="48">
        <f t="shared" si="17"/>
        <v>0</v>
      </c>
      <c r="P194" s="47">
        <f>VLOOKUP(A194,'Mandato ISEE'!$A$1:$C$215,3,0)</f>
        <v>0</v>
      </c>
      <c r="Q194" s="48">
        <f t="shared" si="18"/>
        <v>0</v>
      </c>
      <c r="R194" s="15">
        <v>-0.80800000000000005</v>
      </c>
      <c r="S194" s="15">
        <v>-0.76</v>
      </c>
      <c r="T194" s="15">
        <v>-0.86899999999999999</v>
      </c>
      <c r="U194" s="15">
        <v>-0.84299999999999997</v>
      </c>
      <c r="V194" s="15">
        <v>-0.83</v>
      </c>
      <c r="W194" s="15">
        <v>-0.82499999999999996</v>
      </c>
      <c r="X194" s="15">
        <v>-0.79600000000000004</v>
      </c>
      <c r="Y194" s="15">
        <v>-0.81399999999999995</v>
      </c>
      <c r="Z194" s="15">
        <v>-0.16600000000000001</v>
      </c>
      <c r="AA194" s="15">
        <v>-0.16500000000000001</v>
      </c>
      <c r="AB194" s="15">
        <v>0.44500000000000001</v>
      </c>
      <c r="AC194" s="15">
        <v>0.56299999999999994</v>
      </c>
      <c r="AD194" s="15">
        <v>-6.8000000000000005E-2</v>
      </c>
      <c r="AE194" s="14">
        <v>-1</v>
      </c>
      <c r="AF194" s="15">
        <v>-0.42</v>
      </c>
      <c r="AG194" s="15">
        <v>-0.69299999999999995</v>
      </c>
      <c r="AH194" s="15">
        <v>-0.95099999999999996</v>
      </c>
      <c r="AI194" s="15">
        <v>-0.58799999999999997</v>
      </c>
      <c r="AJ194" s="9">
        <v>-0.51700000000000002</v>
      </c>
      <c r="AK194" s="4">
        <v>-0.53100000000000003</v>
      </c>
      <c r="AL194" s="4">
        <v>-0.68400000000000005</v>
      </c>
      <c r="AM194" s="4">
        <v>-0.53400000000000003</v>
      </c>
      <c r="AN194" s="4">
        <v>0.20499999999999999</v>
      </c>
      <c r="AO194" s="4">
        <v>-0.02</v>
      </c>
      <c r="AP194" s="4">
        <v>0.65</v>
      </c>
      <c r="AQ194" s="4">
        <v>0.17199999999999999</v>
      </c>
      <c r="AR194" s="4">
        <v>0.23100000000000001</v>
      </c>
      <c r="AS194" s="4">
        <v>0.254</v>
      </c>
      <c r="AT194" s="4">
        <v>-6.6000000000000003E-2</v>
      </c>
      <c r="AU194" s="4">
        <v>-0.19400000000000001</v>
      </c>
      <c r="AV194" s="4">
        <v>-0.47</v>
      </c>
      <c r="AW194" s="4">
        <v>0.27</v>
      </c>
      <c r="AX194" s="4">
        <v>-0.23400000000000001</v>
      </c>
      <c r="AY194" s="4">
        <v>0.92400000000000004</v>
      </c>
      <c r="AZ194" s="4">
        <v>0.20300000000000001</v>
      </c>
      <c r="BA194" s="4">
        <v>0.19600000000000001</v>
      </c>
      <c r="BB194" s="4">
        <v>-8.1000000000000003E-2</v>
      </c>
      <c r="BC194" s="4">
        <v>8.5999999999999993E-2</v>
      </c>
      <c r="BD194" s="4">
        <v>0.28100000000000003</v>
      </c>
      <c r="BE194" s="4">
        <v>-0.437</v>
      </c>
      <c r="BF194" s="4">
        <v>-1</v>
      </c>
      <c r="BG194" s="4">
        <v>-0.45</v>
      </c>
      <c r="BH194" s="4">
        <v>-0.182</v>
      </c>
      <c r="BI194" s="4">
        <v>0.16400000000000001</v>
      </c>
      <c r="BJ194" s="4">
        <v>-9.4E-2</v>
      </c>
      <c r="BK194" s="4">
        <v>-0.252</v>
      </c>
    </row>
    <row r="195" spans="1:63" x14ac:dyDescent="0.3">
      <c r="A195" t="s">
        <v>224</v>
      </c>
      <c r="B195" s="53">
        <f t="shared" si="14"/>
        <v>0</v>
      </c>
      <c r="C195" s="53">
        <f t="shared" si="15"/>
        <v>0</v>
      </c>
      <c r="D195" s="53">
        <f t="shared" si="16"/>
        <v>0</v>
      </c>
      <c r="E195" s="53">
        <v>0</v>
      </c>
      <c r="F195" s="15">
        <v>0.51600000000000001</v>
      </c>
      <c r="G195">
        <v>0.42399999999999999</v>
      </c>
      <c r="H195" t="s">
        <v>71</v>
      </c>
      <c r="I195" t="str">
        <f>VLOOKUP(A195,Planilha6!$BL$9:$BN$222,2,0)</f>
        <v>food</v>
      </c>
      <c r="J195" t="str">
        <f>VLOOKUP(A195,Planilha6!$BL$9:$BN$222,3,0)</f>
        <v>very_low_beta</v>
      </c>
      <c r="K195" s="2">
        <v>0</v>
      </c>
      <c r="L195" s="2">
        <v>0</v>
      </c>
      <c r="M195" s="29">
        <v>0</v>
      </c>
      <c r="N195" s="47">
        <f>VLOOKUP(A195,'Mandato ISEE'!$A$1:$C$215,2,0)</f>
        <v>0</v>
      </c>
      <c r="O195" s="48">
        <f t="shared" si="17"/>
        <v>0</v>
      </c>
      <c r="P195" s="47">
        <f>VLOOKUP(A195,'Mandato ISEE'!$A$1:$C$215,3,0)</f>
        <v>0</v>
      </c>
      <c r="Q195" s="48">
        <f t="shared" si="18"/>
        <v>0</v>
      </c>
      <c r="R195" s="15">
        <v>-0.98699999999999999</v>
      </c>
      <c r="S195" s="15">
        <v>-0.93899999999999995</v>
      </c>
      <c r="T195" s="15">
        <v>-0.91400000000000003</v>
      </c>
      <c r="U195" s="15">
        <v>-0.95699999999999996</v>
      </c>
      <c r="V195" s="15">
        <v>-0.92900000000000005</v>
      </c>
      <c r="W195" s="15">
        <v>-0.90700000000000003</v>
      </c>
      <c r="X195" s="15">
        <v>-0.872</v>
      </c>
      <c r="Y195" s="15">
        <v>-0.872</v>
      </c>
      <c r="Z195" s="15">
        <v>0.44500000000000001</v>
      </c>
      <c r="AA195" s="15">
        <v>0.443</v>
      </c>
      <c r="AB195" s="15">
        <v>0.217</v>
      </c>
      <c r="AC195" s="15">
        <v>0.17</v>
      </c>
      <c r="AD195" s="15">
        <v>0.14599999999999999</v>
      </c>
      <c r="AE195" s="14">
        <v>-0.76300000000000001</v>
      </c>
      <c r="AF195" s="15">
        <v>-0.77400000000000002</v>
      </c>
      <c r="AG195" s="15">
        <v>-0.76</v>
      </c>
      <c r="AH195" s="15">
        <v>7.6999999999999999E-2</v>
      </c>
      <c r="AI195" s="15">
        <v>-0.42399999999999999</v>
      </c>
      <c r="AJ195" s="9">
        <v>-0.52800000000000002</v>
      </c>
      <c r="AK195" s="4">
        <v>-0.7</v>
      </c>
      <c r="AL195" s="4">
        <v>-0.51400000000000001</v>
      </c>
      <c r="AM195" s="4">
        <v>0.439</v>
      </c>
      <c r="AN195" s="4">
        <v>-0.24399999999999999</v>
      </c>
      <c r="AO195" s="4">
        <v>-0.56799999999999995</v>
      </c>
      <c r="AP195" s="4">
        <v>-0.54800000000000004</v>
      </c>
      <c r="AQ195" s="4">
        <v>-0.47699999999999998</v>
      </c>
      <c r="AR195" s="4">
        <v>-0.316</v>
      </c>
      <c r="AS195" s="4">
        <v>-0.16</v>
      </c>
      <c r="AT195" s="4">
        <v>-0.13800000000000001</v>
      </c>
      <c r="AU195" s="4">
        <v>-0.48799999999999999</v>
      </c>
      <c r="AV195" s="4">
        <v>-0.58099999999999996</v>
      </c>
      <c r="AW195" s="4">
        <v>0.55100000000000005</v>
      </c>
      <c r="AX195" s="4">
        <v>0.222</v>
      </c>
      <c r="AY195" s="4">
        <v>-0.183</v>
      </c>
      <c r="AZ195" s="4">
        <v>-0.57899999999999996</v>
      </c>
      <c r="BA195" s="4">
        <v>-0.97499999999999998</v>
      </c>
      <c r="BB195" s="4">
        <v>-0.83499999999999996</v>
      </c>
      <c r="BC195" s="4">
        <v>-0.98499999999999999</v>
      </c>
      <c r="BD195" s="4">
        <v>-1</v>
      </c>
      <c r="BE195" s="4">
        <v>1</v>
      </c>
      <c r="BF195" s="4">
        <v>1</v>
      </c>
      <c r="BG195" s="4">
        <v>0.28499999999999998</v>
      </c>
      <c r="BH195" s="4">
        <v>7.3999999999999996E-2</v>
      </c>
      <c r="BI195" s="4">
        <v>-0.78100000000000003</v>
      </c>
      <c r="BJ195" s="4">
        <v>0.23400000000000001</v>
      </c>
      <c r="BK195" s="4">
        <v>0.76800000000000002</v>
      </c>
    </row>
    <row r="196" spans="1:63" x14ac:dyDescent="0.3">
      <c r="A196" t="s">
        <v>252</v>
      </c>
      <c r="B196" s="53">
        <f t="shared" si="14"/>
        <v>0</v>
      </c>
      <c r="C196" s="53">
        <f t="shared" si="15"/>
        <v>-2.3E-2</v>
      </c>
      <c r="D196" s="53">
        <f t="shared" si="16"/>
        <v>0</v>
      </c>
      <c r="E196" s="53">
        <v>2.3E-2</v>
      </c>
      <c r="F196" s="15">
        <v>0.51400000000000001</v>
      </c>
      <c r="G196">
        <v>0.60599999999999998</v>
      </c>
      <c r="H196" t="s">
        <v>53</v>
      </c>
      <c r="I196" t="str">
        <f>VLOOKUP(A196,Planilha6!$BL$9:$BN$222,2,0)</f>
        <v>consumer_staples</v>
      </c>
      <c r="J196" t="str">
        <f>VLOOKUP(A196,Planilha6!$BL$9:$BN$222,3,0)</f>
        <v>very_high_beta</v>
      </c>
      <c r="K196" s="2">
        <v>0</v>
      </c>
      <c r="L196" s="2">
        <v>-2.3E-2</v>
      </c>
      <c r="M196" s="29">
        <v>2.3E-2</v>
      </c>
      <c r="N196" s="47">
        <f>VLOOKUP(A196,'Mandato ISEE'!$A$1:$C$215,2,0)</f>
        <v>0</v>
      </c>
      <c r="O196" s="48">
        <f t="shared" si="17"/>
        <v>0</v>
      </c>
      <c r="P196" s="47">
        <f>VLOOKUP(A196,'Mandato ISEE'!$A$1:$C$215,3,0)</f>
        <v>0</v>
      </c>
      <c r="Q196" s="48">
        <f t="shared" si="18"/>
        <v>0</v>
      </c>
      <c r="R196" s="15">
        <v>-0.85299999999999998</v>
      </c>
      <c r="S196" s="15">
        <v>-0.76</v>
      </c>
      <c r="T196" s="15">
        <v>-0.96399999999999997</v>
      </c>
      <c r="U196" s="15">
        <v>-0.75800000000000001</v>
      </c>
      <c r="V196" s="15">
        <v>-0.81899999999999995</v>
      </c>
      <c r="W196" s="15">
        <v>-0.81899999999999995</v>
      </c>
      <c r="X196" s="15">
        <v>-0.77500000000000002</v>
      </c>
      <c r="Y196" s="15">
        <v>-0.81200000000000006</v>
      </c>
      <c r="Z196" s="15">
        <v>-0.36799999999999999</v>
      </c>
      <c r="AA196" s="15">
        <v>-0.36199999999999999</v>
      </c>
      <c r="AB196" s="15">
        <v>0.48099999999999998</v>
      </c>
      <c r="AC196" s="15">
        <v>0.38500000000000001</v>
      </c>
      <c r="AD196" s="15">
        <v>3.5999999999999997E-2</v>
      </c>
      <c r="AE196" s="14">
        <v>8.3000000000000004E-2</v>
      </c>
      <c r="AF196" s="15">
        <v>-0.67</v>
      </c>
      <c r="AG196" s="15">
        <v>-0.13</v>
      </c>
      <c r="AH196" s="15">
        <v>-0.65400000000000003</v>
      </c>
      <c r="AI196" s="15">
        <v>-0.61699999999999999</v>
      </c>
      <c r="AJ196" s="9">
        <v>-0.88900000000000001</v>
      </c>
      <c r="AK196" s="4">
        <v>0.37</v>
      </c>
      <c r="AL196" s="4">
        <v>-0.86499999999999999</v>
      </c>
      <c r="AM196" s="4">
        <v>-0.67200000000000004</v>
      </c>
      <c r="AN196" s="4">
        <v>-6.6000000000000003E-2</v>
      </c>
      <c r="AO196" s="4">
        <v>-0.23100000000000001</v>
      </c>
      <c r="AP196" s="4">
        <v>0.54500000000000004</v>
      </c>
      <c r="AQ196" s="4">
        <v>-0.222</v>
      </c>
      <c r="AR196" s="4">
        <v>-1</v>
      </c>
      <c r="AS196" s="4">
        <v>-0.93300000000000005</v>
      </c>
      <c r="AT196" s="4">
        <v>0.52200000000000002</v>
      </c>
      <c r="AU196" s="4">
        <v>-0.40100000000000002</v>
      </c>
      <c r="AV196" s="4">
        <v>0.27700000000000002</v>
      </c>
      <c r="AW196" s="4">
        <v>-3.9E-2</v>
      </c>
      <c r="AX196" s="4">
        <v>-0.35799999999999998</v>
      </c>
      <c r="AY196" s="4">
        <v>0.87</v>
      </c>
      <c r="AZ196" s="4">
        <v>-0.17599999999999999</v>
      </c>
      <c r="BA196" s="4">
        <v>0.128</v>
      </c>
      <c r="BB196" s="4">
        <v>-7.0999999999999994E-2</v>
      </c>
      <c r="BC196" s="4">
        <v>0.18</v>
      </c>
      <c r="BD196" s="4">
        <v>0.20599999999999999</v>
      </c>
      <c r="BE196" s="4">
        <v>-0.995</v>
      </c>
      <c r="BF196" s="4">
        <v>-0.40200000000000002</v>
      </c>
      <c r="BG196" s="4">
        <v>-5.0999999999999997E-2</v>
      </c>
      <c r="BH196" s="4">
        <v>7.2999999999999995E-2</v>
      </c>
      <c r="BI196" s="4">
        <v>0.317</v>
      </c>
      <c r="BJ196" s="4">
        <v>-0.55500000000000005</v>
      </c>
      <c r="BK196" s="4">
        <v>-0.15</v>
      </c>
    </row>
    <row r="197" spans="1:63" x14ac:dyDescent="0.3">
      <c r="A197" t="s">
        <v>276</v>
      </c>
      <c r="B197" s="53">
        <f t="shared" si="14"/>
        <v>0</v>
      </c>
      <c r="C197" s="53">
        <f t="shared" si="15"/>
        <v>0</v>
      </c>
      <c r="D197" s="53">
        <f t="shared" si="16"/>
        <v>0</v>
      </c>
      <c r="E197" s="53">
        <v>0</v>
      </c>
      <c r="F197" s="15">
        <v>0.51400000000000001</v>
      </c>
      <c r="G197">
        <v>0.36099999999999999</v>
      </c>
      <c r="H197" t="s">
        <v>68</v>
      </c>
      <c r="I197" t="str">
        <f>VLOOKUP(A197,Planilha6!$BL$9:$BN$222,2,0)</f>
        <v>chemicals</v>
      </c>
      <c r="J197" t="str">
        <f>VLOOKUP(A197,Planilha6!$BL$9:$BN$222,3,0)</f>
        <v>very_high_beta</v>
      </c>
      <c r="K197" s="2">
        <v>0</v>
      </c>
      <c r="L197" s="2">
        <v>0</v>
      </c>
      <c r="M197" s="29">
        <v>0</v>
      </c>
      <c r="N197" s="47">
        <f>VLOOKUP(A197,'Mandato ISEE'!$A$1:$C$215,2,0)</f>
        <v>0</v>
      </c>
      <c r="O197" s="48">
        <f t="shared" si="17"/>
        <v>0</v>
      </c>
      <c r="P197" s="47">
        <f>VLOOKUP(A197,'Mandato ISEE'!$A$1:$C$215,3,0)</f>
        <v>0</v>
      </c>
      <c r="Q197" s="48">
        <f t="shared" si="18"/>
        <v>0</v>
      </c>
      <c r="R197" s="15">
        <v>-0.79200000000000004</v>
      </c>
      <c r="S197" s="15">
        <v>-0.85599999999999998</v>
      </c>
      <c r="T197" s="15">
        <v>-0.78900000000000003</v>
      </c>
      <c r="U197" s="15">
        <v>-0.84099999999999997</v>
      </c>
      <c r="V197" s="15">
        <v>-0.876</v>
      </c>
      <c r="W197" s="15">
        <v>-0.92</v>
      </c>
      <c r="X197" s="15">
        <v>-0.92700000000000005</v>
      </c>
      <c r="Y197" s="15">
        <v>-0.91900000000000004</v>
      </c>
      <c r="Z197" s="15">
        <v>-0.13500000000000001</v>
      </c>
      <c r="AA197" s="15">
        <v>-0.13700000000000001</v>
      </c>
      <c r="AB197" s="15">
        <v>-0.223</v>
      </c>
      <c r="AC197" s="15">
        <v>0.28399999999999997</v>
      </c>
      <c r="AD197" s="15">
        <v>0.28599999999999998</v>
      </c>
      <c r="AE197" s="14">
        <v>-0.60899999999999999</v>
      </c>
      <c r="AF197" s="15">
        <v>-0.98499999999999999</v>
      </c>
      <c r="AG197" s="15">
        <v>-0.78100000000000003</v>
      </c>
      <c r="AH197" s="15">
        <v>-0.79300000000000004</v>
      </c>
      <c r="AI197" s="15">
        <v>-0.38600000000000001</v>
      </c>
      <c r="AJ197" s="9">
        <v>-0.52600000000000002</v>
      </c>
      <c r="AK197" s="4">
        <v>-0.33100000000000002</v>
      </c>
      <c r="AL197" s="4">
        <v>-0.71299999999999997</v>
      </c>
      <c r="AM197" s="4">
        <v>-0.76500000000000001</v>
      </c>
      <c r="AN197" s="4">
        <v>-0.93700000000000006</v>
      </c>
      <c r="AO197" s="4">
        <v>0.17799999999999999</v>
      </c>
      <c r="AP197" s="4">
        <v>0.14599999999999999</v>
      </c>
      <c r="AQ197" s="4">
        <v>-0.28100000000000003</v>
      </c>
      <c r="AR197" s="4">
        <v>0.126</v>
      </c>
      <c r="AS197" s="4">
        <v>0.23899999999999999</v>
      </c>
      <c r="AT197" s="4">
        <v>0.40500000000000003</v>
      </c>
      <c r="AU197" s="4">
        <v>-0.29499999999999998</v>
      </c>
      <c r="AV197" s="4">
        <v>0.14899999999999999</v>
      </c>
      <c r="AW197" s="4">
        <v>-0.75</v>
      </c>
      <c r="AX197" s="4">
        <v>9.2999999999999999E-2</v>
      </c>
      <c r="AY197" s="4">
        <v>4.3999999999999997E-2</v>
      </c>
      <c r="AZ197" s="4">
        <v>-0.66800000000000004</v>
      </c>
      <c r="BA197" s="4">
        <v>0.93400000000000005</v>
      </c>
      <c r="BB197" s="4">
        <v>0.183</v>
      </c>
      <c r="BC197" s="4">
        <v>-0.113</v>
      </c>
      <c r="BD197" s="4">
        <v>1</v>
      </c>
      <c r="BE197" s="4">
        <v>-1</v>
      </c>
      <c r="BF197" s="4">
        <v>-1</v>
      </c>
      <c r="BG197" s="4">
        <v>-1</v>
      </c>
      <c r="BH197" s="4">
        <v>0.26100000000000001</v>
      </c>
      <c r="BI197" s="4">
        <v>0.79400000000000004</v>
      </c>
      <c r="BJ197" s="4">
        <v>0.96799999999999997</v>
      </c>
      <c r="BK197" s="4">
        <v>-6.8000000000000005E-2</v>
      </c>
    </row>
    <row r="198" spans="1:63" x14ac:dyDescent="0.3">
      <c r="A198" t="s">
        <v>247</v>
      </c>
      <c r="B198" s="53">
        <f t="shared" si="14"/>
        <v>0</v>
      </c>
      <c r="C198" s="53">
        <f t="shared" si="15"/>
        <v>0</v>
      </c>
      <c r="D198" s="53">
        <f t="shared" si="16"/>
        <v>0</v>
      </c>
      <c r="E198" s="53">
        <v>0</v>
      </c>
      <c r="F198" s="15">
        <v>0.51400000000000001</v>
      </c>
      <c r="G198">
        <v>0.39100000000000001</v>
      </c>
      <c r="H198" t="s">
        <v>57</v>
      </c>
      <c r="I198" t="str">
        <f>VLOOKUP(A198,Planilha6!$BL$9:$BN$222,2,0)</f>
        <v>financial_services</v>
      </c>
      <c r="J198" t="str">
        <f>VLOOKUP(A198,Planilha6!$BL$9:$BN$222,3,0)</f>
        <v>neutral_beta</v>
      </c>
      <c r="K198" s="2">
        <v>0</v>
      </c>
      <c r="L198" s="2">
        <v>0</v>
      </c>
      <c r="M198" s="29">
        <v>0</v>
      </c>
      <c r="N198" s="47">
        <f>VLOOKUP(A198,'Mandato ISEE'!$A$1:$C$215,2,0)</f>
        <v>0</v>
      </c>
      <c r="O198" s="48">
        <f t="shared" si="17"/>
        <v>0</v>
      </c>
      <c r="P198" s="47">
        <f>VLOOKUP(A198,'Mandato ISEE'!$A$1:$C$215,3,0)</f>
        <v>0</v>
      </c>
      <c r="Q198" s="48">
        <f t="shared" si="18"/>
        <v>0</v>
      </c>
      <c r="R198" s="15">
        <v>-0.80700000000000005</v>
      </c>
      <c r="S198" s="15">
        <v>-0.76300000000000001</v>
      </c>
      <c r="T198" s="15">
        <v>-0.84099999999999997</v>
      </c>
      <c r="U198" s="15">
        <v>-0.876</v>
      </c>
      <c r="V198" s="15">
        <v>-0.85199999999999998</v>
      </c>
      <c r="W198" s="15">
        <v>-0.74399999999999999</v>
      </c>
      <c r="X198" s="15">
        <v>-0.57099999999999995</v>
      </c>
      <c r="Y198" s="15">
        <v>-0.84099999999999997</v>
      </c>
      <c r="Z198" s="15">
        <v>2.1000000000000001E-2</v>
      </c>
      <c r="AA198" s="15">
        <v>2.5000000000000001E-2</v>
      </c>
      <c r="AB198" s="15">
        <v>-0.02</v>
      </c>
      <c r="AC198" s="15">
        <v>0.13100000000000001</v>
      </c>
      <c r="AD198" s="15">
        <v>-9.4E-2</v>
      </c>
      <c r="AE198" s="14">
        <v>-1</v>
      </c>
      <c r="AF198" s="15">
        <v>-0.46800000000000003</v>
      </c>
      <c r="AG198" s="15">
        <v>-1</v>
      </c>
      <c r="AH198" s="15">
        <v>-0.96699999999999997</v>
      </c>
      <c r="AI198" s="15">
        <v>-1</v>
      </c>
      <c r="AJ198" s="9">
        <v>-0.374</v>
      </c>
      <c r="AK198" s="4">
        <v>-0.54</v>
      </c>
      <c r="AL198" s="4">
        <v>-0.80300000000000005</v>
      </c>
      <c r="AM198" s="4">
        <v>-0.433</v>
      </c>
      <c r="AN198" s="4">
        <v>0.441</v>
      </c>
      <c r="AO198" s="4">
        <v>-0.67200000000000004</v>
      </c>
      <c r="AP198" s="4">
        <v>-0.216</v>
      </c>
      <c r="AQ198" s="4">
        <v>0.73499999999999999</v>
      </c>
      <c r="AR198" s="4">
        <v>0.53400000000000003</v>
      </c>
      <c r="AS198" s="4">
        <v>1.9E-2</v>
      </c>
      <c r="AT198" s="4">
        <v>1.2999999999999999E-2</v>
      </c>
      <c r="AU198" s="4">
        <v>0.318</v>
      </c>
      <c r="AV198" s="4">
        <v>-0.40799999999999997</v>
      </c>
      <c r="AW198" s="4">
        <v>-0.215</v>
      </c>
      <c r="AX198" s="4">
        <v>-0.13900000000000001</v>
      </c>
      <c r="AY198" s="4">
        <v>0.72699999999999998</v>
      </c>
      <c r="AZ198" s="4">
        <v>6.0000000000000001E-3</v>
      </c>
      <c r="BA198" s="4">
        <v>0.73899999999999999</v>
      </c>
      <c r="BB198" s="4">
        <v>-0.44500000000000001</v>
      </c>
      <c r="BC198" s="4">
        <v>-0.22700000000000001</v>
      </c>
      <c r="BD198" s="4">
        <v>-3.4000000000000002E-2</v>
      </c>
      <c r="BE198" s="4">
        <v>0.44700000000000001</v>
      </c>
      <c r="BF198" s="4">
        <v>-0.46400000000000002</v>
      </c>
      <c r="BG198" s="4">
        <v>0.54100000000000004</v>
      </c>
      <c r="BH198" s="4">
        <v>-0.34499999999999997</v>
      </c>
      <c r="BI198" s="4">
        <v>5.7000000000000002E-2</v>
      </c>
      <c r="BJ198" s="4">
        <v>0.53700000000000003</v>
      </c>
      <c r="BK198" s="4">
        <v>-0.10100000000000001</v>
      </c>
    </row>
    <row r="199" spans="1:63" x14ac:dyDescent="0.3">
      <c r="A199" t="s">
        <v>257</v>
      </c>
      <c r="B199" s="53">
        <f t="shared" si="14"/>
        <v>0</v>
      </c>
      <c r="C199" s="53">
        <f t="shared" si="15"/>
        <v>-3.0000000000000001E-3</v>
      </c>
      <c r="D199" s="53">
        <f t="shared" si="16"/>
        <v>0</v>
      </c>
      <c r="E199" s="53">
        <v>3.0000000000000001E-3</v>
      </c>
      <c r="F199" s="15">
        <v>0.51200000000000001</v>
      </c>
      <c r="G199">
        <v>0.39</v>
      </c>
      <c r="H199" t="s">
        <v>57</v>
      </c>
      <c r="I199" t="str">
        <f>VLOOKUP(A199,Planilha6!$BL$9:$BN$222,2,0)</f>
        <v>transportation</v>
      </c>
      <c r="J199" t="str">
        <f>VLOOKUP(A199,Planilha6!$BL$9:$BN$222,3,0)</f>
        <v>very_high_beta</v>
      </c>
      <c r="K199" s="2">
        <v>0</v>
      </c>
      <c r="L199" s="2">
        <v>-3.0000000000000001E-3</v>
      </c>
      <c r="M199" s="29">
        <v>3.0000000000000001E-3</v>
      </c>
      <c r="N199" s="47">
        <f>VLOOKUP(A199,'Mandato ISEE'!$A$1:$C$215,2,0)</f>
        <v>0</v>
      </c>
      <c r="O199" s="48">
        <f t="shared" si="17"/>
        <v>0</v>
      </c>
      <c r="P199" s="47">
        <f>VLOOKUP(A199,'Mandato ISEE'!$A$1:$C$215,3,0)</f>
        <v>0</v>
      </c>
      <c r="Q199" s="48">
        <f t="shared" si="18"/>
        <v>0</v>
      </c>
      <c r="R199" s="15">
        <v>-0.81699999999999995</v>
      </c>
      <c r="S199" s="15">
        <v>-0.79400000000000004</v>
      </c>
      <c r="T199" s="15">
        <v>-0.88400000000000001</v>
      </c>
      <c r="U199" s="15">
        <v>-0.85199999999999998</v>
      </c>
      <c r="V199" s="15">
        <v>-0.85299999999999998</v>
      </c>
      <c r="W199" s="15">
        <v>-0.83599999999999997</v>
      </c>
      <c r="X199" s="15">
        <v>-0.79400000000000004</v>
      </c>
      <c r="Y199" s="15">
        <v>-0.84399999999999997</v>
      </c>
      <c r="Z199" s="15">
        <v>-0.104</v>
      </c>
      <c r="AA199" s="15">
        <v>-0.107</v>
      </c>
      <c r="AB199" s="15">
        <v>0.106</v>
      </c>
      <c r="AC199" s="15">
        <v>-0.155</v>
      </c>
      <c r="AD199" s="15">
        <v>8.4000000000000005E-2</v>
      </c>
      <c r="AE199" s="14">
        <v>-0.89700000000000002</v>
      </c>
      <c r="AF199" s="15">
        <v>-0.61699999999999999</v>
      </c>
      <c r="AG199" s="15">
        <v>-0.66400000000000003</v>
      </c>
      <c r="AH199" s="15">
        <v>-0.73499999999999999</v>
      </c>
      <c r="AI199" s="15">
        <v>-0.38200000000000001</v>
      </c>
      <c r="AJ199" s="9">
        <v>-0.81</v>
      </c>
      <c r="AK199" s="4">
        <v>-0.52400000000000002</v>
      </c>
      <c r="AL199" s="4">
        <v>-0.45600000000000002</v>
      </c>
      <c r="AM199" s="4">
        <v>-0.34699999999999998</v>
      </c>
      <c r="AN199" s="4">
        <v>0.108</v>
      </c>
      <c r="AO199" s="4">
        <v>0.124</v>
      </c>
      <c r="AP199" s="4">
        <v>0.105</v>
      </c>
      <c r="AQ199" s="4">
        <v>0.113</v>
      </c>
      <c r="AR199" s="4">
        <v>0.62</v>
      </c>
      <c r="AS199" s="4">
        <v>1</v>
      </c>
      <c r="AT199" s="4">
        <v>-9.5000000000000001E-2</v>
      </c>
      <c r="AU199" s="4">
        <v>2.5999999999999999E-2</v>
      </c>
      <c r="AV199" s="4">
        <v>-0.45200000000000001</v>
      </c>
      <c r="AW199" s="4">
        <v>-0.63900000000000001</v>
      </c>
      <c r="AX199" s="4">
        <v>-0.378</v>
      </c>
      <c r="AY199" s="4">
        <v>0.184</v>
      </c>
      <c r="AZ199" s="4">
        <v>-0.158</v>
      </c>
      <c r="BA199" s="4">
        <v>-6.2E-2</v>
      </c>
      <c r="BB199" s="4">
        <v>-0.19400000000000001</v>
      </c>
      <c r="BC199" s="4">
        <v>-0.35</v>
      </c>
      <c r="BD199" s="4">
        <v>-0.21299999999999999</v>
      </c>
      <c r="BE199" s="4">
        <v>-0.57599999999999996</v>
      </c>
      <c r="BF199" s="4">
        <v>-0.31900000000000001</v>
      </c>
      <c r="BG199" s="4">
        <v>-0.106</v>
      </c>
      <c r="BH199" s="4">
        <v>0.41299999999999998</v>
      </c>
      <c r="BI199" s="4">
        <v>0.96099999999999997</v>
      </c>
      <c r="BJ199" s="4">
        <v>-0.67300000000000004</v>
      </c>
      <c r="BK199" s="4">
        <v>0.20499999999999999</v>
      </c>
    </row>
    <row r="200" spans="1:63" x14ac:dyDescent="0.3">
      <c r="A200" t="s">
        <v>254</v>
      </c>
      <c r="B200" s="53">
        <f t="shared" si="14"/>
        <v>0</v>
      </c>
      <c r="C200" s="53">
        <f t="shared" si="15"/>
        <v>-1.7000000000000001E-2</v>
      </c>
      <c r="D200" s="53">
        <f t="shared" si="16"/>
        <v>0</v>
      </c>
      <c r="E200" s="53">
        <v>1.7000000000000001E-2</v>
      </c>
      <c r="F200" s="15">
        <v>0.50900000000000001</v>
      </c>
      <c r="G200">
        <v>0.53300000000000003</v>
      </c>
      <c r="H200" t="s">
        <v>57</v>
      </c>
      <c r="I200" t="str">
        <f>VLOOKUP(A200,Planilha6!$BL$9:$BN$222,2,0)</f>
        <v>consumer_services</v>
      </c>
      <c r="J200" t="str">
        <f>VLOOKUP(A200,Planilha6!$BL$9:$BN$222,3,0)</f>
        <v>very_high_beta</v>
      </c>
      <c r="K200" s="2">
        <v>0</v>
      </c>
      <c r="L200" s="2">
        <v>-1.7000000000000001E-2</v>
      </c>
      <c r="M200" s="29">
        <v>1.7000000000000001E-2</v>
      </c>
      <c r="N200" s="47">
        <f>VLOOKUP(A200,'Mandato ISEE'!$A$1:$C$215,2,0)</f>
        <v>0</v>
      </c>
      <c r="O200" s="48">
        <f t="shared" si="17"/>
        <v>0</v>
      </c>
      <c r="P200" s="47">
        <f>VLOOKUP(A200,'Mandato ISEE'!$A$1:$C$215,3,0)</f>
        <v>0</v>
      </c>
      <c r="Q200" s="48">
        <f t="shared" si="18"/>
        <v>0</v>
      </c>
      <c r="R200" s="15">
        <v>-0.86499999999999999</v>
      </c>
      <c r="S200" s="15">
        <v>-0.82299999999999995</v>
      </c>
      <c r="T200" s="15">
        <v>-0.95599999999999996</v>
      </c>
      <c r="U200" s="15">
        <v>-0.875</v>
      </c>
      <c r="V200" s="15">
        <v>-0.89300000000000002</v>
      </c>
      <c r="W200" s="15">
        <v>-0.83099999999999996</v>
      </c>
      <c r="X200" s="15">
        <v>-0.77700000000000002</v>
      </c>
      <c r="Y200" s="15">
        <v>-0.88500000000000001</v>
      </c>
      <c r="Z200" s="15">
        <v>-0.317</v>
      </c>
      <c r="AA200" s="15">
        <v>-0.315</v>
      </c>
      <c r="AB200" s="15">
        <v>0.49299999999999999</v>
      </c>
      <c r="AC200" s="15">
        <v>0.47099999999999997</v>
      </c>
      <c r="AD200" s="15">
        <v>-4.3999999999999997E-2</v>
      </c>
      <c r="AE200" s="14">
        <v>-0.623</v>
      </c>
      <c r="AF200" s="15">
        <v>3.0000000000000001E-3</v>
      </c>
      <c r="AG200" s="15">
        <v>-0.41099999999999998</v>
      </c>
      <c r="AH200" s="15">
        <v>-0.57499999999999996</v>
      </c>
      <c r="AI200" s="15">
        <v>-0.98299999999999998</v>
      </c>
      <c r="AJ200" s="9">
        <v>-0.99399999999999999</v>
      </c>
      <c r="AK200" s="4">
        <v>0.218</v>
      </c>
      <c r="AL200" s="4">
        <v>-0.80200000000000005</v>
      </c>
      <c r="AM200" s="4">
        <v>2.7E-2</v>
      </c>
      <c r="AN200" s="4">
        <v>-0.32700000000000001</v>
      </c>
      <c r="AO200" s="4">
        <v>-0.62</v>
      </c>
      <c r="AP200" s="4">
        <v>0.17899999999999999</v>
      </c>
      <c r="AQ200" s="4">
        <v>-5.5E-2</v>
      </c>
      <c r="AR200" s="4">
        <v>0.123</v>
      </c>
      <c r="AS200" s="4">
        <v>-0.31</v>
      </c>
      <c r="AT200" s="4">
        <v>-0.27600000000000002</v>
      </c>
      <c r="AU200" s="4">
        <v>-0.13900000000000001</v>
      </c>
      <c r="AV200" s="4">
        <v>-0.53900000000000003</v>
      </c>
      <c r="AW200" s="4">
        <v>-0.374</v>
      </c>
      <c r="AX200" s="4">
        <v>-0.34599999999999997</v>
      </c>
      <c r="AY200" s="4">
        <v>0.53800000000000003</v>
      </c>
      <c r="AZ200" s="4">
        <v>-0.309</v>
      </c>
      <c r="BA200" s="4">
        <v>0.26300000000000001</v>
      </c>
      <c r="BB200" s="4">
        <v>0.50700000000000001</v>
      </c>
      <c r="BC200" s="4">
        <v>1.7000000000000001E-2</v>
      </c>
      <c r="BD200" s="4">
        <v>0.04</v>
      </c>
      <c r="BE200" s="4">
        <v>0.377</v>
      </c>
      <c r="BF200" s="4">
        <v>-0.52200000000000002</v>
      </c>
      <c r="BG200" s="4">
        <v>0.48699999999999999</v>
      </c>
      <c r="BH200" s="4">
        <v>0.50900000000000001</v>
      </c>
      <c r="BI200" s="4">
        <v>0.45600000000000002</v>
      </c>
      <c r="BJ200" s="4">
        <v>-0.74399999999999999</v>
      </c>
      <c r="BK200" s="4">
        <v>-0.27200000000000002</v>
      </c>
    </row>
    <row r="201" spans="1:63" x14ac:dyDescent="0.3">
      <c r="A201" t="s">
        <v>238</v>
      </c>
      <c r="B201" s="53">
        <f t="shared" si="14"/>
        <v>0</v>
      </c>
      <c r="C201" s="53">
        <f t="shared" si="15"/>
        <v>0</v>
      </c>
      <c r="D201" s="53">
        <f t="shared" si="16"/>
        <v>0</v>
      </c>
      <c r="E201" s="53">
        <v>0</v>
      </c>
      <c r="F201" s="15">
        <v>0.50900000000000001</v>
      </c>
      <c r="G201">
        <v>0.42</v>
      </c>
      <c r="H201" t="s">
        <v>68</v>
      </c>
      <c r="I201" t="str">
        <f>VLOOKUP(A201,Planilha6!$BL$9:$BN$222,2,0)</f>
        <v>capital_goods</v>
      </c>
      <c r="J201" t="str">
        <f>VLOOKUP(A201,Planilha6!$BL$9:$BN$222,3,0)</f>
        <v>high_beta</v>
      </c>
      <c r="K201" s="2">
        <v>0</v>
      </c>
      <c r="L201" s="2">
        <v>0</v>
      </c>
      <c r="M201" s="29">
        <v>0</v>
      </c>
      <c r="N201" s="47">
        <f>VLOOKUP(A201,'Mandato ISEE'!$A$1:$C$215,2,0)</f>
        <v>0</v>
      </c>
      <c r="O201" s="48">
        <f t="shared" si="17"/>
        <v>0</v>
      </c>
      <c r="P201" s="47">
        <f>VLOOKUP(A201,'Mandato ISEE'!$A$1:$C$215,3,0)</f>
        <v>0</v>
      </c>
      <c r="Q201" s="48">
        <f t="shared" si="18"/>
        <v>0</v>
      </c>
      <c r="R201" s="15">
        <v>-0.87</v>
      </c>
      <c r="S201" s="15">
        <v>-0.81100000000000005</v>
      </c>
      <c r="T201" s="15">
        <v>-0.85199999999999998</v>
      </c>
      <c r="U201" s="15">
        <v>-0.90300000000000002</v>
      </c>
      <c r="V201" s="15">
        <v>-0.86799999999999999</v>
      </c>
      <c r="W201" s="15">
        <v>-0.88200000000000001</v>
      </c>
      <c r="X201" s="15">
        <v>-0.85599999999999998</v>
      </c>
      <c r="Y201" s="15">
        <v>-0.84299999999999997</v>
      </c>
      <c r="Z201" s="15">
        <v>-0.26600000000000001</v>
      </c>
      <c r="AA201" s="15">
        <v>-0.26500000000000001</v>
      </c>
      <c r="AB201" s="15">
        <v>8.5000000000000006E-2</v>
      </c>
      <c r="AC201" s="15">
        <v>0.376</v>
      </c>
      <c r="AD201" s="15">
        <v>5.1999999999999998E-2</v>
      </c>
      <c r="AE201" s="14">
        <v>-0.873</v>
      </c>
      <c r="AF201" s="15">
        <v>-0.7</v>
      </c>
      <c r="AG201" s="15">
        <v>-8.7999999999999995E-2</v>
      </c>
      <c r="AH201" s="15">
        <v>3.0000000000000001E-3</v>
      </c>
      <c r="AI201" s="15">
        <v>0.16500000000000001</v>
      </c>
      <c r="AJ201" s="9">
        <v>-0.68700000000000006</v>
      </c>
      <c r="AK201" s="4">
        <v>4.0000000000000001E-3</v>
      </c>
      <c r="AL201" s="4">
        <v>-0.61499999999999999</v>
      </c>
      <c r="AM201" s="4">
        <v>-6.7000000000000004E-2</v>
      </c>
      <c r="AN201" s="4">
        <v>-0.51400000000000001</v>
      </c>
      <c r="AO201" s="4">
        <v>-0.31</v>
      </c>
      <c r="AP201" s="4">
        <v>0.50800000000000001</v>
      </c>
      <c r="AQ201" s="4">
        <v>-0.42099999999999999</v>
      </c>
      <c r="AR201" s="4">
        <v>-1</v>
      </c>
      <c r="AS201" s="4">
        <v>-1</v>
      </c>
      <c r="AT201" s="4">
        <v>-0.28299999999999997</v>
      </c>
      <c r="AU201" s="4">
        <v>-0.51500000000000001</v>
      </c>
      <c r="AV201" s="4">
        <v>-0.64</v>
      </c>
      <c r="AW201" s="4">
        <v>0.314</v>
      </c>
      <c r="AX201" s="4">
        <v>-0.29399999999999998</v>
      </c>
      <c r="AY201" s="4">
        <v>0.60199999999999998</v>
      </c>
      <c r="AZ201" s="4">
        <v>-0.14899999999999999</v>
      </c>
      <c r="BA201" s="4">
        <v>-7.3999999999999996E-2</v>
      </c>
      <c r="BB201" s="4">
        <v>0.64</v>
      </c>
      <c r="BC201" s="4">
        <v>0.121</v>
      </c>
      <c r="BD201" s="4">
        <v>0.108</v>
      </c>
      <c r="BE201" s="4">
        <v>-0.69299999999999995</v>
      </c>
      <c r="BF201" s="4">
        <v>-0.39400000000000002</v>
      </c>
      <c r="BG201" s="4">
        <v>2.7E-2</v>
      </c>
      <c r="BH201" s="4">
        <v>0.13200000000000001</v>
      </c>
      <c r="BI201" s="4">
        <v>0.61699999999999999</v>
      </c>
      <c r="BJ201" s="4">
        <v>-8.0000000000000002E-3</v>
      </c>
      <c r="BK201" s="4">
        <v>0.26700000000000002</v>
      </c>
    </row>
    <row r="202" spans="1:63" x14ac:dyDescent="0.3">
      <c r="A202" t="s">
        <v>242</v>
      </c>
      <c r="B202" s="53">
        <f t="shared" ref="B202:B222" si="19">K202</f>
        <v>0</v>
      </c>
      <c r="C202" s="53">
        <f t="shared" ref="C202:C222" si="20">B202-E202</f>
        <v>0</v>
      </c>
      <c r="D202" s="53">
        <f t="shared" ref="D202:D222" si="21">B202-K202</f>
        <v>0</v>
      </c>
      <c r="E202" s="53">
        <v>0</v>
      </c>
      <c r="F202" s="15">
        <v>0.505</v>
      </c>
      <c r="G202">
        <v>0.35499999999999998</v>
      </c>
      <c r="H202" t="s">
        <v>57</v>
      </c>
      <c r="I202" t="str">
        <f>VLOOKUP(A202,Planilha6!$BL$9:$BN$222,2,0)</f>
        <v>consumer_durables</v>
      </c>
      <c r="J202" t="str">
        <f>VLOOKUP(A202,Planilha6!$BL$9:$BN$222,3,0)</f>
        <v>very_high_beta</v>
      </c>
      <c r="K202" s="2">
        <v>0</v>
      </c>
      <c r="L202" s="2">
        <v>0</v>
      </c>
      <c r="M202" s="29">
        <v>0</v>
      </c>
      <c r="N202" s="47">
        <f>VLOOKUP(A202,'Mandato ISEE'!$A$1:$C$215,2,0)</f>
        <v>0</v>
      </c>
      <c r="O202" s="48">
        <f t="shared" ref="O202:O222" si="22">K202-N202</f>
        <v>0</v>
      </c>
      <c r="P202" s="47">
        <f>VLOOKUP(A202,'Mandato ISEE'!$A$1:$C$215,3,0)</f>
        <v>0</v>
      </c>
      <c r="Q202" s="48">
        <f t="shared" ref="Q202:Q222" si="23">K202-P202</f>
        <v>0</v>
      </c>
      <c r="R202" s="15">
        <v>-0.68500000000000005</v>
      </c>
      <c r="S202" s="15">
        <v>-0.82899999999999996</v>
      </c>
      <c r="T202" s="15">
        <v>-0.71899999999999997</v>
      </c>
      <c r="U202" s="15">
        <v>-0.82199999999999995</v>
      </c>
      <c r="V202" s="15">
        <v>-0.86199999999999999</v>
      </c>
      <c r="W202" s="15">
        <v>-0.80900000000000005</v>
      </c>
      <c r="X202" s="15">
        <v>-0.78900000000000003</v>
      </c>
      <c r="Y202" s="15">
        <v>-0.94299999999999995</v>
      </c>
      <c r="Z202" s="15">
        <v>-0.27300000000000002</v>
      </c>
      <c r="AA202" s="15">
        <v>-0.27500000000000002</v>
      </c>
      <c r="AB202" s="15">
        <v>-0.48299999999999998</v>
      </c>
      <c r="AC202" s="15">
        <v>-0.65500000000000003</v>
      </c>
      <c r="AD202" s="15">
        <v>0.113</v>
      </c>
      <c r="AE202" s="14">
        <v>-0.56499999999999995</v>
      </c>
      <c r="AF202" s="15">
        <v>0.105</v>
      </c>
      <c r="AG202" s="15">
        <v>-0.46500000000000002</v>
      </c>
      <c r="AH202" s="15">
        <v>0.36899999999999999</v>
      </c>
      <c r="AI202" s="15">
        <v>-0.46500000000000002</v>
      </c>
      <c r="AJ202" s="9">
        <v>-0.60499999999999998</v>
      </c>
      <c r="AK202" s="4">
        <v>0.77700000000000002</v>
      </c>
      <c r="AL202" s="4">
        <v>-1</v>
      </c>
      <c r="AM202" s="4">
        <v>-5.0999999999999997E-2</v>
      </c>
      <c r="AN202" s="4">
        <v>4.8000000000000001E-2</v>
      </c>
      <c r="AO202" s="4">
        <v>-0.53300000000000003</v>
      </c>
      <c r="AP202" s="4">
        <v>0.17499999999999999</v>
      </c>
      <c r="AQ202" s="4">
        <v>-0.27200000000000002</v>
      </c>
      <c r="AR202" s="4">
        <v>-0.57599999999999996</v>
      </c>
      <c r="AS202" s="4">
        <v>7.4999999999999997E-2</v>
      </c>
      <c r="AT202" s="4">
        <v>-0.16400000000000001</v>
      </c>
      <c r="AU202" s="4">
        <v>-0.17599999999999999</v>
      </c>
      <c r="AV202" s="4">
        <v>-0.33900000000000002</v>
      </c>
      <c r="AW202" s="4">
        <v>-1</v>
      </c>
      <c r="AX202" s="4">
        <v>-0.60799999999999998</v>
      </c>
      <c r="AY202" s="4">
        <v>-0.17299999999999999</v>
      </c>
      <c r="AZ202" s="4">
        <v>-1</v>
      </c>
      <c r="BA202" s="4">
        <v>-0.14399999999999999</v>
      </c>
      <c r="BB202" s="4">
        <v>0.47699999999999998</v>
      </c>
      <c r="BC202" s="4">
        <v>0.67600000000000005</v>
      </c>
      <c r="BD202" s="4">
        <v>0.372</v>
      </c>
      <c r="BE202" s="4">
        <v>0.28000000000000003</v>
      </c>
      <c r="BF202" s="4">
        <v>0.38200000000000001</v>
      </c>
      <c r="BG202" s="4">
        <v>0.58399999999999996</v>
      </c>
      <c r="BH202" s="4">
        <v>1</v>
      </c>
      <c r="BI202" s="4">
        <v>0.48899999999999999</v>
      </c>
      <c r="BJ202" s="4">
        <v>0.13200000000000001</v>
      </c>
      <c r="BK202" s="4">
        <v>3.4000000000000002E-2</v>
      </c>
    </row>
    <row r="203" spans="1:63" x14ac:dyDescent="0.3">
      <c r="A203" t="s">
        <v>207</v>
      </c>
      <c r="B203" s="53">
        <f t="shared" si="19"/>
        <v>0</v>
      </c>
      <c r="C203" s="53">
        <f t="shared" si="20"/>
        <v>0</v>
      </c>
      <c r="D203" s="53">
        <f t="shared" si="21"/>
        <v>0</v>
      </c>
      <c r="E203" s="53">
        <v>0</v>
      </c>
      <c r="F203" s="15">
        <v>0.499</v>
      </c>
      <c r="G203">
        <v>0.35</v>
      </c>
      <c r="H203" t="s">
        <v>53</v>
      </c>
      <c r="I203" t="str">
        <f>VLOOKUP(A203,Planilha6!$BL$9:$BN$222,2,0)</f>
        <v>healthcare</v>
      </c>
      <c r="J203" t="str">
        <f>VLOOKUP(A203,Planilha6!$BL$9:$BN$222,3,0)</f>
        <v>very_high_beta</v>
      </c>
      <c r="K203" s="2">
        <v>0</v>
      </c>
      <c r="L203" s="2">
        <v>0</v>
      </c>
      <c r="M203" s="29">
        <v>0</v>
      </c>
      <c r="N203" s="47">
        <f>VLOOKUP(A203,'Mandato ISEE'!$A$1:$C$215,2,0)</f>
        <v>0</v>
      </c>
      <c r="O203" s="48">
        <f t="shared" si="22"/>
        <v>0</v>
      </c>
      <c r="P203" s="47">
        <f>VLOOKUP(A203,'Mandato ISEE'!$A$1:$C$215,3,0)</f>
        <v>0</v>
      </c>
      <c r="Q203" s="48">
        <f t="shared" si="23"/>
        <v>0</v>
      </c>
      <c r="R203" s="15">
        <v>-0.752</v>
      </c>
      <c r="S203" s="15">
        <v>-0.86399999999999999</v>
      </c>
      <c r="T203" s="15">
        <v>-0.77200000000000002</v>
      </c>
      <c r="U203" s="15">
        <v>-0.83599999999999997</v>
      </c>
      <c r="V203" s="15">
        <v>-0.874</v>
      </c>
      <c r="W203" s="15">
        <v>-0.93400000000000005</v>
      </c>
      <c r="X203" s="15">
        <v>-0.94899999999999995</v>
      </c>
      <c r="Y203" s="15">
        <v>-0.95199999999999996</v>
      </c>
      <c r="Z203" s="15">
        <v>-0.26</v>
      </c>
      <c r="AA203" s="15">
        <v>-0.26200000000000001</v>
      </c>
      <c r="AB203" s="15">
        <v>-0.29099999999999998</v>
      </c>
      <c r="AC203" s="15">
        <v>1.2999999999999999E-2</v>
      </c>
      <c r="AD203" s="15">
        <v>-0.14199999999999999</v>
      </c>
      <c r="AE203" s="14">
        <v>-0.69</v>
      </c>
      <c r="AF203" s="15">
        <v>-0.71899999999999997</v>
      </c>
      <c r="AG203" s="15">
        <v>0.124</v>
      </c>
      <c r="AH203" s="15">
        <v>-0.35299999999999998</v>
      </c>
      <c r="AI203" s="15">
        <v>0.39900000000000002</v>
      </c>
      <c r="AJ203" s="9">
        <v>-0.79200000000000004</v>
      </c>
      <c r="AK203" s="4">
        <v>-0.14099999999999999</v>
      </c>
      <c r="AL203" s="4">
        <v>-1</v>
      </c>
      <c r="AM203" s="4">
        <v>3.7999999999999999E-2</v>
      </c>
      <c r="AN203" s="4">
        <v>-0.29199999999999998</v>
      </c>
      <c r="AO203" s="4">
        <v>0.67300000000000004</v>
      </c>
      <c r="AP203" s="4">
        <v>-0.58799999999999997</v>
      </c>
      <c r="AQ203" s="4">
        <v>-0.27700000000000002</v>
      </c>
      <c r="AR203" s="4">
        <v>-0.123</v>
      </c>
      <c r="AS203" s="4">
        <v>-0.108</v>
      </c>
      <c r="AT203" s="4">
        <v>-0.28599999999999998</v>
      </c>
      <c r="AU203" s="4">
        <v>-0.45200000000000001</v>
      </c>
      <c r="AV203" s="4">
        <v>-0.48899999999999999</v>
      </c>
      <c r="AW203" s="4">
        <v>-0.76200000000000001</v>
      </c>
      <c r="AX203" s="4">
        <v>-0.34399999999999997</v>
      </c>
      <c r="AY203" s="4">
        <v>0.63600000000000001</v>
      </c>
      <c r="AZ203" s="4">
        <v>-0.89700000000000002</v>
      </c>
      <c r="BA203" s="4">
        <v>0.90400000000000003</v>
      </c>
      <c r="BB203" s="4">
        <v>1</v>
      </c>
      <c r="BC203" s="4">
        <v>0.496</v>
      </c>
      <c r="BD203" s="4">
        <v>0.84199999999999997</v>
      </c>
      <c r="BE203" s="4">
        <v>0.755</v>
      </c>
      <c r="BF203" s="4">
        <v>0.28799999999999998</v>
      </c>
      <c r="BG203" s="4">
        <v>-0.97399999999999998</v>
      </c>
      <c r="BH203" s="4">
        <v>0.84599999999999997</v>
      </c>
      <c r="BI203" s="4">
        <v>0.36699999999999999</v>
      </c>
      <c r="BJ203" s="4">
        <v>0.58899999999999997</v>
      </c>
      <c r="BK203" s="4">
        <v>0.16900000000000001</v>
      </c>
    </row>
    <row r="204" spans="1:63" x14ac:dyDescent="0.3">
      <c r="A204" t="s">
        <v>175</v>
      </c>
      <c r="B204" s="53">
        <f t="shared" si="19"/>
        <v>0</v>
      </c>
      <c r="C204" s="53">
        <f t="shared" si="20"/>
        <v>0</v>
      </c>
      <c r="D204" s="53">
        <f t="shared" si="21"/>
        <v>0</v>
      </c>
      <c r="E204" s="53">
        <v>0</v>
      </c>
      <c r="F204" s="15">
        <v>0.495</v>
      </c>
      <c r="G204">
        <v>0.35099999999999998</v>
      </c>
      <c r="H204" t="s">
        <v>53</v>
      </c>
      <c r="I204" t="str">
        <f>VLOOKUP(A204,Planilha6!$BL$9:$BN$222,2,0)</f>
        <v>consumer_staples</v>
      </c>
      <c r="J204" t="str">
        <f>VLOOKUP(A204,Planilha6!$BL$9:$BN$222,3,0)</f>
        <v>very_high_beta</v>
      </c>
      <c r="K204" s="2">
        <v>0</v>
      </c>
      <c r="L204" s="2">
        <v>0</v>
      </c>
      <c r="M204" s="29">
        <v>0</v>
      </c>
      <c r="N204" s="47">
        <f>VLOOKUP(A204,'Mandato ISEE'!$A$1:$C$215,2,0)</f>
        <v>0</v>
      </c>
      <c r="O204" s="48">
        <f t="shared" si="22"/>
        <v>0</v>
      </c>
      <c r="P204" s="47">
        <f>VLOOKUP(A204,'Mandato ISEE'!$A$1:$C$215,3,0)</f>
        <v>0</v>
      </c>
      <c r="Q204" s="48">
        <f t="shared" si="23"/>
        <v>0</v>
      </c>
      <c r="R204" s="15">
        <v>-0.61499999999999999</v>
      </c>
      <c r="S204" s="15">
        <v>-0.9</v>
      </c>
      <c r="T204" s="15">
        <v>-0.51500000000000001</v>
      </c>
      <c r="U204" s="15">
        <v>-0.66900000000000004</v>
      </c>
      <c r="V204" s="15">
        <v>-0.81599999999999995</v>
      </c>
      <c r="W204" s="15">
        <v>-0.875</v>
      </c>
      <c r="X204" s="15">
        <v>-0.90600000000000003</v>
      </c>
      <c r="Y204" s="15">
        <v>-0.93700000000000006</v>
      </c>
      <c r="Z204" s="15">
        <v>-0.36099999999999999</v>
      </c>
      <c r="AA204" s="15">
        <v>-0.36399999999999999</v>
      </c>
      <c r="AB204" s="15">
        <v>-0.31</v>
      </c>
      <c r="AC204" s="15">
        <v>-0.216</v>
      </c>
      <c r="AD204" s="15">
        <v>-0.53</v>
      </c>
      <c r="AE204" s="14">
        <v>0.223</v>
      </c>
      <c r="AF204" s="15">
        <v>1</v>
      </c>
      <c r="AG204" s="15">
        <v>-0.65500000000000003</v>
      </c>
      <c r="AH204" s="15">
        <v>1</v>
      </c>
      <c r="AI204" s="15">
        <v>-0.64200000000000002</v>
      </c>
      <c r="AJ204" s="9">
        <v>-0.28899999999999998</v>
      </c>
      <c r="AK204" s="4">
        <v>0.76</v>
      </c>
      <c r="AL204" s="4">
        <v>-1</v>
      </c>
      <c r="AM204" s="4">
        <v>0.68300000000000005</v>
      </c>
      <c r="AN204" s="4">
        <v>-2.5000000000000001E-2</v>
      </c>
      <c r="AO204" s="4">
        <v>-0.94</v>
      </c>
      <c r="AP204" s="4">
        <v>-1</v>
      </c>
      <c r="AQ204" s="4">
        <v>-6.5000000000000002E-2</v>
      </c>
      <c r="AR204" s="4">
        <v>0.33200000000000002</v>
      </c>
      <c r="AS204" s="4">
        <v>0.14699999999999999</v>
      </c>
      <c r="AT204" s="4">
        <v>-0.23699999999999999</v>
      </c>
      <c r="AU204" s="4">
        <v>-0.36799999999999999</v>
      </c>
      <c r="AV204" s="4">
        <v>4.7E-2</v>
      </c>
      <c r="AW204" s="4">
        <v>-0.61299999999999999</v>
      </c>
      <c r="AX204" s="4">
        <v>-0.34499999999999997</v>
      </c>
      <c r="AY204" s="4">
        <v>0.27700000000000002</v>
      </c>
      <c r="AZ204" s="4">
        <v>-0.17199999999999999</v>
      </c>
      <c r="BA204" s="4">
        <v>-0.10100000000000001</v>
      </c>
      <c r="BB204" s="4">
        <v>0.45600000000000002</v>
      </c>
      <c r="BC204" s="4">
        <v>0.48899999999999999</v>
      </c>
      <c r="BD204" s="4">
        <v>0.14299999999999999</v>
      </c>
      <c r="BE204" s="4">
        <v>0.48899999999999999</v>
      </c>
      <c r="BF204" s="4">
        <v>-0.38500000000000001</v>
      </c>
      <c r="BG204" s="4">
        <v>-0.876</v>
      </c>
      <c r="BH204" s="4">
        <v>0.218</v>
      </c>
      <c r="BI204" s="4">
        <v>0.52400000000000002</v>
      </c>
      <c r="BJ204" s="4">
        <v>-0.69899999999999995</v>
      </c>
      <c r="BK204" s="4">
        <v>0.76</v>
      </c>
    </row>
    <row r="205" spans="1:63" x14ac:dyDescent="0.3">
      <c r="A205" t="s">
        <v>239</v>
      </c>
      <c r="B205" s="53">
        <f t="shared" si="19"/>
        <v>0</v>
      </c>
      <c r="C205" s="53">
        <f t="shared" si="20"/>
        <v>0</v>
      </c>
      <c r="D205" s="53">
        <f t="shared" si="21"/>
        <v>0</v>
      </c>
      <c r="E205" s="53">
        <v>0</v>
      </c>
      <c r="F205" s="15">
        <v>0.49399999999999999</v>
      </c>
      <c r="G205">
        <v>0.34599999999999997</v>
      </c>
      <c r="H205" t="s">
        <v>57</v>
      </c>
      <c r="I205" t="str">
        <f>VLOOKUP(A205,Planilha6!$BL$9:$BN$222,2,0)</f>
        <v>tech</v>
      </c>
      <c r="J205" t="str">
        <f>VLOOKUP(A205,Planilha6!$BL$9:$BN$222,3,0)</f>
        <v>high_beta</v>
      </c>
      <c r="K205" s="2">
        <v>0</v>
      </c>
      <c r="L205" s="2">
        <v>0</v>
      </c>
      <c r="M205" s="29">
        <v>0</v>
      </c>
      <c r="N205" s="47">
        <f>VLOOKUP(A205,'Mandato ISEE'!$A$1:$C$215,2,0)</f>
        <v>0</v>
      </c>
      <c r="O205" s="48">
        <f t="shared" si="22"/>
        <v>0</v>
      </c>
      <c r="P205" s="47">
        <f>VLOOKUP(A205,'Mandato ISEE'!$A$1:$C$215,3,0)</f>
        <v>0</v>
      </c>
      <c r="Q205" s="48">
        <f t="shared" si="23"/>
        <v>0</v>
      </c>
      <c r="R205" s="15">
        <v>-0.70799999999999996</v>
      </c>
      <c r="S205" s="15">
        <v>-0.84799999999999998</v>
      </c>
      <c r="T205" s="15">
        <v>-0.38200000000000001</v>
      </c>
      <c r="U205" s="15">
        <v>-0.77</v>
      </c>
      <c r="V205" s="15">
        <v>-0.79400000000000004</v>
      </c>
      <c r="W205" s="15">
        <v>-0.85699999999999998</v>
      </c>
      <c r="X205" s="15">
        <v>-0.878</v>
      </c>
      <c r="Y205" s="15">
        <v>-0.90900000000000003</v>
      </c>
      <c r="Z205" s="15">
        <v>-0.47599999999999998</v>
      </c>
      <c r="AA205" s="15">
        <v>-0.48</v>
      </c>
      <c r="AB205" s="15">
        <v>-0.20799999999999999</v>
      </c>
      <c r="AC205" s="15">
        <v>-0.24399999999999999</v>
      </c>
      <c r="AD205" s="15">
        <v>-0.53600000000000003</v>
      </c>
      <c r="AE205" s="14">
        <v>-4.1000000000000002E-2</v>
      </c>
      <c r="AF205" s="15">
        <v>-0.2</v>
      </c>
      <c r="AG205" s="15">
        <v>-0.90400000000000003</v>
      </c>
      <c r="AH205" s="15">
        <v>-0.16900000000000001</v>
      </c>
      <c r="AI205" s="15">
        <v>-8.7999999999999995E-2</v>
      </c>
      <c r="AJ205" s="9">
        <v>1</v>
      </c>
      <c r="AK205" s="4">
        <v>-0.66500000000000004</v>
      </c>
      <c r="AL205" s="4">
        <v>-1</v>
      </c>
      <c r="AM205" s="4">
        <v>-0.28999999999999998</v>
      </c>
      <c r="AN205" s="4">
        <v>7.6999999999999999E-2</v>
      </c>
      <c r="AO205" s="4">
        <v>-0.59499999999999997</v>
      </c>
      <c r="AP205" s="4">
        <v>-0.71099999999999997</v>
      </c>
      <c r="AQ205" s="4">
        <v>0.99</v>
      </c>
      <c r="AR205" s="4">
        <v>-0.55500000000000005</v>
      </c>
      <c r="AS205" s="4">
        <v>-8.6999999999999994E-2</v>
      </c>
      <c r="AT205" s="4">
        <v>-0.22</v>
      </c>
      <c r="AU205" s="4">
        <v>-0.45400000000000001</v>
      </c>
      <c r="AV205" s="4">
        <v>0.69299999999999995</v>
      </c>
      <c r="AW205" s="4">
        <v>-0.76400000000000001</v>
      </c>
      <c r="AX205" s="4">
        <v>0.44900000000000001</v>
      </c>
      <c r="AY205" s="4">
        <v>0.20799999999999999</v>
      </c>
      <c r="AZ205" s="4">
        <v>0.32900000000000001</v>
      </c>
      <c r="BA205" s="4">
        <v>0.107</v>
      </c>
      <c r="BB205" s="4">
        <v>-0.63200000000000001</v>
      </c>
      <c r="BC205" s="4">
        <v>-0.61099999999999999</v>
      </c>
      <c r="BD205" s="4">
        <v>0.57299999999999995</v>
      </c>
      <c r="BE205" s="4">
        <v>-0.88300000000000001</v>
      </c>
      <c r="BF205" s="4">
        <v>-1</v>
      </c>
      <c r="BG205" s="4">
        <v>-0.27</v>
      </c>
      <c r="BH205" s="4">
        <v>0.28199999999999997</v>
      </c>
      <c r="BI205" s="4">
        <v>8.7999999999999995E-2</v>
      </c>
      <c r="BJ205" s="4">
        <v>-0.38300000000000001</v>
      </c>
      <c r="BK205" s="4">
        <v>0.91300000000000003</v>
      </c>
    </row>
    <row r="206" spans="1:63" x14ac:dyDescent="0.3">
      <c r="A206" t="s">
        <v>230</v>
      </c>
      <c r="B206" s="53">
        <f t="shared" si="19"/>
        <v>0</v>
      </c>
      <c r="C206" s="53">
        <f t="shared" si="20"/>
        <v>0</v>
      </c>
      <c r="D206" s="53">
        <f t="shared" si="21"/>
        <v>0</v>
      </c>
      <c r="E206" s="53">
        <v>0</v>
      </c>
      <c r="F206" s="15">
        <v>0.49299999999999999</v>
      </c>
      <c r="G206">
        <v>0.378</v>
      </c>
      <c r="H206" t="s">
        <v>71</v>
      </c>
      <c r="I206" t="str">
        <f>VLOOKUP(A206,Planilha6!$BL$9:$BN$222,2,0)</f>
        <v>basic_materials</v>
      </c>
      <c r="J206" t="str">
        <f>VLOOKUP(A206,Planilha6!$BL$9:$BN$222,3,0)</f>
        <v>very_high_beta</v>
      </c>
      <c r="K206" s="2">
        <v>0</v>
      </c>
      <c r="L206" s="2">
        <v>0</v>
      </c>
      <c r="M206" s="29">
        <v>0</v>
      </c>
      <c r="N206" s="47">
        <f>VLOOKUP(A206,'Mandato ISEE'!$A$1:$C$215,2,0)</f>
        <v>0</v>
      </c>
      <c r="O206" s="48">
        <f t="shared" si="22"/>
        <v>0</v>
      </c>
      <c r="P206" s="47">
        <f>VLOOKUP(A206,'Mandato ISEE'!$A$1:$C$215,3,0)</f>
        <v>0</v>
      </c>
      <c r="Q206" s="48">
        <f t="shared" si="23"/>
        <v>0</v>
      </c>
      <c r="R206" s="15">
        <v>-1</v>
      </c>
      <c r="S206" s="15">
        <v>-0.98899999999999999</v>
      </c>
      <c r="T206" s="15">
        <v>-1</v>
      </c>
      <c r="U206" s="15">
        <v>-1</v>
      </c>
      <c r="V206" s="15">
        <v>-1</v>
      </c>
      <c r="W206" s="15">
        <v>-0.96899999999999997</v>
      </c>
      <c r="X206" s="15">
        <v>-0.92800000000000005</v>
      </c>
      <c r="Y206" s="15">
        <v>-0.93600000000000005</v>
      </c>
      <c r="Z206" s="15">
        <v>-0.38600000000000001</v>
      </c>
      <c r="AA206" s="15">
        <v>-0.38800000000000001</v>
      </c>
      <c r="AB206" s="15">
        <v>7.9000000000000001E-2</v>
      </c>
      <c r="AC206" s="15">
        <v>0.25700000000000001</v>
      </c>
      <c r="AD206" s="15">
        <v>-0.128</v>
      </c>
      <c r="AE206" s="14">
        <v>-0.91100000000000003</v>
      </c>
      <c r="AF206" s="15">
        <v>-1</v>
      </c>
      <c r="AG206" s="15">
        <v>-0.997</v>
      </c>
      <c r="AH206" s="15">
        <v>-0.77800000000000002</v>
      </c>
      <c r="AI206" s="15">
        <v>-1</v>
      </c>
      <c r="AJ206" s="9">
        <v>-0.92200000000000004</v>
      </c>
      <c r="AK206" s="4">
        <v>-0.68799999999999994</v>
      </c>
      <c r="AL206" s="4">
        <v>-7.4999999999999997E-2</v>
      </c>
      <c r="AM206" s="4">
        <v>0.30499999999999999</v>
      </c>
      <c r="AN206" s="4">
        <v>-0.78700000000000003</v>
      </c>
      <c r="AO206" s="4">
        <v>-0.78700000000000003</v>
      </c>
      <c r="AP206" s="4">
        <v>-1</v>
      </c>
      <c r="AQ206" s="4">
        <v>-0.26600000000000001</v>
      </c>
      <c r="AR206" s="4">
        <v>-1</v>
      </c>
      <c r="AS206" s="4">
        <v>-0.57599999999999996</v>
      </c>
      <c r="AT206" s="4">
        <v>-0.22600000000000001</v>
      </c>
      <c r="AU206" s="4">
        <v>-0.40699999999999997</v>
      </c>
      <c r="AV206" s="4">
        <v>-0.69299999999999995</v>
      </c>
      <c r="AW206" s="4">
        <v>-0.40600000000000003</v>
      </c>
      <c r="AX206" s="4">
        <v>-0.68899999999999995</v>
      </c>
      <c r="AY206" s="4">
        <v>0.755</v>
      </c>
      <c r="AZ206" s="4">
        <v>-1</v>
      </c>
      <c r="BA206" s="4">
        <v>0.33500000000000002</v>
      </c>
      <c r="BB206" s="4">
        <v>0.123</v>
      </c>
      <c r="BC206" s="4">
        <v>-0.16600000000000001</v>
      </c>
      <c r="BD206" s="4">
        <v>5.2999999999999999E-2</v>
      </c>
      <c r="BE206" s="4">
        <v>-0.33500000000000002</v>
      </c>
      <c r="BF206" s="4">
        <v>-0.248</v>
      </c>
      <c r="BG206" s="4">
        <v>-0.05</v>
      </c>
      <c r="BH206" s="4">
        <v>0.45</v>
      </c>
      <c r="BI206" s="4">
        <v>0.39300000000000002</v>
      </c>
      <c r="BJ206" s="4">
        <v>-0.34899999999999998</v>
      </c>
      <c r="BK206" s="4">
        <v>0.11</v>
      </c>
    </row>
    <row r="207" spans="1:63" x14ac:dyDescent="0.3">
      <c r="A207" t="s">
        <v>249</v>
      </c>
      <c r="B207" s="53">
        <f t="shared" si="19"/>
        <v>0</v>
      </c>
      <c r="C207" s="53">
        <f t="shared" si="20"/>
        <v>0</v>
      </c>
      <c r="D207" s="53">
        <f t="shared" si="21"/>
        <v>0</v>
      </c>
      <c r="E207" s="53">
        <v>0</v>
      </c>
      <c r="F207" s="15">
        <v>0.49</v>
      </c>
      <c r="G207">
        <v>0.34399999999999997</v>
      </c>
      <c r="H207" t="s">
        <v>71</v>
      </c>
      <c r="I207" t="str">
        <f>VLOOKUP(A207,Planilha6!$BL$9:$BN$222,2,0)</f>
        <v>basic_materials</v>
      </c>
      <c r="J207" t="str">
        <f>VLOOKUP(A207,Planilha6!$BL$9:$BN$222,3,0)</f>
        <v>very_high_beta</v>
      </c>
      <c r="K207" s="2">
        <v>0</v>
      </c>
      <c r="L207" s="2">
        <v>0</v>
      </c>
      <c r="M207" s="29">
        <v>0</v>
      </c>
      <c r="N207" s="47">
        <f>VLOOKUP(A207,'Mandato ISEE'!$A$1:$C$215,2,0)</f>
        <v>0</v>
      </c>
      <c r="O207" s="48">
        <f t="shared" si="22"/>
        <v>0</v>
      </c>
      <c r="P207" s="47">
        <f>VLOOKUP(A207,'Mandato ISEE'!$A$1:$C$215,3,0)</f>
        <v>0</v>
      </c>
      <c r="Q207" s="48">
        <f t="shared" si="23"/>
        <v>0</v>
      </c>
      <c r="R207" s="15">
        <v>-0.91600000000000004</v>
      </c>
      <c r="S207" s="15">
        <v>-0.92200000000000004</v>
      </c>
      <c r="T207" s="15">
        <v>-0.90800000000000003</v>
      </c>
      <c r="U207" s="15">
        <v>-0.93700000000000006</v>
      </c>
      <c r="V207" s="15">
        <v>-0.93799999999999994</v>
      </c>
      <c r="W207" s="15">
        <v>-0.94</v>
      </c>
      <c r="X207" s="15">
        <v>-0.94399999999999995</v>
      </c>
      <c r="Y207" s="15">
        <v>-0.92100000000000004</v>
      </c>
      <c r="Z207" s="15">
        <v>-0.185</v>
      </c>
      <c r="AA207" s="15">
        <v>-0.19800000000000001</v>
      </c>
      <c r="AB207" s="15">
        <v>-0.51300000000000001</v>
      </c>
      <c r="AC207" s="15">
        <v>-1</v>
      </c>
      <c r="AD207" s="15">
        <v>-0.10100000000000001</v>
      </c>
      <c r="AE207" s="14">
        <v>-0.98799999999999999</v>
      </c>
      <c r="AF207" s="15">
        <v>-1</v>
      </c>
      <c r="AG207" s="15">
        <v>-0.753</v>
      </c>
      <c r="AH207" s="15">
        <v>-0.622</v>
      </c>
      <c r="AI207" s="15">
        <v>0.151</v>
      </c>
      <c r="AJ207" s="9">
        <v>-0.62</v>
      </c>
      <c r="AK207" s="4">
        <v>-0.54300000000000004</v>
      </c>
      <c r="AL207" s="4">
        <v>-0.30299999999999999</v>
      </c>
      <c r="AM207" s="4">
        <v>-0.34</v>
      </c>
      <c r="AN207" s="4">
        <v>-0.46700000000000003</v>
      </c>
      <c r="AO207" s="4">
        <v>0.64600000000000002</v>
      </c>
      <c r="AP207" s="4">
        <v>-0.56499999999999995</v>
      </c>
      <c r="AQ207" s="4">
        <v>-0.65500000000000003</v>
      </c>
      <c r="AR207" s="4">
        <v>-0.92100000000000004</v>
      </c>
      <c r="AS207" s="4">
        <v>-0.123</v>
      </c>
      <c r="AT207" s="4">
        <v>-0.64200000000000002</v>
      </c>
      <c r="AU207" s="4">
        <v>7.0999999999999994E-2</v>
      </c>
      <c r="AV207" s="4">
        <v>-0.376</v>
      </c>
      <c r="AW207" s="4">
        <v>-0.85699999999999998</v>
      </c>
      <c r="AX207" s="4">
        <v>-7.8E-2</v>
      </c>
      <c r="AY207" s="4">
        <v>1E-3</v>
      </c>
      <c r="AZ207" s="4">
        <v>-1</v>
      </c>
      <c r="BA207" s="4">
        <v>0.78600000000000003</v>
      </c>
      <c r="BB207" s="4">
        <v>0.314</v>
      </c>
      <c r="BC207" s="4">
        <v>0.65400000000000003</v>
      </c>
      <c r="BD207" s="4">
        <v>0.54700000000000004</v>
      </c>
      <c r="BE207" s="4">
        <v>-1</v>
      </c>
      <c r="BF207" s="4">
        <v>-0.48099999999999998</v>
      </c>
      <c r="BG207" s="4">
        <v>-1</v>
      </c>
      <c r="BH207" s="4">
        <v>0.3</v>
      </c>
      <c r="BI207" s="4">
        <v>0.372</v>
      </c>
      <c r="BJ207" s="4">
        <v>0.79200000000000004</v>
      </c>
      <c r="BK207" s="4">
        <v>0.70399999999999996</v>
      </c>
    </row>
    <row r="208" spans="1:63" x14ac:dyDescent="0.3">
      <c r="A208" t="s">
        <v>251</v>
      </c>
      <c r="B208" s="53">
        <f t="shared" si="19"/>
        <v>0</v>
      </c>
      <c r="C208" s="53">
        <f t="shared" si="20"/>
        <v>0</v>
      </c>
      <c r="D208" s="53">
        <f t="shared" si="21"/>
        <v>0</v>
      </c>
      <c r="E208" s="53">
        <v>0</v>
      </c>
      <c r="F208" s="15">
        <v>0.48699999999999999</v>
      </c>
      <c r="G208">
        <v>0.34200000000000003</v>
      </c>
      <c r="H208" t="s">
        <v>55</v>
      </c>
      <c r="I208" t="str">
        <f>VLOOKUP(A208,Planilha6!$BL$9:$BN$222,2,0)</f>
        <v>utilities</v>
      </c>
      <c r="J208" t="str">
        <f>VLOOKUP(A208,Planilha6!$BL$9:$BN$222,3,0)</f>
        <v>neutral_beta</v>
      </c>
      <c r="K208" s="2">
        <v>0</v>
      </c>
      <c r="L208" s="2">
        <v>0</v>
      </c>
      <c r="M208" s="29">
        <v>0</v>
      </c>
      <c r="N208" s="47">
        <f>VLOOKUP(A208,'Mandato ISEE'!$A$1:$C$215,2,0)</f>
        <v>0</v>
      </c>
      <c r="O208" s="48">
        <f t="shared" si="22"/>
        <v>0</v>
      </c>
      <c r="P208" s="47">
        <f>VLOOKUP(A208,'Mandato ISEE'!$A$1:$C$215,3,0)</f>
        <v>0</v>
      </c>
      <c r="Q208" s="48">
        <f t="shared" si="23"/>
        <v>0</v>
      </c>
      <c r="R208" s="15">
        <v>-0.82199999999999995</v>
      </c>
      <c r="S208" s="15">
        <v>-0.91200000000000003</v>
      </c>
      <c r="T208" s="15">
        <v>-0.66700000000000004</v>
      </c>
      <c r="U208" s="15">
        <v>-0.88600000000000001</v>
      </c>
      <c r="V208" s="15">
        <v>-0.89100000000000001</v>
      </c>
      <c r="W208" s="15">
        <v>-0.92700000000000005</v>
      </c>
      <c r="X208" s="15">
        <v>-0.94599999999999995</v>
      </c>
      <c r="Y208" s="15">
        <v>-0.95099999999999996</v>
      </c>
      <c r="Z208" s="15">
        <v>-0.23200000000000001</v>
      </c>
      <c r="AA208" s="15">
        <v>-0.23400000000000001</v>
      </c>
      <c r="AB208" s="15">
        <v>-0.40200000000000002</v>
      </c>
      <c r="AC208" s="15">
        <v>-0.67</v>
      </c>
      <c r="AD208" s="15">
        <v>-0.50800000000000001</v>
      </c>
      <c r="AE208" s="14">
        <v>-0.55000000000000004</v>
      </c>
      <c r="AF208" s="15">
        <v>-0.14499999999999999</v>
      </c>
      <c r="AG208" s="15">
        <v>-0.377</v>
      </c>
      <c r="AH208" s="15">
        <v>1</v>
      </c>
      <c r="AI208" s="15">
        <v>-0.33</v>
      </c>
      <c r="AJ208" s="9">
        <v>-0.51600000000000001</v>
      </c>
      <c r="AK208" s="4">
        <v>0.63500000000000001</v>
      </c>
      <c r="AL208" s="4">
        <v>-1</v>
      </c>
      <c r="AM208" s="4">
        <v>0.84</v>
      </c>
      <c r="AN208" s="4">
        <v>-0.26200000000000001</v>
      </c>
      <c r="AO208" s="4">
        <v>-0.54100000000000004</v>
      </c>
      <c r="AP208" s="4">
        <v>-0.68300000000000005</v>
      </c>
      <c r="AQ208" s="4">
        <v>-0.36499999999999999</v>
      </c>
      <c r="AR208" s="4">
        <v>-0.70899999999999996</v>
      </c>
      <c r="AS208" s="4">
        <v>-0.36199999999999999</v>
      </c>
      <c r="AT208" s="4">
        <v>-0.105</v>
      </c>
      <c r="AU208" s="4">
        <v>-0.32200000000000001</v>
      </c>
      <c r="AV208" s="4">
        <v>-0.69299999999999995</v>
      </c>
      <c r="AW208" s="4">
        <v>-0.63800000000000001</v>
      </c>
      <c r="AX208" s="4">
        <v>-0.38300000000000001</v>
      </c>
      <c r="AY208" s="4">
        <v>0.69199999999999995</v>
      </c>
      <c r="AZ208" s="4">
        <v>8.2000000000000003E-2</v>
      </c>
      <c r="BA208" s="4">
        <v>0.78100000000000003</v>
      </c>
      <c r="BB208" s="4">
        <v>-0.32800000000000001</v>
      </c>
      <c r="BC208" s="4">
        <v>-0.32900000000000001</v>
      </c>
      <c r="BD208" s="4">
        <v>-0.26900000000000002</v>
      </c>
      <c r="BE208" s="4">
        <v>0.44400000000000001</v>
      </c>
      <c r="BF208" s="4">
        <v>-0.30099999999999999</v>
      </c>
      <c r="BG208" s="4">
        <v>-0.78</v>
      </c>
      <c r="BH208" s="4">
        <v>0.91700000000000004</v>
      </c>
      <c r="BI208" s="4">
        <v>7.3999999999999996E-2</v>
      </c>
      <c r="BJ208" s="4">
        <v>-0.13900000000000001</v>
      </c>
      <c r="BK208" s="4">
        <v>1</v>
      </c>
    </row>
    <row r="209" spans="1:63" x14ac:dyDescent="0.3">
      <c r="A209" t="s">
        <v>243</v>
      </c>
      <c r="B209" s="53">
        <f t="shared" si="19"/>
        <v>0</v>
      </c>
      <c r="C209" s="53">
        <f t="shared" si="20"/>
        <v>0</v>
      </c>
      <c r="D209" s="53">
        <f t="shared" si="21"/>
        <v>0</v>
      </c>
      <c r="E209" s="53">
        <v>0</v>
      </c>
      <c r="F209" s="15">
        <v>0.48499999999999999</v>
      </c>
      <c r="G209">
        <v>0.34399999999999997</v>
      </c>
      <c r="H209" t="s">
        <v>53</v>
      </c>
      <c r="I209" t="str">
        <f>VLOOKUP(A209,Planilha6!$BL$9:$BN$222,2,0)</f>
        <v>healthcare</v>
      </c>
      <c r="J209" t="str">
        <f>VLOOKUP(A209,Planilha6!$BL$9:$BN$222,3,0)</f>
        <v>very_high_beta</v>
      </c>
      <c r="K209" s="2">
        <v>0</v>
      </c>
      <c r="L209" s="2">
        <v>0</v>
      </c>
      <c r="M209" s="29">
        <v>0</v>
      </c>
      <c r="N209" s="47">
        <f>VLOOKUP(A209,'Mandato ISEE'!$A$1:$C$215,2,0)</f>
        <v>0</v>
      </c>
      <c r="O209" s="48">
        <f t="shared" si="22"/>
        <v>0</v>
      </c>
      <c r="P209" s="47">
        <f>VLOOKUP(A209,'Mandato ISEE'!$A$1:$C$215,3,0)</f>
        <v>0</v>
      </c>
      <c r="Q209" s="48">
        <f t="shared" si="23"/>
        <v>0</v>
      </c>
      <c r="R209" s="15">
        <v>-0.71899999999999997</v>
      </c>
      <c r="S209" s="15">
        <v>-0.91400000000000003</v>
      </c>
      <c r="T209" s="15">
        <v>-0.72399999999999998</v>
      </c>
      <c r="U209" s="15">
        <v>-0.67100000000000004</v>
      </c>
      <c r="V209" s="15">
        <v>-0.83799999999999997</v>
      </c>
      <c r="W209" s="15">
        <v>-0.89300000000000002</v>
      </c>
      <c r="X209" s="15">
        <v>-0.92700000000000005</v>
      </c>
      <c r="Y209" s="15">
        <v>-0.94799999999999995</v>
      </c>
      <c r="Z209" s="15">
        <v>-0.23400000000000001</v>
      </c>
      <c r="AA209" s="15">
        <v>-0.23899999999999999</v>
      </c>
      <c r="AB209" s="15">
        <v>-1</v>
      </c>
      <c r="AC209" s="15">
        <v>-1</v>
      </c>
      <c r="AD209" s="15">
        <v>-0.6</v>
      </c>
      <c r="AE209" s="14">
        <v>0.217</v>
      </c>
      <c r="AF209" s="15">
        <v>1</v>
      </c>
      <c r="AG209" s="15">
        <v>-0.57599999999999996</v>
      </c>
      <c r="AH209" s="15">
        <v>-1.0999999999999999E-2</v>
      </c>
      <c r="AI209" s="15">
        <v>-0.91400000000000003</v>
      </c>
      <c r="AJ209" s="9">
        <v>-0.57699999999999996</v>
      </c>
      <c r="AK209" s="4">
        <v>0.51400000000000001</v>
      </c>
      <c r="AL209" s="4">
        <v>-1</v>
      </c>
      <c r="AM209" s="4">
        <v>0.91</v>
      </c>
      <c r="AN209" s="4">
        <v>0.17599999999999999</v>
      </c>
      <c r="AO209" s="4">
        <v>-1</v>
      </c>
      <c r="AP209" s="4">
        <v>-0.72399999999999998</v>
      </c>
      <c r="AQ209" s="4">
        <v>0.35499999999999998</v>
      </c>
      <c r="AR209" s="4">
        <v>0.63400000000000001</v>
      </c>
      <c r="AS209" s="4">
        <v>0.67400000000000004</v>
      </c>
      <c r="AT209" s="4">
        <v>-0.121</v>
      </c>
      <c r="AU209" s="4">
        <v>-0.51300000000000001</v>
      </c>
      <c r="AV209" s="4">
        <v>-2.5999999999999999E-2</v>
      </c>
      <c r="AW209" s="4">
        <v>-0.751</v>
      </c>
      <c r="AX209" s="4">
        <v>-0.36299999999999999</v>
      </c>
      <c r="AY209" s="4">
        <v>0.58299999999999996</v>
      </c>
      <c r="AZ209" s="4">
        <v>-0.02</v>
      </c>
      <c r="BA209" s="4">
        <v>-0.84899999999999998</v>
      </c>
      <c r="BB209" s="4">
        <v>0.24399999999999999</v>
      </c>
      <c r="BC209" s="4">
        <v>-9.0999999999999998E-2</v>
      </c>
      <c r="BD209" s="4">
        <v>-2E-3</v>
      </c>
      <c r="BE209" s="4">
        <v>-1</v>
      </c>
      <c r="BF209" s="4">
        <v>-0.72299999999999998</v>
      </c>
      <c r="BG209" s="4">
        <v>-0.93500000000000005</v>
      </c>
      <c r="BH209" s="4">
        <v>0.95099999999999996</v>
      </c>
      <c r="BI209" s="4">
        <v>0.44600000000000001</v>
      </c>
      <c r="BJ209" s="4">
        <v>-0.96499999999999997</v>
      </c>
      <c r="BK209" s="4">
        <v>-3.0000000000000001E-3</v>
      </c>
    </row>
    <row r="210" spans="1:63" x14ac:dyDescent="0.3">
      <c r="A210" t="s">
        <v>256</v>
      </c>
      <c r="B210" s="53">
        <f t="shared" si="19"/>
        <v>0</v>
      </c>
      <c r="C210" s="53">
        <f t="shared" si="20"/>
        <v>0</v>
      </c>
      <c r="D210" s="53">
        <f t="shared" si="21"/>
        <v>0</v>
      </c>
      <c r="E210" s="53">
        <v>0</v>
      </c>
      <c r="F210" s="15">
        <v>0.48099999999999998</v>
      </c>
      <c r="G210">
        <v>0.36099999999999999</v>
      </c>
      <c r="H210" t="s">
        <v>68</v>
      </c>
      <c r="I210" t="str">
        <f>VLOOKUP(A210,Planilha6!$BL$9:$BN$222,2,0)</f>
        <v>building_materials</v>
      </c>
      <c r="J210" t="str">
        <f>VLOOKUP(A210,Planilha6!$BL$9:$BN$222,3,0)</f>
        <v>very_low_beta</v>
      </c>
      <c r="K210" s="2">
        <v>0</v>
      </c>
      <c r="L210" s="2">
        <v>0</v>
      </c>
      <c r="M210" s="29">
        <v>0</v>
      </c>
      <c r="N210" s="47">
        <f>VLOOKUP(A210,'Mandato ISEE'!$A$1:$C$215,2,0)</f>
        <v>0</v>
      </c>
      <c r="O210" s="48">
        <f t="shared" si="22"/>
        <v>0</v>
      </c>
      <c r="P210" s="47">
        <f>VLOOKUP(A210,'Mandato ISEE'!$A$1:$C$215,3,0)</f>
        <v>0</v>
      </c>
      <c r="Q210" s="48">
        <f t="shared" si="23"/>
        <v>0</v>
      </c>
      <c r="R210" s="15">
        <v>-0.94799999999999995</v>
      </c>
      <c r="S210" s="15">
        <v>-0.95399999999999996</v>
      </c>
      <c r="T210" s="15">
        <v>-0.81499999999999995</v>
      </c>
      <c r="U210" s="15">
        <v>-0.97299999999999998</v>
      </c>
      <c r="V210" s="15">
        <v>-0.95199999999999996</v>
      </c>
      <c r="W210" s="15">
        <v>-0.97899999999999998</v>
      </c>
      <c r="X210" s="15">
        <v>-0.96599999999999997</v>
      </c>
      <c r="Y210" s="15">
        <v>-0.97</v>
      </c>
      <c r="Z210" s="15">
        <v>-0.64700000000000002</v>
      </c>
      <c r="AA210" s="15">
        <v>-0.64500000000000002</v>
      </c>
      <c r="AB210" s="15">
        <v>-0.219</v>
      </c>
      <c r="AC210" s="15">
        <v>-0.38100000000000001</v>
      </c>
      <c r="AD210" s="15">
        <v>-0.504</v>
      </c>
      <c r="AE210" s="14">
        <v>-0.93400000000000005</v>
      </c>
      <c r="AF210" s="15">
        <v>-0.93200000000000005</v>
      </c>
      <c r="AG210" s="15">
        <v>-0.80200000000000005</v>
      </c>
      <c r="AH210" s="15">
        <v>0.42199999999999999</v>
      </c>
      <c r="AI210" s="15">
        <v>-0.109</v>
      </c>
      <c r="AJ210" s="9">
        <v>-0.51600000000000001</v>
      </c>
      <c r="AK210" s="4">
        <v>0.221</v>
      </c>
      <c r="AL210" s="4">
        <v>-1</v>
      </c>
      <c r="AM210" s="4">
        <v>-0.47599999999999998</v>
      </c>
      <c r="AN210" s="4">
        <v>-0.27300000000000002</v>
      </c>
      <c r="AO210" s="4">
        <v>-0.82099999999999995</v>
      </c>
      <c r="AP210" s="4">
        <v>-0.436</v>
      </c>
      <c r="AQ210" s="4">
        <v>-0.502</v>
      </c>
      <c r="AR210" s="4">
        <v>-0.69299999999999995</v>
      </c>
      <c r="AS210" s="4">
        <v>-0.48499999999999999</v>
      </c>
      <c r="AT210" s="4">
        <v>-0.252</v>
      </c>
      <c r="AU210" s="4">
        <v>-0.46899999999999997</v>
      </c>
      <c r="AV210" s="4">
        <v>-0.53900000000000003</v>
      </c>
      <c r="AW210" s="4">
        <v>-0.22</v>
      </c>
      <c r="AX210" s="4">
        <v>-0.68899999999999995</v>
      </c>
      <c r="AY210" s="4">
        <v>-0.107</v>
      </c>
      <c r="AZ210" s="4">
        <v>1.7000000000000001E-2</v>
      </c>
      <c r="BA210" s="4">
        <v>4.2999999999999997E-2</v>
      </c>
      <c r="BB210" s="4">
        <v>0.65200000000000002</v>
      </c>
      <c r="BC210" s="4">
        <v>0.26300000000000001</v>
      </c>
      <c r="BD210" s="4">
        <v>-0.16</v>
      </c>
      <c r="BE210" s="4">
        <v>1</v>
      </c>
      <c r="BF210" s="4">
        <v>-0.433</v>
      </c>
      <c r="BG210" s="4">
        <v>-0.48299999999999998</v>
      </c>
      <c r="BH210" s="4">
        <v>0.26500000000000001</v>
      </c>
      <c r="BI210" s="4">
        <v>-1.9E-2</v>
      </c>
      <c r="BJ210" s="4">
        <v>0.90600000000000003</v>
      </c>
      <c r="BK210" s="4">
        <v>0.67</v>
      </c>
    </row>
    <row r="211" spans="1:63" x14ac:dyDescent="0.3">
      <c r="A211" t="s">
        <v>258</v>
      </c>
      <c r="B211" s="53">
        <f t="shared" si="19"/>
        <v>0</v>
      </c>
      <c r="C211" s="53">
        <f t="shared" si="20"/>
        <v>-1E-3</v>
      </c>
      <c r="D211" s="53">
        <f t="shared" si="21"/>
        <v>0</v>
      </c>
      <c r="E211" s="53">
        <v>1E-3</v>
      </c>
      <c r="F211" s="15">
        <v>0.48</v>
      </c>
      <c r="G211">
        <v>0.35599999999999998</v>
      </c>
      <c r="H211" t="s">
        <v>57</v>
      </c>
      <c r="I211" t="str">
        <f>VLOOKUP(A211,Planilha6!$BL$9:$BN$222,2,0)</f>
        <v>consumer_durables</v>
      </c>
      <c r="J211" t="str">
        <f>VLOOKUP(A211,Planilha6!$BL$9:$BN$222,3,0)</f>
        <v>very_high_beta</v>
      </c>
      <c r="K211" s="2">
        <v>0</v>
      </c>
      <c r="L211" s="2">
        <v>-1E-3</v>
      </c>
      <c r="M211" s="29">
        <v>1E-3</v>
      </c>
      <c r="N211" s="47">
        <f>VLOOKUP(A211,'Mandato ISEE'!$A$1:$C$215,2,0)</f>
        <v>0</v>
      </c>
      <c r="O211" s="48">
        <f t="shared" si="22"/>
        <v>0</v>
      </c>
      <c r="P211" s="47">
        <f>VLOOKUP(A211,'Mandato ISEE'!$A$1:$C$215,3,0)</f>
        <v>0</v>
      </c>
      <c r="Q211" s="48">
        <f t="shared" si="23"/>
        <v>0</v>
      </c>
      <c r="R211" s="15">
        <v>-0.93799999999999994</v>
      </c>
      <c r="S211" s="15">
        <v>-0.93600000000000005</v>
      </c>
      <c r="T211" s="15">
        <v>-0.89500000000000002</v>
      </c>
      <c r="U211" s="15">
        <v>-0.96899999999999997</v>
      </c>
      <c r="V211" s="15">
        <v>-0.95399999999999996</v>
      </c>
      <c r="W211" s="15">
        <v>-0.95599999999999996</v>
      </c>
      <c r="X211" s="15">
        <v>-0.94</v>
      </c>
      <c r="Y211" s="15">
        <v>-0.95099999999999996</v>
      </c>
      <c r="Z211" s="15">
        <v>-0.59</v>
      </c>
      <c r="AA211" s="15">
        <v>-0.59199999999999997</v>
      </c>
      <c r="AB211" s="15">
        <v>-0.48499999999999999</v>
      </c>
      <c r="AC211" s="15">
        <v>-0.41699999999999998</v>
      </c>
      <c r="AD211" s="15">
        <v>-0.55800000000000005</v>
      </c>
      <c r="AE211" s="14">
        <v>-0.85599999999999998</v>
      </c>
      <c r="AF211" s="15">
        <v>-0.90500000000000003</v>
      </c>
      <c r="AG211" s="15">
        <v>-0.86299999999999999</v>
      </c>
      <c r="AH211" s="15">
        <v>0.30599999999999999</v>
      </c>
      <c r="AI211" s="15">
        <v>-0.184</v>
      </c>
      <c r="AJ211" s="9">
        <v>-0.51200000000000001</v>
      </c>
      <c r="AK211" s="4">
        <v>7.4999999999999997E-2</v>
      </c>
      <c r="AL211" s="4">
        <v>-0.68500000000000005</v>
      </c>
      <c r="AM211" s="4">
        <v>-0.28899999999999998</v>
      </c>
      <c r="AN211" s="4">
        <v>-0.61399999999999999</v>
      </c>
      <c r="AO211" s="4">
        <v>-0.60799999999999998</v>
      </c>
      <c r="AP211" s="4">
        <v>-0.66900000000000004</v>
      </c>
      <c r="AQ211" s="4">
        <v>-0.48899999999999999</v>
      </c>
      <c r="AR211" s="4">
        <v>-1</v>
      </c>
      <c r="AS211" s="4">
        <v>-0.48499999999999999</v>
      </c>
      <c r="AT211" s="4">
        <v>-0.14000000000000001</v>
      </c>
      <c r="AU211" s="4">
        <v>-0.378</v>
      </c>
      <c r="AV211" s="4">
        <v>-0.52900000000000003</v>
      </c>
      <c r="AW211" s="4">
        <v>-0.69399999999999995</v>
      </c>
      <c r="AX211" s="4">
        <v>0.24199999999999999</v>
      </c>
      <c r="AY211" s="4">
        <v>0.34799999999999998</v>
      </c>
      <c r="AZ211" s="4">
        <v>-0.14099999999999999</v>
      </c>
      <c r="BA211" s="4">
        <v>-9.6000000000000002E-2</v>
      </c>
      <c r="BB211" s="4">
        <v>0.54500000000000004</v>
      </c>
      <c r="BC211" s="4">
        <v>0.39</v>
      </c>
      <c r="BD211" s="4">
        <v>-3.9E-2</v>
      </c>
      <c r="BE211" s="4">
        <v>-0.47199999999999998</v>
      </c>
      <c r="BF211" s="4">
        <v>-1</v>
      </c>
      <c r="BG211" s="4">
        <v>-0.157</v>
      </c>
      <c r="BH211" s="4">
        <v>0.53400000000000003</v>
      </c>
      <c r="BI211" s="4">
        <v>0.69699999999999995</v>
      </c>
      <c r="BJ211" s="4">
        <v>-0.20100000000000001</v>
      </c>
      <c r="BK211" s="4">
        <v>0.96299999999999997</v>
      </c>
    </row>
    <row r="212" spans="1:63" x14ac:dyDescent="0.3">
      <c r="A212" t="s">
        <v>265</v>
      </c>
      <c r="B212" s="53">
        <f t="shared" si="19"/>
        <v>0</v>
      </c>
      <c r="C212" s="53">
        <f t="shared" si="20"/>
        <v>0</v>
      </c>
      <c r="D212" s="53">
        <f t="shared" si="21"/>
        <v>0</v>
      </c>
      <c r="E212" s="53">
        <v>0</v>
      </c>
      <c r="F212" s="15">
        <v>0.47499999999999998</v>
      </c>
      <c r="G212">
        <v>0.33300000000000002</v>
      </c>
      <c r="H212" t="s">
        <v>68</v>
      </c>
      <c r="I212" t="str">
        <f>VLOOKUP(A212,Planilha6!$BL$9:$BN$222,2,0)</f>
        <v>capital_goods</v>
      </c>
      <c r="J212" t="str">
        <f>VLOOKUP(A212,Planilha6!$BL$9:$BN$222,3,0)</f>
        <v>very_low_beta</v>
      </c>
      <c r="K212" s="2">
        <v>0</v>
      </c>
      <c r="L212" s="2">
        <v>0</v>
      </c>
      <c r="M212" s="29">
        <v>0</v>
      </c>
      <c r="N212" s="47">
        <f>VLOOKUP(A212,'Mandato ISEE'!$A$1:$C$215,2,0)</f>
        <v>0</v>
      </c>
      <c r="O212" s="48">
        <f t="shared" si="22"/>
        <v>0</v>
      </c>
      <c r="P212" s="47">
        <f>VLOOKUP(A212,'Mandato ISEE'!$A$1:$C$215,3,0)</f>
        <v>0</v>
      </c>
      <c r="Q212" s="48">
        <f t="shared" si="23"/>
        <v>0</v>
      </c>
      <c r="R212" s="15">
        <v>-0.92300000000000004</v>
      </c>
      <c r="S212" s="15">
        <v>-0.94199999999999995</v>
      </c>
      <c r="T212" s="15">
        <v>-0.82499999999999996</v>
      </c>
      <c r="U212" s="15">
        <v>-0.98199999999999998</v>
      </c>
      <c r="V212" s="15">
        <v>-0.95599999999999996</v>
      </c>
      <c r="W212" s="15">
        <v>-0.94899999999999995</v>
      </c>
      <c r="X212" s="15">
        <v>-0.93</v>
      </c>
      <c r="Y212" s="15">
        <v>-0.97899999999999998</v>
      </c>
      <c r="Z212" s="15">
        <v>-0.97699999999999998</v>
      </c>
      <c r="AA212" s="15">
        <v>-0.98099999999999998</v>
      </c>
      <c r="AB212" s="15">
        <v>-1</v>
      </c>
      <c r="AC212" s="15">
        <v>-0.81</v>
      </c>
      <c r="AD212" s="15">
        <v>-0.46500000000000002</v>
      </c>
      <c r="AE212" s="14">
        <v>-1</v>
      </c>
      <c r="AF212" s="15">
        <v>-1</v>
      </c>
      <c r="AG212" s="15">
        <v>-0.91900000000000004</v>
      </c>
      <c r="AH212" s="15">
        <v>-0.54700000000000004</v>
      </c>
      <c r="AI212" s="15">
        <v>1</v>
      </c>
      <c r="AJ212" s="9">
        <v>-0.51600000000000001</v>
      </c>
      <c r="AK212" s="4">
        <v>-0.81299999999999994</v>
      </c>
      <c r="AL212" s="4">
        <v>-1</v>
      </c>
      <c r="AM212" s="4">
        <v>-0.91300000000000003</v>
      </c>
      <c r="AN212" s="4">
        <v>-0.26700000000000002</v>
      </c>
      <c r="AO212" s="4">
        <v>0.40600000000000003</v>
      </c>
      <c r="AP212" s="4">
        <v>-0.85499999999999998</v>
      </c>
      <c r="AQ212" s="4">
        <v>-0.224</v>
      </c>
      <c r="AR212" s="4">
        <v>0.28399999999999997</v>
      </c>
      <c r="AS212" s="4">
        <v>0.33800000000000002</v>
      </c>
      <c r="AT212" s="4">
        <v>-1</v>
      </c>
      <c r="AU212" s="4">
        <v>-0.95599999999999996</v>
      </c>
      <c r="AV212" s="4">
        <v>-1</v>
      </c>
      <c r="AW212" s="4">
        <v>-0.46800000000000003</v>
      </c>
      <c r="AX212" s="4">
        <v>-0.67100000000000004</v>
      </c>
      <c r="AY212" s="4">
        <v>-1</v>
      </c>
      <c r="AZ212" s="4">
        <v>-1</v>
      </c>
      <c r="BA212" s="4">
        <v>0.95199999999999996</v>
      </c>
      <c r="BB212" s="4">
        <v>0.98699999999999999</v>
      </c>
      <c r="BC212" s="4">
        <v>0.54900000000000004</v>
      </c>
      <c r="BD212" s="4">
        <v>8.8999999999999996E-2</v>
      </c>
      <c r="BE212" s="4">
        <v>0.99099999999999999</v>
      </c>
      <c r="BF212" s="4">
        <v>-0.246</v>
      </c>
      <c r="BG212" s="4">
        <v>0.71599999999999997</v>
      </c>
      <c r="BH212" s="4">
        <v>1</v>
      </c>
      <c r="BI212" s="4">
        <v>-0.39700000000000002</v>
      </c>
      <c r="BJ212" s="4">
        <v>0.433</v>
      </c>
      <c r="BK212" s="4">
        <v>1</v>
      </c>
    </row>
    <row r="213" spans="1:63" x14ac:dyDescent="0.3">
      <c r="A213" t="s">
        <v>261</v>
      </c>
      <c r="B213" s="53">
        <f t="shared" si="19"/>
        <v>0</v>
      </c>
      <c r="C213" s="53">
        <f t="shared" si="20"/>
        <v>-4.0000000000000001E-3</v>
      </c>
      <c r="D213" s="53">
        <f t="shared" si="21"/>
        <v>0</v>
      </c>
      <c r="E213" s="53">
        <v>4.0000000000000001E-3</v>
      </c>
      <c r="F213" s="15">
        <v>0.47499999999999998</v>
      </c>
      <c r="G213">
        <v>0.34399999999999997</v>
      </c>
      <c r="H213" t="s">
        <v>68</v>
      </c>
      <c r="I213" t="str">
        <f>VLOOKUP(A213,Planilha6!$BL$9:$BN$222,2,0)</f>
        <v>chemicals</v>
      </c>
      <c r="J213" t="str">
        <f>VLOOKUP(A213,Planilha6!$BL$9:$BN$222,3,0)</f>
        <v>very_low_beta</v>
      </c>
      <c r="K213" s="2">
        <v>0</v>
      </c>
      <c r="L213" s="2">
        <v>-4.0000000000000001E-3</v>
      </c>
      <c r="M213" s="29">
        <v>4.0000000000000001E-3</v>
      </c>
      <c r="N213" s="47">
        <f>VLOOKUP(A213,'Mandato ISEE'!$A$1:$C$215,2,0)</f>
        <v>0</v>
      </c>
      <c r="O213" s="48">
        <f t="shared" si="22"/>
        <v>0</v>
      </c>
      <c r="P213" s="47">
        <f>VLOOKUP(A213,'Mandato ISEE'!$A$1:$C$215,3,0)</f>
        <v>0</v>
      </c>
      <c r="Q213" s="48">
        <f t="shared" si="23"/>
        <v>0</v>
      </c>
      <c r="R213" s="15">
        <v>-1</v>
      </c>
      <c r="S213" s="15">
        <v>-0.96499999999999997</v>
      </c>
      <c r="T213" s="15">
        <v>-0.99399999999999999</v>
      </c>
      <c r="U213" s="15">
        <v>-1</v>
      </c>
      <c r="V213" s="15">
        <v>-0.99099999999999999</v>
      </c>
      <c r="W213" s="15">
        <v>-1</v>
      </c>
      <c r="X213" s="15">
        <v>-0.997</v>
      </c>
      <c r="Y213" s="15">
        <v>-0.98399999999999999</v>
      </c>
      <c r="Z213" s="15">
        <v>-0.7</v>
      </c>
      <c r="AA213" s="15">
        <v>-0.70299999999999996</v>
      </c>
      <c r="AB213" s="15">
        <v>-0.57699999999999996</v>
      </c>
      <c r="AC213" s="15">
        <v>-0.376</v>
      </c>
      <c r="AD213" s="15">
        <v>-0.59399999999999997</v>
      </c>
      <c r="AE213" s="14">
        <v>-1</v>
      </c>
      <c r="AF213" s="15">
        <v>-1</v>
      </c>
      <c r="AG213" s="15">
        <v>-0.91500000000000004</v>
      </c>
      <c r="AH213" s="15">
        <v>-0.94199999999999995</v>
      </c>
      <c r="AI213" s="15">
        <v>-1.6E-2</v>
      </c>
      <c r="AJ213" s="9">
        <v>-0.88500000000000001</v>
      </c>
      <c r="AK213" s="4">
        <v>-0.78200000000000003</v>
      </c>
      <c r="AL213" s="4">
        <v>-1</v>
      </c>
      <c r="AM213" s="4">
        <v>-0.48199999999999998</v>
      </c>
      <c r="AN213" s="4">
        <v>-0.86699999999999999</v>
      </c>
      <c r="AO213" s="4">
        <v>0.35899999999999999</v>
      </c>
      <c r="AP213" s="4">
        <v>0.48699999999999999</v>
      </c>
      <c r="AQ213" s="4">
        <v>-0.94199999999999995</v>
      </c>
      <c r="AR213" s="4">
        <v>-1.2999999999999999E-2</v>
      </c>
      <c r="AS213" s="4">
        <v>-0.20499999999999999</v>
      </c>
      <c r="AT213" s="4">
        <v>-0.83399999999999996</v>
      </c>
      <c r="AU213" s="4">
        <v>-0.755</v>
      </c>
      <c r="AV213" s="4">
        <v>-0.84599999999999997</v>
      </c>
      <c r="AW213" s="4">
        <v>-0.45</v>
      </c>
      <c r="AX213" s="4">
        <v>-0.372</v>
      </c>
      <c r="AY213" s="4">
        <v>0.126</v>
      </c>
      <c r="AZ213" s="4">
        <v>-0.249</v>
      </c>
      <c r="BA213" s="4">
        <v>-2E-3</v>
      </c>
      <c r="BB213" s="4">
        <v>0.76</v>
      </c>
      <c r="BC213" s="4">
        <v>0.193</v>
      </c>
      <c r="BD213" s="4">
        <v>4.8000000000000001E-2</v>
      </c>
      <c r="BE213" s="4">
        <v>1</v>
      </c>
      <c r="BF213" s="4">
        <v>0.82299999999999995</v>
      </c>
      <c r="BG213" s="4">
        <v>-0.17599999999999999</v>
      </c>
      <c r="BH213" s="4">
        <v>0.45200000000000001</v>
      </c>
      <c r="BI213" s="4">
        <v>-0.28000000000000003</v>
      </c>
      <c r="BJ213" s="4">
        <v>-2.8000000000000001E-2</v>
      </c>
      <c r="BK213" s="4">
        <v>-0.109</v>
      </c>
    </row>
    <row r="214" spans="1:63" x14ac:dyDescent="0.3">
      <c r="A214" t="s">
        <v>255</v>
      </c>
      <c r="B214" s="53">
        <f t="shared" si="19"/>
        <v>0</v>
      </c>
      <c r="C214" s="53">
        <f t="shared" si="20"/>
        <v>0</v>
      </c>
      <c r="D214" s="53">
        <f t="shared" si="21"/>
        <v>0</v>
      </c>
      <c r="E214" s="53">
        <v>0</v>
      </c>
      <c r="F214" s="15">
        <v>0.47299999999999998</v>
      </c>
      <c r="G214">
        <v>0.373</v>
      </c>
      <c r="H214" t="s">
        <v>57</v>
      </c>
      <c r="I214" t="str">
        <f>VLOOKUP(A214,Planilha6!$BL$9:$BN$222,2,0)</f>
        <v>education</v>
      </c>
      <c r="J214" t="str">
        <f>VLOOKUP(A214,Planilha6!$BL$9:$BN$222,3,0)</f>
        <v>low_beta</v>
      </c>
      <c r="K214" s="2">
        <v>0</v>
      </c>
      <c r="L214" s="2">
        <v>0</v>
      </c>
      <c r="M214" s="29">
        <v>0</v>
      </c>
      <c r="N214" s="47">
        <f>VLOOKUP(A214,'Mandato ISEE'!$A$1:$C$215,2,0)</f>
        <v>0</v>
      </c>
      <c r="O214" s="48">
        <f t="shared" si="22"/>
        <v>0</v>
      </c>
      <c r="P214" s="47">
        <f>VLOOKUP(A214,'Mandato ISEE'!$A$1:$C$215,3,0)</f>
        <v>0</v>
      </c>
      <c r="Q214" s="48">
        <f t="shared" si="23"/>
        <v>0</v>
      </c>
      <c r="R214" s="15">
        <v>-0.97699999999999998</v>
      </c>
      <c r="S214" s="15">
        <v>-0.95699999999999996</v>
      </c>
      <c r="T214" s="15">
        <v>-0.95399999999999996</v>
      </c>
      <c r="U214" s="15">
        <v>-0.98399999999999999</v>
      </c>
      <c r="V214" s="15">
        <v>-0.97</v>
      </c>
      <c r="W214" s="15">
        <v>-0.94199999999999995</v>
      </c>
      <c r="X214" s="15">
        <v>-0.90200000000000002</v>
      </c>
      <c r="Y214" s="15">
        <v>-0.94799999999999995</v>
      </c>
      <c r="Z214" s="15">
        <v>-0.92200000000000004</v>
      </c>
      <c r="AA214" s="15">
        <v>-0.92</v>
      </c>
      <c r="AB214" s="15">
        <v>-0.72</v>
      </c>
      <c r="AC214" s="15">
        <v>-0.47699999999999998</v>
      </c>
      <c r="AD214" s="15">
        <v>-0.72399999999999998</v>
      </c>
      <c r="AE214" s="14">
        <v>-1</v>
      </c>
      <c r="AF214" s="15">
        <v>-0.28399999999999997</v>
      </c>
      <c r="AG214" s="15">
        <v>-1</v>
      </c>
      <c r="AH214" s="15">
        <v>-0.71399999999999997</v>
      </c>
      <c r="AI214" s="15">
        <v>-0.75700000000000001</v>
      </c>
      <c r="AJ214" s="9">
        <v>-0.55500000000000005</v>
      </c>
      <c r="AK214" s="4">
        <v>-0.96399999999999997</v>
      </c>
      <c r="AL214" s="4">
        <v>-0.68799999999999994</v>
      </c>
      <c r="AM214" s="4">
        <v>-0.66100000000000003</v>
      </c>
      <c r="AN214" s="4">
        <v>0.104</v>
      </c>
      <c r="AO214" s="4">
        <v>-0.80400000000000005</v>
      </c>
      <c r="AP214" s="4">
        <v>-0.76200000000000001</v>
      </c>
      <c r="AQ214" s="4">
        <v>6.8000000000000005E-2</v>
      </c>
      <c r="AR214" s="4">
        <v>4.4999999999999998E-2</v>
      </c>
      <c r="AS214" s="4">
        <v>0.16</v>
      </c>
      <c r="AT214" s="4">
        <v>-0.98799999999999999</v>
      </c>
      <c r="AU214" s="4">
        <v>-0.69599999999999995</v>
      </c>
      <c r="AV214" s="4">
        <v>-0.64900000000000002</v>
      </c>
      <c r="AW214" s="4">
        <v>-0.32700000000000001</v>
      </c>
      <c r="AX214" s="4">
        <v>-0.40799999999999997</v>
      </c>
      <c r="AY214" s="4">
        <v>9.6000000000000002E-2</v>
      </c>
      <c r="AZ214" s="4">
        <v>-0.20399999999999999</v>
      </c>
      <c r="BA214" s="4">
        <v>0.72199999999999998</v>
      </c>
      <c r="BB214" s="4">
        <v>-0.04</v>
      </c>
      <c r="BC214" s="4">
        <v>-0.11</v>
      </c>
      <c r="BD214" s="4">
        <v>5.0999999999999997E-2</v>
      </c>
      <c r="BE214" s="4">
        <v>0.19500000000000001</v>
      </c>
      <c r="BF214" s="4">
        <v>8.5999999999999993E-2</v>
      </c>
      <c r="BG214" s="4">
        <v>0.5</v>
      </c>
      <c r="BH214" s="4">
        <v>0.105</v>
      </c>
      <c r="BI214" s="4">
        <v>-0.32100000000000001</v>
      </c>
      <c r="BJ214" s="4">
        <v>0.19700000000000001</v>
      </c>
      <c r="BK214" s="4">
        <v>0.26900000000000002</v>
      </c>
    </row>
    <row r="215" spans="1:63" x14ac:dyDescent="0.3">
      <c r="A215" t="s">
        <v>264</v>
      </c>
      <c r="B215" s="53">
        <f t="shared" si="19"/>
        <v>0</v>
      </c>
      <c r="C215" s="53">
        <f t="shared" si="20"/>
        <v>0</v>
      </c>
      <c r="D215" s="53">
        <f t="shared" si="21"/>
        <v>0</v>
      </c>
      <c r="E215" s="53">
        <v>0</v>
      </c>
      <c r="F215" s="15">
        <v>0.47</v>
      </c>
      <c r="G215">
        <v>0.33</v>
      </c>
      <c r="H215" t="s">
        <v>68</v>
      </c>
      <c r="I215" t="str">
        <f>VLOOKUP(A215,Planilha6!$BL$9:$BN$222,2,0)</f>
        <v>building_materials</v>
      </c>
      <c r="J215" t="str">
        <f>VLOOKUP(A215,Planilha6!$BL$9:$BN$222,3,0)</f>
        <v>neutral_beta</v>
      </c>
      <c r="K215" s="2">
        <v>0</v>
      </c>
      <c r="L215" s="2">
        <v>0</v>
      </c>
      <c r="M215" s="29">
        <v>0</v>
      </c>
      <c r="N215" s="47">
        <f>VLOOKUP(A215,'Mandato ISEE'!$A$1:$C$215,2,0)</f>
        <v>0</v>
      </c>
      <c r="O215" s="48">
        <f t="shared" si="22"/>
        <v>0</v>
      </c>
      <c r="P215" s="47">
        <f>VLOOKUP(A215,'Mandato ISEE'!$A$1:$C$215,3,0)</f>
        <v>0</v>
      </c>
      <c r="Q215" s="48">
        <f t="shared" si="23"/>
        <v>0</v>
      </c>
      <c r="R215" s="15">
        <v>-0.94599999999999995</v>
      </c>
      <c r="S215" s="15">
        <v>-1</v>
      </c>
      <c r="T215" s="15">
        <v>-0.81399999999999995</v>
      </c>
      <c r="U215" s="15">
        <v>-0.97399999999999998</v>
      </c>
      <c r="V215" s="15">
        <v>-0.97699999999999998</v>
      </c>
      <c r="W215" s="15">
        <v>-0.997</v>
      </c>
      <c r="X215" s="15">
        <v>-0.99399999999999999</v>
      </c>
      <c r="Y215" s="15">
        <v>-1</v>
      </c>
      <c r="Z215" s="15">
        <v>-1</v>
      </c>
      <c r="AA215" s="15">
        <v>-1</v>
      </c>
      <c r="AB215" s="15">
        <v>-0.39400000000000002</v>
      </c>
      <c r="AC215" s="15">
        <v>-0.35</v>
      </c>
      <c r="AD215" s="15">
        <v>-1</v>
      </c>
      <c r="AE215" s="14">
        <v>-0.9</v>
      </c>
      <c r="AF215" s="15">
        <v>-0.438</v>
      </c>
      <c r="AG215" s="15">
        <v>-1</v>
      </c>
      <c r="AH215" s="15">
        <v>-0.36399999999999999</v>
      </c>
      <c r="AI215" s="15">
        <v>-0.46</v>
      </c>
      <c r="AJ215" s="9">
        <v>-8.8999999999999996E-2</v>
      </c>
      <c r="AK215" s="4">
        <v>-1</v>
      </c>
      <c r="AL215" s="4">
        <v>-1</v>
      </c>
      <c r="AM215" s="4">
        <v>0.216</v>
      </c>
      <c r="AN215" s="4">
        <v>-0.47</v>
      </c>
      <c r="AO215" s="4">
        <v>-0.93200000000000005</v>
      </c>
      <c r="AP215" s="4">
        <v>-1</v>
      </c>
      <c r="AQ215" s="4">
        <v>0.51300000000000001</v>
      </c>
      <c r="AR215" s="4">
        <v>0.77500000000000002</v>
      </c>
      <c r="AS215" s="4">
        <v>0.498</v>
      </c>
      <c r="AT215" s="4">
        <v>-0.81399999999999995</v>
      </c>
      <c r="AU215" s="4">
        <v>-0.70599999999999996</v>
      </c>
      <c r="AV215" s="4">
        <v>-0.26700000000000002</v>
      </c>
      <c r="AW215" s="4">
        <v>-0.55700000000000005</v>
      </c>
      <c r="AX215" s="4">
        <v>-0.88900000000000001</v>
      </c>
      <c r="AY215" s="4">
        <v>-1</v>
      </c>
      <c r="AZ215" s="4">
        <v>-0.27100000000000002</v>
      </c>
      <c r="BA215" s="4">
        <v>0.752</v>
      </c>
      <c r="BB215" s="4">
        <v>0.104</v>
      </c>
      <c r="BC215" s="4">
        <v>0.14699999999999999</v>
      </c>
      <c r="BD215" s="4">
        <v>-0.95599999999999996</v>
      </c>
      <c r="BE215" s="4">
        <v>1</v>
      </c>
      <c r="BF215" s="4">
        <v>0.872</v>
      </c>
      <c r="BG215" s="4">
        <v>-0.67700000000000005</v>
      </c>
      <c r="BH215" s="4">
        <v>1</v>
      </c>
      <c r="BI215" s="4">
        <v>9.2999999999999999E-2</v>
      </c>
      <c r="BJ215" s="4">
        <v>0.216</v>
      </c>
      <c r="BK215" s="4">
        <v>0.89800000000000002</v>
      </c>
    </row>
    <row r="216" spans="1:63" x14ac:dyDescent="0.3">
      <c r="A216" t="s">
        <v>259</v>
      </c>
      <c r="B216" s="53">
        <f t="shared" si="19"/>
        <v>0</v>
      </c>
      <c r="C216" s="53">
        <f t="shared" si="20"/>
        <v>0</v>
      </c>
      <c r="D216" s="53">
        <f t="shared" si="21"/>
        <v>0</v>
      </c>
      <c r="E216" s="53">
        <v>0</v>
      </c>
      <c r="F216" s="15">
        <v>0.46899999999999997</v>
      </c>
      <c r="G216">
        <v>0.32900000000000001</v>
      </c>
      <c r="H216" t="s">
        <v>57</v>
      </c>
      <c r="I216" t="str">
        <f>VLOOKUP(A216,Planilha6!$BL$9:$BN$222,2,0)</f>
        <v>homebuilders</v>
      </c>
      <c r="J216" t="str">
        <f>VLOOKUP(A216,Planilha6!$BL$9:$BN$222,3,0)</f>
        <v>high_beta</v>
      </c>
      <c r="K216" s="2">
        <v>0</v>
      </c>
      <c r="L216" s="2">
        <v>0</v>
      </c>
      <c r="M216" s="29">
        <v>0</v>
      </c>
      <c r="N216" s="47">
        <f>VLOOKUP(A216,'Mandato ISEE'!$A$1:$C$215,2,0)</f>
        <v>0</v>
      </c>
      <c r="O216" s="48">
        <f t="shared" si="22"/>
        <v>0</v>
      </c>
      <c r="P216" s="47">
        <f>VLOOKUP(A216,'Mandato ISEE'!$A$1:$C$215,3,0)</f>
        <v>0</v>
      </c>
      <c r="Q216" s="48">
        <f t="shared" si="23"/>
        <v>0</v>
      </c>
      <c r="R216" s="15">
        <v>-1</v>
      </c>
      <c r="S216" s="15">
        <v>-1</v>
      </c>
      <c r="T216" s="15">
        <v>-1</v>
      </c>
      <c r="U216" s="15">
        <v>-1</v>
      </c>
      <c r="V216" s="15">
        <v>-1</v>
      </c>
      <c r="W216" s="15">
        <v>-1</v>
      </c>
      <c r="X216" s="15">
        <v>-1</v>
      </c>
      <c r="Y216" s="15">
        <v>-1</v>
      </c>
      <c r="Z216" s="15">
        <v>-0.79900000000000004</v>
      </c>
      <c r="AA216" s="15">
        <v>-0.79700000000000004</v>
      </c>
      <c r="AB216" s="15">
        <v>-1</v>
      </c>
      <c r="AC216" s="15">
        <v>-0.14499999999999999</v>
      </c>
      <c r="AD216" s="15">
        <v>-1</v>
      </c>
      <c r="AE216" s="14">
        <v>-0.88800000000000001</v>
      </c>
      <c r="AF216" s="15">
        <v>-0.97499999999999998</v>
      </c>
      <c r="AG216" s="15">
        <v>-0.88300000000000001</v>
      </c>
      <c r="AH216" s="15">
        <v>0.27200000000000002</v>
      </c>
      <c r="AI216" s="15">
        <v>-0.501</v>
      </c>
      <c r="AJ216" s="9">
        <v>-0.499</v>
      </c>
      <c r="AK216" s="4">
        <v>-0.83199999999999996</v>
      </c>
      <c r="AL216" s="4">
        <v>-1</v>
      </c>
      <c r="AM216" s="4">
        <v>1</v>
      </c>
      <c r="AN216" s="4">
        <v>-0.94899999999999995</v>
      </c>
      <c r="AO216" s="4">
        <v>-0.92300000000000004</v>
      </c>
      <c r="AP216" s="4">
        <v>-1</v>
      </c>
      <c r="AQ216" s="4">
        <v>-0.9</v>
      </c>
      <c r="AR216" s="4">
        <v>-1</v>
      </c>
      <c r="AS216" s="4">
        <v>-0.98499999999999999</v>
      </c>
      <c r="AT216" s="4">
        <v>-0.84599999999999997</v>
      </c>
      <c r="AU216" s="4">
        <v>-1</v>
      </c>
      <c r="AV216" s="4">
        <v>-0.98299999999999998</v>
      </c>
      <c r="AW216" s="4">
        <v>-0.60799999999999998</v>
      </c>
      <c r="AX216" s="4">
        <v>-0.61399999999999999</v>
      </c>
      <c r="AY216" s="4">
        <v>-0.35899999999999999</v>
      </c>
      <c r="AZ216" s="4">
        <v>-1</v>
      </c>
      <c r="BA216" s="4">
        <v>-0.51200000000000001</v>
      </c>
      <c r="BB216" s="4">
        <v>0.58699999999999997</v>
      </c>
      <c r="BC216" s="4">
        <v>0.39700000000000002</v>
      </c>
      <c r="BD216" s="4">
        <v>0.217</v>
      </c>
      <c r="BE216" s="4">
        <v>1</v>
      </c>
      <c r="BF216" s="4">
        <v>0.05</v>
      </c>
      <c r="BG216" s="4">
        <v>0.183</v>
      </c>
      <c r="BH216" s="4">
        <v>1</v>
      </c>
      <c r="BI216" s="4">
        <v>0.54700000000000004</v>
      </c>
      <c r="BJ216" s="4">
        <v>-0.24399999999999999</v>
      </c>
      <c r="BK216" s="4">
        <v>1</v>
      </c>
    </row>
    <row r="217" spans="1:63" x14ac:dyDescent="0.3">
      <c r="A217" t="s">
        <v>263</v>
      </c>
      <c r="B217" s="53">
        <f t="shared" si="19"/>
        <v>0</v>
      </c>
      <c r="C217" s="53">
        <f t="shared" si="20"/>
        <v>0</v>
      </c>
      <c r="D217" s="53">
        <f t="shared" si="21"/>
        <v>0</v>
      </c>
      <c r="E217" s="53">
        <v>0</v>
      </c>
      <c r="F217" s="15">
        <v>0.46800000000000003</v>
      </c>
      <c r="G217">
        <v>0.32900000000000001</v>
      </c>
      <c r="H217" t="s">
        <v>68</v>
      </c>
      <c r="I217" t="str">
        <f>VLOOKUP(A217,Planilha6!$BL$9:$BN$222,2,0)</f>
        <v>capital_goods</v>
      </c>
      <c r="J217" t="str">
        <f>VLOOKUP(A217,Planilha6!$BL$9:$BN$222,3,0)</f>
        <v>very_low_beta</v>
      </c>
      <c r="K217" s="2">
        <v>0</v>
      </c>
      <c r="L217" s="2">
        <v>0</v>
      </c>
      <c r="M217" s="29">
        <v>0</v>
      </c>
      <c r="N217" s="47">
        <f>VLOOKUP(A217,'Mandato ISEE'!$A$1:$C$215,2,0)</f>
        <v>0</v>
      </c>
      <c r="O217" s="48">
        <f t="shared" si="22"/>
        <v>0</v>
      </c>
      <c r="P217" s="47">
        <f>VLOOKUP(A217,'Mandato ISEE'!$A$1:$C$215,3,0)</f>
        <v>0</v>
      </c>
      <c r="Q217" s="48">
        <f t="shared" si="23"/>
        <v>0</v>
      </c>
      <c r="R217" s="15">
        <v>-0.995</v>
      </c>
      <c r="S217" s="15">
        <v>-0.99199999999999999</v>
      </c>
      <c r="T217" s="15">
        <v>-0.98599999999999999</v>
      </c>
      <c r="U217" s="15">
        <v>-0.99</v>
      </c>
      <c r="V217" s="15">
        <v>-0.99399999999999999</v>
      </c>
      <c r="W217" s="15">
        <v>-1</v>
      </c>
      <c r="X217" s="15">
        <v>-1</v>
      </c>
      <c r="Y217" s="15">
        <v>-1</v>
      </c>
      <c r="Z217" s="15">
        <v>-1</v>
      </c>
      <c r="AA217" s="15">
        <v>-1</v>
      </c>
      <c r="AB217" s="15">
        <v>-1</v>
      </c>
      <c r="AC217" s="15">
        <v>-1</v>
      </c>
      <c r="AD217" s="15">
        <v>-0.98499999999999999</v>
      </c>
      <c r="AE217" s="14">
        <v>-1</v>
      </c>
      <c r="AF217" s="15">
        <v>-1</v>
      </c>
      <c r="AG217" s="15">
        <v>-0.76500000000000001</v>
      </c>
      <c r="AH217" s="15">
        <v>-0.54700000000000004</v>
      </c>
      <c r="AI217" s="15">
        <v>1</v>
      </c>
      <c r="AJ217" s="9">
        <v>-0.51600000000000001</v>
      </c>
      <c r="AK217" s="4">
        <v>-0.81299999999999994</v>
      </c>
      <c r="AL217" s="4">
        <v>-1</v>
      </c>
      <c r="AM217" s="4">
        <v>-0.91300000000000003</v>
      </c>
      <c r="AN217" s="4">
        <v>-0.19800000000000001</v>
      </c>
      <c r="AO217" s="4">
        <v>0.54300000000000004</v>
      </c>
      <c r="AP217" s="4">
        <v>-1</v>
      </c>
      <c r="AQ217" s="4">
        <v>-0.224</v>
      </c>
      <c r="AR217" s="4">
        <v>0.28399999999999997</v>
      </c>
      <c r="AS217" s="4">
        <v>0.33800000000000002</v>
      </c>
      <c r="AT217" s="4">
        <v>-1</v>
      </c>
      <c r="AU217" s="4">
        <v>-0.95599999999999996</v>
      </c>
      <c r="AV217" s="4">
        <v>-0.84599999999999997</v>
      </c>
      <c r="AW217" s="4">
        <v>-0.33900000000000002</v>
      </c>
      <c r="AX217" s="4">
        <v>-0.69099999999999995</v>
      </c>
      <c r="AY217" s="4">
        <v>-1</v>
      </c>
      <c r="AZ217" s="4">
        <v>-1</v>
      </c>
      <c r="BA217" s="4">
        <v>5.1999999999999998E-2</v>
      </c>
      <c r="BB217" s="4">
        <v>0.98699999999999999</v>
      </c>
      <c r="BC217" s="4">
        <v>0.54600000000000004</v>
      </c>
      <c r="BD217" s="4">
        <v>0.52600000000000002</v>
      </c>
      <c r="BE217" s="4">
        <v>1</v>
      </c>
      <c r="BF217" s="4">
        <v>-0.16200000000000001</v>
      </c>
      <c r="BG217" s="4">
        <v>-0.746</v>
      </c>
      <c r="BH217" s="4">
        <v>0.38500000000000001</v>
      </c>
      <c r="BI217" s="4">
        <v>-0.39700000000000002</v>
      </c>
      <c r="BJ217" s="4">
        <v>-0.58899999999999997</v>
      </c>
      <c r="BK217" s="4">
        <v>1</v>
      </c>
    </row>
    <row r="218" spans="1:63" x14ac:dyDescent="0.3">
      <c r="A218" t="s">
        <v>266</v>
      </c>
      <c r="B218" s="53">
        <f t="shared" si="19"/>
        <v>0</v>
      </c>
      <c r="C218" s="53">
        <f t="shared" si="20"/>
        <v>0</v>
      </c>
      <c r="D218" s="53">
        <f t="shared" si="21"/>
        <v>0</v>
      </c>
      <c r="E218" s="53">
        <v>0</v>
      </c>
      <c r="F218" s="15">
        <v>0.46800000000000003</v>
      </c>
      <c r="G218">
        <v>0.33200000000000002</v>
      </c>
      <c r="H218" t="s">
        <v>57</v>
      </c>
      <c r="I218" t="str">
        <f>VLOOKUP(A218,Planilha6!$BL$9:$BN$222,2,0)</f>
        <v>consumer_services</v>
      </c>
      <c r="J218" t="str">
        <f>VLOOKUP(A218,Planilha6!$BL$9:$BN$222,3,0)</f>
        <v>very_high_beta</v>
      </c>
      <c r="K218" s="2">
        <v>0</v>
      </c>
      <c r="L218" s="2">
        <v>0</v>
      </c>
      <c r="M218" s="29">
        <v>0</v>
      </c>
      <c r="N218" s="47">
        <f>VLOOKUP(A218,'Mandato ISEE'!$A$1:$C$215,2,0)</f>
        <v>0</v>
      </c>
      <c r="O218" s="48">
        <f t="shared" si="22"/>
        <v>0</v>
      </c>
      <c r="P218" s="47">
        <f>VLOOKUP(A218,'Mandato ISEE'!$A$1:$C$215,3,0)</f>
        <v>0</v>
      </c>
      <c r="Q218" s="48">
        <f t="shared" si="23"/>
        <v>0</v>
      </c>
      <c r="R218" s="15">
        <v>-1</v>
      </c>
      <c r="S218" s="15">
        <v>-1</v>
      </c>
      <c r="T218" s="15">
        <v>-0.96799999999999997</v>
      </c>
      <c r="U218" s="15">
        <v>-1</v>
      </c>
      <c r="V218" s="15">
        <v>-1</v>
      </c>
      <c r="W218" s="15">
        <v>-1</v>
      </c>
      <c r="X218" s="15">
        <v>-1</v>
      </c>
      <c r="Y218" s="15">
        <v>-0.998</v>
      </c>
      <c r="Z218" s="15">
        <v>-1</v>
      </c>
      <c r="AA218" s="15">
        <v>-1</v>
      </c>
      <c r="AB218" s="15">
        <v>-0.746</v>
      </c>
      <c r="AC218" s="15">
        <v>-0.76600000000000001</v>
      </c>
      <c r="AD218" s="15">
        <v>-1</v>
      </c>
      <c r="AE218" s="14">
        <v>-1</v>
      </c>
      <c r="AF218" s="15">
        <v>-0.82599999999999996</v>
      </c>
      <c r="AG218" s="15">
        <v>-1</v>
      </c>
      <c r="AH218" s="15">
        <v>-0.122</v>
      </c>
      <c r="AI218" s="15">
        <v>-0.49399999999999999</v>
      </c>
      <c r="AJ218" s="9">
        <v>0.23</v>
      </c>
      <c r="AK218" s="4">
        <v>-0.33</v>
      </c>
      <c r="AL218" s="4">
        <v>-0.75700000000000001</v>
      </c>
      <c r="AM218" s="4">
        <v>-0.53700000000000003</v>
      </c>
      <c r="AN218" s="4">
        <v>-0.64300000000000002</v>
      </c>
      <c r="AO218" s="4">
        <v>-0.74199999999999999</v>
      </c>
      <c r="AP218" s="4">
        <v>-1</v>
      </c>
      <c r="AQ218" s="4">
        <v>-0.32100000000000001</v>
      </c>
      <c r="AR218" s="4">
        <v>-1</v>
      </c>
      <c r="AS218" s="4">
        <v>-0.38600000000000001</v>
      </c>
      <c r="AT218" s="4">
        <v>-0.41399999999999998</v>
      </c>
      <c r="AU218" s="4">
        <v>-0.27100000000000002</v>
      </c>
      <c r="AV218" s="4">
        <v>-0.70599999999999996</v>
      </c>
      <c r="AW218" s="4">
        <v>-0.42599999999999999</v>
      </c>
      <c r="AX218" s="4">
        <v>0.109</v>
      </c>
      <c r="AY218" s="4">
        <v>0.13</v>
      </c>
      <c r="AZ218" s="4">
        <v>-0.59499999999999997</v>
      </c>
      <c r="BA218" s="4">
        <v>-0.151</v>
      </c>
      <c r="BB218" s="4">
        <v>0.47799999999999998</v>
      </c>
      <c r="BC218" s="4">
        <v>-0.23</v>
      </c>
      <c r="BD218" s="4">
        <v>-4.3999999999999997E-2</v>
      </c>
      <c r="BE218" s="4">
        <v>-0.60499999999999998</v>
      </c>
      <c r="BF218" s="4">
        <v>-0.81299999999999994</v>
      </c>
      <c r="BG218" s="4">
        <v>-1</v>
      </c>
      <c r="BH218" s="4">
        <v>0.55800000000000005</v>
      </c>
      <c r="BI218" s="4">
        <v>0.32500000000000001</v>
      </c>
      <c r="BJ218" s="4">
        <v>-0.17599999999999999</v>
      </c>
      <c r="BK218" s="4">
        <v>1</v>
      </c>
    </row>
    <row r="219" spans="1:63" x14ac:dyDescent="0.3">
      <c r="A219" t="s">
        <v>262</v>
      </c>
      <c r="B219" s="53">
        <f t="shared" si="19"/>
        <v>0</v>
      </c>
      <c r="C219" s="53">
        <f t="shared" si="20"/>
        <v>0</v>
      </c>
      <c r="D219" s="53">
        <f t="shared" si="21"/>
        <v>0</v>
      </c>
      <c r="E219" s="53">
        <v>0</v>
      </c>
      <c r="F219" s="15">
        <v>0.46800000000000003</v>
      </c>
      <c r="G219">
        <v>0.35399999999999998</v>
      </c>
      <c r="H219" t="s">
        <v>68</v>
      </c>
      <c r="I219" t="str">
        <f>VLOOKUP(A219,Planilha6!$BL$9:$BN$222,2,0)</f>
        <v>capital_goods</v>
      </c>
      <c r="J219" t="str">
        <f>VLOOKUP(A219,Planilha6!$BL$9:$BN$222,3,0)</f>
        <v>very_low_beta</v>
      </c>
      <c r="K219" s="2">
        <v>0</v>
      </c>
      <c r="L219" s="2">
        <v>0</v>
      </c>
      <c r="M219" s="29">
        <v>0</v>
      </c>
      <c r="N219" s="47">
        <f>VLOOKUP(A219,'Mandato ISEE'!$A$1:$C$215,2,0)</f>
        <v>0</v>
      </c>
      <c r="O219" s="48">
        <f t="shared" si="22"/>
        <v>0</v>
      </c>
      <c r="P219" s="47">
        <f>VLOOKUP(A219,'Mandato ISEE'!$A$1:$C$215,3,0)</f>
        <v>0</v>
      </c>
      <c r="Q219" s="48">
        <f t="shared" si="23"/>
        <v>0</v>
      </c>
      <c r="R219" s="15">
        <v>-1</v>
      </c>
      <c r="S219" s="15">
        <v>-1</v>
      </c>
      <c r="T219" s="15">
        <v>-0.92400000000000004</v>
      </c>
      <c r="U219" s="15">
        <v>-1</v>
      </c>
      <c r="V219" s="15">
        <v>-1</v>
      </c>
      <c r="W219" s="15">
        <v>-0.997</v>
      </c>
      <c r="X219" s="15">
        <v>-0.96299999999999997</v>
      </c>
      <c r="Y219" s="15">
        <v>-1</v>
      </c>
      <c r="Z219" s="15">
        <v>-1</v>
      </c>
      <c r="AA219" s="15">
        <v>-1</v>
      </c>
      <c r="AB219" s="15">
        <v>-0.88</v>
      </c>
      <c r="AC219" s="15">
        <v>-0.84099999999999997</v>
      </c>
      <c r="AD219" s="15">
        <v>-0.81299999999999994</v>
      </c>
      <c r="AE219" s="14">
        <v>-1</v>
      </c>
      <c r="AF219" s="15">
        <v>-1</v>
      </c>
      <c r="AG219" s="15">
        <v>-1</v>
      </c>
      <c r="AH219" s="15">
        <v>-0.61599999999999999</v>
      </c>
      <c r="AI219" s="15">
        <v>-0.46300000000000002</v>
      </c>
      <c r="AJ219" s="9">
        <v>-0.51600000000000001</v>
      </c>
      <c r="AK219" s="4">
        <v>-0.98799999999999999</v>
      </c>
      <c r="AL219" s="4">
        <v>-1</v>
      </c>
      <c r="AM219" s="4">
        <v>-0.51900000000000002</v>
      </c>
      <c r="AN219" s="4">
        <v>-0.64200000000000002</v>
      </c>
      <c r="AO219" s="4">
        <v>-0.94399999999999995</v>
      </c>
      <c r="AP219" s="4">
        <v>-0.65200000000000002</v>
      </c>
      <c r="AQ219" s="4">
        <v>-1</v>
      </c>
      <c r="AR219" s="4">
        <v>0.59099999999999997</v>
      </c>
      <c r="AS219" s="4">
        <v>0.19400000000000001</v>
      </c>
      <c r="AT219" s="4">
        <v>-0.94899999999999995</v>
      </c>
      <c r="AU219" s="4">
        <v>-0.77500000000000002</v>
      </c>
      <c r="AV219" s="4">
        <v>-0.84599999999999997</v>
      </c>
      <c r="AW219" s="4">
        <v>-8.5000000000000006E-2</v>
      </c>
      <c r="AX219" s="4">
        <v>-0.92900000000000005</v>
      </c>
      <c r="AY219" s="4">
        <v>-1</v>
      </c>
      <c r="AZ219" s="4">
        <v>-0.88400000000000001</v>
      </c>
      <c r="BA219" s="4">
        <v>5.6000000000000001E-2</v>
      </c>
      <c r="BB219" s="4">
        <v>0.97799999999999998</v>
      </c>
      <c r="BC219" s="4">
        <v>0.246</v>
      </c>
      <c r="BD219" s="4">
        <v>-6.8000000000000005E-2</v>
      </c>
      <c r="BE219" s="4">
        <v>1</v>
      </c>
      <c r="BF219" s="4">
        <v>-0.68600000000000005</v>
      </c>
      <c r="BG219" s="4">
        <v>0.45700000000000002</v>
      </c>
      <c r="BH219" s="4">
        <v>1</v>
      </c>
      <c r="BI219" s="4">
        <v>-0.159</v>
      </c>
      <c r="BJ219" s="4">
        <v>0.94499999999999995</v>
      </c>
      <c r="BK219" s="4">
        <v>0.95799999999999996</v>
      </c>
    </row>
    <row r="220" spans="1:63" x14ac:dyDescent="0.3">
      <c r="A220" t="s">
        <v>260</v>
      </c>
      <c r="B220" s="53">
        <f t="shared" si="19"/>
        <v>0</v>
      </c>
      <c r="C220" s="53">
        <f t="shared" si="20"/>
        <v>0</v>
      </c>
      <c r="D220" s="53">
        <f t="shared" si="21"/>
        <v>0</v>
      </c>
      <c r="E220" s="53">
        <v>0</v>
      </c>
      <c r="F220" s="15">
        <v>0.46800000000000003</v>
      </c>
      <c r="G220">
        <v>0.33</v>
      </c>
      <c r="H220" t="s">
        <v>57</v>
      </c>
      <c r="I220" t="str">
        <f>VLOOKUP(A220,Planilha6!$BL$9:$BN$222,2,0)</f>
        <v>consumer_services</v>
      </c>
      <c r="J220" t="str">
        <f>VLOOKUP(A220,Planilha6!$BL$9:$BN$222,3,0)</f>
        <v>very_high_beta</v>
      </c>
      <c r="K220" s="2">
        <v>0</v>
      </c>
      <c r="L220" s="2">
        <v>0</v>
      </c>
      <c r="M220" s="29">
        <v>0</v>
      </c>
      <c r="N220" s="47">
        <f>VLOOKUP(A220,'Mandato ISEE'!$A$1:$C$215,2,0)</f>
        <v>0</v>
      </c>
      <c r="O220" s="48">
        <f t="shared" si="22"/>
        <v>0</v>
      </c>
      <c r="P220" s="47">
        <f>VLOOKUP(A220,'Mandato ISEE'!$A$1:$C$215,3,0)</f>
        <v>0</v>
      </c>
      <c r="Q220" s="48">
        <f t="shared" si="23"/>
        <v>0</v>
      </c>
      <c r="R220" s="15">
        <v>-0.98399999999999999</v>
      </c>
      <c r="S220" s="15">
        <v>-1</v>
      </c>
      <c r="T220" s="15">
        <v>-0.97799999999999998</v>
      </c>
      <c r="U220" s="15">
        <v>-0.98299999999999998</v>
      </c>
      <c r="V220" s="15">
        <v>-1</v>
      </c>
      <c r="W220" s="15">
        <v>-1</v>
      </c>
      <c r="X220" s="15">
        <v>-1</v>
      </c>
      <c r="Y220" s="15">
        <v>-0.996</v>
      </c>
      <c r="Z220" s="15">
        <v>-0.76100000000000001</v>
      </c>
      <c r="AA220" s="15">
        <v>-0.76400000000000001</v>
      </c>
      <c r="AB220" s="15">
        <v>-0.78100000000000003</v>
      </c>
      <c r="AC220" s="15">
        <v>-1</v>
      </c>
      <c r="AD220" s="15">
        <v>-1</v>
      </c>
      <c r="AE220" s="14">
        <v>-0.79900000000000004</v>
      </c>
      <c r="AF220" s="15">
        <v>-0.45200000000000001</v>
      </c>
      <c r="AG220" s="15">
        <v>-0.871</v>
      </c>
      <c r="AH220" s="15">
        <v>-0.14000000000000001</v>
      </c>
      <c r="AI220" s="15">
        <v>-0.94099999999999995</v>
      </c>
      <c r="AJ220" s="9">
        <v>-0.86899999999999999</v>
      </c>
      <c r="AK220" s="4">
        <v>0.20399999999999999</v>
      </c>
      <c r="AL220" s="4">
        <v>-0.56000000000000005</v>
      </c>
      <c r="AM220" s="4">
        <v>-3.6999999999999998E-2</v>
      </c>
      <c r="AN220" s="4">
        <v>-0.29099999999999998</v>
      </c>
      <c r="AO220" s="4">
        <v>-0.76900000000000002</v>
      </c>
      <c r="AP220" s="4">
        <v>-0.874</v>
      </c>
      <c r="AQ220" s="4">
        <v>-0.57699999999999996</v>
      </c>
      <c r="AR220" s="4">
        <v>-0.69899999999999995</v>
      </c>
      <c r="AS220" s="4">
        <v>-0.44600000000000001</v>
      </c>
      <c r="AT220" s="4">
        <v>-0.41399999999999998</v>
      </c>
      <c r="AU220" s="4">
        <v>-0.66</v>
      </c>
      <c r="AV220" s="4">
        <v>-0.69299999999999995</v>
      </c>
      <c r="AW220" s="4">
        <v>-0.57899999999999996</v>
      </c>
      <c r="AX220" s="4">
        <v>-4.7E-2</v>
      </c>
      <c r="AY220" s="4">
        <v>0.28999999999999998</v>
      </c>
      <c r="AZ220" s="4">
        <v>-0.94099999999999995</v>
      </c>
      <c r="BA220" s="4">
        <v>0.189</v>
      </c>
      <c r="BB220" s="4">
        <v>0.78800000000000003</v>
      </c>
      <c r="BC220" s="4">
        <v>0.29299999999999998</v>
      </c>
      <c r="BD220" s="4">
        <v>-0.28599999999999998</v>
      </c>
      <c r="BE220" s="4">
        <v>-0.79300000000000004</v>
      </c>
      <c r="BF220" s="4">
        <v>-1</v>
      </c>
      <c r="BG220" s="4">
        <v>-1</v>
      </c>
      <c r="BH220" s="4">
        <v>0.98199999999999998</v>
      </c>
      <c r="BI220" s="4">
        <v>0.69699999999999995</v>
      </c>
      <c r="BJ220" s="4">
        <v>0.28199999999999997</v>
      </c>
      <c r="BK220" s="4">
        <v>6.6000000000000003E-2</v>
      </c>
    </row>
    <row r="221" spans="1:63" x14ac:dyDescent="0.3">
      <c r="A221" t="s">
        <v>267</v>
      </c>
      <c r="B221" s="53">
        <f t="shared" si="19"/>
        <v>0</v>
      </c>
      <c r="C221" s="53">
        <f t="shared" si="20"/>
        <v>0</v>
      </c>
      <c r="D221" s="53">
        <f t="shared" si="21"/>
        <v>0</v>
      </c>
      <c r="E221" s="53">
        <v>0</v>
      </c>
      <c r="F221" s="15">
        <v>0.46800000000000003</v>
      </c>
      <c r="G221">
        <v>0.32900000000000001</v>
      </c>
      <c r="H221" t="s">
        <v>53</v>
      </c>
      <c r="I221" t="str">
        <f>VLOOKUP(A221,Planilha6!$BL$9:$BN$222,2,0)</f>
        <v>healthcare</v>
      </c>
      <c r="J221" t="str">
        <f>VLOOKUP(A221,Planilha6!$BL$9:$BN$222,3,0)</f>
        <v>high_beta</v>
      </c>
      <c r="K221" s="2">
        <v>0</v>
      </c>
      <c r="L221" s="2">
        <v>0</v>
      </c>
      <c r="M221" s="29">
        <v>0</v>
      </c>
      <c r="N221" s="47">
        <f>VLOOKUP(A221,'Mandato ISEE'!$A$1:$C$215,2,0)</f>
        <v>0</v>
      </c>
      <c r="O221" s="48">
        <f t="shared" si="22"/>
        <v>0</v>
      </c>
      <c r="P221" s="47">
        <f>VLOOKUP(A221,'Mandato ISEE'!$A$1:$C$215,3,0)</f>
        <v>0</v>
      </c>
      <c r="Q221" s="48">
        <f t="shared" si="23"/>
        <v>0</v>
      </c>
      <c r="R221" s="15">
        <v>-1</v>
      </c>
      <c r="S221" s="15">
        <v>-1</v>
      </c>
      <c r="T221" s="15">
        <v>-0.996</v>
      </c>
      <c r="U221" s="15">
        <v>-1</v>
      </c>
      <c r="V221" s="15">
        <v>-1</v>
      </c>
      <c r="W221" s="15">
        <v>-1</v>
      </c>
      <c r="X221" s="15">
        <v>-1</v>
      </c>
      <c r="Y221" s="15">
        <v>-1</v>
      </c>
      <c r="Z221" s="15">
        <v>-1</v>
      </c>
      <c r="AA221" s="15">
        <v>-1</v>
      </c>
      <c r="AB221" s="15">
        <v>-1</v>
      </c>
      <c r="AC221" s="15">
        <v>-1</v>
      </c>
      <c r="AD221" s="15">
        <v>-1</v>
      </c>
      <c r="AE221" s="14">
        <v>-0.86499999999999999</v>
      </c>
      <c r="AF221" s="15">
        <v>-0.73199999999999998</v>
      </c>
      <c r="AG221" s="15">
        <v>-1</v>
      </c>
      <c r="AH221" s="15">
        <v>-0.23499999999999999</v>
      </c>
      <c r="AI221" s="15">
        <v>-0.46200000000000002</v>
      </c>
      <c r="AJ221" s="9">
        <v>-0.68700000000000006</v>
      </c>
      <c r="AK221" s="4">
        <v>-0.38800000000000001</v>
      </c>
      <c r="AL221" s="4">
        <v>-1</v>
      </c>
      <c r="AM221" s="4">
        <v>-0.39300000000000002</v>
      </c>
      <c r="AN221" s="4">
        <v>-0.69399999999999995</v>
      </c>
      <c r="AO221" s="4">
        <v>-0.47299999999999998</v>
      </c>
      <c r="AP221" s="4">
        <v>-0.80800000000000005</v>
      </c>
      <c r="AQ221" s="4">
        <v>-0.46700000000000003</v>
      </c>
      <c r="AR221" s="4">
        <v>-0.77200000000000002</v>
      </c>
      <c r="AS221" s="4">
        <v>-0.28399999999999997</v>
      </c>
      <c r="AT221" s="4">
        <v>-0.66100000000000003</v>
      </c>
      <c r="AU221" s="4">
        <v>-0.63100000000000001</v>
      </c>
      <c r="AV221" s="4">
        <v>-0.69099999999999995</v>
      </c>
      <c r="AW221" s="4">
        <v>-0.60699999999999998</v>
      </c>
      <c r="AX221" s="4">
        <v>-1</v>
      </c>
      <c r="AY221" s="4">
        <v>-0.18099999999999999</v>
      </c>
      <c r="AZ221" s="4">
        <v>-0.879</v>
      </c>
      <c r="BA221" s="4">
        <v>7.0999999999999994E-2</v>
      </c>
      <c r="BB221" s="4">
        <v>0.97899999999999998</v>
      </c>
      <c r="BC221" s="4">
        <v>0.54300000000000004</v>
      </c>
      <c r="BD221" s="4">
        <v>0.21199999999999999</v>
      </c>
      <c r="BE221" s="4">
        <v>1</v>
      </c>
      <c r="BF221" s="4">
        <v>-1</v>
      </c>
      <c r="BG221" s="4">
        <v>-1</v>
      </c>
      <c r="BH221" s="4">
        <v>0.96799999999999997</v>
      </c>
      <c r="BI221" s="4">
        <v>0.187</v>
      </c>
      <c r="BJ221" s="4">
        <v>0.33800000000000002</v>
      </c>
      <c r="BK221" s="4">
        <v>0.53800000000000003</v>
      </c>
    </row>
    <row r="222" spans="1:63" ht="15" thickBot="1" x14ac:dyDescent="0.35">
      <c r="A222" t="s">
        <v>268</v>
      </c>
      <c r="B222" s="53">
        <f t="shared" si="19"/>
        <v>0</v>
      </c>
      <c r="C222" s="53">
        <f t="shared" si="20"/>
        <v>0</v>
      </c>
      <c r="D222" s="53">
        <f t="shared" si="21"/>
        <v>0</v>
      </c>
      <c r="E222" s="53">
        <v>0</v>
      </c>
      <c r="F222" s="15">
        <v>0.46800000000000003</v>
      </c>
      <c r="G222">
        <v>0.32900000000000001</v>
      </c>
      <c r="H222" t="s">
        <v>71</v>
      </c>
      <c r="I222" t="str">
        <f>VLOOKUP(A222,Planilha6!$BL$9:$BN$222,2,0)</f>
        <v>basic_materials</v>
      </c>
      <c r="J222" t="str">
        <f>VLOOKUP(A222,Planilha6!$BL$9:$BN$222,3,0)</f>
        <v>very_high_beta</v>
      </c>
      <c r="K222" s="2">
        <v>0</v>
      </c>
      <c r="L222" s="2">
        <v>0</v>
      </c>
      <c r="M222" s="29">
        <v>0</v>
      </c>
      <c r="N222" s="49">
        <f>VLOOKUP(A222,'Mandato ISEE'!$A$1:$C$215,2,0)</f>
        <v>0</v>
      </c>
      <c r="O222" s="50">
        <f t="shared" si="22"/>
        <v>0</v>
      </c>
      <c r="P222" s="49">
        <f>VLOOKUP(A222,'Mandato ISEE'!$A$1:$C$215,3,0)</f>
        <v>0</v>
      </c>
      <c r="Q222" s="50">
        <f t="shared" si="23"/>
        <v>0</v>
      </c>
      <c r="R222" s="15">
        <v>-0.97</v>
      </c>
      <c r="S222" s="15">
        <v>-1</v>
      </c>
      <c r="T222" s="15">
        <v>-0.91300000000000003</v>
      </c>
      <c r="U222" s="15">
        <v>-0.997</v>
      </c>
      <c r="V222" s="15">
        <v>-0.998</v>
      </c>
      <c r="W222" s="15">
        <v>-0.99299999999999999</v>
      </c>
      <c r="X222" s="15">
        <v>-1</v>
      </c>
      <c r="Y222" s="15">
        <v>-1</v>
      </c>
      <c r="Z222" s="15">
        <v>-1</v>
      </c>
      <c r="AA222" s="15">
        <v>-1</v>
      </c>
      <c r="AB222" s="15">
        <v>-1</v>
      </c>
      <c r="AC222" s="15">
        <v>-1</v>
      </c>
      <c r="AD222" s="15">
        <v>-1</v>
      </c>
      <c r="AE222" s="14">
        <v>-0.995</v>
      </c>
      <c r="AF222" s="15">
        <v>-0.871</v>
      </c>
      <c r="AG222" s="15">
        <v>-1</v>
      </c>
      <c r="AH222" s="15">
        <v>-0.505</v>
      </c>
      <c r="AI222" s="15">
        <v>-0.35099999999999998</v>
      </c>
      <c r="AJ222" s="9">
        <v>-0.58299999999999996</v>
      </c>
      <c r="AK222" s="4">
        <v>-0.623</v>
      </c>
      <c r="AL222" s="4">
        <v>-1</v>
      </c>
      <c r="AM222" s="4">
        <v>-0.97299999999999998</v>
      </c>
      <c r="AN222" s="4">
        <v>-8.6999999999999994E-2</v>
      </c>
      <c r="AO222" s="4">
        <v>-0.68799999999999994</v>
      </c>
      <c r="AP222" s="4">
        <v>-0.40500000000000003</v>
      </c>
      <c r="AQ222" s="4">
        <v>-8.3000000000000004E-2</v>
      </c>
      <c r="AR222" s="4">
        <v>0.24199999999999999</v>
      </c>
      <c r="AS222" s="4">
        <v>0.13900000000000001</v>
      </c>
      <c r="AT222" s="4">
        <v>-0.77400000000000002</v>
      </c>
      <c r="AU222" s="4">
        <v>-0.83499999999999996</v>
      </c>
      <c r="AV222" s="4">
        <v>-0.52500000000000002</v>
      </c>
      <c r="AW222" s="4">
        <v>-0.50600000000000001</v>
      </c>
      <c r="AX222" s="4">
        <v>-0.68300000000000005</v>
      </c>
      <c r="AY222" s="4">
        <v>-0.443</v>
      </c>
      <c r="AZ222" s="4">
        <v>-0.35299999999999998</v>
      </c>
      <c r="BA222" s="4">
        <v>0.46400000000000002</v>
      </c>
      <c r="BB222" s="4">
        <v>0.93700000000000006</v>
      </c>
      <c r="BC222" s="4">
        <v>0.70799999999999996</v>
      </c>
      <c r="BD222" s="4">
        <v>-0.219</v>
      </c>
      <c r="BE222" s="4">
        <v>-0.70399999999999996</v>
      </c>
      <c r="BF222" s="4">
        <v>-0.98799999999999999</v>
      </c>
      <c r="BG222" s="4">
        <v>-0.95599999999999996</v>
      </c>
      <c r="BH222" s="4">
        <v>1</v>
      </c>
      <c r="BI222" s="4">
        <v>0.19</v>
      </c>
      <c r="BJ222" s="4">
        <v>0.67700000000000005</v>
      </c>
      <c r="BK222" s="4">
        <v>0.90600000000000003</v>
      </c>
    </row>
    <row r="223" spans="1:63" x14ac:dyDescent="0.3">
      <c r="F223" s="15"/>
      <c r="K223" s="2"/>
      <c r="L223" s="2"/>
      <c r="M223" s="15"/>
      <c r="N223" s="29"/>
      <c r="O223" s="29"/>
      <c r="P223" s="29"/>
      <c r="Q223" s="29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4"/>
      <c r="AF223" s="15"/>
      <c r="AG223" s="15"/>
      <c r="AH223" s="15"/>
      <c r="AI223" s="15"/>
      <c r="AJ223" s="9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</row>
    <row r="224" spans="1:63" x14ac:dyDescent="0.3">
      <c r="F224" s="15"/>
      <c r="K224" s="2"/>
      <c r="L224" s="2"/>
      <c r="M224" s="15"/>
      <c r="N224" s="29"/>
      <c r="O224" s="29"/>
      <c r="P224" s="29"/>
      <c r="Q224" s="29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4"/>
      <c r="AF224" s="15"/>
      <c r="AG224" s="15"/>
      <c r="AH224" s="15"/>
      <c r="AI224" s="15"/>
      <c r="AJ224" s="9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</row>
    <row r="225" spans="6:63" x14ac:dyDescent="0.3">
      <c r="F225" s="15"/>
      <c r="K225" s="2"/>
      <c r="L225" s="2"/>
      <c r="M225" s="15"/>
      <c r="N225" s="29"/>
      <c r="O225" s="29"/>
      <c r="P225" s="29"/>
      <c r="Q225" s="29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4"/>
      <c r="AF225" s="15"/>
      <c r="AG225" s="15"/>
      <c r="AH225" s="15"/>
      <c r="AI225" s="15"/>
      <c r="AJ225" s="9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</row>
    <row r="226" spans="6:63" x14ac:dyDescent="0.3">
      <c r="F226" s="15"/>
      <c r="K226" s="2"/>
      <c r="L226" s="2"/>
      <c r="M226" s="15"/>
      <c r="N226" s="29"/>
      <c r="O226" s="29"/>
      <c r="P226" s="29"/>
      <c r="Q226" s="29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4"/>
      <c r="AF226" s="15"/>
      <c r="AG226" s="15"/>
      <c r="AH226" s="15"/>
      <c r="AI226" s="15"/>
      <c r="AJ226" s="9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</row>
    <row r="237" spans="6:63" x14ac:dyDescent="0.3">
      <c r="H237" s="23" t="s">
        <v>308</v>
      </c>
      <c r="I237" t="s">
        <v>329</v>
      </c>
      <c r="J237" t="s">
        <v>758</v>
      </c>
      <c r="K237" t="s">
        <v>754</v>
      </c>
      <c r="L237" t="s">
        <v>310</v>
      </c>
      <c r="M237" t="s">
        <v>325</v>
      </c>
      <c r="N237" t="s">
        <v>326</v>
      </c>
    </row>
    <row r="238" spans="6:63" x14ac:dyDescent="0.3">
      <c r="H238" s="24" t="s">
        <v>55</v>
      </c>
      <c r="I238" s="26">
        <v>0.38600000000000001</v>
      </c>
      <c r="J238" s="26">
        <v>7.0000000000000132E-3</v>
      </c>
      <c r="K238" s="26">
        <v>0.40600000000000003</v>
      </c>
      <c r="L238" s="26">
        <v>2.7999999999999976E-2</v>
      </c>
      <c r="M238" s="26">
        <v>0.54255186624619123</v>
      </c>
      <c r="N238" s="26">
        <v>0.6344526494247571</v>
      </c>
    </row>
    <row r="239" spans="6:63" x14ac:dyDescent="0.3">
      <c r="H239" s="25" t="s">
        <v>295</v>
      </c>
      <c r="I239" s="26">
        <v>8.8999999999999996E-2</v>
      </c>
      <c r="J239" s="26">
        <v>5.6000000000000008E-2</v>
      </c>
      <c r="K239" s="26">
        <v>9.0999999999999998E-2</v>
      </c>
      <c r="L239" s="26">
        <v>5.7999999999999996E-2</v>
      </c>
      <c r="M239" s="26">
        <v>9.9806363057751701E-2</v>
      </c>
      <c r="N239" s="26">
        <v>8.7729516257618406E-2</v>
      </c>
    </row>
    <row r="240" spans="6:63" x14ac:dyDescent="0.3">
      <c r="H240" s="25" t="s">
        <v>302</v>
      </c>
      <c r="I240" s="26">
        <v>5.8999999999999997E-2</v>
      </c>
      <c r="J240" s="26">
        <v>1.0000000000000009E-3</v>
      </c>
      <c r="K240" s="26">
        <v>5.8999999999999997E-2</v>
      </c>
      <c r="L240" s="26">
        <v>2E-3</v>
      </c>
      <c r="M240" s="26">
        <v>0.23667796485141451</v>
      </c>
      <c r="N240" s="26">
        <v>0.1169959983677038</v>
      </c>
    </row>
    <row r="241" spans="8:14" x14ac:dyDescent="0.3">
      <c r="H241" s="25" t="s">
        <v>285</v>
      </c>
      <c r="I241" s="26">
        <v>0</v>
      </c>
      <c r="J241" s="26">
        <v>-2.8999999999999998E-2</v>
      </c>
      <c r="K241" s="26">
        <v>0</v>
      </c>
      <c r="L241" s="26">
        <v>-2.8999999999999998E-2</v>
      </c>
      <c r="M241" s="26">
        <v>0</v>
      </c>
      <c r="N241" s="26">
        <v>0</v>
      </c>
    </row>
    <row r="242" spans="8:14" x14ac:dyDescent="0.3">
      <c r="H242" s="25" t="s">
        <v>280</v>
      </c>
      <c r="I242" s="26">
        <v>0.23799999999999999</v>
      </c>
      <c r="J242" s="26">
        <v>-2.0999999999999998E-2</v>
      </c>
      <c r="K242" s="26">
        <v>0.25600000000000001</v>
      </c>
      <c r="L242" s="26">
        <v>-3.0000000000000235E-3</v>
      </c>
      <c r="M242" s="26">
        <v>0.20606753833702507</v>
      </c>
      <c r="N242" s="26">
        <v>0.42972713479943492</v>
      </c>
    </row>
    <row r="243" spans="8:14" x14ac:dyDescent="0.3">
      <c r="H243" s="24" t="s">
        <v>71</v>
      </c>
      <c r="I243" s="26">
        <v>6.5000000000000002E-2</v>
      </c>
      <c r="J243" s="26">
        <v>-4.9999999999999992E-3</v>
      </c>
      <c r="K243" s="26">
        <v>7.0000000000000007E-2</v>
      </c>
      <c r="L243" s="26">
        <v>0</v>
      </c>
      <c r="M243" s="26">
        <v>2.29187604144062E-2</v>
      </c>
      <c r="N243" s="26">
        <v>1.56102114038767E-2</v>
      </c>
    </row>
    <row r="244" spans="8:14" x14ac:dyDescent="0.3">
      <c r="H244" s="25" t="s">
        <v>284</v>
      </c>
      <c r="I244" s="26">
        <v>2.3E-2</v>
      </c>
      <c r="J244" s="26">
        <v>-0.01</v>
      </c>
      <c r="K244" s="26">
        <v>2.5000000000000001E-2</v>
      </c>
      <c r="L244" s="26">
        <v>-7.0000000000000001E-3</v>
      </c>
      <c r="M244" s="26">
        <v>0</v>
      </c>
      <c r="N244" s="26">
        <v>0</v>
      </c>
    </row>
    <row r="245" spans="8:14" x14ac:dyDescent="0.3">
      <c r="H245" s="25" t="s">
        <v>300</v>
      </c>
      <c r="I245" s="26">
        <v>2.1999999999999999E-2</v>
      </c>
      <c r="J245" s="26">
        <v>1.9999999999999997E-2</v>
      </c>
      <c r="K245" s="26">
        <v>2.1999999999999999E-2</v>
      </c>
      <c r="L245" s="26">
        <v>1.9E-2</v>
      </c>
      <c r="M245" s="26">
        <v>2.29187604144062E-2</v>
      </c>
      <c r="N245" s="26">
        <v>1.56102114038767E-2</v>
      </c>
    </row>
    <row r="246" spans="8:14" x14ac:dyDescent="0.3">
      <c r="H246" s="25" t="s">
        <v>292</v>
      </c>
      <c r="I246" s="26">
        <v>0.02</v>
      </c>
      <c r="J246" s="26">
        <v>-1.4999999999999996E-2</v>
      </c>
      <c r="K246" s="26">
        <v>2.3E-2</v>
      </c>
      <c r="L246" s="26">
        <v>-1.1999999999999997E-2</v>
      </c>
      <c r="M246" s="26">
        <v>0</v>
      </c>
      <c r="N246" s="26">
        <v>0</v>
      </c>
    </row>
    <row r="247" spans="8:14" x14ac:dyDescent="0.3">
      <c r="H247" s="24" t="s">
        <v>53</v>
      </c>
      <c r="I247" s="26">
        <v>0.19649999999999998</v>
      </c>
      <c r="J247" s="26">
        <v>4.1500000000000016E-2</v>
      </c>
      <c r="K247" s="26">
        <v>0.20899999999999999</v>
      </c>
      <c r="L247" s="26">
        <v>5.3999999999999999E-2</v>
      </c>
      <c r="M247" s="26">
        <v>0.1971830298158562</v>
      </c>
      <c r="N247" s="26">
        <v>9.2356283325349814E-2</v>
      </c>
    </row>
    <row r="248" spans="8:14" x14ac:dyDescent="0.3">
      <c r="H248" s="25" t="s">
        <v>288</v>
      </c>
      <c r="I248" s="26">
        <v>8.5999999999999993E-2</v>
      </c>
      <c r="J248" s="26">
        <v>2.0999999999999998E-2</v>
      </c>
      <c r="K248" s="26">
        <v>8.8999999999999996E-2</v>
      </c>
      <c r="L248" s="26">
        <v>2.4E-2</v>
      </c>
      <c r="M248" s="26">
        <v>9.3171815298303901E-2</v>
      </c>
      <c r="N248" s="26">
        <v>4.1188896645116602E-2</v>
      </c>
    </row>
    <row r="249" spans="8:14" x14ac:dyDescent="0.3">
      <c r="H249" s="25" t="s">
        <v>299</v>
      </c>
      <c r="I249" s="26">
        <v>0</v>
      </c>
      <c r="J249" s="26">
        <v>0</v>
      </c>
      <c r="K249" s="26">
        <v>0</v>
      </c>
      <c r="L249" s="26">
        <v>0</v>
      </c>
      <c r="M249" s="26">
        <v>0</v>
      </c>
      <c r="N249" s="26">
        <v>0</v>
      </c>
    </row>
    <row r="250" spans="8:14" x14ac:dyDescent="0.3">
      <c r="H250" s="25" t="s">
        <v>301</v>
      </c>
      <c r="I250" s="26">
        <v>2.5000000000000001E-2</v>
      </c>
      <c r="J250" s="26">
        <v>9.0000000000000011E-3</v>
      </c>
      <c r="K250" s="26">
        <v>2.5000000000000001E-2</v>
      </c>
      <c r="L250" s="26">
        <v>8.9999999999999993E-3</v>
      </c>
      <c r="M250" s="26">
        <v>5.9551521571764299E-2</v>
      </c>
      <c r="N250" s="26">
        <v>3.5607644625039701E-2</v>
      </c>
    </row>
    <row r="251" spans="8:14" x14ac:dyDescent="0.3">
      <c r="H251" s="25" t="s">
        <v>290</v>
      </c>
      <c r="I251" s="26">
        <v>8.5499999999999993E-2</v>
      </c>
      <c r="J251" s="26">
        <v>1.1500000000000017E-2</v>
      </c>
      <c r="K251" s="26">
        <v>9.5000000000000001E-2</v>
      </c>
      <c r="L251" s="26">
        <v>2.0999999999999998E-2</v>
      </c>
      <c r="M251" s="26">
        <v>4.4459692945787999E-2</v>
      </c>
      <c r="N251" s="26">
        <v>1.55597420551935E-2</v>
      </c>
    </row>
    <row r="252" spans="8:14" x14ac:dyDescent="0.3">
      <c r="H252" s="24" t="s">
        <v>68</v>
      </c>
      <c r="I252" s="26">
        <v>0.01</v>
      </c>
      <c r="J252" s="26">
        <v>-1.7999999999999999E-2</v>
      </c>
      <c r="K252" s="26">
        <v>0</v>
      </c>
      <c r="L252" s="26">
        <v>-2.7999999999999997E-2</v>
      </c>
      <c r="M252" s="26">
        <v>0</v>
      </c>
      <c r="N252" s="26">
        <v>0</v>
      </c>
    </row>
    <row r="253" spans="8:14" x14ac:dyDescent="0.3">
      <c r="H253" s="25" t="s">
        <v>298</v>
      </c>
      <c r="I253" s="26">
        <v>0</v>
      </c>
      <c r="J253" s="26">
        <v>-3.0000000000000001E-3</v>
      </c>
      <c r="K253" s="26">
        <v>0</v>
      </c>
      <c r="L253" s="26">
        <v>-3.0000000000000001E-3</v>
      </c>
      <c r="M253" s="26">
        <v>0</v>
      </c>
      <c r="N253" s="26">
        <v>0</v>
      </c>
    </row>
    <row r="254" spans="8:14" x14ac:dyDescent="0.3">
      <c r="H254" s="25" t="s">
        <v>293</v>
      </c>
      <c r="I254" s="26">
        <v>0.01</v>
      </c>
      <c r="J254" s="26">
        <v>-1.0999999999999999E-2</v>
      </c>
      <c r="K254" s="26">
        <v>0</v>
      </c>
      <c r="L254" s="26">
        <v>-2.0999999999999998E-2</v>
      </c>
      <c r="M254" s="26">
        <v>0</v>
      </c>
      <c r="N254" s="26">
        <v>0</v>
      </c>
    </row>
    <row r="255" spans="8:14" x14ac:dyDescent="0.3">
      <c r="H255" s="25" t="s">
        <v>303</v>
      </c>
      <c r="I255" s="26">
        <v>0</v>
      </c>
      <c r="J255" s="26">
        <v>-4.0000000000000001E-3</v>
      </c>
      <c r="K255" s="26">
        <v>0</v>
      </c>
      <c r="L255" s="26">
        <v>-4.0000000000000001E-3</v>
      </c>
      <c r="M255" s="26">
        <v>0</v>
      </c>
      <c r="N255" s="26">
        <v>0</v>
      </c>
    </row>
    <row r="256" spans="8:14" x14ac:dyDescent="0.3">
      <c r="H256" s="24" t="s">
        <v>57</v>
      </c>
      <c r="I256" s="26">
        <v>0.34249999999999997</v>
      </c>
      <c r="J256" s="26">
        <v>-2.3499999999999993E-2</v>
      </c>
      <c r="K256" s="26">
        <v>0.31400000000000006</v>
      </c>
      <c r="L256" s="26">
        <v>-5.099999999999999E-2</v>
      </c>
      <c r="M256" s="26">
        <v>0.23734634352354611</v>
      </c>
      <c r="N256" s="26">
        <v>0.2575808558460162</v>
      </c>
    </row>
    <row r="257" spans="8:14" x14ac:dyDescent="0.3">
      <c r="H257" s="25" t="s">
        <v>289</v>
      </c>
      <c r="I257" s="26">
        <v>8.7999999999999995E-2</v>
      </c>
      <c r="J257" s="26">
        <v>5.0999999999999997E-2</v>
      </c>
      <c r="K257" s="26">
        <v>8.3000000000000004E-2</v>
      </c>
      <c r="L257" s="26">
        <v>4.5999999999999999E-2</v>
      </c>
      <c r="M257" s="26">
        <v>0.11777345127054581</v>
      </c>
      <c r="N257" s="26">
        <v>1.7021819953860401E-2</v>
      </c>
    </row>
    <row r="258" spans="8:14" x14ac:dyDescent="0.3">
      <c r="H258" s="25" t="s">
        <v>286</v>
      </c>
      <c r="I258" s="26">
        <v>0.1555</v>
      </c>
      <c r="J258" s="26">
        <v>2.4999999999999988E-3</v>
      </c>
      <c r="K258" s="26">
        <v>0.14400000000000002</v>
      </c>
      <c r="L258" s="26">
        <v>-8.9999999999999976E-3</v>
      </c>
      <c r="M258" s="26">
        <v>8.7760891754338904E-2</v>
      </c>
      <c r="N258" s="26">
        <v>0.13561631509247721</v>
      </c>
    </row>
    <row r="259" spans="8:14" x14ac:dyDescent="0.3">
      <c r="H259" s="25" t="s">
        <v>296</v>
      </c>
      <c r="I259" s="26">
        <v>0</v>
      </c>
      <c r="J259" s="26">
        <v>-7.0000000000000001E-3</v>
      </c>
      <c r="K259" s="26">
        <v>0</v>
      </c>
      <c r="L259" s="26">
        <v>-7.0000000000000001E-3</v>
      </c>
      <c r="M259" s="26">
        <v>0</v>
      </c>
      <c r="N259" s="26">
        <v>0</v>
      </c>
    </row>
    <row r="260" spans="8:14" x14ac:dyDescent="0.3">
      <c r="H260" s="25" t="s">
        <v>278</v>
      </c>
      <c r="I260" s="26">
        <v>3.5000000000000003E-2</v>
      </c>
      <c r="J260" s="26">
        <v>-3.6999999999999998E-2</v>
      </c>
      <c r="K260" s="26">
        <v>3.7999999999999999E-2</v>
      </c>
      <c r="L260" s="26">
        <v>-3.3000000000000002E-2</v>
      </c>
      <c r="M260" s="26">
        <v>0</v>
      </c>
      <c r="N260" s="26">
        <v>5.06977923591048E-2</v>
      </c>
    </row>
    <row r="261" spans="8:14" x14ac:dyDescent="0.3">
      <c r="H261" s="25" t="s">
        <v>297</v>
      </c>
      <c r="I261" s="26">
        <v>0</v>
      </c>
      <c r="J261" s="26">
        <v>-1.6E-2</v>
      </c>
      <c r="K261" s="26">
        <v>0</v>
      </c>
      <c r="L261" s="26">
        <v>-1.6E-2</v>
      </c>
      <c r="M261" s="26">
        <v>0</v>
      </c>
      <c r="N261" s="26">
        <v>0</v>
      </c>
    </row>
    <row r="262" spans="8:14" x14ac:dyDescent="0.3">
      <c r="H262" s="25" t="s">
        <v>299</v>
      </c>
      <c r="I262" s="26">
        <v>0</v>
      </c>
      <c r="J262" s="26">
        <v>-3.1E-2</v>
      </c>
      <c r="K262" s="26">
        <v>0</v>
      </c>
      <c r="L262" s="26">
        <v>-3.1E-2</v>
      </c>
      <c r="M262" s="26">
        <v>0</v>
      </c>
      <c r="N262" s="26">
        <v>4.10629623701547E-2</v>
      </c>
    </row>
    <row r="263" spans="8:14" x14ac:dyDescent="0.3">
      <c r="H263" s="25" t="s">
        <v>294</v>
      </c>
      <c r="I263" s="26">
        <v>5.4000000000000006E-2</v>
      </c>
      <c r="J263" s="26">
        <v>3.500000000000001E-2</v>
      </c>
      <c r="K263" s="26">
        <v>3.5000000000000003E-2</v>
      </c>
      <c r="L263" s="26">
        <v>1.5000000000000003E-2</v>
      </c>
      <c r="M263" s="26">
        <v>3.1812000498661397E-2</v>
      </c>
      <c r="N263" s="26">
        <v>1.3181966070419099E-2</v>
      </c>
    </row>
    <row r="264" spans="8:14" x14ac:dyDescent="0.3">
      <c r="H264" s="25" t="s">
        <v>291</v>
      </c>
      <c r="I264" s="26">
        <v>0</v>
      </c>
      <c r="J264" s="26">
        <v>0</v>
      </c>
      <c r="K264" s="26">
        <v>0</v>
      </c>
      <c r="L264" s="26">
        <v>0</v>
      </c>
      <c r="M264" s="26">
        <v>0</v>
      </c>
      <c r="N264" s="26">
        <v>0</v>
      </c>
    </row>
    <row r="265" spans="8:14" x14ac:dyDescent="0.3">
      <c r="H265" s="25" t="s">
        <v>285</v>
      </c>
      <c r="I265" s="26">
        <v>0.01</v>
      </c>
      <c r="J265" s="26">
        <v>-2.0999999999999998E-2</v>
      </c>
      <c r="K265" s="26">
        <v>1.4E-2</v>
      </c>
      <c r="L265" s="26">
        <v>-1.6E-2</v>
      </c>
      <c r="M265" s="26">
        <v>0</v>
      </c>
      <c r="N265" s="26">
        <v>0</v>
      </c>
    </row>
    <row r="266" spans="8:14" x14ac:dyDescent="0.3">
      <c r="H266" s="24" t="s">
        <v>309</v>
      </c>
      <c r="I266" s="26">
        <v>1</v>
      </c>
      <c r="J266" s="26">
        <v>2.0000000000000365E-3</v>
      </c>
      <c r="K266" s="26">
        <v>0.99900000000000011</v>
      </c>
      <c r="L266" s="26">
        <v>2.9999999999999923E-3</v>
      </c>
      <c r="M266" s="26">
        <v>0.99999999999999967</v>
      </c>
      <c r="N266" s="26">
        <v>0.99999999999999989</v>
      </c>
    </row>
  </sheetData>
  <autoFilter ref="A8:BK226" xr:uid="{16D9FD78-13E4-460E-A5A8-DA49117156E1}">
    <sortState xmlns:xlrd2="http://schemas.microsoft.com/office/spreadsheetml/2017/richdata2" ref="A9:BK226">
      <sortCondition descending="1" ref="F8:F226"/>
    </sortState>
  </autoFilter>
  <mergeCells count="3">
    <mergeCell ref="R1:AD3"/>
    <mergeCell ref="AE1:AJ3"/>
    <mergeCell ref="AK1:BK3"/>
  </mergeCells>
  <conditionalFormatting sqref="F9:F60"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9:F226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9:K226"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:L22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9:Q60 M8 N10:Q226">
    <cfRule type="colorScale" priority="15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9:Q226">
    <cfRule type="colorScale" priority="10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R7:BK7 M7 O7"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8">
    <cfRule type="colorScale" priority="15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R9:R60">
    <cfRule type="colorScale" priority="10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R9:R226">
    <cfRule type="colorScale" priority="10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8">
    <cfRule type="colorScale" priority="14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9:S60">
    <cfRule type="colorScale" priority="10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9:S226">
    <cfRule type="colorScale" priority="10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8">
    <cfRule type="colorScale" priority="14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9:T60">
    <cfRule type="colorScale" priority="10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9:T226">
    <cfRule type="colorScale" priority="10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">
    <cfRule type="colorScale" priority="14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9:U60">
    <cfRule type="colorScale" priority="10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9:U226">
    <cfRule type="colorScale" priority="10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8">
    <cfRule type="colorScale" priority="1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9:V60">
    <cfRule type="colorScale" priority="10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9:V226">
    <cfRule type="colorScale" priority="9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8">
    <cfRule type="colorScale" priority="14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9:W60">
    <cfRule type="colorScale" priority="9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9:W226">
    <cfRule type="colorScale" priority="9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8">
    <cfRule type="colorScale" priority="14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9:X60">
    <cfRule type="colorScale" priority="9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9:X226">
    <cfRule type="colorScale" priority="9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8">
    <cfRule type="colorScale" priority="14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9:Y60">
    <cfRule type="colorScale" priority="9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9:Y226">
    <cfRule type="colorScale" priority="9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8">
    <cfRule type="colorScale" priority="14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9:Z60">
    <cfRule type="colorScale" priority="9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9:Z226">
    <cfRule type="colorScale" priority="9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8">
    <cfRule type="colorScale" priority="1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9:AA60">
    <cfRule type="colorScale" priority="9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9:AA226">
    <cfRule type="colorScale" priority="8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8">
    <cfRule type="colorScale" priority="14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9:AB60">
    <cfRule type="colorScale" priority="8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9:AB226">
    <cfRule type="colorScale" priority="8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8">
    <cfRule type="colorScale" priority="1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9:AC60">
    <cfRule type="colorScale" priority="8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9:AC226">
    <cfRule type="colorScale" priority="8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8">
    <cfRule type="colorScale" priority="13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9:AD60">
    <cfRule type="colorScale" priority="8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9:AD226">
    <cfRule type="colorScale" priority="8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8">
    <cfRule type="colorScale" priority="13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9:AE60">
    <cfRule type="colorScale" priority="8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9:AE226">
    <cfRule type="colorScale" priority="8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8">
    <cfRule type="colorScale" priority="13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9:AF60">
    <cfRule type="colorScale" priority="8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9:AF226">
    <cfRule type="colorScale" priority="7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8">
    <cfRule type="colorScale" priority="13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9:AG60">
    <cfRule type="colorScale" priority="7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9:AG226">
    <cfRule type="colorScale" priority="7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8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9:AH60">
    <cfRule type="colorScale" priority="7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9:AH226">
    <cfRule type="colorScale" priority="7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8">
    <cfRule type="colorScale" priority="1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9:AI60">
    <cfRule type="colorScale" priority="7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9:AI226">
    <cfRule type="colorScale" priority="7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8">
    <cfRule type="colorScale" priority="1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9:AJ60">
    <cfRule type="colorScale" priority="7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9:AJ226">
    <cfRule type="colorScale" priority="7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8">
    <cfRule type="colorScale" priority="13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9:AK60">
    <cfRule type="colorScale" priority="7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9:AK226">
    <cfRule type="colorScale" priority="6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8">
    <cfRule type="colorScale" priority="13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9:AL60">
    <cfRule type="colorScale" priority="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9:AL226">
    <cfRule type="colorScale" priority="6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8"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9:AM60">
    <cfRule type="colorScale" priority="6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9:AM226">
    <cfRule type="colorScale" priority="6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8">
    <cfRule type="colorScale" priority="1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9:AN60">
    <cfRule type="colorScale" priority="6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9:AN226">
    <cfRule type="colorScale" priority="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8">
    <cfRule type="colorScale" priority="1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9:AO60">
    <cfRule type="colorScale" priority="6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9:AO226">
    <cfRule type="colorScale" priority="6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8">
    <cfRule type="colorScale" priority="1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9:AP60">
    <cfRule type="colorScale" priority="6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9:AP226">
    <cfRule type="colorScale" priority="5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8">
    <cfRule type="colorScale" priority="1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9:AQ60">
    <cfRule type="colorScale" priority="5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9:AQ226">
    <cfRule type="colorScale" priority="5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8">
    <cfRule type="colorScale" priority="1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9:AR60">
    <cfRule type="colorScale" priority="5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9:AR226">
    <cfRule type="colorScale" priority="5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8">
    <cfRule type="colorScale" priority="1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9:AS60">
    <cfRule type="colorScale" priority="5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9:AS226">
    <cfRule type="colorScale" priority="5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8">
    <cfRule type="colorScale" priority="1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9:AT60">
    <cfRule type="colorScale" priority="5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9:AT226">
    <cfRule type="colorScale" priority="5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8">
    <cfRule type="colorScale" priority="1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9:AU60">
    <cfRule type="colorScale" priority="5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9:AU226">
    <cfRule type="colorScale" priority="4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8">
    <cfRule type="colorScale" priority="1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9:AV60">
    <cfRule type="colorScale" priority="4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9:AV226">
    <cfRule type="colorScale" priority="4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8">
    <cfRule type="colorScale" priority="1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9:AW60">
    <cfRule type="colorScale" priority="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9:AW226">
    <cfRule type="colorScale" priority="4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8">
    <cfRule type="colorScale" priority="1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9:AX60">
    <cfRule type="colorScale" priority="4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9:AX226">
    <cfRule type="colorScale" priority="4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8">
    <cfRule type="colorScale" priority="1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9:AY60">
    <cfRule type="colorScale" priority="4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9:AY226">
    <cfRule type="colorScale" priority="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8">
    <cfRule type="colorScale" priority="1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9:AZ60">
    <cfRule type="colorScale" priority="4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9:AZ226">
    <cfRule type="colorScale" priority="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8">
    <cfRule type="colorScale" priority="1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9:BA60">
    <cfRule type="colorScale" priority="3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9:BA226">
    <cfRule type="colorScale" priority="3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8">
    <cfRule type="colorScale" priority="1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9:BB60">
    <cfRule type="colorScale" priority="3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9:BB226">
    <cfRule type="colorScale" priority="3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8">
    <cfRule type="colorScale" priority="1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9:BC60">
    <cfRule type="colorScale" priority="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9:BC226">
    <cfRule type="colorScale" priority="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8">
    <cfRule type="colorScale" priority="1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9:BD60">
    <cfRule type="colorScale" priority="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9:BD226">
    <cfRule type="colorScale" priority="3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8">
    <cfRule type="colorScale" priority="1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9:BE60">
    <cfRule type="colorScale" priority="3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9:BE226">
    <cfRule type="colorScale" priority="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8">
    <cfRule type="colorScale" priority="1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9:BF60">
    <cfRule type="colorScale" priority="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9:BF226"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G9:BG60">
    <cfRule type="colorScale" priority="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G9:BG226"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H9:BH60">
    <cfRule type="colorScale" priority="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H9:BH226">
    <cfRule type="colorScale" priority="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I9:BI60">
    <cfRule type="colorScale" priority="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I9:BI226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J9:BJ60"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J9:BJ226"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K9:BK60">
    <cfRule type="colorScale" priority="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K9:BK226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L238:L26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:R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BK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:G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C22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D22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:E22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:BK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J239:J242 J238 J243 J244:J246 J247 J248:J251 J252 J253:J255 J256 J257:J26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A8E83-1FCF-4C5D-9E0A-5135EEB3FF10}">
  <dimension ref="A1:BN222"/>
  <sheetViews>
    <sheetView topLeftCell="BC1" workbookViewId="0">
      <selection activeCell="BK32" sqref="BK32"/>
    </sheetView>
  </sheetViews>
  <sheetFormatPr defaultRowHeight="14.4" x14ac:dyDescent="0.3"/>
  <sheetData>
    <row r="1" spans="1:66" x14ac:dyDescent="0.3">
      <c r="A1" s="1" t="s">
        <v>275</v>
      </c>
    </row>
    <row r="2" spans="1:66" x14ac:dyDescent="0.3">
      <c r="A2" t="s">
        <v>275</v>
      </c>
    </row>
    <row r="4" spans="1:66" x14ac:dyDescent="0.3">
      <c r="A4" t="s">
        <v>275</v>
      </c>
    </row>
    <row r="6" spans="1:66" x14ac:dyDescent="0.3">
      <c r="A6" t="s">
        <v>275</v>
      </c>
    </row>
    <row r="8" spans="1:66" ht="15" thickBot="1" x14ac:dyDescent="0.3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274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t="s">
        <v>12</v>
      </c>
      <c r="O8" t="s">
        <v>13</v>
      </c>
      <c r="P8" t="s">
        <v>14</v>
      </c>
      <c r="Q8" t="s">
        <v>15</v>
      </c>
      <c r="R8" t="s">
        <v>16</v>
      </c>
      <c r="S8" t="s">
        <v>17</v>
      </c>
      <c r="T8" t="s">
        <v>18</v>
      </c>
      <c r="U8" t="s">
        <v>19</v>
      </c>
      <c r="V8" t="s">
        <v>20</v>
      </c>
      <c r="W8" t="s">
        <v>21</v>
      </c>
      <c r="X8" t="s">
        <v>22</v>
      </c>
      <c r="Y8" t="s">
        <v>23</v>
      </c>
      <c r="Z8" t="s">
        <v>24</v>
      </c>
      <c r="AA8" t="s">
        <v>25</v>
      </c>
      <c r="AB8" t="s">
        <v>26</v>
      </c>
      <c r="AC8" t="s">
        <v>27</v>
      </c>
      <c r="AD8" t="s">
        <v>28</v>
      </c>
      <c r="AE8" t="s">
        <v>29</v>
      </c>
      <c r="AF8" t="s">
        <v>30</v>
      </c>
      <c r="AG8" t="s">
        <v>31</v>
      </c>
      <c r="AH8" t="s">
        <v>32</v>
      </c>
      <c r="AI8" t="s">
        <v>33</v>
      </c>
      <c r="AJ8" t="s">
        <v>34</v>
      </c>
      <c r="AK8" t="s">
        <v>35</v>
      </c>
      <c r="AL8" t="s">
        <v>36</v>
      </c>
      <c r="AM8" t="s">
        <v>37</v>
      </c>
      <c r="AN8" t="s">
        <v>38</v>
      </c>
      <c r="AO8" t="s">
        <v>39</v>
      </c>
      <c r="AP8" t="s">
        <v>40</v>
      </c>
      <c r="AQ8" t="s">
        <v>41</v>
      </c>
      <c r="AR8" t="s">
        <v>42</v>
      </c>
      <c r="AS8" t="s">
        <v>43</v>
      </c>
      <c r="AT8" t="s">
        <v>44</v>
      </c>
      <c r="AU8" t="s">
        <v>45</v>
      </c>
      <c r="AV8" t="s">
        <v>46</v>
      </c>
      <c r="AW8" t="s">
        <v>47</v>
      </c>
      <c r="AX8" t="s">
        <v>48</v>
      </c>
      <c r="AY8" t="s">
        <v>49</v>
      </c>
      <c r="AZ8" t="s">
        <v>50</v>
      </c>
      <c r="BA8" t="s">
        <v>51</v>
      </c>
      <c r="BE8" s="20"/>
      <c r="BF8" s="21"/>
      <c r="BG8" s="21"/>
      <c r="BH8" s="21"/>
      <c r="BL8" t="s">
        <v>306</v>
      </c>
      <c r="BM8" t="s">
        <v>305</v>
      </c>
      <c r="BN8" t="s">
        <v>304</v>
      </c>
    </row>
    <row r="9" spans="1:66" ht="15" thickBot="1" x14ac:dyDescent="0.35">
      <c r="A9" t="s">
        <v>210</v>
      </c>
      <c r="B9">
        <v>0.89</v>
      </c>
      <c r="C9">
        <v>1.843</v>
      </c>
      <c r="D9" t="s">
        <v>55</v>
      </c>
      <c r="E9">
        <v>5.2999999999999999E-2</v>
      </c>
      <c r="F9">
        <v>2.7E-2</v>
      </c>
      <c r="G9">
        <v>2.5000000000000001E-2</v>
      </c>
      <c r="H9">
        <v>-0.497</v>
      </c>
      <c r="I9">
        <v>0.19400000000000001</v>
      </c>
      <c r="J9">
        <v>-0.81200000000000006</v>
      </c>
      <c r="K9">
        <v>-0.40300000000000002</v>
      </c>
      <c r="L9">
        <v>-0.28000000000000003</v>
      </c>
      <c r="M9">
        <v>-0.161</v>
      </c>
      <c r="N9">
        <v>-5.3999999999999999E-2</v>
      </c>
      <c r="O9">
        <v>-0.19900000000000001</v>
      </c>
      <c r="P9">
        <v>0.48</v>
      </c>
      <c r="Q9">
        <v>0.48799999999999999</v>
      </c>
      <c r="R9">
        <v>0.67600000000000005</v>
      </c>
      <c r="S9">
        <v>0.83799999999999997</v>
      </c>
      <c r="T9">
        <v>0.61699999999999999</v>
      </c>
      <c r="U9">
        <v>-0.64500000000000002</v>
      </c>
      <c r="V9">
        <v>-0.40200000000000002</v>
      </c>
      <c r="W9">
        <v>0.441</v>
      </c>
      <c r="X9">
        <v>-1</v>
      </c>
      <c r="Y9">
        <v>-0.621</v>
      </c>
      <c r="Z9">
        <v>-1</v>
      </c>
      <c r="AA9">
        <v>-0.371</v>
      </c>
      <c r="AB9">
        <v>-0.56399999999999995</v>
      </c>
      <c r="AC9">
        <v>-0.56399999999999995</v>
      </c>
      <c r="AD9">
        <v>-0.38100000000000001</v>
      </c>
      <c r="AE9">
        <v>0.71699999999999997</v>
      </c>
      <c r="AF9">
        <v>0.78</v>
      </c>
      <c r="AG9">
        <v>0.13900000000000001</v>
      </c>
      <c r="AH9">
        <v>1</v>
      </c>
      <c r="AI9">
        <v>0.31</v>
      </c>
      <c r="AJ9">
        <v>-4.8000000000000001E-2</v>
      </c>
      <c r="AK9">
        <v>-3.0000000000000001E-3</v>
      </c>
      <c r="AL9">
        <v>-0.129</v>
      </c>
      <c r="AM9">
        <v>0.27100000000000002</v>
      </c>
      <c r="AN9">
        <v>-0.68400000000000005</v>
      </c>
      <c r="AO9">
        <v>0.74399999999999999</v>
      </c>
      <c r="AP9">
        <v>0.64500000000000002</v>
      </c>
      <c r="AQ9">
        <v>0.36399999999999999</v>
      </c>
      <c r="AR9">
        <v>0.12</v>
      </c>
      <c r="AS9">
        <v>-0.26100000000000001</v>
      </c>
      <c r="AT9">
        <v>0.628</v>
      </c>
      <c r="AU9">
        <v>-0.252</v>
      </c>
      <c r="AV9">
        <v>0.104</v>
      </c>
      <c r="AW9">
        <v>0.67200000000000004</v>
      </c>
      <c r="AX9">
        <v>-0.67800000000000005</v>
      </c>
      <c r="AY9">
        <v>8.5000000000000006E-2</v>
      </c>
      <c r="AZ9">
        <v>-0.28399999999999997</v>
      </c>
      <c r="BA9">
        <v>-1</v>
      </c>
      <c r="BE9" s="20"/>
      <c r="BF9" s="21"/>
      <c r="BG9" s="21"/>
      <c r="BH9" s="21"/>
      <c r="BL9" t="s">
        <v>192</v>
      </c>
      <c r="BM9" t="s">
        <v>286</v>
      </c>
      <c r="BN9" t="s">
        <v>281</v>
      </c>
    </row>
    <row r="10" spans="1:66" ht="15" thickBot="1" x14ac:dyDescent="0.35">
      <c r="A10" t="s">
        <v>121</v>
      </c>
      <c r="B10">
        <v>1.845</v>
      </c>
      <c r="C10">
        <v>3.9180000000000001</v>
      </c>
      <c r="D10" t="s">
        <v>57</v>
      </c>
      <c r="E10">
        <v>5.0999999999999997E-2</v>
      </c>
      <c r="F10">
        <v>2.4E-2</v>
      </c>
      <c r="G10">
        <v>2.7E-2</v>
      </c>
      <c r="H10">
        <v>-0.153</v>
      </c>
      <c r="I10">
        <v>0.496</v>
      </c>
      <c r="J10">
        <v>-0.69499999999999995</v>
      </c>
      <c r="K10">
        <v>0.13100000000000001</v>
      </c>
      <c r="L10">
        <v>0.16900000000000001</v>
      </c>
      <c r="M10">
        <v>0.23400000000000001</v>
      </c>
      <c r="N10">
        <v>0.43</v>
      </c>
      <c r="O10">
        <v>0.49099999999999999</v>
      </c>
      <c r="P10">
        <v>0.58799999999999997</v>
      </c>
      <c r="Q10">
        <v>0.59599999999999997</v>
      </c>
      <c r="R10">
        <v>0.72399999999999998</v>
      </c>
      <c r="S10">
        <v>0.83899999999999997</v>
      </c>
      <c r="T10">
        <v>0.76</v>
      </c>
      <c r="U10">
        <v>7.0000000000000007E-2</v>
      </c>
      <c r="V10">
        <v>-0.3</v>
      </c>
      <c r="W10">
        <v>0.53400000000000003</v>
      </c>
      <c r="X10">
        <v>-0.96699999999999997</v>
      </c>
      <c r="Y10">
        <v>-0.64500000000000002</v>
      </c>
      <c r="Z10">
        <v>-0.86</v>
      </c>
      <c r="AA10">
        <v>-0.14899999999999999</v>
      </c>
      <c r="AB10">
        <v>0.17699999999999999</v>
      </c>
      <c r="AC10">
        <v>-0.66500000000000004</v>
      </c>
      <c r="AD10">
        <v>-0.40600000000000003</v>
      </c>
      <c r="AE10">
        <v>0.61799999999999999</v>
      </c>
      <c r="AF10">
        <v>0.68899999999999995</v>
      </c>
      <c r="AG10">
        <v>-0.01</v>
      </c>
      <c r="AH10">
        <v>0.17100000000000001</v>
      </c>
      <c r="AI10">
        <v>0.41</v>
      </c>
      <c r="AJ10">
        <v>5.8000000000000003E-2</v>
      </c>
      <c r="AK10">
        <v>5.0999999999999997E-2</v>
      </c>
      <c r="AL10">
        <v>0.27300000000000002</v>
      </c>
      <c r="AM10">
        <v>0.44</v>
      </c>
      <c r="AN10">
        <v>-0.45100000000000001</v>
      </c>
      <c r="AO10">
        <v>0.93600000000000005</v>
      </c>
      <c r="AP10">
        <v>0.29199999999999998</v>
      </c>
      <c r="AQ10">
        <v>0.47399999999999998</v>
      </c>
      <c r="AR10">
        <v>-2.3E-2</v>
      </c>
      <c r="AS10">
        <v>0.32100000000000001</v>
      </c>
      <c r="AT10">
        <v>0.53200000000000003</v>
      </c>
      <c r="AU10">
        <v>-0.28499999999999998</v>
      </c>
      <c r="AV10">
        <v>-0.42799999999999999</v>
      </c>
      <c r="AW10">
        <v>0.76300000000000001</v>
      </c>
      <c r="AX10">
        <v>-0.69299999999999995</v>
      </c>
      <c r="AY10">
        <v>3.9E-2</v>
      </c>
      <c r="AZ10">
        <v>-0.2</v>
      </c>
      <c r="BA10">
        <v>-0.68899999999999995</v>
      </c>
      <c r="BE10" s="20"/>
      <c r="BF10" s="21"/>
      <c r="BG10" s="21"/>
      <c r="BH10" s="21"/>
      <c r="BL10" t="s">
        <v>72</v>
      </c>
      <c r="BM10" t="s">
        <v>289</v>
      </c>
      <c r="BN10" t="s">
        <v>281</v>
      </c>
    </row>
    <row r="11" spans="1:66" ht="15" thickBot="1" x14ac:dyDescent="0.35">
      <c r="A11" t="s">
        <v>93</v>
      </c>
      <c r="B11">
        <v>2.3479999999999999</v>
      </c>
      <c r="C11">
        <v>4.9859999999999998</v>
      </c>
      <c r="D11" t="s">
        <v>55</v>
      </c>
      <c r="E11">
        <v>4.9000000000000002E-2</v>
      </c>
      <c r="F11">
        <v>2.7E-2</v>
      </c>
      <c r="G11">
        <v>2.1999999999999999E-2</v>
      </c>
      <c r="H11">
        <v>0.19</v>
      </c>
      <c r="I11">
        <v>0.83599999999999997</v>
      </c>
      <c r="J11">
        <v>-0.35</v>
      </c>
      <c r="K11">
        <v>0.44700000000000001</v>
      </c>
      <c r="L11">
        <v>0.505</v>
      </c>
      <c r="M11">
        <v>0.61299999999999999</v>
      </c>
      <c r="N11">
        <v>0.90600000000000003</v>
      </c>
      <c r="O11">
        <v>0.57999999999999996</v>
      </c>
      <c r="P11">
        <v>0.67</v>
      </c>
      <c r="Q11">
        <v>0.67500000000000004</v>
      </c>
      <c r="R11">
        <v>0.75700000000000001</v>
      </c>
      <c r="S11">
        <v>0.72299999999999998</v>
      </c>
      <c r="T11">
        <v>0.69299999999999995</v>
      </c>
      <c r="U11">
        <v>0.628</v>
      </c>
      <c r="V11">
        <v>-0.127</v>
      </c>
      <c r="W11">
        <v>0.51800000000000002</v>
      </c>
      <c r="X11">
        <v>-0.77200000000000002</v>
      </c>
      <c r="Y11">
        <v>-0.114</v>
      </c>
      <c r="Z11">
        <v>-0.29299999999999998</v>
      </c>
      <c r="AA11">
        <v>-7.9000000000000001E-2</v>
      </c>
      <c r="AB11">
        <v>-0.193</v>
      </c>
      <c r="AC11">
        <v>-0.51300000000000001</v>
      </c>
      <c r="AD11">
        <v>1.7999999999999999E-2</v>
      </c>
      <c r="AE11">
        <v>0.59799999999999998</v>
      </c>
      <c r="AF11">
        <v>0.47199999999999998</v>
      </c>
      <c r="AG11">
        <v>0.26500000000000001</v>
      </c>
      <c r="AH11">
        <v>0.28599999999999998</v>
      </c>
      <c r="AI11">
        <v>-0.13600000000000001</v>
      </c>
      <c r="AJ11">
        <v>1.4999999999999999E-2</v>
      </c>
      <c r="AK11">
        <v>0.87</v>
      </c>
      <c r="AL11">
        <v>0.65600000000000003</v>
      </c>
      <c r="AM11">
        <v>0.31900000000000001</v>
      </c>
      <c r="AN11">
        <v>0.29299999999999998</v>
      </c>
      <c r="AO11">
        <v>0.57699999999999996</v>
      </c>
      <c r="AP11">
        <v>0.41899999999999998</v>
      </c>
      <c r="AQ11">
        <v>-0.7</v>
      </c>
      <c r="AR11">
        <v>-4.8000000000000001E-2</v>
      </c>
      <c r="AS11">
        <v>-0.14299999999999999</v>
      </c>
      <c r="AT11">
        <v>0.36299999999999999</v>
      </c>
      <c r="AU11">
        <v>-0.38800000000000001</v>
      </c>
      <c r="AV11">
        <v>0.155</v>
      </c>
      <c r="AW11">
        <v>0.749</v>
      </c>
      <c r="AX11">
        <v>-0.48899999999999999</v>
      </c>
      <c r="AY11">
        <v>0.38100000000000001</v>
      </c>
      <c r="AZ11">
        <v>-0.58699999999999997</v>
      </c>
      <c r="BA11">
        <v>-0.41599999999999998</v>
      </c>
      <c r="BE11" s="20"/>
      <c r="BF11" s="21"/>
      <c r="BG11" s="21"/>
      <c r="BH11" s="21"/>
      <c r="BL11" t="s">
        <v>98</v>
      </c>
      <c r="BM11" t="s">
        <v>303</v>
      </c>
      <c r="BN11" t="s">
        <v>283</v>
      </c>
    </row>
    <row r="12" spans="1:66" ht="15" thickBot="1" x14ac:dyDescent="0.35">
      <c r="A12" t="s">
        <v>185</v>
      </c>
      <c r="B12">
        <v>1.355</v>
      </c>
      <c r="C12">
        <v>2.8780000000000001</v>
      </c>
      <c r="D12" t="s">
        <v>55</v>
      </c>
      <c r="E12">
        <v>4.7E-2</v>
      </c>
      <c r="F12">
        <v>1.9E-2</v>
      </c>
      <c r="G12">
        <v>2.8000000000000001E-2</v>
      </c>
      <c r="H12">
        <v>-0.36499999999999999</v>
      </c>
      <c r="I12">
        <v>0.28999999999999998</v>
      </c>
      <c r="J12">
        <v>-0.71299999999999997</v>
      </c>
      <c r="K12">
        <v>-0.13800000000000001</v>
      </c>
      <c r="L12">
        <v>-2.1999999999999999E-2</v>
      </c>
      <c r="M12">
        <v>2.9000000000000001E-2</v>
      </c>
      <c r="N12">
        <v>0.109</v>
      </c>
      <c r="O12">
        <v>0.14899999999999999</v>
      </c>
      <c r="P12">
        <v>0.60199999999999998</v>
      </c>
      <c r="Q12">
        <v>0.60799999999999998</v>
      </c>
      <c r="R12">
        <v>0.70899999999999996</v>
      </c>
      <c r="S12">
        <v>0.871</v>
      </c>
      <c r="T12">
        <v>0.7</v>
      </c>
      <c r="U12">
        <v>-0.54600000000000004</v>
      </c>
      <c r="V12">
        <v>-0.32900000000000001</v>
      </c>
      <c r="W12">
        <v>0.39100000000000001</v>
      </c>
      <c r="X12">
        <v>-0.93799999999999994</v>
      </c>
      <c r="Y12">
        <v>-0.39700000000000002</v>
      </c>
      <c r="Z12">
        <v>-0.92500000000000004</v>
      </c>
      <c r="AA12">
        <v>-0.34200000000000003</v>
      </c>
      <c r="AB12">
        <v>-0.188</v>
      </c>
      <c r="AC12">
        <v>-0.64500000000000002</v>
      </c>
      <c r="AD12">
        <v>-0.56699999999999995</v>
      </c>
      <c r="AE12">
        <v>0.69599999999999995</v>
      </c>
      <c r="AF12">
        <v>0.86899999999999999</v>
      </c>
      <c r="AG12">
        <v>0.34399999999999997</v>
      </c>
      <c r="AH12">
        <v>0.439</v>
      </c>
      <c r="AI12">
        <v>0.92300000000000004</v>
      </c>
      <c r="AJ12">
        <v>0.121</v>
      </c>
      <c r="AK12">
        <v>-0.22</v>
      </c>
      <c r="AL12">
        <v>-6.3E-2</v>
      </c>
      <c r="AM12">
        <v>0.66300000000000003</v>
      </c>
      <c r="AN12">
        <v>-0.59299999999999997</v>
      </c>
      <c r="AO12">
        <v>0.96699999999999997</v>
      </c>
      <c r="AP12">
        <v>0.56299999999999994</v>
      </c>
      <c r="AQ12">
        <v>0.6</v>
      </c>
      <c r="AR12">
        <v>0.17299999999999999</v>
      </c>
      <c r="AS12">
        <v>-0.29799999999999999</v>
      </c>
      <c r="AT12">
        <v>0.28699999999999998</v>
      </c>
      <c r="AU12">
        <v>-0.48499999999999999</v>
      </c>
      <c r="AV12">
        <v>0.16600000000000001</v>
      </c>
      <c r="AW12">
        <v>0.57299999999999995</v>
      </c>
      <c r="AX12">
        <v>-0.82599999999999996</v>
      </c>
      <c r="AY12">
        <v>-8.3000000000000004E-2</v>
      </c>
      <c r="AZ12">
        <v>-0.26600000000000001</v>
      </c>
      <c r="BA12">
        <v>-0.436</v>
      </c>
      <c r="BE12" s="20"/>
      <c r="BF12" s="21"/>
      <c r="BG12" s="21"/>
      <c r="BH12" s="21"/>
      <c r="BL12" t="s">
        <v>63</v>
      </c>
      <c r="BM12" t="s">
        <v>289</v>
      </c>
      <c r="BN12" t="s">
        <v>282</v>
      </c>
    </row>
    <row r="13" spans="1:66" ht="15" thickBot="1" x14ac:dyDescent="0.35">
      <c r="A13" t="s">
        <v>135</v>
      </c>
      <c r="B13">
        <v>1.046</v>
      </c>
      <c r="C13">
        <v>2.2210000000000001</v>
      </c>
      <c r="D13" t="s">
        <v>57</v>
      </c>
      <c r="E13">
        <v>4.7E-2</v>
      </c>
      <c r="F13">
        <v>2.1000000000000001E-2</v>
      </c>
      <c r="G13">
        <v>2.5999999999999999E-2</v>
      </c>
      <c r="H13">
        <v>-0.56100000000000005</v>
      </c>
      <c r="I13">
        <v>8.5000000000000006E-2</v>
      </c>
      <c r="J13">
        <v>-0.84799999999999998</v>
      </c>
      <c r="K13">
        <v>-0.30099999999999999</v>
      </c>
      <c r="L13">
        <v>-0.255</v>
      </c>
      <c r="M13">
        <v>-0.13800000000000001</v>
      </c>
      <c r="N13">
        <v>7.0000000000000007E-2</v>
      </c>
      <c r="O13">
        <v>7.8E-2</v>
      </c>
      <c r="P13">
        <v>0.56200000000000006</v>
      </c>
      <c r="Q13">
        <v>0.56699999999999995</v>
      </c>
      <c r="R13">
        <v>0.69499999999999995</v>
      </c>
      <c r="S13">
        <v>0.79200000000000004</v>
      </c>
      <c r="T13">
        <v>0.627</v>
      </c>
      <c r="U13">
        <v>-0.61</v>
      </c>
      <c r="V13">
        <v>3.9E-2</v>
      </c>
      <c r="W13">
        <v>0.44900000000000001</v>
      </c>
      <c r="X13">
        <v>-0.96399999999999997</v>
      </c>
      <c r="Y13">
        <v>-0.751</v>
      </c>
      <c r="Z13">
        <v>-0.97899999999999998</v>
      </c>
      <c r="AA13">
        <v>-0.183</v>
      </c>
      <c r="AB13">
        <v>2.8000000000000001E-2</v>
      </c>
      <c r="AC13">
        <v>-0.53600000000000003</v>
      </c>
      <c r="AD13">
        <v>-0.16500000000000001</v>
      </c>
      <c r="AE13">
        <v>0.40699999999999997</v>
      </c>
      <c r="AF13">
        <v>0.53700000000000003</v>
      </c>
      <c r="AG13">
        <v>0.27900000000000003</v>
      </c>
      <c r="AH13">
        <v>0.11899999999999999</v>
      </c>
      <c r="AI13">
        <v>-6.3E-2</v>
      </c>
      <c r="AJ13">
        <v>4.1000000000000002E-2</v>
      </c>
      <c r="AK13">
        <v>-0.16900000000000001</v>
      </c>
      <c r="AL13">
        <v>-0.20599999999999999</v>
      </c>
      <c r="AM13">
        <v>0.44400000000000001</v>
      </c>
      <c r="AN13">
        <v>-0.47099999999999997</v>
      </c>
      <c r="AO13">
        <v>0.85599999999999998</v>
      </c>
      <c r="AP13">
        <v>0.251</v>
      </c>
      <c r="AQ13">
        <v>0.34200000000000003</v>
      </c>
      <c r="AR13">
        <v>-0.159</v>
      </c>
      <c r="AS13">
        <v>-5.1999999999999998E-2</v>
      </c>
      <c r="AT13">
        <v>0.30299999999999999</v>
      </c>
      <c r="AU13">
        <v>-0.14299999999999999</v>
      </c>
      <c r="AV13">
        <v>-0.26500000000000001</v>
      </c>
      <c r="AW13">
        <v>0.80100000000000005</v>
      </c>
      <c r="AX13">
        <v>-0.72499999999999998</v>
      </c>
      <c r="AY13">
        <v>8.0000000000000002E-3</v>
      </c>
      <c r="AZ13">
        <v>-0.19900000000000001</v>
      </c>
      <c r="BA13">
        <v>-0.92300000000000004</v>
      </c>
      <c r="BE13" s="20"/>
      <c r="BF13" s="21"/>
      <c r="BG13" s="21"/>
      <c r="BH13" s="21"/>
      <c r="BL13" t="s">
        <v>164</v>
      </c>
      <c r="BM13" t="s">
        <v>293</v>
      </c>
      <c r="BN13" t="s">
        <v>282</v>
      </c>
    </row>
    <row r="14" spans="1:66" ht="15" thickBot="1" x14ac:dyDescent="0.35">
      <c r="A14" t="s">
        <v>134</v>
      </c>
      <c r="B14">
        <v>0.96199999999999997</v>
      </c>
      <c r="C14">
        <v>1.958</v>
      </c>
      <c r="D14" t="s">
        <v>57</v>
      </c>
      <c r="E14">
        <v>4.5999999999999999E-2</v>
      </c>
      <c r="F14">
        <v>2.1999999999999999E-2</v>
      </c>
      <c r="G14">
        <v>2.4E-2</v>
      </c>
      <c r="H14">
        <v>-0.58199999999999996</v>
      </c>
      <c r="I14">
        <v>-6.5000000000000002E-2</v>
      </c>
      <c r="J14">
        <v>-0.80600000000000005</v>
      </c>
      <c r="K14">
        <v>-0.40200000000000002</v>
      </c>
      <c r="L14">
        <v>-0.33900000000000002</v>
      </c>
      <c r="M14">
        <v>-0.24099999999999999</v>
      </c>
      <c r="N14">
        <v>-6.6000000000000003E-2</v>
      </c>
      <c r="O14">
        <v>-3.7999999999999999E-2</v>
      </c>
      <c r="P14">
        <v>0.78400000000000003</v>
      </c>
      <c r="Q14">
        <v>0.78900000000000003</v>
      </c>
      <c r="R14">
        <v>0.69899999999999995</v>
      </c>
      <c r="S14">
        <v>0.81100000000000005</v>
      </c>
      <c r="T14">
        <v>0.629</v>
      </c>
      <c r="U14">
        <v>-0.62</v>
      </c>
      <c r="V14">
        <v>-0.17499999999999999</v>
      </c>
      <c r="W14">
        <v>0.35899999999999999</v>
      </c>
      <c r="X14">
        <v>-0.93200000000000005</v>
      </c>
      <c r="Y14">
        <v>-0.878</v>
      </c>
      <c r="Z14">
        <v>-1</v>
      </c>
      <c r="AA14">
        <v>-0.154</v>
      </c>
      <c r="AB14">
        <v>9.8000000000000004E-2</v>
      </c>
      <c r="AC14">
        <v>-5.3999999999999999E-2</v>
      </c>
      <c r="AD14">
        <v>-1.0999999999999999E-2</v>
      </c>
      <c r="AE14">
        <v>0.154</v>
      </c>
      <c r="AF14">
        <v>0.314</v>
      </c>
      <c r="AG14">
        <v>5.7000000000000002E-2</v>
      </c>
      <c r="AH14">
        <v>0.27600000000000002</v>
      </c>
      <c r="AI14">
        <v>0.77500000000000002</v>
      </c>
      <c r="AJ14">
        <v>-4.2000000000000003E-2</v>
      </c>
      <c r="AK14">
        <v>-0.115</v>
      </c>
      <c r="AL14">
        <v>-0.33500000000000002</v>
      </c>
      <c r="AM14">
        <v>0.23100000000000001</v>
      </c>
      <c r="AN14">
        <v>-0.33700000000000002</v>
      </c>
      <c r="AO14">
        <v>0.84</v>
      </c>
      <c r="AP14">
        <v>0.35499999999999998</v>
      </c>
      <c r="AQ14">
        <v>-0.39</v>
      </c>
      <c r="AR14">
        <v>-0.20699999999999999</v>
      </c>
      <c r="AS14">
        <v>-0.2</v>
      </c>
      <c r="AT14">
        <v>0.36899999999999999</v>
      </c>
      <c r="AU14">
        <v>-0.11700000000000001</v>
      </c>
      <c r="AV14">
        <v>-0.56999999999999995</v>
      </c>
      <c r="AW14">
        <v>0.72099999999999997</v>
      </c>
      <c r="AX14">
        <v>-0.42899999999999999</v>
      </c>
      <c r="AY14">
        <v>0.04</v>
      </c>
      <c r="AZ14">
        <v>-0.25900000000000001</v>
      </c>
      <c r="BA14">
        <v>-0.754</v>
      </c>
      <c r="BE14" s="20"/>
      <c r="BF14" s="21"/>
      <c r="BG14" s="21"/>
      <c r="BH14" s="21"/>
      <c r="BL14" t="s">
        <v>264</v>
      </c>
      <c r="BM14" t="s">
        <v>298</v>
      </c>
      <c r="BN14" t="s">
        <v>283</v>
      </c>
    </row>
    <row r="15" spans="1:66" ht="15" thickBot="1" x14ac:dyDescent="0.35">
      <c r="A15" t="s">
        <v>143</v>
      </c>
      <c r="B15">
        <v>1.0289999999999999</v>
      </c>
      <c r="C15">
        <v>1.627</v>
      </c>
      <c r="D15" t="s">
        <v>53</v>
      </c>
      <c r="E15">
        <v>4.4999999999999998E-2</v>
      </c>
      <c r="F15">
        <v>3.1E-2</v>
      </c>
      <c r="G15">
        <v>1.4E-2</v>
      </c>
      <c r="H15">
        <v>-0.36299999999999999</v>
      </c>
      <c r="I15">
        <v>-5.7000000000000002E-2</v>
      </c>
      <c r="J15">
        <v>-0.60499999999999998</v>
      </c>
      <c r="K15">
        <v>-0.35299999999999998</v>
      </c>
      <c r="L15">
        <v>-0.254</v>
      </c>
      <c r="M15">
        <v>-6.0999999999999999E-2</v>
      </c>
      <c r="N15">
        <v>0.17100000000000001</v>
      </c>
      <c r="O15">
        <v>-0.02</v>
      </c>
      <c r="P15">
        <v>0.38500000000000001</v>
      </c>
      <c r="Q15">
        <v>0.38800000000000001</v>
      </c>
      <c r="R15">
        <v>0.71499999999999997</v>
      </c>
      <c r="S15">
        <v>0.77600000000000002</v>
      </c>
      <c r="T15">
        <v>0.50900000000000001</v>
      </c>
      <c r="U15">
        <v>-0.20599999999999999</v>
      </c>
      <c r="V15">
        <v>-0.378</v>
      </c>
      <c r="W15">
        <v>-0.29399999999999998</v>
      </c>
      <c r="X15">
        <v>-0.60899999999999999</v>
      </c>
      <c r="Y15">
        <v>-0.43</v>
      </c>
      <c r="Z15">
        <v>-0.74</v>
      </c>
      <c r="AA15">
        <v>-1.6E-2</v>
      </c>
      <c r="AB15">
        <v>-0.10100000000000001</v>
      </c>
      <c r="AC15">
        <v>-0.61699999999999999</v>
      </c>
      <c r="AD15">
        <v>0.20799999999999999</v>
      </c>
      <c r="AE15">
        <v>-2.3E-2</v>
      </c>
      <c r="AF15">
        <v>0.17199999999999999</v>
      </c>
      <c r="AG15">
        <v>9.4E-2</v>
      </c>
      <c r="AH15">
        <v>0.20699999999999999</v>
      </c>
      <c r="AI15">
        <v>0.20399999999999999</v>
      </c>
      <c r="AJ15">
        <v>0.28000000000000003</v>
      </c>
      <c r="AK15">
        <v>-0.106</v>
      </c>
      <c r="AL15">
        <v>8.5000000000000006E-2</v>
      </c>
      <c r="AM15">
        <v>0.45600000000000002</v>
      </c>
      <c r="AN15">
        <v>-0.17799999999999999</v>
      </c>
      <c r="AO15">
        <v>0.95899999999999996</v>
      </c>
      <c r="AP15">
        <v>0.47799999999999998</v>
      </c>
      <c r="AQ15">
        <v>0.13800000000000001</v>
      </c>
      <c r="AR15">
        <v>-2.3E-2</v>
      </c>
      <c r="AS15">
        <v>7.0000000000000001E-3</v>
      </c>
      <c r="AT15">
        <v>0.27900000000000003</v>
      </c>
      <c r="AU15">
        <v>-0.09</v>
      </c>
      <c r="AV15">
        <v>0.16900000000000001</v>
      </c>
      <c r="AW15">
        <v>0.73799999999999999</v>
      </c>
      <c r="AX15">
        <v>-0.21199999999999999</v>
      </c>
      <c r="AY15">
        <v>-0.13400000000000001</v>
      </c>
      <c r="AZ15">
        <v>-4.7E-2</v>
      </c>
      <c r="BA15">
        <v>-0.152</v>
      </c>
      <c r="BE15" s="20"/>
      <c r="BF15" s="21"/>
      <c r="BG15" s="21"/>
      <c r="BH15" s="21"/>
      <c r="BL15" t="s">
        <v>73</v>
      </c>
      <c r="BM15" t="s">
        <v>286</v>
      </c>
      <c r="BN15" t="s">
        <v>281</v>
      </c>
    </row>
    <row r="16" spans="1:66" ht="15" thickBot="1" x14ac:dyDescent="0.35">
      <c r="A16" t="s">
        <v>94</v>
      </c>
      <c r="B16">
        <v>1.1499999999999999</v>
      </c>
      <c r="C16">
        <v>2.008</v>
      </c>
      <c r="D16" t="s">
        <v>55</v>
      </c>
      <c r="E16">
        <v>4.2000000000000003E-2</v>
      </c>
      <c r="F16">
        <v>3.1E-2</v>
      </c>
      <c r="G16">
        <v>1.0999999999999999E-2</v>
      </c>
      <c r="H16">
        <v>-0.19800000000000001</v>
      </c>
      <c r="I16">
        <v>0.21299999999999999</v>
      </c>
      <c r="J16">
        <v>-0.47199999999999998</v>
      </c>
      <c r="K16">
        <v>-0.126</v>
      </c>
      <c r="L16">
        <v>-0.05</v>
      </c>
      <c r="M16">
        <v>4.0000000000000001E-3</v>
      </c>
      <c r="N16">
        <v>0.224</v>
      </c>
      <c r="O16">
        <v>-0.16600000000000001</v>
      </c>
      <c r="P16">
        <v>0.35</v>
      </c>
      <c r="Q16">
        <v>0.35199999999999998</v>
      </c>
      <c r="R16">
        <v>0.70699999999999996</v>
      </c>
      <c r="S16">
        <v>0.73299999999999998</v>
      </c>
      <c r="T16">
        <v>0.55700000000000005</v>
      </c>
      <c r="U16">
        <v>-0.19400000000000001</v>
      </c>
      <c r="V16">
        <v>-0.23699999999999999</v>
      </c>
      <c r="W16">
        <v>5.0000000000000001E-3</v>
      </c>
      <c r="X16">
        <v>-0.78800000000000003</v>
      </c>
      <c r="Y16">
        <v>7.6999999999999999E-2</v>
      </c>
      <c r="Z16">
        <v>-7.9000000000000001E-2</v>
      </c>
      <c r="AA16">
        <v>-0.439</v>
      </c>
      <c r="AB16">
        <v>-0.59299999999999997</v>
      </c>
      <c r="AC16">
        <v>-0.64300000000000002</v>
      </c>
      <c r="AD16">
        <v>-0.128</v>
      </c>
      <c r="AE16">
        <v>0.39600000000000002</v>
      </c>
      <c r="AF16">
        <v>0.45900000000000002</v>
      </c>
      <c r="AG16">
        <v>0.82699999999999996</v>
      </c>
      <c r="AH16">
        <v>4.8000000000000001E-2</v>
      </c>
      <c r="AI16">
        <v>-2.8000000000000001E-2</v>
      </c>
      <c r="AJ16">
        <v>0.16200000000000001</v>
      </c>
      <c r="AK16">
        <v>0.53400000000000003</v>
      </c>
      <c r="AL16">
        <v>0.438</v>
      </c>
      <c r="AM16">
        <v>0.22600000000000001</v>
      </c>
      <c r="AN16">
        <v>-0.28399999999999997</v>
      </c>
      <c r="AO16">
        <v>0.65800000000000003</v>
      </c>
      <c r="AP16">
        <v>0.33800000000000002</v>
      </c>
      <c r="AQ16">
        <v>-0.26300000000000001</v>
      </c>
      <c r="AR16">
        <v>-0.51500000000000001</v>
      </c>
      <c r="AS16">
        <v>-3.2000000000000001E-2</v>
      </c>
      <c r="AT16">
        <v>0.27800000000000002</v>
      </c>
      <c r="AU16">
        <v>-0.30299999999999999</v>
      </c>
      <c r="AV16">
        <v>0.113</v>
      </c>
      <c r="AW16">
        <v>0.48</v>
      </c>
      <c r="AX16">
        <v>-0.432</v>
      </c>
      <c r="AY16">
        <v>0.47099999999999997</v>
      </c>
      <c r="AZ16">
        <v>-0.314</v>
      </c>
      <c r="BA16">
        <v>-0.16</v>
      </c>
      <c r="BE16" s="20"/>
      <c r="BF16" s="21"/>
      <c r="BG16" s="21"/>
      <c r="BH16" s="21"/>
      <c r="BL16" t="s">
        <v>265</v>
      </c>
      <c r="BM16" t="s">
        <v>293</v>
      </c>
      <c r="BN16" t="s">
        <v>279</v>
      </c>
    </row>
    <row r="17" spans="1:66" ht="15" thickBot="1" x14ac:dyDescent="0.35">
      <c r="A17" t="s">
        <v>144</v>
      </c>
      <c r="B17">
        <v>0.83399999999999996</v>
      </c>
      <c r="C17">
        <v>1.764</v>
      </c>
      <c r="D17" t="s">
        <v>55</v>
      </c>
      <c r="E17">
        <v>0.04</v>
      </c>
      <c r="F17">
        <v>1.9E-2</v>
      </c>
      <c r="G17">
        <v>2.1000000000000001E-2</v>
      </c>
      <c r="H17">
        <v>-0.79500000000000004</v>
      </c>
      <c r="I17">
        <v>-9.0999999999999998E-2</v>
      </c>
      <c r="J17">
        <v>-0.88200000000000001</v>
      </c>
      <c r="K17">
        <v>-0.629</v>
      </c>
      <c r="L17">
        <v>-0.44800000000000001</v>
      </c>
      <c r="M17">
        <v>-0.38500000000000001</v>
      </c>
      <c r="N17">
        <v>-2E-3</v>
      </c>
      <c r="O17">
        <v>6.9000000000000006E-2</v>
      </c>
      <c r="P17">
        <v>0.65100000000000002</v>
      </c>
      <c r="Q17">
        <v>0.65900000000000003</v>
      </c>
      <c r="R17">
        <v>0.69599999999999995</v>
      </c>
      <c r="S17">
        <v>0.68500000000000005</v>
      </c>
      <c r="T17">
        <v>0.61899999999999999</v>
      </c>
      <c r="U17">
        <v>-0.72399999999999998</v>
      </c>
      <c r="V17">
        <v>-0.83599999999999997</v>
      </c>
      <c r="W17">
        <v>0.65200000000000002</v>
      </c>
      <c r="X17">
        <v>-0.85899999999999999</v>
      </c>
      <c r="Y17">
        <v>-0.27200000000000002</v>
      </c>
      <c r="Z17">
        <v>-0.93300000000000005</v>
      </c>
      <c r="AA17">
        <v>-0.46</v>
      </c>
      <c r="AB17">
        <v>4.5999999999999999E-2</v>
      </c>
      <c r="AC17">
        <v>-0.29299999999999998</v>
      </c>
      <c r="AD17">
        <v>-0.81699999999999995</v>
      </c>
      <c r="AE17">
        <v>0.58799999999999997</v>
      </c>
      <c r="AF17">
        <v>0.71199999999999997</v>
      </c>
      <c r="AG17">
        <v>-0.35599999999999998</v>
      </c>
      <c r="AH17">
        <v>-0.21299999999999999</v>
      </c>
      <c r="AI17">
        <v>-0.20699999999999999</v>
      </c>
      <c r="AJ17">
        <v>-6.6000000000000003E-2</v>
      </c>
      <c r="AK17">
        <v>2.1000000000000001E-2</v>
      </c>
      <c r="AL17">
        <v>-0.34100000000000003</v>
      </c>
      <c r="AM17">
        <v>0.85599999999999998</v>
      </c>
      <c r="AN17">
        <v>-0.73599999999999999</v>
      </c>
      <c r="AO17">
        <v>0.82899999999999996</v>
      </c>
      <c r="AP17">
        <v>-0.153</v>
      </c>
      <c r="AQ17">
        <v>0.11</v>
      </c>
      <c r="AR17">
        <v>-0.432</v>
      </c>
      <c r="AS17">
        <v>-0.65800000000000003</v>
      </c>
      <c r="AT17">
        <v>3.1E-2</v>
      </c>
      <c r="AU17">
        <v>-0.30099999999999999</v>
      </c>
      <c r="AV17">
        <v>0.16300000000000001</v>
      </c>
      <c r="AW17">
        <v>0.83599999999999997</v>
      </c>
      <c r="AX17">
        <v>-0.46100000000000002</v>
      </c>
      <c r="AY17">
        <v>-0.255</v>
      </c>
      <c r="AZ17">
        <v>9.8000000000000004E-2</v>
      </c>
      <c r="BA17">
        <v>-9.6000000000000002E-2</v>
      </c>
      <c r="BE17" s="20"/>
      <c r="BF17" s="21"/>
      <c r="BG17" s="21"/>
      <c r="BH17" s="21"/>
      <c r="BL17" t="s">
        <v>263</v>
      </c>
      <c r="BM17" t="s">
        <v>293</v>
      </c>
      <c r="BN17" t="s">
        <v>279</v>
      </c>
    </row>
    <row r="18" spans="1:66" ht="15" thickBot="1" x14ac:dyDescent="0.35">
      <c r="A18" t="s">
        <v>205</v>
      </c>
      <c r="B18">
        <v>0.82799999999999996</v>
      </c>
      <c r="C18">
        <v>1.63</v>
      </c>
      <c r="D18" t="s">
        <v>57</v>
      </c>
      <c r="E18">
        <v>3.7999999999999999E-2</v>
      </c>
      <c r="F18">
        <v>1.4E-2</v>
      </c>
      <c r="G18">
        <v>2.5000000000000001E-2</v>
      </c>
      <c r="H18">
        <v>-0.67800000000000005</v>
      </c>
      <c r="I18">
        <v>2.7E-2</v>
      </c>
      <c r="J18">
        <v>-0.86199999999999999</v>
      </c>
      <c r="K18">
        <v>-0.32100000000000001</v>
      </c>
      <c r="L18">
        <v>-0.27400000000000002</v>
      </c>
      <c r="M18">
        <v>-0.432</v>
      </c>
      <c r="N18">
        <v>-0.40400000000000003</v>
      </c>
      <c r="O18">
        <v>-0.151</v>
      </c>
      <c r="P18">
        <v>0.86699999999999999</v>
      </c>
      <c r="Q18">
        <v>0.872</v>
      </c>
      <c r="R18">
        <v>0.50700000000000001</v>
      </c>
      <c r="S18">
        <v>0.71299999999999997</v>
      </c>
      <c r="T18">
        <v>0.69699999999999995</v>
      </c>
      <c r="U18">
        <v>-0.54300000000000004</v>
      </c>
      <c r="V18">
        <v>-0.505</v>
      </c>
      <c r="W18">
        <v>0.69899999999999995</v>
      </c>
      <c r="X18">
        <v>-0.93400000000000005</v>
      </c>
      <c r="Y18">
        <v>-0.30199999999999999</v>
      </c>
      <c r="Z18">
        <v>-0.99399999999999999</v>
      </c>
      <c r="AA18">
        <v>-4.9000000000000002E-2</v>
      </c>
      <c r="AB18">
        <v>-0.249</v>
      </c>
      <c r="AC18">
        <v>-0.47499999999999998</v>
      </c>
      <c r="AD18">
        <v>-0.30599999999999999</v>
      </c>
      <c r="AE18">
        <v>0.70799999999999996</v>
      </c>
      <c r="AF18">
        <v>0.82</v>
      </c>
      <c r="AG18">
        <v>0.215</v>
      </c>
      <c r="AH18">
        <v>0.17399999999999999</v>
      </c>
      <c r="AI18">
        <v>0.22900000000000001</v>
      </c>
      <c r="AJ18">
        <v>0.435</v>
      </c>
      <c r="AK18">
        <v>-0.52800000000000002</v>
      </c>
      <c r="AL18">
        <v>-0.108</v>
      </c>
      <c r="AM18">
        <v>0.2</v>
      </c>
      <c r="AN18">
        <v>-0.48599999999999999</v>
      </c>
      <c r="AO18">
        <v>0.69099999999999995</v>
      </c>
      <c r="AP18">
        <v>0.47699999999999998</v>
      </c>
      <c r="AQ18">
        <v>-0.375</v>
      </c>
      <c r="AR18">
        <v>-0.71699999999999997</v>
      </c>
      <c r="AS18">
        <v>-0.79200000000000004</v>
      </c>
      <c r="AT18">
        <v>0.46800000000000003</v>
      </c>
      <c r="AU18">
        <v>-0.40300000000000002</v>
      </c>
      <c r="AV18">
        <v>0.16600000000000001</v>
      </c>
      <c r="AW18">
        <v>0.622</v>
      </c>
      <c r="AX18">
        <v>-0.73099999999999998</v>
      </c>
      <c r="AY18">
        <v>-0.30599999999999999</v>
      </c>
      <c r="AZ18">
        <v>-0.44400000000000001</v>
      </c>
      <c r="BA18">
        <v>-0.436</v>
      </c>
      <c r="BE18" s="20"/>
      <c r="BF18" s="21"/>
      <c r="BG18" s="21"/>
      <c r="BH18" s="21"/>
      <c r="BL18" t="s">
        <v>177</v>
      </c>
      <c r="BM18" t="s">
        <v>284</v>
      </c>
      <c r="BN18" t="s">
        <v>279</v>
      </c>
    </row>
    <row r="19" spans="1:66" ht="15" thickBot="1" x14ac:dyDescent="0.35">
      <c r="A19" t="s">
        <v>154</v>
      </c>
      <c r="B19">
        <v>1.3129999999999999</v>
      </c>
      <c r="C19">
        <v>2.7879999999999998</v>
      </c>
      <c r="D19" t="s">
        <v>55</v>
      </c>
      <c r="E19">
        <v>3.5000000000000003E-2</v>
      </c>
      <c r="F19">
        <v>8.9999999999999993E-3</v>
      </c>
      <c r="G19">
        <v>2.7E-2</v>
      </c>
      <c r="H19">
        <v>-0.71699999999999997</v>
      </c>
      <c r="I19">
        <v>0.121</v>
      </c>
      <c r="J19">
        <v>-0.81299999999999994</v>
      </c>
      <c r="K19">
        <v>-0.41</v>
      </c>
      <c r="L19">
        <v>-0.14199999999999999</v>
      </c>
      <c r="M19">
        <v>-4.2999999999999997E-2</v>
      </c>
      <c r="N19">
        <v>0.20699999999999999</v>
      </c>
      <c r="O19">
        <v>0.58199999999999996</v>
      </c>
      <c r="P19">
        <v>0.80700000000000005</v>
      </c>
      <c r="Q19">
        <v>0.81299999999999994</v>
      </c>
      <c r="R19">
        <v>0.64800000000000002</v>
      </c>
      <c r="S19">
        <v>0.71</v>
      </c>
      <c r="T19">
        <v>0.54100000000000004</v>
      </c>
      <c r="U19">
        <v>-0.6</v>
      </c>
      <c r="V19">
        <v>-0.42799999999999999</v>
      </c>
      <c r="W19">
        <v>0.33500000000000002</v>
      </c>
      <c r="X19">
        <v>-0.86399999999999999</v>
      </c>
      <c r="Y19">
        <v>-0.55600000000000005</v>
      </c>
      <c r="Z19">
        <v>-0.95799999999999996</v>
      </c>
      <c r="AA19">
        <v>-0.38400000000000001</v>
      </c>
      <c r="AB19">
        <v>0.70499999999999996</v>
      </c>
      <c r="AC19">
        <v>-0.51900000000000002</v>
      </c>
      <c r="AD19">
        <v>-0.59099999999999997</v>
      </c>
      <c r="AE19">
        <v>0.439</v>
      </c>
      <c r="AF19">
        <v>0.79</v>
      </c>
      <c r="AG19">
        <v>-0.106</v>
      </c>
      <c r="AH19">
        <v>0.38800000000000001</v>
      </c>
      <c r="AI19">
        <v>-0.15</v>
      </c>
      <c r="AJ19">
        <v>0.33600000000000002</v>
      </c>
      <c r="AK19">
        <v>-0.27300000000000002</v>
      </c>
      <c r="AL19">
        <v>-0.29699999999999999</v>
      </c>
      <c r="AM19">
        <v>0.55900000000000005</v>
      </c>
      <c r="AN19">
        <v>-0.55800000000000005</v>
      </c>
      <c r="AO19">
        <v>0.90800000000000003</v>
      </c>
      <c r="AP19">
        <v>0.745</v>
      </c>
      <c r="AQ19">
        <v>-0.57799999999999996</v>
      </c>
      <c r="AR19">
        <v>-0.46899999999999997</v>
      </c>
      <c r="AS19">
        <v>-0.66100000000000003</v>
      </c>
      <c r="AT19">
        <v>-0.127</v>
      </c>
      <c r="AU19">
        <v>-0.44700000000000001</v>
      </c>
      <c r="AV19">
        <v>-0.13600000000000001</v>
      </c>
      <c r="AW19">
        <v>0.85</v>
      </c>
      <c r="AX19">
        <v>-0.68600000000000005</v>
      </c>
      <c r="AY19">
        <v>-0.247</v>
      </c>
      <c r="AZ19">
        <v>-9.7000000000000003E-2</v>
      </c>
      <c r="BA19">
        <v>-0.38600000000000001</v>
      </c>
      <c r="BE19" s="20"/>
      <c r="BF19" s="21"/>
      <c r="BG19" s="21"/>
      <c r="BH19" s="21"/>
      <c r="BL19" t="s">
        <v>159</v>
      </c>
      <c r="BM19" t="s">
        <v>284</v>
      </c>
      <c r="BN19" t="s">
        <v>282</v>
      </c>
    </row>
    <row r="20" spans="1:66" ht="15" thickBot="1" x14ac:dyDescent="0.35">
      <c r="A20" t="s">
        <v>86</v>
      </c>
      <c r="B20">
        <v>3.077</v>
      </c>
      <c r="C20">
        <v>3.0920000000000001</v>
      </c>
      <c r="D20" t="s">
        <v>57</v>
      </c>
      <c r="E20">
        <v>3.5000000000000003E-2</v>
      </c>
      <c r="F20">
        <v>3.4000000000000002E-2</v>
      </c>
      <c r="G20">
        <v>0</v>
      </c>
      <c r="H20">
        <v>0.879</v>
      </c>
      <c r="I20">
        <v>0.60399999999999998</v>
      </c>
      <c r="J20">
        <v>0.94699999999999995</v>
      </c>
      <c r="K20">
        <v>0.57799999999999996</v>
      </c>
      <c r="L20">
        <v>0.76</v>
      </c>
      <c r="M20">
        <v>0.77</v>
      </c>
      <c r="N20">
        <v>0.73199999999999998</v>
      </c>
      <c r="O20">
        <v>0.68500000000000005</v>
      </c>
      <c r="P20">
        <v>0.68500000000000005</v>
      </c>
      <c r="Q20">
        <v>0.68700000000000006</v>
      </c>
      <c r="R20">
        <v>1</v>
      </c>
      <c r="S20">
        <v>0.95299999999999996</v>
      </c>
      <c r="T20">
        <v>0.91700000000000004</v>
      </c>
      <c r="U20">
        <v>0.52700000000000002</v>
      </c>
      <c r="V20">
        <v>0.46500000000000002</v>
      </c>
      <c r="W20">
        <v>0.502</v>
      </c>
      <c r="X20">
        <v>1</v>
      </c>
      <c r="Y20">
        <v>0.96599999999999997</v>
      </c>
      <c r="Z20">
        <v>1.7999999999999999E-2</v>
      </c>
      <c r="AA20">
        <v>-0.107</v>
      </c>
      <c r="AB20">
        <v>0.71399999999999997</v>
      </c>
      <c r="AC20">
        <v>0.31900000000000001</v>
      </c>
      <c r="AD20">
        <v>0.34899999999999998</v>
      </c>
      <c r="AE20">
        <v>1.0999999999999999E-2</v>
      </c>
      <c r="AF20">
        <v>0.21</v>
      </c>
      <c r="AG20">
        <v>0.26300000000000001</v>
      </c>
      <c r="AH20">
        <v>0.13600000000000001</v>
      </c>
      <c r="AI20">
        <v>-8.1000000000000003E-2</v>
      </c>
      <c r="AJ20">
        <v>1.2999999999999999E-2</v>
      </c>
      <c r="AK20">
        <v>-0.221</v>
      </c>
      <c r="AL20">
        <v>7.6999999999999999E-2</v>
      </c>
      <c r="AM20">
        <v>-6.4000000000000001E-2</v>
      </c>
      <c r="AN20">
        <v>-0.28499999999999998</v>
      </c>
      <c r="AO20">
        <v>0.76500000000000001</v>
      </c>
      <c r="AP20">
        <v>0.183</v>
      </c>
      <c r="AQ20">
        <v>0.55800000000000005</v>
      </c>
      <c r="AR20">
        <v>4.8000000000000001E-2</v>
      </c>
      <c r="AS20">
        <v>-0.27500000000000002</v>
      </c>
      <c r="AT20">
        <v>0.13100000000000001</v>
      </c>
      <c r="AU20">
        <v>6.4000000000000001E-2</v>
      </c>
      <c r="AV20">
        <v>3.0000000000000001E-3</v>
      </c>
      <c r="AW20">
        <v>0.91700000000000004</v>
      </c>
      <c r="AX20">
        <v>-0.14199999999999999</v>
      </c>
      <c r="AY20">
        <v>0.23300000000000001</v>
      </c>
      <c r="AZ20">
        <v>0.59499999999999997</v>
      </c>
      <c r="BA20">
        <v>0.83699999999999997</v>
      </c>
      <c r="BE20" s="20"/>
      <c r="BF20" s="21"/>
      <c r="BG20" s="21"/>
      <c r="BH20" s="21"/>
      <c r="BL20" t="s">
        <v>172</v>
      </c>
      <c r="BM20" t="s">
        <v>284</v>
      </c>
      <c r="BN20" t="s">
        <v>282</v>
      </c>
    </row>
    <row r="21" spans="1:66" ht="15" thickBot="1" x14ac:dyDescent="0.35">
      <c r="A21" t="s">
        <v>203</v>
      </c>
      <c r="B21">
        <v>0.91</v>
      </c>
      <c r="C21">
        <v>1.282</v>
      </c>
      <c r="D21" t="s">
        <v>53</v>
      </c>
      <c r="E21">
        <v>3.2000000000000001E-2</v>
      </c>
      <c r="F21">
        <v>1.9E-2</v>
      </c>
      <c r="G21">
        <v>1.2999999999999999E-2</v>
      </c>
      <c r="H21">
        <v>-0.35</v>
      </c>
      <c r="I21">
        <v>-0.14299999999999999</v>
      </c>
      <c r="J21">
        <v>-0.56799999999999995</v>
      </c>
      <c r="K21">
        <v>-0.41699999999999998</v>
      </c>
      <c r="L21">
        <v>-0.309</v>
      </c>
      <c r="M21">
        <v>-0.09</v>
      </c>
      <c r="N21">
        <v>0.20100000000000001</v>
      </c>
      <c r="O21">
        <v>-0.11899999999999999</v>
      </c>
      <c r="P21">
        <v>0.32700000000000001</v>
      </c>
      <c r="Q21">
        <v>0.32900000000000001</v>
      </c>
      <c r="R21">
        <v>0.59</v>
      </c>
      <c r="S21">
        <v>0.72699999999999998</v>
      </c>
      <c r="T21">
        <v>0.44900000000000001</v>
      </c>
      <c r="U21">
        <v>-9.8000000000000004E-2</v>
      </c>
      <c r="V21">
        <v>-0.32200000000000001</v>
      </c>
      <c r="W21">
        <v>-0.71599999999999997</v>
      </c>
      <c r="X21">
        <v>-0.80300000000000005</v>
      </c>
      <c r="Y21">
        <v>-0.90600000000000003</v>
      </c>
      <c r="Z21">
        <v>-0.80200000000000005</v>
      </c>
      <c r="AA21">
        <v>-0.22500000000000001</v>
      </c>
      <c r="AB21">
        <v>-0.33400000000000002</v>
      </c>
      <c r="AC21">
        <v>-0.49399999999999999</v>
      </c>
      <c r="AD21">
        <v>0.218</v>
      </c>
      <c r="AE21">
        <v>-0.16800000000000001</v>
      </c>
      <c r="AF21">
        <v>-0.19700000000000001</v>
      </c>
      <c r="AG21">
        <v>-5.0000000000000001E-3</v>
      </c>
      <c r="AH21">
        <v>1</v>
      </c>
      <c r="AI21">
        <v>0.68400000000000005</v>
      </c>
      <c r="AJ21">
        <v>0.14399999999999999</v>
      </c>
      <c r="AK21">
        <v>0.23599999999999999</v>
      </c>
      <c r="AL21">
        <v>0.27</v>
      </c>
      <c r="AM21">
        <v>0.38500000000000001</v>
      </c>
      <c r="AN21">
        <v>-0.56200000000000006</v>
      </c>
      <c r="AO21">
        <v>0.873</v>
      </c>
      <c r="AP21">
        <v>0.77500000000000002</v>
      </c>
      <c r="AQ21">
        <v>0.80600000000000005</v>
      </c>
      <c r="AR21">
        <v>4.7E-2</v>
      </c>
      <c r="AS21">
        <v>-0.25700000000000001</v>
      </c>
      <c r="AT21">
        <v>0.29499999999999998</v>
      </c>
      <c r="AU21">
        <v>-9.1999999999999998E-2</v>
      </c>
      <c r="AV21">
        <v>-0.127</v>
      </c>
      <c r="AW21">
        <v>0.63400000000000001</v>
      </c>
      <c r="AX21">
        <v>1.2E-2</v>
      </c>
      <c r="AY21">
        <v>-0.255</v>
      </c>
      <c r="AZ21">
        <v>1.9E-2</v>
      </c>
      <c r="BA21">
        <v>-0.374</v>
      </c>
      <c r="BE21" s="20"/>
      <c r="BF21" s="21"/>
      <c r="BG21" s="21"/>
      <c r="BH21" s="21"/>
      <c r="BL21" t="s">
        <v>145</v>
      </c>
      <c r="BM21" t="s">
        <v>286</v>
      </c>
      <c r="BN21" t="s">
        <v>281</v>
      </c>
    </row>
    <row r="22" spans="1:66" ht="15" thickBot="1" x14ac:dyDescent="0.35">
      <c r="A22" t="s">
        <v>147</v>
      </c>
      <c r="B22">
        <v>1.278</v>
      </c>
      <c r="C22">
        <v>2.14</v>
      </c>
      <c r="D22" t="s">
        <v>57</v>
      </c>
      <c r="E22">
        <v>3.2000000000000001E-2</v>
      </c>
      <c r="F22">
        <v>6.0000000000000001E-3</v>
      </c>
      <c r="G22">
        <v>2.5999999999999999E-2</v>
      </c>
      <c r="H22">
        <v>1.4999999999999999E-2</v>
      </c>
      <c r="I22">
        <v>2.3E-2</v>
      </c>
      <c r="J22">
        <v>-0.495</v>
      </c>
      <c r="K22">
        <v>0.14899999999999999</v>
      </c>
      <c r="L22">
        <v>-5.6000000000000001E-2</v>
      </c>
      <c r="M22">
        <v>0.11600000000000001</v>
      </c>
      <c r="N22">
        <v>0.14899999999999999</v>
      </c>
      <c r="O22">
        <v>-6.8000000000000005E-2</v>
      </c>
      <c r="P22">
        <v>0.29899999999999999</v>
      </c>
      <c r="Q22">
        <v>0.30199999999999999</v>
      </c>
      <c r="R22">
        <v>0.73399999999999999</v>
      </c>
      <c r="S22">
        <v>0.69599999999999995</v>
      </c>
      <c r="T22">
        <v>0.501</v>
      </c>
      <c r="U22">
        <v>0.94099999999999995</v>
      </c>
      <c r="V22">
        <v>-0.11</v>
      </c>
      <c r="W22">
        <v>-0.41499999999999998</v>
      </c>
      <c r="X22">
        <v>-0.76900000000000002</v>
      </c>
      <c r="Y22">
        <v>-0.67300000000000004</v>
      </c>
      <c r="Z22">
        <v>1E-3</v>
      </c>
      <c r="AA22">
        <v>5.0999999999999997E-2</v>
      </c>
      <c r="AB22">
        <v>-0.24399999999999999</v>
      </c>
      <c r="AC22">
        <v>-0.54600000000000004</v>
      </c>
      <c r="AD22">
        <v>0.49199999999999999</v>
      </c>
      <c r="AE22">
        <v>-0.22800000000000001</v>
      </c>
      <c r="AF22">
        <v>0.48899999999999999</v>
      </c>
      <c r="AG22">
        <v>0.251</v>
      </c>
      <c r="AH22">
        <v>0.17100000000000001</v>
      </c>
      <c r="AI22">
        <v>0.16</v>
      </c>
      <c r="AJ22">
        <v>0.45200000000000001</v>
      </c>
      <c r="AK22">
        <v>0.04</v>
      </c>
      <c r="AL22">
        <v>1</v>
      </c>
      <c r="AM22">
        <v>-0.192</v>
      </c>
      <c r="AN22">
        <v>0.48599999999999999</v>
      </c>
      <c r="AO22">
        <v>0.91700000000000004</v>
      </c>
      <c r="AP22">
        <v>0.28499999999999998</v>
      </c>
      <c r="AQ22">
        <v>-9.9000000000000005E-2</v>
      </c>
      <c r="AR22">
        <v>0.189</v>
      </c>
      <c r="AS22">
        <v>8.0000000000000002E-3</v>
      </c>
      <c r="AT22">
        <v>0.66700000000000004</v>
      </c>
      <c r="AU22">
        <v>0.186</v>
      </c>
      <c r="AV22">
        <v>-0.53300000000000003</v>
      </c>
      <c r="AW22">
        <v>0.51600000000000001</v>
      </c>
      <c r="AX22">
        <v>-0.10100000000000001</v>
      </c>
      <c r="AY22">
        <v>-0.06</v>
      </c>
      <c r="AZ22">
        <v>-0.95399999999999996</v>
      </c>
      <c r="BA22">
        <v>-0.58099999999999996</v>
      </c>
      <c r="BE22" s="20"/>
      <c r="BF22" s="21"/>
      <c r="BG22" s="21"/>
      <c r="BH22" s="21"/>
      <c r="BL22" t="s">
        <v>256</v>
      </c>
      <c r="BM22" t="s">
        <v>298</v>
      </c>
      <c r="BN22" t="s">
        <v>279</v>
      </c>
    </row>
    <row r="23" spans="1:66" ht="15" thickBot="1" x14ac:dyDescent="0.35">
      <c r="A23" t="s">
        <v>117</v>
      </c>
      <c r="B23">
        <v>0.872</v>
      </c>
      <c r="C23">
        <v>1.6659999999999999</v>
      </c>
      <c r="D23" t="s">
        <v>55</v>
      </c>
      <c r="E23">
        <v>3.2000000000000001E-2</v>
      </c>
      <c r="F23">
        <v>1.4E-2</v>
      </c>
      <c r="G23">
        <v>1.7999999999999999E-2</v>
      </c>
      <c r="H23">
        <v>-0.76400000000000001</v>
      </c>
      <c r="I23">
        <v>-0.06</v>
      </c>
      <c r="J23">
        <v>-0.88900000000000001</v>
      </c>
      <c r="K23">
        <v>-0.53300000000000003</v>
      </c>
      <c r="L23">
        <v>-0.38200000000000001</v>
      </c>
      <c r="M23">
        <v>-0.32600000000000001</v>
      </c>
      <c r="N23">
        <v>-8.0000000000000002E-3</v>
      </c>
      <c r="O23">
        <v>9.8000000000000004E-2</v>
      </c>
      <c r="P23">
        <v>0.70199999999999996</v>
      </c>
      <c r="Q23">
        <v>0.70699999999999996</v>
      </c>
      <c r="R23">
        <v>0.69799999999999995</v>
      </c>
      <c r="S23">
        <v>0.79600000000000004</v>
      </c>
      <c r="T23">
        <v>0.54500000000000004</v>
      </c>
      <c r="U23">
        <v>-0.57699999999999996</v>
      </c>
      <c r="V23">
        <v>-0.66700000000000004</v>
      </c>
      <c r="W23">
        <v>5.2999999999999999E-2</v>
      </c>
      <c r="X23">
        <v>-0.96099999999999997</v>
      </c>
      <c r="Y23">
        <v>-0.76100000000000001</v>
      </c>
      <c r="Z23">
        <v>-0.92700000000000005</v>
      </c>
      <c r="AA23">
        <v>-0.24199999999999999</v>
      </c>
      <c r="AB23">
        <v>-5.5E-2</v>
      </c>
      <c r="AC23">
        <v>-0.69599999999999995</v>
      </c>
      <c r="AD23">
        <v>-1</v>
      </c>
      <c r="AE23">
        <v>0.66</v>
      </c>
      <c r="AF23">
        <v>1.7000000000000001E-2</v>
      </c>
      <c r="AG23">
        <v>7.0000000000000001E-3</v>
      </c>
      <c r="AH23">
        <v>4.7E-2</v>
      </c>
      <c r="AI23">
        <v>-0.36899999999999999</v>
      </c>
      <c r="AJ23">
        <v>0.45900000000000002</v>
      </c>
      <c r="AK23">
        <v>-6.9000000000000006E-2</v>
      </c>
      <c r="AL23">
        <v>-4.2999999999999997E-2</v>
      </c>
      <c r="AM23">
        <v>0.751</v>
      </c>
      <c r="AN23">
        <v>-0.63900000000000001</v>
      </c>
      <c r="AO23">
        <v>0.96299999999999997</v>
      </c>
      <c r="AP23">
        <v>0.26200000000000001</v>
      </c>
      <c r="AQ23">
        <v>0.38900000000000001</v>
      </c>
      <c r="AR23">
        <v>-4.7E-2</v>
      </c>
      <c r="AS23">
        <v>-0.29499999999999998</v>
      </c>
      <c r="AT23">
        <v>0.371</v>
      </c>
      <c r="AU23">
        <v>-0.39</v>
      </c>
      <c r="AV23">
        <v>0.441</v>
      </c>
      <c r="AW23">
        <v>0.68300000000000005</v>
      </c>
      <c r="AX23">
        <v>-0.60099999999999998</v>
      </c>
      <c r="AY23">
        <v>-0.104</v>
      </c>
      <c r="AZ23">
        <v>0.11899999999999999</v>
      </c>
      <c r="BA23">
        <v>-0.54300000000000004</v>
      </c>
      <c r="BE23" s="20"/>
      <c r="BF23" s="21"/>
      <c r="BG23" s="21"/>
      <c r="BH23" s="21"/>
      <c r="BL23" t="s">
        <v>222</v>
      </c>
      <c r="BM23" t="s">
        <v>284</v>
      </c>
      <c r="BN23" t="s">
        <v>279</v>
      </c>
    </row>
    <row r="24" spans="1:66" ht="15" thickBot="1" x14ac:dyDescent="0.35">
      <c r="A24" t="s">
        <v>81</v>
      </c>
      <c r="B24">
        <v>2.9980000000000002</v>
      </c>
      <c r="C24">
        <v>5.74</v>
      </c>
      <c r="D24" t="s">
        <v>55</v>
      </c>
      <c r="E24">
        <v>3.1E-2</v>
      </c>
      <c r="F24">
        <v>3.0000000000000001E-3</v>
      </c>
      <c r="G24">
        <v>2.8000000000000001E-2</v>
      </c>
      <c r="H24">
        <v>0.54200000000000004</v>
      </c>
      <c r="I24">
        <v>1</v>
      </c>
      <c r="J24">
        <v>-0.20100000000000001</v>
      </c>
      <c r="K24">
        <v>0.85499999999999998</v>
      </c>
      <c r="L24">
        <v>0.79500000000000004</v>
      </c>
      <c r="M24">
        <v>1</v>
      </c>
      <c r="N24">
        <v>1</v>
      </c>
      <c r="O24">
        <v>0.89800000000000002</v>
      </c>
      <c r="P24">
        <v>0.80200000000000005</v>
      </c>
      <c r="Q24">
        <v>0.81</v>
      </c>
      <c r="R24">
        <v>0.85</v>
      </c>
      <c r="S24">
        <v>0.84499999999999997</v>
      </c>
      <c r="T24">
        <v>0.79</v>
      </c>
      <c r="U24">
        <v>0.83799999999999997</v>
      </c>
      <c r="V24">
        <v>3.4000000000000002E-2</v>
      </c>
      <c r="W24">
        <v>0.28699999999999998</v>
      </c>
      <c r="X24">
        <v>-0.92</v>
      </c>
      <c r="Y24">
        <v>-0.58199999999999996</v>
      </c>
      <c r="Z24">
        <v>-0.42299999999999999</v>
      </c>
      <c r="AA24">
        <v>0.23100000000000001</v>
      </c>
      <c r="AB24">
        <v>-6.8000000000000005E-2</v>
      </c>
      <c r="AC24">
        <v>-0.84799999999999998</v>
      </c>
      <c r="AD24">
        <v>-0.47799999999999998</v>
      </c>
      <c r="AE24">
        <v>0.38200000000000001</v>
      </c>
      <c r="AF24">
        <v>0.67100000000000004</v>
      </c>
      <c r="AG24">
        <v>0.57899999999999996</v>
      </c>
      <c r="AH24">
        <v>0.23699999999999999</v>
      </c>
      <c r="AI24">
        <v>0.14899999999999999</v>
      </c>
      <c r="AJ24">
        <v>0.55200000000000005</v>
      </c>
      <c r="AK24">
        <v>0.40699999999999997</v>
      </c>
      <c r="AL24">
        <v>1</v>
      </c>
      <c r="AM24">
        <v>0.76600000000000001</v>
      </c>
      <c r="AN24">
        <v>0.16300000000000001</v>
      </c>
      <c r="AO24">
        <v>0.84599999999999997</v>
      </c>
      <c r="AP24">
        <v>0.27700000000000002</v>
      </c>
      <c r="AQ24">
        <v>0.81299999999999994</v>
      </c>
      <c r="AR24">
        <v>0.36</v>
      </c>
      <c r="AS24">
        <v>0.37</v>
      </c>
      <c r="AT24">
        <v>0.67</v>
      </c>
      <c r="AU24">
        <v>0.27100000000000002</v>
      </c>
      <c r="AV24">
        <v>0.39</v>
      </c>
      <c r="AW24">
        <v>0.94599999999999995</v>
      </c>
      <c r="AX24">
        <v>-0.77100000000000002</v>
      </c>
      <c r="AY24">
        <v>-0.35899999999999999</v>
      </c>
      <c r="AZ24">
        <v>-1.7000000000000001E-2</v>
      </c>
      <c r="BA24">
        <v>-0.54700000000000004</v>
      </c>
      <c r="BE24" s="20"/>
      <c r="BF24" s="21"/>
      <c r="BG24" s="21"/>
      <c r="BH24" s="21"/>
      <c r="BL24" t="s">
        <v>253</v>
      </c>
      <c r="BM24" t="s">
        <v>293</v>
      </c>
      <c r="BN24" t="s">
        <v>287</v>
      </c>
    </row>
    <row r="25" spans="1:66" ht="15" thickBot="1" x14ac:dyDescent="0.35">
      <c r="A25" t="s">
        <v>123</v>
      </c>
      <c r="B25">
        <v>1.978</v>
      </c>
      <c r="C25">
        <v>4.0359999999999996</v>
      </c>
      <c r="D25" t="s">
        <v>55</v>
      </c>
      <c r="E25">
        <v>2.8000000000000001E-2</v>
      </c>
      <c r="F25">
        <v>-1E-3</v>
      </c>
      <c r="G25">
        <v>0.03</v>
      </c>
      <c r="H25">
        <v>-6.4000000000000001E-2</v>
      </c>
      <c r="I25">
        <v>0.59</v>
      </c>
      <c r="J25">
        <v>-0.58899999999999997</v>
      </c>
      <c r="K25">
        <v>0.26500000000000001</v>
      </c>
      <c r="L25">
        <v>0.27300000000000002</v>
      </c>
      <c r="M25">
        <v>0.41</v>
      </c>
      <c r="N25">
        <v>0.61</v>
      </c>
      <c r="O25">
        <v>0.34</v>
      </c>
      <c r="P25">
        <v>0.79600000000000004</v>
      </c>
      <c r="Q25">
        <v>0.80300000000000005</v>
      </c>
      <c r="R25">
        <v>0.754</v>
      </c>
      <c r="S25">
        <v>0.84699999999999998</v>
      </c>
      <c r="T25">
        <v>0.76600000000000001</v>
      </c>
      <c r="U25">
        <v>0.16200000000000001</v>
      </c>
      <c r="V25">
        <v>-0.28599999999999998</v>
      </c>
      <c r="W25">
        <v>0.48899999999999999</v>
      </c>
      <c r="X25">
        <v>-1</v>
      </c>
      <c r="Y25">
        <v>-0.54500000000000004</v>
      </c>
      <c r="Z25">
        <v>-0.72299999999999998</v>
      </c>
      <c r="AA25">
        <v>-0.24099999999999999</v>
      </c>
      <c r="AB25">
        <v>-0.41299999999999998</v>
      </c>
      <c r="AC25">
        <v>-0.54900000000000004</v>
      </c>
      <c r="AD25">
        <v>-0.79400000000000004</v>
      </c>
      <c r="AE25">
        <v>0.49399999999999999</v>
      </c>
      <c r="AF25">
        <v>0.996</v>
      </c>
      <c r="AG25">
        <v>0.38900000000000001</v>
      </c>
      <c r="AH25">
        <v>0.12</v>
      </c>
      <c r="AI25">
        <v>0.35</v>
      </c>
      <c r="AJ25">
        <v>0.248</v>
      </c>
      <c r="AK25">
        <v>6.7000000000000004E-2</v>
      </c>
      <c r="AL25">
        <v>0.748</v>
      </c>
      <c r="AM25">
        <v>0.86199999999999999</v>
      </c>
      <c r="AN25">
        <v>-0.16600000000000001</v>
      </c>
      <c r="AO25">
        <v>0.79700000000000004</v>
      </c>
      <c r="AP25">
        <v>0.13</v>
      </c>
      <c r="AQ25">
        <v>0.48</v>
      </c>
      <c r="AR25">
        <v>0.14199999999999999</v>
      </c>
      <c r="AS25">
        <v>-8.6999999999999994E-2</v>
      </c>
      <c r="AT25">
        <v>0.45300000000000001</v>
      </c>
      <c r="AU25">
        <v>0.29099999999999998</v>
      </c>
      <c r="AV25">
        <v>0.09</v>
      </c>
      <c r="AW25">
        <v>0.92</v>
      </c>
      <c r="AX25">
        <v>-0.69</v>
      </c>
      <c r="AY25">
        <v>-0.33200000000000002</v>
      </c>
      <c r="AZ25">
        <v>3.9E-2</v>
      </c>
      <c r="BA25">
        <v>-0.78100000000000003</v>
      </c>
      <c r="BE25" s="20"/>
      <c r="BF25" s="21"/>
      <c r="BG25" s="21"/>
      <c r="BH25" s="21"/>
      <c r="BL25" t="s">
        <v>185</v>
      </c>
      <c r="BM25" t="s">
        <v>280</v>
      </c>
      <c r="BN25" t="s">
        <v>283</v>
      </c>
    </row>
    <row r="26" spans="1:66" ht="15" thickBot="1" x14ac:dyDescent="0.35">
      <c r="A26" t="s">
        <v>112</v>
      </c>
      <c r="B26">
        <v>1.2310000000000001</v>
      </c>
      <c r="C26">
        <v>2.0720000000000001</v>
      </c>
      <c r="D26" t="s">
        <v>55</v>
      </c>
      <c r="E26">
        <v>2.7E-2</v>
      </c>
      <c r="F26">
        <v>8.0000000000000002E-3</v>
      </c>
      <c r="G26">
        <v>1.9E-2</v>
      </c>
      <c r="H26">
        <v>-0.68300000000000005</v>
      </c>
      <c r="I26">
        <v>0.35199999999999998</v>
      </c>
      <c r="J26">
        <v>-0.82899999999999996</v>
      </c>
      <c r="K26">
        <v>-0.246</v>
      </c>
      <c r="L26">
        <v>-3.5999999999999997E-2</v>
      </c>
      <c r="M26">
        <v>-0.16900000000000001</v>
      </c>
      <c r="N26">
        <v>9.8000000000000004E-2</v>
      </c>
      <c r="O26">
        <v>0.25800000000000001</v>
      </c>
      <c r="P26">
        <v>0.875</v>
      </c>
      <c r="Q26">
        <v>0.88200000000000001</v>
      </c>
      <c r="R26">
        <v>0.58899999999999997</v>
      </c>
      <c r="S26">
        <v>0.62</v>
      </c>
      <c r="T26">
        <v>0.69099999999999995</v>
      </c>
      <c r="U26">
        <v>-0.73299999999999998</v>
      </c>
      <c r="V26">
        <v>-0.48099999999999998</v>
      </c>
      <c r="W26">
        <v>0.80900000000000005</v>
      </c>
      <c r="X26">
        <v>-0.91100000000000003</v>
      </c>
      <c r="Y26">
        <v>0.13</v>
      </c>
      <c r="Z26">
        <v>-0.73099999999999998</v>
      </c>
      <c r="AA26">
        <v>-0.38</v>
      </c>
      <c r="AB26">
        <v>-3.2000000000000001E-2</v>
      </c>
      <c r="AC26">
        <v>-0.70399999999999996</v>
      </c>
      <c r="AD26">
        <v>-0.88500000000000001</v>
      </c>
      <c r="AE26">
        <v>0.91400000000000003</v>
      </c>
      <c r="AF26">
        <v>0.93400000000000005</v>
      </c>
      <c r="AG26">
        <v>0.37</v>
      </c>
      <c r="AH26">
        <v>0.14599999999999999</v>
      </c>
      <c r="AI26">
        <v>-8.2000000000000003E-2</v>
      </c>
      <c r="AJ26">
        <v>0.35199999999999998</v>
      </c>
      <c r="AK26">
        <v>0.10199999999999999</v>
      </c>
      <c r="AL26">
        <v>-0.252</v>
      </c>
      <c r="AM26">
        <v>0.61599999999999999</v>
      </c>
      <c r="AN26">
        <v>-0.61899999999999999</v>
      </c>
      <c r="AO26">
        <v>1</v>
      </c>
      <c r="AP26">
        <v>0.379</v>
      </c>
      <c r="AQ26">
        <v>-0.90100000000000002</v>
      </c>
      <c r="AR26">
        <v>-0.26200000000000001</v>
      </c>
      <c r="AS26">
        <v>-0.64100000000000001</v>
      </c>
      <c r="AT26">
        <v>0.35699999999999998</v>
      </c>
      <c r="AU26">
        <v>-0.13300000000000001</v>
      </c>
      <c r="AV26">
        <v>0.442</v>
      </c>
      <c r="AW26">
        <v>0.67800000000000005</v>
      </c>
      <c r="AX26">
        <v>-1</v>
      </c>
      <c r="AY26">
        <v>-0.247</v>
      </c>
      <c r="AZ26">
        <v>-0.316</v>
      </c>
      <c r="BA26">
        <v>-9.8000000000000004E-2</v>
      </c>
      <c r="BE26" s="20"/>
      <c r="BF26" s="21"/>
      <c r="BG26" s="21"/>
      <c r="BH26" s="21"/>
      <c r="BL26" t="s">
        <v>165</v>
      </c>
      <c r="BM26" t="s">
        <v>284</v>
      </c>
      <c r="BN26" t="s">
        <v>283</v>
      </c>
    </row>
    <row r="27" spans="1:66" ht="15" thickBot="1" x14ac:dyDescent="0.35">
      <c r="A27" t="s">
        <v>88</v>
      </c>
      <c r="B27">
        <v>1.268</v>
      </c>
      <c r="C27">
        <v>1.542</v>
      </c>
      <c r="D27" t="s">
        <v>53</v>
      </c>
      <c r="E27">
        <v>2.5999999999999999E-2</v>
      </c>
      <c r="F27">
        <v>2.4E-2</v>
      </c>
      <c r="G27">
        <v>2E-3</v>
      </c>
      <c r="H27">
        <v>-0.32500000000000001</v>
      </c>
      <c r="I27">
        <v>6.8000000000000005E-2</v>
      </c>
      <c r="J27">
        <v>-0.25900000000000001</v>
      </c>
      <c r="K27">
        <v>-0.495</v>
      </c>
      <c r="L27">
        <v>-0.14799999999999999</v>
      </c>
      <c r="M27">
        <v>-2.5000000000000001E-2</v>
      </c>
      <c r="N27">
        <v>0.29099999999999998</v>
      </c>
      <c r="O27">
        <v>0.20699999999999999</v>
      </c>
      <c r="P27">
        <v>0.41</v>
      </c>
      <c r="Q27">
        <v>0.41099999999999998</v>
      </c>
      <c r="R27">
        <v>0.625</v>
      </c>
      <c r="S27">
        <v>0.59799999999999998</v>
      </c>
      <c r="T27">
        <v>0.58499999999999996</v>
      </c>
      <c r="U27">
        <v>-0.28000000000000003</v>
      </c>
      <c r="V27">
        <v>-0.77700000000000002</v>
      </c>
      <c r="W27">
        <v>-0.311</v>
      </c>
      <c r="X27">
        <v>-0.1</v>
      </c>
      <c r="Y27">
        <v>0.27100000000000002</v>
      </c>
      <c r="Z27">
        <v>-0.495</v>
      </c>
      <c r="AA27">
        <v>-0.109</v>
      </c>
      <c r="AB27">
        <v>7.1999999999999995E-2</v>
      </c>
      <c r="AC27">
        <v>-0.54200000000000004</v>
      </c>
      <c r="AD27">
        <v>-0.12</v>
      </c>
      <c r="AE27">
        <v>-0.13200000000000001</v>
      </c>
      <c r="AF27">
        <v>0.19</v>
      </c>
      <c r="AG27">
        <v>-0.159</v>
      </c>
      <c r="AH27">
        <v>-0.752</v>
      </c>
      <c r="AI27">
        <v>-0.495</v>
      </c>
      <c r="AJ27">
        <v>0.25700000000000001</v>
      </c>
      <c r="AK27">
        <v>0.153</v>
      </c>
      <c r="AL27">
        <v>1.4E-2</v>
      </c>
      <c r="AM27">
        <v>0.66400000000000003</v>
      </c>
      <c r="AN27">
        <v>2.1000000000000001E-2</v>
      </c>
      <c r="AO27">
        <v>0.67100000000000004</v>
      </c>
      <c r="AP27">
        <v>0.73</v>
      </c>
      <c r="AQ27">
        <v>0.81899999999999995</v>
      </c>
      <c r="AR27">
        <v>-0.14599999999999999</v>
      </c>
      <c r="AS27">
        <v>-0.223</v>
      </c>
      <c r="AT27">
        <v>0.245</v>
      </c>
      <c r="AU27">
        <v>0.29199999999999998</v>
      </c>
      <c r="AV27">
        <v>-0.60199999999999998</v>
      </c>
      <c r="AW27">
        <v>0.72699999999999998</v>
      </c>
      <c r="AX27">
        <v>-0.51800000000000002</v>
      </c>
      <c r="AY27">
        <v>-0.21199999999999999</v>
      </c>
      <c r="AZ27">
        <v>0.55500000000000005</v>
      </c>
      <c r="BA27">
        <v>0.52500000000000002</v>
      </c>
      <c r="BE27" s="20"/>
      <c r="BF27" s="21"/>
      <c r="BG27" s="21"/>
      <c r="BH27" s="21"/>
      <c r="BL27" t="s">
        <v>179</v>
      </c>
      <c r="BM27" t="s">
        <v>284</v>
      </c>
      <c r="BN27" t="s">
        <v>283</v>
      </c>
    </row>
    <row r="28" spans="1:66" ht="15" thickBot="1" x14ac:dyDescent="0.35">
      <c r="A28" t="s">
        <v>172</v>
      </c>
      <c r="B28">
        <v>0.92600000000000005</v>
      </c>
      <c r="C28">
        <v>1.833</v>
      </c>
      <c r="D28" t="s">
        <v>71</v>
      </c>
      <c r="E28">
        <v>2.5000000000000001E-2</v>
      </c>
      <c r="F28">
        <v>3.0000000000000001E-3</v>
      </c>
      <c r="G28">
        <v>2.3E-2</v>
      </c>
      <c r="H28">
        <v>-0.77100000000000002</v>
      </c>
      <c r="I28">
        <v>-0.21</v>
      </c>
      <c r="J28">
        <v>-0.91700000000000004</v>
      </c>
      <c r="K28">
        <v>-0.49399999999999999</v>
      </c>
      <c r="L28">
        <v>-0.45800000000000002</v>
      </c>
      <c r="M28">
        <v>-0.13200000000000001</v>
      </c>
      <c r="N28">
        <v>0.14699999999999999</v>
      </c>
      <c r="O28">
        <v>0.12</v>
      </c>
      <c r="P28">
        <v>0.83299999999999996</v>
      </c>
      <c r="Q28">
        <v>0.83599999999999997</v>
      </c>
      <c r="R28">
        <v>0.65200000000000002</v>
      </c>
      <c r="S28">
        <v>0.65</v>
      </c>
      <c r="T28">
        <v>0.56599999999999995</v>
      </c>
      <c r="U28">
        <v>-1E-3</v>
      </c>
      <c r="V28">
        <v>-0.82899999999999996</v>
      </c>
      <c r="W28">
        <v>0.10199999999999999</v>
      </c>
      <c r="X28">
        <v>-0.754</v>
      </c>
      <c r="Y28">
        <v>-0.63300000000000001</v>
      </c>
      <c r="Z28">
        <v>-0.97499999999999998</v>
      </c>
      <c r="AA28">
        <v>0.122</v>
      </c>
      <c r="AB28">
        <v>0.04</v>
      </c>
      <c r="AC28">
        <v>-0.42299999999999999</v>
      </c>
      <c r="AD28">
        <v>-5.8000000000000003E-2</v>
      </c>
      <c r="AE28">
        <v>0.44500000000000001</v>
      </c>
      <c r="AF28">
        <v>-1.4E-2</v>
      </c>
      <c r="AG28">
        <v>-0.38700000000000001</v>
      </c>
      <c r="AH28">
        <v>-0.65300000000000002</v>
      </c>
      <c r="AI28">
        <v>-0.49</v>
      </c>
      <c r="AJ28">
        <v>0.184</v>
      </c>
      <c r="AK28">
        <v>-7.0999999999999994E-2</v>
      </c>
      <c r="AL28">
        <v>1.7000000000000001E-2</v>
      </c>
      <c r="AM28">
        <v>0.95099999999999996</v>
      </c>
      <c r="AN28">
        <v>-0.34599999999999997</v>
      </c>
      <c r="AO28">
        <v>0.75800000000000001</v>
      </c>
      <c r="AP28">
        <v>-0.437</v>
      </c>
      <c r="AQ28">
        <v>-0.22800000000000001</v>
      </c>
      <c r="AR28">
        <v>9.2999999999999999E-2</v>
      </c>
      <c r="AS28">
        <v>-7.0000000000000007E-2</v>
      </c>
      <c r="AT28">
        <v>0.217</v>
      </c>
      <c r="AU28">
        <v>0.43</v>
      </c>
      <c r="AV28">
        <v>0.31900000000000001</v>
      </c>
      <c r="AW28">
        <v>0.96099999999999997</v>
      </c>
      <c r="AX28">
        <v>-0.33900000000000002</v>
      </c>
      <c r="AY28">
        <v>-0.55800000000000005</v>
      </c>
      <c r="AZ28">
        <v>-0.06</v>
      </c>
      <c r="BA28">
        <v>-0.29599999999999999</v>
      </c>
      <c r="BE28" s="20"/>
      <c r="BF28" s="21"/>
      <c r="BG28" s="21"/>
      <c r="BH28" s="21"/>
      <c r="BL28" t="s">
        <v>204</v>
      </c>
      <c r="BM28" t="s">
        <v>280</v>
      </c>
      <c r="BN28" t="s">
        <v>282</v>
      </c>
    </row>
    <row r="29" spans="1:66" ht="15" thickBot="1" x14ac:dyDescent="0.35">
      <c r="A29" t="s">
        <v>127</v>
      </c>
      <c r="B29">
        <v>1.7889999999999999</v>
      </c>
      <c r="C29">
        <v>3.0209999999999999</v>
      </c>
      <c r="D29" t="s">
        <v>53</v>
      </c>
      <c r="E29">
        <v>2.5000000000000001E-2</v>
      </c>
      <c r="F29">
        <v>8.9999999999999993E-3</v>
      </c>
      <c r="G29">
        <v>1.6E-2</v>
      </c>
      <c r="H29">
        <v>-8.2000000000000003E-2</v>
      </c>
      <c r="I29">
        <v>0.312</v>
      </c>
      <c r="J29">
        <v>-0.34</v>
      </c>
      <c r="K29">
        <v>0.123</v>
      </c>
      <c r="L29">
        <v>0.246</v>
      </c>
      <c r="M29">
        <v>0.33300000000000002</v>
      </c>
      <c r="N29">
        <v>0.56799999999999995</v>
      </c>
      <c r="O29">
        <v>0.32800000000000001</v>
      </c>
      <c r="P29">
        <v>0.59599999999999997</v>
      </c>
      <c r="Q29">
        <v>0.6</v>
      </c>
      <c r="R29">
        <v>0.69599999999999995</v>
      </c>
      <c r="S29">
        <v>0.82199999999999995</v>
      </c>
      <c r="T29">
        <v>0.61299999999999999</v>
      </c>
      <c r="U29">
        <v>6.6000000000000003E-2</v>
      </c>
      <c r="V29">
        <v>0.186</v>
      </c>
      <c r="W29">
        <v>-0.17499999999999999</v>
      </c>
      <c r="X29">
        <v>-0.88100000000000001</v>
      </c>
      <c r="Y29">
        <v>-0.72799999999999998</v>
      </c>
      <c r="Z29">
        <v>-0.28199999999999997</v>
      </c>
      <c r="AA29">
        <v>-0.23</v>
      </c>
      <c r="AB29">
        <v>-0.27600000000000002</v>
      </c>
      <c r="AC29">
        <v>-0.71699999999999997</v>
      </c>
      <c r="AD29">
        <v>0.03</v>
      </c>
      <c r="AE29">
        <v>0.155</v>
      </c>
      <c r="AF29">
        <v>0.375</v>
      </c>
      <c r="AG29">
        <v>0.55800000000000005</v>
      </c>
      <c r="AH29">
        <v>0.127</v>
      </c>
      <c r="AI29">
        <v>0.495</v>
      </c>
      <c r="AJ29">
        <v>0.45700000000000002</v>
      </c>
      <c r="AK29">
        <v>0.24199999999999999</v>
      </c>
      <c r="AL29">
        <v>0.38600000000000001</v>
      </c>
      <c r="AM29">
        <v>0.78400000000000003</v>
      </c>
      <c r="AN29">
        <v>0.66800000000000004</v>
      </c>
      <c r="AO29">
        <v>0.91300000000000003</v>
      </c>
      <c r="AP29">
        <v>0.70899999999999996</v>
      </c>
      <c r="AQ29">
        <v>0.35899999999999999</v>
      </c>
      <c r="AR29">
        <v>-9.8000000000000004E-2</v>
      </c>
      <c r="AS29">
        <v>-6.5000000000000002E-2</v>
      </c>
      <c r="AT29">
        <v>-0.82</v>
      </c>
      <c r="AU29">
        <v>-0.159</v>
      </c>
      <c r="AV29">
        <v>0.61699999999999999</v>
      </c>
      <c r="AW29">
        <v>0.73199999999999998</v>
      </c>
      <c r="AX29">
        <v>-0.71699999999999997</v>
      </c>
      <c r="AY29">
        <v>-0.48899999999999999</v>
      </c>
      <c r="AZ29">
        <v>5.5E-2</v>
      </c>
      <c r="BA29">
        <v>-0.26700000000000002</v>
      </c>
      <c r="BE29" s="20"/>
      <c r="BF29" s="21"/>
      <c r="BG29" s="21"/>
      <c r="BH29" s="21"/>
      <c r="BL29" t="s">
        <v>194</v>
      </c>
      <c r="BM29" t="s">
        <v>294</v>
      </c>
      <c r="BN29" t="s">
        <v>287</v>
      </c>
    </row>
    <row r="30" spans="1:66" ht="15" thickBot="1" x14ac:dyDescent="0.35">
      <c r="A30" t="s">
        <v>83</v>
      </c>
      <c r="B30">
        <v>1.8420000000000001</v>
      </c>
      <c r="C30">
        <v>3.7370000000000001</v>
      </c>
      <c r="D30" t="s">
        <v>53</v>
      </c>
      <c r="E30">
        <v>2.4E-2</v>
      </c>
      <c r="F30">
        <v>3.0000000000000001E-3</v>
      </c>
      <c r="G30">
        <v>2.1000000000000001E-2</v>
      </c>
      <c r="H30">
        <v>-0.22800000000000001</v>
      </c>
      <c r="I30">
        <v>0.50800000000000001</v>
      </c>
      <c r="J30">
        <v>-0.76900000000000002</v>
      </c>
      <c r="K30">
        <v>0.14699999999999999</v>
      </c>
      <c r="L30">
        <v>0.13600000000000001</v>
      </c>
      <c r="M30">
        <v>0.34100000000000003</v>
      </c>
      <c r="N30">
        <v>0.80200000000000005</v>
      </c>
      <c r="O30">
        <v>0.47899999999999998</v>
      </c>
      <c r="P30">
        <v>0.70699999999999996</v>
      </c>
      <c r="Q30">
        <v>0.71599999999999997</v>
      </c>
      <c r="R30">
        <v>0.73099999999999998</v>
      </c>
      <c r="S30">
        <v>0.78</v>
      </c>
      <c r="T30">
        <v>0.621</v>
      </c>
      <c r="U30">
        <v>0.34200000000000003</v>
      </c>
      <c r="V30">
        <v>-0.53300000000000003</v>
      </c>
      <c r="W30">
        <v>0.185</v>
      </c>
      <c r="X30">
        <v>-0.999</v>
      </c>
      <c r="Y30">
        <v>-0.78700000000000003</v>
      </c>
      <c r="Z30">
        <v>-0.58399999999999996</v>
      </c>
      <c r="AA30">
        <v>-0.30199999999999999</v>
      </c>
      <c r="AB30">
        <v>-0.121</v>
      </c>
      <c r="AC30">
        <v>-0.91200000000000003</v>
      </c>
      <c r="AD30">
        <v>-8.3000000000000004E-2</v>
      </c>
      <c r="AE30">
        <v>0.63</v>
      </c>
      <c r="AF30">
        <v>0.40400000000000003</v>
      </c>
      <c r="AG30">
        <v>0.20899999999999999</v>
      </c>
      <c r="AH30">
        <v>0.09</v>
      </c>
      <c r="AI30">
        <v>-0.41799999999999998</v>
      </c>
      <c r="AJ30">
        <v>0.498</v>
      </c>
      <c r="AK30">
        <v>0.374</v>
      </c>
      <c r="AL30">
        <v>0.69299999999999995</v>
      </c>
      <c r="AM30">
        <v>0.81799999999999995</v>
      </c>
      <c r="AN30">
        <v>0.48199999999999998</v>
      </c>
      <c r="AO30">
        <v>0.74399999999999999</v>
      </c>
      <c r="AP30">
        <v>-0.19500000000000001</v>
      </c>
      <c r="AQ30">
        <v>-0.19600000000000001</v>
      </c>
      <c r="AR30">
        <v>0.26300000000000001</v>
      </c>
      <c r="AS30">
        <v>-7.0000000000000001E-3</v>
      </c>
      <c r="AT30">
        <v>0.32300000000000001</v>
      </c>
      <c r="AU30">
        <v>0.16300000000000001</v>
      </c>
      <c r="AV30">
        <v>8.9999999999999993E-3</v>
      </c>
      <c r="AW30">
        <v>1</v>
      </c>
      <c r="AX30">
        <v>-0.30099999999999999</v>
      </c>
      <c r="AY30">
        <v>-0.36199999999999999</v>
      </c>
      <c r="AZ30">
        <v>-0.15</v>
      </c>
      <c r="BA30">
        <v>-1</v>
      </c>
      <c r="BE30" s="20"/>
      <c r="BF30" s="21"/>
      <c r="BG30" s="21"/>
      <c r="BH30" s="21"/>
      <c r="BL30" t="s">
        <v>169</v>
      </c>
      <c r="BM30" t="s">
        <v>294</v>
      </c>
      <c r="BN30" t="s">
        <v>287</v>
      </c>
    </row>
    <row r="31" spans="1:66" ht="15" thickBot="1" x14ac:dyDescent="0.35">
      <c r="A31" t="s">
        <v>158</v>
      </c>
      <c r="B31">
        <v>0.98099999999999998</v>
      </c>
      <c r="C31">
        <v>1.4790000000000001</v>
      </c>
      <c r="D31" t="s">
        <v>71</v>
      </c>
      <c r="E31">
        <v>2.3E-2</v>
      </c>
      <c r="F31">
        <v>1.6E-2</v>
      </c>
      <c r="G31">
        <v>7.0000000000000001E-3</v>
      </c>
      <c r="H31">
        <v>-0.68400000000000005</v>
      </c>
      <c r="I31">
        <v>-0.14199999999999999</v>
      </c>
      <c r="J31">
        <v>-0.80900000000000005</v>
      </c>
      <c r="K31">
        <v>-0.41599999999999998</v>
      </c>
      <c r="L31">
        <v>-0.34</v>
      </c>
      <c r="M31">
        <v>-0.10199999999999999</v>
      </c>
      <c r="N31">
        <v>9.0999999999999998E-2</v>
      </c>
      <c r="O31">
        <v>2.7E-2</v>
      </c>
      <c r="P31">
        <v>0.85099999999999998</v>
      </c>
      <c r="Q31">
        <v>0.85299999999999998</v>
      </c>
      <c r="R31">
        <v>0.57499999999999996</v>
      </c>
      <c r="S31">
        <v>0.61399999999999999</v>
      </c>
      <c r="T31">
        <v>0.65700000000000003</v>
      </c>
      <c r="U31">
        <v>-0.24299999999999999</v>
      </c>
      <c r="V31">
        <v>-0.78800000000000003</v>
      </c>
      <c r="W31">
        <v>0.27900000000000003</v>
      </c>
      <c r="X31">
        <v>-0.68500000000000005</v>
      </c>
      <c r="Y31">
        <v>3.2000000000000001E-2</v>
      </c>
      <c r="Z31">
        <v>-0.85199999999999998</v>
      </c>
      <c r="AA31">
        <v>-0.24199999999999999</v>
      </c>
      <c r="AB31">
        <v>-0.125</v>
      </c>
      <c r="AC31">
        <v>-0.55900000000000005</v>
      </c>
      <c r="AD31">
        <v>2.1000000000000001E-2</v>
      </c>
      <c r="AE31">
        <v>0.47</v>
      </c>
      <c r="AF31">
        <v>0.79</v>
      </c>
      <c r="AG31">
        <v>-0.23599999999999999</v>
      </c>
      <c r="AH31">
        <v>4.9000000000000002E-2</v>
      </c>
      <c r="AI31">
        <v>2.5000000000000001E-2</v>
      </c>
      <c r="AJ31">
        <v>7.6999999999999999E-2</v>
      </c>
      <c r="AK31">
        <v>-3.3000000000000002E-2</v>
      </c>
      <c r="AL31">
        <v>9.6000000000000002E-2</v>
      </c>
      <c r="AM31">
        <v>1</v>
      </c>
      <c r="AN31">
        <v>-0.13400000000000001</v>
      </c>
      <c r="AO31">
        <v>0.59899999999999998</v>
      </c>
      <c r="AP31">
        <v>-0.496</v>
      </c>
      <c r="AQ31">
        <v>-0.28499999999999998</v>
      </c>
      <c r="AR31">
        <v>-0.63900000000000001</v>
      </c>
      <c r="AS31">
        <v>-0.748</v>
      </c>
      <c r="AT31">
        <v>-0.27100000000000002</v>
      </c>
      <c r="AU31">
        <v>0.34399999999999997</v>
      </c>
      <c r="AV31">
        <v>1</v>
      </c>
      <c r="AW31">
        <v>0.82699999999999996</v>
      </c>
      <c r="AX31">
        <v>-0.31</v>
      </c>
      <c r="AY31">
        <v>-0.88400000000000001</v>
      </c>
      <c r="AZ31">
        <v>8.3000000000000004E-2</v>
      </c>
      <c r="BA31">
        <v>-8.5000000000000006E-2</v>
      </c>
      <c r="BE31" s="20"/>
      <c r="BF31" s="21"/>
      <c r="BG31" s="21"/>
      <c r="BH31" s="21"/>
      <c r="BL31" t="s">
        <v>100</v>
      </c>
      <c r="BM31" t="s">
        <v>293</v>
      </c>
      <c r="BN31" t="s">
        <v>282</v>
      </c>
    </row>
    <row r="32" spans="1:66" ht="15" thickBot="1" x14ac:dyDescent="0.35">
      <c r="A32" t="s">
        <v>62</v>
      </c>
      <c r="B32">
        <v>2.581</v>
      </c>
      <c r="C32">
        <v>4.0350000000000001</v>
      </c>
      <c r="D32" t="s">
        <v>55</v>
      </c>
      <c r="E32">
        <v>2.1999999999999999E-2</v>
      </c>
      <c r="F32">
        <v>7.0000000000000001E-3</v>
      </c>
      <c r="G32">
        <v>1.4999999999999999E-2</v>
      </c>
      <c r="H32">
        <v>0.34</v>
      </c>
      <c r="I32">
        <v>0.749</v>
      </c>
      <c r="J32">
        <v>-4.2999999999999997E-2</v>
      </c>
      <c r="K32">
        <v>0.70899999999999996</v>
      </c>
      <c r="L32">
        <v>0.73799999999999999</v>
      </c>
      <c r="M32">
        <v>0.64</v>
      </c>
      <c r="N32">
        <v>0.76</v>
      </c>
      <c r="O32">
        <v>0.67600000000000005</v>
      </c>
      <c r="P32">
        <v>0.72399999999999998</v>
      </c>
      <c r="Q32">
        <v>0.73299999999999998</v>
      </c>
      <c r="R32">
        <v>0.79300000000000004</v>
      </c>
      <c r="S32">
        <v>0.82299999999999995</v>
      </c>
      <c r="T32">
        <v>0.73</v>
      </c>
      <c r="U32">
        <v>0.85299999999999998</v>
      </c>
      <c r="V32">
        <v>0.42699999999999999</v>
      </c>
      <c r="W32">
        <v>0.61199999999999999</v>
      </c>
      <c r="X32">
        <v>-0.45700000000000002</v>
      </c>
      <c r="Y32">
        <v>-0.55300000000000005</v>
      </c>
      <c r="Z32">
        <v>-0.14799999999999999</v>
      </c>
      <c r="AA32">
        <v>0.48399999999999999</v>
      </c>
      <c r="AB32">
        <v>-0.22800000000000001</v>
      </c>
      <c r="AC32">
        <v>-0.316</v>
      </c>
      <c r="AD32">
        <v>-7.4999999999999997E-2</v>
      </c>
      <c r="AE32">
        <v>0.21</v>
      </c>
      <c r="AF32">
        <v>-0.219</v>
      </c>
      <c r="AG32">
        <v>0.27600000000000002</v>
      </c>
      <c r="AH32">
        <v>-0.09</v>
      </c>
      <c r="AI32">
        <v>-6.0999999999999999E-2</v>
      </c>
      <c r="AJ32">
        <v>0.39500000000000002</v>
      </c>
      <c r="AK32">
        <v>0.42399999999999999</v>
      </c>
      <c r="AL32">
        <v>0.53</v>
      </c>
      <c r="AM32">
        <v>0.72599999999999998</v>
      </c>
      <c r="AN32">
        <v>-0.08</v>
      </c>
      <c r="AO32">
        <v>0.14899999999999999</v>
      </c>
      <c r="AP32">
        <v>0.78</v>
      </c>
      <c r="AQ32">
        <v>0.21199999999999999</v>
      </c>
      <c r="AR32">
        <v>-0.13300000000000001</v>
      </c>
      <c r="AS32">
        <v>0.17899999999999999</v>
      </c>
      <c r="AT32">
        <v>0.20899999999999999</v>
      </c>
      <c r="AU32">
        <v>0.13100000000000001</v>
      </c>
      <c r="AV32">
        <v>1</v>
      </c>
      <c r="AW32">
        <v>0.42299999999999999</v>
      </c>
      <c r="AX32">
        <v>-0.83299999999999996</v>
      </c>
      <c r="AY32">
        <v>-6.0000000000000001E-3</v>
      </c>
      <c r="AZ32">
        <v>-3.2000000000000001E-2</v>
      </c>
      <c r="BA32">
        <v>0.11799999999999999</v>
      </c>
      <c r="BE32" s="20"/>
      <c r="BF32" s="21"/>
      <c r="BG32" s="21"/>
      <c r="BH32" s="21"/>
      <c r="BL32" t="s">
        <v>175</v>
      </c>
      <c r="BM32" t="s">
        <v>288</v>
      </c>
      <c r="BN32" t="s">
        <v>287</v>
      </c>
    </row>
    <row r="33" spans="1:66" ht="15" thickBot="1" x14ac:dyDescent="0.35">
      <c r="A33" t="s">
        <v>101</v>
      </c>
      <c r="B33">
        <v>1.992</v>
      </c>
      <c r="C33">
        <v>2.262</v>
      </c>
      <c r="D33" t="s">
        <v>71</v>
      </c>
      <c r="E33">
        <v>2.1999999999999999E-2</v>
      </c>
      <c r="F33">
        <v>1.9E-2</v>
      </c>
      <c r="G33">
        <v>2E-3</v>
      </c>
      <c r="H33">
        <v>0.46500000000000002</v>
      </c>
      <c r="I33">
        <v>0.36099999999999999</v>
      </c>
      <c r="J33">
        <v>0.45700000000000002</v>
      </c>
      <c r="K33">
        <v>0.25800000000000001</v>
      </c>
      <c r="L33">
        <v>0.377</v>
      </c>
      <c r="M33">
        <v>0.42399999999999999</v>
      </c>
      <c r="N33">
        <v>0.193</v>
      </c>
      <c r="O33">
        <v>-0.24099999999999999</v>
      </c>
      <c r="P33">
        <v>0.73399999999999999</v>
      </c>
      <c r="Q33">
        <v>0.73099999999999998</v>
      </c>
      <c r="R33">
        <v>0.83899999999999997</v>
      </c>
      <c r="S33">
        <v>0.86799999999999999</v>
      </c>
      <c r="T33">
        <v>0.871</v>
      </c>
      <c r="U33">
        <v>-0.24299999999999999</v>
      </c>
      <c r="V33">
        <v>0.14499999999999999</v>
      </c>
      <c r="W33">
        <v>0.13900000000000001</v>
      </c>
      <c r="X33">
        <v>-0.43099999999999999</v>
      </c>
      <c r="Y33">
        <v>1</v>
      </c>
      <c r="Z33">
        <v>0.46899999999999997</v>
      </c>
      <c r="AA33">
        <v>-0.29699999999999999</v>
      </c>
      <c r="AB33">
        <v>-0.94</v>
      </c>
      <c r="AC33">
        <v>-0.67100000000000004</v>
      </c>
      <c r="AD33">
        <v>0.63700000000000001</v>
      </c>
      <c r="AE33">
        <v>0.48199999999999998</v>
      </c>
      <c r="AF33">
        <v>0.309</v>
      </c>
      <c r="AG33">
        <v>0.91700000000000004</v>
      </c>
      <c r="AH33">
        <v>0.70499999999999996</v>
      </c>
      <c r="AI33">
        <v>0.38800000000000001</v>
      </c>
      <c r="AJ33">
        <v>0.25900000000000001</v>
      </c>
      <c r="AK33">
        <v>-0.13900000000000001</v>
      </c>
      <c r="AL33">
        <v>0.48699999999999999</v>
      </c>
      <c r="AM33">
        <v>0.48399999999999999</v>
      </c>
      <c r="AN33">
        <v>-6.7000000000000004E-2</v>
      </c>
      <c r="AO33">
        <v>0.77700000000000002</v>
      </c>
      <c r="AP33">
        <v>0.28000000000000003</v>
      </c>
      <c r="AQ33">
        <v>0.93</v>
      </c>
      <c r="AR33">
        <v>-0.27200000000000002</v>
      </c>
      <c r="AS33">
        <v>-0.54700000000000004</v>
      </c>
      <c r="AT33">
        <v>0.254</v>
      </c>
      <c r="AU33">
        <v>-0.215</v>
      </c>
      <c r="AV33">
        <v>-4.8000000000000001E-2</v>
      </c>
      <c r="AW33">
        <v>0.55400000000000005</v>
      </c>
      <c r="AX33">
        <v>-0.56499999999999995</v>
      </c>
      <c r="AY33">
        <v>-0.74299999999999999</v>
      </c>
      <c r="AZ33">
        <v>0.626</v>
      </c>
      <c r="BA33">
        <v>0.63500000000000001</v>
      </c>
      <c r="BE33" s="20"/>
      <c r="BF33" s="21"/>
      <c r="BG33" s="21"/>
      <c r="BH33" s="21"/>
      <c r="BL33" t="s">
        <v>193</v>
      </c>
      <c r="BM33" t="s">
        <v>280</v>
      </c>
      <c r="BN33" t="s">
        <v>283</v>
      </c>
    </row>
    <row r="34" spans="1:66" ht="15" thickBot="1" x14ac:dyDescent="0.35">
      <c r="A34" t="s">
        <v>111</v>
      </c>
      <c r="B34">
        <v>1.641</v>
      </c>
      <c r="C34">
        <v>1.583</v>
      </c>
      <c r="D34" t="s">
        <v>53</v>
      </c>
      <c r="E34">
        <v>2.1000000000000001E-2</v>
      </c>
      <c r="F34">
        <v>0.02</v>
      </c>
      <c r="G34">
        <v>1E-3</v>
      </c>
      <c r="H34">
        <v>0.30599999999999999</v>
      </c>
      <c r="I34">
        <v>0.20100000000000001</v>
      </c>
      <c r="J34">
        <v>0.23300000000000001</v>
      </c>
      <c r="K34">
        <v>0.14000000000000001</v>
      </c>
      <c r="L34">
        <v>0.223</v>
      </c>
      <c r="M34">
        <v>-6.9000000000000006E-2</v>
      </c>
      <c r="N34">
        <v>-0.26200000000000001</v>
      </c>
      <c r="O34">
        <v>-0.154</v>
      </c>
      <c r="P34">
        <v>0.47299999999999998</v>
      </c>
      <c r="Q34">
        <v>0.47699999999999998</v>
      </c>
      <c r="R34">
        <v>0.88200000000000001</v>
      </c>
      <c r="S34">
        <v>0.91500000000000004</v>
      </c>
      <c r="T34">
        <v>0.82299999999999995</v>
      </c>
      <c r="U34">
        <v>-8.8999999999999996E-2</v>
      </c>
      <c r="V34">
        <v>2.4E-2</v>
      </c>
      <c r="W34">
        <v>1</v>
      </c>
      <c r="X34">
        <v>0.19</v>
      </c>
      <c r="Y34">
        <v>0.747</v>
      </c>
      <c r="Z34">
        <v>-0.51300000000000001</v>
      </c>
      <c r="AA34">
        <v>0.16200000000000001</v>
      </c>
      <c r="AB34">
        <v>-0.39700000000000002</v>
      </c>
      <c r="AC34">
        <v>0.09</v>
      </c>
      <c r="AD34">
        <v>-6.0999999999999999E-2</v>
      </c>
      <c r="AE34">
        <v>0.311</v>
      </c>
      <c r="AF34">
        <v>0.312</v>
      </c>
      <c r="AG34">
        <v>-2.5999999999999999E-2</v>
      </c>
      <c r="AH34">
        <v>7.9000000000000001E-2</v>
      </c>
      <c r="AI34">
        <v>-0.33700000000000002</v>
      </c>
      <c r="AJ34">
        <v>0.24199999999999999</v>
      </c>
      <c r="AK34">
        <v>-0.45800000000000002</v>
      </c>
      <c r="AL34">
        <v>2.1999999999999999E-2</v>
      </c>
      <c r="AM34">
        <v>0.34599999999999997</v>
      </c>
      <c r="AN34">
        <v>-0.26500000000000001</v>
      </c>
      <c r="AO34">
        <v>0.72199999999999998</v>
      </c>
      <c r="AP34">
        <v>0.308</v>
      </c>
      <c r="AQ34">
        <v>0.245</v>
      </c>
      <c r="AR34">
        <v>7.0000000000000001E-3</v>
      </c>
      <c r="AS34">
        <v>9.5000000000000001E-2</v>
      </c>
      <c r="AT34">
        <v>0.28599999999999998</v>
      </c>
      <c r="AU34">
        <v>-0.46800000000000003</v>
      </c>
      <c r="AV34">
        <v>-0.23899999999999999</v>
      </c>
      <c r="AW34">
        <v>5.2999999999999999E-2</v>
      </c>
      <c r="AX34">
        <v>-5.2999999999999999E-2</v>
      </c>
      <c r="AY34">
        <v>0.55000000000000004</v>
      </c>
      <c r="AZ34">
        <v>0.56499999999999995</v>
      </c>
      <c r="BA34">
        <v>0.47599999999999998</v>
      </c>
      <c r="BE34" s="20"/>
      <c r="BF34" s="21"/>
      <c r="BG34" s="21"/>
      <c r="BH34" s="21"/>
      <c r="BL34" t="s">
        <v>115</v>
      </c>
      <c r="BM34" t="s">
        <v>280</v>
      </c>
      <c r="BN34" t="s">
        <v>279</v>
      </c>
    </row>
    <row r="35" spans="1:66" ht="15" thickBot="1" x14ac:dyDescent="0.35">
      <c r="A35" t="s">
        <v>232</v>
      </c>
      <c r="B35">
        <v>1.4379999999999999</v>
      </c>
      <c r="C35">
        <v>1.159</v>
      </c>
      <c r="D35" t="s">
        <v>57</v>
      </c>
      <c r="E35">
        <v>0.02</v>
      </c>
      <c r="F35">
        <v>1.4999999999999999E-2</v>
      </c>
      <c r="G35">
        <v>5.0000000000000001E-3</v>
      </c>
      <c r="H35">
        <v>9.0999999999999998E-2</v>
      </c>
      <c r="I35">
        <v>-6.8000000000000005E-2</v>
      </c>
      <c r="J35">
        <v>-6.9000000000000006E-2</v>
      </c>
      <c r="K35">
        <v>7.6999999999999999E-2</v>
      </c>
      <c r="L35">
        <v>5.8000000000000003E-2</v>
      </c>
      <c r="M35">
        <v>1.4999999999999999E-2</v>
      </c>
      <c r="N35">
        <v>-2.1999999999999999E-2</v>
      </c>
      <c r="O35">
        <v>-8.1000000000000003E-2</v>
      </c>
      <c r="P35">
        <v>0.52</v>
      </c>
      <c r="Q35">
        <v>0.52200000000000002</v>
      </c>
      <c r="R35">
        <v>0.78300000000000003</v>
      </c>
      <c r="S35">
        <v>0.91100000000000003</v>
      </c>
      <c r="T35">
        <v>0.59499999999999997</v>
      </c>
      <c r="U35">
        <v>0.29599999999999999</v>
      </c>
      <c r="V35">
        <v>0.434</v>
      </c>
      <c r="W35">
        <v>0.38200000000000001</v>
      </c>
      <c r="X35">
        <v>8.9999999999999993E-3</v>
      </c>
      <c r="Y35">
        <v>3.0000000000000001E-3</v>
      </c>
      <c r="Z35">
        <v>-0.255</v>
      </c>
      <c r="AA35">
        <v>0.17799999999999999</v>
      </c>
      <c r="AB35">
        <v>-4.4999999999999998E-2</v>
      </c>
      <c r="AC35">
        <v>0.33500000000000002</v>
      </c>
      <c r="AD35">
        <v>1</v>
      </c>
      <c r="AE35">
        <v>-0.26500000000000001</v>
      </c>
      <c r="AF35">
        <v>0.17199999999999999</v>
      </c>
      <c r="AG35">
        <v>-5.0000000000000001E-3</v>
      </c>
      <c r="AH35">
        <v>0.76100000000000001</v>
      </c>
      <c r="AI35">
        <v>0.312</v>
      </c>
      <c r="AJ35">
        <v>0.21199999999999999</v>
      </c>
      <c r="AK35">
        <v>3.1E-2</v>
      </c>
      <c r="AL35">
        <v>6.8000000000000005E-2</v>
      </c>
      <c r="AM35">
        <v>-0.27600000000000002</v>
      </c>
      <c r="AN35">
        <v>-0.186</v>
      </c>
      <c r="AO35">
        <v>0.86599999999999999</v>
      </c>
      <c r="AP35">
        <v>0.49199999999999999</v>
      </c>
      <c r="AQ35">
        <v>-0.66700000000000004</v>
      </c>
      <c r="AR35">
        <v>-0.47399999999999998</v>
      </c>
      <c r="AS35">
        <v>-0.30499999999999999</v>
      </c>
      <c r="AT35">
        <v>-0.58699999999999997</v>
      </c>
      <c r="AU35">
        <v>1</v>
      </c>
      <c r="AV35">
        <v>1</v>
      </c>
      <c r="AW35">
        <v>0.43</v>
      </c>
      <c r="AX35">
        <v>0.33600000000000002</v>
      </c>
      <c r="AY35">
        <v>-3.3000000000000002E-2</v>
      </c>
      <c r="AZ35">
        <v>-0.74299999999999999</v>
      </c>
      <c r="BA35">
        <v>0.22500000000000001</v>
      </c>
      <c r="BE35" s="20"/>
      <c r="BF35" s="21"/>
      <c r="BG35" s="21"/>
      <c r="BH35" s="21"/>
      <c r="BL35" t="s">
        <v>259</v>
      </c>
      <c r="BM35" t="s">
        <v>294</v>
      </c>
      <c r="BN35" t="s">
        <v>281</v>
      </c>
    </row>
    <row r="36" spans="1:66" ht="15" thickBot="1" x14ac:dyDescent="0.35">
      <c r="A36" t="s">
        <v>142</v>
      </c>
      <c r="B36">
        <v>0.96699999999999997</v>
      </c>
      <c r="C36">
        <v>0.89700000000000002</v>
      </c>
      <c r="D36" t="s">
        <v>53</v>
      </c>
      <c r="E36">
        <v>1.7999999999999999E-2</v>
      </c>
      <c r="F36">
        <v>1.4999999999999999E-2</v>
      </c>
      <c r="G36">
        <v>3.0000000000000001E-3</v>
      </c>
      <c r="H36">
        <v>-9.5000000000000001E-2</v>
      </c>
      <c r="I36">
        <v>-0.27600000000000002</v>
      </c>
      <c r="J36">
        <v>-0.106</v>
      </c>
      <c r="K36">
        <v>-0.248</v>
      </c>
      <c r="L36">
        <v>-0.20799999999999999</v>
      </c>
      <c r="M36">
        <v>-8.0000000000000002E-3</v>
      </c>
      <c r="N36">
        <v>0.105</v>
      </c>
      <c r="O36">
        <v>-0.28999999999999998</v>
      </c>
      <c r="P36">
        <v>0.27700000000000002</v>
      </c>
      <c r="Q36">
        <v>0.28100000000000003</v>
      </c>
      <c r="R36">
        <v>0.65100000000000002</v>
      </c>
      <c r="S36">
        <v>0.49399999999999999</v>
      </c>
      <c r="T36">
        <v>0.45400000000000001</v>
      </c>
      <c r="U36">
        <v>0.36799999999999999</v>
      </c>
      <c r="V36">
        <v>-4.8000000000000001E-2</v>
      </c>
      <c r="W36">
        <v>-0.88500000000000001</v>
      </c>
      <c r="X36">
        <v>-0.59799999999999998</v>
      </c>
      <c r="Y36">
        <v>-0.92500000000000004</v>
      </c>
      <c r="Z36">
        <v>0.11899999999999999</v>
      </c>
      <c r="AA36">
        <v>-0.11799999999999999</v>
      </c>
      <c r="AB36">
        <v>-0.53900000000000003</v>
      </c>
      <c r="AC36">
        <v>-0.27500000000000002</v>
      </c>
      <c r="AD36">
        <v>0.36899999999999999</v>
      </c>
      <c r="AE36">
        <v>-0.623</v>
      </c>
      <c r="AF36">
        <v>-0.45800000000000002</v>
      </c>
      <c r="AG36">
        <v>0.42599999999999999</v>
      </c>
      <c r="AH36">
        <v>2.1000000000000001E-2</v>
      </c>
      <c r="AI36">
        <v>0.22800000000000001</v>
      </c>
      <c r="AJ36">
        <v>0.25</v>
      </c>
      <c r="AK36">
        <v>-0.28199999999999997</v>
      </c>
      <c r="AL36">
        <v>0.52800000000000002</v>
      </c>
      <c r="AM36">
        <v>0.60599999999999998</v>
      </c>
      <c r="AN36">
        <v>0.24</v>
      </c>
      <c r="AO36">
        <v>0.91200000000000003</v>
      </c>
      <c r="AP36">
        <v>0.55700000000000005</v>
      </c>
      <c r="AQ36">
        <v>0.58899999999999997</v>
      </c>
      <c r="AR36">
        <v>0.14799999999999999</v>
      </c>
      <c r="AS36">
        <v>1.6E-2</v>
      </c>
      <c r="AT36">
        <v>0.53100000000000003</v>
      </c>
      <c r="AU36">
        <v>0.03</v>
      </c>
      <c r="AV36">
        <v>-0.77300000000000002</v>
      </c>
      <c r="AW36">
        <v>0.67</v>
      </c>
      <c r="AX36">
        <v>-0.11899999999999999</v>
      </c>
      <c r="AY36">
        <v>-0.17699999999999999</v>
      </c>
      <c r="AZ36">
        <v>0.45500000000000002</v>
      </c>
      <c r="BA36">
        <v>4.5999999999999999E-2</v>
      </c>
      <c r="BE36" s="20"/>
      <c r="BF36" s="21"/>
      <c r="BG36" s="21"/>
      <c r="BH36" s="21"/>
      <c r="BL36" t="s">
        <v>89</v>
      </c>
      <c r="BM36" t="s">
        <v>303</v>
      </c>
      <c r="BN36" t="s">
        <v>279</v>
      </c>
    </row>
    <row r="37" spans="1:66" ht="15" thickBot="1" x14ac:dyDescent="0.35">
      <c r="A37" t="s">
        <v>103</v>
      </c>
      <c r="B37">
        <v>2.4740000000000002</v>
      </c>
      <c r="C37">
        <v>2.7559999999999998</v>
      </c>
      <c r="D37" t="s">
        <v>53</v>
      </c>
      <c r="E37">
        <v>1.7999999999999999E-2</v>
      </c>
      <c r="F37">
        <v>1.0999999999999999E-2</v>
      </c>
      <c r="G37">
        <v>7.0000000000000001E-3</v>
      </c>
      <c r="H37">
        <v>0.34100000000000003</v>
      </c>
      <c r="I37">
        <v>0.755</v>
      </c>
      <c r="J37">
        <v>4.2999999999999997E-2</v>
      </c>
      <c r="K37">
        <v>0.32600000000000001</v>
      </c>
      <c r="L37">
        <v>0.51600000000000001</v>
      </c>
      <c r="M37">
        <v>0.64200000000000002</v>
      </c>
      <c r="N37">
        <v>0.92100000000000004</v>
      </c>
      <c r="O37">
        <v>0.69899999999999995</v>
      </c>
      <c r="P37">
        <v>0.54300000000000004</v>
      </c>
      <c r="Q37">
        <v>0.54900000000000004</v>
      </c>
      <c r="R37">
        <v>0.69</v>
      </c>
      <c r="S37">
        <v>0.70199999999999996</v>
      </c>
      <c r="T37">
        <v>0.67900000000000005</v>
      </c>
      <c r="U37">
        <v>0.54900000000000004</v>
      </c>
      <c r="V37">
        <v>-0.60699999999999998</v>
      </c>
      <c r="W37">
        <v>-0.312</v>
      </c>
      <c r="X37">
        <v>-0.751</v>
      </c>
      <c r="Y37">
        <v>-0.03</v>
      </c>
      <c r="Z37">
        <v>0.378</v>
      </c>
      <c r="AA37">
        <v>-0.315</v>
      </c>
      <c r="AB37">
        <v>-4.4999999999999998E-2</v>
      </c>
      <c r="AC37">
        <v>-0.93</v>
      </c>
      <c r="AD37">
        <v>-0.34499999999999997</v>
      </c>
      <c r="AE37">
        <v>0.12</v>
      </c>
      <c r="AF37">
        <v>1</v>
      </c>
      <c r="AG37">
        <v>4.0000000000000001E-3</v>
      </c>
      <c r="AH37">
        <v>0.13400000000000001</v>
      </c>
      <c r="AI37">
        <v>-0.309</v>
      </c>
      <c r="AJ37">
        <v>0.96899999999999997</v>
      </c>
      <c r="AK37">
        <v>0.42599999999999999</v>
      </c>
      <c r="AL37">
        <v>1</v>
      </c>
      <c r="AM37">
        <v>0.76400000000000001</v>
      </c>
      <c r="AN37">
        <v>0.42699999999999999</v>
      </c>
      <c r="AO37">
        <v>0.745</v>
      </c>
      <c r="AP37">
        <v>0.64600000000000002</v>
      </c>
      <c r="AQ37">
        <v>0.94799999999999995</v>
      </c>
      <c r="AR37">
        <v>0.186</v>
      </c>
      <c r="AS37">
        <v>-0.13</v>
      </c>
      <c r="AT37">
        <v>0.31</v>
      </c>
      <c r="AU37">
        <v>-0.50600000000000001</v>
      </c>
      <c r="AV37">
        <v>-0.221</v>
      </c>
      <c r="AW37">
        <v>0.68700000000000006</v>
      </c>
      <c r="AX37">
        <v>-0.48399999999999999</v>
      </c>
      <c r="AY37">
        <v>-0.43099999999999999</v>
      </c>
      <c r="AZ37">
        <v>-2.8000000000000001E-2</v>
      </c>
      <c r="BA37">
        <v>-0.122</v>
      </c>
      <c r="BE37" s="20"/>
      <c r="BF37" s="21"/>
      <c r="BG37" s="21"/>
      <c r="BH37" s="21"/>
      <c r="BL37" t="s">
        <v>127</v>
      </c>
      <c r="BM37" t="s">
        <v>301</v>
      </c>
      <c r="BN37" t="s">
        <v>279</v>
      </c>
    </row>
    <row r="38" spans="1:66" ht="15" thickBot="1" x14ac:dyDescent="0.35">
      <c r="A38" t="s">
        <v>60</v>
      </c>
      <c r="B38">
        <v>3.2610000000000001</v>
      </c>
      <c r="C38">
        <v>2.5489999999999999</v>
      </c>
      <c r="D38" t="s">
        <v>57</v>
      </c>
      <c r="E38">
        <v>1.6E-2</v>
      </c>
      <c r="F38">
        <v>1.4999999999999999E-2</v>
      </c>
      <c r="G38">
        <v>1E-3</v>
      </c>
      <c r="H38">
        <v>1</v>
      </c>
      <c r="I38">
        <v>1</v>
      </c>
      <c r="J38">
        <v>1</v>
      </c>
      <c r="K38">
        <v>1</v>
      </c>
      <c r="L38">
        <v>1</v>
      </c>
      <c r="M38">
        <v>0.97499999999999998</v>
      </c>
      <c r="N38">
        <v>0.68799999999999994</v>
      </c>
      <c r="O38">
        <v>0.58599999999999997</v>
      </c>
      <c r="P38">
        <v>0.95499999999999996</v>
      </c>
      <c r="Q38">
        <v>0.95899999999999996</v>
      </c>
      <c r="R38">
        <v>0.80400000000000005</v>
      </c>
      <c r="S38">
        <v>0.85499999999999998</v>
      </c>
      <c r="T38">
        <v>0.96799999999999997</v>
      </c>
      <c r="U38">
        <v>1</v>
      </c>
      <c r="V38">
        <v>1</v>
      </c>
      <c r="W38">
        <v>0.65200000000000002</v>
      </c>
      <c r="X38">
        <v>0.03</v>
      </c>
      <c r="Y38">
        <v>0.26500000000000001</v>
      </c>
      <c r="Z38">
        <v>0.68100000000000005</v>
      </c>
      <c r="AA38">
        <v>0.45900000000000002</v>
      </c>
      <c r="AB38">
        <v>0.10100000000000001</v>
      </c>
      <c r="AC38">
        <v>-0.14799999999999999</v>
      </c>
      <c r="AD38">
        <v>0.505</v>
      </c>
      <c r="AE38">
        <v>0.28199999999999997</v>
      </c>
      <c r="AF38">
        <v>0.441</v>
      </c>
      <c r="AG38">
        <v>0.61199999999999999</v>
      </c>
      <c r="AH38">
        <v>0.999</v>
      </c>
      <c r="AI38">
        <v>0.66200000000000003</v>
      </c>
      <c r="AJ38">
        <v>0.65700000000000003</v>
      </c>
      <c r="AK38">
        <v>0.11799999999999999</v>
      </c>
      <c r="AL38">
        <v>0.78200000000000003</v>
      </c>
      <c r="AM38">
        <v>-0.56699999999999995</v>
      </c>
      <c r="AN38">
        <v>0.214</v>
      </c>
      <c r="AO38">
        <v>0.626</v>
      </c>
      <c r="AP38">
        <v>0.55300000000000005</v>
      </c>
      <c r="AQ38">
        <v>-0.497</v>
      </c>
      <c r="AR38">
        <v>0.17899999999999999</v>
      </c>
      <c r="AS38">
        <v>5.7000000000000002E-2</v>
      </c>
      <c r="AT38">
        <v>0.60899999999999999</v>
      </c>
      <c r="AU38">
        <v>-0.77300000000000002</v>
      </c>
      <c r="AV38">
        <v>-0.53700000000000003</v>
      </c>
      <c r="AW38">
        <v>0.24199999999999999</v>
      </c>
      <c r="AX38">
        <v>-0.52300000000000002</v>
      </c>
      <c r="AY38">
        <v>0.42799999999999999</v>
      </c>
      <c r="AZ38">
        <v>0.23499999999999999</v>
      </c>
      <c r="BA38">
        <v>0.13100000000000001</v>
      </c>
      <c r="BE38" s="20"/>
      <c r="BF38" s="21"/>
      <c r="BG38" s="21"/>
      <c r="BH38" s="21"/>
      <c r="BL38" t="s">
        <v>173</v>
      </c>
      <c r="BM38" t="s">
        <v>280</v>
      </c>
      <c r="BN38" t="s">
        <v>282</v>
      </c>
    </row>
    <row r="39" spans="1:66" ht="15" thickBot="1" x14ac:dyDescent="0.35">
      <c r="A39" t="s">
        <v>176</v>
      </c>
      <c r="B39">
        <v>0.76</v>
      </c>
      <c r="C39">
        <v>0.58899999999999997</v>
      </c>
      <c r="D39" t="s">
        <v>57</v>
      </c>
      <c r="E39">
        <v>1.4999999999999999E-2</v>
      </c>
      <c r="F39">
        <v>0.01</v>
      </c>
      <c r="G39">
        <v>5.0000000000000001E-3</v>
      </c>
      <c r="H39">
        <v>0.10100000000000001</v>
      </c>
      <c r="I39">
        <v>-0.25900000000000001</v>
      </c>
      <c r="J39">
        <v>-0.14699999999999999</v>
      </c>
      <c r="K39">
        <v>0.19700000000000001</v>
      </c>
      <c r="L39">
        <v>-0.113</v>
      </c>
      <c r="M39">
        <v>-0.14000000000000001</v>
      </c>
      <c r="N39">
        <v>-0.24399999999999999</v>
      </c>
      <c r="O39">
        <v>-0.60199999999999998</v>
      </c>
      <c r="P39">
        <v>4.5999999999999999E-2</v>
      </c>
      <c r="Q39">
        <v>5.1999999999999998E-2</v>
      </c>
      <c r="R39">
        <v>0.36099999999999999</v>
      </c>
      <c r="S39">
        <v>0.25700000000000001</v>
      </c>
      <c r="T39">
        <v>0.34699999999999998</v>
      </c>
      <c r="U39">
        <v>1</v>
      </c>
      <c r="V39">
        <v>0.55100000000000005</v>
      </c>
      <c r="W39">
        <v>-0.29499999999999998</v>
      </c>
      <c r="X39">
        <v>-0.2</v>
      </c>
      <c r="Y39">
        <v>-0.28299999999999997</v>
      </c>
      <c r="Z39">
        <v>0.84099999999999997</v>
      </c>
      <c r="AA39">
        <v>0.48699999999999999</v>
      </c>
      <c r="AB39">
        <v>-0.73299999999999998</v>
      </c>
      <c r="AC39">
        <v>-0.26700000000000002</v>
      </c>
      <c r="AD39">
        <v>0.254</v>
      </c>
      <c r="AE39">
        <v>-0.71099999999999997</v>
      </c>
      <c r="AF39">
        <v>0.46700000000000003</v>
      </c>
      <c r="AG39">
        <v>0.74399999999999999</v>
      </c>
      <c r="AH39">
        <v>0.187</v>
      </c>
      <c r="AI39">
        <v>-0.26100000000000001</v>
      </c>
      <c r="AJ39">
        <v>0.53</v>
      </c>
      <c r="AK39">
        <v>3.5999999999999997E-2</v>
      </c>
      <c r="AL39">
        <v>0.91200000000000003</v>
      </c>
      <c r="AM39">
        <v>-0.54500000000000004</v>
      </c>
      <c r="AN39">
        <v>0.126</v>
      </c>
      <c r="AO39">
        <v>0.72699999999999998</v>
      </c>
      <c r="AP39">
        <v>6.5000000000000002E-2</v>
      </c>
      <c r="AQ39">
        <v>-0.254</v>
      </c>
      <c r="AR39">
        <v>-0.104</v>
      </c>
      <c r="AS39">
        <v>-8.5000000000000006E-2</v>
      </c>
      <c r="AT39">
        <v>0.59</v>
      </c>
      <c r="AU39">
        <v>-0.45200000000000001</v>
      </c>
      <c r="AV39">
        <v>-0.34499999999999997</v>
      </c>
      <c r="AW39">
        <v>0.223</v>
      </c>
      <c r="AX39">
        <v>-0.67100000000000004</v>
      </c>
      <c r="AY39">
        <v>0.36099999999999999</v>
      </c>
      <c r="AZ39">
        <v>-0.92</v>
      </c>
      <c r="BA39">
        <v>0.34100000000000003</v>
      </c>
      <c r="BE39" s="20"/>
      <c r="BF39" s="21"/>
      <c r="BG39" s="21"/>
      <c r="BH39" s="21"/>
      <c r="BL39" t="s">
        <v>241</v>
      </c>
      <c r="BM39" t="s">
        <v>285</v>
      </c>
      <c r="BN39" t="s">
        <v>282</v>
      </c>
    </row>
    <row r="40" spans="1:66" ht="15" thickBot="1" x14ac:dyDescent="0.35">
      <c r="A40" t="s">
        <v>105</v>
      </c>
      <c r="B40">
        <v>0.82699999999999996</v>
      </c>
      <c r="C40">
        <v>0.61799999999999999</v>
      </c>
      <c r="D40" t="s">
        <v>57</v>
      </c>
      <c r="E40">
        <v>1.4E-2</v>
      </c>
      <c r="F40">
        <v>1.4E-2</v>
      </c>
      <c r="G40">
        <v>1E-3</v>
      </c>
      <c r="H40">
        <v>-0.17499999999999999</v>
      </c>
      <c r="I40">
        <v>-0.378</v>
      </c>
      <c r="J40">
        <v>-0.28999999999999998</v>
      </c>
      <c r="K40">
        <v>-0.17100000000000001</v>
      </c>
      <c r="L40">
        <v>-0.29399999999999998</v>
      </c>
      <c r="M40">
        <v>-0.61</v>
      </c>
      <c r="N40">
        <v>-0.69</v>
      </c>
      <c r="O40">
        <v>-0.27600000000000002</v>
      </c>
      <c r="P40">
        <v>0.378</v>
      </c>
      <c r="Q40">
        <v>0.379</v>
      </c>
      <c r="R40">
        <v>0.73399999999999999</v>
      </c>
      <c r="S40">
        <v>0.88800000000000001</v>
      </c>
      <c r="T40">
        <v>0.58199999999999996</v>
      </c>
      <c r="U40">
        <v>-0.19</v>
      </c>
      <c r="V40">
        <v>-0.25800000000000001</v>
      </c>
      <c r="W40">
        <v>0.73599999999999999</v>
      </c>
      <c r="X40">
        <v>0.63700000000000001</v>
      </c>
      <c r="Y40">
        <v>0.74199999999999999</v>
      </c>
      <c r="Z40">
        <v>-0.745</v>
      </c>
      <c r="AA40">
        <v>0.50700000000000001</v>
      </c>
      <c r="AB40">
        <v>0.53200000000000003</v>
      </c>
      <c r="AC40">
        <v>-0.17199999999999999</v>
      </c>
      <c r="AD40">
        <v>0.156</v>
      </c>
      <c r="AE40">
        <v>0.54900000000000004</v>
      </c>
      <c r="AF40">
        <v>0.42799999999999999</v>
      </c>
      <c r="AG40">
        <v>-0.29699999999999999</v>
      </c>
      <c r="AH40">
        <v>-0.248</v>
      </c>
      <c r="AI40">
        <v>-0.65900000000000003</v>
      </c>
      <c r="AJ40">
        <v>0.23400000000000001</v>
      </c>
      <c r="AK40">
        <v>-0.32</v>
      </c>
      <c r="AL40">
        <v>-0.38200000000000001</v>
      </c>
      <c r="AM40">
        <v>-0.49199999999999999</v>
      </c>
      <c r="AN40">
        <v>-0.56299999999999994</v>
      </c>
      <c r="AO40">
        <v>0.501</v>
      </c>
      <c r="AP40">
        <v>-0.442</v>
      </c>
      <c r="AQ40">
        <v>1.6E-2</v>
      </c>
      <c r="AR40">
        <v>0.14699999999999999</v>
      </c>
      <c r="AS40">
        <v>0</v>
      </c>
      <c r="AT40">
        <v>0.38300000000000001</v>
      </c>
      <c r="AU40">
        <v>-1</v>
      </c>
      <c r="AV40">
        <v>-0.84799999999999998</v>
      </c>
      <c r="AW40">
        <v>-0.751</v>
      </c>
      <c r="AX40">
        <v>-0.35799999999999998</v>
      </c>
      <c r="AY40">
        <v>0.98799999999999999</v>
      </c>
      <c r="AZ40">
        <v>0.39900000000000002</v>
      </c>
      <c r="BA40">
        <v>0.56599999999999995</v>
      </c>
      <c r="BE40" s="20"/>
      <c r="BF40" s="21"/>
      <c r="BG40" s="21"/>
      <c r="BH40" s="21"/>
      <c r="BL40" t="s">
        <v>123</v>
      </c>
      <c r="BM40" t="s">
        <v>302</v>
      </c>
      <c r="BN40" t="s">
        <v>279</v>
      </c>
    </row>
    <row r="41" spans="1:66" ht="15" thickBot="1" x14ac:dyDescent="0.35">
      <c r="A41" t="s">
        <v>192</v>
      </c>
      <c r="B41">
        <v>0.64900000000000002</v>
      </c>
      <c r="C41">
        <v>1.1759999999999999</v>
      </c>
      <c r="D41" t="s">
        <v>57</v>
      </c>
      <c r="E41">
        <v>0</v>
      </c>
      <c r="F41">
        <v>-2.5999999999999999E-2</v>
      </c>
      <c r="G41">
        <v>2.5999999999999999E-2</v>
      </c>
      <c r="H41">
        <v>-0.77</v>
      </c>
      <c r="I41">
        <v>-0.45300000000000001</v>
      </c>
      <c r="J41">
        <v>-0.91900000000000004</v>
      </c>
      <c r="K41">
        <v>-0.65100000000000002</v>
      </c>
      <c r="L41">
        <v>-0.66200000000000003</v>
      </c>
      <c r="M41">
        <v>-0.56499999999999995</v>
      </c>
      <c r="N41">
        <v>-0.33700000000000002</v>
      </c>
      <c r="O41">
        <v>-0.42599999999999999</v>
      </c>
      <c r="P41">
        <v>0.74399999999999999</v>
      </c>
      <c r="Q41">
        <v>0.75</v>
      </c>
      <c r="R41">
        <v>0.73199999999999998</v>
      </c>
      <c r="S41">
        <v>0.76900000000000002</v>
      </c>
      <c r="T41">
        <v>0.56499999999999995</v>
      </c>
      <c r="U41">
        <v>-0.73799999999999999</v>
      </c>
      <c r="V41">
        <v>-0.20300000000000001</v>
      </c>
      <c r="W41">
        <v>0.34200000000000003</v>
      </c>
      <c r="X41">
        <v>-0.91200000000000003</v>
      </c>
      <c r="Y41">
        <v>-0.95399999999999996</v>
      </c>
      <c r="Z41">
        <v>-1</v>
      </c>
      <c r="AA41">
        <v>2.1000000000000001E-2</v>
      </c>
      <c r="AB41">
        <v>-3.5000000000000003E-2</v>
      </c>
      <c r="AC41">
        <v>0.375</v>
      </c>
      <c r="AD41">
        <v>-0.46800000000000003</v>
      </c>
      <c r="AE41">
        <v>2.1000000000000001E-2</v>
      </c>
      <c r="AF41">
        <v>0.47499999999999998</v>
      </c>
      <c r="AG41">
        <v>2.9000000000000001E-2</v>
      </c>
      <c r="AH41">
        <v>0.15</v>
      </c>
      <c r="AI41">
        <v>0.23899999999999999</v>
      </c>
      <c r="AJ41">
        <v>-5.5E-2</v>
      </c>
      <c r="AK41">
        <v>-7.1999999999999995E-2</v>
      </c>
      <c r="AL41">
        <v>-0.626</v>
      </c>
      <c r="AM41">
        <v>0.30299999999999999</v>
      </c>
      <c r="AN41">
        <v>-0.50600000000000001</v>
      </c>
      <c r="AO41">
        <v>0.81</v>
      </c>
      <c r="AP41">
        <v>-0.39100000000000001</v>
      </c>
      <c r="AQ41">
        <v>-0.31900000000000001</v>
      </c>
      <c r="AR41">
        <v>8.0000000000000002E-3</v>
      </c>
      <c r="AS41">
        <v>-6.0999999999999999E-2</v>
      </c>
      <c r="AT41">
        <v>5.6000000000000001E-2</v>
      </c>
      <c r="AU41">
        <v>0.317</v>
      </c>
      <c r="AV41">
        <v>-4.0000000000000001E-3</v>
      </c>
      <c r="AW41">
        <v>0.68799999999999994</v>
      </c>
      <c r="AX41">
        <v>-0.48199999999999998</v>
      </c>
      <c r="AY41">
        <v>0.19900000000000001</v>
      </c>
      <c r="AZ41">
        <v>-0.35199999999999998</v>
      </c>
      <c r="BA41">
        <v>-0.626</v>
      </c>
      <c r="BE41" s="20"/>
      <c r="BF41" s="21"/>
      <c r="BG41" s="21"/>
      <c r="BH41" s="21"/>
      <c r="BL41" t="s">
        <v>102</v>
      </c>
      <c r="BM41" t="s">
        <v>297</v>
      </c>
      <c r="BN41" t="s">
        <v>281</v>
      </c>
    </row>
    <row r="42" spans="1:66" ht="15" thickBot="1" x14ac:dyDescent="0.35">
      <c r="A42" t="s">
        <v>72</v>
      </c>
      <c r="B42">
        <v>2.6120000000000001</v>
      </c>
      <c r="C42">
        <v>2.165</v>
      </c>
      <c r="D42" t="s">
        <v>57</v>
      </c>
      <c r="E42">
        <v>0</v>
      </c>
      <c r="F42">
        <v>0</v>
      </c>
      <c r="G42">
        <v>0</v>
      </c>
      <c r="H42">
        <v>0.76900000000000002</v>
      </c>
      <c r="I42">
        <v>0.503</v>
      </c>
      <c r="J42">
        <v>0.53900000000000003</v>
      </c>
      <c r="K42">
        <v>0.85399999999999998</v>
      </c>
      <c r="L42">
        <v>0.76500000000000001</v>
      </c>
      <c r="M42">
        <v>0.622</v>
      </c>
      <c r="N42">
        <v>0.52100000000000002</v>
      </c>
      <c r="O42">
        <v>0.39200000000000002</v>
      </c>
      <c r="P42">
        <v>0.46</v>
      </c>
      <c r="Q42">
        <v>0.46200000000000002</v>
      </c>
      <c r="R42">
        <v>0.84599999999999997</v>
      </c>
      <c r="S42">
        <v>0.81799999999999995</v>
      </c>
      <c r="T42">
        <v>0.79400000000000004</v>
      </c>
      <c r="U42">
        <v>1</v>
      </c>
      <c r="V42">
        <v>0.94699999999999995</v>
      </c>
      <c r="W42">
        <v>-0.19900000000000001</v>
      </c>
      <c r="X42">
        <v>-0.51800000000000002</v>
      </c>
      <c r="Y42">
        <v>-0.122</v>
      </c>
      <c r="Z42">
        <v>0.311</v>
      </c>
      <c r="AA42">
        <v>-0.40600000000000003</v>
      </c>
      <c r="AB42">
        <v>-8.3000000000000004E-2</v>
      </c>
      <c r="AC42">
        <v>-0.77100000000000002</v>
      </c>
      <c r="AD42">
        <v>0.57499999999999996</v>
      </c>
      <c r="AE42">
        <v>0.373</v>
      </c>
      <c r="AF42">
        <v>-0.36599999999999999</v>
      </c>
      <c r="AG42">
        <v>0.71399999999999997</v>
      </c>
      <c r="AH42">
        <v>1</v>
      </c>
      <c r="AI42">
        <v>0.997</v>
      </c>
      <c r="AJ42">
        <v>0.32500000000000001</v>
      </c>
      <c r="AK42">
        <v>-5.6000000000000001E-2</v>
      </c>
      <c r="AL42">
        <v>0.77800000000000002</v>
      </c>
      <c r="AM42">
        <v>1.4999999999999999E-2</v>
      </c>
      <c r="AN42">
        <v>-5.1999999999999998E-2</v>
      </c>
      <c r="AO42">
        <v>0.26100000000000001</v>
      </c>
      <c r="AP42">
        <v>0.36199999999999999</v>
      </c>
      <c r="AQ42">
        <v>0.47099999999999997</v>
      </c>
      <c r="AR42">
        <v>0.45700000000000002</v>
      </c>
      <c r="AS42">
        <v>-0.16</v>
      </c>
      <c r="AT42">
        <v>0.70299999999999996</v>
      </c>
      <c r="AU42">
        <v>6.2E-2</v>
      </c>
      <c r="AV42">
        <v>-0.29699999999999999</v>
      </c>
      <c r="AW42">
        <v>0.377</v>
      </c>
      <c r="AX42">
        <v>-0.188</v>
      </c>
      <c r="AY42">
        <v>9.2999999999999999E-2</v>
      </c>
      <c r="AZ42">
        <v>0.20100000000000001</v>
      </c>
      <c r="BA42">
        <v>-0.21099999999999999</v>
      </c>
      <c r="BE42" s="20"/>
      <c r="BF42" s="21"/>
      <c r="BG42" s="21"/>
      <c r="BH42" s="21"/>
      <c r="BL42" t="s">
        <v>144</v>
      </c>
      <c r="BM42" t="s">
        <v>280</v>
      </c>
      <c r="BN42" t="s">
        <v>282</v>
      </c>
    </row>
    <row r="43" spans="1:66" ht="15" thickBot="1" x14ac:dyDescent="0.35">
      <c r="A43" t="s">
        <v>98</v>
      </c>
      <c r="B43">
        <v>0.65400000000000003</v>
      </c>
      <c r="C43">
        <v>0.6</v>
      </c>
      <c r="D43" t="s">
        <v>68</v>
      </c>
      <c r="E43">
        <v>0</v>
      </c>
      <c r="F43">
        <v>0</v>
      </c>
      <c r="G43">
        <v>0</v>
      </c>
      <c r="H43">
        <v>-0.85299999999999998</v>
      </c>
      <c r="I43">
        <v>-0.57499999999999996</v>
      </c>
      <c r="J43">
        <v>-0.80600000000000005</v>
      </c>
      <c r="K43">
        <v>-0.79</v>
      </c>
      <c r="L43">
        <v>-0.64400000000000002</v>
      </c>
      <c r="M43">
        <v>-0.61</v>
      </c>
      <c r="N43">
        <v>-0.32200000000000001</v>
      </c>
      <c r="O43">
        <v>8.7999999999999995E-2</v>
      </c>
      <c r="P43">
        <v>0.56200000000000006</v>
      </c>
      <c r="Q43">
        <v>0.56200000000000006</v>
      </c>
      <c r="R43">
        <v>0.46700000000000003</v>
      </c>
      <c r="S43">
        <v>0.42199999999999999</v>
      </c>
      <c r="T43">
        <v>0.36599999999999999</v>
      </c>
      <c r="U43">
        <v>-0.58799999999999997</v>
      </c>
      <c r="V43">
        <v>-0.81299999999999994</v>
      </c>
      <c r="W43">
        <v>-0.72199999999999998</v>
      </c>
      <c r="X43">
        <v>-0.43099999999999999</v>
      </c>
      <c r="Y43">
        <v>-0.51500000000000001</v>
      </c>
      <c r="Z43">
        <v>-0.82699999999999996</v>
      </c>
      <c r="AA43">
        <v>-0.108</v>
      </c>
      <c r="AB43">
        <v>0.72</v>
      </c>
      <c r="AC43">
        <v>-0.60699999999999998</v>
      </c>
      <c r="AD43">
        <v>-0.217</v>
      </c>
      <c r="AE43">
        <v>-0.214</v>
      </c>
      <c r="AF43">
        <v>0.185</v>
      </c>
      <c r="AG43">
        <v>-0.51600000000000001</v>
      </c>
      <c r="AH43">
        <v>-0.309</v>
      </c>
      <c r="AI43">
        <v>-0.23400000000000001</v>
      </c>
      <c r="AJ43">
        <v>0.27400000000000002</v>
      </c>
      <c r="AK43">
        <v>-0.14799999999999999</v>
      </c>
      <c r="AL43">
        <v>-0.39700000000000002</v>
      </c>
      <c r="AM43">
        <v>0.48099999999999998</v>
      </c>
      <c r="AN43">
        <v>-0.20499999999999999</v>
      </c>
      <c r="AO43">
        <v>0.755</v>
      </c>
      <c r="AP43">
        <v>0.57399999999999995</v>
      </c>
      <c r="AQ43">
        <v>-1</v>
      </c>
      <c r="AR43">
        <v>-1.9E-2</v>
      </c>
      <c r="AS43">
        <v>-0.46700000000000003</v>
      </c>
      <c r="AT43">
        <v>-0.26400000000000001</v>
      </c>
      <c r="AU43">
        <v>0.69</v>
      </c>
      <c r="AV43">
        <v>0.92100000000000004</v>
      </c>
      <c r="AW43">
        <v>0.57499999999999996</v>
      </c>
      <c r="AX43">
        <v>-0.41099999999999998</v>
      </c>
      <c r="AY43">
        <v>0.02</v>
      </c>
      <c r="AZ43">
        <v>0.34100000000000003</v>
      </c>
      <c r="BA43">
        <v>-0.13900000000000001</v>
      </c>
      <c r="BE43" s="20"/>
      <c r="BF43" s="21"/>
      <c r="BG43" s="21"/>
      <c r="BH43" s="21"/>
      <c r="BL43" t="s">
        <v>153</v>
      </c>
      <c r="BM43" t="s">
        <v>278</v>
      </c>
      <c r="BN43" t="s">
        <v>279</v>
      </c>
    </row>
    <row r="44" spans="1:66" ht="15" thickBot="1" x14ac:dyDescent="0.35">
      <c r="A44" t="s">
        <v>63</v>
      </c>
      <c r="B44">
        <v>2.2240000000000002</v>
      </c>
      <c r="C44">
        <v>2.4319999999999999</v>
      </c>
      <c r="D44" t="s">
        <v>57</v>
      </c>
      <c r="E44">
        <v>0</v>
      </c>
      <c r="F44">
        <v>0</v>
      </c>
      <c r="G44">
        <v>0</v>
      </c>
      <c r="H44">
        <v>-0.10100000000000001</v>
      </c>
      <c r="I44">
        <v>0.22900000000000001</v>
      </c>
      <c r="J44">
        <v>3.7999999999999999E-2</v>
      </c>
      <c r="K44">
        <v>0.215</v>
      </c>
      <c r="L44">
        <v>0.45400000000000001</v>
      </c>
      <c r="M44">
        <v>0.48699999999999999</v>
      </c>
      <c r="N44">
        <v>0.82299999999999995</v>
      </c>
      <c r="O44">
        <v>1</v>
      </c>
      <c r="P44">
        <v>0.61299999999999999</v>
      </c>
      <c r="Q44">
        <v>0.61899999999999999</v>
      </c>
      <c r="R44">
        <v>0.748</v>
      </c>
      <c r="S44">
        <v>0.64300000000000002</v>
      </c>
      <c r="T44">
        <v>0.47399999999999998</v>
      </c>
      <c r="U44">
        <v>0.75800000000000001</v>
      </c>
      <c r="V44">
        <v>0.219</v>
      </c>
      <c r="W44">
        <v>-0.64200000000000002</v>
      </c>
      <c r="X44">
        <v>-0.23599999999999999</v>
      </c>
      <c r="Y44">
        <v>-0.57499999999999996</v>
      </c>
      <c r="Z44">
        <v>0.38100000000000001</v>
      </c>
      <c r="AA44">
        <v>-0.27300000000000002</v>
      </c>
      <c r="AB44">
        <v>1</v>
      </c>
      <c r="AC44">
        <v>-0.745</v>
      </c>
      <c r="AD44">
        <v>0.55200000000000005</v>
      </c>
      <c r="AE44">
        <v>-0.27500000000000002</v>
      </c>
      <c r="AF44">
        <v>-0.51400000000000001</v>
      </c>
      <c r="AG44">
        <v>0.28799999999999998</v>
      </c>
      <c r="AH44">
        <v>-5.7000000000000002E-2</v>
      </c>
      <c r="AI44">
        <v>-0.39700000000000002</v>
      </c>
      <c r="AJ44">
        <v>0.83099999999999996</v>
      </c>
      <c r="AK44">
        <v>0.13800000000000001</v>
      </c>
      <c r="AL44">
        <v>0.36599999999999999</v>
      </c>
      <c r="AM44">
        <v>0.373</v>
      </c>
      <c r="AN44">
        <v>-5.8000000000000003E-2</v>
      </c>
      <c r="AO44">
        <v>0.72399999999999998</v>
      </c>
      <c r="AP44">
        <v>1</v>
      </c>
      <c r="AQ44">
        <v>7.2999999999999995E-2</v>
      </c>
      <c r="AR44">
        <v>-0.70899999999999996</v>
      </c>
      <c r="AS44">
        <v>-0.76700000000000002</v>
      </c>
      <c r="AT44">
        <v>-0.52500000000000002</v>
      </c>
      <c r="AU44">
        <v>0.109</v>
      </c>
      <c r="AV44">
        <v>-5.6000000000000001E-2</v>
      </c>
      <c r="AW44">
        <v>0.79700000000000004</v>
      </c>
      <c r="AX44">
        <v>-0.746</v>
      </c>
      <c r="AY44">
        <v>-0.25</v>
      </c>
      <c r="AZ44">
        <v>0.17100000000000001</v>
      </c>
      <c r="BA44">
        <v>8.8999999999999996E-2</v>
      </c>
      <c r="BE44" s="20"/>
      <c r="BF44" s="21"/>
      <c r="BG44" s="21"/>
      <c r="BH44" s="21"/>
      <c r="BL44" t="s">
        <v>64</v>
      </c>
      <c r="BM44" t="s">
        <v>280</v>
      </c>
      <c r="BN44" t="s">
        <v>281</v>
      </c>
    </row>
    <row r="45" spans="1:66" ht="15" thickBot="1" x14ac:dyDescent="0.35">
      <c r="A45" t="s">
        <v>164</v>
      </c>
      <c r="B45">
        <v>0.63600000000000001</v>
      </c>
      <c r="C45">
        <v>0.72499999999999998</v>
      </c>
      <c r="D45" t="s">
        <v>68</v>
      </c>
      <c r="E45">
        <v>0</v>
      </c>
      <c r="F45">
        <v>-2E-3</v>
      </c>
      <c r="G45">
        <v>2E-3</v>
      </c>
      <c r="H45">
        <v>-0.55800000000000005</v>
      </c>
      <c r="I45">
        <v>-0.51400000000000001</v>
      </c>
      <c r="J45">
        <v>-0.38800000000000001</v>
      </c>
      <c r="K45">
        <v>-0.70599999999999996</v>
      </c>
      <c r="L45">
        <v>-0.57299999999999995</v>
      </c>
      <c r="M45">
        <v>-0.57999999999999996</v>
      </c>
      <c r="N45">
        <v>-0.55000000000000004</v>
      </c>
      <c r="O45">
        <v>-0.52800000000000002</v>
      </c>
      <c r="P45">
        <v>0.61399999999999999</v>
      </c>
      <c r="Q45">
        <v>0.61599999999999999</v>
      </c>
      <c r="R45">
        <v>0.48599999999999999</v>
      </c>
      <c r="S45">
        <v>0.58499999999999996</v>
      </c>
      <c r="T45">
        <v>0.496</v>
      </c>
      <c r="U45">
        <v>-0.28199999999999997</v>
      </c>
      <c r="V45">
        <v>-0.52600000000000002</v>
      </c>
      <c r="W45">
        <v>-0.33800000000000002</v>
      </c>
      <c r="X45">
        <v>0.36099999999999999</v>
      </c>
      <c r="Y45">
        <v>-0.45200000000000001</v>
      </c>
      <c r="Z45">
        <v>-0.55800000000000005</v>
      </c>
      <c r="AA45">
        <v>7.2999999999999995E-2</v>
      </c>
      <c r="AB45">
        <v>-0.45900000000000002</v>
      </c>
      <c r="AC45">
        <v>0.74</v>
      </c>
      <c r="AD45">
        <v>-0.30499999999999999</v>
      </c>
      <c r="AE45">
        <v>-0.54300000000000004</v>
      </c>
      <c r="AF45">
        <v>-0.16900000000000001</v>
      </c>
      <c r="AG45">
        <v>-0.15</v>
      </c>
      <c r="AH45">
        <v>-0.307</v>
      </c>
      <c r="AI45">
        <v>-0.252</v>
      </c>
      <c r="AJ45">
        <v>9.8000000000000004E-2</v>
      </c>
      <c r="AK45">
        <v>-0.45</v>
      </c>
      <c r="AL45">
        <v>-0.23400000000000001</v>
      </c>
      <c r="AM45">
        <v>0.54900000000000004</v>
      </c>
      <c r="AN45">
        <v>-0.26100000000000001</v>
      </c>
      <c r="AO45">
        <v>0.9</v>
      </c>
      <c r="AP45">
        <v>0.77</v>
      </c>
      <c r="AQ45">
        <v>-0.16800000000000001</v>
      </c>
      <c r="AR45">
        <v>0.24199999999999999</v>
      </c>
      <c r="AS45">
        <v>-8.2000000000000003E-2</v>
      </c>
      <c r="AT45">
        <v>0.28499999999999998</v>
      </c>
      <c r="AU45">
        <v>-0.14499999999999999</v>
      </c>
      <c r="AV45">
        <v>-0.16900000000000001</v>
      </c>
      <c r="AW45">
        <v>0.55400000000000005</v>
      </c>
      <c r="AX45">
        <v>-7.6999999999999999E-2</v>
      </c>
      <c r="AY45">
        <v>0.183</v>
      </c>
      <c r="AZ45">
        <v>4.0000000000000001E-3</v>
      </c>
      <c r="BA45">
        <v>0.35</v>
      </c>
      <c r="BE45" s="20"/>
      <c r="BF45" s="21"/>
      <c r="BG45" s="21"/>
      <c r="BH45" s="21"/>
      <c r="BL45" t="s">
        <v>56</v>
      </c>
      <c r="BM45" t="s">
        <v>280</v>
      </c>
      <c r="BN45" t="s">
        <v>282</v>
      </c>
    </row>
    <row r="46" spans="1:66" ht="15" thickBot="1" x14ac:dyDescent="0.35">
      <c r="A46" t="s">
        <v>264</v>
      </c>
      <c r="B46">
        <v>0.47</v>
      </c>
      <c r="C46">
        <v>0.33</v>
      </c>
      <c r="D46" t="s">
        <v>68</v>
      </c>
      <c r="E46">
        <v>0</v>
      </c>
      <c r="F46">
        <v>0</v>
      </c>
      <c r="G46">
        <v>0</v>
      </c>
      <c r="H46">
        <v>-0.94599999999999995</v>
      </c>
      <c r="I46">
        <v>-1</v>
      </c>
      <c r="J46">
        <v>-0.81399999999999995</v>
      </c>
      <c r="K46">
        <v>-0.97399999999999998</v>
      </c>
      <c r="L46">
        <v>-0.97699999999999998</v>
      </c>
      <c r="M46">
        <v>-0.997</v>
      </c>
      <c r="N46">
        <v>-0.99399999999999999</v>
      </c>
      <c r="O46">
        <v>-1</v>
      </c>
      <c r="P46">
        <v>-1</v>
      </c>
      <c r="Q46">
        <v>-1</v>
      </c>
      <c r="R46">
        <v>-0.39400000000000002</v>
      </c>
      <c r="S46">
        <v>-0.35</v>
      </c>
      <c r="T46">
        <v>-1</v>
      </c>
      <c r="U46">
        <v>-0.9</v>
      </c>
      <c r="V46">
        <v>-0.438</v>
      </c>
      <c r="W46">
        <v>-1</v>
      </c>
      <c r="X46">
        <v>-0.36399999999999999</v>
      </c>
      <c r="Y46">
        <v>-0.46</v>
      </c>
      <c r="Z46">
        <v>-8.8999999999999996E-2</v>
      </c>
      <c r="AA46">
        <v>-1</v>
      </c>
      <c r="AB46">
        <v>-1</v>
      </c>
      <c r="AC46">
        <v>0.216</v>
      </c>
      <c r="AD46">
        <v>-0.47</v>
      </c>
      <c r="AE46">
        <v>-0.93200000000000005</v>
      </c>
      <c r="AF46">
        <v>-1</v>
      </c>
      <c r="AG46">
        <v>0.51300000000000001</v>
      </c>
      <c r="AH46">
        <v>0.77500000000000002</v>
      </c>
      <c r="AI46">
        <v>0.498</v>
      </c>
      <c r="AJ46">
        <v>-0.81399999999999995</v>
      </c>
      <c r="AK46">
        <v>-0.70599999999999996</v>
      </c>
      <c r="AL46">
        <v>-0.26700000000000002</v>
      </c>
      <c r="AM46">
        <v>-0.55700000000000005</v>
      </c>
      <c r="AN46">
        <v>-0.88900000000000001</v>
      </c>
      <c r="AO46">
        <v>-1</v>
      </c>
      <c r="AP46">
        <v>-0.27100000000000002</v>
      </c>
      <c r="AQ46">
        <v>0.752</v>
      </c>
      <c r="AR46">
        <v>0.104</v>
      </c>
      <c r="AS46">
        <v>0.14699999999999999</v>
      </c>
      <c r="AT46">
        <v>-0.95599999999999996</v>
      </c>
      <c r="AU46">
        <v>1</v>
      </c>
      <c r="AV46">
        <v>0.872</v>
      </c>
      <c r="AW46">
        <v>-0.67700000000000005</v>
      </c>
      <c r="AX46">
        <v>1</v>
      </c>
      <c r="AY46">
        <v>9.2999999999999999E-2</v>
      </c>
      <c r="AZ46">
        <v>0.216</v>
      </c>
      <c r="BA46">
        <v>0.89800000000000002</v>
      </c>
      <c r="BE46" s="20"/>
      <c r="BF46" s="21"/>
      <c r="BG46" s="21"/>
      <c r="BH46" s="21"/>
      <c r="BL46" t="s">
        <v>62</v>
      </c>
      <c r="BM46" t="s">
        <v>280</v>
      </c>
      <c r="BN46" t="s">
        <v>283</v>
      </c>
    </row>
    <row r="47" spans="1:66" ht="15" thickBot="1" x14ac:dyDescent="0.35">
      <c r="A47" t="s">
        <v>73</v>
      </c>
      <c r="B47">
        <v>3.0529999999999999</v>
      </c>
      <c r="C47">
        <v>3.218</v>
      </c>
      <c r="D47" t="s">
        <v>57</v>
      </c>
      <c r="E47">
        <v>0</v>
      </c>
      <c r="F47">
        <v>0</v>
      </c>
      <c r="G47">
        <v>0</v>
      </c>
      <c r="H47">
        <v>0.72199999999999998</v>
      </c>
      <c r="I47">
        <v>0.82199999999999995</v>
      </c>
      <c r="J47">
        <v>0.38300000000000001</v>
      </c>
      <c r="K47">
        <v>0.77</v>
      </c>
      <c r="L47">
        <v>0.83499999999999996</v>
      </c>
      <c r="M47">
        <v>0.66200000000000003</v>
      </c>
      <c r="N47">
        <v>0.56899999999999995</v>
      </c>
      <c r="O47">
        <v>0.68200000000000005</v>
      </c>
      <c r="P47">
        <v>1</v>
      </c>
      <c r="Q47">
        <v>1</v>
      </c>
      <c r="R47">
        <v>0.95699999999999996</v>
      </c>
      <c r="S47">
        <v>0.98499999999999999</v>
      </c>
      <c r="T47">
        <v>1</v>
      </c>
      <c r="U47">
        <v>2E-3</v>
      </c>
      <c r="V47">
        <v>0.92</v>
      </c>
      <c r="W47">
        <v>1</v>
      </c>
      <c r="X47">
        <v>-9.1999999999999998E-2</v>
      </c>
      <c r="Y47">
        <v>0.3</v>
      </c>
      <c r="Z47">
        <v>-0.51600000000000001</v>
      </c>
      <c r="AA47">
        <v>6.7000000000000004E-2</v>
      </c>
      <c r="AB47">
        <v>0.28399999999999997</v>
      </c>
      <c r="AC47">
        <v>0.45600000000000002</v>
      </c>
      <c r="AD47">
        <v>0.40100000000000002</v>
      </c>
      <c r="AE47">
        <v>0.626</v>
      </c>
      <c r="AF47">
        <v>0.129</v>
      </c>
      <c r="AG47">
        <v>0.23899999999999999</v>
      </c>
      <c r="AH47">
        <v>0.56599999999999995</v>
      </c>
      <c r="AI47">
        <v>0.68300000000000005</v>
      </c>
      <c r="AJ47">
        <v>7.3999999999999996E-2</v>
      </c>
      <c r="AK47">
        <v>-0.17599999999999999</v>
      </c>
      <c r="AL47">
        <v>-0.128</v>
      </c>
      <c r="AM47">
        <v>0.45500000000000002</v>
      </c>
      <c r="AN47">
        <v>-0.56299999999999994</v>
      </c>
      <c r="AO47">
        <v>0.71399999999999997</v>
      </c>
      <c r="AP47">
        <v>0.39700000000000002</v>
      </c>
      <c r="AQ47">
        <v>0.39</v>
      </c>
      <c r="AR47">
        <v>-0.151</v>
      </c>
      <c r="AS47">
        <v>-6.6000000000000003E-2</v>
      </c>
      <c r="AT47">
        <v>0.45400000000000001</v>
      </c>
      <c r="AU47">
        <v>0.49399999999999999</v>
      </c>
      <c r="AV47">
        <v>1</v>
      </c>
      <c r="AW47">
        <v>0.46600000000000003</v>
      </c>
      <c r="AX47">
        <v>-0.57999999999999996</v>
      </c>
      <c r="AY47">
        <v>3.5000000000000003E-2</v>
      </c>
      <c r="AZ47">
        <v>0.20699999999999999</v>
      </c>
      <c r="BA47">
        <v>0.40300000000000002</v>
      </c>
      <c r="BE47" s="20"/>
      <c r="BF47" s="21"/>
      <c r="BG47" s="21"/>
      <c r="BH47" s="21"/>
      <c r="BL47" t="s">
        <v>117</v>
      </c>
      <c r="BM47" t="s">
        <v>280</v>
      </c>
      <c r="BN47" t="s">
        <v>282</v>
      </c>
    </row>
    <row r="48" spans="1:66" ht="15" thickBot="1" x14ac:dyDescent="0.35">
      <c r="A48" t="s">
        <v>265</v>
      </c>
      <c r="B48">
        <v>0.47499999999999998</v>
      </c>
      <c r="C48">
        <v>0.33300000000000002</v>
      </c>
      <c r="D48" t="s">
        <v>68</v>
      </c>
      <c r="E48">
        <v>0</v>
      </c>
      <c r="F48">
        <v>0</v>
      </c>
      <c r="G48">
        <v>0</v>
      </c>
      <c r="H48">
        <v>-0.92300000000000004</v>
      </c>
      <c r="I48">
        <v>-0.94199999999999995</v>
      </c>
      <c r="J48">
        <v>-0.82499999999999996</v>
      </c>
      <c r="K48">
        <v>-0.98199999999999998</v>
      </c>
      <c r="L48">
        <v>-0.95599999999999996</v>
      </c>
      <c r="M48">
        <v>-0.94899999999999995</v>
      </c>
      <c r="N48">
        <v>-0.93</v>
      </c>
      <c r="O48">
        <v>-0.97899999999999998</v>
      </c>
      <c r="P48">
        <v>-0.97699999999999998</v>
      </c>
      <c r="Q48">
        <v>-0.98099999999999998</v>
      </c>
      <c r="R48">
        <v>-1</v>
      </c>
      <c r="S48">
        <v>-0.81</v>
      </c>
      <c r="T48">
        <v>-0.46500000000000002</v>
      </c>
      <c r="U48">
        <v>-1</v>
      </c>
      <c r="V48">
        <v>-1</v>
      </c>
      <c r="W48">
        <v>-0.91900000000000004</v>
      </c>
      <c r="X48">
        <v>-0.54700000000000004</v>
      </c>
      <c r="Y48">
        <v>1</v>
      </c>
      <c r="Z48">
        <v>-0.51600000000000001</v>
      </c>
      <c r="AA48">
        <v>-0.81299999999999994</v>
      </c>
      <c r="AB48">
        <v>-1</v>
      </c>
      <c r="AC48">
        <v>-0.91300000000000003</v>
      </c>
      <c r="AD48">
        <v>-0.26700000000000002</v>
      </c>
      <c r="AE48">
        <v>0.40600000000000003</v>
      </c>
      <c r="AF48">
        <v>-0.85499999999999998</v>
      </c>
      <c r="AG48">
        <v>-0.224</v>
      </c>
      <c r="AH48">
        <v>0.28399999999999997</v>
      </c>
      <c r="AI48">
        <v>0.33800000000000002</v>
      </c>
      <c r="AJ48">
        <v>-1</v>
      </c>
      <c r="AK48">
        <v>-0.95599999999999996</v>
      </c>
      <c r="AL48">
        <v>-1</v>
      </c>
      <c r="AM48">
        <v>-0.46800000000000003</v>
      </c>
      <c r="AN48">
        <v>-0.67100000000000004</v>
      </c>
      <c r="AO48">
        <v>-1</v>
      </c>
      <c r="AP48">
        <v>-1</v>
      </c>
      <c r="AQ48">
        <v>0.95199999999999996</v>
      </c>
      <c r="AR48">
        <v>0.98699999999999999</v>
      </c>
      <c r="AS48">
        <v>0.54900000000000004</v>
      </c>
      <c r="AT48">
        <v>8.8999999999999996E-2</v>
      </c>
      <c r="AU48">
        <v>0.99099999999999999</v>
      </c>
      <c r="AV48">
        <v>-0.246</v>
      </c>
      <c r="AW48">
        <v>0.71599999999999997</v>
      </c>
      <c r="AX48">
        <v>1</v>
      </c>
      <c r="AY48">
        <v>-0.39700000000000002</v>
      </c>
      <c r="AZ48">
        <v>0.433</v>
      </c>
      <c r="BA48">
        <v>1</v>
      </c>
      <c r="BE48" s="20"/>
      <c r="BF48" s="21"/>
      <c r="BG48" s="21"/>
      <c r="BH48" s="21"/>
      <c r="BL48" t="s">
        <v>70</v>
      </c>
      <c r="BM48" t="s">
        <v>284</v>
      </c>
      <c r="BN48" t="s">
        <v>282</v>
      </c>
    </row>
    <row r="49" spans="1:66" ht="15" thickBot="1" x14ac:dyDescent="0.35">
      <c r="A49" t="s">
        <v>263</v>
      </c>
      <c r="B49">
        <v>0.46800000000000003</v>
      </c>
      <c r="C49">
        <v>0.32900000000000001</v>
      </c>
      <c r="D49" t="s">
        <v>68</v>
      </c>
      <c r="E49">
        <v>0</v>
      </c>
      <c r="F49">
        <v>0</v>
      </c>
      <c r="G49">
        <v>0</v>
      </c>
      <c r="H49">
        <v>-0.995</v>
      </c>
      <c r="I49">
        <v>-0.99199999999999999</v>
      </c>
      <c r="J49">
        <v>-0.98599999999999999</v>
      </c>
      <c r="K49">
        <v>-0.99</v>
      </c>
      <c r="L49">
        <v>-0.99399999999999999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-0.98499999999999999</v>
      </c>
      <c r="U49">
        <v>-1</v>
      </c>
      <c r="V49">
        <v>-1</v>
      </c>
      <c r="W49">
        <v>-0.76500000000000001</v>
      </c>
      <c r="X49">
        <v>-0.54700000000000004</v>
      </c>
      <c r="Y49">
        <v>1</v>
      </c>
      <c r="Z49">
        <v>-0.51600000000000001</v>
      </c>
      <c r="AA49">
        <v>-0.81299999999999994</v>
      </c>
      <c r="AB49">
        <v>-1</v>
      </c>
      <c r="AC49">
        <v>-0.91300000000000003</v>
      </c>
      <c r="AD49">
        <v>-0.19800000000000001</v>
      </c>
      <c r="AE49">
        <v>0.54300000000000004</v>
      </c>
      <c r="AF49">
        <v>-1</v>
      </c>
      <c r="AG49">
        <v>-0.224</v>
      </c>
      <c r="AH49">
        <v>0.28399999999999997</v>
      </c>
      <c r="AI49">
        <v>0.33800000000000002</v>
      </c>
      <c r="AJ49">
        <v>-1</v>
      </c>
      <c r="AK49">
        <v>-0.95599999999999996</v>
      </c>
      <c r="AL49">
        <v>-0.84599999999999997</v>
      </c>
      <c r="AM49">
        <v>-0.33900000000000002</v>
      </c>
      <c r="AN49">
        <v>-0.69099999999999995</v>
      </c>
      <c r="AO49">
        <v>-1</v>
      </c>
      <c r="AP49">
        <v>-1</v>
      </c>
      <c r="AQ49">
        <v>5.1999999999999998E-2</v>
      </c>
      <c r="AR49">
        <v>0.98699999999999999</v>
      </c>
      <c r="AS49">
        <v>0.54600000000000004</v>
      </c>
      <c r="AT49">
        <v>0.52600000000000002</v>
      </c>
      <c r="AU49">
        <v>1</v>
      </c>
      <c r="AV49">
        <v>-0.16200000000000001</v>
      </c>
      <c r="AW49">
        <v>-0.746</v>
      </c>
      <c r="AX49">
        <v>0.38500000000000001</v>
      </c>
      <c r="AY49">
        <v>-0.39700000000000002</v>
      </c>
      <c r="AZ49">
        <v>-0.58899999999999997</v>
      </c>
      <c r="BA49">
        <v>1</v>
      </c>
      <c r="BE49" s="20"/>
      <c r="BF49" s="21"/>
      <c r="BG49" s="21"/>
      <c r="BH49" s="21"/>
      <c r="BL49" t="s">
        <v>82</v>
      </c>
      <c r="BM49" t="s">
        <v>284</v>
      </c>
      <c r="BN49" t="s">
        <v>281</v>
      </c>
    </row>
    <row r="50" spans="1:66" ht="15" thickBot="1" x14ac:dyDescent="0.35">
      <c r="A50" t="s">
        <v>177</v>
      </c>
      <c r="B50">
        <v>1.0069999999999999</v>
      </c>
      <c r="C50">
        <v>1.2130000000000001</v>
      </c>
      <c r="D50" t="s">
        <v>71</v>
      </c>
      <c r="E50">
        <v>0</v>
      </c>
      <c r="F50">
        <v>0</v>
      </c>
      <c r="G50">
        <v>0</v>
      </c>
      <c r="H50">
        <v>-0.70399999999999996</v>
      </c>
      <c r="I50">
        <v>-0.22700000000000001</v>
      </c>
      <c r="J50">
        <v>-0.81299999999999994</v>
      </c>
      <c r="K50">
        <v>-0.51600000000000001</v>
      </c>
      <c r="L50">
        <v>-0.41499999999999998</v>
      </c>
      <c r="M50">
        <v>-5.7000000000000002E-2</v>
      </c>
      <c r="N50">
        <v>0.19500000000000001</v>
      </c>
      <c r="O50">
        <v>0.113</v>
      </c>
      <c r="P50">
        <v>0.88</v>
      </c>
      <c r="Q50">
        <v>0.88200000000000001</v>
      </c>
      <c r="R50">
        <v>0.61399999999999999</v>
      </c>
      <c r="S50">
        <v>0.68300000000000005</v>
      </c>
      <c r="T50">
        <v>0.59</v>
      </c>
      <c r="U50">
        <v>-1E-3</v>
      </c>
      <c r="V50">
        <v>-0.82899999999999996</v>
      </c>
      <c r="W50">
        <v>-0.186</v>
      </c>
      <c r="X50">
        <v>-0.754</v>
      </c>
      <c r="Y50">
        <v>-0.74099999999999999</v>
      </c>
      <c r="Z50">
        <v>-0.97499999999999998</v>
      </c>
      <c r="AA50">
        <v>0.122</v>
      </c>
      <c r="AB50">
        <v>2.8000000000000001E-2</v>
      </c>
      <c r="AC50">
        <v>-0.42299999999999999</v>
      </c>
      <c r="AD50">
        <v>-5.3999999999999999E-2</v>
      </c>
      <c r="AE50">
        <v>0.28199999999999997</v>
      </c>
      <c r="AF50">
        <v>-2E-3</v>
      </c>
      <c r="AG50">
        <v>-0.38700000000000001</v>
      </c>
      <c r="AH50">
        <v>-0.65300000000000002</v>
      </c>
      <c r="AI50">
        <v>-0.49</v>
      </c>
      <c r="AJ50">
        <v>0.184</v>
      </c>
      <c r="AK50">
        <v>-7.0999999999999994E-2</v>
      </c>
      <c r="AL50">
        <v>1.7000000000000001E-2</v>
      </c>
      <c r="AM50">
        <v>0.97899999999999998</v>
      </c>
      <c r="AN50">
        <v>-0.34599999999999997</v>
      </c>
      <c r="AO50">
        <v>0.75800000000000001</v>
      </c>
      <c r="AP50">
        <v>-0.33600000000000002</v>
      </c>
      <c r="AQ50">
        <v>0.23400000000000001</v>
      </c>
      <c r="AR50">
        <v>9.2999999999999999E-2</v>
      </c>
      <c r="AS50">
        <v>-7.0000000000000007E-2</v>
      </c>
      <c r="AT50">
        <v>0.20499999999999999</v>
      </c>
      <c r="AU50">
        <v>0.45800000000000002</v>
      </c>
      <c r="AV50">
        <v>0.45100000000000001</v>
      </c>
      <c r="AW50">
        <v>0.94799999999999995</v>
      </c>
      <c r="AX50">
        <v>-0.29599999999999999</v>
      </c>
      <c r="AY50">
        <v>-0.62</v>
      </c>
      <c r="AZ50">
        <v>0.85399999999999998</v>
      </c>
      <c r="BA50">
        <v>-0.29599999999999999</v>
      </c>
      <c r="BE50" s="20"/>
      <c r="BF50" s="21"/>
      <c r="BG50" s="21"/>
      <c r="BH50" s="21"/>
      <c r="BL50" t="s">
        <v>200</v>
      </c>
      <c r="BM50" t="s">
        <v>285</v>
      </c>
      <c r="BN50" t="s">
        <v>281</v>
      </c>
    </row>
    <row r="51" spans="1:66" ht="15" thickBot="1" x14ac:dyDescent="0.35">
      <c r="A51" t="s">
        <v>159</v>
      </c>
      <c r="B51">
        <v>1.0049999999999999</v>
      </c>
      <c r="C51">
        <v>1.2470000000000001</v>
      </c>
      <c r="D51" t="s">
        <v>71</v>
      </c>
      <c r="E51">
        <v>0</v>
      </c>
      <c r="F51">
        <v>0</v>
      </c>
      <c r="G51">
        <v>0</v>
      </c>
      <c r="H51">
        <v>-0.68600000000000005</v>
      </c>
      <c r="I51">
        <v>-0.20100000000000001</v>
      </c>
      <c r="J51">
        <v>-0.84199999999999997</v>
      </c>
      <c r="K51">
        <v>-0.495</v>
      </c>
      <c r="L51">
        <v>-0.42799999999999999</v>
      </c>
      <c r="M51">
        <v>-3.4000000000000002E-2</v>
      </c>
      <c r="N51">
        <v>0.21299999999999999</v>
      </c>
      <c r="O51">
        <v>0.122</v>
      </c>
      <c r="P51">
        <v>0.79100000000000004</v>
      </c>
      <c r="Q51">
        <v>0.79400000000000004</v>
      </c>
      <c r="R51">
        <v>0.63300000000000001</v>
      </c>
      <c r="S51">
        <v>0.68</v>
      </c>
      <c r="T51">
        <v>0.58699999999999997</v>
      </c>
      <c r="U51">
        <v>-3.0000000000000001E-3</v>
      </c>
      <c r="V51">
        <v>-0.83</v>
      </c>
      <c r="W51">
        <v>-0.13</v>
      </c>
      <c r="X51">
        <v>-0.754</v>
      </c>
      <c r="Y51">
        <v>-0.71899999999999997</v>
      </c>
      <c r="Z51">
        <v>-0.97499999999999998</v>
      </c>
      <c r="AA51">
        <v>0.122</v>
      </c>
      <c r="AB51">
        <v>4.2999999999999997E-2</v>
      </c>
      <c r="AC51">
        <v>-0.42299999999999999</v>
      </c>
      <c r="AD51">
        <v>-0.06</v>
      </c>
      <c r="AE51">
        <v>0.308</v>
      </c>
      <c r="AF51">
        <v>5.7000000000000002E-2</v>
      </c>
      <c r="AG51">
        <v>-0.38700000000000001</v>
      </c>
      <c r="AH51">
        <v>-0.65300000000000002</v>
      </c>
      <c r="AI51">
        <v>-0.49</v>
      </c>
      <c r="AJ51">
        <v>0.184</v>
      </c>
      <c r="AK51">
        <v>-7.0999999999999994E-2</v>
      </c>
      <c r="AL51">
        <v>1.7000000000000001E-2</v>
      </c>
      <c r="AM51">
        <v>0.97599999999999998</v>
      </c>
      <c r="AN51">
        <v>-0.34599999999999997</v>
      </c>
      <c r="AO51">
        <v>0.75800000000000001</v>
      </c>
      <c r="AP51">
        <v>-0.39800000000000002</v>
      </c>
      <c r="AQ51">
        <v>0.627</v>
      </c>
      <c r="AR51">
        <v>9.2999999999999999E-2</v>
      </c>
      <c r="AS51">
        <v>-7.0000000000000007E-2</v>
      </c>
      <c r="AT51">
        <v>0.222</v>
      </c>
      <c r="AU51">
        <v>0.41699999999999998</v>
      </c>
      <c r="AV51">
        <v>0.15</v>
      </c>
      <c r="AW51">
        <v>0.91</v>
      </c>
      <c r="AX51">
        <v>-0.30299999999999999</v>
      </c>
      <c r="AY51">
        <v>-0.58899999999999997</v>
      </c>
      <c r="AZ51">
        <v>0.56299999999999994</v>
      </c>
      <c r="BA51">
        <v>-0.29599999999999999</v>
      </c>
      <c r="BE51" s="20"/>
      <c r="BF51" s="21"/>
      <c r="BG51" s="21"/>
      <c r="BH51" s="21"/>
      <c r="BL51" t="s">
        <v>110</v>
      </c>
      <c r="BM51" t="s">
        <v>286</v>
      </c>
      <c r="BN51" t="s">
        <v>283</v>
      </c>
    </row>
    <row r="52" spans="1:66" ht="15" thickBot="1" x14ac:dyDescent="0.35">
      <c r="A52" t="s">
        <v>145</v>
      </c>
      <c r="B52">
        <v>2.1819999999999999</v>
      </c>
      <c r="C52">
        <v>1.6160000000000001</v>
      </c>
      <c r="D52" t="s">
        <v>57</v>
      </c>
      <c r="E52">
        <v>0</v>
      </c>
      <c r="F52">
        <v>0</v>
      </c>
      <c r="G52">
        <v>0</v>
      </c>
      <c r="H52">
        <v>0.311</v>
      </c>
      <c r="I52">
        <v>0.54900000000000004</v>
      </c>
      <c r="J52">
        <v>0.41399999999999998</v>
      </c>
      <c r="K52">
        <v>0.17699999999999999</v>
      </c>
      <c r="L52">
        <v>0.504</v>
      </c>
      <c r="M52">
        <v>0.17199999999999999</v>
      </c>
      <c r="N52">
        <v>7.0000000000000001E-3</v>
      </c>
      <c r="O52">
        <v>0.13900000000000001</v>
      </c>
      <c r="P52">
        <v>0.88800000000000001</v>
      </c>
      <c r="Q52">
        <v>0.88900000000000001</v>
      </c>
      <c r="R52">
        <v>0.96199999999999997</v>
      </c>
      <c r="S52">
        <v>0.93200000000000005</v>
      </c>
      <c r="T52">
        <v>0.96799999999999997</v>
      </c>
      <c r="U52">
        <v>-0.51700000000000002</v>
      </c>
      <c r="V52">
        <v>5.0999999999999997E-2</v>
      </c>
      <c r="W52">
        <v>0.46600000000000003</v>
      </c>
      <c r="X52">
        <v>-0.71799999999999997</v>
      </c>
      <c r="Y52">
        <v>0.61499999999999999</v>
      </c>
      <c r="Z52">
        <v>-5.5E-2</v>
      </c>
      <c r="AA52">
        <v>-9.7000000000000003E-2</v>
      </c>
      <c r="AB52">
        <v>-0.40600000000000003</v>
      </c>
      <c r="AC52">
        <v>-0.58699999999999997</v>
      </c>
      <c r="AD52">
        <v>-0.61299999999999999</v>
      </c>
      <c r="AE52">
        <v>0.71299999999999997</v>
      </c>
      <c r="AF52">
        <v>0.80500000000000005</v>
      </c>
      <c r="AG52">
        <v>0.32400000000000001</v>
      </c>
      <c r="AH52">
        <v>1</v>
      </c>
      <c r="AI52">
        <v>0.68100000000000005</v>
      </c>
      <c r="AJ52">
        <v>0.36299999999999999</v>
      </c>
      <c r="AK52">
        <v>-8.4000000000000005E-2</v>
      </c>
      <c r="AL52">
        <v>-5.2999999999999999E-2</v>
      </c>
      <c r="AM52">
        <v>0.38200000000000001</v>
      </c>
      <c r="AN52">
        <v>8.8999999999999996E-2</v>
      </c>
      <c r="AO52">
        <v>0.62</v>
      </c>
      <c r="AP52">
        <v>1</v>
      </c>
      <c r="AQ52">
        <v>0.23300000000000001</v>
      </c>
      <c r="AR52">
        <v>-0.53500000000000003</v>
      </c>
      <c r="AS52">
        <v>-0.20799999999999999</v>
      </c>
      <c r="AT52">
        <v>-0.46100000000000002</v>
      </c>
      <c r="AU52">
        <v>0.47699999999999998</v>
      </c>
      <c r="AV52">
        <v>0.17399999999999999</v>
      </c>
      <c r="AW52">
        <v>0.32800000000000001</v>
      </c>
      <c r="AX52">
        <v>-1</v>
      </c>
      <c r="AY52">
        <v>0.30599999999999999</v>
      </c>
      <c r="AZ52">
        <v>0.90600000000000003</v>
      </c>
      <c r="BA52">
        <v>0.39900000000000002</v>
      </c>
      <c r="BE52" s="20"/>
      <c r="BF52" s="21"/>
      <c r="BG52" s="21"/>
      <c r="BH52" s="21"/>
      <c r="BL52" t="s">
        <v>135</v>
      </c>
      <c r="BM52" t="s">
        <v>286</v>
      </c>
      <c r="BN52" t="s">
        <v>283</v>
      </c>
    </row>
    <row r="53" spans="1:66" ht="15" thickBot="1" x14ac:dyDescent="0.35">
      <c r="A53" t="s">
        <v>256</v>
      </c>
      <c r="B53">
        <v>0.48099999999999998</v>
      </c>
      <c r="C53">
        <v>0.36099999999999999</v>
      </c>
      <c r="D53" t="s">
        <v>68</v>
      </c>
      <c r="E53">
        <v>0</v>
      </c>
      <c r="F53">
        <v>0</v>
      </c>
      <c r="G53">
        <v>0</v>
      </c>
      <c r="H53">
        <v>-0.94799999999999995</v>
      </c>
      <c r="I53">
        <v>-0.95399999999999996</v>
      </c>
      <c r="J53">
        <v>-0.81499999999999995</v>
      </c>
      <c r="K53">
        <v>-0.97299999999999998</v>
      </c>
      <c r="L53">
        <v>-0.95199999999999996</v>
      </c>
      <c r="M53">
        <v>-0.97899999999999998</v>
      </c>
      <c r="N53">
        <v>-0.96599999999999997</v>
      </c>
      <c r="O53">
        <v>-0.97</v>
      </c>
      <c r="P53">
        <v>-0.64700000000000002</v>
      </c>
      <c r="Q53">
        <v>-0.64500000000000002</v>
      </c>
      <c r="R53">
        <v>-0.219</v>
      </c>
      <c r="S53">
        <v>-0.38100000000000001</v>
      </c>
      <c r="T53">
        <v>-0.504</v>
      </c>
      <c r="U53">
        <v>-0.93400000000000005</v>
      </c>
      <c r="V53">
        <v>-0.93200000000000005</v>
      </c>
      <c r="W53">
        <v>-0.80200000000000005</v>
      </c>
      <c r="X53">
        <v>0.42199999999999999</v>
      </c>
      <c r="Y53">
        <v>-0.109</v>
      </c>
      <c r="Z53">
        <v>-0.51600000000000001</v>
      </c>
      <c r="AA53">
        <v>0.221</v>
      </c>
      <c r="AB53">
        <v>-1</v>
      </c>
      <c r="AC53">
        <v>-0.47599999999999998</v>
      </c>
      <c r="AD53">
        <v>-0.27300000000000002</v>
      </c>
      <c r="AE53">
        <v>-0.82099999999999995</v>
      </c>
      <c r="AF53">
        <v>-0.436</v>
      </c>
      <c r="AG53">
        <v>-0.502</v>
      </c>
      <c r="AH53">
        <v>-0.69299999999999995</v>
      </c>
      <c r="AI53">
        <v>-0.48499999999999999</v>
      </c>
      <c r="AJ53">
        <v>-0.252</v>
      </c>
      <c r="AK53">
        <v>-0.46899999999999997</v>
      </c>
      <c r="AL53">
        <v>-0.53900000000000003</v>
      </c>
      <c r="AM53">
        <v>-0.22</v>
      </c>
      <c r="AN53">
        <v>-0.68899999999999995</v>
      </c>
      <c r="AO53">
        <v>-0.107</v>
      </c>
      <c r="AP53">
        <v>1.7000000000000001E-2</v>
      </c>
      <c r="AQ53">
        <v>4.2999999999999997E-2</v>
      </c>
      <c r="AR53">
        <v>0.65200000000000002</v>
      </c>
      <c r="AS53">
        <v>0.26300000000000001</v>
      </c>
      <c r="AT53">
        <v>-0.16</v>
      </c>
      <c r="AU53">
        <v>1</v>
      </c>
      <c r="AV53">
        <v>-0.433</v>
      </c>
      <c r="AW53">
        <v>-0.48299999999999998</v>
      </c>
      <c r="AX53">
        <v>0.26500000000000001</v>
      </c>
      <c r="AY53">
        <v>-1.9E-2</v>
      </c>
      <c r="AZ53">
        <v>0.90600000000000003</v>
      </c>
      <c r="BA53">
        <v>0.67</v>
      </c>
      <c r="BE53" s="20"/>
      <c r="BF53" s="21"/>
      <c r="BG53" s="21"/>
      <c r="BH53" s="21"/>
      <c r="BL53" t="s">
        <v>112</v>
      </c>
      <c r="BM53" t="s">
        <v>280</v>
      </c>
      <c r="BN53" t="s">
        <v>282</v>
      </c>
    </row>
    <row r="54" spans="1:66" ht="15" thickBot="1" x14ac:dyDescent="0.35">
      <c r="A54" t="s">
        <v>222</v>
      </c>
      <c r="B54">
        <v>0.61199999999999999</v>
      </c>
      <c r="C54">
        <v>0.63300000000000001</v>
      </c>
      <c r="D54" t="s">
        <v>71</v>
      </c>
      <c r="E54">
        <v>0</v>
      </c>
      <c r="F54">
        <v>0</v>
      </c>
      <c r="G54">
        <v>0</v>
      </c>
      <c r="H54">
        <v>-0.85699999999999998</v>
      </c>
      <c r="I54">
        <v>-0.59099999999999997</v>
      </c>
      <c r="J54">
        <v>-0.98099999999999998</v>
      </c>
      <c r="K54">
        <v>-0.71399999999999997</v>
      </c>
      <c r="L54">
        <v>-0.748</v>
      </c>
      <c r="M54">
        <v>-0.505</v>
      </c>
      <c r="N54">
        <v>-0.13600000000000001</v>
      </c>
      <c r="O54">
        <v>-0.55800000000000005</v>
      </c>
      <c r="P54">
        <v>0.80300000000000005</v>
      </c>
      <c r="Q54">
        <v>0.80700000000000005</v>
      </c>
      <c r="R54">
        <v>0.67100000000000004</v>
      </c>
      <c r="S54">
        <v>0.68799999999999994</v>
      </c>
      <c r="T54">
        <v>0.44600000000000001</v>
      </c>
      <c r="U54">
        <v>-0.53300000000000003</v>
      </c>
      <c r="V54">
        <v>-0.54800000000000004</v>
      </c>
      <c r="W54">
        <v>-0.14899999999999999</v>
      </c>
      <c r="X54">
        <v>-0.86799999999999999</v>
      </c>
      <c r="Y54">
        <v>-0.94</v>
      </c>
      <c r="Z54">
        <v>-1</v>
      </c>
      <c r="AA54">
        <v>0.13200000000000001</v>
      </c>
      <c r="AB54">
        <v>-0.56999999999999995</v>
      </c>
      <c r="AC54">
        <v>-0.36399999999999999</v>
      </c>
      <c r="AD54">
        <v>9.9000000000000005E-2</v>
      </c>
      <c r="AE54">
        <v>4.8000000000000001E-2</v>
      </c>
      <c r="AF54">
        <v>-0.16700000000000001</v>
      </c>
      <c r="AG54">
        <v>-0.312</v>
      </c>
      <c r="AH54">
        <v>0.47299999999999998</v>
      </c>
      <c r="AI54">
        <v>2.3E-2</v>
      </c>
      <c r="AJ54">
        <v>0.24099999999999999</v>
      </c>
      <c r="AK54">
        <v>0.219</v>
      </c>
      <c r="AL54">
        <v>-0.23899999999999999</v>
      </c>
      <c r="AM54">
        <v>0.95799999999999996</v>
      </c>
      <c r="AN54">
        <v>-0.41099999999999998</v>
      </c>
      <c r="AO54">
        <v>0.38700000000000001</v>
      </c>
      <c r="AP54">
        <v>-1</v>
      </c>
      <c r="AQ54">
        <v>-0.48499999999999999</v>
      </c>
      <c r="AR54">
        <v>-0.123</v>
      </c>
      <c r="AS54">
        <v>-0.26300000000000001</v>
      </c>
      <c r="AT54">
        <v>0.126</v>
      </c>
      <c r="AU54">
        <v>1</v>
      </c>
      <c r="AV54">
        <v>0.88500000000000001</v>
      </c>
      <c r="AW54">
        <v>0.84399999999999997</v>
      </c>
      <c r="AX54">
        <v>-0.24399999999999999</v>
      </c>
      <c r="AY54">
        <v>-0.64700000000000002</v>
      </c>
      <c r="AZ54">
        <v>-0.34200000000000003</v>
      </c>
      <c r="BA54">
        <v>-0.67</v>
      </c>
      <c r="BE54" s="20"/>
      <c r="BF54" s="21"/>
      <c r="BG54" s="21"/>
      <c r="BH54" s="21"/>
      <c r="BL54" t="s">
        <v>156</v>
      </c>
      <c r="BM54" t="s">
        <v>285</v>
      </c>
      <c r="BN54" t="s">
        <v>287</v>
      </c>
    </row>
    <row r="55" spans="1:66" ht="15" thickBot="1" x14ac:dyDescent="0.35">
      <c r="A55" t="s">
        <v>253</v>
      </c>
      <c r="B55">
        <v>0.53</v>
      </c>
      <c r="C55">
        <v>0.439</v>
      </c>
      <c r="D55" t="s">
        <v>68</v>
      </c>
      <c r="E55">
        <v>0</v>
      </c>
      <c r="F55">
        <v>0</v>
      </c>
      <c r="G55">
        <v>0</v>
      </c>
      <c r="H55">
        <v>-0.86699999999999999</v>
      </c>
      <c r="I55">
        <v>-0.81399999999999995</v>
      </c>
      <c r="J55">
        <v>-0.747</v>
      </c>
      <c r="K55">
        <v>-0.88</v>
      </c>
      <c r="L55">
        <v>-0.82699999999999996</v>
      </c>
      <c r="M55">
        <v>-0.86199999999999999</v>
      </c>
      <c r="N55">
        <v>-0.81</v>
      </c>
      <c r="O55">
        <v>-0.81899999999999995</v>
      </c>
      <c r="P55">
        <v>0.35199999999999998</v>
      </c>
      <c r="Q55">
        <v>0.35499999999999998</v>
      </c>
      <c r="R55">
        <v>0.46300000000000002</v>
      </c>
      <c r="S55">
        <v>0.60099999999999998</v>
      </c>
      <c r="T55">
        <v>0.13500000000000001</v>
      </c>
      <c r="U55">
        <v>-0.82699999999999996</v>
      </c>
      <c r="V55">
        <v>-0.36699999999999999</v>
      </c>
      <c r="W55">
        <v>-0.308</v>
      </c>
      <c r="X55">
        <v>0.41499999999999998</v>
      </c>
      <c r="Y55">
        <v>-0.68899999999999995</v>
      </c>
      <c r="Z55">
        <v>-0.65700000000000003</v>
      </c>
      <c r="AA55">
        <v>0.16</v>
      </c>
      <c r="AB55">
        <v>-0.57099999999999995</v>
      </c>
      <c r="AC55">
        <v>0.56699999999999995</v>
      </c>
      <c r="AD55">
        <v>-0.31900000000000001</v>
      </c>
      <c r="AE55">
        <v>-0.53600000000000003</v>
      </c>
      <c r="AF55">
        <v>-0.83</v>
      </c>
      <c r="AG55">
        <v>-5.8000000000000003E-2</v>
      </c>
      <c r="AH55">
        <v>-0.50700000000000001</v>
      </c>
      <c r="AI55">
        <v>-0.67300000000000004</v>
      </c>
      <c r="AJ55">
        <v>6.3E-2</v>
      </c>
      <c r="AK55">
        <v>-0.126</v>
      </c>
      <c r="AL55">
        <v>-0.76200000000000001</v>
      </c>
      <c r="AM55">
        <v>-1E-3</v>
      </c>
      <c r="AN55">
        <v>-0.24099999999999999</v>
      </c>
      <c r="AO55">
        <v>0.69</v>
      </c>
      <c r="AP55">
        <v>0.29899999999999999</v>
      </c>
      <c r="AQ55">
        <v>-0.71799999999999997</v>
      </c>
      <c r="AR55">
        <v>-0.44400000000000001</v>
      </c>
      <c r="AS55">
        <v>-0.41099999999999998</v>
      </c>
      <c r="AT55">
        <v>-0.39300000000000002</v>
      </c>
      <c r="AU55">
        <v>-0.14899999999999999</v>
      </c>
      <c r="AV55">
        <v>-0.45400000000000001</v>
      </c>
      <c r="AW55">
        <v>0.13100000000000001</v>
      </c>
      <c r="AX55">
        <v>0.12</v>
      </c>
      <c r="AY55">
        <v>0.60899999999999999</v>
      </c>
      <c r="AZ55">
        <v>0.45700000000000002</v>
      </c>
      <c r="BA55">
        <v>0.28000000000000003</v>
      </c>
      <c r="BE55" s="20"/>
      <c r="BF55" s="21"/>
      <c r="BG55" s="21"/>
      <c r="BH55" s="21"/>
      <c r="BL55" t="s">
        <v>246</v>
      </c>
      <c r="BM55" t="s">
        <v>288</v>
      </c>
      <c r="BN55" t="s">
        <v>281</v>
      </c>
    </row>
    <row r="56" spans="1:66" ht="15" thickBot="1" x14ac:dyDescent="0.35">
      <c r="A56" t="s">
        <v>165</v>
      </c>
      <c r="B56">
        <v>0.63900000000000001</v>
      </c>
      <c r="C56">
        <v>0.49299999999999999</v>
      </c>
      <c r="D56" t="s">
        <v>71</v>
      </c>
      <c r="E56">
        <v>0</v>
      </c>
      <c r="F56">
        <v>0</v>
      </c>
      <c r="G56">
        <v>0</v>
      </c>
      <c r="H56">
        <v>-0.53400000000000003</v>
      </c>
      <c r="I56">
        <v>-0.66200000000000003</v>
      </c>
      <c r="J56">
        <v>-0.64</v>
      </c>
      <c r="K56">
        <v>-0.51800000000000002</v>
      </c>
      <c r="L56">
        <v>-0.63700000000000001</v>
      </c>
      <c r="M56">
        <v>-0.60899999999999999</v>
      </c>
      <c r="N56">
        <v>-0.72299999999999998</v>
      </c>
      <c r="O56">
        <v>-0.75700000000000001</v>
      </c>
      <c r="P56">
        <v>0.69199999999999995</v>
      </c>
      <c r="Q56">
        <v>0.69599999999999995</v>
      </c>
      <c r="R56">
        <v>0.68300000000000005</v>
      </c>
      <c r="S56">
        <v>0.94</v>
      </c>
      <c r="T56">
        <v>0.748</v>
      </c>
      <c r="U56">
        <v>-0.20799999999999999</v>
      </c>
      <c r="V56">
        <v>-0.22600000000000001</v>
      </c>
      <c r="W56">
        <v>0.59099999999999997</v>
      </c>
      <c r="X56">
        <v>-0.52100000000000002</v>
      </c>
      <c r="Y56">
        <v>-0.48099999999999998</v>
      </c>
      <c r="Z56">
        <v>-0.85299999999999998</v>
      </c>
      <c r="AA56">
        <v>-0.34399999999999997</v>
      </c>
      <c r="AB56">
        <v>-0.66700000000000004</v>
      </c>
      <c r="AC56">
        <v>0.5</v>
      </c>
      <c r="AD56">
        <v>-0.52700000000000002</v>
      </c>
      <c r="AE56">
        <v>0.437</v>
      </c>
      <c r="AF56">
        <v>-0.158</v>
      </c>
      <c r="AG56">
        <v>-0.434</v>
      </c>
      <c r="AH56">
        <v>0.748</v>
      </c>
      <c r="AI56">
        <v>0.43099999999999999</v>
      </c>
      <c r="AJ56">
        <v>-0.109</v>
      </c>
      <c r="AK56">
        <v>-0.60299999999999998</v>
      </c>
      <c r="AL56">
        <v>-7.5999999999999998E-2</v>
      </c>
      <c r="AM56">
        <v>-7.0999999999999994E-2</v>
      </c>
      <c r="AN56">
        <v>-0.17399999999999999</v>
      </c>
      <c r="AO56">
        <v>0.753</v>
      </c>
      <c r="AP56">
        <v>-1</v>
      </c>
      <c r="AQ56">
        <v>0.64500000000000002</v>
      </c>
      <c r="AR56">
        <v>0.45700000000000002</v>
      </c>
      <c r="AS56">
        <v>0.18099999999999999</v>
      </c>
      <c r="AT56">
        <v>0.30199999999999999</v>
      </c>
      <c r="AU56">
        <v>0.104</v>
      </c>
      <c r="AV56">
        <v>-0.14799999999999999</v>
      </c>
      <c r="AW56">
        <v>0.191</v>
      </c>
      <c r="AX56">
        <v>6.6000000000000003E-2</v>
      </c>
      <c r="AY56">
        <v>-0.27400000000000002</v>
      </c>
      <c r="AZ56">
        <v>0.81</v>
      </c>
      <c r="BA56">
        <v>0.11799999999999999</v>
      </c>
      <c r="BE56" s="20"/>
      <c r="BF56" s="21"/>
      <c r="BG56" s="21"/>
      <c r="BH56" s="21"/>
      <c r="BL56" t="s">
        <v>58</v>
      </c>
      <c r="BM56" t="s">
        <v>289</v>
      </c>
      <c r="BN56" t="s">
        <v>279</v>
      </c>
    </row>
    <row r="57" spans="1:66" ht="15" thickBot="1" x14ac:dyDescent="0.35">
      <c r="A57" t="s">
        <v>179</v>
      </c>
      <c r="B57">
        <v>0.61</v>
      </c>
      <c r="C57">
        <v>0.52800000000000002</v>
      </c>
      <c r="D57" t="s">
        <v>71</v>
      </c>
      <c r="E57">
        <v>0</v>
      </c>
      <c r="F57">
        <v>-6.0000000000000001E-3</v>
      </c>
      <c r="G57">
        <v>6.0000000000000001E-3</v>
      </c>
      <c r="H57">
        <v>-0.65600000000000003</v>
      </c>
      <c r="I57">
        <v>-0.63600000000000001</v>
      </c>
      <c r="J57">
        <v>-0.84699999999999998</v>
      </c>
      <c r="K57">
        <v>-0.53200000000000003</v>
      </c>
      <c r="L57">
        <v>-0.67200000000000004</v>
      </c>
      <c r="M57">
        <v>-0.61099999999999999</v>
      </c>
      <c r="N57">
        <v>-0.69899999999999995</v>
      </c>
      <c r="O57">
        <v>-0.73699999999999999</v>
      </c>
      <c r="P57">
        <v>0.60299999999999998</v>
      </c>
      <c r="Q57">
        <v>0.60799999999999998</v>
      </c>
      <c r="R57">
        <v>0.61399999999999999</v>
      </c>
      <c r="S57">
        <v>0.90600000000000003</v>
      </c>
      <c r="T57">
        <v>0.69299999999999995</v>
      </c>
      <c r="U57">
        <v>-0.215</v>
      </c>
      <c r="V57">
        <v>-0.22600000000000001</v>
      </c>
      <c r="W57">
        <v>0.77800000000000002</v>
      </c>
      <c r="X57">
        <v>-0.52100000000000002</v>
      </c>
      <c r="Y57">
        <v>-0.42399999999999999</v>
      </c>
      <c r="Z57">
        <v>-0.86199999999999999</v>
      </c>
      <c r="AA57">
        <v>-0.34399999999999997</v>
      </c>
      <c r="AB57">
        <v>-0.63600000000000001</v>
      </c>
      <c r="AC57">
        <v>0.5</v>
      </c>
      <c r="AD57">
        <v>-0.52800000000000002</v>
      </c>
      <c r="AE57">
        <v>0.505</v>
      </c>
      <c r="AF57">
        <v>-9.8000000000000004E-2</v>
      </c>
      <c r="AG57">
        <v>-0.434</v>
      </c>
      <c r="AH57">
        <v>0.748</v>
      </c>
      <c r="AI57">
        <v>0.43099999999999999</v>
      </c>
      <c r="AJ57">
        <v>-0.109</v>
      </c>
      <c r="AK57">
        <v>-0.60299999999999998</v>
      </c>
      <c r="AL57">
        <v>-9.2999999999999999E-2</v>
      </c>
      <c r="AM57">
        <v>-5.3999999999999999E-2</v>
      </c>
      <c r="AN57">
        <v>-0.159</v>
      </c>
      <c r="AO57">
        <v>0.753</v>
      </c>
      <c r="AP57">
        <v>-1</v>
      </c>
      <c r="AQ57">
        <v>0.26400000000000001</v>
      </c>
      <c r="AR57">
        <v>0.45700000000000002</v>
      </c>
      <c r="AS57">
        <v>0.16300000000000001</v>
      </c>
      <c r="AT57">
        <v>0.314</v>
      </c>
      <c r="AU57">
        <v>-2.5000000000000001E-2</v>
      </c>
      <c r="AV57">
        <v>0.23799999999999999</v>
      </c>
      <c r="AW57">
        <v>0.39200000000000002</v>
      </c>
      <c r="AX57">
        <v>0.03</v>
      </c>
      <c r="AY57">
        <v>-0.26700000000000002</v>
      </c>
      <c r="AZ57">
        <v>-0.40200000000000002</v>
      </c>
      <c r="BA57">
        <v>0.11799999999999999</v>
      </c>
      <c r="BE57" s="20"/>
      <c r="BF57" s="21"/>
      <c r="BG57" s="21"/>
      <c r="BH57" s="21"/>
      <c r="BL57" t="s">
        <v>207</v>
      </c>
      <c r="BM57" t="s">
        <v>290</v>
      </c>
      <c r="BN57" t="s">
        <v>287</v>
      </c>
    </row>
    <row r="58" spans="1:66" ht="15" thickBot="1" x14ac:dyDescent="0.35">
      <c r="A58" t="s">
        <v>204</v>
      </c>
      <c r="B58">
        <v>0.65500000000000003</v>
      </c>
      <c r="C58">
        <v>1.29</v>
      </c>
      <c r="D58" t="s">
        <v>55</v>
      </c>
      <c r="E58">
        <v>0</v>
      </c>
      <c r="F58">
        <v>-2.1000000000000001E-2</v>
      </c>
      <c r="G58">
        <v>2.1000000000000001E-2</v>
      </c>
      <c r="H58">
        <v>-0.77300000000000002</v>
      </c>
      <c r="I58">
        <v>-0.22</v>
      </c>
      <c r="J58">
        <v>-0.94499999999999995</v>
      </c>
      <c r="K58">
        <v>-0.57099999999999995</v>
      </c>
      <c r="L58">
        <v>-0.58199999999999996</v>
      </c>
      <c r="M58">
        <v>-0.39900000000000002</v>
      </c>
      <c r="N58">
        <v>-5.6000000000000001E-2</v>
      </c>
      <c r="O58">
        <v>-0.437</v>
      </c>
      <c r="P58">
        <v>0.56499999999999995</v>
      </c>
      <c r="Q58">
        <v>0.57299999999999995</v>
      </c>
      <c r="R58">
        <v>0.60199999999999998</v>
      </c>
      <c r="S58">
        <v>0.72199999999999998</v>
      </c>
      <c r="T58">
        <v>0.51900000000000002</v>
      </c>
      <c r="U58">
        <v>-0.77200000000000002</v>
      </c>
      <c r="V58">
        <v>-0.442</v>
      </c>
      <c r="W58">
        <v>0.21</v>
      </c>
      <c r="X58">
        <v>-1</v>
      </c>
      <c r="Y58">
        <v>-0.68500000000000005</v>
      </c>
      <c r="Z58">
        <v>-0.95599999999999996</v>
      </c>
      <c r="AA58">
        <v>-0.45900000000000002</v>
      </c>
      <c r="AB58">
        <v>-0.57399999999999995</v>
      </c>
      <c r="AC58">
        <v>-0.73599999999999999</v>
      </c>
      <c r="AD58">
        <v>-9.6000000000000002E-2</v>
      </c>
      <c r="AE58">
        <v>0.58499999999999996</v>
      </c>
      <c r="AF58">
        <v>0.88500000000000001</v>
      </c>
      <c r="AG58">
        <v>0.432</v>
      </c>
      <c r="AH58">
        <v>0.32</v>
      </c>
      <c r="AI58">
        <v>0.35299999999999998</v>
      </c>
      <c r="AJ58">
        <v>0.30499999999999999</v>
      </c>
      <c r="AK58">
        <v>9.0999999999999998E-2</v>
      </c>
      <c r="AL58">
        <v>-0.19600000000000001</v>
      </c>
      <c r="AM58">
        <v>0.51100000000000001</v>
      </c>
      <c r="AN58">
        <v>-0.47799999999999998</v>
      </c>
      <c r="AO58">
        <v>0.77600000000000002</v>
      </c>
      <c r="AP58">
        <v>-0.379</v>
      </c>
      <c r="AQ58">
        <v>0.375</v>
      </c>
      <c r="AR58">
        <v>-0.54800000000000004</v>
      </c>
      <c r="AS58">
        <v>-0.73099999999999998</v>
      </c>
      <c r="AT58">
        <v>-9.6000000000000002E-2</v>
      </c>
      <c r="AU58">
        <v>-0.434</v>
      </c>
      <c r="AV58">
        <v>0.245</v>
      </c>
      <c r="AW58">
        <v>0.749</v>
      </c>
      <c r="AX58">
        <v>-0.96899999999999997</v>
      </c>
      <c r="AY58">
        <v>-0.24399999999999999</v>
      </c>
      <c r="AZ58">
        <v>-0.33</v>
      </c>
      <c r="BA58">
        <v>-0.79300000000000004</v>
      </c>
      <c r="BE58" s="20"/>
      <c r="BF58" s="21"/>
      <c r="BG58" s="21"/>
      <c r="BH58" s="21"/>
      <c r="BL58" t="s">
        <v>220</v>
      </c>
      <c r="BM58" t="s">
        <v>278</v>
      </c>
      <c r="BN58" t="s">
        <v>287</v>
      </c>
    </row>
    <row r="59" spans="1:66" ht="15" thickBot="1" x14ac:dyDescent="0.35">
      <c r="A59" t="s">
        <v>194</v>
      </c>
      <c r="B59">
        <v>0.61599999999999999</v>
      </c>
      <c r="C59">
        <v>0.89700000000000002</v>
      </c>
      <c r="D59" t="s">
        <v>57</v>
      </c>
      <c r="E59">
        <v>0</v>
      </c>
      <c r="F59">
        <v>-1.2E-2</v>
      </c>
      <c r="G59">
        <v>1.2E-2</v>
      </c>
      <c r="H59">
        <v>-0.64500000000000002</v>
      </c>
      <c r="I59">
        <v>-0.51200000000000001</v>
      </c>
      <c r="J59">
        <v>-0.82699999999999996</v>
      </c>
      <c r="K59">
        <v>-0.48899999999999999</v>
      </c>
      <c r="L59">
        <v>-0.57699999999999996</v>
      </c>
      <c r="M59">
        <v>-0.53600000000000003</v>
      </c>
      <c r="N59">
        <v>-0.45100000000000001</v>
      </c>
      <c r="O59">
        <v>-0.443</v>
      </c>
      <c r="P59">
        <v>0.246</v>
      </c>
      <c r="Q59">
        <v>0.247</v>
      </c>
      <c r="R59">
        <v>0.72299999999999998</v>
      </c>
      <c r="S59">
        <v>0.66400000000000003</v>
      </c>
      <c r="T59">
        <v>0.43099999999999999</v>
      </c>
      <c r="U59">
        <v>-0.48299999999999998</v>
      </c>
      <c r="V59">
        <v>0.32800000000000001</v>
      </c>
      <c r="W59">
        <v>-0.157</v>
      </c>
      <c r="X59">
        <v>-0.64200000000000002</v>
      </c>
      <c r="Y59">
        <v>-0.53400000000000003</v>
      </c>
      <c r="Z59">
        <v>-0.82799999999999996</v>
      </c>
      <c r="AA59">
        <v>-0.27300000000000002</v>
      </c>
      <c r="AB59">
        <v>3.5000000000000003E-2</v>
      </c>
      <c r="AC59">
        <v>-0.38300000000000001</v>
      </c>
      <c r="AD59">
        <v>0.217</v>
      </c>
      <c r="AE59">
        <v>-6.7000000000000004E-2</v>
      </c>
      <c r="AF59">
        <v>0.27300000000000002</v>
      </c>
      <c r="AG59">
        <v>0.45500000000000002</v>
      </c>
      <c r="AH59">
        <v>0.183</v>
      </c>
      <c r="AI59">
        <v>0.57399999999999995</v>
      </c>
      <c r="AJ59">
        <v>0.14799999999999999</v>
      </c>
      <c r="AK59">
        <v>-6.9000000000000006E-2</v>
      </c>
      <c r="AL59">
        <v>-0.26200000000000001</v>
      </c>
      <c r="AM59">
        <v>-0.16200000000000001</v>
      </c>
      <c r="AN59">
        <v>-0.17199999999999999</v>
      </c>
      <c r="AO59">
        <v>0.84399999999999997</v>
      </c>
      <c r="AP59">
        <v>9.8000000000000004E-2</v>
      </c>
      <c r="AQ59">
        <v>0.107</v>
      </c>
      <c r="AR59">
        <v>-0.70899999999999996</v>
      </c>
      <c r="AS59">
        <v>-0.61299999999999999</v>
      </c>
      <c r="AT59">
        <v>-8.6999999999999994E-2</v>
      </c>
      <c r="AU59">
        <v>0.248</v>
      </c>
      <c r="AV59">
        <v>6.4000000000000001E-2</v>
      </c>
      <c r="AW59">
        <v>0.106</v>
      </c>
      <c r="AX59">
        <v>-0.61299999999999999</v>
      </c>
      <c r="AY59">
        <v>0.80800000000000005</v>
      </c>
      <c r="AZ59">
        <v>-0.73</v>
      </c>
      <c r="BA59">
        <v>-0.38700000000000001</v>
      </c>
      <c r="BE59" s="20"/>
      <c r="BF59" s="21"/>
      <c r="BG59" s="21"/>
      <c r="BH59" s="21"/>
      <c r="BL59" t="s">
        <v>217</v>
      </c>
      <c r="BM59" t="s">
        <v>278</v>
      </c>
      <c r="BN59" t="s">
        <v>287</v>
      </c>
    </row>
    <row r="60" spans="1:66" ht="15" thickBot="1" x14ac:dyDescent="0.35">
      <c r="A60" t="s">
        <v>169</v>
      </c>
      <c r="B60">
        <v>0.55300000000000005</v>
      </c>
      <c r="C60">
        <v>0.55200000000000005</v>
      </c>
      <c r="D60" t="s">
        <v>57</v>
      </c>
      <c r="E60">
        <v>0</v>
      </c>
      <c r="F60">
        <v>-2E-3</v>
      </c>
      <c r="G60">
        <v>2E-3</v>
      </c>
      <c r="H60">
        <v>-0.72399999999999998</v>
      </c>
      <c r="I60">
        <v>-0.65100000000000002</v>
      </c>
      <c r="J60">
        <v>-0.71699999999999997</v>
      </c>
      <c r="K60">
        <v>-0.76700000000000002</v>
      </c>
      <c r="L60">
        <v>-0.71499999999999997</v>
      </c>
      <c r="M60">
        <v>-0.71199999999999997</v>
      </c>
      <c r="N60">
        <v>-0.66600000000000004</v>
      </c>
      <c r="O60">
        <v>-0.73099999999999998</v>
      </c>
      <c r="P60">
        <v>0.24299999999999999</v>
      </c>
      <c r="Q60">
        <v>0.245</v>
      </c>
      <c r="R60">
        <v>0.54300000000000004</v>
      </c>
      <c r="S60">
        <v>0.65</v>
      </c>
      <c r="T60">
        <v>0.23100000000000001</v>
      </c>
      <c r="U60">
        <v>-0.97199999999999998</v>
      </c>
      <c r="V60">
        <v>0.11</v>
      </c>
      <c r="W60">
        <v>-0.499</v>
      </c>
      <c r="X60">
        <v>-0.79700000000000004</v>
      </c>
      <c r="Y60">
        <v>-0.79200000000000004</v>
      </c>
      <c r="Z60">
        <v>-0.54900000000000004</v>
      </c>
      <c r="AA60">
        <v>-0.27300000000000002</v>
      </c>
      <c r="AB60">
        <v>-0.59699999999999998</v>
      </c>
      <c r="AC60">
        <v>-0.38300000000000001</v>
      </c>
      <c r="AD60">
        <v>0.221</v>
      </c>
      <c r="AE60">
        <v>-0.115</v>
      </c>
      <c r="AF60">
        <v>0.153</v>
      </c>
      <c r="AG60">
        <v>0.42</v>
      </c>
      <c r="AH60">
        <v>0.19500000000000001</v>
      </c>
      <c r="AI60">
        <v>-4.3999999999999997E-2</v>
      </c>
      <c r="AJ60">
        <v>0.28499999999999998</v>
      </c>
      <c r="AK60">
        <v>-6.9000000000000006E-2</v>
      </c>
      <c r="AL60">
        <v>-0.63700000000000001</v>
      </c>
      <c r="AM60">
        <v>3.9E-2</v>
      </c>
      <c r="AN60">
        <v>-0.17799999999999999</v>
      </c>
      <c r="AO60">
        <v>0.75</v>
      </c>
      <c r="AP60">
        <v>0.438</v>
      </c>
      <c r="AQ60">
        <v>0.46700000000000003</v>
      </c>
      <c r="AR60">
        <v>-0.50700000000000001</v>
      </c>
      <c r="AS60">
        <v>-0.54600000000000004</v>
      </c>
      <c r="AT60">
        <v>-0.39200000000000002</v>
      </c>
      <c r="AU60">
        <v>0.436</v>
      </c>
      <c r="AV60">
        <v>0.157</v>
      </c>
      <c r="AW60">
        <v>-1.6E-2</v>
      </c>
      <c r="AX60">
        <v>-0.64900000000000002</v>
      </c>
      <c r="AY60">
        <v>0.99</v>
      </c>
      <c r="AZ60">
        <v>0.56799999999999995</v>
      </c>
      <c r="BA60">
        <v>-0.38700000000000001</v>
      </c>
      <c r="BE60" s="20"/>
      <c r="BF60" s="21"/>
      <c r="BG60" s="21"/>
      <c r="BH60" s="21"/>
      <c r="BL60" t="s">
        <v>254</v>
      </c>
      <c r="BM60" t="s">
        <v>278</v>
      </c>
      <c r="BN60" t="s">
        <v>287</v>
      </c>
    </row>
    <row r="61" spans="1:66" ht="15" thickBot="1" x14ac:dyDescent="0.35">
      <c r="A61" t="s">
        <v>100</v>
      </c>
      <c r="B61">
        <v>3.1320000000000001</v>
      </c>
      <c r="C61">
        <v>3.827</v>
      </c>
      <c r="D61" t="s">
        <v>68</v>
      </c>
      <c r="E61">
        <v>0</v>
      </c>
      <c r="F61">
        <v>0</v>
      </c>
      <c r="G61">
        <v>0</v>
      </c>
      <c r="H61">
        <v>0.72099999999999997</v>
      </c>
      <c r="I61">
        <v>0.878</v>
      </c>
      <c r="J61">
        <v>0.70799999999999996</v>
      </c>
      <c r="K61">
        <v>0.28199999999999997</v>
      </c>
      <c r="L61">
        <v>0.70599999999999996</v>
      </c>
      <c r="M61">
        <v>0.77800000000000002</v>
      </c>
      <c r="N61">
        <v>0.84</v>
      </c>
      <c r="O61">
        <v>0.77</v>
      </c>
      <c r="P61">
        <v>0.98199999999999998</v>
      </c>
      <c r="Q61">
        <v>0.98199999999999998</v>
      </c>
      <c r="R61">
        <v>0.92100000000000004</v>
      </c>
      <c r="S61">
        <v>0.97399999999999998</v>
      </c>
      <c r="T61">
        <v>0.97599999999999998</v>
      </c>
      <c r="U61">
        <v>-0.33400000000000002</v>
      </c>
      <c r="V61">
        <v>-0.29599999999999999</v>
      </c>
      <c r="W61">
        <v>0.308</v>
      </c>
      <c r="X61">
        <v>0.127</v>
      </c>
      <c r="Y61">
        <v>0.94699999999999995</v>
      </c>
      <c r="Z61">
        <v>-0.13500000000000001</v>
      </c>
      <c r="AA61">
        <v>-4.5999999999999999E-2</v>
      </c>
      <c r="AB61">
        <v>0.33</v>
      </c>
      <c r="AC61">
        <v>-0.42599999999999999</v>
      </c>
      <c r="AD61">
        <v>0.436</v>
      </c>
      <c r="AE61">
        <v>0.439</v>
      </c>
      <c r="AF61">
        <v>0.29399999999999998</v>
      </c>
      <c r="AG61">
        <v>-4.3999999999999997E-2</v>
      </c>
      <c r="AH61">
        <v>0.28000000000000003</v>
      </c>
      <c r="AI61">
        <v>0.16900000000000001</v>
      </c>
      <c r="AJ61">
        <v>0.36</v>
      </c>
      <c r="AK61">
        <v>-0.14299999999999999</v>
      </c>
      <c r="AL61">
        <v>-0.152</v>
      </c>
      <c r="AM61">
        <v>0.73299999999999998</v>
      </c>
      <c r="AN61">
        <v>0.49399999999999999</v>
      </c>
      <c r="AO61">
        <v>0.90500000000000003</v>
      </c>
      <c r="AP61">
        <v>0.70599999999999996</v>
      </c>
      <c r="AQ61">
        <v>0.81399999999999995</v>
      </c>
      <c r="AR61">
        <v>-0.14399999999999999</v>
      </c>
      <c r="AS61">
        <v>-0.183</v>
      </c>
      <c r="AT61">
        <v>-4.4999999999999998E-2</v>
      </c>
      <c r="AU61">
        <v>0.26900000000000002</v>
      </c>
      <c r="AV61">
        <v>0.31</v>
      </c>
      <c r="AW61">
        <v>1</v>
      </c>
      <c r="AX61">
        <v>-0.443</v>
      </c>
      <c r="AY61">
        <v>-2.3E-2</v>
      </c>
      <c r="AZ61">
        <v>0.85799999999999998</v>
      </c>
      <c r="BA61">
        <v>0.28599999999999998</v>
      </c>
      <c r="BE61" s="20"/>
      <c r="BF61" s="21"/>
      <c r="BG61" s="21"/>
      <c r="BH61" s="21"/>
      <c r="BL61" t="s">
        <v>155</v>
      </c>
      <c r="BM61" t="s">
        <v>280</v>
      </c>
      <c r="BN61" t="s">
        <v>282</v>
      </c>
    </row>
    <row r="62" spans="1:66" ht="15" thickBot="1" x14ac:dyDescent="0.35">
      <c r="A62" t="s">
        <v>175</v>
      </c>
      <c r="B62">
        <v>0.495</v>
      </c>
      <c r="C62">
        <v>0.35099999999999998</v>
      </c>
      <c r="D62" t="s">
        <v>53</v>
      </c>
      <c r="E62">
        <v>0</v>
      </c>
      <c r="F62">
        <v>0</v>
      </c>
      <c r="G62">
        <v>0</v>
      </c>
      <c r="H62">
        <v>-0.61499999999999999</v>
      </c>
      <c r="I62">
        <v>-0.9</v>
      </c>
      <c r="J62">
        <v>-0.51500000000000001</v>
      </c>
      <c r="K62">
        <v>-0.66900000000000004</v>
      </c>
      <c r="L62">
        <v>-0.81599999999999995</v>
      </c>
      <c r="M62">
        <v>-0.875</v>
      </c>
      <c r="N62">
        <v>-0.90600000000000003</v>
      </c>
      <c r="O62">
        <v>-0.93700000000000006</v>
      </c>
      <c r="P62">
        <v>-0.36099999999999999</v>
      </c>
      <c r="Q62">
        <v>-0.36399999999999999</v>
      </c>
      <c r="R62">
        <v>-0.31</v>
      </c>
      <c r="S62">
        <v>-0.216</v>
      </c>
      <c r="T62">
        <v>-0.53</v>
      </c>
      <c r="U62">
        <v>0.223</v>
      </c>
      <c r="V62">
        <v>1</v>
      </c>
      <c r="W62">
        <v>-0.65500000000000003</v>
      </c>
      <c r="X62">
        <v>1</v>
      </c>
      <c r="Y62">
        <v>-0.64200000000000002</v>
      </c>
      <c r="Z62">
        <v>-0.28899999999999998</v>
      </c>
      <c r="AA62">
        <v>0.76</v>
      </c>
      <c r="AB62">
        <v>-1</v>
      </c>
      <c r="AC62">
        <v>0.68300000000000005</v>
      </c>
      <c r="AD62">
        <v>-2.5000000000000001E-2</v>
      </c>
      <c r="AE62">
        <v>-0.94</v>
      </c>
      <c r="AF62">
        <v>-1</v>
      </c>
      <c r="AG62">
        <v>-6.5000000000000002E-2</v>
      </c>
      <c r="AH62">
        <v>0.33200000000000002</v>
      </c>
      <c r="AI62">
        <v>0.14699999999999999</v>
      </c>
      <c r="AJ62">
        <v>-0.23699999999999999</v>
      </c>
      <c r="AK62">
        <v>-0.36799999999999999</v>
      </c>
      <c r="AL62">
        <v>4.7E-2</v>
      </c>
      <c r="AM62">
        <v>-0.61299999999999999</v>
      </c>
      <c r="AN62">
        <v>-0.34499999999999997</v>
      </c>
      <c r="AO62">
        <v>0.27700000000000002</v>
      </c>
      <c r="AP62">
        <v>-0.17199999999999999</v>
      </c>
      <c r="AQ62">
        <v>-0.10100000000000001</v>
      </c>
      <c r="AR62">
        <v>0.45600000000000002</v>
      </c>
      <c r="AS62">
        <v>0.48899999999999999</v>
      </c>
      <c r="AT62">
        <v>0.14299999999999999</v>
      </c>
      <c r="AU62">
        <v>0.48899999999999999</v>
      </c>
      <c r="AV62">
        <v>-0.38500000000000001</v>
      </c>
      <c r="AW62">
        <v>-0.876</v>
      </c>
      <c r="AX62">
        <v>0.218</v>
      </c>
      <c r="AY62">
        <v>0.52400000000000002</v>
      </c>
      <c r="AZ62">
        <v>-0.69899999999999995</v>
      </c>
      <c r="BA62">
        <v>0.76</v>
      </c>
      <c r="BE62" s="20"/>
      <c r="BF62" s="21"/>
      <c r="BG62" s="21"/>
      <c r="BH62" s="21"/>
      <c r="BL62" t="s">
        <v>213</v>
      </c>
      <c r="BM62" t="s">
        <v>291</v>
      </c>
      <c r="BN62" t="s">
        <v>283</v>
      </c>
    </row>
    <row r="63" spans="1:66" ht="15" thickBot="1" x14ac:dyDescent="0.35">
      <c r="A63" t="s">
        <v>193</v>
      </c>
      <c r="B63">
        <v>0.60299999999999998</v>
      </c>
      <c r="C63">
        <v>0.8</v>
      </c>
      <c r="D63" t="s">
        <v>55</v>
      </c>
      <c r="E63">
        <v>0</v>
      </c>
      <c r="F63">
        <v>0</v>
      </c>
      <c r="G63">
        <v>0</v>
      </c>
      <c r="H63">
        <v>-0.86499999999999999</v>
      </c>
      <c r="I63">
        <v>-0.29099999999999998</v>
      </c>
      <c r="J63">
        <v>-0.94699999999999995</v>
      </c>
      <c r="K63">
        <v>-0.749</v>
      </c>
      <c r="L63">
        <v>-0.64300000000000002</v>
      </c>
      <c r="M63">
        <v>-0.625</v>
      </c>
      <c r="N63">
        <v>-0.41099999999999998</v>
      </c>
      <c r="O63">
        <v>-0.39500000000000002</v>
      </c>
      <c r="P63">
        <v>0.435</v>
      </c>
      <c r="Q63">
        <v>0.44400000000000001</v>
      </c>
      <c r="R63">
        <v>0.64500000000000002</v>
      </c>
      <c r="S63">
        <v>0.55200000000000005</v>
      </c>
      <c r="T63">
        <v>0.46100000000000002</v>
      </c>
      <c r="U63">
        <v>-0.83399999999999996</v>
      </c>
      <c r="V63">
        <v>-0.77700000000000002</v>
      </c>
      <c r="W63">
        <v>0.69</v>
      </c>
      <c r="X63">
        <v>-0.89600000000000002</v>
      </c>
      <c r="Y63">
        <v>-0.39400000000000002</v>
      </c>
      <c r="Z63">
        <v>-0.98599999999999999</v>
      </c>
      <c r="AA63">
        <v>-0.245</v>
      </c>
      <c r="AB63">
        <v>-0.45500000000000002</v>
      </c>
      <c r="AC63">
        <v>-0.41399999999999998</v>
      </c>
      <c r="AD63">
        <v>-0.49</v>
      </c>
      <c r="AE63">
        <v>0.45300000000000001</v>
      </c>
      <c r="AF63">
        <v>0.68799999999999994</v>
      </c>
      <c r="AG63">
        <v>-0.128</v>
      </c>
      <c r="AH63">
        <v>-0.33</v>
      </c>
      <c r="AI63">
        <v>-0.80900000000000005</v>
      </c>
      <c r="AJ63">
        <v>0.16300000000000001</v>
      </c>
      <c r="AK63">
        <v>-0.124</v>
      </c>
      <c r="AL63">
        <v>-0.438</v>
      </c>
      <c r="AM63">
        <v>0.48899999999999999</v>
      </c>
      <c r="AN63">
        <v>-0.72499999999999998</v>
      </c>
      <c r="AO63">
        <v>0.94199999999999995</v>
      </c>
      <c r="AP63">
        <v>0.26800000000000002</v>
      </c>
      <c r="AQ63">
        <v>-0.56599999999999995</v>
      </c>
      <c r="AR63">
        <v>-0.33500000000000002</v>
      </c>
      <c r="AS63">
        <v>-0.53500000000000003</v>
      </c>
      <c r="AT63">
        <v>0.11899999999999999</v>
      </c>
      <c r="AU63">
        <v>-0.113</v>
      </c>
      <c r="AV63">
        <v>0.55400000000000005</v>
      </c>
      <c r="AW63">
        <v>0.77600000000000002</v>
      </c>
      <c r="AX63">
        <v>-0.433</v>
      </c>
      <c r="AY63">
        <v>2.4E-2</v>
      </c>
      <c r="AZ63">
        <v>-0.214</v>
      </c>
      <c r="BA63">
        <v>-0.22700000000000001</v>
      </c>
      <c r="BE63" s="20"/>
      <c r="BF63" s="21"/>
      <c r="BG63" s="21"/>
      <c r="BH63" s="21"/>
      <c r="BL63" t="s">
        <v>218</v>
      </c>
      <c r="BM63" t="s">
        <v>280</v>
      </c>
      <c r="BN63" t="s">
        <v>283</v>
      </c>
    </row>
    <row r="64" spans="1:66" ht="15" thickBot="1" x14ac:dyDescent="0.35">
      <c r="A64" t="s">
        <v>115</v>
      </c>
      <c r="B64">
        <v>1.7529999999999999</v>
      </c>
      <c r="C64">
        <v>2.0990000000000002</v>
      </c>
      <c r="D64" t="s">
        <v>55</v>
      </c>
      <c r="E64">
        <v>0</v>
      </c>
      <c r="F64">
        <v>0</v>
      </c>
      <c r="G64">
        <v>0</v>
      </c>
      <c r="H64">
        <v>-0.311</v>
      </c>
      <c r="I64">
        <v>0.57199999999999995</v>
      </c>
      <c r="J64">
        <v>-0.626</v>
      </c>
      <c r="K64">
        <v>-0.107</v>
      </c>
      <c r="L64">
        <v>0.17799999999999999</v>
      </c>
      <c r="M64">
        <v>0.183</v>
      </c>
      <c r="N64">
        <v>0.33900000000000002</v>
      </c>
      <c r="O64">
        <v>0.35</v>
      </c>
      <c r="P64">
        <v>0.876</v>
      </c>
      <c r="Q64">
        <v>0.88500000000000001</v>
      </c>
      <c r="R64">
        <v>0.67600000000000005</v>
      </c>
      <c r="S64">
        <v>0.74</v>
      </c>
      <c r="T64">
        <v>0.84499999999999997</v>
      </c>
      <c r="U64">
        <v>-0.45800000000000002</v>
      </c>
      <c r="V64">
        <v>-0.63</v>
      </c>
      <c r="W64">
        <v>1</v>
      </c>
      <c r="X64">
        <v>-0.92800000000000005</v>
      </c>
      <c r="Y64">
        <v>-0.13900000000000001</v>
      </c>
      <c r="Z64">
        <v>-0.98599999999999999</v>
      </c>
      <c r="AA64">
        <v>-0.42899999999999999</v>
      </c>
      <c r="AB64">
        <v>-0.35899999999999999</v>
      </c>
      <c r="AC64">
        <v>-0.308</v>
      </c>
      <c r="AD64">
        <v>-0.45</v>
      </c>
      <c r="AE64">
        <v>0.86299999999999999</v>
      </c>
      <c r="AF64">
        <v>0.64100000000000001</v>
      </c>
      <c r="AG64">
        <v>-0.128</v>
      </c>
      <c r="AH64">
        <v>0.34699999999999998</v>
      </c>
      <c r="AI64">
        <v>0.38500000000000001</v>
      </c>
      <c r="AJ64">
        <v>0.11799999999999999</v>
      </c>
      <c r="AK64">
        <v>-0.17100000000000001</v>
      </c>
      <c r="AL64">
        <v>-7.9000000000000001E-2</v>
      </c>
      <c r="AM64">
        <v>0.82699999999999996</v>
      </c>
      <c r="AN64">
        <v>-0.71299999999999997</v>
      </c>
      <c r="AO64">
        <v>0.98899999999999999</v>
      </c>
      <c r="AP64">
        <v>0.76300000000000001</v>
      </c>
      <c r="AQ64">
        <v>1</v>
      </c>
      <c r="AR64">
        <v>-0.23300000000000001</v>
      </c>
      <c r="AS64">
        <v>-0.53200000000000003</v>
      </c>
      <c r="AT64">
        <v>0.312</v>
      </c>
      <c r="AU64">
        <v>0.36599999999999999</v>
      </c>
      <c r="AV64">
        <v>-0.29799999999999999</v>
      </c>
      <c r="AW64">
        <v>1</v>
      </c>
      <c r="AX64">
        <v>-0.752</v>
      </c>
      <c r="AY64">
        <v>-0.70099999999999996</v>
      </c>
      <c r="AZ64">
        <v>8.6999999999999994E-2</v>
      </c>
      <c r="BA64">
        <v>-0.35099999999999998</v>
      </c>
      <c r="BE64" s="20"/>
      <c r="BF64" s="21"/>
      <c r="BG64" s="21"/>
      <c r="BH64" s="21"/>
      <c r="BL64" t="s">
        <v>80</v>
      </c>
      <c r="BM64" t="s">
        <v>291</v>
      </c>
      <c r="BN64" t="s">
        <v>282</v>
      </c>
    </row>
    <row r="65" spans="1:66" ht="15" thickBot="1" x14ac:dyDescent="0.35">
      <c r="A65" t="s">
        <v>259</v>
      </c>
      <c r="B65">
        <v>0.46899999999999997</v>
      </c>
      <c r="C65">
        <v>0.32900000000000001</v>
      </c>
      <c r="D65" t="s">
        <v>57</v>
      </c>
      <c r="E65">
        <v>0</v>
      </c>
      <c r="F65">
        <v>0</v>
      </c>
      <c r="G65">
        <v>0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-0.79900000000000004</v>
      </c>
      <c r="Q65">
        <v>-0.79700000000000004</v>
      </c>
      <c r="R65">
        <v>-1</v>
      </c>
      <c r="S65">
        <v>-0.14499999999999999</v>
      </c>
      <c r="T65">
        <v>-1</v>
      </c>
      <c r="U65">
        <v>-0.88800000000000001</v>
      </c>
      <c r="V65">
        <v>-0.97499999999999998</v>
      </c>
      <c r="W65">
        <v>-0.88300000000000001</v>
      </c>
      <c r="X65">
        <v>0.27200000000000002</v>
      </c>
      <c r="Y65">
        <v>-0.501</v>
      </c>
      <c r="Z65">
        <v>-0.499</v>
      </c>
      <c r="AA65">
        <v>-0.83199999999999996</v>
      </c>
      <c r="AB65">
        <v>-1</v>
      </c>
      <c r="AC65">
        <v>1</v>
      </c>
      <c r="AD65">
        <v>-0.94899999999999995</v>
      </c>
      <c r="AE65">
        <v>-0.92300000000000004</v>
      </c>
      <c r="AF65">
        <v>-1</v>
      </c>
      <c r="AG65">
        <v>-0.9</v>
      </c>
      <c r="AH65">
        <v>-1</v>
      </c>
      <c r="AI65">
        <v>-0.98499999999999999</v>
      </c>
      <c r="AJ65">
        <v>-0.84599999999999997</v>
      </c>
      <c r="AK65">
        <v>-1</v>
      </c>
      <c r="AL65">
        <v>-0.98299999999999998</v>
      </c>
      <c r="AM65">
        <v>-0.60799999999999998</v>
      </c>
      <c r="AN65">
        <v>-0.61399999999999999</v>
      </c>
      <c r="AO65">
        <v>-0.35899999999999999</v>
      </c>
      <c r="AP65">
        <v>-1</v>
      </c>
      <c r="AQ65">
        <v>-0.51200000000000001</v>
      </c>
      <c r="AR65">
        <v>0.58699999999999997</v>
      </c>
      <c r="AS65">
        <v>0.39700000000000002</v>
      </c>
      <c r="AT65">
        <v>0.217</v>
      </c>
      <c r="AU65">
        <v>1</v>
      </c>
      <c r="AV65">
        <v>0.05</v>
      </c>
      <c r="AW65">
        <v>0.183</v>
      </c>
      <c r="AX65">
        <v>1</v>
      </c>
      <c r="AY65">
        <v>0.54700000000000004</v>
      </c>
      <c r="AZ65">
        <v>-0.24399999999999999</v>
      </c>
      <c r="BA65">
        <v>1</v>
      </c>
      <c r="BE65" s="20"/>
      <c r="BF65" s="21"/>
      <c r="BG65" s="21"/>
      <c r="BH65" s="21"/>
      <c r="BL65" t="s">
        <v>191</v>
      </c>
      <c r="BM65" t="s">
        <v>292</v>
      </c>
      <c r="BN65" t="s">
        <v>279</v>
      </c>
    </row>
    <row r="66" spans="1:66" ht="15" thickBot="1" x14ac:dyDescent="0.35">
      <c r="A66" t="s">
        <v>89</v>
      </c>
      <c r="B66">
        <v>2.8290000000000002</v>
      </c>
      <c r="C66">
        <v>2.6629999999999998</v>
      </c>
      <c r="D66" t="s">
        <v>68</v>
      </c>
      <c r="E66">
        <v>0</v>
      </c>
      <c r="F66">
        <v>0</v>
      </c>
      <c r="G66">
        <v>0</v>
      </c>
      <c r="H66">
        <v>0.69</v>
      </c>
      <c r="I66">
        <v>0.58399999999999996</v>
      </c>
      <c r="J66">
        <v>0.85499999999999998</v>
      </c>
      <c r="K66">
        <v>0.28799999999999998</v>
      </c>
      <c r="L66">
        <v>0.627</v>
      </c>
      <c r="M66">
        <v>0.63900000000000001</v>
      </c>
      <c r="N66">
        <v>0.65200000000000002</v>
      </c>
      <c r="O66">
        <v>0.61299999999999999</v>
      </c>
      <c r="P66">
        <v>0.88500000000000001</v>
      </c>
      <c r="Q66">
        <v>0.89</v>
      </c>
      <c r="R66">
        <v>0.86499999999999999</v>
      </c>
      <c r="S66">
        <v>0.77700000000000002</v>
      </c>
      <c r="T66">
        <v>0.83799999999999997</v>
      </c>
      <c r="U66">
        <v>0.54700000000000004</v>
      </c>
      <c r="V66">
        <v>-0.46300000000000002</v>
      </c>
      <c r="W66">
        <v>-0.245</v>
      </c>
      <c r="X66">
        <v>0.75</v>
      </c>
      <c r="Y66">
        <v>0.26200000000000001</v>
      </c>
      <c r="Z66">
        <v>0.52</v>
      </c>
      <c r="AA66">
        <v>0.35199999999999998</v>
      </c>
      <c r="AB66">
        <v>0.183</v>
      </c>
      <c r="AC66">
        <v>-9.2999999999999999E-2</v>
      </c>
      <c r="AD66">
        <v>0.36</v>
      </c>
      <c r="AE66">
        <v>9.6000000000000002E-2</v>
      </c>
      <c r="AF66">
        <v>-0.436</v>
      </c>
      <c r="AG66">
        <v>-5.7000000000000002E-2</v>
      </c>
      <c r="AH66">
        <v>-0.17</v>
      </c>
      <c r="AI66">
        <v>-0.47899999999999998</v>
      </c>
      <c r="AJ66">
        <v>0.55100000000000005</v>
      </c>
      <c r="AK66">
        <v>-0.246</v>
      </c>
      <c r="AL66">
        <v>0.248</v>
      </c>
      <c r="AM66">
        <v>0.58299999999999996</v>
      </c>
      <c r="AN66">
        <v>0.47899999999999998</v>
      </c>
      <c r="AO66">
        <v>0.86899999999999999</v>
      </c>
      <c r="AP66">
        <v>0.77300000000000002</v>
      </c>
      <c r="AQ66">
        <v>0.88100000000000001</v>
      </c>
      <c r="AR66">
        <v>-3.6999999999999998E-2</v>
      </c>
      <c r="AS66">
        <v>-9.4E-2</v>
      </c>
      <c r="AT66">
        <v>0.248</v>
      </c>
      <c r="AU66">
        <v>0.27200000000000002</v>
      </c>
      <c r="AV66">
        <v>-9.0999999999999998E-2</v>
      </c>
      <c r="AW66">
        <v>0.91800000000000004</v>
      </c>
      <c r="AX66">
        <v>-0.312</v>
      </c>
      <c r="AY66">
        <v>-0.254</v>
      </c>
      <c r="AZ66">
        <v>0.92700000000000005</v>
      </c>
      <c r="BA66">
        <v>0.88300000000000001</v>
      </c>
      <c r="BE66" s="20"/>
      <c r="BF66" s="21"/>
      <c r="BG66" s="21"/>
      <c r="BH66" s="21"/>
      <c r="BL66" t="s">
        <v>181</v>
      </c>
      <c r="BM66" t="s">
        <v>293</v>
      </c>
      <c r="BN66" t="s">
        <v>287</v>
      </c>
    </row>
    <row r="67" spans="1:66" ht="15" thickBot="1" x14ac:dyDescent="0.35">
      <c r="A67" t="s">
        <v>173</v>
      </c>
      <c r="B67">
        <v>0.68400000000000005</v>
      </c>
      <c r="C67">
        <v>1.3320000000000001</v>
      </c>
      <c r="D67" t="s">
        <v>55</v>
      </c>
      <c r="E67">
        <v>0</v>
      </c>
      <c r="F67">
        <v>-2.3E-2</v>
      </c>
      <c r="G67">
        <v>2.3E-2</v>
      </c>
      <c r="H67">
        <v>-0.83899999999999997</v>
      </c>
      <c r="I67">
        <v>-0.122</v>
      </c>
      <c r="J67">
        <v>-0.88400000000000001</v>
      </c>
      <c r="K67">
        <v>-0.76400000000000001</v>
      </c>
      <c r="L67">
        <v>-0.54200000000000004</v>
      </c>
      <c r="M67">
        <v>-0.47299999999999998</v>
      </c>
      <c r="N67">
        <v>-0.08</v>
      </c>
      <c r="O67">
        <v>-3.9E-2</v>
      </c>
      <c r="P67">
        <v>0.51</v>
      </c>
      <c r="Q67">
        <v>0.51500000000000001</v>
      </c>
      <c r="R67">
        <v>0.59499999999999997</v>
      </c>
      <c r="S67">
        <v>0.57099999999999995</v>
      </c>
      <c r="T67">
        <v>0.41499999999999998</v>
      </c>
      <c r="U67">
        <v>-0.87</v>
      </c>
      <c r="V67">
        <v>-0.81399999999999995</v>
      </c>
      <c r="W67">
        <v>-0.17699999999999999</v>
      </c>
      <c r="X67">
        <v>-0.96899999999999997</v>
      </c>
      <c r="Y67">
        <v>-0.70099999999999996</v>
      </c>
      <c r="Z67">
        <v>-0.999</v>
      </c>
      <c r="AA67">
        <v>-0.377</v>
      </c>
      <c r="AB67">
        <v>-0.26800000000000002</v>
      </c>
      <c r="AC67">
        <v>-0.70399999999999996</v>
      </c>
      <c r="AD67">
        <v>-0.48799999999999999</v>
      </c>
      <c r="AE67">
        <v>0.34499999999999997</v>
      </c>
      <c r="AF67">
        <v>0.55300000000000005</v>
      </c>
      <c r="AG67">
        <v>-8.5999999999999993E-2</v>
      </c>
      <c r="AH67">
        <v>-0.189</v>
      </c>
      <c r="AI67">
        <v>-0.41499999999999998</v>
      </c>
      <c r="AJ67">
        <v>0.14299999999999999</v>
      </c>
      <c r="AK67">
        <v>0.36899999999999999</v>
      </c>
      <c r="AL67">
        <v>-0.42399999999999999</v>
      </c>
      <c r="AM67">
        <v>0.75</v>
      </c>
      <c r="AN67">
        <v>-0.66400000000000003</v>
      </c>
      <c r="AO67">
        <v>0.83499999999999996</v>
      </c>
      <c r="AP67">
        <v>1</v>
      </c>
      <c r="AQ67">
        <v>-0.28000000000000003</v>
      </c>
      <c r="AR67">
        <v>-0.47299999999999998</v>
      </c>
      <c r="AS67">
        <v>-0.71799999999999997</v>
      </c>
      <c r="AT67">
        <v>5.6000000000000001E-2</v>
      </c>
      <c r="AU67">
        <v>-0.58499999999999996</v>
      </c>
      <c r="AV67">
        <v>0.17100000000000001</v>
      </c>
      <c r="AW67">
        <v>0.68799999999999994</v>
      </c>
      <c r="AX67">
        <v>-0.36199999999999999</v>
      </c>
      <c r="AY67">
        <v>-0.13</v>
      </c>
      <c r="AZ67">
        <v>0.20300000000000001</v>
      </c>
      <c r="BA67">
        <v>-0.38100000000000001</v>
      </c>
      <c r="BE67" s="20"/>
      <c r="BF67" s="21"/>
      <c r="BG67" s="21"/>
      <c r="BH67" s="21"/>
      <c r="BL67" t="s">
        <v>103</v>
      </c>
      <c r="BM67" t="s">
        <v>290</v>
      </c>
      <c r="BN67" t="s">
        <v>279</v>
      </c>
    </row>
    <row r="68" spans="1:66" ht="15" thickBot="1" x14ac:dyDescent="0.35">
      <c r="A68" t="s">
        <v>241</v>
      </c>
      <c r="B68">
        <v>0.58599999999999997</v>
      </c>
      <c r="C68">
        <v>0.91800000000000004</v>
      </c>
      <c r="D68" t="s">
        <v>57</v>
      </c>
      <c r="E68">
        <v>0</v>
      </c>
      <c r="F68">
        <v>-2.3E-2</v>
      </c>
      <c r="G68">
        <v>2.3E-2</v>
      </c>
      <c r="H68">
        <v>-0.64700000000000002</v>
      </c>
      <c r="I68">
        <v>-0.46500000000000002</v>
      </c>
      <c r="J68">
        <v>-0.88100000000000001</v>
      </c>
      <c r="K68">
        <v>-0.65800000000000003</v>
      </c>
      <c r="L68">
        <v>-0.7</v>
      </c>
      <c r="M68">
        <v>-0.48399999999999999</v>
      </c>
      <c r="N68">
        <v>-0.186</v>
      </c>
      <c r="O68">
        <v>-0.66100000000000003</v>
      </c>
      <c r="P68">
        <v>0.23899999999999999</v>
      </c>
      <c r="Q68">
        <v>0.24</v>
      </c>
      <c r="R68">
        <v>0.6</v>
      </c>
      <c r="S68">
        <v>0.64900000000000002</v>
      </c>
      <c r="T68">
        <v>0.30199999999999999</v>
      </c>
      <c r="U68">
        <v>-0.73699999999999999</v>
      </c>
      <c r="V68">
        <v>-6.6000000000000003E-2</v>
      </c>
      <c r="W68">
        <v>-0.47399999999999998</v>
      </c>
      <c r="X68">
        <v>-0.90400000000000003</v>
      </c>
      <c r="Y68">
        <v>-0.79200000000000004</v>
      </c>
      <c r="Z68">
        <v>-0.86399999999999999</v>
      </c>
      <c r="AA68">
        <v>-0.16600000000000001</v>
      </c>
      <c r="AB68">
        <v>-0.66200000000000003</v>
      </c>
      <c r="AC68">
        <v>-0.61499999999999999</v>
      </c>
      <c r="AD68">
        <v>0.65600000000000003</v>
      </c>
      <c r="AE68">
        <v>-9.8000000000000004E-2</v>
      </c>
      <c r="AF68">
        <v>0.748</v>
      </c>
      <c r="AG68">
        <v>0.56599999999999995</v>
      </c>
      <c r="AH68">
        <v>0.66700000000000004</v>
      </c>
      <c r="AI68">
        <v>0.19900000000000001</v>
      </c>
      <c r="AJ68">
        <v>5.1999999999999998E-2</v>
      </c>
      <c r="AK68">
        <v>0.28799999999999998</v>
      </c>
      <c r="AL68">
        <v>-0.18</v>
      </c>
      <c r="AM68">
        <v>0.23699999999999999</v>
      </c>
      <c r="AN68">
        <v>-0.35</v>
      </c>
      <c r="AO68">
        <v>0.77400000000000002</v>
      </c>
      <c r="AP68">
        <v>-0.28199999999999997</v>
      </c>
      <c r="AQ68">
        <v>0.28299999999999997</v>
      </c>
      <c r="AR68">
        <v>8.9999999999999993E-3</v>
      </c>
      <c r="AS68">
        <v>-0.52800000000000002</v>
      </c>
      <c r="AT68">
        <v>-7.4999999999999997E-2</v>
      </c>
      <c r="AU68">
        <v>0.224</v>
      </c>
      <c r="AV68">
        <v>-0.47699999999999998</v>
      </c>
      <c r="AW68">
        <v>0.57899999999999996</v>
      </c>
      <c r="AX68">
        <v>-8.6999999999999994E-2</v>
      </c>
      <c r="AY68">
        <v>0.22500000000000001</v>
      </c>
      <c r="AZ68">
        <v>-0.379</v>
      </c>
      <c r="BA68">
        <v>-0.63300000000000001</v>
      </c>
      <c r="BE68" s="20"/>
      <c r="BF68" s="21"/>
      <c r="BG68" s="21"/>
      <c r="BH68" s="21"/>
      <c r="BL68" t="s">
        <v>108</v>
      </c>
      <c r="BM68" t="s">
        <v>280</v>
      </c>
      <c r="BN68" t="s">
        <v>282</v>
      </c>
    </row>
    <row r="69" spans="1:66" ht="15" thickBot="1" x14ac:dyDescent="0.35">
      <c r="A69" t="s">
        <v>102</v>
      </c>
      <c r="B69">
        <v>0.72899999999999998</v>
      </c>
      <c r="C69">
        <v>0.64400000000000002</v>
      </c>
      <c r="D69" t="s">
        <v>57</v>
      </c>
      <c r="E69">
        <v>0</v>
      </c>
      <c r="F69">
        <v>-1.0999999999999999E-2</v>
      </c>
      <c r="G69">
        <v>1.0999999999999999E-2</v>
      </c>
      <c r="H69">
        <v>-0.29799999999999999</v>
      </c>
      <c r="I69">
        <v>-0.31900000000000001</v>
      </c>
      <c r="J69">
        <v>-0.57399999999999995</v>
      </c>
      <c r="K69">
        <v>-4.7E-2</v>
      </c>
      <c r="L69">
        <v>-0.221</v>
      </c>
      <c r="M69">
        <v>-0.33300000000000002</v>
      </c>
      <c r="N69">
        <v>-0.29199999999999998</v>
      </c>
      <c r="O69">
        <v>-0.51700000000000002</v>
      </c>
      <c r="P69">
        <v>0.309</v>
      </c>
      <c r="Q69">
        <v>0.309</v>
      </c>
      <c r="R69">
        <v>0.72799999999999998</v>
      </c>
      <c r="S69">
        <v>0.68100000000000005</v>
      </c>
      <c r="T69">
        <v>0.48499999999999999</v>
      </c>
      <c r="U69">
        <v>0.63400000000000001</v>
      </c>
      <c r="V69">
        <v>0.81100000000000005</v>
      </c>
      <c r="W69">
        <v>5.3999999999999999E-2</v>
      </c>
      <c r="X69">
        <v>-0.39800000000000002</v>
      </c>
      <c r="Y69">
        <v>-0.49099999999999999</v>
      </c>
      <c r="Z69">
        <v>7.2999999999999995E-2</v>
      </c>
      <c r="AA69">
        <v>-0.13100000000000001</v>
      </c>
      <c r="AB69">
        <v>-0.68400000000000005</v>
      </c>
      <c r="AC69">
        <v>0.39800000000000002</v>
      </c>
      <c r="AD69">
        <v>0.61499999999999999</v>
      </c>
      <c r="AE69">
        <v>2.8000000000000001E-2</v>
      </c>
      <c r="AF69">
        <v>-0.60799999999999998</v>
      </c>
      <c r="AG69">
        <v>0.61599999999999999</v>
      </c>
      <c r="AH69">
        <v>-0.73599999999999999</v>
      </c>
      <c r="AI69">
        <v>-0.61</v>
      </c>
      <c r="AJ69">
        <v>3.5000000000000003E-2</v>
      </c>
      <c r="AK69">
        <v>9.5000000000000001E-2</v>
      </c>
      <c r="AL69">
        <v>0.44600000000000001</v>
      </c>
      <c r="AM69">
        <v>-0.39500000000000002</v>
      </c>
      <c r="AN69">
        <v>-0.503</v>
      </c>
      <c r="AO69">
        <v>0.84</v>
      </c>
      <c r="AP69">
        <v>0.22</v>
      </c>
      <c r="AQ69">
        <v>0.39300000000000002</v>
      </c>
      <c r="AR69">
        <v>0.107</v>
      </c>
      <c r="AS69">
        <v>-0.17499999999999999</v>
      </c>
      <c r="AT69">
        <v>0.54100000000000004</v>
      </c>
      <c r="AU69">
        <v>-0.125</v>
      </c>
      <c r="AV69">
        <v>-0.38600000000000001</v>
      </c>
      <c r="AW69">
        <v>0.41</v>
      </c>
      <c r="AX69">
        <v>-0.33800000000000002</v>
      </c>
      <c r="AY69">
        <v>0.16</v>
      </c>
      <c r="AZ69">
        <v>-0.80300000000000005</v>
      </c>
      <c r="BA69">
        <v>-0.442</v>
      </c>
      <c r="BE69" s="20"/>
      <c r="BF69" s="21"/>
      <c r="BG69" s="21"/>
      <c r="BH69" s="21"/>
      <c r="BL69" t="s">
        <v>104</v>
      </c>
      <c r="BM69" t="s">
        <v>280</v>
      </c>
      <c r="BN69" t="s">
        <v>282</v>
      </c>
    </row>
    <row r="70" spans="1:66" ht="15" thickBot="1" x14ac:dyDescent="0.35">
      <c r="A70" t="s">
        <v>153</v>
      </c>
      <c r="B70">
        <v>0.61499999999999999</v>
      </c>
      <c r="C70">
        <v>1.073</v>
      </c>
      <c r="D70" t="s">
        <v>57</v>
      </c>
      <c r="E70">
        <v>0</v>
      </c>
      <c r="F70">
        <v>-2.4E-2</v>
      </c>
      <c r="G70">
        <v>2.4E-2</v>
      </c>
      <c r="H70">
        <v>-0.78</v>
      </c>
      <c r="I70">
        <v>-0.36</v>
      </c>
      <c r="J70">
        <v>-0.94399999999999995</v>
      </c>
      <c r="K70">
        <v>-0.59199999999999997</v>
      </c>
      <c r="L70">
        <v>-0.63100000000000001</v>
      </c>
      <c r="M70">
        <v>-0.61499999999999999</v>
      </c>
      <c r="N70">
        <v>-0.53100000000000003</v>
      </c>
      <c r="O70">
        <v>-0.54600000000000004</v>
      </c>
      <c r="P70">
        <v>0.61499999999999999</v>
      </c>
      <c r="Q70">
        <v>0.62</v>
      </c>
      <c r="R70">
        <v>0.57499999999999996</v>
      </c>
      <c r="S70">
        <v>0.72599999999999998</v>
      </c>
      <c r="T70">
        <v>0.59499999999999997</v>
      </c>
      <c r="U70">
        <v>-0.64700000000000002</v>
      </c>
      <c r="V70">
        <v>-0.52300000000000002</v>
      </c>
      <c r="W70">
        <v>0.53200000000000003</v>
      </c>
      <c r="X70">
        <v>-0.91100000000000003</v>
      </c>
      <c r="Y70">
        <v>-0.38900000000000001</v>
      </c>
      <c r="Z70">
        <v>-0.95199999999999996</v>
      </c>
      <c r="AA70">
        <v>-0.01</v>
      </c>
      <c r="AB70">
        <v>-0.45500000000000002</v>
      </c>
      <c r="AC70">
        <v>-0.47499999999999998</v>
      </c>
      <c r="AD70">
        <v>-5.5E-2</v>
      </c>
      <c r="AE70">
        <v>0.56599999999999995</v>
      </c>
      <c r="AF70">
        <v>0.91400000000000003</v>
      </c>
      <c r="AG70">
        <v>0.32400000000000001</v>
      </c>
      <c r="AH70">
        <v>-0.63</v>
      </c>
      <c r="AI70">
        <v>-0.63700000000000001</v>
      </c>
      <c r="AJ70">
        <v>0.52600000000000002</v>
      </c>
      <c r="AK70">
        <v>-0.49299999999999999</v>
      </c>
      <c r="AL70">
        <v>-0.16200000000000001</v>
      </c>
      <c r="AM70">
        <v>8.5999999999999993E-2</v>
      </c>
      <c r="AN70">
        <v>-0.224</v>
      </c>
      <c r="AO70">
        <v>0.92700000000000005</v>
      </c>
      <c r="AP70">
        <v>-0.26700000000000002</v>
      </c>
      <c r="AQ70">
        <v>0.63700000000000001</v>
      </c>
      <c r="AR70">
        <v>-0.438</v>
      </c>
      <c r="AS70">
        <v>-0.64200000000000002</v>
      </c>
      <c r="AT70">
        <v>0.17499999999999999</v>
      </c>
      <c r="AU70">
        <v>-0.39800000000000002</v>
      </c>
      <c r="AV70">
        <v>0.29699999999999999</v>
      </c>
      <c r="AW70">
        <v>0.65800000000000003</v>
      </c>
      <c r="AX70">
        <v>-0.57999999999999996</v>
      </c>
      <c r="AY70">
        <v>-0.57599999999999996</v>
      </c>
      <c r="AZ70">
        <v>-0.218</v>
      </c>
      <c r="BA70">
        <v>-0.38900000000000001</v>
      </c>
      <c r="BE70" s="20"/>
      <c r="BF70" s="21"/>
      <c r="BG70" s="21"/>
      <c r="BH70" s="21"/>
      <c r="BL70" t="s">
        <v>124</v>
      </c>
      <c r="BM70" t="s">
        <v>280</v>
      </c>
      <c r="BN70" t="s">
        <v>282</v>
      </c>
    </row>
    <row r="71" spans="1:66" ht="15" thickBot="1" x14ac:dyDescent="0.35">
      <c r="A71" t="s">
        <v>64</v>
      </c>
      <c r="B71">
        <v>2.85</v>
      </c>
      <c r="C71">
        <v>2.4390000000000001</v>
      </c>
      <c r="D71" t="s">
        <v>55</v>
      </c>
      <c r="E71">
        <v>0</v>
      </c>
      <c r="F71">
        <v>0</v>
      </c>
      <c r="G71">
        <v>0</v>
      </c>
      <c r="H71">
        <v>0.55800000000000005</v>
      </c>
      <c r="I71">
        <v>0.86399999999999999</v>
      </c>
      <c r="J71">
        <v>0.32700000000000001</v>
      </c>
      <c r="K71">
        <v>0.80200000000000005</v>
      </c>
      <c r="L71">
        <v>0.90300000000000002</v>
      </c>
      <c r="M71">
        <v>0.68899999999999995</v>
      </c>
      <c r="N71">
        <v>0.70599999999999996</v>
      </c>
      <c r="O71">
        <v>0.66700000000000004</v>
      </c>
      <c r="P71">
        <v>0.83499999999999996</v>
      </c>
      <c r="Q71">
        <v>0.84499999999999997</v>
      </c>
      <c r="R71">
        <v>0.874</v>
      </c>
      <c r="S71">
        <v>0.81399999999999995</v>
      </c>
      <c r="T71">
        <v>0.82699999999999996</v>
      </c>
      <c r="U71">
        <v>0.81100000000000005</v>
      </c>
      <c r="V71">
        <v>0.4</v>
      </c>
      <c r="W71">
        <v>0.73899999999999999</v>
      </c>
      <c r="X71">
        <v>-0.46700000000000003</v>
      </c>
      <c r="Y71">
        <v>-0.51800000000000002</v>
      </c>
      <c r="Z71">
        <v>-0.14499999999999999</v>
      </c>
      <c r="AA71">
        <v>0.48399999999999999</v>
      </c>
      <c r="AB71">
        <v>-0.33300000000000002</v>
      </c>
      <c r="AC71">
        <v>-0.316</v>
      </c>
      <c r="AD71">
        <v>-0.10299999999999999</v>
      </c>
      <c r="AE71">
        <v>0.30399999999999999</v>
      </c>
      <c r="AF71">
        <v>-0.214</v>
      </c>
      <c r="AG71">
        <v>0.27600000000000002</v>
      </c>
      <c r="AH71">
        <v>-0.09</v>
      </c>
      <c r="AI71">
        <v>-6.0999999999999999E-2</v>
      </c>
      <c r="AJ71">
        <v>0.39500000000000002</v>
      </c>
      <c r="AK71">
        <v>0.42399999999999999</v>
      </c>
      <c r="AL71">
        <v>0.53200000000000003</v>
      </c>
      <c r="AM71">
        <v>0.64800000000000002</v>
      </c>
      <c r="AN71">
        <v>-0.08</v>
      </c>
      <c r="AO71">
        <v>0.14899999999999999</v>
      </c>
      <c r="AP71">
        <v>0.95399999999999996</v>
      </c>
      <c r="AQ71">
        <v>0.45600000000000002</v>
      </c>
      <c r="AR71">
        <v>-0.13300000000000001</v>
      </c>
      <c r="AS71">
        <v>0.17899999999999999</v>
      </c>
      <c r="AT71">
        <v>0.29299999999999998</v>
      </c>
      <c r="AU71">
        <v>8.0000000000000002E-3</v>
      </c>
      <c r="AV71">
        <v>0.44900000000000001</v>
      </c>
      <c r="AW71">
        <v>0.23899999999999999</v>
      </c>
      <c r="AX71">
        <v>-0.872</v>
      </c>
      <c r="AY71">
        <v>0.109</v>
      </c>
      <c r="AZ71">
        <v>0.96199999999999997</v>
      </c>
      <c r="BA71">
        <v>0.11799999999999999</v>
      </c>
      <c r="BE71" s="20"/>
      <c r="BF71" s="21"/>
      <c r="BG71" s="21"/>
      <c r="BH71" s="21"/>
      <c r="BL71" t="s">
        <v>142</v>
      </c>
      <c r="BM71" t="s">
        <v>288</v>
      </c>
      <c r="BN71" t="s">
        <v>282</v>
      </c>
    </row>
    <row r="72" spans="1:66" ht="15" thickBot="1" x14ac:dyDescent="0.35">
      <c r="A72" t="s">
        <v>56</v>
      </c>
      <c r="B72">
        <v>2.9329999999999998</v>
      </c>
      <c r="C72">
        <v>3.1230000000000002</v>
      </c>
      <c r="D72" t="s">
        <v>55</v>
      </c>
      <c r="E72">
        <v>0</v>
      </c>
      <c r="F72">
        <v>0</v>
      </c>
      <c r="G72">
        <v>0</v>
      </c>
      <c r="H72">
        <v>0.57499999999999996</v>
      </c>
      <c r="I72">
        <v>0.876</v>
      </c>
      <c r="J72">
        <v>0.247</v>
      </c>
      <c r="K72">
        <v>0.80600000000000005</v>
      </c>
      <c r="L72">
        <v>0.88500000000000001</v>
      </c>
      <c r="M72">
        <v>0.81200000000000006</v>
      </c>
      <c r="N72">
        <v>0.89900000000000002</v>
      </c>
      <c r="O72">
        <v>0.77600000000000002</v>
      </c>
      <c r="P72">
        <v>0.753</v>
      </c>
      <c r="Q72">
        <v>0.76300000000000001</v>
      </c>
      <c r="R72">
        <v>0.86299999999999999</v>
      </c>
      <c r="S72">
        <v>0.84599999999999997</v>
      </c>
      <c r="T72">
        <v>0.79500000000000004</v>
      </c>
      <c r="U72">
        <v>0.875</v>
      </c>
      <c r="V72">
        <v>0.438</v>
      </c>
      <c r="W72">
        <v>0.58199999999999996</v>
      </c>
      <c r="X72">
        <v>-0.45200000000000001</v>
      </c>
      <c r="Y72">
        <v>-0.55600000000000005</v>
      </c>
      <c r="Z72">
        <v>-0.14499999999999999</v>
      </c>
      <c r="AA72">
        <v>0.48399999999999999</v>
      </c>
      <c r="AB72">
        <v>-0.20200000000000001</v>
      </c>
      <c r="AC72">
        <v>-0.316</v>
      </c>
      <c r="AD72">
        <v>-5.1999999999999998E-2</v>
      </c>
      <c r="AE72">
        <v>0.21199999999999999</v>
      </c>
      <c r="AF72">
        <v>-0.20499999999999999</v>
      </c>
      <c r="AG72">
        <v>0.27600000000000002</v>
      </c>
      <c r="AH72">
        <v>-0.09</v>
      </c>
      <c r="AI72">
        <v>-6.0999999999999999E-2</v>
      </c>
      <c r="AJ72">
        <v>0.39500000000000002</v>
      </c>
      <c r="AK72">
        <v>0.42399999999999999</v>
      </c>
      <c r="AL72">
        <v>0.53200000000000003</v>
      </c>
      <c r="AM72">
        <v>0.75600000000000001</v>
      </c>
      <c r="AN72">
        <v>-0.08</v>
      </c>
      <c r="AO72">
        <v>0.14899999999999999</v>
      </c>
      <c r="AP72">
        <v>0.83699999999999997</v>
      </c>
      <c r="AQ72">
        <v>0.89800000000000002</v>
      </c>
      <c r="AR72">
        <v>-0.13300000000000001</v>
      </c>
      <c r="AS72">
        <v>0.17899999999999999</v>
      </c>
      <c r="AT72">
        <v>0.183</v>
      </c>
      <c r="AU72">
        <v>0.246</v>
      </c>
      <c r="AV72">
        <v>1</v>
      </c>
      <c r="AW72">
        <v>0.439</v>
      </c>
      <c r="AX72">
        <v>-0.752</v>
      </c>
      <c r="AY72">
        <v>-8.5000000000000006E-2</v>
      </c>
      <c r="AZ72">
        <v>0.6</v>
      </c>
      <c r="BA72">
        <v>0.11799999999999999</v>
      </c>
      <c r="BE72" s="20"/>
      <c r="BF72" s="21"/>
      <c r="BG72" s="21"/>
      <c r="BH72" s="21"/>
      <c r="BL72" t="s">
        <v>74</v>
      </c>
      <c r="BM72" t="s">
        <v>290</v>
      </c>
      <c r="BN72" t="s">
        <v>281</v>
      </c>
    </row>
    <row r="73" spans="1:66" ht="15" thickBot="1" x14ac:dyDescent="0.35">
      <c r="A73" t="s">
        <v>70</v>
      </c>
      <c r="B73">
        <v>1.794</v>
      </c>
      <c r="C73">
        <v>2.2589999999999999</v>
      </c>
      <c r="D73" t="s">
        <v>71</v>
      </c>
      <c r="E73">
        <v>0</v>
      </c>
      <c r="F73">
        <v>0</v>
      </c>
      <c r="G73">
        <v>0</v>
      </c>
      <c r="H73">
        <v>-0.40200000000000002</v>
      </c>
      <c r="I73">
        <v>0.16500000000000001</v>
      </c>
      <c r="J73">
        <v>-0.57899999999999996</v>
      </c>
      <c r="K73">
        <v>-0.34799999999999998</v>
      </c>
      <c r="L73">
        <v>-0.11600000000000001</v>
      </c>
      <c r="M73">
        <v>0.28299999999999997</v>
      </c>
      <c r="N73">
        <v>0.61099999999999999</v>
      </c>
      <c r="O73">
        <v>0.66300000000000003</v>
      </c>
      <c r="P73">
        <v>0.77300000000000002</v>
      </c>
      <c r="Q73">
        <v>0.77400000000000002</v>
      </c>
      <c r="R73">
        <v>0.626</v>
      </c>
      <c r="S73">
        <v>0.65700000000000003</v>
      </c>
      <c r="T73">
        <v>0.81</v>
      </c>
      <c r="U73">
        <v>-0.223</v>
      </c>
      <c r="V73">
        <v>-0.92</v>
      </c>
      <c r="W73">
        <v>0.36</v>
      </c>
      <c r="X73">
        <v>-0.55300000000000005</v>
      </c>
      <c r="Y73">
        <v>8.5000000000000006E-2</v>
      </c>
      <c r="Z73">
        <v>-0.51800000000000002</v>
      </c>
      <c r="AA73">
        <v>-0.34</v>
      </c>
      <c r="AB73">
        <v>0.89900000000000002</v>
      </c>
      <c r="AC73">
        <v>-0.42699999999999999</v>
      </c>
      <c r="AD73">
        <v>-0.52600000000000002</v>
      </c>
      <c r="AE73">
        <v>0.76700000000000002</v>
      </c>
      <c r="AF73">
        <v>0.14000000000000001</v>
      </c>
      <c r="AG73">
        <v>-0.93600000000000005</v>
      </c>
      <c r="AH73">
        <v>-1</v>
      </c>
      <c r="AI73">
        <v>-0.67100000000000004</v>
      </c>
      <c r="AJ73">
        <v>-0.26900000000000002</v>
      </c>
      <c r="AK73">
        <v>0.309</v>
      </c>
      <c r="AL73">
        <v>-8.2000000000000003E-2</v>
      </c>
      <c r="AM73">
        <v>0.67800000000000005</v>
      </c>
      <c r="AN73">
        <v>0.04</v>
      </c>
      <c r="AO73">
        <v>0.70099999999999996</v>
      </c>
      <c r="AP73">
        <v>-0.90700000000000003</v>
      </c>
      <c r="AQ73">
        <v>0.98299999999999998</v>
      </c>
      <c r="AR73">
        <v>-0.14799999999999999</v>
      </c>
      <c r="AS73">
        <v>0.46800000000000003</v>
      </c>
      <c r="AT73">
        <v>0.35099999999999998</v>
      </c>
      <c r="AU73">
        <v>7.0000000000000001E-3</v>
      </c>
      <c r="AV73">
        <v>5.8000000000000003E-2</v>
      </c>
      <c r="AW73">
        <v>0.998</v>
      </c>
      <c r="AX73">
        <v>-0.35199999999999998</v>
      </c>
      <c r="AY73">
        <v>-0.34699999999999998</v>
      </c>
      <c r="AZ73">
        <v>1</v>
      </c>
      <c r="BA73">
        <v>8.5000000000000006E-2</v>
      </c>
      <c r="BE73" s="20"/>
      <c r="BF73" s="21"/>
      <c r="BG73" s="21"/>
      <c r="BH73" s="21"/>
      <c r="BL73" t="s">
        <v>106</v>
      </c>
      <c r="BM73" t="s">
        <v>291</v>
      </c>
      <c r="BN73" t="s">
        <v>282</v>
      </c>
    </row>
    <row r="74" spans="1:66" ht="15" thickBot="1" x14ac:dyDescent="0.35">
      <c r="A74" t="s">
        <v>82</v>
      </c>
      <c r="B74">
        <v>1.349</v>
      </c>
      <c r="C74">
        <v>1.6739999999999999</v>
      </c>
      <c r="D74" t="s">
        <v>71</v>
      </c>
      <c r="E74">
        <v>0</v>
      </c>
      <c r="F74">
        <v>0</v>
      </c>
      <c r="G74">
        <v>0</v>
      </c>
      <c r="H74">
        <v>-0.65500000000000003</v>
      </c>
      <c r="I74">
        <v>2.1000000000000001E-2</v>
      </c>
      <c r="J74">
        <v>-0.84299999999999997</v>
      </c>
      <c r="K74">
        <v>-0.44900000000000001</v>
      </c>
      <c r="L74">
        <v>-0.30199999999999999</v>
      </c>
      <c r="M74">
        <v>1.2999999999999999E-2</v>
      </c>
      <c r="N74">
        <v>0.26900000000000002</v>
      </c>
      <c r="O74">
        <v>0.496</v>
      </c>
      <c r="P74">
        <v>0.628</v>
      </c>
      <c r="Q74">
        <v>0.628</v>
      </c>
      <c r="R74">
        <v>0.75600000000000001</v>
      </c>
      <c r="S74">
        <v>0.84299999999999997</v>
      </c>
      <c r="T74">
        <v>0.73399999999999999</v>
      </c>
      <c r="U74">
        <v>-0.26300000000000001</v>
      </c>
      <c r="V74">
        <v>-0.93500000000000005</v>
      </c>
      <c r="W74">
        <v>0.60099999999999998</v>
      </c>
      <c r="X74">
        <v>-0.57599999999999996</v>
      </c>
      <c r="Y74">
        <v>0.32700000000000001</v>
      </c>
      <c r="Z74">
        <v>-0.51800000000000002</v>
      </c>
      <c r="AA74">
        <v>-0.34</v>
      </c>
      <c r="AB74">
        <v>0.82699999999999996</v>
      </c>
      <c r="AC74">
        <v>-0.42699999999999999</v>
      </c>
      <c r="AD74">
        <v>-0.52900000000000003</v>
      </c>
      <c r="AE74">
        <v>0.89</v>
      </c>
      <c r="AF74">
        <v>0.25700000000000001</v>
      </c>
      <c r="AG74">
        <v>-0.93600000000000005</v>
      </c>
      <c r="AH74">
        <v>-1</v>
      </c>
      <c r="AI74">
        <v>-0.66</v>
      </c>
      <c r="AJ74">
        <v>-0.26900000000000002</v>
      </c>
      <c r="AK74">
        <v>6.3E-2</v>
      </c>
      <c r="AL74">
        <v>-8.2000000000000003E-2</v>
      </c>
      <c r="AM74">
        <v>0.56899999999999995</v>
      </c>
      <c r="AN74">
        <v>4.1000000000000002E-2</v>
      </c>
      <c r="AO74">
        <v>0.70799999999999996</v>
      </c>
      <c r="AP74">
        <v>-0.82599999999999996</v>
      </c>
      <c r="AQ74">
        <v>0.02</v>
      </c>
      <c r="AR74">
        <v>-0.14799999999999999</v>
      </c>
      <c r="AS74">
        <v>0.46800000000000003</v>
      </c>
      <c r="AT74">
        <v>0.433</v>
      </c>
      <c r="AU74">
        <v>-0.26200000000000001</v>
      </c>
      <c r="AV74">
        <v>0.2</v>
      </c>
      <c r="AW74">
        <v>0.92100000000000004</v>
      </c>
      <c r="AX74">
        <v>-0.35899999999999999</v>
      </c>
      <c r="AY74">
        <v>-0.182</v>
      </c>
      <c r="AZ74">
        <v>-0.35299999999999998</v>
      </c>
      <c r="BA74">
        <v>8.5000000000000006E-2</v>
      </c>
      <c r="BE74" s="20"/>
      <c r="BF74" s="21"/>
      <c r="BG74" s="21"/>
      <c r="BH74" s="21"/>
      <c r="BL74" t="s">
        <v>229</v>
      </c>
      <c r="BM74" t="s">
        <v>292</v>
      </c>
      <c r="BN74" t="s">
        <v>279</v>
      </c>
    </row>
    <row r="75" spans="1:66" ht="15" thickBot="1" x14ac:dyDescent="0.35">
      <c r="A75" t="s">
        <v>200</v>
      </c>
      <c r="B75">
        <v>0.59799999999999998</v>
      </c>
      <c r="C75">
        <v>1.226</v>
      </c>
      <c r="D75" t="s">
        <v>55</v>
      </c>
      <c r="E75">
        <v>0</v>
      </c>
      <c r="F75">
        <v>-2.3E-2</v>
      </c>
      <c r="G75">
        <v>2.3E-2</v>
      </c>
      <c r="H75">
        <v>-0.73199999999999998</v>
      </c>
      <c r="I75">
        <v>-0.374</v>
      </c>
      <c r="J75">
        <v>-0.88700000000000001</v>
      </c>
      <c r="K75">
        <v>-0.71199999999999997</v>
      </c>
      <c r="L75">
        <v>-0.66700000000000004</v>
      </c>
      <c r="M75">
        <v>-0.46200000000000002</v>
      </c>
      <c r="N75">
        <v>-0.17499999999999999</v>
      </c>
      <c r="O75">
        <v>-0.51700000000000002</v>
      </c>
      <c r="P75">
        <v>0.21099999999999999</v>
      </c>
      <c r="Q75">
        <v>0.217</v>
      </c>
      <c r="R75">
        <v>0.55600000000000005</v>
      </c>
      <c r="S75">
        <v>0.59899999999999998</v>
      </c>
      <c r="T75">
        <v>0.39</v>
      </c>
      <c r="U75">
        <v>-0.55000000000000004</v>
      </c>
      <c r="V75">
        <v>-0.65</v>
      </c>
      <c r="W75">
        <v>-0.16300000000000001</v>
      </c>
      <c r="X75">
        <v>-0.92500000000000004</v>
      </c>
      <c r="Y75">
        <v>-0.73499999999999999</v>
      </c>
      <c r="Z75">
        <v>-0.99199999999999999</v>
      </c>
      <c r="AA75">
        <v>-0.20200000000000001</v>
      </c>
      <c r="AB75">
        <v>-0.58099999999999996</v>
      </c>
      <c r="AC75">
        <v>-0.55100000000000005</v>
      </c>
      <c r="AD75">
        <v>-0.188</v>
      </c>
      <c r="AE75">
        <v>9.6000000000000002E-2</v>
      </c>
      <c r="AF75">
        <v>0.29199999999999998</v>
      </c>
      <c r="AG75">
        <v>-0.16700000000000001</v>
      </c>
      <c r="AH75">
        <v>0.57099999999999995</v>
      </c>
      <c r="AI75">
        <v>-9.9000000000000005E-2</v>
      </c>
      <c r="AJ75">
        <v>0.20499999999999999</v>
      </c>
      <c r="AK75">
        <v>8.8999999999999996E-2</v>
      </c>
      <c r="AL75">
        <v>-0.122</v>
      </c>
      <c r="AM75">
        <v>0.33400000000000002</v>
      </c>
      <c r="AN75">
        <v>-0.70299999999999996</v>
      </c>
      <c r="AO75">
        <v>0.78600000000000003</v>
      </c>
      <c r="AP75">
        <v>0.14499999999999999</v>
      </c>
      <c r="AQ75">
        <v>0.76300000000000001</v>
      </c>
      <c r="AR75">
        <v>-0.40600000000000003</v>
      </c>
      <c r="AS75">
        <v>-0.45400000000000001</v>
      </c>
      <c r="AT75">
        <v>0.22800000000000001</v>
      </c>
      <c r="AU75">
        <v>-0.43099999999999999</v>
      </c>
      <c r="AV75">
        <v>-0.14699999999999999</v>
      </c>
      <c r="AW75">
        <v>0.66200000000000003</v>
      </c>
      <c r="AX75">
        <v>-0.35099999999999998</v>
      </c>
      <c r="AY75">
        <v>0.52200000000000002</v>
      </c>
      <c r="AZ75">
        <v>-0.20399999999999999</v>
      </c>
      <c r="BA75">
        <v>-0.68799999999999994</v>
      </c>
      <c r="BE75" s="20"/>
      <c r="BF75" s="21"/>
      <c r="BG75" s="21"/>
      <c r="BH75" s="21"/>
      <c r="BL75" t="s">
        <v>99</v>
      </c>
      <c r="BM75" t="s">
        <v>294</v>
      </c>
      <c r="BN75" t="s">
        <v>281</v>
      </c>
    </row>
    <row r="76" spans="1:66" ht="15" thickBot="1" x14ac:dyDescent="0.35">
      <c r="A76" t="s">
        <v>110</v>
      </c>
      <c r="B76">
        <v>1.5840000000000001</v>
      </c>
      <c r="C76">
        <v>2.1030000000000002</v>
      </c>
      <c r="D76" t="s">
        <v>57</v>
      </c>
      <c r="E76">
        <v>0</v>
      </c>
      <c r="F76">
        <v>0</v>
      </c>
      <c r="G76">
        <v>0</v>
      </c>
      <c r="H76">
        <v>-0.40500000000000003</v>
      </c>
      <c r="I76">
        <v>0.42399999999999999</v>
      </c>
      <c r="J76">
        <v>-0.73399999999999999</v>
      </c>
      <c r="K76">
        <v>-3.4000000000000002E-2</v>
      </c>
      <c r="L76">
        <v>0.09</v>
      </c>
      <c r="M76">
        <v>2.7E-2</v>
      </c>
      <c r="N76">
        <v>0.19</v>
      </c>
      <c r="O76">
        <v>0.33500000000000002</v>
      </c>
      <c r="P76">
        <v>0.86699999999999999</v>
      </c>
      <c r="Q76">
        <v>0.875</v>
      </c>
      <c r="R76">
        <v>0.68200000000000005</v>
      </c>
      <c r="S76">
        <v>0.77500000000000002</v>
      </c>
      <c r="T76">
        <v>0.77700000000000002</v>
      </c>
      <c r="U76">
        <v>-0.58299999999999996</v>
      </c>
      <c r="V76">
        <v>4.2000000000000003E-2</v>
      </c>
      <c r="W76">
        <v>0.94399999999999995</v>
      </c>
      <c r="X76">
        <v>-0.96299999999999997</v>
      </c>
      <c r="Y76">
        <v>-0.60299999999999998</v>
      </c>
      <c r="Z76">
        <v>-0.96699999999999997</v>
      </c>
      <c r="AA76">
        <v>-0.19400000000000001</v>
      </c>
      <c r="AB76">
        <v>9.8000000000000004E-2</v>
      </c>
      <c r="AC76">
        <v>-0.54800000000000004</v>
      </c>
      <c r="AD76">
        <v>-0.309</v>
      </c>
      <c r="AE76">
        <v>0.753</v>
      </c>
      <c r="AF76">
        <v>0.80700000000000005</v>
      </c>
      <c r="AG76">
        <v>0.27400000000000002</v>
      </c>
      <c r="AH76">
        <v>0.11899999999999999</v>
      </c>
      <c r="AI76">
        <v>-6.3E-2</v>
      </c>
      <c r="AJ76">
        <v>5.1999999999999998E-2</v>
      </c>
      <c r="AK76">
        <v>-0.185</v>
      </c>
      <c r="AL76">
        <v>-0.18099999999999999</v>
      </c>
      <c r="AM76">
        <v>0.48099999999999998</v>
      </c>
      <c r="AN76">
        <v>-0.53500000000000003</v>
      </c>
      <c r="AO76">
        <v>0.89300000000000002</v>
      </c>
      <c r="AP76">
        <v>0.36</v>
      </c>
      <c r="AQ76">
        <v>-0.26700000000000002</v>
      </c>
      <c r="AR76">
        <v>-0.24199999999999999</v>
      </c>
      <c r="AS76">
        <v>-0.24199999999999999</v>
      </c>
      <c r="AT76">
        <v>0.39700000000000002</v>
      </c>
      <c r="AU76">
        <v>-0.28399999999999997</v>
      </c>
      <c r="AV76">
        <v>0.13100000000000001</v>
      </c>
      <c r="AW76">
        <v>0.83399999999999996</v>
      </c>
      <c r="AX76">
        <v>-0.82399999999999995</v>
      </c>
      <c r="AY76">
        <v>-5.7000000000000002E-2</v>
      </c>
      <c r="AZ76">
        <v>0.35099999999999998</v>
      </c>
      <c r="BA76">
        <v>-0.92300000000000004</v>
      </c>
      <c r="BE76" s="20"/>
      <c r="BF76" s="21"/>
      <c r="BG76" s="21"/>
      <c r="BH76" s="21"/>
      <c r="BL76" t="s">
        <v>161</v>
      </c>
      <c r="BM76" t="s">
        <v>286</v>
      </c>
      <c r="BN76" t="s">
        <v>281</v>
      </c>
    </row>
    <row r="77" spans="1:66" ht="15" thickBot="1" x14ac:dyDescent="0.35">
      <c r="A77" t="s">
        <v>156</v>
      </c>
      <c r="B77">
        <v>0.56799999999999995</v>
      </c>
      <c r="C77">
        <v>0.629</v>
      </c>
      <c r="D77" t="s">
        <v>55</v>
      </c>
      <c r="E77">
        <v>0</v>
      </c>
      <c r="F77">
        <v>-6.0000000000000001E-3</v>
      </c>
      <c r="G77">
        <v>6.0000000000000001E-3</v>
      </c>
      <c r="H77">
        <v>-0.74299999999999999</v>
      </c>
      <c r="I77">
        <v>-0.56999999999999995</v>
      </c>
      <c r="J77">
        <v>-0.86699999999999999</v>
      </c>
      <c r="K77">
        <v>-0.59299999999999997</v>
      </c>
      <c r="L77">
        <v>-0.66</v>
      </c>
      <c r="M77">
        <v>-0.66300000000000003</v>
      </c>
      <c r="N77">
        <v>-0.51200000000000001</v>
      </c>
      <c r="O77">
        <v>-0.71299999999999997</v>
      </c>
      <c r="P77">
        <v>0.24399999999999999</v>
      </c>
      <c r="Q77">
        <v>0.247</v>
      </c>
      <c r="R77">
        <v>0.57899999999999996</v>
      </c>
      <c r="S77">
        <v>0.71099999999999997</v>
      </c>
      <c r="T77">
        <v>0.376</v>
      </c>
      <c r="U77">
        <v>-0.82499999999999996</v>
      </c>
      <c r="V77">
        <v>0.27400000000000002</v>
      </c>
      <c r="W77">
        <v>0.58899999999999997</v>
      </c>
      <c r="X77">
        <v>-0.42599999999999999</v>
      </c>
      <c r="Y77">
        <v>-0.40799999999999997</v>
      </c>
      <c r="Z77">
        <v>-0.77700000000000002</v>
      </c>
      <c r="AA77">
        <v>-0.122</v>
      </c>
      <c r="AB77">
        <v>-0.56599999999999995</v>
      </c>
      <c r="AC77">
        <v>-1E-3</v>
      </c>
      <c r="AD77">
        <v>0.22800000000000001</v>
      </c>
      <c r="AE77">
        <v>0.121</v>
      </c>
      <c r="AF77">
        <v>-0.438</v>
      </c>
      <c r="AG77">
        <v>0.57999999999999996</v>
      </c>
      <c r="AH77">
        <v>-0.19800000000000001</v>
      </c>
      <c r="AI77">
        <v>-0.29299999999999998</v>
      </c>
      <c r="AJ77">
        <v>0.11899999999999999</v>
      </c>
      <c r="AK77">
        <v>0.23300000000000001</v>
      </c>
      <c r="AL77">
        <v>-0.32300000000000001</v>
      </c>
      <c r="AM77">
        <v>-0.318</v>
      </c>
      <c r="AN77">
        <v>-0.95699999999999996</v>
      </c>
      <c r="AO77">
        <v>0.92800000000000005</v>
      </c>
      <c r="AP77">
        <v>-0.34499999999999997</v>
      </c>
      <c r="AQ77">
        <v>0.39300000000000002</v>
      </c>
      <c r="AR77">
        <v>-0.70699999999999996</v>
      </c>
      <c r="AS77">
        <v>-1</v>
      </c>
      <c r="AT77">
        <v>5.0000000000000001E-3</v>
      </c>
      <c r="AU77">
        <v>-0.20899999999999999</v>
      </c>
      <c r="AV77">
        <v>0.51600000000000001</v>
      </c>
      <c r="AW77">
        <v>0.13200000000000001</v>
      </c>
      <c r="AX77">
        <v>-0.24199999999999999</v>
      </c>
      <c r="AY77">
        <v>0.93600000000000005</v>
      </c>
      <c r="AZ77">
        <v>-0.25600000000000001</v>
      </c>
      <c r="BA77">
        <v>6.3E-2</v>
      </c>
      <c r="BE77" s="20"/>
      <c r="BF77" s="21"/>
      <c r="BG77" s="21"/>
      <c r="BH77" s="21"/>
      <c r="BL77" t="s">
        <v>162</v>
      </c>
      <c r="BM77" t="s">
        <v>286</v>
      </c>
      <c r="BN77" t="s">
        <v>283</v>
      </c>
    </row>
    <row r="78" spans="1:66" ht="15" thickBot="1" x14ac:dyDescent="0.35">
      <c r="A78" t="s">
        <v>246</v>
      </c>
      <c r="B78">
        <v>0.51600000000000001</v>
      </c>
      <c r="C78">
        <v>0.70099999999999996</v>
      </c>
      <c r="D78" t="s">
        <v>53</v>
      </c>
      <c r="E78">
        <v>0</v>
      </c>
      <c r="F78">
        <v>-1.4999999999999999E-2</v>
      </c>
      <c r="G78">
        <v>1.4999999999999999E-2</v>
      </c>
      <c r="H78">
        <v>-0.80800000000000005</v>
      </c>
      <c r="I78">
        <v>-0.76</v>
      </c>
      <c r="J78">
        <v>-0.86899999999999999</v>
      </c>
      <c r="K78">
        <v>-0.84299999999999997</v>
      </c>
      <c r="L78">
        <v>-0.83</v>
      </c>
      <c r="M78">
        <v>-0.82499999999999996</v>
      </c>
      <c r="N78">
        <v>-0.79600000000000004</v>
      </c>
      <c r="O78">
        <v>-0.81399999999999995</v>
      </c>
      <c r="P78">
        <v>-0.16600000000000001</v>
      </c>
      <c r="Q78">
        <v>-0.16500000000000001</v>
      </c>
      <c r="R78">
        <v>0.44500000000000001</v>
      </c>
      <c r="S78">
        <v>0.56299999999999994</v>
      </c>
      <c r="T78">
        <v>-6.8000000000000005E-2</v>
      </c>
      <c r="U78">
        <v>-1</v>
      </c>
      <c r="V78">
        <v>-0.42</v>
      </c>
      <c r="W78">
        <v>-0.69299999999999995</v>
      </c>
      <c r="X78">
        <v>-0.95099999999999996</v>
      </c>
      <c r="Y78">
        <v>-0.58799999999999997</v>
      </c>
      <c r="Z78">
        <v>-0.51700000000000002</v>
      </c>
      <c r="AA78">
        <v>-0.53100000000000003</v>
      </c>
      <c r="AB78">
        <v>-0.68400000000000005</v>
      </c>
      <c r="AC78">
        <v>-0.53400000000000003</v>
      </c>
      <c r="AD78">
        <v>0.20499999999999999</v>
      </c>
      <c r="AE78">
        <v>-0.02</v>
      </c>
      <c r="AF78">
        <v>0.65</v>
      </c>
      <c r="AG78">
        <v>0.17199999999999999</v>
      </c>
      <c r="AH78">
        <v>0.23100000000000001</v>
      </c>
      <c r="AI78">
        <v>0.254</v>
      </c>
      <c r="AJ78">
        <v>-6.6000000000000003E-2</v>
      </c>
      <c r="AK78">
        <v>-0.19400000000000001</v>
      </c>
      <c r="AL78">
        <v>-0.47</v>
      </c>
      <c r="AM78">
        <v>0.27</v>
      </c>
      <c r="AN78">
        <v>-0.23400000000000001</v>
      </c>
      <c r="AO78">
        <v>0.92400000000000004</v>
      </c>
      <c r="AP78">
        <v>0.20300000000000001</v>
      </c>
      <c r="AQ78">
        <v>0.19600000000000001</v>
      </c>
      <c r="AR78">
        <v>-8.1000000000000003E-2</v>
      </c>
      <c r="AS78">
        <v>8.5999999999999993E-2</v>
      </c>
      <c r="AT78">
        <v>0.28100000000000003</v>
      </c>
      <c r="AU78">
        <v>-0.437</v>
      </c>
      <c r="AV78">
        <v>-1</v>
      </c>
      <c r="AW78">
        <v>-0.45</v>
      </c>
      <c r="AX78">
        <v>-0.182</v>
      </c>
      <c r="AY78">
        <v>0.16400000000000001</v>
      </c>
      <c r="AZ78">
        <v>-9.4E-2</v>
      </c>
      <c r="BA78">
        <v>-0.252</v>
      </c>
      <c r="BE78" s="20"/>
      <c r="BF78" s="21"/>
      <c r="BG78" s="21"/>
      <c r="BH78" s="21"/>
      <c r="BL78" t="s">
        <v>171</v>
      </c>
      <c r="BM78" t="s">
        <v>286</v>
      </c>
      <c r="BN78" t="s">
        <v>283</v>
      </c>
    </row>
    <row r="79" spans="1:66" ht="15" thickBot="1" x14ac:dyDescent="0.35">
      <c r="A79" t="s">
        <v>58</v>
      </c>
      <c r="B79">
        <v>3.0070000000000001</v>
      </c>
      <c r="C79">
        <v>3.0369999999999999</v>
      </c>
      <c r="D79" t="s">
        <v>57</v>
      </c>
      <c r="E79">
        <v>0</v>
      </c>
      <c r="F79">
        <v>0</v>
      </c>
      <c r="G79">
        <v>0</v>
      </c>
      <c r="H79">
        <v>0.69</v>
      </c>
      <c r="I79">
        <v>0.625</v>
      </c>
      <c r="J79">
        <v>0.44800000000000001</v>
      </c>
      <c r="K79">
        <v>0.53200000000000003</v>
      </c>
      <c r="L79">
        <v>0.623</v>
      </c>
      <c r="M79">
        <v>0.90700000000000003</v>
      </c>
      <c r="N79">
        <v>1</v>
      </c>
      <c r="O79">
        <v>1</v>
      </c>
      <c r="P79">
        <v>0.59</v>
      </c>
      <c r="Q79">
        <v>0.59699999999999998</v>
      </c>
      <c r="R79">
        <v>0.79100000000000004</v>
      </c>
      <c r="S79">
        <v>0.77</v>
      </c>
      <c r="T79">
        <v>0.747</v>
      </c>
      <c r="U79">
        <v>0.93400000000000005</v>
      </c>
      <c r="V79">
        <v>-5.0999999999999997E-2</v>
      </c>
      <c r="W79">
        <v>-0.36499999999999999</v>
      </c>
      <c r="X79">
        <v>-8.2000000000000003E-2</v>
      </c>
      <c r="Y79">
        <v>-0.23</v>
      </c>
      <c r="Z79">
        <v>1</v>
      </c>
      <c r="AA79">
        <v>-9.4E-2</v>
      </c>
      <c r="AB79">
        <v>0.94799999999999995</v>
      </c>
      <c r="AC79">
        <v>-0.50600000000000001</v>
      </c>
      <c r="AD79">
        <v>0.65700000000000003</v>
      </c>
      <c r="AE79">
        <v>0.14000000000000001</v>
      </c>
      <c r="AF79">
        <v>1.2999999999999999E-2</v>
      </c>
      <c r="AG79">
        <v>8.1000000000000003E-2</v>
      </c>
      <c r="AH79">
        <v>-1E-3</v>
      </c>
      <c r="AI79">
        <v>-0.46700000000000003</v>
      </c>
      <c r="AJ79">
        <v>0.308</v>
      </c>
      <c r="AK79">
        <v>-7.0000000000000001E-3</v>
      </c>
      <c r="AL79">
        <v>0.38600000000000001</v>
      </c>
      <c r="AM79">
        <v>0.495</v>
      </c>
      <c r="AN79">
        <v>0.83499999999999996</v>
      </c>
      <c r="AO79">
        <v>0.66</v>
      </c>
      <c r="AP79">
        <v>-0.10199999999999999</v>
      </c>
      <c r="AQ79">
        <v>0.44600000000000001</v>
      </c>
      <c r="AR79">
        <v>0.82599999999999996</v>
      </c>
      <c r="AS79">
        <v>0.45300000000000001</v>
      </c>
      <c r="AT79">
        <v>0.58299999999999996</v>
      </c>
      <c r="AU79">
        <v>0.17599999999999999</v>
      </c>
      <c r="AV79">
        <v>5.0000000000000001E-3</v>
      </c>
      <c r="AW79">
        <v>0.93</v>
      </c>
      <c r="AX79">
        <v>-0.23499999999999999</v>
      </c>
      <c r="AY79">
        <v>-0.371</v>
      </c>
      <c r="AZ79">
        <v>0.129</v>
      </c>
      <c r="BA79">
        <v>0.29299999999999998</v>
      </c>
      <c r="BE79" s="20"/>
      <c r="BF79" s="21"/>
      <c r="BG79" s="21"/>
      <c r="BH79" s="21"/>
      <c r="BL79" t="s">
        <v>84</v>
      </c>
      <c r="BM79" t="s">
        <v>286</v>
      </c>
      <c r="BN79" t="s">
        <v>283</v>
      </c>
    </row>
    <row r="80" spans="1:66" ht="15" thickBot="1" x14ac:dyDescent="0.35">
      <c r="A80" t="s">
        <v>207</v>
      </c>
      <c r="B80">
        <v>0.499</v>
      </c>
      <c r="C80">
        <v>0.35</v>
      </c>
      <c r="D80" t="s">
        <v>53</v>
      </c>
      <c r="E80">
        <v>0</v>
      </c>
      <c r="F80">
        <v>0</v>
      </c>
      <c r="G80">
        <v>0</v>
      </c>
      <c r="H80">
        <v>-0.752</v>
      </c>
      <c r="I80">
        <v>-0.86399999999999999</v>
      </c>
      <c r="J80">
        <v>-0.77200000000000002</v>
      </c>
      <c r="K80">
        <v>-0.83599999999999997</v>
      </c>
      <c r="L80">
        <v>-0.874</v>
      </c>
      <c r="M80">
        <v>-0.93400000000000005</v>
      </c>
      <c r="N80">
        <v>-0.94899999999999995</v>
      </c>
      <c r="O80">
        <v>-0.95199999999999996</v>
      </c>
      <c r="P80">
        <v>-0.26</v>
      </c>
      <c r="Q80">
        <v>-0.26200000000000001</v>
      </c>
      <c r="R80">
        <v>-0.29099999999999998</v>
      </c>
      <c r="S80">
        <v>1.2999999999999999E-2</v>
      </c>
      <c r="T80">
        <v>-0.14199999999999999</v>
      </c>
      <c r="U80">
        <v>-0.69</v>
      </c>
      <c r="V80">
        <v>-0.71899999999999997</v>
      </c>
      <c r="W80">
        <v>0.124</v>
      </c>
      <c r="X80">
        <v>-0.35299999999999998</v>
      </c>
      <c r="Y80">
        <v>0.39900000000000002</v>
      </c>
      <c r="Z80">
        <v>-0.79200000000000004</v>
      </c>
      <c r="AA80">
        <v>-0.14099999999999999</v>
      </c>
      <c r="AB80">
        <v>-1</v>
      </c>
      <c r="AC80">
        <v>3.7999999999999999E-2</v>
      </c>
      <c r="AD80">
        <v>-0.29199999999999998</v>
      </c>
      <c r="AE80">
        <v>0.67300000000000004</v>
      </c>
      <c r="AF80">
        <v>-0.58799999999999997</v>
      </c>
      <c r="AG80">
        <v>-0.27700000000000002</v>
      </c>
      <c r="AH80">
        <v>-0.123</v>
      </c>
      <c r="AI80">
        <v>-0.108</v>
      </c>
      <c r="AJ80">
        <v>-0.28599999999999998</v>
      </c>
      <c r="AK80">
        <v>-0.45200000000000001</v>
      </c>
      <c r="AL80">
        <v>-0.48899999999999999</v>
      </c>
      <c r="AM80">
        <v>-0.76200000000000001</v>
      </c>
      <c r="AN80">
        <v>-0.34399999999999997</v>
      </c>
      <c r="AO80">
        <v>0.63600000000000001</v>
      </c>
      <c r="AP80">
        <v>-0.89700000000000002</v>
      </c>
      <c r="AQ80">
        <v>0.90400000000000003</v>
      </c>
      <c r="AR80">
        <v>1</v>
      </c>
      <c r="AS80">
        <v>0.496</v>
      </c>
      <c r="AT80">
        <v>0.84199999999999997</v>
      </c>
      <c r="AU80">
        <v>0.755</v>
      </c>
      <c r="AV80">
        <v>0.28799999999999998</v>
      </c>
      <c r="AW80">
        <v>-0.97399999999999998</v>
      </c>
      <c r="AX80">
        <v>0.84599999999999997</v>
      </c>
      <c r="AY80">
        <v>0.36699999999999999</v>
      </c>
      <c r="AZ80">
        <v>0.58899999999999997</v>
      </c>
      <c r="BA80">
        <v>0.16900000000000001</v>
      </c>
      <c r="BE80" s="20"/>
      <c r="BF80" s="21"/>
      <c r="BG80" s="21"/>
      <c r="BH80" s="21"/>
      <c r="BL80" t="s">
        <v>91</v>
      </c>
      <c r="BM80" t="s">
        <v>294</v>
      </c>
      <c r="BN80" t="s">
        <v>287</v>
      </c>
    </row>
    <row r="81" spans="1:66" ht="15" thickBot="1" x14ac:dyDescent="0.35">
      <c r="A81" t="s">
        <v>220</v>
      </c>
      <c r="B81">
        <v>0.55900000000000005</v>
      </c>
      <c r="C81">
        <v>0.58499999999999996</v>
      </c>
      <c r="D81" t="s">
        <v>57</v>
      </c>
      <c r="E81">
        <v>0</v>
      </c>
      <c r="F81">
        <v>0</v>
      </c>
      <c r="G81">
        <v>0</v>
      </c>
      <c r="H81">
        <v>-0.77400000000000002</v>
      </c>
      <c r="I81">
        <v>-0.63200000000000001</v>
      </c>
      <c r="J81">
        <v>-0.93500000000000005</v>
      </c>
      <c r="K81">
        <v>-0.72799999999999998</v>
      </c>
      <c r="L81">
        <v>-0.76500000000000001</v>
      </c>
      <c r="M81">
        <v>-0.71499999999999997</v>
      </c>
      <c r="N81">
        <v>-0.66400000000000003</v>
      </c>
      <c r="O81">
        <v>-0.69</v>
      </c>
      <c r="P81">
        <v>0.19800000000000001</v>
      </c>
      <c r="Q81">
        <v>0.19900000000000001</v>
      </c>
      <c r="R81">
        <v>0.59899999999999998</v>
      </c>
      <c r="S81">
        <v>0.621</v>
      </c>
      <c r="T81">
        <v>0.42699999999999999</v>
      </c>
      <c r="U81">
        <v>-0.46800000000000003</v>
      </c>
      <c r="V81">
        <v>-0.61199999999999999</v>
      </c>
      <c r="W81">
        <v>-0.32300000000000001</v>
      </c>
      <c r="X81">
        <v>-0.98699999999999999</v>
      </c>
      <c r="Y81">
        <v>-0.78</v>
      </c>
      <c r="Z81">
        <v>-1</v>
      </c>
      <c r="AA81">
        <v>-0.188</v>
      </c>
      <c r="AB81">
        <v>-0.44800000000000001</v>
      </c>
      <c r="AC81">
        <v>-0.497</v>
      </c>
      <c r="AD81">
        <v>0.129</v>
      </c>
      <c r="AE81">
        <v>0.29699999999999999</v>
      </c>
      <c r="AF81">
        <v>0.46600000000000003</v>
      </c>
      <c r="AG81">
        <v>2.3E-2</v>
      </c>
      <c r="AH81">
        <v>0.159</v>
      </c>
      <c r="AI81">
        <v>0.16800000000000001</v>
      </c>
      <c r="AJ81">
        <v>8.3000000000000004E-2</v>
      </c>
      <c r="AK81">
        <v>-0.29699999999999999</v>
      </c>
      <c r="AL81">
        <v>-2.1000000000000001E-2</v>
      </c>
      <c r="AM81">
        <v>-6.9000000000000006E-2</v>
      </c>
      <c r="AN81">
        <v>-0.26</v>
      </c>
      <c r="AO81">
        <v>0.51900000000000002</v>
      </c>
      <c r="AP81">
        <v>-9.5000000000000001E-2</v>
      </c>
      <c r="AQ81">
        <v>0.27300000000000002</v>
      </c>
      <c r="AR81">
        <v>4.1000000000000002E-2</v>
      </c>
      <c r="AS81">
        <v>-0.128</v>
      </c>
      <c r="AT81">
        <v>0.29899999999999999</v>
      </c>
      <c r="AU81">
        <v>-0.52900000000000003</v>
      </c>
      <c r="AV81">
        <v>-0.74099999999999999</v>
      </c>
      <c r="AW81">
        <v>0.19900000000000001</v>
      </c>
      <c r="AX81">
        <v>-0.11799999999999999</v>
      </c>
      <c r="AY81">
        <v>0.4</v>
      </c>
      <c r="AZ81">
        <v>-0.54200000000000004</v>
      </c>
      <c r="BA81">
        <v>-0.52700000000000002</v>
      </c>
      <c r="BE81" s="20"/>
      <c r="BF81" s="21"/>
      <c r="BG81" s="21"/>
      <c r="BH81" s="21"/>
      <c r="BL81" t="s">
        <v>158</v>
      </c>
      <c r="BM81" t="s">
        <v>292</v>
      </c>
      <c r="BN81" t="s">
        <v>279</v>
      </c>
    </row>
    <row r="82" spans="1:66" ht="15" thickBot="1" x14ac:dyDescent="0.35">
      <c r="A82" t="s">
        <v>217</v>
      </c>
      <c r="B82">
        <v>0.54500000000000004</v>
      </c>
      <c r="C82">
        <v>0.496</v>
      </c>
      <c r="D82" t="s">
        <v>57</v>
      </c>
      <c r="E82">
        <v>0</v>
      </c>
      <c r="F82">
        <v>0</v>
      </c>
      <c r="G82">
        <v>0</v>
      </c>
      <c r="H82">
        <v>-0.79</v>
      </c>
      <c r="I82">
        <v>-0.71399999999999997</v>
      </c>
      <c r="J82">
        <v>-0.84899999999999998</v>
      </c>
      <c r="K82">
        <v>-0.82399999999999995</v>
      </c>
      <c r="L82">
        <v>-0.80400000000000005</v>
      </c>
      <c r="M82">
        <v>-0.79900000000000004</v>
      </c>
      <c r="N82">
        <v>-0.78100000000000003</v>
      </c>
      <c r="O82">
        <v>-0.81</v>
      </c>
      <c r="P82">
        <v>8.4000000000000005E-2</v>
      </c>
      <c r="Q82">
        <v>8.8999999999999996E-2</v>
      </c>
      <c r="R82">
        <v>0.65300000000000002</v>
      </c>
      <c r="S82">
        <v>0.72</v>
      </c>
      <c r="T82">
        <v>0.439</v>
      </c>
      <c r="U82">
        <v>-1</v>
      </c>
      <c r="V82">
        <v>-0.34699999999999998</v>
      </c>
      <c r="W82">
        <v>-0.182</v>
      </c>
      <c r="X82">
        <v>-0.999</v>
      </c>
      <c r="Y82">
        <v>-0.65200000000000002</v>
      </c>
      <c r="Z82">
        <v>-0.96799999999999997</v>
      </c>
      <c r="AA82">
        <v>-0.188</v>
      </c>
      <c r="AB82">
        <v>-0.622</v>
      </c>
      <c r="AC82">
        <v>-0.497</v>
      </c>
      <c r="AD82">
        <v>-3.6999999999999998E-2</v>
      </c>
      <c r="AE82">
        <v>8.6999999999999994E-2</v>
      </c>
      <c r="AF82">
        <v>0.41699999999999998</v>
      </c>
      <c r="AG82">
        <v>6.6000000000000003E-2</v>
      </c>
      <c r="AH82">
        <v>0.14399999999999999</v>
      </c>
      <c r="AI82">
        <v>0.124</v>
      </c>
      <c r="AJ82">
        <v>0.17599999999999999</v>
      </c>
      <c r="AK82">
        <v>-0.29699999999999999</v>
      </c>
      <c r="AL82">
        <v>-0.88200000000000001</v>
      </c>
      <c r="AM82">
        <v>-0.188</v>
      </c>
      <c r="AN82">
        <v>-0.255</v>
      </c>
      <c r="AO82">
        <v>0.72599999999999998</v>
      </c>
      <c r="AP82">
        <v>-1.4E-2</v>
      </c>
      <c r="AQ82">
        <v>0.46700000000000003</v>
      </c>
      <c r="AR82">
        <v>-0.16900000000000001</v>
      </c>
      <c r="AS82">
        <v>-0.127</v>
      </c>
      <c r="AT82">
        <v>0.188</v>
      </c>
      <c r="AU82">
        <v>-0.58099999999999996</v>
      </c>
      <c r="AV82">
        <v>-0.84899999999999998</v>
      </c>
      <c r="AW82">
        <v>0</v>
      </c>
      <c r="AX82">
        <v>-0.109</v>
      </c>
      <c r="AY82">
        <v>0.497</v>
      </c>
      <c r="AZ82">
        <v>0.60499999999999998</v>
      </c>
      <c r="BA82">
        <v>-0.52700000000000002</v>
      </c>
      <c r="BE82" s="20"/>
      <c r="BF82" s="21"/>
      <c r="BG82" s="21"/>
      <c r="BH82" s="21"/>
      <c r="BL82" t="s">
        <v>119</v>
      </c>
      <c r="BM82" t="s">
        <v>294</v>
      </c>
      <c r="BN82" t="s">
        <v>281</v>
      </c>
    </row>
    <row r="83" spans="1:66" ht="15" thickBot="1" x14ac:dyDescent="0.35">
      <c r="A83" t="s">
        <v>254</v>
      </c>
      <c r="B83">
        <v>0.50900000000000001</v>
      </c>
      <c r="C83">
        <v>0.53300000000000003</v>
      </c>
      <c r="D83" t="s">
        <v>57</v>
      </c>
      <c r="E83">
        <v>0</v>
      </c>
      <c r="F83">
        <v>-1.7000000000000001E-2</v>
      </c>
      <c r="G83">
        <v>1.7000000000000001E-2</v>
      </c>
      <c r="H83">
        <v>-0.86499999999999999</v>
      </c>
      <c r="I83">
        <v>-0.82299999999999995</v>
      </c>
      <c r="J83">
        <v>-0.95599999999999996</v>
      </c>
      <c r="K83">
        <v>-0.875</v>
      </c>
      <c r="L83">
        <v>-0.89300000000000002</v>
      </c>
      <c r="M83">
        <v>-0.83099999999999996</v>
      </c>
      <c r="N83">
        <v>-0.77700000000000002</v>
      </c>
      <c r="O83">
        <v>-0.88500000000000001</v>
      </c>
      <c r="P83">
        <v>-0.317</v>
      </c>
      <c r="Q83">
        <v>-0.315</v>
      </c>
      <c r="R83">
        <v>0.49299999999999999</v>
      </c>
      <c r="S83">
        <v>0.47099999999999997</v>
      </c>
      <c r="T83">
        <v>-4.3999999999999997E-2</v>
      </c>
      <c r="U83">
        <v>-0.623</v>
      </c>
      <c r="V83">
        <v>3.0000000000000001E-3</v>
      </c>
      <c r="W83">
        <v>-0.41099999999999998</v>
      </c>
      <c r="X83">
        <v>-0.57499999999999996</v>
      </c>
      <c r="Y83">
        <v>-0.98299999999999998</v>
      </c>
      <c r="Z83">
        <v>-0.99399999999999999</v>
      </c>
      <c r="AA83">
        <v>0.218</v>
      </c>
      <c r="AB83">
        <v>-0.80200000000000005</v>
      </c>
      <c r="AC83">
        <v>2.7E-2</v>
      </c>
      <c r="AD83">
        <v>-0.32700000000000001</v>
      </c>
      <c r="AE83">
        <v>-0.62</v>
      </c>
      <c r="AF83">
        <v>0.17899999999999999</v>
      </c>
      <c r="AG83">
        <v>-5.5E-2</v>
      </c>
      <c r="AH83">
        <v>0.123</v>
      </c>
      <c r="AI83">
        <v>-0.31</v>
      </c>
      <c r="AJ83">
        <v>-0.27600000000000002</v>
      </c>
      <c r="AK83">
        <v>-0.13900000000000001</v>
      </c>
      <c r="AL83">
        <v>-0.53900000000000003</v>
      </c>
      <c r="AM83">
        <v>-0.374</v>
      </c>
      <c r="AN83">
        <v>-0.34599999999999997</v>
      </c>
      <c r="AO83">
        <v>0.53800000000000003</v>
      </c>
      <c r="AP83">
        <v>-0.309</v>
      </c>
      <c r="AQ83">
        <v>0.26300000000000001</v>
      </c>
      <c r="AR83">
        <v>0.50700000000000001</v>
      </c>
      <c r="AS83">
        <v>1.7000000000000001E-2</v>
      </c>
      <c r="AT83">
        <v>0.04</v>
      </c>
      <c r="AU83">
        <v>0.377</v>
      </c>
      <c r="AV83">
        <v>-0.52200000000000002</v>
      </c>
      <c r="AW83">
        <v>0.48699999999999999</v>
      </c>
      <c r="AX83">
        <v>0.50900000000000001</v>
      </c>
      <c r="AY83">
        <v>0.45600000000000002</v>
      </c>
      <c r="AZ83">
        <v>-0.74399999999999999</v>
      </c>
      <c r="BA83">
        <v>-0.27200000000000002</v>
      </c>
      <c r="BE83" s="20"/>
      <c r="BF83" s="21"/>
      <c r="BG83" s="21"/>
      <c r="BH83" s="21"/>
      <c r="BL83" t="s">
        <v>140</v>
      </c>
      <c r="BM83" t="s">
        <v>292</v>
      </c>
      <c r="BN83" t="s">
        <v>279</v>
      </c>
    </row>
    <row r="84" spans="1:66" ht="15" thickBot="1" x14ac:dyDescent="0.35">
      <c r="A84" t="s">
        <v>155</v>
      </c>
      <c r="B84">
        <v>0.64400000000000002</v>
      </c>
      <c r="C84">
        <v>0.46899999999999997</v>
      </c>
      <c r="D84" t="s">
        <v>55</v>
      </c>
      <c r="E84">
        <v>0</v>
      </c>
      <c r="F84">
        <v>0</v>
      </c>
      <c r="G84">
        <v>0</v>
      </c>
      <c r="H84">
        <v>-0.40200000000000002</v>
      </c>
      <c r="I84">
        <v>-0.58899999999999997</v>
      </c>
      <c r="J84">
        <v>-0.13800000000000001</v>
      </c>
      <c r="K84">
        <v>-0.35499999999999998</v>
      </c>
      <c r="L84">
        <v>-0.39700000000000002</v>
      </c>
      <c r="M84">
        <v>-0.61199999999999999</v>
      </c>
      <c r="N84">
        <v>-0.71199999999999997</v>
      </c>
      <c r="O84">
        <v>-0.76900000000000002</v>
      </c>
      <c r="P84">
        <v>0.56699999999999995</v>
      </c>
      <c r="Q84">
        <v>0.56699999999999995</v>
      </c>
      <c r="R84">
        <v>0.57999999999999996</v>
      </c>
      <c r="S84">
        <v>0.79600000000000004</v>
      </c>
      <c r="T84">
        <v>0.55000000000000004</v>
      </c>
      <c r="U84">
        <v>0.23</v>
      </c>
      <c r="V84">
        <v>0.35299999999999998</v>
      </c>
      <c r="W84">
        <v>0.13300000000000001</v>
      </c>
      <c r="X84">
        <v>0.375</v>
      </c>
      <c r="Y84">
        <v>-2.5999999999999999E-2</v>
      </c>
      <c r="Z84">
        <v>-0.51600000000000001</v>
      </c>
      <c r="AA84">
        <v>0.24</v>
      </c>
      <c r="AB84">
        <v>-1</v>
      </c>
      <c r="AC84">
        <v>0.80200000000000005</v>
      </c>
      <c r="AD84">
        <v>-0.27300000000000002</v>
      </c>
      <c r="AE84">
        <v>-0.17899999999999999</v>
      </c>
      <c r="AF84">
        <v>0.22800000000000001</v>
      </c>
      <c r="AG84">
        <v>0.502</v>
      </c>
      <c r="AH84">
        <v>-0.32700000000000001</v>
      </c>
      <c r="AI84">
        <v>4.7E-2</v>
      </c>
      <c r="AJ84">
        <v>-1.2999999999999999E-2</v>
      </c>
      <c r="AK84">
        <v>-0.51400000000000001</v>
      </c>
      <c r="AL84">
        <v>-8.9999999999999993E-3</v>
      </c>
      <c r="AM84">
        <v>-0.27</v>
      </c>
      <c r="AN84">
        <v>-0.78700000000000003</v>
      </c>
      <c r="AO84">
        <v>-0.124</v>
      </c>
      <c r="AP84">
        <v>0.33700000000000002</v>
      </c>
      <c r="AQ84">
        <v>-0.39500000000000002</v>
      </c>
      <c r="AR84">
        <v>2.8000000000000001E-2</v>
      </c>
      <c r="AS84">
        <v>-0.57099999999999995</v>
      </c>
      <c r="AT84">
        <v>0.27800000000000002</v>
      </c>
      <c r="AU84">
        <v>-0.55700000000000005</v>
      </c>
      <c r="AV84">
        <v>4.3999999999999997E-2</v>
      </c>
      <c r="AW84">
        <v>0.21199999999999999</v>
      </c>
      <c r="AX84">
        <v>-0.154</v>
      </c>
      <c r="AY84">
        <v>-0.16900000000000001</v>
      </c>
      <c r="AZ84">
        <v>0.47799999999999998</v>
      </c>
      <c r="BA84">
        <v>0.75</v>
      </c>
      <c r="BE84" s="20"/>
      <c r="BF84" s="21"/>
      <c r="BG84" s="21"/>
      <c r="BH84" s="21"/>
      <c r="BL84" t="s">
        <v>78</v>
      </c>
      <c r="BM84" t="s">
        <v>285</v>
      </c>
      <c r="BN84" t="s">
        <v>283</v>
      </c>
    </row>
    <row r="85" spans="1:66" ht="15" thickBot="1" x14ac:dyDescent="0.35">
      <c r="A85" t="s">
        <v>213</v>
      </c>
      <c r="B85">
        <v>0.55000000000000004</v>
      </c>
      <c r="C85">
        <v>0.57199999999999995</v>
      </c>
      <c r="D85" t="s">
        <v>57</v>
      </c>
      <c r="E85">
        <v>0</v>
      </c>
      <c r="F85">
        <v>0</v>
      </c>
      <c r="G85">
        <v>0</v>
      </c>
      <c r="H85">
        <v>-0.76200000000000001</v>
      </c>
      <c r="I85">
        <v>-0.64400000000000002</v>
      </c>
      <c r="J85">
        <v>-0.85099999999999998</v>
      </c>
      <c r="K85">
        <v>-0.69199999999999995</v>
      </c>
      <c r="L85">
        <v>-0.70499999999999996</v>
      </c>
      <c r="M85">
        <v>-0.54800000000000004</v>
      </c>
      <c r="N85">
        <v>-0.121</v>
      </c>
      <c r="O85">
        <v>-0.63900000000000001</v>
      </c>
      <c r="P85">
        <v>0.11600000000000001</v>
      </c>
      <c r="Q85">
        <v>0.11899999999999999</v>
      </c>
      <c r="R85">
        <v>0.35799999999999998</v>
      </c>
      <c r="S85">
        <v>0.372</v>
      </c>
      <c r="T85">
        <v>2.3E-2</v>
      </c>
      <c r="U85">
        <v>-6.4000000000000001E-2</v>
      </c>
      <c r="V85">
        <v>-0.44800000000000001</v>
      </c>
      <c r="W85">
        <v>-1</v>
      </c>
      <c r="X85">
        <v>-0.93500000000000005</v>
      </c>
      <c r="Y85">
        <v>-1</v>
      </c>
      <c r="Z85">
        <v>-0.128</v>
      </c>
      <c r="AA85">
        <v>-0.41399999999999998</v>
      </c>
      <c r="AB85">
        <v>-0.754</v>
      </c>
      <c r="AC85">
        <v>-0.94799999999999995</v>
      </c>
      <c r="AD85">
        <v>0.41899999999999998</v>
      </c>
      <c r="AE85">
        <v>-0.68700000000000006</v>
      </c>
      <c r="AF85">
        <v>-0.83599999999999997</v>
      </c>
      <c r="AG85">
        <v>0.40699999999999997</v>
      </c>
      <c r="AH85">
        <v>0.23200000000000001</v>
      </c>
      <c r="AI85">
        <v>1.4E-2</v>
      </c>
      <c r="AJ85">
        <v>0.495</v>
      </c>
      <c r="AK85">
        <v>0.25800000000000001</v>
      </c>
      <c r="AL85">
        <v>0.69199999999999995</v>
      </c>
      <c r="AM85">
        <v>0.26300000000000001</v>
      </c>
      <c r="AN85">
        <v>7.0999999999999994E-2</v>
      </c>
      <c r="AO85">
        <v>0.90700000000000003</v>
      </c>
      <c r="AP85">
        <v>4.0000000000000001E-3</v>
      </c>
      <c r="AQ85">
        <v>0.442</v>
      </c>
      <c r="AR85">
        <v>-0.219</v>
      </c>
      <c r="AS85">
        <v>-0.436</v>
      </c>
      <c r="AT85">
        <v>9.7000000000000003E-2</v>
      </c>
      <c r="AU85">
        <v>0.314</v>
      </c>
      <c r="AV85">
        <v>0.16400000000000001</v>
      </c>
      <c r="AW85">
        <v>0.82199999999999995</v>
      </c>
      <c r="AX85">
        <v>-0.33900000000000002</v>
      </c>
      <c r="AY85">
        <v>-0.121</v>
      </c>
      <c r="AZ85">
        <v>-0.26300000000000001</v>
      </c>
      <c r="BA85">
        <v>-0.63</v>
      </c>
      <c r="BE85" s="20"/>
      <c r="BF85" s="21"/>
      <c r="BG85" s="21"/>
      <c r="BH85" s="21"/>
      <c r="BL85" t="s">
        <v>129</v>
      </c>
      <c r="BM85" t="s">
        <v>294</v>
      </c>
      <c r="BN85" t="s">
        <v>287</v>
      </c>
    </row>
    <row r="86" spans="1:66" ht="15" thickBot="1" x14ac:dyDescent="0.35">
      <c r="A86" t="s">
        <v>218</v>
      </c>
      <c r="B86">
        <v>0.57299999999999995</v>
      </c>
      <c r="C86">
        <v>1.216</v>
      </c>
      <c r="D86" t="s">
        <v>55</v>
      </c>
      <c r="E86">
        <v>0</v>
      </c>
      <c r="F86">
        <v>-2.4E-2</v>
      </c>
      <c r="G86">
        <v>2.4E-2</v>
      </c>
      <c r="H86">
        <v>-0.84799999999999998</v>
      </c>
      <c r="I86">
        <v>-0.49399999999999999</v>
      </c>
      <c r="J86">
        <v>-0.94399999999999995</v>
      </c>
      <c r="K86">
        <v>-0.78600000000000003</v>
      </c>
      <c r="L86">
        <v>-0.71899999999999997</v>
      </c>
      <c r="M86">
        <v>-0.629</v>
      </c>
      <c r="N86">
        <v>-0.47399999999999998</v>
      </c>
      <c r="O86">
        <v>-0.53400000000000003</v>
      </c>
      <c r="P86">
        <v>0.20899999999999999</v>
      </c>
      <c r="Q86">
        <v>0.214</v>
      </c>
      <c r="R86">
        <v>0.624</v>
      </c>
      <c r="S86">
        <v>0.64300000000000002</v>
      </c>
      <c r="T86">
        <v>0.40400000000000003</v>
      </c>
      <c r="U86">
        <v>-0.71799999999999997</v>
      </c>
      <c r="V86">
        <v>-0.72699999999999998</v>
      </c>
      <c r="W86">
        <v>-0.17899999999999999</v>
      </c>
      <c r="X86">
        <v>-0.97</v>
      </c>
      <c r="Y86">
        <v>-0.71499999999999997</v>
      </c>
      <c r="Z86">
        <v>-1</v>
      </c>
      <c r="AA86">
        <v>-0.34100000000000003</v>
      </c>
      <c r="AB86">
        <v>-0.55700000000000005</v>
      </c>
      <c r="AC86">
        <v>-0.56699999999999995</v>
      </c>
      <c r="AD86">
        <v>-0.189</v>
      </c>
      <c r="AE86">
        <v>0.32700000000000001</v>
      </c>
      <c r="AF86">
        <v>0.54300000000000004</v>
      </c>
      <c r="AG86">
        <v>-6.4000000000000001E-2</v>
      </c>
      <c r="AH86">
        <v>-0.32</v>
      </c>
      <c r="AI86">
        <v>-4.5999999999999999E-2</v>
      </c>
      <c r="AJ86">
        <v>1.2E-2</v>
      </c>
      <c r="AK86">
        <v>-0.26600000000000001</v>
      </c>
      <c r="AL86">
        <v>-0.26400000000000001</v>
      </c>
      <c r="AM86">
        <v>0.52500000000000002</v>
      </c>
      <c r="AN86">
        <v>-0.80600000000000005</v>
      </c>
      <c r="AO86">
        <v>0.96299999999999997</v>
      </c>
      <c r="AP86">
        <v>0.44500000000000001</v>
      </c>
      <c r="AQ86">
        <v>0.17699999999999999</v>
      </c>
      <c r="AR86">
        <v>0.14099999999999999</v>
      </c>
      <c r="AS86">
        <v>-9.4E-2</v>
      </c>
      <c r="AT86">
        <v>0.28399999999999997</v>
      </c>
      <c r="AU86">
        <v>-0.21099999999999999</v>
      </c>
      <c r="AV86">
        <v>0.67400000000000004</v>
      </c>
      <c r="AW86">
        <v>0.66100000000000003</v>
      </c>
      <c r="AX86">
        <v>-0.47599999999999998</v>
      </c>
      <c r="AY86">
        <v>1.0999999999999999E-2</v>
      </c>
      <c r="AZ86">
        <v>-0.39400000000000002</v>
      </c>
      <c r="BA86">
        <v>-0.48899999999999999</v>
      </c>
      <c r="BE86" s="20"/>
      <c r="BF86" s="21"/>
      <c r="BG86" s="21"/>
      <c r="BH86" s="21"/>
      <c r="BL86" t="s">
        <v>248</v>
      </c>
      <c r="BM86" t="s">
        <v>294</v>
      </c>
      <c r="BN86" t="s">
        <v>287</v>
      </c>
    </row>
    <row r="87" spans="1:66" ht="15" thickBot="1" x14ac:dyDescent="0.35">
      <c r="A87" t="s">
        <v>80</v>
      </c>
      <c r="B87">
        <v>2.2770000000000001</v>
      </c>
      <c r="C87">
        <v>2.2639999999999998</v>
      </c>
      <c r="D87" t="s">
        <v>57</v>
      </c>
      <c r="E87">
        <v>0</v>
      </c>
      <c r="F87">
        <v>0</v>
      </c>
      <c r="G87">
        <v>0</v>
      </c>
      <c r="H87">
        <v>0.45900000000000002</v>
      </c>
      <c r="I87">
        <v>0.32900000000000001</v>
      </c>
      <c r="J87">
        <v>0.60899999999999999</v>
      </c>
      <c r="K87">
        <v>0.23100000000000001</v>
      </c>
      <c r="L87">
        <v>0.442</v>
      </c>
      <c r="M87">
        <v>0.45900000000000002</v>
      </c>
      <c r="N87">
        <v>0.496</v>
      </c>
      <c r="O87">
        <v>0.317</v>
      </c>
      <c r="P87">
        <v>0.58499999999999996</v>
      </c>
      <c r="Q87">
        <v>0.59199999999999997</v>
      </c>
      <c r="R87">
        <v>0.82399999999999995</v>
      </c>
      <c r="S87">
        <v>0.79500000000000004</v>
      </c>
      <c r="T87">
        <v>0.74199999999999999</v>
      </c>
      <c r="U87">
        <v>0.20799999999999999</v>
      </c>
      <c r="V87">
        <v>0.34</v>
      </c>
      <c r="W87">
        <v>-0.36499999999999999</v>
      </c>
      <c r="X87">
        <v>0.246</v>
      </c>
      <c r="Y87">
        <v>-0.13900000000000001</v>
      </c>
      <c r="Z87">
        <v>1</v>
      </c>
      <c r="AA87">
        <v>0.245</v>
      </c>
      <c r="AB87">
        <v>8.8999999999999996E-2</v>
      </c>
      <c r="AC87">
        <v>-0.32600000000000001</v>
      </c>
      <c r="AD87">
        <v>-3.7999999999999999E-2</v>
      </c>
      <c r="AE87">
        <v>-0.13700000000000001</v>
      </c>
      <c r="AF87">
        <v>-8.7999999999999995E-2</v>
      </c>
      <c r="AG87">
        <v>0.47</v>
      </c>
      <c r="AH87">
        <v>0.27500000000000002</v>
      </c>
      <c r="AI87">
        <v>0.1</v>
      </c>
      <c r="AJ87">
        <v>0.42799999999999999</v>
      </c>
      <c r="AK87">
        <v>-3.5999999999999997E-2</v>
      </c>
      <c r="AL87">
        <v>-4.1000000000000002E-2</v>
      </c>
      <c r="AM87">
        <v>0.442</v>
      </c>
      <c r="AN87">
        <v>0.223</v>
      </c>
      <c r="AO87">
        <v>0.73299999999999998</v>
      </c>
      <c r="AP87">
        <v>0.46899999999999997</v>
      </c>
      <c r="AQ87">
        <v>0.79700000000000004</v>
      </c>
      <c r="AR87">
        <v>-8.3000000000000004E-2</v>
      </c>
      <c r="AS87">
        <v>-5.6000000000000001E-2</v>
      </c>
      <c r="AT87">
        <v>-2.1000000000000001E-2</v>
      </c>
      <c r="AU87">
        <v>0.3</v>
      </c>
      <c r="AV87">
        <v>-9.1999999999999998E-2</v>
      </c>
      <c r="AW87">
        <v>0.75</v>
      </c>
      <c r="AX87">
        <v>-0.78500000000000003</v>
      </c>
      <c r="AY87">
        <v>-0.16400000000000001</v>
      </c>
      <c r="AZ87">
        <v>0.5</v>
      </c>
      <c r="BA87">
        <v>0.34899999999999998</v>
      </c>
      <c r="BE87" s="20"/>
      <c r="BF87" s="21"/>
      <c r="BG87" s="21"/>
      <c r="BH87" s="21"/>
      <c r="BL87" t="s">
        <v>225</v>
      </c>
      <c r="BM87" t="s">
        <v>292</v>
      </c>
      <c r="BN87" t="s">
        <v>281</v>
      </c>
    </row>
    <row r="88" spans="1:66" ht="15" thickBot="1" x14ac:dyDescent="0.35">
      <c r="A88" t="s">
        <v>191</v>
      </c>
      <c r="B88">
        <v>0.58699999999999997</v>
      </c>
      <c r="C88">
        <v>0.68799999999999994</v>
      </c>
      <c r="D88" t="s">
        <v>71</v>
      </c>
      <c r="E88">
        <v>0</v>
      </c>
      <c r="F88">
        <v>0</v>
      </c>
      <c r="G88">
        <v>0</v>
      </c>
      <c r="H88">
        <v>-0.82</v>
      </c>
      <c r="I88">
        <v>-0.73199999999999998</v>
      </c>
      <c r="J88">
        <v>-0.67600000000000005</v>
      </c>
      <c r="K88">
        <v>-0.80900000000000005</v>
      </c>
      <c r="L88">
        <v>-0.72899999999999998</v>
      </c>
      <c r="M88">
        <v>-0.64800000000000002</v>
      </c>
      <c r="N88">
        <v>-0.61399999999999999</v>
      </c>
      <c r="O88">
        <v>-0.48799999999999999</v>
      </c>
      <c r="P88">
        <v>0.58599999999999997</v>
      </c>
      <c r="Q88">
        <v>0.58199999999999996</v>
      </c>
      <c r="R88">
        <v>0.30399999999999999</v>
      </c>
      <c r="S88">
        <v>0.23200000000000001</v>
      </c>
      <c r="T88">
        <v>0.56999999999999995</v>
      </c>
      <c r="U88">
        <v>-0.86</v>
      </c>
      <c r="V88">
        <v>-0.755</v>
      </c>
      <c r="W88">
        <v>-0.53400000000000003</v>
      </c>
      <c r="X88">
        <v>-0.38900000000000001</v>
      </c>
      <c r="Y88">
        <v>0.373</v>
      </c>
      <c r="Z88">
        <v>-0.55300000000000005</v>
      </c>
      <c r="AA88">
        <v>-0.40100000000000002</v>
      </c>
      <c r="AB88">
        <v>0.16700000000000001</v>
      </c>
      <c r="AC88">
        <v>-0.32</v>
      </c>
      <c r="AD88">
        <v>-0.46500000000000002</v>
      </c>
      <c r="AE88">
        <v>6.9000000000000006E-2</v>
      </c>
      <c r="AF88">
        <v>0.17100000000000001</v>
      </c>
      <c r="AG88">
        <v>-0.36299999999999999</v>
      </c>
      <c r="AH88">
        <v>0.50600000000000001</v>
      </c>
      <c r="AI88">
        <v>0.26200000000000001</v>
      </c>
      <c r="AJ88">
        <v>-0.188</v>
      </c>
      <c r="AK88">
        <v>-0.63400000000000001</v>
      </c>
      <c r="AL88">
        <v>-0.49199999999999999</v>
      </c>
      <c r="AM88">
        <v>0.82599999999999996</v>
      </c>
      <c r="AN88">
        <v>-0.80400000000000005</v>
      </c>
      <c r="AO88">
        <v>0.121</v>
      </c>
      <c r="AP88">
        <v>-0.499</v>
      </c>
      <c r="AQ88">
        <v>-0.159</v>
      </c>
      <c r="AR88">
        <v>7.6999999999999999E-2</v>
      </c>
      <c r="AS88">
        <v>-0.25800000000000001</v>
      </c>
      <c r="AT88">
        <v>-1E-3</v>
      </c>
      <c r="AU88">
        <v>0.871</v>
      </c>
      <c r="AV88">
        <v>0.58099999999999996</v>
      </c>
      <c r="AW88">
        <v>0.48899999999999999</v>
      </c>
      <c r="AX88">
        <v>-0.25700000000000001</v>
      </c>
      <c r="AY88">
        <v>-0.78800000000000003</v>
      </c>
      <c r="AZ88">
        <v>0.71</v>
      </c>
      <c r="BA88">
        <v>0.48599999999999999</v>
      </c>
      <c r="BE88" s="20"/>
      <c r="BF88" s="21"/>
      <c r="BG88" s="21"/>
      <c r="BH88" s="21"/>
      <c r="BL88" t="s">
        <v>97</v>
      </c>
      <c r="BM88" t="s">
        <v>286</v>
      </c>
      <c r="BN88" t="s">
        <v>283</v>
      </c>
    </row>
    <row r="89" spans="1:66" ht="15" thickBot="1" x14ac:dyDescent="0.35">
      <c r="A89" t="s">
        <v>181</v>
      </c>
      <c r="B89">
        <v>0.52400000000000002</v>
      </c>
      <c r="C89">
        <v>0.432</v>
      </c>
      <c r="D89" t="s">
        <v>68</v>
      </c>
      <c r="E89">
        <v>0</v>
      </c>
      <c r="F89">
        <v>0</v>
      </c>
      <c r="G89">
        <v>0</v>
      </c>
      <c r="H89">
        <v>-0.78900000000000003</v>
      </c>
      <c r="I89">
        <v>-0.69799999999999995</v>
      </c>
      <c r="J89">
        <v>-0.93400000000000005</v>
      </c>
      <c r="K89">
        <v>-0.78</v>
      </c>
      <c r="L89">
        <v>-0.80400000000000005</v>
      </c>
      <c r="M89">
        <v>-0.71099999999999997</v>
      </c>
      <c r="N89">
        <v>-0.58399999999999996</v>
      </c>
      <c r="O89">
        <v>-0.77100000000000002</v>
      </c>
      <c r="P89">
        <v>0.11799999999999999</v>
      </c>
      <c r="Q89">
        <v>0.11899999999999999</v>
      </c>
      <c r="R89">
        <v>0.44800000000000001</v>
      </c>
      <c r="S89">
        <v>0.42899999999999999</v>
      </c>
      <c r="T89">
        <v>-0.152</v>
      </c>
      <c r="U89">
        <v>-0.435</v>
      </c>
      <c r="V89">
        <v>-0.48499999999999999</v>
      </c>
      <c r="W89">
        <v>-0.94899999999999995</v>
      </c>
      <c r="X89">
        <v>-1</v>
      </c>
      <c r="Y89">
        <v>-1</v>
      </c>
      <c r="Z89">
        <v>-0.77900000000000003</v>
      </c>
      <c r="AA89">
        <v>-0.28699999999999998</v>
      </c>
      <c r="AB89">
        <v>-0.94199999999999995</v>
      </c>
      <c r="AC89">
        <v>-0.72899999999999998</v>
      </c>
      <c r="AD89">
        <v>0.44600000000000001</v>
      </c>
      <c r="AE89">
        <v>-0.26500000000000001</v>
      </c>
      <c r="AF89">
        <v>-0.66800000000000004</v>
      </c>
      <c r="AG89">
        <v>0.45500000000000002</v>
      </c>
      <c r="AH89">
        <v>0.47299999999999998</v>
      </c>
      <c r="AI89">
        <v>-7.3999999999999996E-2</v>
      </c>
      <c r="AJ89">
        <v>9.9000000000000005E-2</v>
      </c>
      <c r="AK89">
        <v>-0.217</v>
      </c>
      <c r="AL89">
        <v>0.28399999999999997</v>
      </c>
      <c r="AM89">
        <v>0.41899999999999998</v>
      </c>
      <c r="AN89">
        <v>0.216</v>
      </c>
      <c r="AO89">
        <v>0.49299999999999999</v>
      </c>
      <c r="AP89">
        <v>0.18</v>
      </c>
      <c r="AQ89">
        <v>0.29899999999999999</v>
      </c>
      <c r="AR89">
        <v>0.224</v>
      </c>
      <c r="AS89">
        <v>0.17799999999999999</v>
      </c>
      <c r="AT89">
        <v>0.44500000000000001</v>
      </c>
      <c r="AU89">
        <v>-0.33800000000000002</v>
      </c>
      <c r="AV89">
        <v>-0.30599999999999999</v>
      </c>
      <c r="AW89">
        <v>0.34200000000000003</v>
      </c>
      <c r="AX89">
        <v>-0.98699999999999999</v>
      </c>
      <c r="AY89">
        <v>0.83099999999999996</v>
      </c>
      <c r="AZ89">
        <v>-0.435</v>
      </c>
      <c r="BA89">
        <v>-0.81100000000000005</v>
      </c>
      <c r="BE89" s="20"/>
      <c r="BF89" s="21"/>
      <c r="BG89" s="21"/>
      <c r="BH89" s="21"/>
      <c r="BL89" t="s">
        <v>125</v>
      </c>
      <c r="BM89" t="s">
        <v>295</v>
      </c>
      <c r="BN89" t="s">
        <v>281</v>
      </c>
    </row>
    <row r="90" spans="1:66" ht="15" thickBot="1" x14ac:dyDescent="0.35">
      <c r="A90" t="s">
        <v>108</v>
      </c>
      <c r="B90">
        <v>1.478</v>
      </c>
      <c r="C90">
        <v>1.944</v>
      </c>
      <c r="D90" t="s">
        <v>55</v>
      </c>
      <c r="E90">
        <v>0</v>
      </c>
      <c r="F90">
        <v>0</v>
      </c>
      <c r="G90">
        <v>0</v>
      </c>
      <c r="H90">
        <v>-0.58399999999999996</v>
      </c>
      <c r="I90">
        <v>0.21099999999999999</v>
      </c>
      <c r="J90">
        <v>-0.62</v>
      </c>
      <c r="K90">
        <v>-0.39100000000000001</v>
      </c>
      <c r="L90">
        <v>-8.7999999999999995E-2</v>
      </c>
      <c r="M90">
        <v>5.6000000000000001E-2</v>
      </c>
      <c r="N90">
        <v>0.58199999999999996</v>
      </c>
      <c r="O90">
        <v>0.39100000000000001</v>
      </c>
      <c r="P90">
        <v>0.90400000000000003</v>
      </c>
      <c r="Q90">
        <v>0.90800000000000003</v>
      </c>
      <c r="R90">
        <v>0.65100000000000002</v>
      </c>
      <c r="S90">
        <v>0.71099999999999997</v>
      </c>
      <c r="T90">
        <v>0.64900000000000002</v>
      </c>
      <c r="U90">
        <v>-0.54300000000000004</v>
      </c>
      <c r="V90">
        <v>-0.67500000000000004</v>
      </c>
      <c r="W90">
        <v>2E-3</v>
      </c>
      <c r="X90">
        <v>-0.79</v>
      </c>
      <c r="Y90">
        <v>-0.34200000000000003</v>
      </c>
      <c r="Z90">
        <v>-0.88800000000000001</v>
      </c>
      <c r="AA90">
        <v>-0.26900000000000002</v>
      </c>
      <c r="AB90">
        <v>0.155</v>
      </c>
      <c r="AC90">
        <v>-0.59299999999999997</v>
      </c>
      <c r="AD90">
        <v>-0.435</v>
      </c>
      <c r="AE90">
        <v>0.373</v>
      </c>
      <c r="AF90">
        <v>0.45200000000000001</v>
      </c>
      <c r="AG90">
        <v>-0.16600000000000001</v>
      </c>
      <c r="AH90">
        <v>-0.14199999999999999</v>
      </c>
      <c r="AI90">
        <v>0.17499999999999999</v>
      </c>
      <c r="AJ90">
        <v>0.191</v>
      </c>
      <c r="AK90">
        <v>0.503</v>
      </c>
      <c r="AL90">
        <v>-0.157</v>
      </c>
      <c r="AM90">
        <v>0.92500000000000004</v>
      </c>
      <c r="AN90">
        <v>-0.92800000000000005</v>
      </c>
      <c r="AO90">
        <v>0.495</v>
      </c>
      <c r="AP90">
        <v>7.2999999999999995E-2</v>
      </c>
      <c r="AQ90">
        <v>-2E-3</v>
      </c>
      <c r="AR90">
        <v>-0.41599999999999998</v>
      </c>
      <c r="AS90">
        <v>-0.52100000000000002</v>
      </c>
      <c r="AT90">
        <v>0.18</v>
      </c>
      <c r="AU90">
        <v>7.0000000000000007E-2</v>
      </c>
      <c r="AV90">
        <v>-0.189</v>
      </c>
      <c r="AW90">
        <v>0.93100000000000005</v>
      </c>
      <c r="AX90">
        <v>-0.435</v>
      </c>
      <c r="AY90">
        <v>-0.27400000000000002</v>
      </c>
      <c r="AZ90">
        <v>1</v>
      </c>
      <c r="BA90">
        <v>4.3999999999999997E-2</v>
      </c>
      <c r="BE90" s="20"/>
      <c r="BF90" s="21"/>
      <c r="BG90" s="21"/>
      <c r="BH90" s="21"/>
      <c r="BL90" t="s">
        <v>244</v>
      </c>
      <c r="BM90" t="s">
        <v>296</v>
      </c>
      <c r="BN90" t="s">
        <v>281</v>
      </c>
    </row>
    <row r="91" spans="1:66" ht="15" thickBot="1" x14ac:dyDescent="0.35">
      <c r="A91" t="s">
        <v>104</v>
      </c>
      <c r="B91">
        <v>1.4590000000000001</v>
      </c>
      <c r="C91">
        <v>1.9379999999999999</v>
      </c>
      <c r="D91" t="s">
        <v>55</v>
      </c>
      <c r="E91">
        <v>0</v>
      </c>
      <c r="F91">
        <v>0</v>
      </c>
      <c r="G91">
        <v>0</v>
      </c>
      <c r="H91">
        <v>-0.55600000000000005</v>
      </c>
      <c r="I91">
        <v>0.219</v>
      </c>
      <c r="J91">
        <v>-0.63600000000000001</v>
      </c>
      <c r="K91">
        <v>-0.36</v>
      </c>
      <c r="L91">
        <v>-8.7999999999999995E-2</v>
      </c>
      <c r="M91">
        <v>4.2999999999999997E-2</v>
      </c>
      <c r="N91">
        <v>0.54500000000000004</v>
      </c>
      <c r="O91">
        <v>0.374</v>
      </c>
      <c r="P91">
        <v>0.85199999999999998</v>
      </c>
      <c r="Q91">
        <v>0.85599999999999998</v>
      </c>
      <c r="R91">
        <v>0.64200000000000002</v>
      </c>
      <c r="S91">
        <v>0.65200000000000002</v>
      </c>
      <c r="T91">
        <v>0.66100000000000003</v>
      </c>
      <c r="U91">
        <v>-0.54800000000000004</v>
      </c>
      <c r="V91">
        <v>-0.68</v>
      </c>
      <c r="W91">
        <v>9.5000000000000001E-2</v>
      </c>
      <c r="X91">
        <v>-0.79300000000000004</v>
      </c>
      <c r="Y91">
        <v>-0.28199999999999997</v>
      </c>
      <c r="Z91">
        <v>-0.88800000000000001</v>
      </c>
      <c r="AA91">
        <v>-0.26900000000000002</v>
      </c>
      <c r="AB91">
        <v>0.14499999999999999</v>
      </c>
      <c r="AC91">
        <v>-0.59299999999999997</v>
      </c>
      <c r="AD91">
        <v>-0.44</v>
      </c>
      <c r="AE91">
        <v>0.41699999999999998</v>
      </c>
      <c r="AF91">
        <v>0.49199999999999999</v>
      </c>
      <c r="AG91">
        <v>-0.16600000000000001</v>
      </c>
      <c r="AH91">
        <v>-0.14199999999999999</v>
      </c>
      <c r="AI91">
        <v>0.17499999999999999</v>
      </c>
      <c r="AJ91">
        <v>0.191</v>
      </c>
      <c r="AK91">
        <v>0.503</v>
      </c>
      <c r="AL91">
        <v>-0.157</v>
      </c>
      <c r="AM91">
        <v>0.91700000000000004</v>
      </c>
      <c r="AN91">
        <v>-0.92800000000000005</v>
      </c>
      <c r="AO91">
        <v>0.495</v>
      </c>
      <c r="AP91">
        <v>4.0000000000000001E-3</v>
      </c>
      <c r="AQ91">
        <v>0.26100000000000001</v>
      </c>
      <c r="AR91">
        <v>-0.41599999999999998</v>
      </c>
      <c r="AS91">
        <v>-0.52100000000000002</v>
      </c>
      <c r="AT91">
        <v>0.188</v>
      </c>
      <c r="AU91">
        <v>7.4999999999999997E-2</v>
      </c>
      <c r="AV91">
        <v>-0.58799999999999997</v>
      </c>
      <c r="AW91">
        <v>0.82299999999999995</v>
      </c>
      <c r="AX91">
        <v>-0.44400000000000001</v>
      </c>
      <c r="AY91">
        <v>-0.247</v>
      </c>
      <c r="AZ91">
        <v>0.90300000000000002</v>
      </c>
      <c r="BA91">
        <v>4.3999999999999997E-2</v>
      </c>
      <c r="BE91" s="20"/>
      <c r="BF91" s="21"/>
      <c r="BG91" s="21"/>
      <c r="BH91" s="21"/>
      <c r="BL91" t="s">
        <v>141</v>
      </c>
      <c r="BM91" t="s">
        <v>297</v>
      </c>
      <c r="BN91" t="s">
        <v>281</v>
      </c>
    </row>
    <row r="92" spans="1:66" ht="15" thickBot="1" x14ac:dyDescent="0.35">
      <c r="A92" t="s">
        <v>124</v>
      </c>
      <c r="B92">
        <v>1.101</v>
      </c>
      <c r="C92">
        <v>1.462</v>
      </c>
      <c r="D92" t="s">
        <v>55</v>
      </c>
      <c r="E92">
        <v>0</v>
      </c>
      <c r="F92">
        <v>0</v>
      </c>
      <c r="G92">
        <v>0</v>
      </c>
      <c r="H92">
        <v>-0.73799999999999999</v>
      </c>
      <c r="I92">
        <v>7.5999999999999998E-2</v>
      </c>
      <c r="J92">
        <v>-0.85099999999999998</v>
      </c>
      <c r="K92">
        <v>-0.495</v>
      </c>
      <c r="L92">
        <v>-0.27500000000000002</v>
      </c>
      <c r="M92">
        <v>-0.13500000000000001</v>
      </c>
      <c r="N92">
        <v>0.40799999999999997</v>
      </c>
      <c r="O92">
        <v>0.29599999999999999</v>
      </c>
      <c r="P92">
        <v>0.73699999999999999</v>
      </c>
      <c r="Q92">
        <v>0.74099999999999999</v>
      </c>
      <c r="R92">
        <v>0.60399999999999998</v>
      </c>
      <c r="S92">
        <v>0.6</v>
      </c>
      <c r="T92">
        <v>0.54900000000000004</v>
      </c>
      <c r="U92">
        <v>-0.54800000000000004</v>
      </c>
      <c r="V92">
        <v>-0.67900000000000005</v>
      </c>
      <c r="W92">
        <v>5.8000000000000003E-2</v>
      </c>
      <c r="X92">
        <v>-0.79300000000000004</v>
      </c>
      <c r="Y92">
        <v>-0.317</v>
      </c>
      <c r="Z92">
        <v>-0.88800000000000001</v>
      </c>
      <c r="AA92">
        <v>-0.26900000000000002</v>
      </c>
      <c r="AB92">
        <v>0.14499999999999999</v>
      </c>
      <c r="AC92">
        <v>-0.59299999999999997</v>
      </c>
      <c r="AD92">
        <v>-0.44</v>
      </c>
      <c r="AE92">
        <v>0.36899999999999999</v>
      </c>
      <c r="AF92">
        <v>0.443</v>
      </c>
      <c r="AG92">
        <v>-0.16600000000000001</v>
      </c>
      <c r="AH92">
        <v>-0.14199999999999999</v>
      </c>
      <c r="AI92">
        <v>0.17499999999999999</v>
      </c>
      <c r="AJ92">
        <v>0.191</v>
      </c>
      <c r="AK92">
        <v>0.503</v>
      </c>
      <c r="AL92">
        <v>-0.157</v>
      </c>
      <c r="AM92">
        <v>0.85699999999999998</v>
      </c>
      <c r="AN92">
        <v>-0.92800000000000005</v>
      </c>
      <c r="AO92">
        <v>0.495</v>
      </c>
      <c r="AP92">
        <v>0.1</v>
      </c>
      <c r="AQ92">
        <v>-0.41299999999999998</v>
      </c>
      <c r="AR92">
        <v>-0.41599999999999998</v>
      </c>
      <c r="AS92">
        <v>-0.52100000000000002</v>
      </c>
      <c r="AT92">
        <v>0.186</v>
      </c>
      <c r="AU92">
        <v>4.2999999999999997E-2</v>
      </c>
      <c r="AV92">
        <v>-7.3999999999999996E-2</v>
      </c>
      <c r="AW92">
        <v>0.86099999999999999</v>
      </c>
      <c r="AX92">
        <v>-0.437</v>
      </c>
      <c r="AY92">
        <v>-0.253</v>
      </c>
      <c r="AZ92">
        <v>-0.155</v>
      </c>
      <c r="BA92">
        <v>4.3999999999999997E-2</v>
      </c>
      <c r="BE92" s="20"/>
      <c r="BF92" s="21"/>
      <c r="BG92" s="21"/>
      <c r="BH92" s="21"/>
      <c r="BL92" t="s">
        <v>66</v>
      </c>
      <c r="BM92" t="s">
        <v>295</v>
      </c>
      <c r="BN92" t="s">
        <v>283</v>
      </c>
    </row>
    <row r="93" spans="1:66" ht="15" thickBot="1" x14ac:dyDescent="0.35">
      <c r="A93" t="s">
        <v>74</v>
      </c>
      <c r="B93">
        <v>2.887</v>
      </c>
      <c r="C93">
        <v>2.2949999999999999</v>
      </c>
      <c r="D93" t="s">
        <v>53</v>
      </c>
      <c r="E93">
        <v>0</v>
      </c>
      <c r="F93">
        <v>0</v>
      </c>
      <c r="G93">
        <v>0</v>
      </c>
      <c r="H93">
        <v>1</v>
      </c>
      <c r="I93">
        <v>0.46400000000000002</v>
      </c>
      <c r="J93">
        <v>1</v>
      </c>
      <c r="K93">
        <v>1</v>
      </c>
      <c r="L93">
        <v>0.93</v>
      </c>
      <c r="M93">
        <v>0.61299999999999999</v>
      </c>
      <c r="N93">
        <v>0.377</v>
      </c>
      <c r="O93">
        <v>0.37</v>
      </c>
      <c r="P93">
        <v>0.624</v>
      </c>
      <c r="Q93">
        <v>0.63</v>
      </c>
      <c r="R93">
        <v>0.94699999999999995</v>
      </c>
      <c r="S93">
        <v>0.81899999999999995</v>
      </c>
      <c r="T93">
        <v>0.92600000000000005</v>
      </c>
      <c r="U93">
        <v>1</v>
      </c>
      <c r="V93">
        <v>0.97699999999999998</v>
      </c>
      <c r="W93">
        <v>0.58099999999999996</v>
      </c>
      <c r="X93">
        <v>1</v>
      </c>
      <c r="Y93">
        <v>0.69399999999999995</v>
      </c>
      <c r="Z93">
        <v>0.71899999999999997</v>
      </c>
      <c r="AA93">
        <v>0.65500000000000003</v>
      </c>
      <c r="AB93">
        <v>0.1</v>
      </c>
      <c r="AC93">
        <v>0.107</v>
      </c>
      <c r="AD93">
        <v>7.4999999999999997E-2</v>
      </c>
      <c r="AE93">
        <v>0.13800000000000001</v>
      </c>
      <c r="AF93">
        <v>-3.7999999999999999E-2</v>
      </c>
      <c r="AG93">
        <v>0.41699999999999998</v>
      </c>
      <c r="AH93">
        <v>0.11799999999999999</v>
      </c>
      <c r="AI93">
        <v>-0.218</v>
      </c>
      <c r="AJ93">
        <v>0.47499999999999998</v>
      </c>
      <c r="AK93">
        <v>-0.48099999999999998</v>
      </c>
      <c r="AL93">
        <v>0.45700000000000002</v>
      </c>
      <c r="AM93">
        <v>0.29099999999999998</v>
      </c>
      <c r="AN93">
        <v>-0.128</v>
      </c>
      <c r="AO93">
        <v>0.91900000000000004</v>
      </c>
      <c r="AP93">
        <v>-0.17199999999999999</v>
      </c>
      <c r="AQ93">
        <v>0.74099999999999999</v>
      </c>
      <c r="AR93">
        <v>-0.122</v>
      </c>
      <c r="AS93">
        <v>-3.7999999999999999E-2</v>
      </c>
      <c r="AT93">
        <v>0.10100000000000001</v>
      </c>
      <c r="AU93">
        <v>0.46300000000000002</v>
      </c>
      <c r="AV93">
        <v>-9.9000000000000005E-2</v>
      </c>
      <c r="AW93">
        <v>0.161</v>
      </c>
      <c r="AX93">
        <v>-0.68799999999999994</v>
      </c>
      <c r="AY93">
        <v>8.1000000000000003E-2</v>
      </c>
      <c r="AZ93">
        <v>0.81499999999999995</v>
      </c>
      <c r="BA93">
        <v>0.71499999999999997</v>
      </c>
      <c r="BE93" s="20"/>
      <c r="BF93" s="21"/>
      <c r="BG93" s="21"/>
      <c r="BH93" s="21"/>
      <c r="BL93" t="s">
        <v>118</v>
      </c>
      <c r="BM93" t="s">
        <v>294</v>
      </c>
      <c r="BN93" t="s">
        <v>287</v>
      </c>
    </row>
    <row r="94" spans="1:66" ht="15" thickBot="1" x14ac:dyDescent="0.35">
      <c r="A94" t="s">
        <v>106</v>
      </c>
      <c r="B94">
        <v>1.847</v>
      </c>
      <c r="C94">
        <v>1.5589999999999999</v>
      </c>
      <c r="D94" t="s">
        <v>57</v>
      </c>
      <c r="E94">
        <v>0</v>
      </c>
      <c r="F94">
        <v>0</v>
      </c>
      <c r="G94">
        <v>0</v>
      </c>
      <c r="H94">
        <v>0.32100000000000001</v>
      </c>
      <c r="I94">
        <v>0</v>
      </c>
      <c r="J94">
        <v>0.34300000000000003</v>
      </c>
      <c r="K94">
        <v>4.8000000000000001E-2</v>
      </c>
      <c r="L94">
        <v>9.7000000000000003E-2</v>
      </c>
      <c r="M94">
        <v>-8.0000000000000002E-3</v>
      </c>
      <c r="N94">
        <v>-0.16800000000000001</v>
      </c>
      <c r="O94">
        <v>-0.125</v>
      </c>
      <c r="P94">
        <v>0.92500000000000004</v>
      </c>
      <c r="Q94">
        <v>0.92400000000000004</v>
      </c>
      <c r="R94">
        <v>0.94299999999999995</v>
      </c>
      <c r="S94">
        <v>1</v>
      </c>
      <c r="T94">
        <v>0.93200000000000005</v>
      </c>
      <c r="U94">
        <v>-0.13900000000000001</v>
      </c>
      <c r="V94">
        <v>0.19</v>
      </c>
      <c r="W94">
        <v>0.80300000000000005</v>
      </c>
      <c r="X94">
        <v>1</v>
      </c>
      <c r="Y94">
        <v>0.998</v>
      </c>
      <c r="Z94">
        <v>-0.46899999999999997</v>
      </c>
      <c r="AA94">
        <v>0.44900000000000001</v>
      </c>
      <c r="AB94">
        <v>0.191</v>
      </c>
      <c r="AC94">
        <v>0.68200000000000005</v>
      </c>
      <c r="AD94">
        <v>6.6000000000000003E-2</v>
      </c>
      <c r="AE94">
        <v>-3.9E-2</v>
      </c>
      <c r="AF94">
        <v>0.40300000000000002</v>
      </c>
      <c r="AG94">
        <v>-0.502</v>
      </c>
      <c r="AH94">
        <v>0.32600000000000001</v>
      </c>
      <c r="AI94">
        <v>0.13600000000000001</v>
      </c>
      <c r="AJ94">
        <v>0.1</v>
      </c>
      <c r="AK94">
        <v>-0.434</v>
      </c>
      <c r="AL94">
        <v>-0.28999999999999998</v>
      </c>
      <c r="AM94">
        <v>-0.111</v>
      </c>
      <c r="AN94">
        <v>-0.13900000000000001</v>
      </c>
      <c r="AO94">
        <v>0.69399999999999995</v>
      </c>
      <c r="AP94">
        <v>-0.36899999999999999</v>
      </c>
      <c r="AQ94">
        <v>-0.55500000000000005</v>
      </c>
      <c r="AR94">
        <v>0.21099999999999999</v>
      </c>
      <c r="AS94">
        <v>0.223</v>
      </c>
      <c r="AT94">
        <v>0.23899999999999999</v>
      </c>
      <c r="AU94">
        <v>0.44400000000000001</v>
      </c>
      <c r="AV94">
        <v>0.314</v>
      </c>
      <c r="AW94">
        <v>0.59199999999999997</v>
      </c>
      <c r="AX94">
        <v>0.13500000000000001</v>
      </c>
      <c r="AY94">
        <v>-0.17399999999999999</v>
      </c>
      <c r="AZ94">
        <v>0.21</v>
      </c>
      <c r="BA94">
        <v>0.78</v>
      </c>
      <c r="BE94" s="20"/>
      <c r="BF94" s="21"/>
      <c r="BG94" s="21"/>
      <c r="BH94" s="21"/>
      <c r="BL94" t="s">
        <v>236</v>
      </c>
      <c r="BM94" t="s">
        <v>298</v>
      </c>
      <c r="BN94" t="s">
        <v>287</v>
      </c>
    </row>
    <row r="95" spans="1:66" ht="15" thickBot="1" x14ac:dyDescent="0.35">
      <c r="A95" t="s">
        <v>229</v>
      </c>
      <c r="B95">
        <v>0.56699999999999995</v>
      </c>
      <c r="C95">
        <v>0.438</v>
      </c>
      <c r="D95" t="s">
        <v>71</v>
      </c>
      <c r="E95">
        <v>0</v>
      </c>
      <c r="F95">
        <v>0</v>
      </c>
      <c r="G95">
        <v>0</v>
      </c>
      <c r="H95">
        <v>-0.80700000000000005</v>
      </c>
      <c r="I95">
        <v>-0.69699999999999995</v>
      </c>
      <c r="J95">
        <v>-0.873</v>
      </c>
      <c r="K95">
        <v>-0.79300000000000004</v>
      </c>
      <c r="L95">
        <v>-0.77500000000000002</v>
      </c>
      <c r="M95">
        <v>-0.67900000000000005</v>
      </c>
      <c r="N95">
        <v>-0.66800000000000004</v>
      </c>
      <c r="O95">
        <v>-0.70599999999999996</v>
      </c>
      <c r="P95">
        <v>0.44400000000000001</v>
      </c>
      <c r="Q95">
        <v>0.44600000000000001</v>
      </c>
      <c r="R95">
        <v>0.59899999999999998</v>
      </c>
      <c r="S95">
        <v>0.71299999999999997</v>
      </c>
      <c r="T95">
        <v>0.47899999999999998</v>
      </c>
      <c r="U95">
        <v>-0.77800000000000002</v>
      </c>
      <c r="V95">
        <v>-0.55400000000000005</v>
      </c>
      <c r="W95">
        <v>-0.122</v>
      </c>
      <c r="X95">
        <v>-0.44400000000000001</v>
      </c>
      <c r="Y95">
        <v>-0.46800000000000003</v>
      </c>
      <c r="Z95">
        <v>-0.82299999999999995</v>
      </c>
      <c r="AA95">
        <v>-0.33400000000000002</v>
      </c>
      <c r="AB95">
        <v>-0.46899999999999997</v>
      </c>
      <c r="AC95">
        <v>-6.6000000000000003E-2</v>
      </c>
      <c r="AD95">
        <v>-0.12</v>
      </c>
      <c r="AE95">
        <v>2.3E-2</v>
      </c>
      <c r="AF95">
        <v>0.19400000000000001</v>
      </c>
      <c r="AG95">
        <v>-0.317</v>
      </c>
      <c r="AH95">
        <v>0.59499999999999997</v>
      </c>
      <c r="AI95">
        <v>0.36599999999999999</v>
      </c>
      <c r="AJ95">
        <v>-2.5000000000000001E-2</v>
      </c>
      <c r="AK95">
        <v>-0.113</v>
      </c>
      <c r="AL95">
        <v>-0.44800000000000001</v>
      </c>
      <c r="AM95">
        <v>0.19700000000000001</v>
      </c>
      <c r="AN95">
        <v>-0.26500000000000001</v>
      </c>
      <c r="AO95">
        <v>0.57099999999999995</v>
      </c>
      <c r="AP95">
        <v>-0.223</v>
      </c>
      <c r="AQ95">
        <v>0.48699999999999999</v>
      </c>
      <c r="AR95">
        <v>-9.1999999999999998E-2</v>
      </c>
      <c r="AS95">
        <v>-0.443</v>
      </c>
      <c r="AT95">
        <v>0.105</v>
      </c>
      <c r="AU95">
        <v>0.36899999999999999</v>
      </c>
      <c r="AV95">
        <v>0.56100000000000005</v>
      </c>
      <c r="AW95">
        <v>0.26900000000000002</v>
      </c>
      <c r="AX95">
        <v>-0.06</v>
      </c>
      <c r="AY95">
        <v>-0.85599999999999998</v>
      </c>
      <c r="AZ95">
        <v>-0.20300000000000001</v>
      </c>
      <c r="BA95">
        <v>9.4E-2</v>
      </c>
      <c r="BE95" s="20"/>
      <c r="BF95" s="21"/>
      <c r="BG95" s="21"/>
      <c r="BH95" s="21"/>
      <c r="BL95" t="s">
        <v>76</v>
      </c>
      <c r="BM95" t="s">
        <v>294</v>
      </c>
      <c r="BN95" t="s">
        <v>281</v>
      </c>
    </row>
    <row r="96" spans="1:66" ht="15" thickBot="1" x14ac:dyDescent="0.35">
      <c r="A96" t="s">
        <v>99</v>
      </c>
      <c r="B96">
        <v>2.3519999999999999</v>
      </c>
      <c r="C96">
        <v>2.3879999999999999</v>
      </c>
      <c r="D96" t="s">
        <v>57</v>
      </c>
      <c r="E96">
        <v>0</v>
      </c>
      <c r="F96">
        <v>0</v>
      </c>
      <c r="G96">
        <v>0</v>
      </c>
      <c r="H96">
        <v>0.59</v>
      </c>
      <c r="I96">
        <v>0.187</v>
      </c>
      <c r="J96">
        <v>0.70799999999999996</v>
      </c>
      <c r="K96">
        <v>0.43099999999999999</v>
      </c>
      <c r="L96">
        <v>0.50600000000000001</v>
      </c>
      <c r="M96">
        <v>0.45900000000000002</v>
      </c>
      <c r="N96">
        <v>0.34</v>
      </c>
      <c r="O96">
        <v>0.30099999999999999</v>
      </c>
      <c r="P96">
        <v>0.55400000000000005</v>
      </c>
      <c r="Q96">
        <v>0.55600000000000005</v>
      </c>
      <c r="R96">
        <v>0.84099999999999997</v>
      </c>
      <c r="S96">
        <v>0.92400000000000004</v>
      </c>
      <c r="T96">
        <v>0.77600000000000002</v>
      </c>
      <c r="U96">
        <v>0.69099999999999995</v>
      </c>
      <c r="V96">
        <v>0.63500000000000001</v>
      </c>
      <c r="W96">
        <v>-0.16500000000000001</v>
      </c>
      <c r="X96">
        <v>0.39500000000000002</v>
      </c>
      <c r="Y96">
        <v>0.19600000000000001</v>
      </c>
      <c r="Z96">
        <v>-1.4999999999999999E-2</v>
      </c>
      <c r="AA96">
        <v>-0.20200000000000001</v>
      </c>
      <c r="AB96">
        <v>0.25700000000000001</v>
      </c>
      <c r="AC96">
        <v>-3.4000000000000002E-2</v>
      </c>
      <c r="AD96">
        <v>0.219</v>
      </c>
      <c r="AE96">
        <v>-0.191</v>
      </c>
      <c r="AF96">
        <v>-0.15</v>
      </c>
      <c r="AG96">
        <v>0.40500000000000003</v>
      </c>
      <c r="AH96">
        <v>0.92</v>
      </c>
      <c r="AI96">
        <v>0.84</v>
      </c>
      <c r="AJ96">
        <v>1.6E-2</v>
      </c>
      <c r="AK96">
        <v>-0.34200000000000003</v>
      </c>
      <c r="AL96">
        <v>0.313</v>
      </c>
      <c r="AM96">
        <v>6.0999999999999999E-2</v>
      </c>
      <c r="AN96">
        <v>2.7E-2</v>
      </c>
      <c r="AO96">
        <v>0.75700000000000001</v>
      </c>
      <c r="AP96">
        <v>0.44800000000000001</v>
      </c>
      <c r="AQ96">
        <v>0.16600000000000001</v>
      </c>
      <c r="AR96">
        <v>-2.1000000000000001E-2</v>
      </c>
      <c r="AS96">
        <v>-0.28899999999999998</v>
      </c>
      <c r="AT96">
        <v>-7.2999999999999995E-2</v>
      </c>
      <c r="AU96">
        <v>0.46600000000000003</v>
      </c>
      <c r="AV96">
        <v>-0.125</v>
      </c>
      <c r="AW96">
        <v>0.625</v>
      </c>
      <c r="AX96">
        <v>-0.39300000000000002</v>
      </c>
      <c r="AY96">
        <v>0.35899999999999999</v>
      </c>
      <c r="AZ96">
        <v>0.48499999999999999</v>
      </c>
      <c r="BA96">
        <v>0.41099999999999998</v>
      </c>
      <c r="BE96" s="20"/>
      <c r="BF96" s="21"/>
      <c r="BG96" s="21"/>
      <c r="BH96" s="21"/>
      <c r="BL96" t="s">
        <v>152</v>
      </c>
      <c r="BM96" t="s">
        <v>294</v>
      </c>
      <c r="BN96" t="s">
        <v>283</v>
      </c>
    </row>
    <row r="97" spans="1:66" ht="15" thickBot="1" x14ac:dyDescent="0.35">
      <c r="A97" t="s">
        <v>161</v>
      </c>
      <c r="B97">
        <v>0.81399999999999995</v>
      </c>
      <c r="C97">
        <v>0.93600000000000005</v>
      </c>
      <c r="D97" t="s">
        <v>57</v>
      </c>
      <c r="E97">
        <v>0</v>
      </c>
      <c r="F97">
        <v>0</v>
      </c>
      <c r="G97">
        <v>0</v>
      </c>
      <c r="H97">
        <v>-0.56499999999999995</v>
      </c>
      <c r="I97">
        <v>-0.35299999999999998</v>
      </c>
      <c r="J97">
        <v>-0.66100000000000003</v>
      </c>
      <c r="K97">
        <v>-0.55200000000000005</v>
      </c>
      <c r="L97">
        <v>-0.47799999999999998</v>
      </c>
      <c r="M97">
        <v>-0.34699999999999998</v>
      </c>
      <c r="N97">
        <v>-0.13500000000000001</v>
      </c>
      <c r="O97">
        <v>-0.29699999999999999</v>
      </c>
      <c r="P97">
        <v>0.80200000000000005</v>
      </c>
      <c r="Q97">
        <v>0.80400000000000005</v>
      </c>
      <c r="R97">
        <v>0.749</v>
      </c>
      <c r="S97">
        <v>0.85299999999999998</v>
      </c>
      <c r="T97">
        <v>0.64800000000000002</v>
      </c>
      <c r="U97">
        <v>-0.67400000000000004</v>
      </c>
      <c r="V97">
        <v>-1.4E-2</v>
      </c>
      <c r="W97">
        <v>-9.5000000000000001E-2</v>
      </c>
      <c r="X97">
        <v>-0.89900000000000002</v>
      </c>
      <c r="Y97">
        <v>-0.999</v>
      </c>
      <c r="Z97">
        <v>-1</v>
      </c>
      <c r="AA97">
        <v>-0.159</v>
      </c>
      <c r="AB97">
        <v>-8.7999999999999995E-2</v>
      </c>
      <c r="AC97">
        <v>4.5999999999999999E-2</v>
      </c>
      <c r="AD97">
        <v>-0.106</v>
      </c>
      <c r="AE97">
        <v>0.10199999999999999</v>
      </c>
      <c r="AF97">
        <v>-0.29399999999999998</v>
      </c>
      <c r="AG97">
        <v>9.8000000000000004E-2</v>
      </c>
      <c r="AH97">
        <v>0.19900000000000001</v>
      </c>
      <c r="AI97">
        <v>0.51600000000000001</v>
      </c>
      <c r="AJ97">
        <v>-8.5999999999999993E-2</v>
      </c>
      <c r="AK97">
        <v>-0.11600000000000001</v>
      </c>
      <c r="AL97">
        <v>-0.45800000000000002</v>
      </c>
      <c r="AM97">
        <v>0.33600000000000002</v>
      </c>
      <c r="AN97">
        <v>-0.44800000000000001</v>
      </c>
      <c r="AO97">
        <v>0.84899999999999998</v>
      </c>
      <c r="AP97">
        <v>-8.1000000000000003E-2</v>
      </c>
      <c r="AQ97">
        <v>0.66400000000000003</v>
      </c>
      <c r="AR97">
        <v>-0.151</v>
      </c>
      <c r="AS97">
        <v>-0.2</v>
      </c>
      <c r="AT97">
        <v>0.183</v>
      </c>
      <c r="AU97">
        <v>0.17899999999999999</v>
      </c>
      <c r="AV97">
        <v>-0.28699999999999998</v>
      </c>
      <c r="AW97">
        <v>0.72199999999999998</v>
      </c>
      <c r="AX97">
        <v>-0.314</v>
      </c>
      <c r="AY97">
        <v>0.11</v>
      </c>
      <c r="AZ97">
        <v>1</v>
      </c>
      <c r="BA97">
        <v>-0.56899999999999995</v>
      </c>
      <c r="BE97" s="20"/>
      <c r="BF97" s="21"/>
      <c r="BG97" s="21"/>
      <c r="BH97" s="21"/>
      <c r="BL97" t="s">
        <v>226</v>
      </c>
      <c r="BM97" t="s">
        <v>280</v>
      </c>
      <c r="BN97" t="s">
        <v>283</v>
      </c>
    </row>
    <row r="98" spans="1:66" ht="15" thickBot="1" x14ac:dyDescent="0.35">
      <c r="A98" t="s">
        <v>162</v>
      </c>
      <c r="B98">
        <v>0.78300000000000003</v>
      </c>
      <c r="C98">
        <v>0.93200000000000005</v>
      </c>
      <c r="D98" t="s">
        <v>57</v>
      </c>
      <c r="E98">
        <v>0</v>
      </c>
      <c r="F98">
        <v>0</v>
      </c>
      <c r="G98">
        <v>0</v>
      </c>
      <c r="H98">
        <v>-0.58599999999999997</v>
      </c>
      <c r="I98">
        <v>-0.442</v>
      </c>
      <c r="J98">
        <v>-0.68200000000000005</v>
      </c>
      <c r="K98">
        <v>-0.58799999999999997</v>
      </c>
      <c r="L98">
        <v>-0.53900000000000003</v>
      </c>
      <c r="M98">
        <v>-0.32400000000000001</v>
      </c>
      <c r="N98">
        <v>-5.1999999999999998E-2</v>
      </c>
      <c r="O98">
        <v>-0.32100000000000001</v>
      </c>
      <c r="P98">
        <v>0.80300000000000005</v>
      </c>
      <c r="Q98">
        <v>0.80200000000000005</v>
      </c>
      <c r="R98">
        <v>0.73099999999999998</v>
      </c>
      <c r="S98">
        <v>0.80400000000000005</v>
      </c>
      <c r="T98">
        <v>0.61699999999999999</v>
      </c>
      <c r="U98">
        <v>-0.64700000000000002</v>
      </c>
      <c r="V98">
        <v>2.5999999999999999E-2</v>
      </c>
      <c r="W98">
        <v>-0.33300000000000002</v>
      </c>
      <c r="X98">
        <v>-0.89100000000000001</v>
      </c>
      <c r="Y98">
        <v>-1</v>
      </c>
      <c r="Z98">
        <v>-0.996</v>
      </c>
      <c r="AA98">
        <v>-0.159</v>
      </c>
      <c r="AB98">
        <v>-5.6000000000000001E-2</v>
      </c>
      <c r="AC98">
        <v>4.5999999999999999E-2</v>
      </c>
      <c r="AD98">
        <v>4.2999999999999997E-2</v>
      </c>
      <c r="AE98">
        <v>-4.3999999999999997E-2</v>
      </c>
      <c r="AF98">
        <v>-0.35099999999999998</v>
      </c>
      <c r="AG98">
        <v>0.107</v>
      </c>
      <c r="AH98">
        <v>0.19900000000000001</v>
      </c>
      <c r="AI98">
        <v>0.51600000000000001</v>
      </c>
      <c r="AJ98">
        <v>-5.3999999999999999E-2</v>
      </c>
      <c r="AK98">
        <v>-0.11600000000000001</v>
      </c>
      <c r="AL98">
        <v>-0.443</v>
      </c>
      <c r="AM98">
        <v>0.42199999999999999</v>
      </c>
      <c r="AN98">
        <v>-0.44800000000000001</v>
      </c>
      <c r="AO98">
        <v>0.32900000000000001</v>
      </c>
      <c r="AP98">
        <v>-0.26800000000000002</v>
      </c>
      <c r="AQ98">
        <v>0.76900000000000002</v>
      </c>
      <c r="AR98">
        <v>-0.13800000000000001</v>
      </c>
      <c r="AS98">
        <v>-0.2</v>
      </c>
      <c r="AT98">
        <v>0.13400000000000001</v>
      </c>
      <c r="AU98">
        <v>0.24099999999999999</v>
      </c>
      <c r="AV98">
        <v>-0.55000000000000004</v>
      </c>
      <c r="AW98">
        <v>0.82799999999999996</v>
      </c>
      <c r="AX98">
        <v>-0.28100000000000003</v>
      </c>
      <c r="AY98">
        <v>4.0000000000000001E-3</v>
      </c>
      <c r="AZ98">
        <v>0.97699999999999998</v>
      </c>
      <c r="BA98">
        <v>-0.56899999999999995</v>
      </c>
      <c r="BE98" s="20"/>
      <c r="BF98" s="21"/>
      <c r="BG98" s="21"/>
      <c r="BH98" s="21"/>
      <c r="BL98" t="s">
        <v>151</v>
      </c>
      <c r="BM98" t="s">
        <v>294</v>
      </c>
      <c r="BN98" t="s">
        <v>281</v>
      </c>
    </row>
    <row r="99" spans="1:66" ht="15" thickBot="1" x14ac:dyDescent="0.35">
      <c r="A99" t="s">
        <v>171</v>
      </c>
      <c r="B99">
        <v>0.71</v>
      </c>
      <c r="C99">
        <v>1.3819999999999999</v>
      </c>
      <c r="D99" t="s">
        <v>57</v>
      </c>
      <c r="E99">
        <v>0</v>
      </c>
      <c r="F99">
        <v>-0.02</v>
      </c>
      <c r="G99">
        <v>0.02</v>
      </c>
      <c r="H99">
        <v>-0.68500000000000005</v>
      </c>
      <c r="I99">
        <v>-0.42899999999999999</v>
      </c>
      <c r="J99">
        <v>-0.83499999999999996</v>
      </c>
      <c r="K99">
        <v>-0.60699999999999998</v>
      </c>
      <c r="L99">
        <v>-0.58599999999999997</v>
      </c>
      <c r="M99">
        <v>-0.39400000000000002</v>
      </c>
      <c r="N99">
        <v>-0.106</v>
      </c>
      <c r="O99">
        <v>-0.33500000000000002</v>
      </c>
      <c r="P99">
        <v>0.71499999999999997</v>
      </c>
      <c r="Q99">
        <v>0.71599999999999997</v>
      </c>
      <c r="R99">
        <v>0.69499999999999995</v>
      </c>
      <c r="S99">
        <v>0.81399999999999995</v>
      </c>
      <c r="T99">
        <v>0.57499999999999996</v>
      </c>
      <c r="U99">
        <v>-0.67800000000000005</v>
      </c>
      <c r="V99">
        <v>6.0000000000000001E-3</v>
      </c>
      <c r="W99">
        <v>-0.109</v>
      </c>
      <c r="X99">
        <v>-0.89500000000000002</v>
      </c>
      <c r="Y99">
        <v>-1</v>
      </c>
      <c r="Z99">
        <v>-1</v>
      </c>
      <c r="AA99">
        <v>-0.159</v>
      </c>
      <c r="AB99">
        <v>-7.1999999999999995E-2</v>
      </c>
      <c r="AC99">
        <v>4.5999999999999999E-2</v>
      </c>
      <c r="AD99">
        <v>1.7000000000000001E-2</v>
      </c>
      <c r="AE99">
        <v>5.5E-2</v>
      </c>
      <c r="AF99">
        <v>-0.27</v>
      </c>
      <c r="AG99">
        <v>0.107</v>
      </c>
      <c r="AH99">
        <v>0.19900000000000001</v>
      </c>
      <c r="AI99">
        <v>0.51600000000000001</v>
      </c>
      <c r="AJ99">
        <v>-5.3999999999999999E-2</v>
      </c>
      <c r="AK99">
        <v>-0.11600000000000001</v>
      </c>
      <c r="AL99">
        <v>-0.47599999999999998</v>
      </c>
      <c r="AM99">
        <v>0.33200000000000002</v>
      </c>
      <c r="AN99">
        <v>-0.46899999999999997</v>
      </c>
      <c r="AO99">
        <v>0.32900000000000001</v>
      </c>
      <c r="AP99">
        <v>-0.217</v>
      </c>
      <c r="AQ99">
        <v>0.47299999999999998</v>
      </c>
      <c r="AR99">
        <v>-0.14000000000000001</v>
      </c>
      <c r="AS99">
        <v>-0.23</v>
      </c>
      <c r="AT99">
        <v>0.123</v>
      </c>
      <c r="AU99">
        <v>0.19800000000000001</v>
      </c>
      <c r="AV99">
        <v>-0.32200000000000001</v>
      </c>
      <c r="AW99">
        <v>0.89100000000000001</v>
      </c>
      <c r="AX99">
        <v>-0.30499999999999999</v>
      </c>
      <c r="AY99">
        <v>-1.2999999999999999E-2</v>
      </c>
      <c r="AZ99">
        <v>0.14099999999999999</v>
      </c>
      <c r="BA99">
        <v>-0.56899999999999995</v>
      </c>
      <c r="BE99" s="20"/>
      <c r="BF99" s="21"/>
      <c r="BG99" s="21"/>
      <c r="BH99" s="21"/>
      <c r="BL99" t="s">
        <v>203</v>
      </c>
      <c r="BM99" t="s">
        <v>290</v>
      </c>
      <c r="BN99" t="s">
        <v>282</v>
      </c>
    </row>
    <row r="100" spans="1:66" ht="15" thickBot="1" x14ac:dyDescent="0.35">
      <c r="A100" t="s">
        <v>84</v>
      </c>
      <c r="B100">
        <v>1.9630000000000001</v>
      </c>
      <c r="C100">
        <v>1.5189999999999999</v>
      </c>
      <c r="D100" t="s">
        <v>57</v>
      </c>
      <c r="E100">
        <v>0</v>
      </c>
      <c r="F100">
        <v>0</v>
      </c>
      <c r="G100">
        <v>0</v>
      </c>
      <c r="H100">
        <v>0.19</v>
      </c>
      <c r="I100">
        <v>0.26800000000000002</v>
      </c>
      <c r="J100">
        <v>0.32600000000000001</v>
      </c>
      <c r="K100">
        <v>0.308</v>
      </c>
      <c r="L100">
        <v>0.47</v>
      </c>
      <c r="M100">
        <v>5.6000000000000001E-2</v>
      </c>
      <c r="N100">
        <v>-3.3000000000000002E-2</v>
      </c>
      <c r="O100">
        <v>0.159</v>
      </c>
      <c r="P100">
        <v>0.71099999999999997</v>
      </c>
      <c r="Q100">
        <v>0.71</v>
      </c>
      <c r="R100">
        <v>0.86799999999999999</v>
      </c>
      <c r="S100">
        <v>0.86799999999999999</v>
      </c>
      <c r="T100">
        <v>0.87</v>
      </c>
      <c r="U100">
        <v>-0.18099999999999999</v>
      </c>
      <c r="V100">
        <v>0.43099999999999999</v>
      </c>
      <c r="W100">
        <v>0.44600000000000001</v>
      </c>
      <c r="X100">
        <v>-0.42599999999999999</v>
      </c>
      <c r="Y100">
        <v>0.67900000000000005</v>
      </c>
      <c r="Z100">
        <v>0.79300000000000004</v>
      </c>
      <c r="AA100">
        <v>-4.9000000000000002E-2</v>
      </c>
      <c r="AB100">
        <v>-0.159</v>
      </c>
      <c r="AC100">
        <v>-0.40300000000000002</v>
      </c>
      <c r="AD100">
        <v>-9.7000000000000003E-2</v>
      </c>
      <c r="AE100">
        <v>0.73599999999999999</v>
      </c>
      <c r="AF100">
        <v>-0.17100000000000001</v>
      </c>
      <c r="AG100">
        <v>0.86799999999999999</v>
      </c>
      <c r="AH100">
        <v>-4.3999999999999997E-2</v>
      </c>
      <c r="AI100">
        <v>-0.317</v>
      </c>
      <c r="AJ100">
        <v>0.23599999999999999</v>
      </c>
      <c r="AK100">
        <v>-0.21</v>
      </c>
      <c r="AL100">
        <v>0.23699999999999999</v>
      </c>
      <c r="AM100">
        <v>0.4</v>
      </c>
      <c r="AN100">
        <v>-0.16600000000000001</v>
      </c>
      <c r="AO100">
        <v>-0.13500000000000001</v>
      </c>
      <c r="AP100">
        <v>0.45800000000000002</v>
      </c>
      <c r="AQ100">
        <v>0.48</v>
      </c>
      <c r="AR100">
        <v>-0.189</v>
      </c>
      <c r="AS100">
        <v>-0.113</v>
      </c>
      <c r="AT100">
        <v>-0.46100000000000002</v>
      </c>
      <c r="AU100">
        <v>-1</v>
      </c>
      <c r="AV100">
        <v>-0.72799999999999998</v>
      </c>
      <c r="AW100">
        <v>0.214</v>
      </c>
      <c r="AX100">
        <v>-1</v>
      </c>
      <c r="AY100">
        <v>-0.01</v>
      </c>
      <c r="AZ100">
        <v>0.53300000000000003</v>
      </c>
      <c r="BA100">
        <v>0.65600000000000003</v>
      </c>
      <c r="BE100" s="20"/>
      <c r="BF100" s="21"/>
      <c r="BG100" s="21"/>
      <c r="BH100" s="21"/>
      <c r="BL100" t="s">
        <v>114</v>
      </c>
      <c r="BM100" t="s">
        <v>280</v>
      </c>
      <c r="BN100" t="s">
        <v>279</v>
      </c>
    </row>
    <row r="101" spans="1:66" ht="15" thickBot="1" x14ac:dyDescent="0.35">
      <c r="A101" t="s">
        <v>91</v>
      </c>
      <c r="B101">
        <v>3.2610000000000001</v>
      </c>
      <c r="C101">
        <v>3.1240000000000001</v>
      </c>
      <c r="D101" t="s">
        <v>57</v>
      </c>
      <c r="E101">
        <v>0</v>
      </c>
      <c r="F101">
        <v>0</v>
      </c>
      <c r="G101">
        <v>0</v>
      </c>
      <c r="H101">
        <v>1</v>
      </c>
      <c r="I101">
        <v>1</v>
      </c>
      <c r="J101">
        <v>0.90700000000000003</v>
      </c>
      <c r="K101">
        <v>1</v>
      </c>
      <c r="L101">
        <v>1</v>
      </c>
      <c r="M101">
        <v>1</v>
      </c>
      <c r="N101">
        <v>1</v>
      </c>
      <c r="O101">
        <v>0.98899999999999999</v>
      </c>
      <c r="P101">
        <v>0.91900000000000004</v>
      </c>
      <c r="Q101">
        <v>0.92200000000000004</v>
      </c>
      <c r="R101">
        <v>0.90800000000000003</v>
      </c>
      <c r="S101">
        <v>0.95199999999999996</v>
      </c>
      <c r="T101">
        <v>1</v>
      </c>
      <c r="U101">
        <v>1</v>
      </c>
      <c r="V101">
        <v>1</v>
      </c>
      <c r="W101">
        <v>1</v>
      </c>
      <c r="X101">
        <v>-0.45</v>
      </c>
      <c r="Y101">
        <v>0.31</v>
      </c>
      <c r="Z101">
        <v>0.34</v>
      </c>
      <c r="AA101">
        <v>0.28699999999999998</v>
      </c>
      <c r="AB101">
        <v>-0.104</v>
      </c>
      <c r="AC101">
        <v>-0.45500000000000002</v>
      </c>
      <c r="AD101">
        <v>0.13600000000000001</v>
      </c>
      <c r="AE101">
        <v>0.8</v>
      </c>
      <c r="AF101">
        <v>0.76900000000000002</v>
      </c>
      <c r="AG101">
        <v>0.61499999999999999</v>
      </c>
      <c r="AH101">
        <v>0.41399999999999998</v>
      </c>
      <c r="AI101">
        <v>0.97599999999999998</v>
      </c>
      <c r="AJ101">
        <v>0.52500000000000002</v>
      </c>
      <c r="AK101">
        <v>0.91300000000000003</v>
      </c>
      <c r="AL101">
        <v>0.997</v>
      </c>
      <c r="AM101">
        <v>-2.9000000000000001E-2</v>
      </c>
      <c r="AN101">
        <v>0.216</v>
      </c>
      <c r="AO101">
        <v>0.188</v>
      </c>
      <c r="AP101">
        <v>0.76300000000000001</v>
      </c>
      <c r="AQ101">
        <v>0.14899999999999999</v>
      </c>
      <c r="AR101">
        <v>-0.1</v>
      </c>
      <c r="AS101">
        <v>0.57299999999999995</v>
      </c>
      <c r="AT101">
        <v>0.30599999999999999</v>
      </c>
      <c r="AU101">
        <v>-1</v>
      </c>
      <c r="AV101">
        <v>0.248</v>
      </c>
      <c r="AW101">
        <v>-0.13200000000000001</v>
      </c>
      <c r="AX101">
        <v>-0.67200000000000004</v>
      </c>
      <c r="AY101">
        <v>0.63100000000000001</v>
      </c>
      <c r="AZ101">
        <v>2.5000000000000001E-2</v>
      </c>
      <c r="BA101">
        <v>-0.26800000000000002</v>
      </c>
      <c r="BE101" s="20"/>
      <c r="BF101" s="21"/>
      <c r="BG101" s="21"/>
      <c r="BH101" s="21"/>
      <c r="BL101" t="s">
        <v>184</v>
      </c>
      <c r="BM101" t="s">
        <v>299</v>
      </c>
      <c r="BN101" t="s">
        <v>287</v>
      </c>
    </row>
    <row r="102" spans="1:66" ht="15" thickBot="1" x14ac:dyDescent="0.35">
      <c r="A102" t="s">
        <v>119</v>
      </c>
      <c r="B102">
        <v>1.018</v>
      </c>
      <c r="C102">
        <v>0.97799999999999998</v>
      </c>
      <c r="D102" t="s">
        <v>57</v>
      </c>
      <c r="E102">
        <v>0</v>
      </c>
      <c r="F102">
        <v>0</v>
      </c>
      <c r="G102">
        <v>0</v>
      </c>
      <c r="H102">
        <v>-0.21099999999999999</v>
      </c>
      <c r="I102">
        <v>-8.8999999999999996E-2</v>
      </c>
      <c r="J102">
        <v>-0.39400000000000002</v>
      </c>
      <c r="K102">
        <v>-0.23200000000000001</v>
      </c>
      <c r="L102">
        <v>-0.189</v>
      </c>
      <c r="M102">
        <v>-0.16500000000000001</v>
      </c>
      <c r="N102">
        <v>0.04</v>
      </c>
      <c r="O102">
        <v>-0.24399999999999999</v>
      </c>
      <c r="P102">
        <v>0.41199999999999998</v>
      </c>
      <c r="Q102">
        <v>0.41299999999999998</v>
      </c>
      <c r="R102">
        <v>0.72699999999999998</v>
      </c>
      <c r="S102">
        <v>0.76400000000000001</v>
      </c>
      <c r="T102">
        <v>0.57599999999999996</v>
      </c>
      <c r="U102">
        <v>-0.02</v>
      </c>
      <c r="V102">
        <v>-0.06</v>
      </c>
      <c r="W102">
        <v>-5.1999999999999998E-2</v>
      </c>
      <c r="X102">
        <v>-0.38300000000000001</v>
      </c>
      <c r="Y102">
        <v>-0.158</v>
      </c>
      <c r="Z102">
        <v>-0.30199999999999999</v>
      </c>
      <c r="AA102">
        <v>-0.26900000000000002</v>
      </c>
      <c r="AB102">
        <v>-0.33900000000000002</v>
      </c>
      <c r="AC102">
        <v>-0.28399999999999997</v>
      </c>
      <c r="AD102">
        <v>0.56299999999999994</v>
      </c>
      <c r="AE102">
        <v>0.20699999999999999</v>
      </c>
      <c r="AF102">
        <v>1.0999999999999999E-2</v>
      </c>
      <c r="AG102">
        <v>0.39300000000000002</v>
      </c>
      <c r="AH102">
        <v>-5.0000000000000001E-3</v>
      </c>
      <c r="AI102">
        <v>-6.6000000000000003E-2</v>
      </c>
      <c r="AJ102">
        <v>2E-3</v>
      </c>
      <c r="AK102">
        <v>0.51600000000000001</v>
      </c>
      <c r="AL102">
        <v>0.19500000000000001</v>
      </c>
      <c r="AM102">
        <v>-0.09</v>
      </c>
      <c r="AN102">
        <v>9.9000000000000005E-2</v>
      </c>
      <c r="AO102">
        <v>0.60299999999999998</v>
      </c>
      <c r="AP102">
        <v>0.15</v>
      </c>
      <c r="AQ102">
        <v>5.5E-2</v>
      </c>
      <c r="AR102">
        <v>-0.20899999999999999</v>
      </c>
      <c r="AS102">
        <v>-0.30599999999999999</v>
      </c>
      <c r="AT102">
        <v>-0.3</v>
      </c>
      <c r="AU102">
        <v>-0.376</v>
      </c>
      <c r="AV102">
        <v>0.27300000000000002</v>
      </c>
      <c r="AW102">
        <v>0.44</v>
      </c>
      <c r="AX102">
        <v>-0.18</v>
      </c>
      <c r="AY102">
        <v>0.41299999999999998</v>
      </c>
      <c r="AZ102">
        <v>-2.8000000000000001E-2</v>
      </c>
      <c r="BA102">
        <v>-1.0999999999999999E-2</v>
      </c>
      <c r="BE102" s="20"/>
      <c r="BF102" s="21"/>
      <c r="BG102" s="21"/>
      <c r="BH102" s="21"/>
      <c r="BL102" t="s">
        <v>143</v>
      </c>
      <c r="BM102" t="s">
        <v>290</v>
      </c>
      <c r="BN102" t="s">
        <v>282</v>
      </c>
    </row>
    <row r="103" spans="1:66" ht="15" thickBot="1" x14ac:dyDescent="0.35">
      <c r="A103" t="s">
        <v>140</v>
      </c>
      <c r="B103">
        <v>0.55600000000000005</v>
      </c>
      <c r="C103">
        <v>0.44900000000000001</v>
      </c>
      <c r="D103" t="s">
        <v>71</v>
      </c>
      <c r="E103">
        <v>0</v>
      </c>
      <c r="F103">
        <v>-2.1999999999999999E-2</v>
      </c>
      <c r="G103">
        <v>2.1999999999999999E-2</v>
      </c>
      <c r="H103">
        <v>-0.95299999999999996</v>
      </c>
      <c r="I103">
        <v>-0.84699999999999998</v>
      </c>
      <c r="J103">
        <v>-1</v>
      </c>
      <c r="K103">
        <v>-0.77</v>
      </c>
      <c r="L103">
        <v>-0.82299999999999995</v>
      </c>
      <c r="M103">
        <v>-0.82899999999999996</v>
      </c>
      <c r="N103">
        <v>-0.82499999999999996</v>
      </c>
      <c r="O103">
        <v>-0.34399999999999997</v>
      </c>
      <c r="P103">
        <v>0.373</v>
      </c>
      <c r="Q103">
        <v>0.371</v>
      </c>
      <c r="R103">
        <v>0.47499999999999998</v>
      </c>
      <c r="S103">
        <v>0.70499999999999996</v>
      </c>
      <c r="T103">
        <v>0.246</v>
      </c>
      <c r="U103">
        <v>-0.41299999999999998</v>
      </c>
      <c r="V103">
        <v>-0.35599999999999998</v>
      </c>
      <c r="W103">
        <v>-0.48199999999999998</v>
      </c>
      <c r="X103">
        <v>-0.67900000000000005</v>
      </c>
      <c r="Y103">
        <v>-1</v>
      </c>
      <c r="Z103">
        <v>-0.99</v>
      </c>
      <c r="AA103">
        <v>0.155</v>
      </c>
      <c r="AB103">
        <v>0.91400000000000003</v>
      </c>
      <c r="AC103">
        <v>-0.497</v>
      </c>
      <c r="AD103">
        <v>-0.32900000000000001</v>
      </c>
      <c r="AE103">
        <v>3.2000000000000001E-2</v>
      </c>
      <c r="AF103">
        <v>-0.314</v>
      </c>
      <c r="AG103">
        <v>-0.17</v>
      </c>
      <c r="AH103">
        <v>-0.30499999999999999</v>
      </c>
      <c r="AI103">
        <v>-0.11600000000000001</v>
      </c>
      <c r="AJ103">
        <v>0.16900000000000001</v>
      </c>
      <c r="AK103">
        <v>-0.46800000000000003</v>
      </c>
      <c r="AL103">
        <v>-0.312</v>
      </c>
      <c r="AM103">
        <v>6.0000000000000001E-3</v>
      </c>
      <c r="AN103">
        <v>-0.58199999999999996</v>
      </c>
      <c r="AO103">
        <v>0.76600000000000001</v>
      </c>
      <c r="AP103">
        <v>-2.5999999999999999E-2</v>
      </c>
      <c r="AQ103">
        <v>-0.36299999999999999</v>
      </c>
      <c r="AR103">
        <v>0.51300000000000001</v>
      </c>
      <c r="AS103">
        <v>0.02</v>
      </c>
      <c r="AT103">
        <v>7.3999999999999996E-2</v>
      </c>
      <c r="AU103">
        <v>-0.33</v>
      </c>
      <c r="AV103">
        <v>-0.32600000000000001</v>
      </c>
      <c r="AW103">
        <v>-0.77600000000000002</v>
      </c>
      <c r="AX103">
        <v>-0.82799999999999996</v>
      </c>
      <c r="AY103">
        <v>-0.77100000000000002</v>
      </c>
      <c r="AZ103">
        <v>-0.47599999999999998</v>
      </c>
      <c r="BA103">
        <v>-0.52200000000000002</v>
      </c>
      <c r="BE103" s="20"/>
      <c r="BF103" s="21"/>
      <c r="BG103" s="21"/>
      <c r="BH103" s="21"/>
      <c r="BL103" t="s">
        <v>163</v>
      </c>
      <c r="BM103" t="s">
        <v>298</v>
      </c>
      <c r="BN103" t="s">
        <v>283</v>
      </c>
    </row>
    <row r="104" spans="1:66" ht="15" thickBot="1" x14ac:dyDescent="0.35">
      <c r="A104" t="s">
        <v>78</v>
      </c>
      <c r="B104">
        <v>0.97099999999999997</v>
      </c>
      <c r="C104">
        <v>1.071</v>
      </c>
      <c r="D104" t="s">
        <v>57</v>
      </c>
      <c r="E104">
        <v>0</v>
      </c>
      <c r="F104">
        <v>0</v>
      </c>
      <c r="G104">
        <v>0</v>
      </c>
      <c r="H104">
        <v>-0.33900000000000002</v>
      </c>
      <c r="I104">
        <v>-0.29499999999999998</v>
      </c>
      <c r="J104">
        <v>-7.6999999999999999E-2</v>
      </c>
      <c r="K104">
        <v>-0.373</v>
      </c>
      <c r="L104">
        <v>-0.17599999999999999</v>
      </c>
      <c r="M104">
        <v>-0.20599999999999999</v>
      </c>
      <c r="N104">
        <v>-7.4999999999999997E-2</v>
      </c>
      <c r="O104">
        <v>0.09</v>
      </c>
      <c r="P104">
        <v>0.26200000000000001</v>
      </c>
      <c r="Q104">
        <v>0.26900000000000002</v>
      </c>
      <c r="R104">
        <v>0.65800000000000003</v>
      </c>
      <c r="S104">
        <v>0.58899999999999997</v>
      </c>
      <c r="T104">
        <v>0.41099999999999998</v>
      </c>
      <c r="U104">
        <v>2.4E-2</v>
      </c>
      <c r="V104">
        <v>-0.19</v>
      </c>
      <c r="W104">
        <v>-0.85399999999999998</v>
      </c>
      <c r="X104">
        <v>-9.8000000000000004E-2</v>
      </c>
      <c r="Y104">
        <v>-0.46200000000000002</v>
      </c>
      <c r="Z104">
        <v>0.98399999999999999</v>
      </c>
      <c r="AA104">
        <v>-0.159</v>
      </c>
      <c r="AB104">
        <v>0.318</v>
      </c>
      <c r="AC104">
        <v>-0.874</v>
      </c>
      <c r="AD104">
        <v>0.14099999999999999</v>
      </c>
      <c r="AE104">
        <v>-0.16900000000000001</v>
      </c>
      <c r="AF104">
        <v>-0.34799999999999998</v>
      </c>
      <c r="AG104">
        <v>0.26600000000000001</v>
      </c>
      <c r="AH104">
        <v>-0.161</v>
      </c>
      <c r="AI104">
        <v>-0.96599999999999997</v>
      </c>
      <c r="AJ104">
        <v>0.90900000000000003</v>
      </c>
      <c r="AK104">
        <v>-0.28000000000000003</v>
      </c>
      <c r="AL104">
        <v>4.2000000000000003E-2</v>
      </c>
      <c r="AM104">
        <v>0.38100000000000001</v>
      </c>
      <c r="AN104">
        <v>7.4999999999999997E-2</v>
      </c>
      <c r="AO104">
        <v>0.90700000000000003</v>
      </c>
      <c r="AP104">
        <v>0.47299999999999998</v>
      </c>
      <c r="AQ104">
        <v>0.35799999999999998</v>
      </c>
      <c r="AR104">
        <v>-0.09</v>
      </c>
      <c r="AS104">
        <v>-0.42</v>
      </c>
      <c r="AT104">
        <v>4.8000000000000001E-2</v>
      </c>
      <c r="AU104">
        <v>-3.9E-2</v>
      </c>
      <c r="AV104">
        <v>0.38</v>
      </c>
      <c r="AW104">
        <v>0.34899999999999998</v>
      </c>
      <c r="AX104">
        <v>-0.59899999999999998</v>
      </c>
      <c r="AY104">
        <v>0.27</v>
      </c>
      <c r="AZ104">
        <v>0.34499999999999997</v>
      </c>
      <c r="BA104">
        <v>0.59399999999999997</v>
      </c>
      <c r="BE104" s="20"/>
      <c r="BF104" s="21"/>
      <c r="BG104" s="21"/>
      <c r="BH104" s="21"/>
      <c r="BL104" t="s">
        <v>105</v>
      </c>
      <c r="BM104" t="s">
        <v>285</v>
      </c>
      <c r="BN104" t="s">
        <v>287</v>
      </c>
    </row>
    <row r="105" spans="1:66" ht="15" thickBot="1" x14ac:dyDescent="0.35">
      <c r="A105" t="s">
        <v>129</v>
      </c>
      <c r="B105">
        <v>0.53200000000000003</v>
      </c>
      <c r="C105">
        <v>0.374</v>
      </c>
      <c r="D105" t="s">
        <v>57</v>
      </c>
      <c r="E105">
        <v>0</v>
      </c>
      <c r="F105">
        <v>0</v>
      </c>
      <c r="G105">
        <v>0</v>
      </c>
      <c r="H105">
        <v>-0.50800000000000001</v>
      </c>
      <c r="I105">
        <v>-0.72899999999999998</v>
      </c>
      <c r="J105">
        <v>-0.27800000000000002</v>
      </c>
      <c r="K105">
        <v>-0.69899999999999995</v>
      </c>
      <c r="L105">
        <v>-0.69899999999999995</v>
      </c>
      <c r="M105">
        <v>-0.76400000000000001</v>
      </c>
      <c r="N105">
        <v>-0.78800000000000003</v>
      </c>
      <c r="O105">
        <v>-0.77700000000000002</v>
      </c>
      <c r="P105">
        <v>0.06</v>
      </c>
      <c r="Q105">
        <v>5.8000000000000003E-2</v>
      </c>
      <c r="R105">
        <v>-0.55200000000000005</v>
      </c>
      <c r="S105">
        <v>-3.2000000000000001E-2</v>
      </c>
      <c r="T105">
        <v>5.6000000000000001E-2</v>
      </c>
      <c r="U105">
        <v>-0.30499999999999999</v>
      </c>
      <c r="V105">
        <v>0.191</v>
      </c>
      <c r="W105">
        <v>0.105</v>
      </c>
      <c r="X105">
        <v>1</v>
      </c>
      <c r="Y105">
        <v>0.54300000000000004</v>
      </c>
      <c r="Z105">
        <v>-0.41499999999999998</v>
      </c>
      <c r="AA105">
        <v>-6.5000000000000002E-2</v>
      </c>
      <c r="AB105">
        <v>-8.5000000000000006E-2</v>
      </c>
      <c r="AC105">
        <v>0.71599999999999997</v>
      </c>
      <c r="AD105">
        <v>0.109</v>
      </c>
      <c r="AE105">
        <v>-0.35499999999999998</v>
      </c>
      <c r="AF105">
        <v>0.113</v>
      </c>
      <c r="AG105">
        <v>6.7000000000000004E-2</v>
      </c>
      <c r="AH105">
        <v>-0.434</v>
      </c>
      <c r="AI105">
        <v>-0.85099999999999998</v>
      </c>
      <c r="AJ105">
        <v>-0.20399999999999999</v>
      </c>
      <c r="AK105">
        <v>-0.28399999999999997</v>
      </c>
      <c r="AL105">
        <v>-0.44700000000000001</v>
      </c>
      <c r="AM105">
        <v>-0.99299999999999999</v>
      </c>
      <c r="AN105">
        <v>-0.72599999999999998</v>
      </c>
      <c r="AO105">
        <v>4.2000000000000003E-2</v>
      </c>
      <c r="AP105">
        <v>-8.6999999999999994E-2</v>
      </c>
      <c r="AQ105">
        <v>-0.31</v>
      </c>
      <c r="AR105">
        <v>0.188</v>
      </c>
      <c r="AS105">
        <v>-0.14799999999999999</v>
      </c>
      <c r="AT105">
        <v>0.42199999999999999</v>
      </c>
      <c r="AU105">
        <v>0.84699999999999998</v>
      </c>
      <c r="AV105">
        <v>0.18099999999999999</v>
      </c>
      <c r="AW105">
        <v>-0.122</v>
      </c>
      <c r="AX105">
        <v>1.6E-2</v>
      </c>
      <c r="AY105">
        <v>0.90300000000000002</v>
      </c>
      <c r="AZ105">
        <v>-7.0000000000000001E-3</v>
      </c>
      <c r="BA105">
        <v>0.88500000000000001</v>
      </c>
      <c r="BE105" s="20"/>
      <c r="BF105" s="21"/>
      <c r="BG105" s="21"/>
      <c r="BH105" s="21"/>
      <c r="BL105" t="s">
        <v>240</v>
      </c>
      <c r="BM105" t="s">
        <v>300</v>
      </c>
      <c r="BN105" t="s">
        <v>279</v>
      </c>
    </row>
    <row r="106" spans="1:66" ht="15" thickBot="1" x14ac:dyDescent="0.35">
      <c r="A106" t="s">
        <v>248</v>
      </c>
      <c r="B106">
        <v>0.52500000000000002</v>
      </c>
      <c r="C106">
        <v>0.42199999999999999</v>
      </c>
      <c r="D106" t="s">
        <v>57</v>
      </c>
      <c r="E106">
        <v>0</v>
      </c>
      <c r="F106">
        <v>-5.0000000000000001E-3</v>
      </c>
      <c r="G106">
        <v>5.0000000000000001E-3</v>
      </c>
      <c r="H106">
        <v>-0.71699999999999997</v>
      </c>
      <c r="I106">
        <v>-0.72</v>
      </c>
      <c r="J106">
        <v>-0.752</v>
      </c>
      <c r="K106">
        <v>-0.77100000000000002</v>
      </c>
      <c r="L106">
        <v>-0.75800000000000001</v>
      </c>
      <c r="M106">
        <v>-0.79800000000000004</v>
      </c>
      <c r="N106">
        <v>-0.81899999999999995</v>
      </c>
      <c r="O106">
        <v>-0.83899999999999997</v>
      </c>
      <c r="P106">
        <v>-0.112</v>
      </c>
      <c r="Q106">
        <v>-0.115</v>
      </c>
      <c r="R106">
        <v>0.28399999999999997</v>
      </c>
      <c r="S106">
        <v>0.56999999999999995</v>
      </c>
      <c r="T106">
        <v>7.3999999999999996E-2</v>
      </c>
      <c r="U106">
        <v>-0.318</v>
      </c>
      <c r="V106">
        <v>-0.10199999999999999</v>
      </c>
      <c r="W106">
        <v>-0.44</v>
      </c>
      <c r="X106">
        <v>-0.40699999999999997</v>
      </c>
      <c r="Y106">
        <v>-0.114</v>
      </c>
      <c r="Z106">
        <v>-0.75800000000000001</v>
      </c>
      <c r="AA106">
        <v>-0.126</v>
      </c>
      <c r="AB106">
        <v>-1</v>
      </c>
      <c r="AC106">
        <v>-6.9000000000000006E-2</v>
      </c>
      <c r="AD106">
        <v>-0.156</v>
      </c>
      <c r="AE106">
        <v>3.4000000000000002E-2</v>
      </c>
      <c r="AF106">
        <v>1.0999999999999999E-2</v>
      </c>
      <c r="AG106">
        <v>-7.6999999999999999E-2</v>
      </c>
      <c r="AH106">
        <v>0.53500000000000003</v>
      </c>
      <c r="AI106">
        <v>0.2</v>
      </c>
      <c r="AJ106">
        <v>-0.187</v>
      </c>
      <c r="AK106">
        <v>-0.439</v>
      </c>
      <c r="AL106">
        <v>-0.107</v>
      </c>
      <c r="AM106">
        <v>-0.45900000000000002</v>
      </c>
      <c r="AN106">
        <v>-0.85699999999999998</v>
      </c>
      <c r="AO106">
        <v>0.61599999999999999</v>
      </c>
      <c r="AP106">
        <v>0.68100000000000005</v>
      </c>
      <c r="AQ106">
        <v>0.44400000000000001</v>
      </c>
      <c r="AR106">
        <v>0.14799999999999999</v>
      </c>
      <c r="AS106">
        <v>-0.23</v>
      </c>
      <c r="AT106">
        <v>0.437</v>
      </c>
      <c r="AU106">
        <v>0.35</v>
      </c>
      <c r="AV106">
        <v>0.28199999999999997</v>
      </c>
      <c r="AW106">
        <v>6.8000000000000005E-2</v>
      </c>
      <c r="AX106">
        <v>-7.0000000000000001E-3</v>
      </c>
      <c r="AY106">
        <v>0.59899999999999998</v>
      </c>
      <c r="AZ106">
        <v>-0.68500000000000005</v>
      </c>
      <c r="BA106">
        <v>-8.9999999999999993E-3</v>
      </c>
      <c r="BE106" s="20"/>
      <c r="BF106" s="21"/>
      <c r="BG106" s="21"/>
      <c r="BH106" s="21"/>
      <c r="BL106" t="s">
        <v>232</v>
      </c>
      <c r="BM106" t="s">
        <v>289</v>
      </c>
      <c r="BN106" t="s">
        <v>283</v>
      </c>
    </row>
    <row r="107" spans="1:66" ht="15" thickBot="1" x14ac:dyDescent="0.35">
      <c r="A107" t="s">
        <v>225</v>
      </c>
      <c r="B107">
        <v>0.54700000000000004</v>
      </c>
      <c r="C107">
        <v>0.41699999999999998</v>
      </c>
      <c r="D107" t="s">
        <v>71</v>
      </c>
      <c r="E107">
        <v>0</v>
      </c>
      <c r="F107">
        <v>-3.0000000000000001E-3</v>
      </c>
      <c r="G107">
        <v>3.0000000000000001E-3</v>
      </c>
      <c r="H107">
        <v>-0.68100000000000005</v>
      </c>
      <c r="I107">
        <v>-0.80700000000000005</v>
      </c>
      <c r="J107">
        <v>-0.80600000000000005</v>
      </c>
      <c r="K107">
        <v>-0.57299999999999995</v>
      </c>
      <c r="L107">
        <v>-0.753</v>
      </c>
      <c r="M107">
        <v>-0.61899999999999999</v>
      </c>
      <c r="N107">
        <v>-0.66</v>
      </c>
      <c r="O107">
        <v>-0.77100000000000002</v>
      </c>
      <c r="P107">
        <v>9.1999999999999998E-2</v>
      </c>
      <c r="Q107">
        <v>9.5000000000000001E-2</v>
      </c>
      <c r="R107">
        <v>0.46600000000000003</v>
      </c>
      <c r="S107">
        <v>0.628</v>
      </c>
      <c r="T107">
        <v>0.21299999999999999</v>
      </c>
      <c r="U107">
        <v>0.14699999999999999</v>
      </c>
      <c r="V107">
        <v>0.23499999999999999</v>
      </c>
      <c r="W107">
        <v>-0.68300000000000005</v>
      </c>
      <c r="X107">
        <v>0.35199999999999998</v>
      </c>
      <c r="Y107">
        <v>-0.90300000000000002</v>
      </c>
      <c r="Z107">
        <v>-0.75600000000000001</v>
      </c>
      <c r="AA107">
        <v>1</v>
      </c>
      <c r="AB107">
        <v>-0.51300000000000001</v>
      </c>
      <c r="AC107">
        <v>-0.30199999999999999</v>
      </c>
      <c r="AD107">
        <v>0.30099999999999999</v>
      </c>
      <c r="AE107">
        <v>-0.95599999999999996</v>
      </c>
      <c r="AF107">
        <v>-0.80700000000000005</v>
      </c>
      <c r="AG107">
        <v>-8.9999999999999993E-3</v>
      </c>
      <c r="AH107">
        <v>0.47599999999999998</v>
      </c>
      <c r="AI107">
        <v>0.437</v>
      </c>
      <c r="AJ107">
        <v>0.63200000000000001</v>
      </c>
      <c r="AK107">
        <v>-0.41</v>
      </c>
      <c r="AL107">
        <v>-0.11700000000000001</v>
      </c>
      <c r="AM107">
        <v>0.191</v>
      </c>
      <c r="AN107">
        <v>-0.29199999999999998</v>
      </c>
      <c r="AO107">
        <v>-9.2999999999999999E-2</v>
      </c>
      <c r="AP107">
        <v>-0.55600000000000005</v>
      </c>
      <c r="AQ107">
        <v>-0.25600000000000001</v>
      </c>
      <c r="AR107">
        <v>-0.24299999999999999</v>
      </c>
      <c r="AS107">
        <v>0.34100000000000003</v>
      </c>
      <c r="AT107">
        <v>-0.14399999999999999</v>
      </c>
      <c r="AU107">
        <v>0.61499999999999999</v>
      </c>
      <c r="AV107">
        <v>0.57999999999999996</v>
      </c>
      <c r="AW107">
        <v>3.3000000000000002E-2</v>
      </c>
      <c r="AX107">
        <v>0.27300000000000002</v>
      </c>
      <c r="AY107">
        <v>-0.127</v>
      </c>
      <c r="AZ107">
        <v>-0.70199999999999996</v>
      </c>
      <c r="BA107">
        <v>0.22</v>
      </c>
      <c r="BE107" s="20"/>
      <c r="BF107" s="21"/>
      <c r="BG107" s="21"/>
      <c r="BH107" s="21"/>
      <c r="BL107" t="s">
        <v>93</v>
      </c>
      <c r="BM107" t="s">
        <v>295</v>
      </c>
      <c r="BN107" t="s">
        <v>281</v>
      </c>
    </row>
    <row r="108" spans="1:66" ht="15" thickBot="1" x14ac:dyDescent="0.35">
      <c r="A108" t="s">
        <v>97</v>
      </c>
      <c r="B108">
        <v>2.6669999999999998</v>
      </c>
      <c r="C108">
        <v>3.4089999999999998</v>
      </c>
      <c r="D108" t="s">
        <v>57</v>
      </c>
      <c r="E108">
        <v>0</v>
      </c>
      <c r="F108">
        <v>0</v>
      </c>
      <c r="G108">
        <v>0</v>
      </c>
      <c r="H108">
        <v>0.36399999999999999</v>
      </c>
      <c r="I108">
        <v>0.748</v>
      </c>
      <c r="J108">
        <v>6.3E-2</v>
      </c>
      <c r="K108">
        <v>0.314</v>
      </c>
      <c r="L108">
        <v>0.53400000000000003</v>
      </c>
      <c r="M108">
        <v>0.51700000000000002</v>
      </c>
      <c r="N108">
        <v>0.56100000000000005</v>
      </c>
      <c r="O108">
        <v>0.61</v>
      </c>
      <c r="P108">
        <v>1</v>
      </c>
      <c r="Q108">
        <v>1</v>
      </c>
      <c r="R108">
        <v>0.90800000000000003</v>
      </c>
      <c r="S108">
        <v>0.93</v>
      </c>
      <c r="T108">
        <v>0.99399999999999999</v>
      </c>
      <c r="U108">
        <v>-0.44600000000000001</v>
      </c>
      <c r="V108">
        <v>0.49199999999999999</v>
      </c>
      <c r="W108">
        <v>1</v>
      </c>
      <c r="X108">
        <v>-0.26200000000000001</v>
      </c>
      <c r="Y108">
        <v>0.59699999999999998</v>
      </c>
      <c r="Z108">
        <v>-0.72699999999999998</v>
      </c>
      <c r="AA108">
        <v>-5.1999999999999998E-2</v>
      </c>
      <c r="AB108">
        <v>0.23</v>
      </c>
      <c r="AC108">
        <v>-8.9999999999999993E-3</v>
      </c>
      <c r="AD108">
        <v>0.214</v>
      </c>
      <c r="AE108">
        <v>0.58499999999999996</v>
      </c>
      <c r="AF108">
        <v>0.45800000000000002</v>
      </c>
      <c r="AG108">
        <v>0.10199999999999999</v>
      </c>
      <c r="AH108">
        <v>0.16900000000000001</v>
      </c>
      <c r="AI108">
        <v>-0.314</v>
      </c>
      <c r="AJ108">
        <v>-6.0000000000000001E-3</v>
      </c>
      <c r="AK108">
        <v>-0.224</v>
      </c>
      <c r="AL108">
        <v>-0.28100000000000003</v>
      </c>
      <c r="AM108">
        <v>0.65400000000000003</v>
      </c>
      <c r="AN108">
        <v>-0.39600000000000002</v>
      </c>
      <c r="AO108">
        <v>0.81799999999999995</v>
      </c>
      <c r="AP108">
        <v>0.432</v>
      </c>
      <c r="AQ108">
        <v>0.57599999999999996</v>
      </c>
      <c r="AR108">
        <v>6.5000000000000002E-2</v>
      </c>
      <c r="AS108">
        <v>3.7999999999999999E-2</v>
      </c>
      <c r="AT108">
        <v>0.39200000000000002</v>
      </c>
      <c r="AU108">
        <v>0.122</v>
      </c>
      <c r="AV108">
        <v>-0.16700000000000001</v>
      </c>
      <c r="AW108">
        <v>0.875</v>
      </c>
      <c r="AX108">
        <v>-0.64100000000000001</v>
      </c>
      <c r="AY108">
        <v>-9.5000000000000001E-2</v>
      </c>
      <c r="AZ108">
        <v>0.43099999999999999</v>
      </c>
      <c r="BA108">
        <v>0.43</v>
      </c>
      <c r="BE108" s="20"/>
      <c r="BF108" s="21"/>
      <c r="BG108" s="21"/>
      <c r="BH108" s="21"/>
      <c r="BL108" t="s">
        <v>157</v>
      </c>
      <c r="BM108" t="s">
        <v>296</v>
      </c>
      <c r="BN108" t="s">
        <v>287</v>
      </c>
    </row>
    <row r="109" spans="1:66" ht="15" thickBot="1" x14ac:dyDescent="0.35">
      <c r="A109" t="s">
        <v>125</v>
      </c>
      <c r="B109">
        <v>1.0149999999999999</v>
      </c>
      <c r="C109">
        <v>1.347</v>
      </c>
      <c r="D109" t="s">
        <v>55</v>
      </c>
      <c r="E109">
        <v>0</v>
      </c>
      <c r="F109">
        <v>0</v>
      </c>
      <c r="G109">
        <v>0</v>
      </c>
      <c r="H109">
        <v>-0.47399999999999998</v>
      </c>
      <c r="I109">
        <v>0.20599999999999999</v>
      </c>
      <c r="J109">
        <v>-0.78100000000000003</v>
      </c>
      <c r="K109">
        <v>-0.36</v>
      </c>
      <c r="L109">
        <v>-0.23100000000000001</v>
      </c>
      <c r="M109">
        <v>5.0000000000000001E-3</v>
      </c>
      <c r="N109">
        <v>0.499</v>
      </c>
      <c r="O109">
        <v>5.0000000000000001E-3</v>
      </c>
      <c r="P109">
        <v>0.40200000000000002</v>
      </c>
      <c r="Q109">
        <v>0.40699999999999997</v>
      </c>
      <c r="R109">
        <v>0.59799999999999998</v>
      </c>
      <c r="S109">
        <v>0.63700000000000001</v>
      </c>
      <c r="T109">
        <v>0.44</v>
      </c>
      <c r="U109">
        <v>-0.20200000000000001</v>
      </c>
      <c r="V109">
        <v>-0.57199999999999995</v>
      </c>
      <c r="W109">
        <v>-0.20399999999999999</v>
      </c>
      <c r="X109">
        <v>-0.874</v>
      </c>
      <c r="Y109">
        <v>-0.45</v>
      </c>
      <c r="Z109">
        <v>-0.51800000000000002</v>
      </c>
      <c r="AA109">
        <v>-0.3</v>
      </c>
      <c r="AB109">
        <v>-0.42099999999999999</v>
      </c>
      <c r="AC109">
        <v>-0.76200000000000001</v>
      </c>
      <c r="AD109">
        <v>1.4999999999999999E-2</v>
      </c>
      <c r="AE109">
        <v>0.214</v>
      </c>
      <c r="AF109">
        <v>0.54</v>
      </c>
      <c r="AG109">
        <v>0.16200000000000001</v>
      </c>
      <c r="AH109">
        <v>-6.2E-2</v>
      </c>
      <c r="AI109">
        <v>-0.42299999999999999</v>
      </c>
      <c r="AJ109">
        <v>0.5</v>
      </c>
      <c r="AK109">
        <v>0.98599999999999999</v>
      </c>
      <c r="AL109">
        <v>0.34399999999999997</v>
      </c>
      <c r="AM109">
        <v>0.315</v>
      </c>
      <c r="AN109">
        <v>-0.63100000000000001</v>
      </c>
      <c r="AO109">
        <v>0.874</v>
      </c>
      <c r="AP109">
        <v>0.318</v>
      </c>
      <c r="AQ109">
        <v>-0.36799999999999999</v>
      </c>
      <c r="AR109">
        <v>-0.28399999999999997</v>
      </c>
      <c r="AS109">
        <v>0.28399999999999997</v>
      </c>
      <c r="AT109">
        <v>0.184</v>
      </c>
      <c r="AU109">
        <v>-0.36599999999999999</v>
      </c>
      <c r="AV109">
        <v>-0.17499999999999999</v>
      </c>
      <c r="AW109">
        <v>0.64800000000000002</v>
      </c>
      <c r="AX109">
        <v>-0.39800000000000002</v>
      </c>
      <c r="AY109">
        <v>0.52500000000000002</v>
      </c>
      <c r="AZ109">
        <v>-0.28999999999999998</v>
      </c>
      <c r="BA109">
        <v>-0.434</v>
      </c>
      <c r="BE109" s="20"/>
      <c r="BF109" s="21"/>
      <c r="BG109" s="21"/>
      <c r="BH109" s="21"/>
      <c r="BL109" t="s">
        <v>149</v>
      </c>
      <c r="BM109" t="s">
        <v>290</v>
      </c>
      <c r="BN109" t="s">
        <v>287</v>
      </c>
    </row>
    <row r="110" spans="1:66" ht="15" thickBot="1" x14ac:dyDescent="0.35">
      <c r="A110" t="s">
        <v>244</v>
      </c>
      <c r="B110">
        <v>0.57799999999999996</v>
      </c>
      <c r="C110">
        <v>0.41299999999999998</v>
      </c>
      <c r="D110" t="s">
        <v>57</v>
      </c>
      <c r="E110">
        <v>0</v>
      </c>
      <c r="F110">
        <v>0</v>
      </c>
      <c r="G110">
        <v>0</v>
      </c>
      <c r="H110">
        <v>-8.7999999999999995E-2</v>
      </c>
      <c r="I110">
        <v>-0.71799999999999997</v>
      </c>
      <c r="J110">
        <v>-0.19600000000000001</v>
      </c>
      <c r="K110">
        <v>-0.46300000000000002</v>
      </c>
      <c r="L110">
        <v>-0.66800000000000004</v>
      </c>
      <c r="M110">
        <v>-0.81799999999999995</v>
      </c>
      <c r="N110">
        <v>-0.89300000000000002</v>
      </c>
      <c r="O110">
        <v>-0.89700000000000002</v>
      </c>
      <c r="P110">
        <v>0.254</v>
      </c>
      <c r="Q110">
        <v>0.254</v>
      </c>
      <c r="R110">
        <v>0.26900000000000002</v>
      </c>
      <c r="S110">
        <v>0.21299999999999999</v>
      </c>
      <c r="T110">
        <v>0.29199999999999998</v>
      </c>
      <c r="U110">
        <v>-0.42099999999999999</v>
      </c>
      <c r="V110">
        <v>0.29699999999999999</v>
      </c>
      <c r="W110">
        <v>0.80300000000000005</v>
      </c>
      <c r="X110">
        <v>0.45700000000000002</v>
      </c>
      <c r="Y110">
        <v>0.58899999999999997</v>
      </c>
      <c r="Z110">
        <v>-0.68</v>
      </c>
      <c r="AA110">
        <v>7.0000000000000007E-2</v>
      </c>
      <c r="AB110">
        <v>-1</v>
      </c>
      <c r="AC110">
        <v>0.89600000000000002</v>
      </c>
      <c r="AD110">
        <v>3.5999999999999997E-2</v>
      </c>
      <c r="AE110">
        <v>-7.1999999999999995E-2</v>
      </c>
      <c r="AF110">
        <v>0.53900000000000003</v>
      </c>
      <c r="AG110">
        <v>-0.34599999999999997</v>
      </c>
      <c r="AH110">
        <v>1</v>
      </c>
      <c r="AI110">
        <v>0.23300000000000001</v>
      </c>
      <c r="AJ110">
        <v>-3.4000000000000002E-2</v>
      </c>
      <c r="AK110">
        <v>-0.27700000000000002</v>
      </c>
      <c r="AL110">
        <v>-0.38600000000000001</v>
      </c>
      <c r="AM110">
        <v>-0.52200000000000002</v>
      </c>
      <c r="AN110">
        <v>-9.6000000000000002E-2</v>
      </c>
      <c r="AO110">
        <v>-0.52900000000000003</v>
      </c>
      <c r="AP110">
        <v>-0.73699999999999999</v>
      </c>
      <c r="AQ110">
        <v>-0.153</v>
      </c>
      <c r="AR110">
        <v>0.49</v>
      </c>
      <c r="AS110">
        <v>0.23899999999999999</v>
      </c>
      <c r="AT110">
        <v>0.36899999999999999</v>
      </c>
      <c r="AU110">
        <v>-1</v>
      </c>
      <c r="AV110">
        <v>-0.91500000000000004</v>
      </c>
      <c r="AW110">
        <v>-1</v>
      </c>
      <c r="AX110">
        <v>1</v>
      </c>
      <c r="AY110">
        <v>0.26500000000000001</v>
      </c>
      <c r="AZ110">
        <v>-0.10100000000000001</v>
      </c>
      <c r="BA110">
        <v>0.35699999999999998</v>
      </c>
      <c r="BE110" s="20"/>
      <c r="BF110" s="21"/>
      <c r="BG110" s="21"/>
      <c r="BH110" s="21"/>
      <c r="BL110" t="s">
        <v>132</v>
      </c>
      <c r="BM110" t="s">
        <v>290</v>
      </c>
      <c r="BN110" t="s">
        <v>281</v>
      </c>
    </row>
    <row r="111" spans="1:66" ht="15" thickBot="1" x14ac:dyDescent="0.35">
      <c r="A111" t="s">
        <v>141</v>
      </c>
      <c r="B111">
        <v>0.60399999999999998</v>
      </c>
      <c r="C111">
        <v>0.48599999999999999</v>
      </c>
      <c r="D111" t="s">
        <v>57</v>
      </c>
      <c r="E111">
        <v>0</v>
      </c>
      <c r="F111">
        <v>-5.0000000000000001E-3</v>
      </c>
      <c r="G111">
        <v>5.0000000000000001E-3</v>
      </c>
      <c r="H111">
        <v>-0.434</v>
      </c>
      <c r="I111">
        <v>-0.56799999999999995</v>
      </c>
      <c r="J111">
        <v>-0.41699999999999998</v>
      </c>
      <c r="K111">
        <v>-0.33200000000000002</v>
      </c>
      <c r="L111">
        <v>-0.41699999999999998</v>
      </c>
      <c r="M111">
        <v>-0.44600000000000001</v>
      </c>
      <c r="N111">
        <v>-0.375</v>
      </c>
      <c r="O111">
        <v>-0.49299999999999999</v>
      </c>
      <c r="P111">
        <v>-9.6000000000000002E-2</v>
      </c>
      <c r="Q111">
        <v>-9.4E-2</v>
      </c>
      <c r="R111">
        <v>0.54400000000000004</v>
      </c>
      <c r="S111">
        <v>0.56000000000000005</v>
      </c>
      <c r="T111">
        <v>0.16</v>
      </c>
      <c r="U111">
        <v>0.376</v>
      </c>
      <c r="V111">
        <v>0.42899999999999999</v>
      </c>
      <c r="W111">
        <v>-0.59599999999999997</v>
      </c>
      <c r="X111">
        <v>9.7000000000000003E-2</v>
      </c>
      <c r="Y111">
        <v>-0.61599999999999999</v>
      </c>
      <c r="Z111">
        <v>0.58899999999999997</v>
      </c>
      <c r="AA111">
        <v>0.27800000000000002</v>
      </c>
      <c r="AB111">
        <v>-0.17100000000000001</v>
      </c>
      <c r="AC111">
        <v>-0.39200000000000002</v>
      </c>
      <c r="AD111">
        <v>0.79400000000000004</v>
      </c>
      <c r="AE111">
        <v>-0.41199999999999998</v>
      </c>
      <c r="AF111">
        <v>-0.44400000000000001</v>
      </c>
      <c r="AG111">
        <v>0.437</v>
      </c>
      <c r="AH111">
        <v>-0.92500000000000004</v>
      </c>
      <c r="AI111">
        <v>-0.56299999999999994</v>
      </c>
      <c r="AJ111">
        <v>0.30399999999999999</v>
      </c>
      <c r="AK111">
        <v>-2.4E-2</v>
      </c>
      <c r="AL111">
        <v>0.30199999999999999</v>
      </c>
      <c r="AM111">
        <v>-0.44600000000000001</v>
      </c>
      <c r="AN111">
        <v>-0.432</v>
      </c>
      <c r="AO111">
        <v>0.79900000000000004</v>
      </c>
      <c r="AP111">
        <v>0.27800000000000002</v>
      </c>
      <c r="AQ111">
        <v>-0.15</v>
      </c>
      <c r="AR111">
        <v>0.24299999999999999</v>
      </c>
      <c r="AS111">
        <v>6.5000000000000002E-2</v>
      </c>
      <c r="AT111">
        <v>0.111</v>
      </c>
      <c r="AU111">
        <v>-0.34599999999999997</v>
      </c>
      <c r="AV111">
        <v>-7.6999999999999999E-2</v>
      </c>
      <c r="AW111">
        <v>0.316</v>
      </c>
      <c r="AX111">
        <v>-0.124</v>
      </c>
      <c r="AY111">
        <v>0.27100000000000002</v>
      </c>
      <c r="AZ111">
        <v>-0.54300000000000004</v>
      </c>
      <c r="BA111">
        <v>7.0000000000000001E-3</v>
      </c>
      <c r="BE111" s="20"/>
      <c r="BF111" s="21"/>
      <c r="BG111" s="21"/>
      <c r="BH111" s="21"/>
      <c r="BL111" t="s">
        <v>211</v>
      </c>
      <c r="BM111" t="s">
        <v>286</v>
      </c>
      <c r="BN111" t="s">
        <v>287</v>
      </c>
    </row>
    <row r="112" spans="1:66" ht="15" thickBot="1" x14ac:dyDescent="0.35">
      <c r="A112" t="s">
        <v>66</v>
      </c>
      <c r="B112">
        <v>3.2570000000000001</v>
      </c>
      <c r="C112">
        <v>2.5289999999999999</v>
      </c>
      <c r="D112" t="s">
        <v>55</v>
      </c>
      <c r="E112">
        <v>0</v>
      </c>
      <c r="F112">
        <v>0</v>
      </c>
      <c r="G112">
        <v>0</v>
      </c>
      <c r="H112">
        <v>0.97699999999999998</v>
      </c>
      <c r="I112">
        <v>0.59</v>
      </c>
      <c r="J112">
        <v>1</v>
      </c>
      <c r="K112">
        <v>0.90700000000000003</v>
      </c>
      <c r="L112">
        <v>0.96599999999999997</v>
      </c>
      <c r="M112">
        <v>0.96399999999999997</v>
      </c>
      <c r="N112">
        <v>0.95899999999999996</v>
      </c>
      <c r="O112">
        <v>0.97299999999999998</v>
      </c>
      <c r="P112">
        <v>0.64200000000000002</v>
      </c>
      <c r="Q112">
        <v>0.64200000000000002</v>
      </c>
      <c r="R112">
        <v>0.626</v>
      </c>
      <c r="S112">
        <v>0.45700000000000002</v>
      </c>
      <c r="T112">
        <v>0.79900000000000004</v>
      </c>
      <c r="U112">
        <v>1</v>
      </c>
      <c r="V112">
        <v>1</v>
      </c>
      <c r="W112">
        <v>-0.379</v>
      </c>
      <c r="X112">
        <v>1</v>
      </c>
      <c r="Y112">
        <v>0.193</v>
      </c>
      <c r="Z112">
        <v>1</v>
      </c>
      <c r="AA112">
        <v>0.33400000000000002</v>
      </c>
      <c r="AB112">
        <v>1</v>
      </c>
      <c r="AC112">
        <v>0.19900000000000001</v>
      </c>
      <c r="AD112">
        <v>-0.22500000000000001</v>
      </c>
      <c r="AE112">
        <v>-0.224</v>
      </c>
      <c r="AF112">
        <v>-0.27800000000000002</v>
      </c>
      <c r="AG112">
        <v>0.71899999999999997</v>
      </c>
      <c r="AH112">
        <v>-0.751</v>
      </c>
      <c r="AI112">
        <v>1.0999999999999999E-2</v>
      </c>
      <c r="AJ112">
        <v>4.0000000000000001E-3</v>
      </c>
      <c r="AK112">
        <v>0.18</v>
      </c>
      <c r="AL112">
        <v>0.53300000000000003</v>
      </c>
      <c r="AM112">
        <v>0.247</v>
      </c>
      <c r="AN112">
        <v>-0.371</v>
      </c>
      <c r="AO112">
        <v>0.35199999999999998</v>
      </c>
      <c r="AP112">
        <v>0.25600000000000001</v>
      </c>
      <c r="AQ112">
        <v>0.14499999999999999</v>
      </c>
      <c r="AR112">
        <v>0.68600000000000005</v>
      </c>
      <c r="AS112">
        <v>1</v>
      </c>
      <c r="AT112">
        <v>0.72</v>
      </c>
      <c r="AU112">
        <v>0.83399999999999996</v>
      </c>
      <c r="AV112">
        <v>1</v>
      </c>
      <c r="AW112">
        <v>0.33500000000000002</v>
      </c>
      <c r="AX112">
        <v>-0.90600000000000003</v>
      </c>
      <c r="AY112">
        <v>0.26</v>
      </c>
      <c r="AZ112">
        <v>0.61799999999999999</v>
      </c>
      <c r="BA112">
        <v>0.77100000000000002</v>
      </c>
      <c r="BE112" s="20"/>
      <c r="BF112" s="21"/>
      <c r="BG112" s="21"/>
      <c r="BH112" s="21"/>
      <c r="BL112" t="s">
        <v>202</v>
      </c>
      <c r="BM112" t="s">
        <v>285</v>
      </c>
      <c r="BN112" t="s">
        <v>282</v>
      </c>
    </row>
    <row r="113" spans="1:66" ht="15" thickBot="1" x14ac:dyDescent="0.35">
      <c r="A113" t="s">
        <v>118</v>
      </c>
      <c r="B113">
        <v>1.792</v>
      </c>
      <c r="C113">
        <v>1.401</v>
      </c>
      <c r="D113" t="s">
        <v>57</v>
      </c>
      <c r="E113">
        <v>0</v>
      </c>
      <c r="F113">
        <v>0</v>
      </c>
      <c r="G113">
        <v>0</v>
      </c>
      <c r="H113">
        <v>0.34599999999999997</v>
      </c>
      <c r="I113">
        <v>0.23</v>
      </c>
      <c r="J113">
        <v>0.22800000000000001</v>
      </c>
      <c r="K113">
        <v>0.28899999999999998</v>
      </c>
      <c r="L113">
        <v>0.33700000000000002</v>
      </c>
      <c r="M113">
        <v>0.14299999999999999</v>
      </c>
      <c r="N113">
        <v>-0.03</v>
      </c>
      <c r="O113">
        <v>1.7000000000000001E-2</v>
      </c>
      <c r="P113">
        <v>0.26600000000000001</v>
      </c>
      <c r="Q113">
        <v>0.26400000000000001</v>
      </c>
      <c r="R113">
        <v>0.85899999999999999</v>
      </c>
      <c r="S113">
        <v>0.92700000000000005</v>
      </c>
      <c r="T113">
        <v>0.78800000000000003</v>
      </c>
      <c r="U113">
        <v>-1.7999999999999999E-2</v>
      </c>
      <c r="V113">
        <v>0.70199999999999996</v>
      </c>
      <c r="W113">
        <v>0.26800000000000002</v>
      </c>
      <c r="X113">
        <v>-0.06</v>
      </c>
      <c r="Y113">
        <v>1</v>
      </c>
      <c r="Z113">
        <v>-0.125</v>
      </c>
      <c r="AA113">
        <v>-0.309</v>
      </c>
      <c r="AB113">
        <v>-1.0999999999999999E-2</v>
      </c>
      <c r="AC113">
        <v>-0.57999999999999996</v>
      </c>
      <c r="AD113">
        <v>0.25900000000000001</v>
      </c>
      <c r="AE113">
        <v>0.34100000000000003</v>
      </c>
      <c r="AF113">
        <v>0.76100000000000001</v>
      </c>
      <c r="AG113">
        <v>0.51500000000000001</v>
      </c>
      <c r="AH113">
        <v>0.51100000000000001</v>
      </c>
      <c r="AI113">
        <v>0.97</v>
      </c>
      <c r="AJ113">
        <v>0.16</v>
      </c>
      <c r="AK113">
        <v>-0.10100000000000001</v>
      </c>
      <c r="AL113">
        <v>4.2999999999999997E-2</v>
      </c>
      <c r="AM113">
        <v>-0.251</v>
      </c>
      <c r="AN113">
        <v>-0.123</v>
      </c>
      <c r="AO113">
        <v>0.85699999999999998</v>
      </c>
      <c r="AP113">
        <v>0.53</v>
      </c>
      <c r="AQ113">
        <v>0.375</v>
      </c>
      <c r="AR113">
        <v>-0.56399999999999995</v>
      </c>
      <c r="AS113">
        <v>-0.35399999999999998</v>
      </c>
      <c r="AT113">
        <v>-0.27300000000000002</v>
      </c>
      <c r="AU113">
        <v>-0.05</v>
      </c>
      <c r="AV113">
        <v>-1.7999999999999999E-2</v>
      </c>
      <c r="AW113">
        <v>0.122</v>
      </c>
      <c r="AX113">
        <v>-0.999</v>
      </c>
      <c r="AY113">
        <v>0.84299999999999997</v>
      </c>
      <c r="AZ113">
        <v>-0.51500000000000001</v>
      </c>
      <c r="BA113">
        <v>0.16</v>
      </c>
      <c r="BE113" s="20"/>
      <c r="BF113" s="21"/>
      <c r="BG113" s="21"/>
      <c r="BH113" s="21"/>
      <c r="BL113" t="s">
        <v>95</v>
      </c>
      <c r="BM113" t="s">
        <v>301</v>
      </c>
      <c r="BN113" t="s">
        <v>279</v>
      </c>
    </row>
    <row r="114" spans="1:66" ht="15" thickBot="1" x14ac:dyDescent="0.35">
      <c r="A114" t="s">
        <v>236</v>
      </c>
      <c r="B114">
        <v>0.52700000000000002</v>
      </c>
      <c r="C114">
        <v>0.56499999999999995</v>
      </c>
      <c r="D114" t="s">
        <v>68</v>
      </c>
      <c r="E114">
        <v>0</v>
      </c>
      <c r="F114">
        <v>-3.0000000000000001E-3</v>
      </c>
      <c r="G114">
        <v>3.0000000000000001E-3</v>
      </c>
      <c r="H114">
        <v>-0.92100000000000004</v>
      </c>
      <c r="I114">
        <v>-0.82899999999999996</v>
      </c>
      <c r="J114">
        <v>-0.90700000000000003</v>
      </c>
      <c r="K114">
        <v>-0.90200000000000002</v>
      </c>
      <c r="L114">
        <v>-0.872</v>
      </c>
      <c r="M114">
        <v>-0.88900000000000001</v>
      </c>
      <c r="N114">
        <v>-0.83299999999999996</v>
      </c>
      <c r="O114">
        <v>-0.84799999999999998</v>
      </c>
      <c r="P114">
        <v>0.223</v>
      </c>
      <c r="Q114">
        <v>0.222</v>
      </c>
      <c r="R114">
        <v>0.378</v>
      </c>
      <c r="S114">
        <v>0.50800000000000001</v>
      </c>
      <c r="T114">
        <v>0.33300000000000002</v>
      </c>
      <c r="U114">
        <v>-0.52600000000000002</v>
      </c>
      <c r="V114">
        <v>-0.99399999999999999</v>
      </c>
      <c r="W114">
        <v>-0.36799999999999999</v>
      </c>
      <c r="X114">
        <v>-0.58699999999999997</v>
      </c>
      <c r="Y114">
        <v>-0.51800000000000002</v>
      </c>
      <c r="Z114">
        <v>-0.84799999999999998</v>
      </c>
      <c r="AA114">
        <v>-0.153</v>
      </c>
      <c r="AB114">
        <v>-0.75700000000000001</v>
      </c>
      <c r="AC114">
        <v>4.4999999999999998E-2</v>
      </c>
      <c r="AD114">
        <v>-0.61899999999999999</v>
      </c>
      <c r="AE114">
        <v>-2.7E-2</v>
      </c>
      <c r="AF114">
        <v>-0.186</v>
      </c>
      <c r="AG114">
        <v>-0.75700000000000001</v>
      </c>
      <c r="AH114">
        <v>-0.72299999999999998</v>
      </c>
      <c r="AI114">
        <v>-0.442</v>
      </c>
      <c r="AJ114">
        <v>-3.0000000000000001E-3</v>
      </c>
      <c r="AK114">
        <v>-0.32900000000000001</v>
      </c>
      <c r="AL114">
        <v>-0.21</v>
      </c>
      <c r="AM114">
        <v>3.5999999999999997E-2</v>
      </c>
      <c r="AN114">
        <v>-0.33300000000000002</v>
      </c>
      <c r="AO114">
        <v>0.9</v>
      </c>
      <c r="AP114">
        <v>-0.27700000000000002</v>
      </c>
      <c r="AQ114">
        <v>-0.17</v>
      </c>
      <c r="AR114">
        <v>1.7000000000000001E-2</v>
      </c>
      <c r="AS114">
        <v>-0.51200000000000001</v>
      </c>
      <c r="AT114">
        <v>9.9000000000000005E-2</v>
      </c>
      <c r="AU114">
        <v>-0.82899999999999996</v>
      </c>
      <c r="AV114">
        <v>-0.09</v>
      </c>
      <c r="AW114">
        <v>0.28100000000000003</v>
      </c>
      <c r="AX114">
        <v>0.107</v>
      </c>
      <c r="AY114">
        <v>0.66700000000000004</v>
      </c>
      <c r="AZ114">
        <v>0.41299999999999998</v>
      </c>
      <c r="BA114">
        <v>-0.22600000000000001</v>
      </c>
      <c r="BE114" s="20"/>
      <c r="BF114" s="21"/>
      <c r="BG114" s="21"/>
      <c r="BH114" s="21"/>
      <c r="BL114" t="s">
        <v>137</v>
      </c>
      <c r="BM114" t="s">
        <v>297</v>
      </c>
      <c r="BN114" t="s">
        <v>283</v>
      </c>
    </row>
    <row r="115" spans="1:66" ht="15" thickBot="1" x14ac:dyDescent="0.35">
      <c r="A115" t="s">
        <v>76</v>
      </c>
      <c r="B115">
        <v>2.2280000000000002</v>
      </c>
      <c r="C115">
        <v>1.641</v>
      </c>
      <c r="D115" t="s">
        <v>57</v>
      </c>
      <c r="E115">
        <v>0</v>
      </c>
      <c r="F115">
        <v>0</v>
      </c>
      <c r="G115">
        <v>0</v>
      </c>
      <c r="H115">
        <v>0.57599999999999996</v>
      </c>
      <c r="I115">
        <v>0.22500000000000001</v>
      </c>
      <c r="J115">
        <v>0.71</v>
      </c>
      <c r="K115">
        <v>0.35699999999999998</v>
      </c>
      <c r="L115">
        <v>0.48299999999999998</v>
      </c>
      <c r="M115">
        <v>0.40400000000000003</v>
      </c>
      <c r="N115">
        <v>0.29199999999999998</v>
      </c>
      <c r="O115">
        <v>0.30399999999999999</v>
      </c>
      <c r="P115">
        <v>0.36899999999999999</v>
      </c>
      <c r="Q115">
        <v>0.36699999999999999</v>
      </c>
      <c r="R115">
        <v>0.876</v>
      </c>
      <c r="S115">
        <v>0.73699999999999999</v>
      </c>
      <c r="T115">
        <v>0.71799999999999997</v>
      </c>
      <c r="U115">
        <v>0.57899999999999996</v>
      </c>
      <c r="V115">
        <v>0.80600000000000005</v>
      </c>
      <c r="W115">
        <v>-0.35599999999999998</v>
      </c>
      <c r="X115">
        <v>0.40600000000000003</v>
      </c>
      <c r="Y115">
        <v>0.33800000000000002</v>
      </c>
      <c r="Z115">
        <v>0.34799999999999998</v>
      </c>
      <c r="AA115">
        <v>-0.186</v>
      </c>
      <c r="AB115">
        <v>0.315</v>
      </c>
      <c r="AC115">
        <v>-0.30599999999999999</v>
      </c>
      <c r="AD115">
        <v>0.58799999999999997</v>
      </c>
      <c r="AE115">
        <v>0.13700000000000001</v>
      </c>
      <c r="AF115">
        <v>-0.187</v>
      </c>
      <c r="AG115">
        <v>0.60399999999999998</v>
      </c>
      <c r="AH115">
        <v>-8.9999999999999993E-3</v>
      </c>
      <c r="AI115">
        <v>-0.33900000000000002</v>
      </c>
      <c r="AJ115">
        <v>9.1999999999999998E-2</v>
      </c>
      <c r="AK115">
        <v>-0.106</v>
      </c>
      <c r="AL115">
        <v>0.251</v>
      </c>
      <c r="AM115">
        <v>-0.26</v>
      </c>
      <c r="AN115">
        <v>3.4000000000000002E-2</v>
      </c>
      <c r="AO115">
        <v>0.67100000000000004</v>
      </c>
      <c r="AP115">
        <v>0.61199999999999999</v>
      </c>
      <c r="AQ115">
        <v>0.80400000000000005</v>
      </c>
      <c r="AR115">
        <v>-4.0000000000000001E-3</v>
      </c>
      <c r="AS115">
        <v>-0.32500000000000001</v>
      </c>
      <c r="AT115">
        <v>9.9000000000000005E-2</v>
      </c>
      <c r="AU115">
        <v>0.64100000000000001</v>
      </c>
      <c r="AV115">
        <v>-0.54100000000000004</v>
      </c>
      <c r="AW115">
        <v>0.375</v>
      </c>
      <c r="AX115">
        <v>-0.55900000000000005</v>
      </c>
      <c r="AY115">
        <v>0.60299999999999998</v>
      </c>
      <c r="AZ115">
        <v>0.75700000000000001</v>
      </c>
      <c r="BA115">
        <v>0.41299999999999998</v>
      </c>
      <c r="BE115" s="20"/>
      <c r="BF115" s="21"/>
      <c r="BG115" s="21"/>
      <c r="BH115" s="21"/>
      <c r="BL115" t="s">
        <v>196</v>
      </c>
      <c r="BM115" t="s">
        <v>297</v>
      </c>
      <c r="BN115" t="s">
        <v>287</v>
      </c>
    </row>
    <row r="116" spans="1:66" ht="15" thickBot="1" x14ac:dyDescent="0.35">
      <c r="A116" t="s">
        <v>152</v>
      </c>
      <c r="B116">
        <v>0.95399999999999996</v>
      </c>
      <c r="C116">
        <v>0.72399999999999998</v>
      </c>
      <c r="D116" t="s">
        <v>57</v>
      </c>
      <c r="E116">
        <v>0</v>
      </c>
      <c r="F116">
        <v>0</v>
      </c>
      <c r="G116">
        <v>0</v>
      </c>
      <c r="H116">
        <v>0.20200000000000001</v>
      </c>
      <c r="I116">
        <v>2.4E-2</v>
      </c>
      <c r="J116">
        <v>-0.20300000000000001</v>
      </c>
      <c r="K116">
        <v>8.2000000000000003E-2</v>
      </c>
      <c r="L116">
        <v>-7.0999999999999994E-2</v>
      </c>
      <c r="M116">
        <v>-0.216</v>
      </c>
      <c r="N116">
        <v>-0.46100000000000002</v>
      </c>
      <c r="O116">
        <v>-0.56200000000000006</v>
      </c>
      <c r="P116">
        <v>0.219</v>
      </c>
      <c r="Q116">
        <v>0.218</v>
      </c>
      <c r="R116">
        <v>0.77200000000000002</v>
      </c>
      <c r="S116">
        <v>0.79300000000000004</v>
      </c>
      <c r="T116">
        <v>0.51600000000000001</v>
      </c>
      <c r="U116">
        <v>-7.1999999999999995E-2</v>
      </c>
      <c r="V116">
        <v>0.15</v>
      </c>
      <c r="W116">
        <v>3.5000000000000003E-2</v>
      </c>
      <c r="X116">
        <v>-0.57099999999999995</v>
      </c>
      <c r="Y116">
        <v>0.71399999999999997</v>
      </c>
      <c r="Z116">
        <v>-5.0000000000000001E-3</v>
      </c>
      <c r="AA116">
        <v>-0.16800000000000001</v>
      </c>
      <c r="AB116">
        <v>-0.77</v>
      </c>
      <c r="AC116">
        <v>-0.73299999999999998</v>
      </c>
      <c r="AD116">
        <v>0.42399999999999999</v>
      </c>
      <c r="AE116">
        <v>0.32200000000000001</v>
      </c>
      <c r="AF116">
        <v>0.83499999999999996</v>
      </c>
      <c r="AG116">
        <v>0.81399999999999995</v>
      </c>
      <c r="AH116">
        <v>0.82899999999999996</v>
      </c>
      <c r="AI116">
        <v>0.39800000000000002</v>
      </c>
      <c r="AJ116">
        <v>0.432</v>
      </c>
      <c r="AK116">
        <v>-0.192</v>
      </c>
      <c r="AL116">
        <v>0.45</v>
      </c>
      <c r="AM116">
        <v>-0.29099999999999998</v>
      </c>
      <c r="AN116">
        <v>3.5000000000000003E-2</v>
      </c>
      <c r="AO116">
        <v>-0.21299999999999999</v>
      </c>
      <c r="AP116">
        <v>0.37</v>
      </c>
      <c r="AQ116">
        <v>0.53800000000000003</v>
      </c>
      <c r="AR116">
        <v>-0.23599999999999999</v>
      </c>
      <c r="AS116">
        <v>-0.151</v>
      </c>
      <c r="AT116">
        <v>0.69399999999999995</v>
      </c>
      <c r="AU116">
        <v>-0.35499999999999998</v>
      </c>
      <c r="AV116">
        <v>-0.55200000000000005</v>
      </c>
      <c r="AW116">
        <v>-0.17100000000000001</v>
      </c>
      <c r="AX116">
        <v>-0.68799999999999994</v>
      </c>
      <c r="AY116">
        <v>0.34499999999999997</v>
      </c>
      <c r="AZ116">
        <v>-0.79200000000000004</v>
      </c>
      <c r="BA116">
        <v>1.2999999999999999E-2</v>
      </c>
      <c r="BE116" s="20"/>
      <c r="BF116" s="21"/>
      <c r="BG116" s="21"/>
      <c r="BH116" s="21"/>
      <c r="BL116" t="s">
        <v>83</v>
      </c>
      <c r="BM116" t="s">
        <v>288</v>
      </c>
      <c r="BN116" t="s">
        <v>279</v>
      </c>
    </row>
    <row r="117" spans="1:66" ht="15" thickBot="1" x14ac:dyDescent="0.35">
      <c r="A117" t="s">
        <v>226</v>
      </c>
      <c r="B117">
        <v>0.56999999999999995</v>
      </c>
      <c r="C117">
        <v>0.91600000000000004</v>
      </c>
      <c r="D117" t="s">
        <v>55</v>
      </c>
      <c r="E117">
        <v>0</v>
      </c>
      <c r="F117">
        <v>-2.4E-2</v>
      </c>
      <c r="G117">
        <v>2.4E-2</v>
      </c>
      <c r="H117">
        <v>-0.71299999999999997</v>
      </c>
      <c r="I117">
        <v>-0.47499999999999998</v>
      </c>
      <c r="J117">
        <v>-0.88300000000000001</v>
      </c>
      <c r="K117">
        <v>-0.59499999999999997</v>
      </c>
      <c r="L117">
        <v>-0.63100000000000001</v>
      </c>
      <c r="M117">
        <v>-0.70899999999999996</v>
      </c>
      <c r="N117">
        <v>-0.72099999999999997</v>
      </c>
      <c r="O117">
        <v>-0.69299999999999995</v>
      </c>
      <c r="P117">
        <v>0.22700000000000001</v>
      </c>
      <c r="Q117">
        <v>0.22900000000000001</v>
      </c>
      <c r="R117">
        <v>0.54</v>
      </c>
      <c r="S117">
        <v>0.60199999999999998</v>
      </c>
      <c r="T117">
        <v>0.47299999999999998</v>
      </c>
      <c r="U117">
        <v>-0.64</v>
      </c>
      <c r="V117">
        <v>-0.39400000000000002</v>
      </c>
      <c r="W117">
        <v>-8.5000000000000006E-2</v>
      </c>
      <c r="X117">
        <v>-0.996</v>
      </c>
      <c r="Y117">
        <v>-0.66200000000000003</v>
      </c>
      <c r="Z117">
        <v>-0.81599999999999995</v>
      </c>
      <c r="AA117">
        <v>-0.372</v>
      </c>
      <c r="AB117">
        <v>-1</v>
      </c>
      <c r="AC117">
        <v>-0.68400000000000005</v>
      </c>
      <c r="AD117">
        <v>-3.5999999999999997E-2</v>
      </c>
      <c r="AE117">
        <v>0.64</v>
      </c>
      <c r="AF117">
        <v>0.22700000000000001</v>
      </c>
      <c r="AG117">
        <v>0.53700000000000003</v>
      </c>
      <c r="AH117">
        <v>0.52</v>
      </c>
      <c r="AI117">
        <v>0.53400000000000003</v>
      </c>
      <c r="AJ117">
        <v>1.2E-2</v>
      </c>
      <c r="AK117">
        <v>-9.0999999999999998E-2</v>
      </c>
      <c r="AL117">
        <v>7.0000000000000007E-2</v>
      </c>
      <c r="AM117">
        <v>0.26200000000000001</v>
      </c>
      <c r="AN117">
        <v>-0.33700000000000002</v>
      </c>
      <c r="AO117">
        <v>0.79100000000000004</v>
      </c>
      <c r="AP117">
        <v>0.68</v>
      </c>
      <c r="AQ117">
        <v>0.76500000000000001</v>
      </c>
      <c r="AR117">
        <v>-0.129</v>
      </c>
      <c r="AS117">
        <v>-0.59599999999999997</v>
      </c>
      <c r="AT117">
        <v>0.57799999999999996</v>
      </c>
      <c r="AU117">
        <v>-1</v>
      </c>
      <c r="AV117">
        <v>-1</v>
      </c>
      <c r="AW117">
        <v>-0.47199999999999998</v>
      </c>
      <c r="AX117">
        <v>-0.53900000000000003</v>
      </c>
      <c r="AY117">
        <v>-0.105</v>
      </c>
      <c r="AZ117">
        <v>-0.48099999999999998</v>
      </c>
      <c r="BA117">
        <v>-0.45700000000000002</v>
      </c>
      <c r="BE117" s="20"/>
      <c r="BF117" s="21"/>
      <c r="BG117" s="21"/>
      <c r="BH117" s="21"/>
      <c r="BL117" t="s">
        <v>87</v>
      </c>
      <c r="BM117" t="s">
        <v>295</v>
      </c>
      <c r="BN117" t="s">
        <v>282</v>
      </c>
    </row>
    <row r="118" spans="1:66" ht="15" thickBot="1" x14ac:dyDescent="0.35">
      <c r="A118" t="s">
        <v>151</v>
      </c>
      <c r="B118">
        <v>1.3340000000000001</v>
      </c>
      <c r="C118">
        <v>1.284</v>
      </c>
      <c r="D118" t="s">
        <v>57</v>
      </c>
      <c r="E118">
        <v>0</v>
      </c>
      <c r="F118">
        <v>0</v>
      </c>
      <c r="G118">
        <v>0</v>
      </c>
      <c r="H118">
        <v>-0.24299999999999999</v>
      </c>
      <c r="I118">
        <v>-4.5999999999999999E-2</v>
      </c>
      <c r="J118">
        <v>-0.50700000000000001</v>
      </c>
      <c r="K118">
        <v>-6.6000000000000003E-2</v>
      </c>
      <c r="L118">
        <v>-3.3000000000000002E-2</v>
      </c>
      <c r="M118">
        <v>8.8999999999999996E-2</v>
      </c>
      <c r="N118">
        <v>0.21</v>
      </c>
      <c r="O118">
        <v>0.39</v>
      </c>
      <c r="P118">
        <v>0.251</v>
      </c>
      <c r="Q118">
        <v>0.25</v>
      </c>
      <c r="R118">
        <v>0.68799999999999994</v>
      </c>
      <c r="S118">
        <v>0.70199999999999996</v>
      </c>
      <c r="T118">
        <v>0.43099999999999999</v>
      </c>
      <c r="U118">
        <v>0.21299999999999999</v>
      </c>
      <c r="V118">
        <v>0.42099999999999999</v>
      </c>
      <c r="W118">
        <v>-0.59899999999999998</v>
      </c>
      <c r="X118">
        <v>-0.44900000000000001</v>
      </c>
      <c r="Y118">
        <v>-0.46100000000000002</v>
      </c>
      <c r="Z118">
        <v>-0.55800000000000005</v>
      </c>
      <c r="AA118">
        <v>-0.16</v>
      </c>
      <c r="AB118">
        <v>0.57699999999999996</v>
      </c>
      <c r="AC118">
        <v>-0.71199999999999997</v>
      </c>
      <c r="AD118">
        <v>0.51500000000000001</v>
      </c>
      <c r="AE118">
        <v>-0.20200000000000001</v>
      </c>
      <c r="AF118">
        <v>0.158</v>
      </c>
      <c r="AG118">
        <v>0.49399999999999999</v>
      </c>
      <c r="AH118">
        <v>0.17799999999999999</v>
      </c>
      <c r="AI118">
        <v>0.111</v>
      </c>
      <c r="AJ118">
        <v>0.28999999999999998</v>
      </c>
      <c r="AK118">
        <v>3.9E-2</v>
      </c>
      <c r="AL118">
        <v>0.16400000000000001</v>
      </c>
      <c r="AM118">
        <v>4.2999999999999997E-2</v>
      </c>
      <c r="AN118">
        <v>-7.1999999999999995E-2</v>
      </c>
      <c r="AO118">
        <v>0.76300000000000001</v>
      </c>
      <c r="AP118">
        <v>1</v>
      </c>
      <c r="AQ118">
        <v>0.26</v>
      </c>
      <c r="AR118">
        <v>-0.44700000000000001</v>
      </c>
      <c r="AS118">
        <v>-0.248</v>
      </c>
      <c r="AT118">
        <v>-0.247</v>
      </c>
      <c r="AU118">
        <v>0.122</v>
      </c>
      <c r="AV118">
        <v>-0.14599999999999999</v>
      </c>
      <c r="AW118">
        <v>0.28699999999999998</v>
      </c>
      <c r="AX118">
        <v>-0.92600000000000005</v>
      </c>
      <c r="AY118">
        <v>0.54300000000000004</v>
      </c>
      <c r="AZ118">
        <v>-0.66100000000000003</v>
      </c>
      <c r="BA118">
        <v>-0.20200000000000001</v>
      </c>
      <c r="BE118" s="20"/>
      <c r="BF118" s="21"/>
      <c r="BG118" s="21"/>
      <c r="BH118" s="21"/>
      <c r="BL118" t="s">
        <v>198</v>
      </c>
      <c r="BM118" t="s">
        <v>278</v>
      </c>
      <c r="BN118" t="s">
        <v>283</v>
      </c>
    </row>
    <row r="119" spans="1:66" ht="15" thickBot="1" x14ac:dyDescent="0.35">
      <c r="A119" t="s">
        <v>114</v>
      </c>
      <c r="B119">
        <v>2.081</v>
      </c>
      <c r="C119">
        <v>2.7629999999999999</v>
      </c>
      <c r="D119" t="s">
        <v>55</v>
      </c>
      <c r="E119">
        <v>0</v>
      </c>
      <c r="F119">
        <v>0</v>
      </c>
      <c r="G119">
        <v>0</v>
      </c>
      <c r="H119">
        <v>-0.121</v>
      </c>
      <c r="I119">
        <v>0.68</v>
      </c>
      <c r="J119">
        <v>-0.33</v>
      </c>
      <c r="K119">
        <v>1.9E-2</v>
      </c>
      <c r="L119">
        <v>0.33700000000000002</v>
      </c>
      <c r="M119">
        <v>0.38300000000000001</v>
      </c>
      <c r="N119">
        <v>0.72499999999999998</v>
      </c>
      <c r="O119">
        <v>0.47899999999999998</v>
      </c>
      <c r="P119">
        <v>0.88</v>
      </c>
      <c r="Q119">
        <v>0.88600000000000001</v>
      </c>
      <c r="R119">
        <v>0.70399999999999996</v>
      </c>
      <c r="S119">
        <v>0.90200000000000002</v>
      </c>
      <c r="T119">
        <v>0.74399999999999999</v>
      </c>
      <c r="U119">
        <v>0.10100000000000001</v>
      </c>
      <c r="V119">
        <v>-0.58099999999999996</v>
      </c>
      <c r="W119">
        <v>0.371</v>
      </c>
      <c r="X119">
        <v>-0.70499999999999996</v>
      </c>
      <c r="Y119">
        <v>-0.30599999999999999</v>
      </c>
      <c r="Z119">
        <v>-0.75600000000000001</v>
      </c>
      <c r="AA119">
        <v>-4.9000000000000002E-2</v>
      </c>
      <c r="AB119">
        <v>-0.42799999999999999</v>
      </c>
      <c r="AC119">
        <v>-0.28699999999999998</v>
      </c>
      <c r="AD119">
        <v>-0.36799999999999999</v>
      </c>
      <c r="AE119">
        <v>0.34699999999999998</v>
      </c>
      <c r="AF119">
        <v>0.40300000000000002</v>
      </c>
      <c r="AG119">
        <v>-0.109</v>
      </c>
      <c r="AH119">
        <v>7.0000000000000007E-2</v>
      </c>
      <c r="AI119">
        <v>0.307</v>
      </c>
      <c r="AJ119">
        <v>0.06</v>
      </c>
      <c r="AK119">
        <v>0.70799999999999996</v>
      </c>
      <c r="AL119">
        <v>0.27800000000000002</v>
      </c>
      <c r="AM119">
        <v>0.79100000000000004</v>
      </c>
      <c r="AN119">
        <v>-0.504</v>
      </c>
      <c r="AO119">
        <v>0.81799999999999995</v>
      </c>
      <c r="AP119">
        <v>1</v>
      </c>
      <c r="AQ119">
        <v>2.1000000000000001E-2</v>
      </c>
      <c r="AR119">
        <v>0.03</v>
      </c>
      <c r="AS119">
        <v>-0.223</v>
      </c>
      <c r="AT119">
        <v>0.28399999999999997</v>
      </c>
      <c r="AU119">
        <v>0.14699999999999999</v>
      </c>
      <c r="AV119">
        <v>-0.23300000000000001</v>
      </c>
      <c r="AW119">
        <v>0.93700000000000006</v>
      </c>
      <c r="AX119">
        <v>-0.49399999999999999</v>
      </c>
      <c r="AY119">
        <v>-0.40300000000000002</v>
      </c>
      <c r="AZ119">
        <v>0.29799999999999999</v>
      </c>
      <c r="BA119">
        <v>0.11799999999999999</v>
      </c>
      <c r="BE119" s="20"/>
      <c r="BF119" s="21"/>
      <c r="BG119" s="21"/>
      <c r="BH119" s="21"/>
      <c r="BL119" t="s">
        <v>52</v>
      </c>
      <c r="BM119" t="s">
        <v>299</v>
      </c>
      <c r="BN119" t="s">
        <v>282</v>
      </c>
    </row>
    <row r="120" spans="1:66" ht="15" thickBot="1" x14ac:dyDescent="0.35">
      <c r="A120" t="s">
        <v>184</v>
      </c>
      <c r="B120">
        <v>0.64200000000000002</v>
      </c>
      <c r="C120">
        <v>1.25</v>
      </c>
      <c r="D120" t="s">
        <v>57</v>
      </c>
      <c r="E120">
        <v>0</v>
      </c>
      <c r="F120">
        <v>-3.1E-2</v>
      </c>
      <c r="G120">
        <v>3.1E-2</v>
      </c>
      <c r="H120">
        <v>-0.66400000000000003</v>
      </c>
      <c r="I120">
        <v>-0.06</v>
      </c>
      <c r="J120">
        <v>-0.93500000000000005</v>
      </c>
      <c r="K120">
        <v>-0.48899999999999999</v>
      </c>
      <c r="L120">
        <v>-0.54900000000000004</v>
      </c>
      <c r="M120">
        <v>-0.46100000000000002</v>
      </c>
      <c r="N120">
        <v>-4.2000000000000003E-2</v>
      </c>
      <c r="O120">
        <v>-0.35699999999999998</v>
      </c>
      <c r="P120">
        <v>0.224</v>
      </c>
      <c r="Q120">
        <v>0.23</v>
      </c>
      <c r="R120">
        <v>0.58799999999999997</v>
      </c>
      <c r="S120">
        <v>0.63500000000000001</v>
      </c>
      <c r="T120">
        <v>0.36599999999999999</v>
      </c>
      <c r="U120">
        <v>-0.20100000000000001</v>
      </c>
      <c r="V120">
        <v>-0.72299999999999998</v>
      </c>
      <c r="W120">
        <v>-3.2000000000000001E-2</v>
      </c>
      <c r="X120">
        <v>-1</v>
      </c>
      <c r="Y120">
        <v>-0.68500000000000005</v>
      </c>
      <c r="Z120">
        <v>-0.79100000000000004</v>
      </c>
      <c r="AA120">
        <v>-0.45600000000000002</v>
      </c>
      <c r="AB120">
        <v>-0.54600000000000004</v>
      </c>
      <c r="AC120">
        <v>-1</v>
      </c>
      <c r="AD120">
        <v>-0.6</v>
      </c>
      <c r="AE120">
        <v>0.47699999999999998</v>
      </c>
      <c r="AF120">
        <v>0.77900000000000003</v>
      </c>
      <c r="AG120">
        <v>0.14899999999999999</v>
      </c>
      <c r="AH120">
        <v>-0.06</v>
      </c>
      <c r="AI120">
        <v>-0.47099999999999997</v>
      </c>
      <c r="AJ120">
        <v>0.38200000000000001</v>
      </c>
      <c r="AK120">
        <v>1</v>
      </c>
      <c r="AL120">
        <v>0.47599999999999998</v>
      </c>
      <c r="AM120">
        <v>-3.2000000000000001E-2</v>
      </c>
      <c r="AN120">
        <v>0.15</v>
      </c>
      <c r="AO120">
        <v>0.44</v>
      </c>
      <c r="AP120">
        <v>-0.29399999999999998</v>
      </c>
      <c r="AQ120">
        <v>0.29299999999999998</v>
      </c>
      <c r="AR120">
        <v>0.221</v>
      </c>
      <c r="AS120">
        <v>0.10199999999999999</v>
      </c>
      <c r="AT120">
        <v>0.32</v>
      </c>
      <c r="AU120">
        <v>-0.42099999999999999</v>
      </c>
      <c r="AV120">
        <v>-0.38600000000000001</v>
      </c>
      <c r="AW120">
        <v>0.315</v>
      </c>
      <c r="AX120">
        <v>-0.38200000000000001</v>
      </c>
      <c r="AY120">
        <v>0.42099999999999999</v>
      </c>
      <c r="AZ120">
        <v>-0.51600000000000001</v>
      </c>
      <c r="BA120">
        <v>-0.747</v>
      </c>
      <c r="BE120" s="20"/>
      <c r="BF120" s="21"/>
      <c r="BG120" s="21"/>
      <c r="BH120" s="21"/>
      <c r="BL120" t="s">
        <v>107</v>
      </c>
      <c r="BM120" t="s">
        <v>301</v>
      </c>
      <c r="BN120" t="s">
        <v>279</v>
      </c>
    </row>
    <row r="121" spans="1:66" ht="15" thickBot="1" x14ac:dyDescent="0.35">
      <c r="A121" t="s">
        <v>163</v>
      </c>
      <c r="B121">
        <v>1.0900000000000001</v>
      </c>
      <c r="C121">
        <v>1.351</v>
      </c>
      <c r="D121" t="s">
        <v>68</v>
      </c>
      <c r="E121">
        <v>0</v>
      </c>
      <c r="F121">
        <v>0</v>
      </c>
      <c r="G121">
        <v>0</v>
      </c>
      <c r="H121">
        <v>-0.29599999999999999</v>
      </c>
      <c r="I121">
        <v>0.157</v>
      </c>
      <c r="J121">
        <v>-0.4</v>
      </c>
      <c r="K121">
        <v>-0.52</v>
      </c>
      <c r="L121">
        <v>-0.23499999999999999</v>
      </c>
      <c r="M121">
        <v>-0.125</v>
      </c>
      <c r="N121">
        <v>0.25800000000000001</v>
      </c>
      <c r="O121">
        <v>-0.22800000000000001</v>
      </c>
      <c r="P121">
        <v>0.61</v>
      </c>
      <c r="Q121">
        <v>0.60899999999999999</v>
      </c>
      <c r="R121">
        <v>0.69</v>
      </c>
      <c r="S121">
        <v>0.63400000000000001</v>
      </c>
      <c r="T121">
        <v>0.64600000000000002</v>
      </c>
      <c r="U121">
        <v>-0.77200000000000002</v>
      </c>
      <c r="V121">
        <v>-0.57199999999999995</v>
      </c>
      <c r="W121">
        <v>-0.11899999999999999</v>
      </c>
      <c r="X121">
        <v>-0.52900000000000003</v>
      </c>
      <c r="Y121">
        <v>0.63400000000000001</v>
      </c>
      <c r="Z121">
        <v>-0.52500000000000002</v>
      </c>
      <c r="AA121">
        <v>-0.14899999999999999</v>
      </c>
      <c r="AB121">
        <v>-0.54900000000000004</v>
      </c>
      <c r="AC121">
        <v>-0.65600000000000003</v>
      </c>
      <c r="AD121">
        <v>0.17599999999999999</v>
      </c>
      <c r="AE121">
        <v>0.17799999999999999</v>
      </c>
      <c r="AF121">
        <v>-1.4999999999999999E-2</v>
      </c>
      <c r="AG121">
        <v>0.25600000000000001</v>
      </c>
      <c r="AH121">
        <v>6.5000000000000002E-2</v>
      </c>
      <c r="AI121">
        <v>-0.24099999999999999</v>
      </c>
      <c r="AJ121">
        <v>0.379</v>
      </c>
      <c r="AK121">
        <v>0.54400000000000004</v>
      </c>
      <c r="AL121">
        <v>-0.247</v>
      </c>
      <c r="AM121">
        <v>0.40600000000000003</v>
      </c>
      <c r="AN121">
        <v>-4.7E-2</v>
      </c>
      <c r="AO121">
        <v>0.64900000000000002</v>
      </c>
      <c r="AP121">
        <v>0.33200000000000002</v>
      </c>
      <c r="AQ121">
        <v>0.442</v>
      </c>
      <c r="AR121">
        <v>-0.23100000000000001</v>
      </c>
      <c r="AS121">
        <v>-0.46700000000000003</v>
      </c>
      <c r="AT121">
        <v>0.22600000000000001</v>
      </c>
      <c r="AU121">
        <v>0.25700000000000001</v>
      </c>
      <c r="AV121">
        <v>-5.8000000000000003E-2</v>
      </c>
      <c r="AW121">
        <v>0.871</v>
      </c>
      <c r="AX121">
        <v>-0.52800000000000002</v>
      </c>
      <c r="AY121">
        <v>0.33</v>
      </c>
      <c r="AZ121">
        <v>0.249</v>
      </c>
      <c r="BA121">
        <v>-6.4000000000000001E-2</v>
      </c>
      <c r="BE121" s="20"/>
      <c r="BF121" s="21"/>
      <c r="BG121" s="21"/>
      <c r="BH121" s="21"/>
      <c r="BL121" t="s">
        <v>208</v>
      </c>
      <c r="BM121" t="s">
        <v>278</v>
      </c>
      <c r="BN121" t="s">
        <v>287</v>
      </c>
    </row>
    <row r="122" spans="1:66" ht="15" thickBot="1" x14ac:dyDescent="0.35">
      <c r="A122" t="s">
        <v>240</v>
      </c>
      <c r="B122">
        <v>0.53</v>
      </c>
      <c r="C122">
        <v>0.45100000000000001</v>
      </c>
      <c r="D122" t="s">
        <v>71</v>
      </c>
      <c r="E122">
        <v>0</v>
      </c>
      <c r="F122">
        <v>0</v>
      </c>
      <c r="G122">
        <v>0</v>
      </c>
      <c r="H122">
        <v>-0.97599999999999998</v>
      </c>
      <c r="I122">
        <v>-0.68799999999999994</v>
      </c>
      <c r="J122">
        <v>-1</v>
      </c>
      <c r="K122">
        <v>-0.89</v>
      </c>
      <c r="L122">
        <v>-0.85499999999999998</v>
      </c>
      <c r="M122">
        <v>-0.85299999999999998</v>
      </c>
      <c r="N122">
        <v>-0.80300000000000005</v>
      </c>
      <c r="O122">
        <v>-0.76900000000000002</v>
      </c>
      <c r="P122">
        <v>8.8999999999999996E-2</v>
      </c>
      <c r="Q122">
        <v>9.9000000000000005E-2</v>
      </c>
      <c r="R122">
        <v>0.27600000000000002</v>
      </c>
      <c r="S122">
        <v>0.48599999999999999</v>
      </c>
      <c r="T122">
        <v>0.45800000000000002</v>
      </c>
      <c r="U122">
        <v>-0.98499999999999999</v>
      </c>
      <c r="V122">
        <v>-1</v>
      </c>
      <c r="W122">
        <v>0.67500000000000004</v>
      </c>
      <c r="X122">
        <v>-0.998</v>
      </c>
      <c r="Y122">
        <v>-0.33200000000000002</v>
      </c>
      <c r="Z122">
        <v>-1</v>
      </c>
      <c r="AA122">
        <v>-0.625</v>
      </c>
      <c r="AB122">
        <v>-1</v>
      </c>
      <c r="AC122">
        <v>-0.73199999999999998</v>
      </c>
      <c r="AD122">
        <v>-0.36599999999999999</v>
      </c>
      <c r="AE122">
        <v>0.97</v>
      </c>
      <c r="AF122">
        <v>0.95299999999999996</v>
      </c>
      <c r="AG122">
        <v>-0.75</v>
      </c>
      <c r="AH122">
        <v>-0.33200000000000002</v>
      </c>
      <c r="AI122">
        <v>-0.48399999999999999</v>
      </c>
      <c r="AJ122">
        <v>-0.19600000000000001</v>
      </c>
      <c r="AK122">
        <v>9.4E-2</v>
      </c>
      <c r="AL122">
        <v>-0.66500000000000004</v>
      </c>
      <c r="AM122">
        <v>0.4</v>
      </c>
      <c r="AN122">
        <v>-0.502</v>
      </c>
      <c r="AO122">
        <v>0.17899999999999999</v>
      </c>
      <c r="AP122">
        <v>-0.14000000000000001</v>
      </c>
      <c r="AQ122">
        <v>0.45600000000000002</v>
      </c>
      <c r="AR122">
        <v>-0.63100000000000001</v>
      </c>
      <c r="AS122">
        <v>-0.82</v>
      </c>
      <c r="AT122">
        <v>1E-3</v>
      </c>
      <c r="AU122">
        <v>-2.1000000000000001E-2</v>
      </c>
      <c r="AV122">
        <v>0.71699999999999997</v>
      </c>
      <c r="AW122">
        <v>0.20200000000000001</v>
      </c>
      <c r="AX122">
        <v>-0.71499999999999997</v>
      </c>
      <c r="AY122">
        <v>-0.997</v>
      </c>
      <c r="AZ122">
        <v>-1</v>
      </c>
      <c r="BA122">
        <v>-0.34899999999999998</v>
      </c>
      <c r="BE122" s="20"/>
      <c r="BF122" s="21"/>
      <c r="BG122" s="21"/>
      <c r="BH122" s="21"/>
      <c r="BL122" t="s">
        <v>266</v>
      </c>
      <c r="BM122" t="s">
        <v>278</v>
      </c>
      <c r="BN122" t="s">
        <v>287</v>
      </c>
    </row>
    <row r="123" spans="1:66" ht="15" thickBot="1" x14ac:dyDescent="0.35">
      <c r="A123" t="s">
        <v>157</v>
      </c>
      <c r="B123">
        <v>0.58799999999999997</v>
      </c>
      <c r="C123">
        <v>0.45600000000000002</v>
      </c>
      <c r="D123" t="s">
        <v>57</v>
      </c>
      <c r="E123">
        <v>0</v>
      </c>
      <c r="F123">
        <v>-6.0000000000000001E-3</v>
      </c>
      <c r="G123">
        <v>6.0000000000000001E-3</v>
      </c>
      <c r="H123">
        <v>-2.7E-2</v>
      </c>
      <c r="I123">
        <v>-0.52500000000000002</v>
      </c>
      <c r="J123">
        <v>-0.51900000000000002</v>
      </c>
      <c r="K123">
        <v>7.4999999999999997E-2</v>
      </c>
      <c r="L123">
        <v>-0.41799999999999998</v>
      </c>
      <c r="M123">
        <v>-0.48799999999999999</v>
      </c>
      <c r="N123">
        <v>-0.59399999999999997</v>
      </c>
      <c r="O123">
        <v>-0.78900000000000003</v>
      </c>
      <c r="P123">
        <v>-0.106</v>
      </c>
      <c r="Q123">
        <v>-0.10100000000000001</v>
      </c>
      <c r="R123">
        <v>0.23100000000000001</v>
      </c>
      <c r="S123">
        <v>-0.72099999999999997</v>
      </c>
      <c r="T123">
        <v>0.315</v>
      </c>
      <c r="U123">
        <v>0.38300000000000001</v>
      </c>
      <c r="V123">
        <v>1</v>
      </c>
      <c r="W123">
        <v>0.46400000000000002</v>
      </c>
      <c r="X123">
        <v>1.0999999999999999E-2</v>
      </c>
      <c r="Y123">
        <v>-0.44700000000000001</v>
      </c>
      <c r="Z123">
        <v>-0.104</v>
      </c>
      <c r="AA123">
        <v>0.59899999999999998</v>
      </c>
      <c r="AB123">
        <v>-0.80500000000000005</v>
      </c>
      <c r="AC123">
        <v>4.5999999999999999E-2</v>
      </c>
      <c r="AD123">
        <v>0.47599999999999998</v>
      </c>
      <c r="AE123">
        <v>-0.23499999999999999</v>
      </c>
      <c r="AF123">
        <v>0.42599999999999999</v>
      </c>
      <c r="AG123">
        <v>0.49399999999999999</v>
      </c>
      <c r="AH123">
        <v>-0.33900000000000002</v>
      </c>
      <c r="AI123">
        <v>0.16600000000000001</v>
      </c>
      <c r="AJ123">
        <v>0.45700000000000002</v>
      </c>
      <c r="AK123">
        <v>-8.8999999999999996E-2</v>
      </c>
      <c r="AL123">
        <v>7.4999999999999997E-2</v>
      </c>
      <c r="AM123">
        <v>-0.76900000000000002</v>
      </c>
      <c r="AN123">
        <v>-0.17799999999999999</v>
      </c>
      <c r="AO123">
        <v>0.53500000000000003</v>
      </c>
      <c r="AP123">
        <v>-1</v>
      </c>
      <c r="AQ123">
        <v>-9.2999999999999999E-2</v>
      </c>
      <c r="AR123">
        <v>0.158</v>
      </c>
      <c r="AS123">
        <v>0.20399999999999999</v>
      </c>
      <c r="AT123">
        <v>0.24099999999999999</v>
      </c>
      <c r="AU123">
        <v>0.41599999999999998</v>
      </c>
      <c r="AV123">
        <v>-5.7000000000000002E-2</v>
      </c>
      <c r="AW123">
        <v>2.7E-2</v>
      </c>
      <c r="AX123">
        <v>0.97199999999999998</v>
      </c>
      <c r="AY123">
        <v>0.35799999999999998</v>
      </c>
      <c r="AZ123">
        <v>-0.98499999999999999</v>
      </c>
      <c r="BA123">
        <v>-0.45400000000000001</v>
      </c>
      <c r="BE123" s="20"/>
      <c r="BF123" s="21"/>
      <c r="BG123" s="21"/>
      <c r="BH123" s="21"/>
      <c r="BL123" t="s">
        <v>214</v>
      </c>
      <c r="BM123" t="s">
        <v>301</v>
      </c>
      <c r="BN123" t="s">
        <v>282</v>
      </c>
    </row>
    <row r="124" spans="1:66" ht="15" thickBot="1" x14ac:dyDescent="0.35">
      <c r="A124" t="s">
        <v>149</v>
      </c>
      <c r="B124">
        <v>0.51900000000000002</v>
      </c>
      <c r="C124">
        <v>0.38800000000000001</v>
      </c>
      <c r="D124" t="s">
        <v>53</v>
      </c>
      <c r="E124">
        <v>0</v>
      </c>
      <c r="F124">
        <v>0</v>
      </c>
      <c r="G124">
        <v>0</v>
      </c>
      <c r="H124">
        <v>-0.443</v>
      </c>
      <c r="I124">
        <v>-0.77700000000000002</v>
      </c>
      <c r="J124">
        <v>-0.254</v>
      </c>
      <c r="K124">
        <v>-0.69699999999999995</v>
      </c>
      <c r="L124">
        <v>-0.73199999999999998</v>
      </c>
      <c r="M124">
        <v>-0.81699999999999995</v>
      </c>
      <c r="N124">
        <v>-0.82899999999999996</v>
      </c>
      <c r="O124">
        <v>-0.871</v>
      </c>
      <c r="P124">
        <v>-0.34499999999999997</v>
      </c>
      <c r="Q124">
        <v>-0.34</v>
      </c>
      <c r="R124">
        <v>0.27700000000000002</v>
      </c>
      <c r="S124">
        <v>-7.6999999999999999E-2</v>
      </c>
      <c r="T124">
        <v>-0.20799999999999999</v>
      </c>
      <c r="U124">
        <v>0.13200000000000001</v>
      </c>
      <c r="V124">
        <v>-0.40400000000000003</v>
      </c>
      <c r="W124">
        <v>-0.32200000000000001</v>
      </c>
      <c r="X124">
        <v>0.85699999999999998</v>
      </c>
      <c r="Y124">
        <v>-0.17899999999999999</v>
      </c>
      <c r="Z124">
        <v>-0.16</v>
      </c>
      <c r="AA124">
        <v>0.20399999999999999</v>
      </c>
      <c r="AB124">
        <v>-0.96399999999999997</v>
      </c>
      <c r="AC124">
        <v>0.30199999999999999</v>
      </c>
      <c r="AD124">
        <v>-0.16300000000000001</v>
      </c>
      <c r="AE124">
        <v>-0.58799999999999997</v>
      </c>
      <c r="AF124">
        <v>-0.58699999999999997</v>
      </c>
      <c r="AG124">
        <v>-0.28899999999999998</v>
      </c>
      <c r="AH124">
        <v>6.2E-2</v>
      </c>
      <c r="AI124">
        <v>-3.2000000000000001E-2</v>
      </c>
      <c r="AJ124">
        <v>6.8000000000000005E-2</v>
      </c>
      <c r="AK124">
        <v>0.123</v>
      </c>
      <c r="AL124">
        <v>0.193</v>
      </c>
      <c r="AM124">
        <v>-0.65400000000000003</v>
      </c>
      <c r="AN124">
        <v>-0.215</v>
      </c>
      <c r="AO124">
        <v>0.63700000000000001</v>
      </c>
      <c r="AP124">
        <v>0.17699999999999999</v>
      </c>
      <c r="AQ124">
        <v>0.33700000000000002</v>
      </c>
      <c r="AR124">
        <v>0.30099999999999999</v>
      </c>
      <c r="AS124">
        <v>0.10299999999999999</v>
      </c>
      <c r="AT124">
        <v>0.33700000000000002</v>
      </c>
      <c r="AU124">
        <v>-0.47</v>
      </c>
      <c r="AV124">
        <v>-0.79300000000000004</v>
      </c>
      <c r="AW124">
        <v>-0.66</v>
      </c>
      <c r="AX124">
        <v>0.67600000000000005</v>
      </c>
      <c r="AY124">
        <v>0.54100000000000004</v>
      </c>
      <c r="AZ124">
        <v>-0.14199999999999999</v>
      </c>
      <c r="BA124">
        <v>0.91200000000000003</v>
      </c>
      <c r="BE124" s="20"/>
      <c r="BF124" s="21"/>
      <c r="BG124" s="21"/>
      <c r="BH124" s="21"/>
      <c r="BL124" t="s">
        <v>111</v>
      </c>
      <c r="BM124" t="s">
        <v>288</v>
      </c>
      <c r="BN124" t="s">
        <v>287</v>
      </c>
    </row>
    <row r="125" spans="1:66" ht="15" thickBot="1" x14ac:dyDescent="0.35">
      <c r="A125" t="s">
        <v>132</v>
      </c>
      <c r="B125">
        <v>0.93300000000000005</v>
      </c>
      <c r="C125">
        <v>0.75900000000000001</v>
      </c>
      <c r="D125" t="s">
        <v>53</v>
      </c>
      <c r="E125">
        <v>0</v>
      </c>
      <c r="F125">
        <v>0</v>
      </c>
      <c r="G125">
        <v>0</v>
      </c>
      <c r="H125">
        <v>-0.318</v>
      </c>
      <c r="I125">
        <v>-0.20100000000000001</v>
      </c>
      <c r="J125">
        <v>-0.51800000000000002</v>
      </c>
      <c r="K125">
        <v>-0.26300000000000001</v>
      </c>
      <c r="L125">
        <v>-0.28100000000000003</v>
      </c>
      <c r="M125">
        <v>-0.25800000000000001</v>
      </c>
      <c r="N125">
        <v>-0.111</v>
      </c>
      <c r="O125">
        <v>-0.29799999999999999</v>
      </c>
      <c r="P125">
        <v>0.55900000000000005</v>
      </c>
      <c r="Q125">
        <v>0.55600000000000005</v>
      </c>
      <c r="R125">
        <v>0.70499999999999996</v>
      </c>
      <c r="S125">
        <v>0.71799999999999997</v>
      </c>
      <c r="T125">
        <v>0.68200000000000005</v>
      </c>
      <c r="U125">
        <v>-0.27800000000000002</v>
      </c>
      <c r="V125">
        <v>-0.46</v>
      </c>
      <c r="W125">
        <v>8.8999999999999996E-2</v>
      </c>
      <c r="X125">
        <v>-0.55200000000000005</v>
      </c>
      <c r="Y125">
        <v>0.63300000000000001</v>
      </c>
      <c r="Z125">
        <v>-0.54900000000000004</v>
      </c>
      <c r="AA125">
        <v>-0.253</v>
      </c>
      <c r="AB125">
        <v>-9.6000000000000002E-2</v>
      </c>
      <c r="AC125">
        <v>-0.443</v>
      </c>
      <c r="AD125">
        <v>-0.154</v>
      </c>
      <c r="AE125">
        <v>0.57799999999999996</v>
      </c>
      <c r="AF125">
        <v>-0.34300000000000003</v>
      </c>
      <c r="AG125">
        <v>0.186</v>
      </c>
      <c r="AH125">
        <v>0.38800000000000001</v>
      </c>
      <c r="AI125">
        <v>0.17100000000000001</v>
      </c>
      <c r="AJ125">
        <v>0.42499999999999999</v>
      </c>
      <c r="AK125">
        <v>-0.34</v>
      </c>
      <c r="AL125">
        <v>0.22</v>
      </c>
      <c r="AM125">
        <v>-0.13</v>
      </c>
      <c r="AN125">
        <v>-0.19</v>
      </c>
      <c r="AO125">
        <v>0.91300000000000003</v>
      </c>
      <c r="AP125">
        <v>-0.38400000000000001</v>
      </c>
      <c r="AQ125">
        <v>0.751</v>
      </c>
      <c r="AR125">
        <v>-0.28000000000000003</v>
      </c>
      <c r="AS125">
        <v>-0.41899999999999998</v>
      </c>
      <c r="AT125">
        <v>0.377</v>
      </c>
      <c r="AU125">
        <v>0.57499999999999996</v>
      </c>
      <c r="AV125">
        <v>-0.27500000000000002</v>
      </c>
      <c r="AW125">
        <v>0.63900000000000001</v>
      </c>
      <c r="AX125">
        <v>-0.45700000000000002</v>
      </c>
      <c r="AY125">
        <v>0.20200000000000001</v>
      </c>
      <c r="AZ125">
        <v>-7.6999999999999999E-2</v>
      </c>
      <c r="BA125">
        <v>0.186</v>
      </c>
      <c r="BE125" s="20"/>
      <c r="BF125" s="21"/>
      <c r="BG125" s="21"/>
      <c r="BH125" s="21"/>
      <c r="BL125" t="s">
        <v>223</v>
      </c>
      <c r="BM125" t="s">
        <v>293</v>
      </c>
      <c r="BN125" t="s">
        <v>281</v>
      </c>
    </row>
    <row r="126" spans="1:66" ht="15" thickBot="1" x14ac:dyDescent="0.35">
      <c r="A126" t="s">
        <v>211</v>
      </c>
      <c r="B126">
        <v>0.68300000000000005</v>
      </c>
      <c r="C126">
        <v>1.3520000000000001</v>
      </c>
      <c r="D126" t="s">
        <v>57</v>
      </c>
      <c r="E126">
        <v>0</v>
      </c>
      <c r="F126">
        <v>-0.03</v>
      </c>
      <c r="G126">
        <v>0.03</v>
      </c>
      <c r="H126">
        <v>-0.54600000000000004</v>
      </c>
      <c r="I126">
        <v>-6.2E-2</v>
      </c>
      <c r="J126">
        <v>-0.77700000000000002</v>
      </c>
      <c r="K126">
        <v>-0.438</v>
      </c>
      <c r="L126">
        <v>-0.36399999999999999</v>
      </c>
      <c r="M126">
        <v>-0.375</v>
      </c>
      <c r="N126">
        <v>-0.28100000000000003</v>
      </c>
      <c r="O126">
        <v>-0.40400000000000003</v>
      </c>
      <c r="P126">
        <v>0.33900000000000002</v>
      </c>
      <c r="Q126">
        <v>0.34200000000000003</v>
      </c>
      <c r="R126">
        <v>0.70699999999999996</v>
      </c>
      <c r="S126">
        <v>0.748</v>
      </c>
      <c r="T126">
        <v>0.45400000000000001</v>
      </c>
      <c r="U126">
        <v>-0.46100000000000002</v>
      </c>
      <c r="V126">
        <v>-0.127</v>
      </c>
      <c r="W126">
        <v>-0.11899999999999999</v>
      </c>
      <c r="X126">
        <v>-1</v>
      </c>
      <c r="Y126">
        <v>-0.86299999999999999</v>
      </c>
      <c r="Z126">
        <v>-0.72599999999999998</v>
      </c>
      <c r="AA126">
        <v>-0.16</v>
      </c>
      <c r="AB126">
        <v>-0.69</v>
      </c>
      <c r="AC126">
        <v>-0.70599999999999996</v>
      </c>
      <c r="AD126">
        <v>-0.08</v>
      </c>
      <c r="AE126">
        <v>0.26700000000000002</v>
      </c>
      <c r="AF126">
        <v>0.308</v>
      </c>
      <c r="AG126">
        <v>0.621</v>
      </c>
      <c r="AH126">
        <v>0.26800000000000002</v>
      </c>
      <c r="AI126">
        <v>0.20499999999999999</v>
      </c>
      <c r="AJ126">
        <v>1.4E-2</v>
      </c>
      <c r="AK126">
        <v>0.122</v>
      </c>
      <c r="AL126">
        <v>0.17699999999999999</v>
      </c>
      <c r="AM126">
        <v>3.5000000000000003E-2</v>
      </c>
      <c r="AN126">
        <v>-0.434</v>
      </c>
      <c r="AO126">
        <v>0.33300000000000002</v>
      </c>
      <c r="AP126">
        <v>1</v>
      </c>
      <c r="AQ126">
        <v>0.16500000000000001</v>
      </c>
      <c r="AR126">
        <v>-0.55200000000000005</v>
      </c>
      <c r="AS126">
        <v>-0.05</v>
      </c>
      <c r="AT126">
        <v>0.435</v>
      </c>
      <c r="AU126">
        <v>-0.36399999999999999</v>
      </c>
      <c r="AV126">
        <v>-0.22700000000000001</v>
      </c>
      <c r="AW126">
        <v>0.45500000000000002</v>
      </c>
      <c r="AX126">
        <v>-0.73899999999999999</v>
      </c>
      <c r="AY126">
        <v>0.31900000000000001</v>
      </c>
      <c r="AZ126">
        <v>-0.14599999999999999</v>
      </c>
      <c r="BA126">
        <v>-0.82</v>
      </c>
      <c r="BE126" s="20"/>
      <c r="BF126" s="21"/>
      <c r="BG126" s="21"/>
      <c r="BH126" s="21"/>
      <c r="BL126" t="s">
        <v>221</v>
      </c>
      <c r="BM126" t="s">
        <v>278</v>
      </c>
      <c r="BN126" t="s">
        <v>283</v>
      </c>
    </row>
    <row r="127" spans="1:66" ht="15" thickBot="1" x14ac:dyDescent="0.35">
      <c r="A127" t="s">
        <v>202</v>
      </c>
      <c r="B127">
        <v>0.56299999999999994</v>
      </c>
      <c r="C127">
        <v>0.47499999999999998</v>
      </c>
      <c r="D127" t="s">
        <v>57</v>
      </c>
      <c r="E127">
        <v>0</v>
      </c>
      <c r="F127">
        <v>-4.0000000000000001E-3</v>
      </c>
      <c r="G127">
        <v>4.0000000000000001E-3</v>
      </c>
      <c r="H127">
        <v>-0.59899999999999998</v>
      </c>
      <c r="I127">
        <v>-0.56799999999999995</v>
      </c>
      <c r="J127">
        <v>-0.66900000000000004</v>
      </c>
      <c r="K127">
        <v>-0.75600000000000001</v>
      </c>
      <c r="L127">
        <v>-0.70799999999999996</v>
      </c>
      <c r="M127">
        <v>-0.60799999999999998</v>
      </c>
      <c r="N127">
        <v>-0.48799999999999999</v>
      </c>
      <c r="O127">
        <v>-0.755</v>
      </c>
      <c r="P127">
        <v>0.16700000000000001</v>
      </c>
      <c r="Q127">
        <v>0.16500000000000001</v>
      </c>
      <c r="R127">
        <v>0.54200000000000004</v>
      </c>
      <c r="S127">
        <v>0.45</v>
      </c>
      <c r="T127">
        <v>0.25900000000000001</v>
      </c>
      <c r="U127">
        <v>-0.53300000000000003</v>
      </c>
      <c r="V127">
        <v>-0.51700000000000002</v>
      </c>
      <c r="W127">
        <v>-0.70299999999999996</v>
      </c>
      <c r="X127">
        <v>-0.67100000000000004</v>
      </c>
      <c r="Y127">
        <v>-0.30299999999999999</v>
      </c>
      <c r="Z127">
        <v>-0.81399999999999995</v>
      </c>
      <c r="AA127">
        <v>-0.17499999999999999</v>
      </c>
      <c r="AB127">
        <v>-1</v>
      </c>
      <c r="AC127">
        <v>-0.755</v>
      </c>
      <c r="AD127">
        <v>0.33</v>
      </c>
      <c r="AE127">
        <v>-7.5999999999999998E-2</v>
      </c>
      <c r="AF127">
        <v>-6.3E-2</v>
      </c>
      <c r="AG127">
        <v>-0.28100000000000003</v>
      </c>
      <c r="AH127">
        <v>0.375</v>
      </c>
      <c r="AI127">
        <v>0.52500000000000002</v>
      </c>
      <c r="AJ127">
        <v>-0.18</v>
      </c>
      <c r="AK127">
        <v>3.5999999999999997E-2</v>
      </c>
      <c r="AL127">
        <v>8.9999999999999993E-3</v>
      </c>
      <c r="AM127">
        <v>0.14599999999999999</v>
      </c>
      <c r="AN127">
        <v>-0.185</v>
      </c>
      <c r="AO127">
        <v>-0.20300000000000001</v>
      </c>
      <c r="AP127">
        <v>7.3999999999999996E-2</v>
      </c>
      <c r="AQ127">
        <v>0.874</v>
      </c>
      <c r="AR127">
        <v>-0.106</v>
      </c>
      <c r="AS127">
        <v>-0.13500000000000001</v>
      </c>
      <c r="AT127">
        <v>0.65800000000000003</v>
      </c>
      <c r="AU127">
        <v>0.188</v>
      </c>
      <c r="AV127">
        <v>-0.23300000000000001</v>
      </c>
      <c r="AW127">
        <v>0.60699999999999998</v>
      </c>
      <c r="AX127">
        <v>-0.252</v>
      </c>
      <c r="AY127">
        <v>0.16200000000000001</v>
      </c>
      <c r="AZ127">
        <v>0.52400000000000002</v>
      </c>
      <c r="BA127">
        <v>0.191</v>
      </c>
      <c r="BE127" s="20"/>
      <c r="BF127" s="21"/>
      <c r="BG127" s="21"/>
      <c r="BH127" s="21"/>
      <c r="BL127" t="s">
        <v>205</v>
      </c>
      <c r="BM127" t="s">
        <v>278</v>
      </c>
      <c r="BN127" t="s">
        <v>282</v>
      </c>
    </row>
    <row r="128" spans="1:66" ht="15" thickBot="1" x14ac:dyDescent="0.35">
      <c r="A128" t="s">
        <v>95</v>
      </c>
      <c r="B128">
        <v>1.5409999999999999</v>
      </c>
      <c r="C128">
        <v>1.9530000000000001</v>
      </c>
      <c r="D128" t="s">
        <v>53</v>
      </c>
      <c r="E128">
        <v>0</v>
      </c>
      <c r="F128">
        <v>0</v>
      </c>
      <c r="G128">
        <v>0</v>
      </c>
      <c r="H128">
        <v>-0.54</v>
      </c>
      <c r="I128">
        <v>-1.2999999999999999E-2</v>
      </c>
      <c r="J128">
        <v>-0.81799999999999995</v>
      </c>
      <c r="K128">
        <v>4.2000000000000003E-2</v>
      </c>
      <c r="L128">
        <v>-0.03</v>
      </c>
      <c r="M128">
        <v>0.25600000000000001</v>
      </c>
      <c r="N128">
        <v>0.85399999999999998</v>
      </c>
      <c r="O128">
        <v>0.57999999999999996</v>
      </c>
      <c r="P128">
        <v>0.57299999999999995</v>
      </c>
      <c r="Q128">
        <v>0.58199999999999996</v>
      </c>
      <c r="R128">
        <v>0.71099999999999997</v>
      </c>
      <c r="S128">
        <v>0.76700000000000002</v>
      </c>
      <c r="T128">
        <v>0.48</v>
      </c>
      <c r="U128">
        <v>0.155</v>
      </c>
      <c r="V128">
        <v>0.75</v>
      </c>
      <c r="W128">
        <v>-0.14099999999999999</v>
      </c>
      <c r="X128">
        <v>-0.80600000000000005</v>
      </c>
      <c r="Y128">
        <v>-0.84699999999999998</v>
      </c>
      <c r="Z128">
        <v>-0.61199999999999999</v>
      </c>
      <c r="AA128">
        <v>-0.27700000000000002</v>
      </c>
      <c r="AB128">
        <v>0.61599999999999999</v>
      </c>
      <c r="AC128">
        <v>-0.94799999999999995</v>
      </c>
      <c r="AD128">
        <v>0.374</v>
      </c>
      <c r="AE128">
        <v>0.22900000000000001</v>
      </c>
      <c r="AF128">
        <v>0.35599999999999998</v>
      </c>
      <c r="AG128">
        <v>0.17199999999999999</v>
      </c>
      <c r="AH128">
        <v>5.1999999999999998E-2</v>
      </c>
      <c r="AI128">
        <v>-0.33100000000000002</v>
      </c>
      <c r="AJ128">
        <v>0.66900000000000004</v>
      </c>
      <c r="AK128">
        <v>0.36499999999999999</v>
      </c>
      <c r="AL128">
        <v>-0.27900000000000003</v>
      </c>
      <c r="AM128">
        <v>0.93</v>
      </c>
      <c r="AN128">
        <v>0.371</v>
      </c>
      <c r="AO128">
        <v>0.83399999999999996</v>
      </c>
      <c r="AP128">
        <v>-0.92700000000000005</v>
      </c>
      <c r="AQ128">
        <v>-0.53200000000000003</v>
      </c>
      <c r="AR128">
        <v>-6.6000000000000003E-2</v>
      </c>
      <c r="AS128">
        <v>-6.6000000000000003E-2</v>
      </c>
      <c r="AT128">
        <v>-0.99299999999999999</v>
      </c>
      <c r="AU128">
        <v>0.44400000000000001</v>
      </c>
      <c r="AV128">
        <v>0.20799999999999999</v>
      </c>
      <c r="AW128">
        <v>1</v>
      </c>
      <c r="AX128">
        <v>-0.45900000000000002</v>
      </c>
      <c r="AY128">
        <v>-0.59199999999999997</v>
      </c>
      <c r="AZ128">
        <v>-9.7000000000000003E-2</v>
      </c>
      <c r="BA128">
        <v>-0.57499999999999996</v>
      </c>
      <c r="BE128" s="20"/>
      <c r="BF128" s="21"/>
      <c r="BG128" s="21"/>
      <c r="BH128" s="21"/>
      <c r="BL128" t="s">
        <v>88</v>
      </c>
      <c r="BM128" t="s">
        <v>288</v>
      </c>
      <c r="BN128" t="s">
        <v>282</v>
      </c>
    </row>
    <row r="129" spans="1:66" ht="15" thickBot="1" x14ac:dyDescent="0.35">
      <c r="A129" t="s">
        <v>137</v>
      </c>
      <c r="B129">
        <v>1.7250000000000001</v>
      </c>
      <c r="C129">
        <v>1.2470000000000001</v>
      </c>
      <c r="D129" t="s">
        <v>57</v>
      </c>
      <c r="E129">
        <v>0</v>
      </c>
      <c r="F129">
        <v>0</v>
      </c>
      <c r="G129">
        <v>0</v>
      </c>
      <c r="H129">
        <v>0.72699999999999998</v>
      </c>
      <c r="I129">
        <v>0.111</v>
      </c>
      <c r="J129">
        <v>0.68300000000000005</v>
      </c>
      <c r="K129">
        <v>0.61399999999999999</v>
      </c>
      <c r="L129">
        <v>0.44800000000000001</v>
      </c>
      <c r="M129">
        <v>-2.5999999999999999E-2</v>
      </c>
      <c r="N129">
        <v>-0.40200000000000002</v>
      </c>
      <c r="O129">
        <v>-0.39700000000000002</v>
      </c>
      <c r="P129">
        <v>0.24299999999999999</v>
      </c>
      <c r="Q129">
        <v>0.24399999999999999</v>
      </c>
      <c r="R129">
        <v>0.93100000000000005</v>
      </c>
      <c r="S129">
        <v>0.77700000000000002</v>
      </c>
      <c r="T129">
        <v>0.78700000000000003</v>
      </c>
      <c r="U129">
        <v>0.86499999999999999</v>
      </c>
      <c r="V129">
        <v>0.57199999999999995</v>
      </c>
      <c r="W129">
        <v>7.0000000000000001E-3</v>
      </c>
      <c r="X129">
        <v>-2.8000000000000001E-2</v>
      </c>
      <c r="Y129">
        <v>0.75800000000000001</v>
      </c>
      <c r="Z129">
        <v>1</v>
      </c>
      <c r="AA129">
        <v>0.108</v>
      </c>
      <c r="AB129">
        <v>-0.69899999999999995</v>
      </c>
      <c r="AC129">
        <v>-0.54200000000000004</v>
      </c>
      <c r="AD129">
        <v>0.53</v>
      </c>
      <c r="AE129">
        <v>0.125</v>
      </c>
      <c r="AF129">
        <v>0.122</v>
      </c>
      <c r="AG129">
        <v>0.49</v>
      </c>
      <c r="AH129">
        <v>0.93400000000000005</v>
      </c>
      <c r="AI129">
        <v>0.441</v>
      </c>
      <c r="AJ129">
        <v>0.50900000000000001</v>
      </c>
      <c r="AK129">
        <v>7.9000000000000001E-2</v>
      </c>
      <c r="AL129">
        <v>0.88700000000000001</v>
      </c>
      <c r="AM129">
        <v>-0.57099999999999995</v>
      </c>
      <c r="AN129">
        <v>-0.16400000000000001</v>
      </c>
      <c r="AO129">
        <v>0.78100000000000003</v>
      </c>
      <c r="AP129">
        <v>0.44500000000000001</v>
      </c>
      <c r="AQ129">
        <v>0.61099999999999999</v>
      </c>
      <c r="AR129">
        <v>8.5999999999999993E-2</v>
      </c>
      <c r="AS129">
        <v>-9.4E-2</v>
      </c>
      <c r="AT129">
        <v>0.93400000000000005</v>
      </c>
      <c r="AU129">
        <v>-1</v>
      </c>
      <c r="AV129">
        <v>-1</v>
      </c>
      <c r="AW129">
        <v>-0.61</v>
      </c>
      <c r="AX129">
        <v>-0.64200000000000002</v>
      </c>
      <c r="AY129">
        <v>-0.01</v>
      </c>
      <c r="AZ129">
        <v>-1E-3</v>
      </c>
      <c r="BA129">
        <v>0.55400000000000005</v>
      </c>
      <c r="BE129" s="20"/>
      <c r="BF129" s="21"/>
      <c r="BG129" s="21"/>
      <c r="BH129" s="21"/>
      <c r="BL129" t="s">
        <v>243</v>
      </c>
      <c r="BM129" t="s">
        <v>290</v>
      </c>
      <c r="BN129" t="s">
        <v>287</v>
      </c>
    </row>
    <row r="130" spans="1:66" ht="15" thickBot="1" x14ac:dyDescent="0.35">
      <c r="A130" t="s">
        <v>196</v>
      </c>
      <c r="B130">
        <v>0.99099999999999999</v>
      </c>
      <c r="C130">
        <v>0.71299999999999997</v>
      </c>
      <c r="D130" t="s">
        <v>57</v>
      </c>
      <c r="E130">
        <v>0</v>
      </c>
      <c r="F130">
        <v>0</v>
      </c>
      <c r="G130">
        <v>0</v>
      </c>
      <c r="H130">
        <v>0.34</v>
      </c>
      <c r="I130">
        <v>-1.9E-2</v>
      </c>
      <c r="J130">
        <v>0.25</v>
      </c>
      <c r="K130">
        <v>0.34300000000000003</v>
      </c>
      <c r="L130">
        <v>0.20300000000000001</v>
      </c>
      <c r="M130">
        <v>-0.17199999999999999</v>
      </c>
      <c r="N130">
        <v>-0.45</v>
      </c>
      <c r="O130">
        <v>-0.57399999999999995</v>
      </c>
      <c r="P130">
        <v>-3.5000000000000003E-2</v>
      </c>
      <c r="Q130">
        <v>-3.2000000000000001E-2</v>
      </c>
      <c r="R130">
        <v>0.317</v>
      </c>
      <c r="S130">
        <v>0.44700000000000001</v>
      </c>
      <c r="T130">
        <v>0.56100000000000005</v>
      </c>
      <c r="U130">
        <v>0.76500000000000001</v>
      </c>
      <c r="V130">
        <v>0.623</v>
      </c>
      <c r="W130">
        <v>0.53</v>
      </c>
      <c r="X130">
        <v>0.159</v>
      </c>
      <c r="Y130">
        <v>0.434</v>
      </c>
      <c r="Z130">
        <v>0.76900000000000002</v>
      </c>
      <c r="AA130">
        <v>9.0999999999999998E-2</v>
      </c>
      <c r="AB130">
        <v>-0.81499999999999995</v>
      </c>
      <c r="AC130">
        <v>0.14000000000000001</v>
      </c>
      <c r="AD130">
        <v>0.125</v>
      </c>
      <c r="AE130">
        <v>0.14299999999999999</v>
      </c>
      <c r="AF130">
        <v>7.6999999999999999E-2</v>
      </c>
      <c r="AG130">
        <v>0.77200000000000002</v>
      </c>
      <c r="AH130">
        <v>-0.68799999999999994</v>
      </c>
      <c r="AI130">
        <v>-8.0000000000000002E-3</v>
      </c>
      <c r="AJ130">
        <v>0.13300000000000001</v>
      </c>
      <c r="AK130">
        <v>-5.7000000000000002E-2</v>
      </c>
      <c r="AL130">
        <v>0.70299999999999996</v>
      </c>
      <c r="AM130">
        <v>-0.92800000000000005</v>
      </c>
      <c r="AN130">
        <v>-0.48099999999999998</v>
      </c>
      <c r="AO130">
        <v>0.72799999999999998</v>
      </c>
      <c r="AP130">
        <v>0.39700000000000002</v>
      </c>
      <c r="AQ130">
        <v>0.78300000000000003</v>
      </c>
      <c r="AR130">
        <v>0.151</v>
      </c>
      <c r="AS130">
        <v>-0.182</v>
      </c>
      <c r="AT130">
        <v>0.41599999999999998</v>
      </c>
      <c r="AU130">
        <v>3.7999999999999999E-2</v>
      </c>
      <c r="AV130">
        <v>-0.47199999999999998</v>
      </c>
      <c r="AW130">
        <v>7.9000000000000001E-2</v>
      </c>
      <c r="AX130">
        <v>-0.214</v>
      </c>
      <c r="AY130">
        <v>0.54700000000000004</v>
      </c>
      <c r="AZ130">
        <v>-0.67</v>
      </c>
      <c r="BA130">
        <v>0.51400000000000001</v>
      </c>
      <c r="BE130" s="20"/>
      <c r="BF130" s="21"/>
      <c r="BG130" s="21"/>
      <c r="BH130" s="21"/>
      <c r="BL130" t="s">
        <v>210</v>
      </c>
      <c r="BM130" t="s">
        <v>280</v>
      </c>
      <c r="BN130" t="s">
        <v>281</v>
      </c>
    </row>
    <row r="131" spans="1:66" ht="15" thickBot="1" x14ac:dyDescent="0.35">
      <c r="A131" t="s">
        <v>87</v>
      </c>
      <c r="B131">
        <v>2.512</v>
      </c>
      <c r="C131">
        <v>2.6890000000000001</v>
      </c>
      <c r="D131" t="s">
        <v>55</v>
      </c>
      <c r="E131">
        <v>0</v>
      </c>
      <c r="F131">
        <v>0</v>
      </c>
      <c r="G131">
        <v>0</v>
      </c>
      <c r="H131">
        <v>0.23400000000000001</v>
      </c>
      <c r="I131">
        <v>0.71099999999999997</v>
      </c>
      <c r="J131">
        <v>0.13500000000000001</v>
      </c>
      <c r="K131">
        <v>0.23499999999999999</v>
      </c>
      <c r="L131">
        <v>0.52500000000000002</v>
      </c>
      <c r="M131">
        <v>0.44</v>
      </c>
      <c r="N131">
        <v>0.755</v>
      </c>
      <c r="O131">
        <v>0.61699999999999999</v>
      </c>
      <c r="P131">
        <v>0.75800000000000001</v>
      </c>
      <c r="Q131">
        <v>0.76400000000000001</v>
      </c>
      <c r="R131">
        <v>0.92800000000000005</v>
      </c>
      <c r="S131">
        <v>0.84899999999999998</v>
      </c>
      <c r="T131">
        <v>0.89900000000000002</v>
      </c>
      <c r="U131">
        <v>-0.115</v>
      </c>
      <c r="V131">
        <v>-0.27500000000000002</v>
      </c>
      <c r="W131">
        <v>1</v>
      </c>
      <c r="X131">
        <v>0.248</v>
      </c>
      <c r="Y131">
        <v>1</v>
      </c>
      <c r="Z131">
        <v>-0.23899999999999999</v>
      </c>
      <c r="AA131">
        <v>-0.30499999999999999</v>
      </c>
      <c r="AB131">
        <v>0.28299999999999997</v>
      </c>
      <c r="AC131">
        <v>-0.155</v>
      </c>
      <c r="AD131">
        <v>-8.1000000000000003E-2</v>
      </c>
      <c r="AE131">
        <v>0.747</v>
      </c>
      <c r="AF131">
        <v>6.4000000000000001E-2</v>
      </c>
      <c r="AG131">
        <v>-0.126</v>
      </c>
      <c r="AH131">
        <v>-4.2999999999999997E-2</v>
      </c>
      <c r="AI131">
        <v>-3.9E-2</v>
      </c>
      <c r="AJ131">
        <v>-7.6999999999999999E-2</v>
      </c>
      <c r="AK131">
        <v>0.68799999999999994</v>
      </c>
      <c r="AL131">
        <v>-0.158</v>
      </c>
      <c r="AM131">
        <v>0.34499999999999997</v>
      </c>
      <c r="AN131">
        <v>-0.78200000000000003</v>
      </c>
      <c r="AO131">
        <v>0.314</v>
      </c>
      <c r="AP131">
        <v>-1.2E-2</v>
      </c>
      <c r="AQ131">
        <v>-0.189</v>
      </c>
      <c r="AR131">
        <v>0.18099999999999999</v>
      </c>
      <c r="AS131">
        <v>0.23499999999999999</v>
      </c>
      <c r="AT131">
        <v>0.35599999999999998</v>
      </c>
      <c r="AU131">
        <v>8.4000000000000005E-2</v>
      </c>
      <c r="AV131">
        <v>-0.185</v>
      </c>
      <c r="AW131">
        <v>0.72099999999999997</v>
      </c>
      <c r="AX131">
        <v>-0.51200000000000001</v>
      </c>
      <c r="AY131">
        <v>6.3E-2</v>
      </c>
      <c r="AZ131">
        <v>0.33300000000000002</v>
      </c>
      <c r="BA131">
        <v>0.28299999999999997</v>
      </c>
      <c r="BE131" s="20"/>
      <c r="BF131" s="21"/>
      <c r="BG131" s="21"/>
      <c r="BH131" s="21"/>
      <c r="BL131" t="s">
        <v>188</v>
      </c>
      <c r="BM131" t="s">
        <v>280</v>
      </c>
      <c r="BN131" t="s">
        <v>281</v>
      </c>
    </row>
    <row r="132" spans="1:66" ht="15" thickBot="1" x14ac:dyDescent="0.35">
      <c r="A132" t="s">
        <v>198</v>
      </c>
      <c r="B132">
        <v>0.58299999999999996</v>
      </c>
      <c r="C132">
        <v>0.42299999999999999</v>
      </c>
      <c r="D132" t="s">
        <v>57</v>
      </c>
      <c r="E132">
        <v>0</v>
      </c>
      <c r="F132">
        <v>0</v>
      </c>
      <c r="G132">
        <v>0</v>
      </c>
      <c r="H132">
        <v>-8.2000000000000003E-2</v>
      </c>
      <c r="I132">
        <v>-0.61699999999999999</v>
      </c>
      <c r="J132">
        <v>-0.24</v>
      </c>
      <c r="K132">
        <v>-0.251</v>
      </c>
      <c r="L132">
        <v>-0.54100000000000004</v>
      </c>
      <c r="M132">
        <v>-0.53900000000000003</v>
      </c>
      <c r="N132">
        <v>-0.49099999999999999</v>
      </c>
      <c r="O132">
        <v>-0.83399999999999996</v>
      </c>
      <c r="P132">
        <v>-1.6E-2</v>
      </c>
      <c r="Q132">
        <v>-1.9E-2</v>
      </c>
      <c r="R132">
        <v>0.41499999999999998</v>
      </c>
      <c r="S132">
        <v>-0.27600000000000002</v>
      </c>
      <c r="T132">
        <v>0.16500000000000001</v>
      </c>
      <c r="U132">
        <v>-4.0000000000000001E-3</v>
      </c>
      <c r="V132">
        <v>0.45200000000000001</v>
      </c>
      <c r="W132">
        <v>-0.71399999999999997</v>
      </c>
      <c r="X132">
        <v>8.9999999999999993E-3</v>
      </c>
      <c r="Y132">
        <v>-7.9000000000000001E-2</v>
      </c>
      <c r="Z132">
        <v>1</v>
      </c>
      <c r="AA132">
        <v>0.22600000000000001</v>
      </c>
      <c r="AB132">
        <v>-1</v>
      </c>
      <c r="AC132">
        <v>-0.47</v>
      </c>
      <c r="AD132">
        <v>0.59</v>
      </c>
      <c r="AE132">
        <v>-6.0999999999999999E-2</v>
      </c>
      <c r="AF132">
        <v>-0.876</v>
      </c>
      <c r="AG132">
        <v>0.83399999999999996</v>
      </c>
      <c r="AH132">
        <v>0.46500000000000002</v>
      </c>
      <c r="AI132">
        <v>0.23400000000000001</v>
      </c>
      <c r="AJ132">
        <v>0.253</v>
      </c>
      <c r="AK132">
        <v>0.32</v>
      </c>
      <c r="AL132">
        <v>0.54600000000000004</v>
      </c>
      <c r="AM132">
        <v>-0.76400000000000001</v>
      </c>
      <c r="AN132">
        <v>-0.129</v>
      </c>
      <c r="AO132">
        <v>-0.63500000000000001</v>
      </c>
      <c r="AP132">
        <v>-0.876</v>
      </c>
      <c r="AQ132">
        <v>-0.15</v>
      </c>
      <c r="AR132">
        <v>3.5999999999999997E-2</v>
      </c>
      <c r="AS132">
        <v>0.497</v>
      </c>
      <c r="AT132">
        <v>0.51300000000000001</v>
      </c>
      <c r="AU132">
        <v>0.123</v>
      </c>
      <c r="AV132">
        <v>-0.20899999999999999</v>
      </c>
      <c r="AW132">
        <v>0.28399999999999997</v>
      </c>
      <c r="AX132">
        <v>0.54900000000000004</v>
      </c>
      <c r="AY132">
        <v>6.8000000000000005E-2</v>
      </c>
      <c r="AZ132">
        <v>-0.70699999999999996</v>
      </c>
      <c r="BA132">
        <v>0.51100000000000001</v>
      </c>
      <c r="BE132" s="20"/>
      <c r="BF132" s="21"/>
      <c r="BG132" s="21"/>
      <c r="BH132" s="21"/>
      <c r="BL132" t="s">
        <v>209</v>
      </c>
      <c r="BM132" t="s">
        <v>280</v>
      </c>
      <c r="BN132" t="s">
        <v>281</v>
      </c>
    </row>
    <row r="133" spans="1:66" ht="15" thickBot="1" x14ac:dyDescent="0.35">
      <c r="A133" t="s">
        <v>52</v>
      </c>
      <c r="B133">
        <v>3.2610000000000001</v>
      </c>
      <c r="C133">
        <v>3.4009999999999998</v>
      </c>
      <c r="D133" t="s">
        <v>53</v>
      </c>
      <c r="E133">
        <v>0</v>
      </c>
      <c r="F133">
        <v>0</v>
      </c>
      <c r="G133">
        <v>0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0.90300000000000002</v>
      </c>
      <c r="P133">
        <v>0.81699999999999995</v>
      </c>
      <c r="Q133">
        <v>0.82599999999999996</v>
      </c>
      <c r="R133">
        <v>1</v>
      </c>
      <c r="S133">
        <v>1</v>
      </c>
      <c r="T133">
        <v>1</v>
      </c>
      <c r="U133">
        <v>1</v>
      </c>
      <c r="V133">
        <v>0.24099999999999999</v>
      </c>
      <c r="W133">
        <v>0.49</v>
      </c>
      <c r="X133">
        <v>0.44700000000000001</v>
      </c>
      <c r="Y133">
        <v>0.84099999999999997</v>
      </c>
      <c r="Z133">
        <v>1</v>
      </c>
      <c r="AA133">
        <v>0.47699999999999998</v>
      </c>
      <c r="AB133">
        <v>-0.27100000000000002</v>
      </c>
      <c r="AC133">
        <v>-0.23599999999999999</v>
      </c>
      <c r="AD133">
        <v>-5.6000000000000001E-2</v>
      </c>
      <c r="AE133">
        <v>0.114</v>
      </c>
      <c r="AF133">
        <v>1.4999999999999999E-2</v>
      </c>
      <c r="AG133">
        <v>0.30399999999999999</v>
      </c>
      <c r="AH133">
        <v>0.17299999999999999</v>
      </c>
      <c r="AI133">
        <v>0.23300000000000001</v>
      </c>
      <c r="AJ133">
        <v>0.84699999999999998</v>
      </c>
      <c r="AK133">
        <v>0.51700000000000002</v>
      </c>
      <c r="AL133">
        <v>0.75900000000000001</v>
      </c>
      <c r="AM133">
        <v>0.41799999999999998</v>
      </c>
      <c r="AN133">
        <v>-6.6000000000000003E-2</v>
      </c>
      <c r="AO133">
        <v>0.63600000000000001</v>
      </c>
      <c r="AP133">
        <v>1</v>
      </c>
      <c r="AQ133">
        <v>0.85099999999999998</v>
      </c>
      <c r="AR133">
        <v>-0.17699999999999999</v>
      </c>
      <c r="AS133">
        <v>6.0000000000000001E-3</v>
      </c>
      <c r="AT133">
        <v>0.39300000000000002</v>
      </c>
      <c r="AU133">
        <v>0.13400000000000001</v>
      </c>
      <c r="AV133">
        <v>0.78300000000000003</v>
      </c>
      <c r="AW133">
        <v>0.80900000000000005</v>
      </c>
      <c r="AX133">
        <v>-0.46899999999999997</v>
      </c>
      <c r="AY133">
        <v>-0.20200000000000001</v>
      </c>
      <c r="AZ133">
        <v>0.61499999999999999</v>
      </c>
      <c r="BA133">
        <v>0.79800000000000004</v>
      </c>
      <c r="BE133" s="20"/>
      <c r="BF133" s="21"/>
      <c r="BG133" s="21"/>
      <c r="BH133" s="21"/>
      <c r="BL133" t="s">
        <v>166</v>
      </c>
      <c r="BM133" t="s">
        <v>280</v>
      </c>
      <c r="BN133" t="s">
        <v>279</v>
      </c>
    </row>
    <row r="134" spans="1:66" ht="15" thickBot="1" x14ac:dyDescent="0.35">
      <c r="A134" t="s">
        <v>107</v>
      </c>
      <c r="B134">
        <v>0.95599999999999996</v>
      </c>
      <c r="C134">
        <v>1.1919999999999999</v>
      </c>
      <c r="D134" t="s">
        <v>53</v>
      </c>
      <c r="E134">
        <v>0</v>
      </c>
      <c r="F134">
        <v>0</v>
      </c>
      <c r="G134">
        <v>0</v>
      </c>
      <c r="H134">
        <v>-0.69</v>
      </c>
      <c r="I134">
        <v>-0.17299999999999999</v>
      </c>
      <c r="J134">
        <v>-0.86699999999999999</v>
      </c>
      <c r="K134">
        <v>-0.252</v>
      </c>
      <c r="L134">
        <v>-0.30599999999999999</v>
      </c>
      <c r="M134">
        <v>-0.192</v>
      </c>
      <c r="N134">
        <v>0.33700000000000002</v>
      </c>
      <c r="O134">
        <v>8.8999999999999996E-2</v>
      </c>
      <c r="P134">
        <v>0.49199999999999999</v>
      </c>
      <c r="Q134">
        <v>0.5</v>
      </c>
      <c r="R134">
        <v>0.70799999999999996</v>
      </c>
      <c r="S134">
        <v>0.86299999999999999</v>
      </c>
      <c r="T134">
        <v>0.54600000000000004</v>
      </c>
      <c r="U134">
        <v>-0.193</v>
      </c>
      <c r="V134">
        <v>-0.14000000000000001</v>
      </c>
      <c r="W134">
        <v>0.23400000000000001</v>
      </c>
      <c r="X134">
        <v>-0.91400000000000003</v>
      </c>
      <c r="Y134">
        <v>-0.57999999999999996</v>
      </c>
      <c r="Z134">
        <v>-0.54900000000000004</v>
      </c>
      <c r="AA134">
        <v>-0.312</v>
      </c>
      <c r="AB134">
        <v>9.2999999999999999E-2</v>
      </c>
      <c r="AC134">
        <v>-0.872</v>
      </c>
      <c r="AD134">
        <v>-0.20100000000000001</v>
      </c>
      <c r="AE134">
        <v>0.52600000000000002</v>
      </c>
      <c r="AF134">
        <v>0.61499999999999999</v>
      </c>
      <c r="AG134">
        <v>0.11899999999999999</v>
      </c>
      <c r="AH134">
        <v>1.0999999999999999E-2</v>
      </c>
      <c r="AI134">
        <v>-0.32100000000000001</v>
      </c>
      <c r="AJ134">
        <v>0.29099999999999998</v>
      </c>
      <c r="AK134">
        <v>0.33300000000000002</v>
      </c>
      <c r="AL134">
        <v>6.4000000000000001E-2</v>
      </c>
      <c r="AM134">
        <v>0.79400000000000004</v>
      </c>
      <c r="AN134">
        <v>3.4000000000000002E-2</v>
      </c>
      <c r="AO134">
        <v>0.88400000000000001</v>
      </c>
      <c r="AP134">
        <v>-1</v>
      </c>
      <c r="AQ134">
        <v>-3.5999999999999997E-2</v>
      </c>
      <c r="AR134">
        <v>-9.9000000000000005E-2</v>
      </c>
      <c r="AS134">
        <v>-0.223</v>
      </c>
      <c r="AT134">
        <v>-0.85899999999999999</v>
      </c>
      <c r="AU134">
        <v>0.24099999999999999</v>
      </c>
      <c r="AV134">
        <v>0.38900000000000001</v>
      </c>
      <c r="AW134">
        <v>0.73699999999999999</v>
      </c>
      <c r="AX134">
        <v>-0.70599999999999996</v>
      </c>
      <c r="AY134">
        <v>-0.36299999999999999</v>
      </c>
      <c r="AZ134">
        <v>0.20100000000000001</v>
      </c>
      <c r="BA134">
        <v>-0.48099999999999998</v>
      </c>
      <c r="BE134" s="20"/>
      <c r="BF134" s="21"/>
      <c r="BG134" s="21"/>
      <c r="BH134" s="21"/>
      <c r="BL134" t="s">
        <v>154</v>
      </c>
      <c r="BM134" t="s">
        <v>280</v>
      </c>
      <c r="BN134" t="s">
        <v>282</v>
      </c>
    </row>
    <row r="135" spans="1:66" ht="15" thickBot="1" x14ac:dyDescent="0.35">
      <c r="A135" t="s">
        <v>208</v>
      </c>
      <c r="B135">
        <v>0.59499999999999997</v>
      </c>
      <c r="C135">
        <v>0.436</v>
      </c>
      <c r="D135" t="s">
        <v>57</v>
      </c>
      <c r="E135">
        <v>0</v>
      </c>
      <c r="F135">
        <v>-3.0000000000000001E-3</v>
      </c>
      <c r="G135">
        <v>3.0000000000000001E-3</v>
      </c>
      <c r="H135">
        <v>-0.55300000000000005</v>
      </c>
      <c r="I135">
        <v>-0.52</v>
      </c>
      <c r="J135">
        <v>-0.73099999999999998</v>
      </c>
      <c r="K135">
        <v>-0.442</v>
      </c>
      <c r="L135">
        <v>-0.58099999999999996</v>
      </c>
      <c r="M135">
        <v>-0.71199999999999997</v>
      </c>
      <c r="N135">
        <v>-0.754</v>
      </c>
      <c r="O135">
        <v>-0.72599999999999998</v>
      </c>
      <c r="P135">
        <v>0.33</v>
      </c>
      <c r="Q135">
        <v>0.32900000000000001</v>
      </c>
      <c r="R135">
        <v>0.54600000000000004</v>
      </c>
      <c r="S135">
        <v>0.58799999999999997</v>
      </c>
      <c r="T135">
        <v>0.6</v>
      </c>
      <c r="U135">
        <v>-0.16500000000000001</v>
      </c>
      <c r="V135">
        <v>-0.253</v>
      </c>
      <c r="W135">
        <v>0.36299999999999999</v>
      </c>
      <c r="X135">
        <v>-0.434</v>
      </c>
      <c r="Y135">
        <v>0.45500000000000002</v>
      </c>
      <c r="Z135">
        <v>-0.84599999999999997</v>
      </c>
      <c r="AA135">
        <v>0.1</v>
      </c>
      <c r="AB135">
        <v>-0.433</v>
      </c>
      <c r="AC135">
        <v>-0.22600000000000001</v>
      </c>
      <c r="AD135">
        <v>0.13</v>
      </c>
      <c r="AE135">
        <v>0.44400000000000001</v>
      </c>
      <c r="AF135">
        <v>0.751</v>
      </c>
      <c r="AG135">
        <v>4.7E-2</v>
      </c>
      <c r="AH135">
        <v>0.27300000000000002</v>
      </c>
      <c r="AI135">
        <v>0.27500000000000002</v>
      </c>
      <c r="AJ135">
        <v>0.221</v>
      </c>
      <c r="AK135">
        <v>-0.27900000000000003</v>
      </c>
      <c r="AL135">
        <v>-4.7E-2</v>
      </c>
      <c r="AM135">
        <v>-0.92600000000000005</v>
      </c>
      <c r="AN135">
        <v>-0.54300000000000004</v>
      </c>
      <c r="AO135">
        <v>9.8000000000000004E-2</v>
      </c>
      <c r="AP135">
        <v>-2.1999999999999999E-2</v>
      </c>
      <c r="AQ135">
        <v>-0.435</v>
      </c>
      <c r="AR135">
        <v>-0.23699999999999999</v>
      </c>
      <c r="AS135">
        <v>-0.60899999999999999</v>
      </c>
      <c r="AT135">
        <v>0.59199999999999997</v>
      </c>
      <c r="AU135">
        <v>-0.45900000000000002</v>
      </c>
      <c r="AV135">
        <v>-0.17</v>
      </c>
      <c r="AW135">
        <v>-0.187</v>
      </c>
      <c r="AX135">
        <v>-0.35099999999999998</v>
      </c>
      <c r="AY135">
        <v>0.69699999999999995</v>
      </c>
      <c r="AZ135">
        <v>-0.55500000000000005</v>
      </c>
      <c r="BA135">
        <v>8.3000000000000004E-2</v>
      </c>
      <c r="BE135" s="20"/>
      <c r="BF135" s="21"/>
      <c r="BG135" s="21"/>
      <c r="BH135" s="21"/>
      <c r="BL135" t="s">
        <v>69</v>
      </c>
      <c r="BM135" t="s">
        <v>286</v>
      </c>
      <c r="BN135" t="s">
        <v>281</v>
      </c>
    </row>
    <row r="136" spans="1:66" ht="15" thickBot="1" x14ac:dyDescent="0.35">
      <c r="A136" t="s">
        <v>266</v>
      </c>
      <c r="B136">
        <v>0.46800000000000003</v>
      </c>
      <c r="C136">
        <v>0.33200000000000002</v>
      </c>
      <c r="D136" t="s">
        <v>57</v>
      </c>
      <c r="E136">
        <v>0</v>
      </c>
      <c r="F136">
        <v>0</v>
      </c>
      <c r="G136">
        <v>0</v>
      </c>
      <c r="H136">
        <v>-1</v>
      </c>
      <c r="I136">
        <v>-1</v>
      </c>
      <c r="J136">
        <v>-0.96799999999999997</v>
      </c>
      <c r="K136">
        <v>-1</v>
      </c>
      <c r="L136">
        <v>-1</v>
      </c>
      <c r="M136">
        <v>-1</v>
      </c>
      <c r="N136">
        <v>-1</v>
      </c>
      <c r="O136">
        <v>-0.998</v>
      </c>
      <c r="P136">
        <v>-1</v>
      </c>
      <c r="Q136">
        <v>-1</v>
      </c>
      <c r="R136">
        <v>-0.746</v>
      </c>
      <c r="S136">
        <v>-0.76600000000000001</v>
      </c>
      <c r="T136">
        <v>-1</v>
      </c>
      <c r="U136">
        <v>-1</v>
      </c>
      <c r="V136">
        <v>-0.82599999999999996</v>
      </c>
      <c r="W136">
        <v>-1</v>
      </c>
      <c r="X136">
        <v>-0.122</v>
      </c>
      <c r="Y136">
        <v>-0.49399999999999999</v>
      </c>
      <c r="Z136">
        <v>0.23</v>
      </c>
      <c r="AA136">
        <v>-0.33</v>
      </c>
      <c r="AB136">
        <v>-0.75700000000000001</v>
      </c>
      <c r="AC136">
        <v>-0.53700000000000003</v>
      </c>
      <c r="AD136">
        <v>-0.64300000000000002</v>
      </c>
      <c r="AE136">
        <v>-0.74199999999999999</v>
      </c>
      <c r="AF136">
        <v>-1</v>
      </c>
      <c r="AG136">
        <v>-0.32100000000000001</v>
      </c>
      <c r="AH136">
        <v>-1</v>
      </c>
      <c r="AI136">
        <v>-0.38600000000000001</v>
      </c>
      <c r="AJ136">
        <v>-0.41399999999999998</v>
      </c>
      <c r="AK136">
        <v>-0.27100000000000002</v>
      </c>
      <c r="AL136">
        <v>-0.70599999999999996</v>
      </c>
      <c r="AM136">
        <v>-0.42599999999999999</v>
      </c>
      <c r="AN136">
        <v>0.109</v>
      </c>
      <c r="AO136">
        <v>0.13</v>
      </c>
      <c r="AP136">
        <v>-0.59499999999999997</v>
      </c>
      <c r="AQ136">
        <v>-0.151</v>
      </c>
      <c r="AR136">
        <v>0.47799999999999998</v>
      </c>
      <c r="AS136">
        <v>-0.23</v>
      </c>
      <c r="AT136">
        <v>-4.3999999999999997E-2</v>
      </c>
      <c r="AU136">
        <v>-0.60499999999999998</v>
      </c>
      <c r="AV136">
        <v>-0.81299999999999994</v>
      </c>
      <c r="AW136">
        <v>-1</v>
      </c>
      <c r="AX136">
        <v>0.55800000000000005</v>
      </c>
      <c r="AY136">
        <v>0.32500000000000001</v>
      </c>
      <c r="AZ136">
        <v>-0.17599999999999999</v>
      </c>
      <c r="BA136">
        <v>1</v>
      </c>
      <c r="BE136" s="20"/>
      <c r="BF136" s="21"/>
      <c r="BG136" s="21"/>
      <c r="BH136" s="21"/>
      <c r="BL136" t="s">
        <v>150</v>
      </c>
      <c r="BM136" t="s">
        <v>290</v>
      </c>
      <c r="BN136" t="s">
        <v>283</v>
      </c>
    </row>
    <row r="137" spans="1:66" ht="15" thickBot="1" x14ac:dyDescent="0.35">
      <c r="A137" t="s">
        <v>214</v>
      </c>
      <c r="B137">
        <v>0.73799999999999999</v>
      </c>
      <c r="C137">
        <v>0.72299999999999998</v>
      </c>
      <c r="D137" t="s">
        <v>53</v>
      </c>
      <c r="E137">
        <v>0</v>
      </c>
      <c r="F137">
        <v>0</v>
      </c>
      <c r="G137">
        <v>0</v>
      </c>
      <c r="H137">
        <v>-0.312</v>
      </c>
      <c r="I137">
        <v>-7.9000000000000001E-2</v>
      </c>
      <c r="J137">
        <v>-0.58399999999999996</v>
      </c>
      <c r="K137">
        <v>-0.41799999999999998</v>
      </c>
      <c r="L137">
        <v>-0.39400000000000002</v>
      </c>
      <c r="M137">
        <v>-0.28000000000000003</v>
      </c>
      <c r="N137">
        <v>-5.2999999999999999E-2</v>
      </c>
      <c r="O137">
        <v>-0.60899999999999999</v>
      </c>
      <c r="P137">
        <v>0.36299999999999999</v>
      </c>
      <c r="Q137">
        <v>0.36899999999999999</v>
      </c>
      <c r="R137">
        <v>0.63</v>
      </c>
      <c r="S137">
        <v>0.88900000000000001</v>
      </c>
      <c r="T137">
        <v>0.54200000000000004</v>
      </c>
      <c r="U137">
        <v>-0.42299999999999999</v>
      </c>
      <c r="V137">
        <v>-0.215</v>
      </c>
      <c r="W137">
        <v>0.10100000000000001</v>
      </c>
      <c r="X137">
        <v>-0.47599999999999998</v>
      </c>
      <c r="Y137">
        <v>-7.0000000000000001E-3</v>
      </c>
      <c r="Z137">
        <v>5.8000000000000003E-2</v>
      </c>
      <c r="AA137">
        <v>-0.156</v>
      </c>
      <c r="AB137">
        <v>-0.93400000000000005</v>
      </c>
      <c r="AC137">
        <v>-0.26</v>
      </c>
      <c r="AD137">
        <v>0.35399999999999998</v>
      </c>
      <c r="AE137">
        <v>0.184</v>
      </c>
      <c r="AF137">
        <v>0.39600000000000002</v>
      </c>
      <c r="AG137">
        <v>0.51100000000000001</v>
      </c>
      <c r="AH137">
        <v>-0.71199999999999997</v>
      </c>
      <c r="AI137">
        <v>-0.28999999999999998</v>
      </c>
      <c r="AJ137">
        <v>0.25700000000000001</v>
      </c>
      <c r="AK137">
        <v>0.23699999999999999</v>
      </c>
      <c r="AL137">
        <v>-0.111</v>
      </c>
      <c r="AM137">
        <v>0.28599999999999998</v>
      </c>
      <c r="AN137">
        <v>0.30199999999999999</v>
      </c>
      <c r="AO137">
        <v>0.86799999999999999</v>
      </c>
      <c r="AP137">
        <v>-0.27700000000000002</v>
      </c>
      <c r="AQ137">
        <v>0.01</v>
      </c>
      <c r="AR137">
        <v>0.129</v>
      </c>
      <c r="AS137">
        <v>-6.7000000000000004E-2</v>
      </c>
      <c r="AT137">
        <v>0.66600000000000004</v>
      </c>
      <c r="AU137">
        <v>6.7000000000000004E-2</v>
      </c>
      <c r="AV137">
        <v>-0.16600000000000001</v>
      </c>
      <c r="AW137">
        <v>0.70199999999999996</v>
      </c>
      <c r="AX137">
        <v>-0.16</v>
      </c>
      <c r="AY137">
        <v>-0.14599999999999999</v>
      </c>
      <c r="AZ137">
        <v>-0.255</v>
      </c>
      <c r="BA137">
        <v>0.60299999999999998</v>
      </c>
      <c r="BE137" s="20"/>
      <c r="BF137" s="21"/>
      <c r="BG137" s="21"/>
      <c r="BH137" s="21"/>
      <c r="BL137" t="s">
        <v>170</v>
      </c>
      <c r="BM137" t="s">
        <v>296</v>
      </c>
      <c r="BN137" t="s">
        <v>281</v>
      </c>
    </row>
    <row r="138" spans="1:66" ht="15" thickBot="1" x14ac:dyDescent="0.35">
      <c r="A138" t="s">
        <v>223</v>
      </c>
      <c r="B138">
        <v>0.52400000000000002</v>
      </c>
      <c r="C138">
        <v>0.58099999999999996</v>
      </c>
      <c r="D138" t="s">
        <v>68</v>
      </c>
      <c r="E138">
        <v>0</v>
      </c>
      <c r="F138">
        <v>0</v>
      </c>
      <c r="G138">
        <v>0</v>
      </c>
      <c r="H138">
        <v>-0.91400000000000003</v>
      </c>
      <c r="I138">
        <v>-0.75800000000000001</v>
      </c>
      <c r="J138">
        <v>-0.878</v>
      </c>
      <c r="K138">
        <v>-0.9</v>
      </c>
      <c r="L138">
        <v>-0.83199999999999996</v>
      </c>
      <c r="M138">
        <v>-0.86299999999999999</v>
      </c>
      <c r="N138">
        <v>-0.78700000000000003</v>
      </c>
      <c r="O138">
        <v>-0.82299999999999995</v>
      </c>
      <c r="P138">
        <v>0.219</v>
      </c>
      <c r="Q138">
        <v>0.216</v>
      </c>
      <c r="R138">
        <v>0.30499999999999999</v>
      </c>
      <c r="S138">
        <v>0.214</v>
      </c>
      <c r="T138">
        <v>0.24099999999999999</v>
      </c>
      <c r="U138">
        <v>-0.92400000000000004</v>
      </c>
      <c r="V138">
        <v>-1</v>
      </c>
      <c r="W138">
        <v>-0.108</v>
      </c>
      <c r="X138">
        <v>-0.45200000000000001</v>
      </c>
      <c r="Y138">
        <v>1</v>
      </c>
      <c r="Z138">
        <v>-0.55400000000000005</v>
      </c>
      <c r="AA138">
        <v>-0.31</v>
      </c>
      <c r="AB138">
        <v>-0.95</v>
      </c>
      <c r="AC138">
        <v>-0.57999999999999996</v>
      </c>
      <c r="AD138">
        <v>-0.379</v>
      </c>
      <c r="AE138">
        <v>0.436</v>
      </c>
      <c r="AF138">
        <v>0.95699999999999996</v>
      </c>
      <c r="AG138">
        <v>-0.78600000000000003</v>
      </c>
      <c r="AH138">
        <v>-1</v>
      </c>
      <c r="AI138">
        <v>-0.85799999999999998</v>
      </c>
      <c r="AJ138">
        <v>0.185</v>
      </c>
      <c r="AK138">
        <v>-0.35699999999999998</v>
      </c>
      <c r="AL138">
        <v>-0.42499999999999999</v>
      </c>
      <c r="AM138">
        <v>0.56699999999999995</v>
      </c>
      <c r="AN138">
        <v>-0.14799999999999999</v>
      </c>
      <c r="AO138">
        <v>0.82899999999999996</v>
      </c>
      <c r="AP138">
        <v>-0.55700000000000005</v>
      </c>
      <c r="AQ138">
        <v>-0.126</v>
      </c>
      <c r="AR138">
        <v>-1</v>
      </c>
      <c r="AS138">
        <v>-0.77700000000000002</v>
      </c>
      <c r="AT138">
        <v>-0.67300000000000004</v>
      </c>
      <c r="AU138">
        <v>-0.107</v>
      </c>
      <c r="AV138">
        <v>-0.41299999999999998</v>
      </c>
      <c r="AW138">
        <v>0.52500000000000002</v>
      </c>
      <c r="AX138">
        <v>-0.67800000000000005</v>
      </c>
      <c r="AY138">
        <v>0.39700000000000002</v>
      </c>
      <c r="AZ138">
        <v>0.11799999999999999</v>
      </c>
      <c r="BA138">
        <v>0.436</v>
      </c>
      <c r="BE138" s="20"/>
      <c r="BF138" s="21"/>
      <c r="BG138" s="21"/>
      <c r="BH138" s="21"/>
      <c r="BL138" t="s">
        <v>257</v>
      </c>
      <c r="BM138" t="s">
        <v>285</v>
      </c>
      <c r="BN138" t="s">
        <v>287</v>
      </c>
    </row>
    <row r="139" spans="1:66" ht="15" thickBot="1" x14ac:dyDescent="0.35">
      <c r="A139" t="s">
        <v>221</v>
      </c>
      <c r="B139">
        <v>0.53500000000000003</v>
      </c>
      <c r="C139">
        <v>0.57899999999999996</v>
      </c>
      <c r="D139" t="s">
        <v>57</v>
      </c>
      <c r="E139">
        <v>0</v>
      </c>
      <c r="F139">
        <v>0</v>
      </c>
      <c r="G139">
        <v>0</v>
      </c>
      <c r="H139">
        <v>-0.79900000000000004</v>
      </c>
      <c r="I139">
        <v>-0.77800000000000002</v>
      </c>
      <c r="J139">
        <v>-0.90300000000000002</v>
      </c>
      <c r="K139">
        <v>-0.71799999999999997</v>
      </c>
      <c r="L139">
        <v>-0.79500000000000004</v>
      </c>
      <c r="M139">
        <v>-0.65</v>
      </c>
      <c r="N139">
        <v>-0.36699999999999999</v>
      </c>
      <c r="O139">
        <v>-0.74099999999999999</v>
      </c>
      <c r="P139">
        <v>7.3999999999999996E-2</v>
      </c>
      <c r="Q139">
        <v>7.0999999999999994E-2</v>
      </c>
      <c r="R139">
        <v>0.32500000000000001</v>
      </c>
      <c r="S139">
        <v>0.39500000000000002</v>
      </c>
      <c r="T139">
        <v>6.5000000000000002E-2</v>
      </c>
      <c r="U139">
        <v>-0.35399999999999998</v>
      </c>
      <c r="V139">
        <v>0.24299999999999999</v>
      </c>
      <c r="W139">
        <v>-1</v>
      </c>
      <c r="X139">
        <v>-0.77900000000000003</v>
      </c>
      <c r="Y139">
        <v>-1</v>
      </c>
      <c r="Z139">
        <v>-0.34599999999999997</v>
      </c>
      <c r="AA139">
        <v>-0.14699999999999999</v>
      </c>
      <c r="AB139">
        <v>-0.45400000000000001</v>
      </c>
      <c r="AC139">
        <v>-0.46700000000000003</v>
      </c>
      <c r="AD139">
        <v>0.66300000000000003</v>
      </c>
      <c r="AE139">
        <v>-0.80200000000000005</v>
      </c>
      <c r="AF139">
        <v>-0.81499999999999995</v>
      </c>
      <c r="AG139">
        <v>1</v>
      </c>
      <c r="AH139">
        <v>0.17299999999999999</v>
      </c>
      <c r="AI139">
        <v>-3.6999999999999998E-2</v>
      </c>
      <c r="AJ139">
        <v>0.109</v>
      </c>
      <c r="AK139">
        <v>4.4999999999999998E-2</v>
      </c>
      <c r="AL139">
        <v>0.20899999999999999</v>
      </c>
      <c r="AM139">
        <v>6.5000000000000002E-2</v>
      </c>
      <c r="AN139">
        <v>-3.5999999999999997E-2</v>
      </c>
      <c r="AO139">
        <v>0.76500000000000001</v>
      </c>
      <c r="AP139">
        <v>-0.48799999999999999</v>
      </c>
      <c r="AQ139">
        <v>0.315</v>
      </c>
      <c r="AR139">
        <v>-0.4</v>
      </c>
      <c r="AS139">
        <v>-0.42499999999999999</v>
      </c>
      <c r="AT139">
        <v>-0.29699999999999999</v>
      </c>
      <c r="AU139">
        <v>0.313</v>
      </c>
      <c r="AV139">
        <v>-0.24399999999999999</v>
      </c>
      <c r="AW139">
        <v>0.65</v>
      </c>
      <c r="AX139">
        <v>-0.18</v>
      </c>
      <c r="AY139">
        <v>-7.4999999999999997E-2</v>
      </c>
      <c r="AZ139">
        <v>-0.51800000000000002</v>
      </c>
      <c r="BA139">
        <v>-9.8000000000000004E-2</v>
      </c>
      <c r="BE139" s="20"/>
      <c r="BF139" s="21"/>
      <c r="BG139" s="21"/>
      <c r="BH139" s="21"/>
      <c r="BL139" t="s">
        <v>235</v>
      </c>
      <c r="BM139" t="s">
        <v>289</v>
      </c>
      <c r="BN139" t="s">
        <v>282</v>
      </c>
    </row>
    <row r="140" spans="1:66" ht="15" thickBot="1" x14ac:dyDescent="0.35">
      <c r="A140" t="s">
        <v>243</v>
      </c>
      <c r="B140">
        <v>0.48499999999999999</v>
      </c>
      <c r="C140">
        <v>0.34399999999999997</v>
      </c>
      <c r="D140" t="s">
        <v>53</v>
      </c>
      <c r="E140">
        <v>0</v>
      </c>
      <c r="F140">
        <v>0</v>
      </c>
      <c r="G140">
        <v>0</v>
      </c>
      <c r="H140">
        <v>-0.71899999999999997</v>
      </c>
      <c r="I140">
        <v>-0.91400000000000003</v>
      </c>
      <c r="J140">
        <v>-0.72399999999999998</v>
      </c>
      <c r="K140">
        <v>-0.67100000000000004</v>
      </c>
      <c r="L140">
        <v>-0.83799999999999997</v>
      </c>
      <c r="M140">
        <v>-0.89300000000000002</v>
      </c>
      <c r="N140">
        <v>-0.92700000000000005</v>
      </c>
      <c r="O140">
        <v>-0.94799999999999995</v>
      </c>
      <c r="P140">
        <v>-0.23400000000000001</v>
      </c>
      <c r="Q140">
        <v>-0.23899999999999999</v>
      </c>
      <c r="R140">
        <v>-1</v>
      </c>
      <c r="S140">
        <v>-1</v>
      </c>
      <c r="T140">
        <v>-0.6</v>
      </c>
      <c r="U140">
        <v>0.217</v>
      </c>
      <c r="V140">
        <v>1</v>
      </c>
      <c r="W140">
        <v>-0.57599999999999996</v>
      </c>
      <c r="X140">
        <v>-1.0999999999999999E-2</v>
      </c>
      <c r="Y140">
        <v>-0.91400000000000003</v>
      </c>
      <c r="Z140">
        <v>-0.57699999999999996</v>
      </c>
      <c r="AA140">
        <v>0.51400000000000001</v>
      </c>
      <c r="AB140">
        <v>-1</v>
      </c>
      <c r="AC140">
        <v>0.91</v>
      </c>
      <c r="AD140">
        <v>0.17599999999999999</v>
      </c>
      <c r="AE140">
        <v>-1</v>
      </c>
      <c r="AF140">
        <v>-0.72399999999999998</v>
      </c>
      <c r="AG140">
        <v>0.35499999999999998</v>
      </c>
      <c r="AH140">
        <v>0.63400000000000001</v>
      </c>
      <c r="AI140">
        <v>0.67400000000000004</v>
      </c>
      <c r="AJ140">
        <v>-0.121</v>
      </c>
      <c r="AK140">
        <v>-0.51300000000000001</v>
      </c>
      <c r="AL140">
        <v>-2.5999999999999999E-2</v>
      </c>
      <c r="AM140">
        <v>-0.751</v>
      </c>
      <c r="AN140">
        <v>-0.36299999999999999</v>
      </c>
      <c r="AO140">
        <v>0.58299999999999996</v>
      </c>
      <c r="AP140">
        <v>-0.02</v>
      </c>
      <c r="AQ140">
        <v>-0.84899999999999998</v>
      </c>
      <c r="AR140">
        <v>0.24399999999999999</v>
      </c>
      <c r="AS140">
        <v>-9.0999999999999998E-2</v>
      </c>
      <c r="AT140">
        <v>-2E-3</v>
      </c>
      <c r="AU140">
        <v>-1</v>
      </c>
      <c r="AV140">
        <v>-0.72299999999999998</v>
      </c>
      <c r="AW140">
        <v>-0.93500000000000005</v>
      </c>
      <c r="AX140">
        <v>0.95099999999999996</v>
      </c>
      <c r="AY140">
        <v>0.44600000000000001</v>
      </c>
      <c r="AZ140">
        <v>-0.96499999999999997</v>
      </c>
      <c r="BA140">
        <v>-3.0000000000000001E-3</v>
      </c>
      <c r="BE140" s="20"/>
      <c r="BF140" s="21"/>
      <c r="BG140" s="21"/>
      <c r="BH140" s="21"/>
      <c r="BL140" t="s">
        <v>197</v>
      </c>
      <c r="BM140" t="s">
        <v>290</v>
      </c>
      <c r="BN140" t="s">
        <v>282</v>
      </c>
    </row>
    <row r="141" spans="1:66" ht="15" thickBot="1" x14ac:dyDescent="0.35">
      <c r="A141" t="s">
        <v>188</v>
      </c>
      <c r="B141">
        <v>1.4339999999999999</v>
      </c>
      <c r="C141">
        <v>1.778</v>
      </c>
      <c r="D141" t="s">
        <v>55</v>
      </c>
      <c r="E141">
        <v>0</v>
      </c>
      <c r="F141">
        <v>0</v>
      </c>
      <c r="G141">
        <v>0</v>
      </c>
      <c r="H141">
        <v>-0.26400000000000001</v>
      </c>
      <c r="I141">
        <v>0.48</v>
      </c>
      <c r="J141">
        <v>-0.64900000000000002</v>
      </c>
      <c r="K141">
        <v>-0.22800000000000001</v>
      </c>
      <c r="L141">
        <v>-7.0000000000000001E-3</v>
      </c>
      <c r="M141">
        <v>8.4000000000000005E-2</v>
      </c>
      <c r="N141">
        <v>0.158</v>
      </c>
      <c r="O141">
        <v>0.112</v>
      </c>
      <c r="P141">
        <v>0.63</v>
      </c>
      <c r="Q141">
        <v>0.63800000000000001</v>
      </c>
      <c r="R141">
        <v>0.72</v>
      </c>
      <c r="S141">
        <v>0.82299999999999995</v>
      </c>
      <c r="T141">
        <v>0.71</v>
      </c>
      <c r="U141">
        <v>-0.65700000000000003</v>
      </c>
      <c r="V141">
        <v>-0.442</v>
      </c>
      <c r="W141">
        <v>0.55700000000000005</v>
      </c>
      <c r="X141">
        <v>-1</v>
      </c>
      <c r="Y141">
        <v>-0.57999999999999996</v>
      </c>
      <c r="Z141">
        <v>-0.998</v>
      </c>
      <c r="AA141">
        <v>-0.371</v>
      </c>
      <c r="AB141">
        <v>-0.36399999999999999</v>
      </c>
      <c r="AC141">
        <v>-0.56399999999999995</v>
      </c>
      <c r="AD141">
        <v>-0.52700000000000002</v>
      </c>
      <c r="AE141">
        <v>0.82599999999999996</v>
      </c>
      <c r="AF141">
        <v>0.90900000000000003</v>
      </c>
      <c r="AG141">
        <v>0.13900000000000001</v>
      </c>
      <c r="AH141">
        <v>1</v>
      </c>
      <c r="AI141">
        <v>0.31</v>
      </c>
      <c r="AJ141">
        <v>-4.8000000000000001E-2</v>
      </c>
      <c r="AK141">
        <v>-3.0000000000000001E-3</v>
      </c>
      <c r="AL141">
        <v>-9.8000000000000004E-2</v>
      </c>
      <c r="AM141">
        <v>0.35799999999999998</v>
      </c>
      <c r="AN141">
        <v>-0.68400000000000005</v>
      </c>
      <c r="AO141">
        <v>0.74399999999999999</v>
      </c>
      <c r="AP141">
        <v>0.92600000000000005</v>
      </c>
      <c r="AQ141">
        <v>0.61599999999999999</v>
      </c>
      <c r="AR141">
        <v>0.12</v>
      </c>
      <c r="AS141">
        <v>-0.26100000000000001</v>
      </c>
      <c r="AT141">
        <v>0.63</v>
      </c>
      <c r="AU141">
        <v>-0.32100000000000001</v>
      </c>
      <c r="AV141">
        <v>5.0999999999999997E-2</v>
      </c>
      <c r="AW141">
        <v>0.69499999999999995</v>
      </c>
      <c r="AX141">
        <v>-0.73899999999999999</v>
      </c>
      <c r="AY141">
        <v>6.5000000000000002E-2</v>
      </c>
      <c r="AZ141">
        <v>0.182</v>
      </c>
      <c r="BA141">
        <v>-1</v>
      </c>
      <c r="BE141" s="20"/>
      <c r="BF141" s="21"/>
      <c r="BG141" s="21"/>
      <c r="BH141" s="21"/>
      <c r="BL141" t="s">
        <v>176</v>
      </c>
      <c r="BM141" t="s">
        <v>289</v>
      </c>
      <c r="BN141" t="s">
        <v>287</v>
      </c>
    </row>
    <row r="142" spans="1:66" ht="15" thickBot="1" x14ac:dyDescent="0.35">
      <c r="A142" t="s">
        <v>209</v>
      </c>
      <c r="B142">
        <v>0.73499999999999999</v>
      </c>
      <c r="C142">
        <v>1.1279999999999999</v>
      </c>
      <c r="D142" t="s">
        <v>55</v>
      </c>
      <c r="E142">
        <v>0</v>
      </c>
      <c r="F142">
        <v>-6.0000000000000001E-3</v>
      </c>
      <c r="G142">
        <v>6.0000000000000001E-3</v>
      </c>
      <c r="H142">
        <v>-0.57899999999999996</v>
      </c>
      <c r="I142">
        <v>3.6999999999999998E-2</v>
      </c>
      <c r="J142">
        <v>-0.80700000000000005</v>
      </c>
      <c r="K142">
        <v>-0.59399999999999997</v>
      </c>
      <c r="L142">
        <v>-0.438</v>
      </c>
      <c r="M142">
        <v>-0.32</v>
      </c>
      <c r="N142">
        <v>-0.19400000000000001</v>
      </c>
      <c r="O142">
        <v>-0.38800000000000001</v>
      </c>
      <c r="P142">
        <v>0.47</v>
      </c>
      <c r="Q142">
        <v>0.48099999999999998</v>
      </c>
      <c r="R142">
        <v>0.67</v>
      </c>
      <c r="S142">
        <v>0.92300000000000004</v>
      </c>
      <c r="T142">
        <v>0.62</v>
      </c>
      <c r="U142">
        <v>-1</v>
      </c>
      <c r="V142">
        <v>-0.45700000000000002</v>
      </c>
      <c r="W142">
        <v>0.31</v>
      </c>
      <c r="X142">
        <v>-1</v>
      </c>
      <c r="Y142">
        <v>-0.66100000000000003</v>
      </c>
      <c r="Z142">
        <v>-0.96299999999999997</v>
      </c>
      <c r="AA142">
        <v>-0.371</v>
      </c>
      <c r="AB142">
        <v>-0.67900000000000005</v>
      </c>
      <c r="AC142">
        <v>-0.56399999999999995</v>
      </c>
      <c r="AD142">
        <v>-0.52300000000000002</v>
      </c>
      <c r="AE142">
        <v>0.69899999999999995</v>
      </c>
      <c r="AF142">
        <v>0.74199999999999999</v>
      </c>
      <c r="AG142">
        <v>0.21199999999999999</v>
      </c>
      <c r="AH142">
        <v>0.80500000000000005</v>
      </c>
      <c r="AI142">
        <v>0.30599999999999999</v>
      </c>
      <c r="AJ142">
        <v>0.20100000000000001</v>
      </c>
      <c r="AK142">
        <v>-3.0000000000000001E-3</v>
      </c>
      <c r="AL142">
        <v>-0.69</v>
      </c>
      <c r="AM142">
        <v>0.51100000000000001</v>
      </c>
      <c r="AN142">
        <v>-0.68799999999999994</v>
      </c>
      <c r="AO142">
        <v>0.83899999999999997</v>
      </c>
      <c r="AP142">
        <v>0.40300000000000002</v>
      </c>
      <c r="AQ142">
        <v>0.70599999999999996</v>
      </c>
      <c r="AR142">
        <v>-3.5999999999999997E-2</v>
      </c>
      <c r="AS142">
        <v>3.1E-2</v>
      </c>
      <c r="AT142">
        <v>0.36399999999999999</v>
      </c>
      <c r="AU142">
        <v>-0.26500000000000001</v>
      </c>
      <c r="AV142">
        <v>0.13100000000000001</v>
      </c>
      <c r="AW142">
        <v>0.55100000000000005</v>
      </c>
      <c r="AX142">
        <v>-0.76300000000000001</v>
      </c>
      <c r="AY142">
        <v>0.16500000000000001</v>
      </c>
      <c r="AZ142">
        <v>0.19700000000000001</v>
      </c>
      <c r="BA142">
        <v>-1</v>
      </c>
      <c r="BE142" s="20"/>
      <c r="BF142" s="21"/>
      <c r="BG142" s="21"/>
      <c r="BH142" s="21"/>
      <c r="BL142" t="s">
        <v>86</v>
      </c>
      <c r="BM142" t="s">
        <v>294</v>
      </c>
      <c r="BN142" t="s">
        <v>283</v>
      </c>
    </row>
    <row r="143" spans="1:66" ht="15" thickBot="1" x14ac:dyDescent="0.35">
      <c r="A143" t="s">
        <v>166</v>
      </c>
      <c r="B143">
        <v>1.105</v>
      </c>
      <c r="C143">
        <v>1.179</v>
      </c>
      <c r="D143" t="s">
        <v>55</v>
      </c>
      <c r="E143">
        <v>0</v>
      </c>
      <c r="F143">
        <v>0</v>
      </c>
      <c r="G143">
        <v>0</v>
      </c>
      <c r="H143">
        <v>-0.67400000000000004</v>
      </c>
      <c r="I143">
        <v>-0.02</v>
      </c>
      <c r="J143">
        <v>-0.7</v>
      </c>
      <c r="K143">
        <v>-0.47</v>
      </c>
      <c r="L143">
        <v>-0.20899999999999999</v>
      </c>
      <c r="M143">
        <v>-0.22600000000000001</v>
      </c>
      <c r="N143">
        <v>-7.8E-2</v>
      </c>
      <c r="O143">
        <v>0.26600000000000001</v>
      </c>
      <c r="P143">
        <v>0.82799999999999996</v>
      </c>
      <c r="Q143">
        <v>0.83399999999999996</v>
      </c>
      <c r="R143">
        <v>0.69099999999999995</v>
      </c>
      <c r="S143">
        <v>0.77300000000000002</v>
      </c>
      <c r="T143">
        <v>0.60599999999999998</v>
      </c>
      <c r="U143">
        <v>-0.67600000000000005</v>
      </c>
      <c r="V143">
        <v>-0.53800000000000003</v>
      </c>
      <c r="W143">
        <v>0.27700000000000002</v>
      </c>
      <c r="X143">
        <v>-0.90100000000000002</v>
      </c>
      <c r="Y143">
        <v>-0.64800000000000002</v>
      </c>
      <c r="Z143">
        <v>-0.95399999999999996</v>
      </c>
      <c r="AA143">
        <v>-0.38400000000000001</v>
      </c>
      <c r="AB143">
        <v>0.29899999999999999</v>
      </c>
      <c r="AC143">
        <v>-0.51900000000000002</v>
      </c>
      <c r="AD143">
        <v>-0.621</v>
      </c>
      <c r="AE143">
        <v>0.54200000000000004</v>
      </c>
      <c r="AF143">
        <v>0.78400000000000003</v>
      </c>
      <c r="AG143">
        <v>-0.106</v>
      </c>
      <c r="AH143">
        <v>0.38800000000000001</v>
      </c>
      <c r="AI143">
        <v>-0.15</v>
      </c>
      <c r="AJ143">
        <v>0.33600000000000002</v>
      </c>
      <c r="AK143">
        <v>-0.27300000000000002</v>
      </c>
      <c r="AL143">
        <v>-0.28499999999999998</v>
      </c>
      <c r="AM143">
        <v>0.61899999999999999</v>
      </c>
      <c r="AN143">
        <v>-0.55800000000000005</v>
      </c>
      <c r="AO143">
        <v>0.90800000000000003</v>
      </c>
      <c r="AP143">
        <v>0.58299999999999996</v>
      </c>
      <c r="AQ143">
        <v>9.8000000000000004E-2</v>
      </c>
      <c r="AR143">
        <v>-0.46899999999999997</v>
      </c>
      <c r="AS143">
        <v>-0.66100000000000003</v>
      </c>
      <c r="AT143">
        <v>-0.14799999999999999</v>
      </c>
      <c r="AU143">
        <v>-0.751</v>
      </c>
      <c r="AV143">
        <v>-0.58199999999999996</v>
      </c>
      <c r="AW143">
        <v>0.502</v>
      </c>
      <c r="AX143">
        <v>-0.59799999999999998</v>
      </c>
      <c r="AY143">
        <v>-0.35699999999999998</v>
      </c>
      <c r="AZ143">
        <v>0.91500000000000004</v>
      </c>
      <c r="BA143">
        <v>-0.38600000000000001</v>
      </c>
      <c r="BE143" s="20"/>
      <c r="BF143" s="21"/>
      <c r="BG143" s="21"/>
      <c r="BH143" s="21"/>
      <c r="BL143" t="s">
        <v>250</v>
      </c>
      <c r="BM143" t="s">
        <v>291</v>
      </c>
      <c r="BN143" t="s">
        <v>287</v>
      </c>
    </row>
    <row r="144" spans="1:66" ht="15" thickBot="1" x14ac:dyDescent="0.35">
      <c r="A144" t="s">
        <v>69</v>
      </c>
      <c r="B144">
        <v>3.2610000000000001</v>
      </c>
      <c r="C144">
        <v>3.2930000000000001</v>
      </c>
      <c r="D144" t="s">
        <v>57</v>
      </c>
      <c r="E144">
        <v>0</v>
      </c>
      <c r="F144">
        <v>0</v>
      </c>
      <c r="G144">
        <v>0</v>
      </c>
      <c r="H144">
        <v>0.91600000000000004</v>
      </c>
      <c r="I144">
        <v>0.88200000000000001</v>
      </c>
      <c r="J144">
        <v>0.78900000000000003</v>
      </c>
      <c r="K144">
        <v>0.877</v>
      </c>
      <c r="L144">
        <v>0.97499999999999998</v>
      </c>
      <c r="M144">
        <v>0.70099999999999996</v>
      </c>
      <c r="N144">
        <v>0.54200000000000004</v>
      </c>
      <c r="O144">
        <v>0.73199999999999998</v>
      </c>
      <c r="P144">
        <v>1</v>
      </c>
      <c r="Q144">
        <v>1</v>
      </c>
      <c r="R144">
        <v>1</v>
      </c>
      <c r="S144">
        <v>0.97299999999999998</v>
      </c>
      <c r="T144">
        <v>1</v>
      </c>
      <c r="U144">
        <v>5.2999999999999999E-2</v>
      </c>
      <c r="V144">
        <v>1</v>
      </c>
      <c r="W144">
        <v>1</v>
      </c>
      <c r="X144">
        <v>6.0999999999999999E-2</v>
      </c>
      <c r="Y144">
        <v>0.60899999999999999</v>
      </c>
      <c r="Z144">
        <v>0.34499999999999997</v>
      </c>
      <c r="AA144">
        <v>7.5999999999999998E-2</v>
      </c>
      <c r="AB144">
        <v>0.43</v>
      </c>
      <c r="AC144">
        <v>0.45300000000000001</v>
      </c>
      <c r="AD144">
        <v>5.7000000000000002E-2</v>
      </c>
      <c r="AE144">
        <v>0.65200000000000002</v>
      </c>
      <c r="AF144">
        <v>0.106</v>
      </c>
      <c r="AG144">
        <v>0.54400000000000004</v>
      </c>
      <c r="AH144">
        <v>1</v>
      </c>
      <c r="AI144">
        <v>-3.1E-2</v>
      </c>
      <c r="AJ144">
        <v>5.6000000000000001E-2</v>
      </c>
      <c r="AK144">
        <v>-0.20399999999999999</v>
      </c>
      <c r="AL144">
        <v>-0.217</v>
      </c>
      <c r="AM144">
        <v>0.52500000000000002</v>
      </c>
      <c r="AN144">
        <v>-0.14000000000000001</v>
      </c>
      <c r="AO144">
        <v>0.81200000000000006</v>
      </c>
      <c r="AP144">
        <v>0.15</v>
      </c>
      <c r="AQ144">
        <v>-0.23799999999999999</v>
      </c>
      <c r="AR144">
        <v>6.4000000000000001E-2</v>
      </c>
      <c r="AS144">
        <v>1E-3</v>
      </c>
      <c r="AT144">
        <v>0.64700000000000002</v>
      </c>
      <c r="AU144">
        <v>-0.45700000000000002</v>
      </c>
      <c r="AV144">
        <v>-0.309</v>
      </c>
      <c r="AW144">
        <v>0.33700000000000002</v>
      </c>
      <c r="AX144">
        <v>-0.754</v>
      </c>
      <c r="AY144">
        <v>7.0000000000000007E-2</v>
      </c>
      <c r="AZ144">
        <v>0.65400000000000003</v>
      </c>
      <c r="BA144">
        <v>0.64200000000000002</v>
      </c>
      <c r="BE144" s="20"/>
      <c r="BF144" s="21"/>
      <c r="BG144" s="21"/>
      <c r="BH144" s="21"/>
      <c r="BL144" t="s">
        <v>81</v>
      </c>
      <c r="BM144" t="s">
        <v>302</v>
      </c>
      <c r="BN144" t="s">
        <v>279</v>
      </c>
    </row>
    <row r="145" spans="1:66" ht="15" thickBot="1" x14ac:dyDescent="0.35">
      <c r="A145" t="s">
        <v>150</v>
      </c>
      <c r="B145">
        <v>0.75700000000000001</v>
      </c>
      <c r="C145">
        <v>0.63100000000000001</v>
      </c>
      <c r="D145" t="s">
        <v>53</v>
      </c>
      <c r="E145">
        <v>0</v>
      </c>
      <c r="F145">
        <v>0</v>
      </c>
      <c r="G145">
        <v>0</v>
      </c>
      <c r="H145">
        <v>-0.28399999999999997</v>
      </c>
      <c r="I145">
        <v>-0.254</v>
      </c>
      <c r="J145">
        <v>-0.26700000000000002</v>
      </c>
      <c r="K145">
        <v>-0.56299999999999994</v>
      </c>
      <c r="L145">
        <v>-0.41499999999999998</v>
      </c>
      <c r="M145">
        <v>-0.25600000000000001</v>
      </c>
      <c r="N145">
        <v>-5.7000000000000002E-2</v>
      </c>
      <c r="O145">
        <v>-0.372</v>
      </c>
      <c r="P145">
        <v>0.16200000000000001</v>
      </c>
      <c r="Q145">
        <v>0.16400000000000001</v>
      </c>
      <c r="R145">
        <v>0.55600000000000005</v>
      </c>
      <c r="S145">
        <v>0.502</v>
      </c>
      <c r="T145">
        <v>0.53300000000000003</v>
      </c>
      <c r="U145">
        <v>-0.17499999999999999</v>
      </c>
      <c r="V145">
        <v>-0.76900000000000002</v>
      </c>
      <c r="W145">
        <v>-0.41899999999999998</v>
      </c>
      <c r="X145">
        <v>-0.44800000000000001</v>
      </c>
      <c r="Y145">
        <v>0.105</v>
      </c>
      <c r="Z145">
        <v>-6.3E-2</v>
      </c>
      <c r="AA145">
        <v>-0.32900000000000001</v>
      </c>
      <c r="AB145">
        <v>-0.35899999999999999</v>
      </c>
      <c r="AC145">
        <v>-0.60199999999999998</v>
      </c>
      <c r="AD145">
        <v>0.14299999999999999</v>
      </c>
      <c r="AE145">
        <v>0.126</v>
      </c>
      <c r="AF145">
        <v>0.55800000000000005</v>
      </c>
      <c r="AG145">
        <v>-9.1999999999999998E-2</v>
      </c>
      <c r="AH145">
        <v>-0.16800000000000001</v>
      </c>
      <c r="AI145">
        <v>-0.58599999999999997</v>
      </c>
      <c r="AJ145">
        <v>0.188</v>
      </c>
      <c r="AK145">
        <v>4.3999999999999997E-2</v>
      </c>
      <c r="AL145">
        <v>0.246</v>
      </c>
      <c r="AM145">
        <v>0.26700000000000002</v>
      </c>
      <c r="AN145">
        <v>0.28000000000000003</v>
      </c>
      <c r="AO145">
        <v>0.872</v>
      </c>
      <c r="AP145">
        <v>-9.5000000000000001E-2</v>
      </c>
      <c r="AQ145">
        <v>0.69099999999999995</v>
      </c>
      <c r="AR145">
        <v>-6.5000000000000002E-2</v>
      </c>
      <c r="AS145">
        <v>-0.22</v>
      </c>
      <c r="AT145">
        <v>8.0000000000000002E-3</v>
      </c>
      <c r="AU145">
        <v>-0.36599999999999999</v>
      </c>
      <c r="AV145">
        <v>0.26500000000000001</v>
      </c>
      <c r="AW145">
        <v>0.61199999999999999</v>
      </c>
      <c r="AX145">
        <v>0.20799999999999999</v>
      </c>
      <c r="AY145">
        <v>-7.4999999999999997E-2</v>
      </c>
      <c r="AZ145">
        <v>0.67200000000000004</v>
      </c>
      <c r="BA145">
        <v>0.23300000000000001</v>
      </c>
      <c r="BE145" s="20"/>
      <c r="BF145" s="21"/>
      <c r="BG145" s="21"/>
      <c r="BH145" s="21"/>
      <c r="BL145" t="s">
        <v>251</v>
      </c>
      <c r="BM145" t="s">
        <v>280</v>
      </c>
      <c r="BN145" t="s">
        <v>283</v>
      </c>
    </row>
    <row r="146" spans="1:66" ht="15" thickBot="1" x14ac:dyDescent="0.35">
      <c r="A146" t="s">
        <v>170</v>
      </c>
      <c r="B146">
        <v>0.56599999999999995</v>
      </c>
      <c r="C146">
        <v>0.48499999999999999</v>
      </c>
      <c r="D146" t="s">
        <v>57</v>
      </c>
      <c r="E146">
        <v>0</v>
      </c>
      <c r="F146">
        <v>0</v>
      </c>
      <c r="G146">
        <v>0</v>
      </c>
      <c r="H146">
        <v>-0.57899999999999996</v>
      </c>
      <c r="I146">
        <v>-0.621</v>
      </c>
      <c r="J146">
        <v>-0.54600000000000004</v>
      </c>
      <c r="K146">
        <v>-0.68200000000000005</v>
      </c>
      <c r="L146">
        <v>-0.65</v>
      </c>
      <c r="M146">
        <v>-0.60899999999999999</v>
      </c>
      <c r="N146">
        <v>-0.56599999999999995</v>
      </c>
      <c r="O146">
        <v>-0.71099999999999997</v>
      </c>
      <c r="P146">
        <v>4.5999999999999999E-2</v>
      </c>
      <c r="Q146">
        <v>4.7E-2</v>
      </c>
      <c r="R146">
        <v>0.52500000000000002</v>
      </c>
      <c r="S146">
        <v>0.439</v>
      </c>
      <c r="T146">
        <v>0.30099999999999999</v>
      </c>
      <c r="U146">
        <v>-0.312</v>
      </c>
      <c r="V146">
        <v>-0.17</v>
      </c>
      <c r="W146">
        <v>-0.63600000000000001</v>
      </c>
      <c r="X146">
        <v>-0.255</v>
      </c>
      <c r="Y146">
        <v>-0.51500000000000001</v>
      </c>
      <c r="Z146">
        <v>-8.6999999999999994E-2</v>
      </c>
      <c r="AA146">
        <v>-0.19</v>
      </c>
      <c r="AB146">
        <v>-0.60599999999999998</v>
      </c>
      <c r="AC146">
        <v>-0.35499999999999998</v>
      </c>
      <c r="AD146">
        <v>0.28399999999999997</v>
      </c>
      <c r="AE146">
        <v>-0.39700000000000002</v>
      </c>
      <c r="AF146">
        <v>-0.32300000000000001</v>
      </c>
      <c r="AG146">
        <v>0.32700000000000001</v>
      </c>
      <c r="AH146">
        <v>3.4000000000000002E-2</v>
      </c>
      <c r="AI146">
        <v>9.7000000000000003E-2</v>
      </c>
      <c r="AJ146">
        <v>0.32300000000000001</v>
      </c>
      <c r="AK146">
        <v>-0.17699999999999999</v>
      </c>
      <c r="AL146">
        <v>6.4000000000000001E-2</v>
      </c>
      <c r="AM146">
        <v>-0.38700000000000001</v>
      </c>
      <c r="AN146">
        <v>-0.28299999999999997</v>
      </c>
      <c r="AO146">
        <v>0.77400000000000002</v>
      </c>
      <c r="AP146">
        <v>0.49299999999999999</v>
      </c>
      <c r="AQ146">
        <v>0.63800000000000001</v>
      </c>
      <c r="AR146">
        <v>-0.10199999999999999</v>
      </c>
      <c r="AS146">
        <v>-0.29399999999999998</v>
      </c>
      <c r="AT146">
        <v>0.221</v>
      </c>
      <c r="AU146">
        <v>-0.27500000000000002</v>
      </c>
      <c r="AV146">
        <v>-0.28000000000000003</v>
      </c>
      <c r="AW146">
        <v>0.45200000000000001</v>
      </c>
      <c r="AX146">
        <v>-0.17</v>
      </c>
      <c r="AY146">
        <v>0.23899999999999999</v>
      </c>
      <c r="AZ146">
        <v>-0.17699999999999999</v>
      </c>
      <c r="BA146">
        <v>-8.9999999999999993E-3</v>
      </c>
      <c r="BE146" s="20"/>
      <c r="BF146" s="21"/>
      <c r="BG146" s="21"/>
      <c r="BH146" s="21"/>
      <c r="BL146" t="s">
        <v>245</v>
      </c>
      <c r="BM146" t="s">
        <v>278</v>
      </c>
      <c r="BN146" t="s">
        <v>287</v>
      </c>
    </row>
    <row r="147" spans="1:66" ht="15" thickBot="1" x14ac:dyDescent="0.35">
      <c r="A147" t="s">
        <v>257</v>
      </c>
      <c r="B147">
        <v>0.51200000000000001</v>
      </c>
      <c r="C147">
        <v>0.39</v>
      </c>
      <c r="D147" t="s">
        <v>57</v>
      </c>
      <c r="E147">
        <v>0</v>
      </c>
      <c r="F147">
        <v>-3.0000000000000001E-3</v>
      </c>
      <c r="G147">
        <v>3.0000000000000001E-3</v>
      </c>
      <c r="H147">
        <v>-0.81699999999999995</v>
      </c>
      <c r="I147">
        <v>-0.79400000000000004</v>
      </c>
      <c r="J147">
        <v>-0.88400000000000001</v>
      </c>
      <c r="K147">
        <v>-0.85199999999999998</v>
      </c>
      <c r="L147">
        <v>-0.85299999999999998</v>
      </c>
      <c r="M147">
        <v>-0.83599999999999997</v>
      </c>
      <c r="N147">
        <v>-0.79400000000000004</v>
      </c>
      <c r="O147">
        <v>-0.84399999999999997</v>
      </c>
      <c r="P147">
        <v>-0.104</v>
      </c>
      <c r="Q147">
        <v>-0.107</v>
      </c>
      <c r="R147">
        <v>0.106</v>
      </c>
      <c r="S147">
        <v>-0.155</v>
      </c>
      <c r="T147">
        <v>8.4000000000000005E-2</v>
      </c>
      <c r="U147">
        <v>-0.89700000000000002</v>
      </c>
      <c r="V147">
        <v>-0.61699999999999999</v>
      </c>
      <c r="W147">
        <v>-0.66400000000000003</v>
      </c>
      <c r="X147">
        <v>-0.73499999999999999</v>
      </c>
      <c r="Y147">
        <v>-0.38200000000000001</v>
      </c>
      <c r="Z147">
        <v>-0.81</v>
      </c>
      <c r="AA147">
        <v>-0.52400000000000002</v>
      </c>
      <c r="AB147">
        <v>-0.45600000000000002</v>
      </c>
      <c r="AC147">
        <v>-0.34699999999999998</v>
      </c>
      <c r="AD147">
        <v>0.108</v>
      </c>
      <c r="AE147">
        <v>0.124</v>
      </c>
      <c r="AF147">
        <v>0.105</v>
      </c>
      <c r="AG147">
        <v>0.113</v>
      </c>
      <c r="AH147">
        <v>0.62</v>
      </c>
      <c r="AI147">
        <v>1</v>
      </c>
      <c r="AJ147">
        <v>-9.5000000000000001E-2</v>
      </c>
      <c r="AK147">
        <v>2.5999999999999999E-2</v>
      </c>
      <c r="AL147">
        <v>-0.45200000000000001</v>
      </c>
      <c r="AM147">
        <v>-0.63900000000000001</v>
      </c>
      <c r="AN147">
        <v>-0.378</v>
      </c>
      <c r="AO147">
        <v>0.184</v>
      </c>
      <c r="AP147">
        <v>-0.158</v>
      </c>
      <c r="AQ147">
        <v>-6.2E-2</v>
      </c>
      <c r="AR147">
        <v>-0.19400000000000001</v>
      </c>
      <c r="AS147">
        <v>-0.35</v>
      </c>
      <c r="AT147">
        <v>-0.21299999999999999</v>
      </c>
      <c r="AU147">
        <v>-0.57599999999999996</v>
      </c>
      <c r="AV147">
        <v>-0.31900000000000001</v>
      </c>
      <c r="AW147">
        <v>-0.106</v>
      </c>
      <c r="AX147">
        <v>0.41299999999999998</v>
      </c>
      <c r="AY147">
        <v>0.96099999999999997</v>
      </c>
      <c r="AZ147">
        <v>-0.67300000000000004</v>
      </c>
      <c r="BA147">
        <v>0.20499999999999999</v>
      </c>
      <c r="BE147" s="20"/>
      <c r="BF147" s="21"/>
      <c r="BG147" s="21"/>
      <c r="BH147" s="21"/>
      <c r="BL147" t="s">
        <v>258</v>
      </c>
      <c r="BM147" t="s">
        <v>296</v>
      </c>
      <c r="BN147" t="s">
        <v>287</v>
      </c>
    </row>
    <row r="148" spans="1:66" ht="15" thickBot="1" x14ac:dyDescent="0.35">
      <c r="A148" t="s">
        <v>235</v>
      </c>
      <c r="B148">
        <v>0.57899999999999996</v>
      </c>
      <c r="C148">
        <v>0.505</v>
      </c>
      <c r="D148" t="s">
        <v>57</v>
      </c>
      <c r="E148">
        <v>0</v>
      </c>
      <c r="F148">
        <v>0</v>
      </c>
      <c r="G148">
        <v>0</v>
      </c>
      <c r="H148">
        <v>-0.65500000000000003</v>
      </c>
      <c r="I148">
        <v>-0.48299999999999998</v>
      </c>
      <c r="J148">
        <v>-0.67400000000000004</v>
      </c>
      <c r="K148">
        <v>-0.61499999999999999</v>
      </c>
      <c r="L148">
        <v>-0.52700000000000002</v>
      </c>
      <c r="M148">
        <v>-0.51200000000000001</v>
      </c>
      <c r="N148">
        <v>-0.27</v>
      </c>
      <c r="O148">
        <v>-0.441</v>
      </c>
      <c r="P148">
        <v>3.7999999999999999E-2</v>
      </c>
      <c r="Q148">
        <v>4.1000000000000002E-2</v>
      </c>
      <c r="R148">
        <v>0.56599999999999995</v>
      </c>
      <c r="S148">
        <v>0.39</v>
      </c>
      <c r="T148">
        <v>8.2000000000000003E-2</v>
      </c>
      <c r="U148">
        <v>0.111</v>
      </c>
      <c r="V148">
        <v>-0.433</v>
      </c>
      <c r="W148">
        <v>-0.80700000000000005</v>
      </c>
      <c r="X148">
        <v>-0.65300000000000002</v>
      </c>
      <c r="Y148">
        <v>-0.64200000000000002</v>
      </c>
      <c r="Z148">
        <v>0.63800000000000001</v>
      </c>
      <c r="AA148">
        <v>-0.35</v>
      </c>
      <c r="AB148">
        <v>-0.55400000000000005</v>
      </c>
      <c r="AC148">
        <v>-0.749</v>
      </c>
      <c r="AD148">
        <v>0.75700000000000001</v>
      </c>
      <c r="AE148">
        <v>-0.317</v>
      </c>
      <c r="AF148">
        <v>-0.432</v>
      </c>
      <c r="AG148">
        <v>0.21199999999999999</v>
      </c>
      <c r="AH148">
        <v>-0.26200000000000001</v>
      </c>
      <c r="AI148">
        <v>-0.54300000000000004</v>
      </c>
      <c r="AJ148">
        <v>0.497</v>
      </c>
      <c r="AK148">
        <v>0.39400000000000002</v>
      </c>
      <c r="AL148">
        <v>0.53900000000000003</v>
      </c>
      <c r="AM148">
        <v>-5.0000000000000001E-3</v>
      </c>
      <c r="AN148">
        <v>0.19400000000000001</v>
      </c>
      <c r="AO148">
        <v>0.69699999999999995</v>
      </c>
      <c r="AP148">
        <v>0.84299999999999997</v>
      </c>
      <c r="AQ148">
        <v>0.13600000000000001</v>
      </c>
      <c r="AR148">
        <v>-0.48599999999999999</v>
      </c>
      <c r="AS148">
        <v>-0.47399999999999998</v>
      </c>
      <c r="AT148">
        <v>-0.10199999999999999</v>
      </c>
      <c r="AU148">
        <v>-6.7000000000000004E-2</v>
      </c>
      <c r="AV148">
        <v>-0.21299999999999999</v>
      </c>
      <c r="AW148">
        <v>0.36399999999999999</v>
      </c>
      <c r="AX148">
        <v>-0.30099999999999999</v>
      </c>
      <c r="AY148">
        <v>-0.153</v>
      </c>
      <c r="AZ148">
        <v>-0.754</v>
      </c>
      <c r="BA148">
        <v>-4.3999999999999997E-2</v>
      </c>
      <c r="BE148" s="20"/>
      <c r="BF148" s="21"/>
      <c r="BG148" s="21"/>
      <c r="BH148" s="21"/>
      <c r="BL148" t="s">
        <v>61</v>
      </c>
      <c r="BM148" t="s">
        <v>294</v>
      </c>
      <c r="BN148" t="s">
        <v>281</v>
      </c>
    </row>
    <row r="149" spans="1:66" ht="15" thickBot="1" x14ac:dyDescent="0.35">
      <c r="A149" t="s">
        <v>197</v>
      </c>
      <c r="B149">
        <v>0.57099999999999995</v>
      </c>
      <c r="C149">
        <v>1.008</v>
      </c>
      <c r="D149" t="s">
        <v>53</v>
      </c>
      <c r="E149">
        <v>0</v>
      </c>
      <c r="F149">
        <v>-1.7999999999999999E-2</v>
      </c>
      <c r="G149">
        <v>1.7999999999999999E-2</v>
      </c>
      <c r="H149">
        <v>-0.77100000000000002</v>
      </c>
      <c r="I149">
        <v>-0.64100000000000001</v>
      </c>
      <c r="J149">
        <v>-0.91300000000000003</v>
      </c>
      <c r="K149">
        <v>-0.72</v>
      </c>
      <c r="L149">
        <v>-0.73599999999999999</v>
      </c>
      <c r="M149">
        <v>-0.50700000000000001</v>
      </c>
      <c r="N149">
        <v>-0.218</v>
      </c>
      <c r="O149">
        <v>-0.52500000000000002</v>
      </c>
      <c r="P149">
        <v>5.6000000000000001E-2</v>
      </c>
      <c r="Q149">
        <v>5.8000000000000003E-2</v>
      </c>
      <c r="R149">
        <v>0.56699999999999995</v>
      </c>
      <c r="S149">
        <v>0.56799999999999995</v>
      </c>
      <c r="T149">
        <v>0.27700000000000002</v>
      </c>
      <c r="U149">
        <v>-0.498</v>
      </c>
      <c r="V149">
        <v>1.0999999999999999E-2</v>
      </c>
      <c r="W149">
        <v>-0.80600000000000005</v>
      </c>
      <c r="X149">
        <v>-0.95299999999999996</v>
      </c>
      <c r="Y149">
        <v>-1</v>
      </c>
      <c r="Z149">
        <v>-0.97599999999999998</v>
      </c>
      <c r="AA149">
        <v>-0.49299999999999999</v>
      </c>
      <c r="AB149">
        <v>-0.16400000000000001</v>
      </c>
      <c r="AC149">
        <v>-0.84099999999999997</v>
      </c>
      <c r="AD149">
        <v>0.498</v>
      </c>
      <c r="AE149">
        <v>-0.19700000000000001</v>
      </c>
      <c r="AF149">
        <v>-0.23100000000000001</v>
      </c>
      <c r="AG149">
        <v>0.442</v>
      </c>
      <c r="AH149">
        <v>0.26200000000000001</v>
      </c>
      <c r="AI149">
        <v>-4.5999999999999999E-2</v>
      </c>
      <c r="AJ149">
        <v>0.111</v>
      </c>
      <c r="AK149">
        <v>-0.29299999999999998</v>
      </c>
      <c r="AL149">
        <v>-0.107</v>
      </c>
      <c r="AM149">
        <v>0.254</v>
      </c>
      <c r="AN149">
        <v>0.223</v>
      </c>
      <c r="AO149">
        <v>0.88400000000000001</v>
      </c>
      <c r="AP149">
        <v>-5.8000000000000003E-2</v>
      </c>
      <c r="AQ149">
        <v>0.46899999999999997</v>
      </c>
      <c r="AR149">
        <v>0.28799999999999998</v>
      </c>
      <c r="AS149">
        <v>-0.108</v>
      </c>
      <c r="AT149">
        <v>0.14699999999999999</v>
      </c>
      <c r="AU149">
        <v>-4.1000000000000002E-2</v>
      </c>
      <c r="AV149">
        <v>1</v>
      </c>
      <c r="AW149">
        <v>0.753</v>
      </c>
      <c r="AX149">
        <v>-0.32400000000000001</v>
      </c>
      <c r="AY149">
        <v>-0.20200000000000001</v>
      </c>
      <c r="AZ149">
        <v>-0.159</v>
      </c>
      <c r="BA149">
        <v>-0.872</v>
      </c>
      <c r="BE149" s="20"/>
      <c r="BF149" s="21"/>
      <c r="BG149" s="21"/>
      <c r="BH149" s="21"/>
      <c r="BL149" t="s">
        <v>212</v>
      </c>
      <c r="BM149" t="s">
        <v>294</v>
      </c>
      <c r="BN149" t="s">
        <v>282</v>
      </c>
    </row>
    <row r="150" spans="1:66" ht="15" thickBot="1" x14ac:dyDescent="0.35">
      <c r="A150" t="s">
        <v>250</v>
      </c>
      <c r="B150">
        <v>0.56599999999999995</v>
      </c>
      <c r="C150">
        <v>0.435</v>
      </c>
      <c r="D150" t="s">
        <v>57</v>
      </c>
      <c r="E150">
        <v>0</v>
      </c>
      <c r="F150">
        <v>0</v>
      </c>
      <c r="G150">
        <v>0</v>
      </c>
      <c r="H150">
        <v>-0.32600000000000001</v>
      </c>
      <c r="I150">
        <v>-0.70099999999999996</v>
      </c>
      <c r="J150">
        <v>-0.16400000000000001</v>
      </c>
      <c r="K150">
        <v>-0.65700000000000003</v>
      </c>
      <c r="L150">
        <v>-0.65500000000000003</v>
      </c>
      <c r="M150">
        <v>-0.63500000000000001</v>
      </c>
      <c r="N150">
        <v>-0.67900000000000005</v>
      </c>
      <c r="O150">
        <v>-0.746</v>
      </c>
      <c r="P150">
        <v>-0.13600000000000001</v>
      </c>
      <c r="Q150">
        <v>-0.13800000000000001</v>
      </c>
      <c r="R150">
        <v>0.40400000000000003</v>
      </c>
      <c r="S150">
        <v>0.56499999999999995</v>
      </c>
      <c r="T150">
        <v>0.14899999999999999</v>
      </c>
      <c r="U150">
        <v>-6.9000000000000006E-2</v>
      </c>
      <c r="V150">
        <v>-0.13600000000000001</v>
      </c>
      <c r="W150">
        <v>-0.76100000000000001</v>
      </c>
      <c r="X150">
        <v>-0.31</v>
      </c>
      <c r="Y150">
        <v>-0.222</v>
      </c>
      <c r="Z150">
        <v>0.40600000000000003</v>
      </c>
      <c r="AA150">
        <v>-0.45600000000000002</v>
      </c>
      <c r="AB150">
        <v>-0.44900000000000001</v>
      </c>
      <c r="AC150">
        <v>-0.31900000000000001</v>
      </c>
      <c r="AD150">
        <v>0.35299999999999998</v>
      </c>
      <c r="AE150">
        <v>-0.217</v>
      </c>
      <c r="AF150">
        <v>-0.217</v>
      </c>
      <c r="AG150">
        <v>-0.17799999999999999</v>
      </c>
      <c r="AH150">
        <v>0.877</v>
      </c>
      <c r="AI150">
        <v>0.20300000000000001</v>
      </c>
      <c r="AJ150">
        <v>-0.24399999999999999</v>
      </c>
      <c r="AK150">
        <v>-0.436</v>
      </c>
      <c r="AL150">
        <v>0.33700000000000002</v>
      </c>
      <c r="AM150">
        <v>-0.39500000000000002</v>
      </c>
      <c r="AN150">
        <v>7.0999999999999994E-2</v>
      </c>
      <c r="AO150">
        <v>0.76700000000000002</v>
      </c>
      <c r="AP150">
        <v>-1.7000000000000001E-2</v>
      </c>
      <c r="AQ150">
        <v>0.155</v>
      </c>
      <c r="AR150">
        <v>0.39</v>
      </c>
      <c r="AS150">
        <v>5.7000000000000002E-2</v>
      </c>
      <c r="AT150">
        <v>0.372</v>
      </c>
      <c r="AU150">
        <v>-0.14099999999999999</v>
      </c>
      <c r="AV150">
        <v>3.6999999999999998E-2</v>
      </c>
      <c r="AW150">
        <v>0.19600000000000001</v>
      </c>
      <c r="AX150">
        <v>0.36099999999999999</v>
      </c>
      <c r="AY150">
        <v>0.48199999999999998</v>
      </c>
      <c r="AZ150">
        <v>4.1000000000000002E-2</v>
      </c>
      <c r="BA150">
        <v>0.19700000000000001</v>
      </c>
      <c r="BE150" s="20"/>
      <c r="BF150" s="21"/>
      <c r="BG150" s="21"/>
      <c r="BH150" s="21"/>
      <c r="BL150" t="s">
        <v>96</v>
      </c>
      <c r="BM150" t="s">
        <v>294</v>
      </c>
      <c r="BN150" t="s">
        <v>282</v>
      </c>
    </row>
    <row r="151" spans="1:66" ht="15" thickBot="1" x14ac:dyDescent="0.35">
      <c r="A151" t="s">
        <v>251</v>
      </c>
      <c r="B151">
        <v>0.48699999999999999</v>
      </c>
      <c r="C151">
        <v>0.34200000000000003</v>
      </c>
      <c r="D151" t="s">
        <v>55</v>
      </c>
      <c r="E151">
        <v>0</v>
      </c>
      <c r="F151">
        <v>0</v>
      </c>
      <c r="G151">
        <v>0</v>
      </c>
      <c r="H151">
        <v>-0.82199999999999995</v>
      </c>
      <c r="I151">
        <v>-0.91200000000000003</v>
      </c>
      <c r="J151">
        <v>-0.66700000000000004</v>
      </c>
      <c r="K151">
        <v>-0.88600000000000001</v>
      </c>
      <c r="L151">
        <v>-0.89100000000000001</v>
      </c>
      <c r="M151">
        <v>-0.92700000000000005</v>
      </c>
      <c r="N151">
        <v>-0.94599999999999995</v>
      </c>
      <c r="O151">
        <v>-0.95099999999999996</v>
      </c>
      <c r="P151">
        <v>-0.23200000000000001</v>
      </c>
      <c r="Q151">
        <v>-0.23400000000000001</v>
      </c>
      <c r="R151">
        <v>-0.40200000000000002</v>
      </c>
      <c r="S151">
        <v>-0.67</v>
      </c>
      <c r="T151">
        <v>-0.50800000000000001</v>
      </c>
      <c r="U151">
        <v>-0.55000000000000004</v>
      </c>
      <c r="V151">
        <v>-0.14499999999999999</v>
      </c>
      <c r="W151">
        <v>-0.377</v>
      </c>
      <c r="X151">
        <v>1</v>
      </c>
      <c r="Y151">
        <v>-0.33</v>
      </c>
      <c r="Z151">
        <v>-0.51600000000000001</v>
      </c>
      <c r="AA151">
        <v>0.63500000000000001</v>
      </c>
      <c r="AB151">
        <v>-1</v>
      </c>
      <c r="AC151">
        <v>0.84</v>
      </c>
      <c r="AD151">
        <v>-0.26200000000000001</v>
      </c>
      <c r="AE151">
        <v>-0.54100000000000004</v>
      </c>
      <c r="AF151">
        <v>-0.68300000000000005</v>
      </c>
      <c r="AG151">
        <v>-0.36499999999999999</v>
      </c>
      <c r="AH151">
        <v>-0.70899999999999996</v>
      </c>
      <c r="AI151">
        <v>-0.36199999999999999</v>
      </c>
      <c r="AJ151">
        <v>-0.105</v>
      </c>
      <c r="AK151">
        <v>-0.32200000000000001</v>
      </c>
      <c r="AL151">
        <v>-0.69299999999999995</v>
      </c>
      <c r="AM151">
        <v>-0.63800000000000001</v>
      </c>
      <c r="AN151">
        <v>-0.38300000000000001</v>
      </c>
      <c r="AO151">
        <v>0.69199999999999995</v>
      </c>
      <c r="AP151">
        <v>8.2000000000000003E-2</v>
      </c>
      <c r="AQ151">
        <v>0.78100000000000003</v>
      </c>
      <c r="AR151">
        <v>-0.32800000000000001</v>
      </c>
      <c r="AS151">
        <v>-0.32900000000000001</v>
      </c>
      <c r="AT151">
        <v>-0.26900000000000002</v>
      </c>
      <c r="AU151">
        <v>0.44400000000000001</v>
      </c>
      <c r="AV151">
        <v>-0.30099999999999999</v>
      </c>
      <c r="AW151">
        <v>-0.78</v>
      </c>
      <c r="AX151">
        <v>0.91700000000000004</v>
      </c>
      <c r="AY151">
        <v>7.3999999999999996E-2</v>
      </c>
      <c r="AZ151">
        <v>-0.13900000000000001</v>
      </c>
      <c r="BA151">
        <v>1</v>
      </c>
      <c r="BE151" s="20"/>
      <c r="BF151" s="21"/>
      <c r="BG151" s="21"/>
      <c r="BH151" s="21"/>
      <c r="BL151" t="s">
        <v>65</v>
      </c>
      <c r="BM151" t="s">
        <v>294</v>
      </c>
      <c r="BN151" t="s">
        <v>283</v>
      </c>
    </row>
    <row r="152" spans="1:66" ht="15" thickBot="1" x14ac:dyDescent="0.35">
      <c r="A152" t="s">
        <v>245</v>
      </c>
      <c r="B152">
        <v>0.52600000000000002</v>
      </c>
      <c r="C152">
        <v>0.4</v>
      </c>
      <c r="D152" t="s">
        <v>57</v>
      </c>
      <c r="E152">
        <v>0</v>
      </c>
      <c r="F152">
        <v>-3.0000000000000001E-3</v>
      </c>
      <c r="G152">
        <v>3.0000000000000001E-3</v>
      </c>
      <c r="H152">
        <v>-0.82799999999999996</v>
      </c>
      <c r="I152">
        <v>-0.81200000000000006</v>
      </c>
      <c r="J152">
        <v>-0.83499999999999996</v>
      </c>
      <c r="K152">
        <v>-0.86599999999999999</v>
      </c>
      <c r="L152">
        <v>-0.85699999999999998</v>
      </c>
      <c r="M152">
        <v>-0.84699999999999998</v>
      </c>
      <c r="N152">
        <v>-0.83799999999999997</v>
      </c>
      <c r="O152">
        <v>-0.89100000000000001</v>
      </c>
      <c r="P152">
        <v>0.28299999999999997</v>
      </c>
      <c r="Q152">
        <v>0.27800000000000002</v>
      </c>
      <c r="R152">
        <v>0.28899999999999998</v>
      </c>
      <c r="S152">
        <v>0.08</v>
      </c>
      <c r="T152">
        <v>0.3</v>
      </c>
      <c r="U152">
        <v>-0.752</v>
      </c>
      <c r="V152">
        <v>-0.45200000000000001</v>
      </c>
      <c r="W152">
        <v>-0.57999999999999996</v>
      </c>
      <c r="X152">
        <v>-0.75700000000000001</v>
      </c>
      <c r="Y152">
        <v>-0.44900000000000001</v>
      </c>
      <c r="Z152">
        <v>-0.85199999999999998</v>
      </c>
      <c r="AA152">
        <v>-0.121</v>
      </c>
      <c r="AB152">
        <v>-0.82399999999999995</v>
      </c>
      <c r="AC152">
        <v>0.154</v>
      </c>
      <c r="AD152">
        <v>5.7000000000000002E-2</v>
      </c>
      <c r="AE152">
        <v>-9.0999999999999998E-2</v>
      </c>
      <c r="AF152">
        <v>-1.6E-2</v>
      </c>
      <c r="AG152">
        <v>-0.112</v>
      </c>
      <c r="AH152">
        <v>0.79300000000000004</v>
      </c>
      <c r="AI152">
        <v>0.23899999999999999</v>
      </c>
      <c r="AJ152">
        <v>-4.0000000000000001E-3</v>
      </c>
      <c r="AK152">
        <v>-0.43</v>
      </c>
      <c r="AL152">
        <v>-0.3</v>
      </c>
      <c r="AM152">
        <v>-0.77300000000000002</v>
      </c>
      <c r="AN152">
        <v>-0.50700000000000001</v>
      </c>
      <c r="AO152">
        <v>0.624</v>
      </c>
      <c r="AP152">
        <v>0.20200000000000001</v>
      </c>
      <c r="AQ152">
        <v>-0.106</v>
      </c>
      <c r="AR152">
        <v>-0.25900000000000001</v>
      </c>
      <c r="AS152">
        <v>-0.61399999999999999</v>
      </c>
      <c r="AT152">
        <v>0.11899999999999999</v>
      </c>
      <c r="AU152">
        <v>0.218</v>
      </c>
      <c r="AV152">
        <v>-0.85199999999999998</v>
      </c>
      <c r="AW152">
        <v>0.22700000000000001</v>
      </c>
      <c r="AX152">
        <v>6.7000000000000004E-2</v>
      </c>
      <c r="AY152">
        <v>0.627</v>
      </c>
      <c r="AZ152">
        <v>-0.04</v>
      </c>
      <c r="BA152">
        <v>2.8000000000000001E-2</v>
      </c>
      <c r="BE152" s="20"/>
      <c r="BF152" s="21"/>
      <c r="BG152" s="21"/>
      <c r="BH152" s="21"/>
      <c r="BL152" t="s">
        <v>187</v>
      </c>
      <c r="BM152" t="s">
        <v>288</v>
      </c>
      <c r="BN152" t="s">
        <v>282</v>
      </c>
    </row>
    <row r="153" spans="1:66" ht="15" thickBot="1" x14ac:dyDescent="0.35">
      <c r="A153" t="s">
        <v>258</v>
      </c>
      <c r="B153">
        <v>0.48</v>
      </c>
      <c r="C153">
        <v>0.35599999999999998</v>
      </c>
      <c r="D153" t="s">
        <v>57</v>
      </c>
      <c r="E153">
        <v>0</v>
      </c>
      <c r="F153">
        <v>-1E-3</v>
      </c>
      <c r="G153">
        <v>1E-3</v>
      </c>
      <c r="H153">
        <v>-0.93799999999999994</v>
      </c>
      <c r="I153">
        <v>-0.93600000000000005</v>
      </c>
      <c r="J153">
        <v>-0.89500000000000002</v>
      </c>
      <c r="K153">
        <v>-0.96899999999999997</v>
      </c>
      <c r="L153">
        <v>-0.95399999999999996</v>
      </c>
      <c r="M153">
        <v>-0.95599999999999996</v>
      </c>
      <c r="N153">
        <v>-0.94</v>
      </c>
      <c r="O153">
        <v>-0.95099999999999996</v>
      </c>
      <c r="P153">
        <v>-0.59</v>
      </c>
      <c r="Q153">
        <v>-0.59199999999999997</v>
      </c>
      <c r="R153">
        <v>-0.48499999999999999</v>
      </c>
      <c r="S153">
        <v>-0.41699999999999998</v>
      </c>
      <c r="T153">
        <v>-0.55800000000000005</v>
      </c>
      <c r="U153">
        <v>-0.85599999999999998</v>
      </c>
      <c r="V153">
        <v>-0.90500000000000003</v>
      </c>
      <c r="W153">
        <v>-0.86299999999999999</v>
      </c>
      <c r="X153">
        <v>0.30599999999999999</v>
      </c>
      <c r="Y153">
        <v>-0.184</v>
      </c>
      <c r="Z153">
        <v>-0.51200000000000001</v>
      </c>
      <c r="AA153">
        <v>7.4999999999999997E-2</v>
      </c>
      <c r="AB153">
        <v>-0.68500000000000005</v>
      </c>
      <c r="AC153">
        <v>-0.28899999999999998</v>
      </c>
      <c r="AD153">
        <v>-0.61399999999999999</v>
      </c>
      <c r="AE153">
        <v>-0.60799999999999998</v>
      </c>
      <c r="AF153">
        <v>-0.66900000000000004</v>
      </c>
      <c r="AG153">
        <v>-0.48899999999999999</v>
      </c>
      <c r="AH153">
        <v>-1</v>
      </c>
      <c r="AI153">
        <v>-0.48499999999999999</v>
      </c>
      <c r="AJ153">
        <v>-0.14000000000000001</v>
      </c>
      <c r="AK153">
        <v>-0.378</v>
      </c>
      <c r="AL153">
        <v>-0.52900000000000003</v>
      </c>
      <c r="AM153">
        <v>-0.69399999999999995</v>
      </c>
      <c r="AN153">
        <v>0.24199999999999999</v>
      </c>
      <c r="AO153">
        <v>0.34799999999999998</v>
      </c>
      <c r="AP153">
        <v>-0.14099999999999999</v>
      </c>
      <c r="AQ153">
        <v>-9.6000000000000002E-2</v>
      </c>
      <c r="AR153">
        <v>0.54500000000000004</v>
      </c>
      <c r="AS153">
        <v>0.39</v>
      </c>
      <c r="AT153">
        <v>-3.9E-2</v>
      </c>
      <c r="AU153">
        <v>-0.47199999999999998</v>
      </c>
      <c r="AV153">
        <v>-1</v>
      </c>
      <c r="AW153">
        <v>-0.157</v>
      </c>
      <c r="AX153">
        <v>0.53400000000000003</v>
      </c>
      <c r="AY153">
        <v>0.69699999999999995</v>
      </c>
      <c r="AZ153">
        <v>-0.20100000000000001</v>
      </c>
      <c r="BA153">
        <v>0.96299999999999997</v>
      </c>
      <c r="BE153" s="20"/>
      <c r="BF153" s="21"/>
      <c r="BG153" s="21"/>
      <c r="BH153" s="21"/>
      <c r="BL153" t="s">
        <v>180</v>
      </c>
      <c r="BM153" t="s">
        <v>289</v>
      </c>
      <c r="BN153" t="s">
        <v>281</v>
      </c>
    </row>
    <row r="154" spans="1:66" ht="15" thickBot="1" x14ac:dyDescent="0.35">
      <c r="A154" t="s">
        <v>61</v>
      </c>
      <c r="B154">
        <v>1.9830000000000001</v>
      </c>
      <c r="C154">
        <v>2.2599999999999998</v>
      </c>
      <c r="D154" t="s">
        <v>57</v>
      </c>
      <c r="E154">
        <v>0</v>
      </c>
      <c r="F154">
        <v>0</v>
      </c>
      <c r="G154">
        <v>0</v>
      </c>
      <c r="H154">
        <v>3.4000000000000002E-2</v>
      </c>
      <c r="I154">
        <v>0.27100000000000002</v>
      </c>
      <c r="J154">
        <v>0.19500000000000001</v>
      </c>
      <c r="K154">
        <v>-6.2E-2</v>
      </c>
      <c r="L154">
        <v>0.30499999999999999</v>
      </c>
      <c r="M154">
        <v>0.23499999999999999</v>
      </c>
      <c r="N154">
        <v>0.307</v>
      </c>
      <c r="O154">
        <v>0.58399999999999996</v>
      </c>
      <c r="P154">
        <v>0.495</v>
      </c>
      <c r="Q154">
        <v>0.49199999999999999</v>
      </c>
      <c r="R154">
        <v>0.70799999999999996</v>
      </c>
      <c r="S154">
        <v>0.79700000000000004</v>
      </c>
      <c r="T154">
        <v>0.7</v>
      </c>
      <c r="U154">
        <v>-0.33200000000000002</v>
      </c>
      <c r="V154">
        <v>0.32</v>
      </c>
      <c r="W154">
        <v>0.09</v>
      </c>
      <c r="X154">
        <v>-7.3999999999999996E-2</v>
      </c>
      <c r="Y154">
        <v>0.88500000000000001</v>
      </c>
      <c r="Z154">
        <v>-0.17799999999999999</v>
      </c>
      <c r="AA154">
        <v>-0.29099999999999998</v>
      </c>
      <c r="AB154">
        <v>0.66100000000000003</v>
      </c>
      <c r="AC154">
        <v>-0.57199999999999995</v>
      </c>
      <c r="AD154">
        <v>0.11799999999999999</v>
      </c>
      <c r="AE154">
        <v>0.26100000000000001</v>
      </c>
      <c r="AF154">
        <v>-0.223</v>
      </c>
      <c r="AG154">
        <v>0.40600000000000003</v>
      </c>
      <c r="AH154">
        <v>-0.122</v>
      </c>
      <c r="AI154">
        <v>-0.752</v>
      </c>
      <c r="AJ154">
        <v>0.217</v>
      </c>
      <c r="AK154">
        <v>-0.14000000000000001</v>
      </c>
      <c r="AL154">
        <v>-0.27300000000000002</v>
      </c>
      <c r="AM154">
        <v>0.19900000000000001</v>
      </c>
      <c r="AN154">
        <v>0.17799999999999999</v>
      </c>
      <c r="AO154">
        <v>0.53800000000000003</v>
      </c>
      <c r="AP154">
        <v>1</v>
      </c>
      <c r="AQ154">
        <v>0.69499999999999995</v>
      </c>
      <c r="AR154">
        <v>-0.38200000000000001</v>
      </c>
      <c r="AS154">
        <v>-0.54800000000000004</v>
      </c>
      <c r="AT154">
        <v>-0.54600000000000004</v>
      </c>
      <c r="AU154">
        <v>0.441</v>
      </c>
      <c r="AV154">
        <v>3.6999999999999998E-2</v>
      </c>
      <c r="AW154">
        <v>0.60399999999999998</v>
      </c>
      <c r="AX154">
        <v>-0.89200000000000002</v>
      </c>
      <c r="AY154">
        <v>0.61399999999999999</v>
      </c>
      <c r="AZ154">
        <v>0.42499999999999999</v>
      </c>
      <c r="BA154">
        <v>0.13200000000000001</v>
      </c>
      <c r="BE154" s="20"/>
      <c r="BF154" s="21"/>
      <c r="BG154" s="21"/>
      <c r="BH154" s="21"/>
      <c r="BL154" t="s">
        <v>239</v>
      </c>
      <c r="BM154" t="s">
        <v>291</v>
      </c>
      <c r="BN154" t="s">
        <v>281</v>
      </c>
    </row>
    <row r="155" spans="1:66" ht="15" thickBot="1" x14ac:dyDescent="0.35">
      <c r="A155" t="s">
        <v>212</v>
      </c>
      <c r="B155">
        <v>0.53900000000000003</v>
      </c>
      <c r="C155">
        <v>0.42299999999999999</v>
      </c>
      <c r="D155" t="s">
        <v>57</v>
      </c>
      <c r="E155">
        <v>0</v>
      </c>
      <c r="F155">
        <v>0</v>
      </c>
      <c r="G155">
        <v>0</v>
      </c>
      <c r="H155">
        <v>-0.84299999999999997</v>
      </c>
      <c r="I155">
        <v>-0.76600000000000001</v>
      </c>
      <c r="J155">
        <v>-0.82199999999999995</v>
      </c>
      <c r="K155">
        <v>-0.82199999999999995</v>
      </c>
      <c r="L155">
        <v>-0.78900000000000003</v>
      </c>
      <c r="M155">
        <v>-0.78100000000000003</v>
      </c>
      <c r="N155">
        <v>-0.71199999999999997</v>
      </c>
      <c r="O155">
        <v>-0.746</v>
      </c>
      <c r="P155">
        <v>0.22600000000000001</v>
      </c>
      <c r="Q155">
        <v>0.22800000000000001</v>
      </c>
      <c r="R155">
        <v>0.35599999999999998</v>
      </c>
      <c r="S155">
        <v>0.40300000000000002</v>
      </c>
      <c r="T155">
        <v>0.30399999999999999</v>
      </c>
      <c r="U155">
        <v>-0.74299999999999999</v>
      </c>
      <c r="V155">
        <v>-0.45400000000000001</v>
      </c>
      <c r="W155">
        <v>-0.81699999999999995</v>
      </c>
      <c r="X155">
        <v>-0.46</v>
      </c>
      <c r="Y155">
        <v>-0.39100000000000001</v>
      </c>
      <c r="Z155">
        <v>-0.315</v>
      </c>
      <c r="AA155">
        <v>-0.18099999999999999</v>
      </c>
      <c r="AB155">
        <v>-0.373</v>
      </c>
      <c r="AC155">
        <v>-0.68200000000000005</v>
      </c>
      <c r="AD155">
        <v>-0.39300000000000002</v>
      </c>
      <c r="AE155">
        <v>-0.377</v>
      </c>
      <c r="AF155">
        <v>-0.222</v>
      </c>
      <c r="AG155">
        <v>0.19400000000000001</v>
      </c>
      <c r="AH155">
        <v>6.7000000000000004E-2</v>
      </c>
      <c r="AI155">
        <v>0.27200000000000002</v>
      </c>
      <c r="AJ155">
        <v>0.624</v>
      </c>
      <c r="AK155">
        <v>-0.182</v>
      </c>
      <c r="AL155">
        <v>-0.32800000000000001</v>
      </c>
      <c r="AM155">
        <v>-0.12</v>
      </c>
      <c r="AN155">
        <v>0.42799999999999999</v>
      </c>
      <c r="AO155">
        <v>0.83099999999999996</v>
      </c>
      <c r="AP155">
        <v>0.14599999999999999</v>
      </c>
      <c r="AQ155">
        <v>-5.7000000000000002E-2</v>
      </c>
      <c r="AR155">
        <v>-0.89600000000000002</v>
      </c>
      <c r="AS155">
        <v>-0.39500000000000002</v>
      </c>
      <c r="AT155">
        <v>-0.434</v>
      </c>
      <c r="AU155">
        <v>0.8</v>
      </c>
      <c r="AV155">
        <v>0.14899999999999999</v>
      </c>
      <c r="AW155">
        <v>0.25</v>
      </c>
      <c r="AX155">
        <v>-0.71299999999999997</v>
      </c>
      <c r="AY155">
        <v>0.223</v>
      </c>
      <c r="AZ155">
        <v>-0.16900000000000001</v>
      </c>
      <c r="BA155">
        <v>0.16500000000000001</v>
      </c>
      <c r="BE155" s="20"/>
      <c r="BF155" s="21"/>
      <c r="BG155" s="21"/>
      <c r="BH155" s="21"/>
      <c r="BL155" t="s">
        <v>262</v>
      </c>
      <c r="BM155" t="s">
        <v>293</v>
      </c>
      <c r="BN155" t="s">
        <v>279</v>
      </c>
    </row>
    <row r="156" spans="1:66" ht="15" thickBot="1" x14ac:dyDescent="0.35">
      <c r="A156" t="s">
        <v>96</v>
      </c>
      <c r="B156">
        <v>2.3519999999999999</v>
      </c>
      <c r="C156">
        <v>2.2879999999999998</v>
      </c>
      <c r="D156" t="s">
        <v>57</v>
      </c>
      <c r="E156">
        <v>0</v>
      </c>
      <c r="F156">
        <v>0</v>
      </c>
      <c r="G156">
        <v>0</v>
      </c>
      <c r="H156">
        <v>0.23100000000000001</v>
      </c>
      <c r="I156">
        <v>0.503</v>
      </c>
      <c r="J156">
        <v>-4.9000000000000002E-2</v>
      </c>
      <c r="K156">
        <v>0.50900000000000001</v>
      </c>
      <c r="L156">
        <v>0.56399999999999995</v>
      </c>
      <c r="M156">
        <v>0.49399999999999999</v>
      </c>
      <c r="N156">
        <v>0.53700000000000003</v>
      </c>
      <c r="O156">
        <v>0.72099999999999997</v>
      </c>
      <c r="P156">
        <v>0.622</v>
      </c>
      <c r="Q156">
        <v>0.627</v>
      </c>
      <c r="R156">
        <v>0.79400000000000004</v>
      </c>
      <c r="S156">
        <v>0.79600000000000004</v>
      </c>
      <c r="T156">
        <v>0.65600000000000003</v>
      </c>
      <c r="U156">
        <v>0.71199999999999997</v>
      </c>
      <c r="V156">
        <v>0.25700000000000001</v>
      </c>
      <c r="W156">
        <v>-0.23799999999999999</v>
      </c>
      <c r="X156">
        <v>-0.628</v>
      </c>
      <c r="Y156">
        <v>-0.21</v>
      </c>
      <c r="Z156">
        <v>-3.4000000000000002E-2</v>
      </c>
      <c r="AA156">
        <v>-0.13700000000000001</v>
      </c>
      <c r="AB156">
        <v>0.38500000000000001</v>
      </c>
      <c r="AC156">
        <v>-0.85599999999999998</v>
      </c>
      <c r="AD156">
        <v>0.11899999999999999</v>
      </c>
      <c r="AE156">
        <v>0.17699999999999999</v>
      </c>
      <c r="AF156">
        <v>0.46500000000000002</v>
      </c>
      <c r="AG156">
        <v>0.44900000000000001</v>
      </c>
      <c r="AH156">
        <v>0.193</v>
      </c>
      <c r="AI156">
        <v>0.38500000000000001</v>
      </c>
      <c r="AJ156">
        <v>1</v>
      </c>
      <c r="AK156">
        <v>0.10199999999999999</v>
      </c>
      <c r="AL156">
        <v>0.54600000000000004</v>
      </c>
      <c r="AM156">
        <v>0.14399999999999999</v>
      </c>
      <c r="AN156">
        <v>0.31</v>
      </c>
      <c r="AO156">
        <v>0.84099999999999997</v>
      </c>
      <c r="AP156">
        <v>0.96299999999999997</v>
      </c>
      <c r="AQ156">
        <v>0.32600000000000001</v>
      </c>
      <c r="AR156">
        <v>-0.75900000000000001</v>
      </c>
      <c r="AS156">
        <v>-0.29499999999999998</v>
      </c>
      <c r="AT156">
        <v>-0.27400000000000002</v>
      </c>
      <c r="AU156">
        <v>0.57299999999999995</v>
      </c>
      <c r="AV156">
        <v>-4.2999999999999997E-2</v>
      </c>
      <c r="AW156">
        <v>0.33500000000000002</v>
      </c>
      <c r="AX156">
        <v>-0.98099999999999998</v>
      </c>
      <c r="AY156">
        <v>0.17199999999999999</v>
      </c>
      <c r="AZ156">
        <v>-0.42699999999999999</v>
      </c>
      <c r="BA156">
        <v>-0.33600000000000002</v>
      </c>
      <c r="BE156" s="20"/>
      <c r="BF156" s="21"/>
      <c r="BG156" s="21"/>
      <c r="BH156" s="21"/>
      <c r="BL156" t="s">
        <v>233</v>
      </c>
      <c r="BM156" t="s">
        <v>300</v>
      </c>
      <c r="BN156" t="s">
        <v>279</v>
      </c>
    </row>
    <row r="157" spans="1:66" ht="15" thickBot="1" x14ac:dyDescent="0.35">
      <c r="A157" t="s">
        <v>65</v>
      </c>
      <c r="B157">
        <v>2.3149999999999999</v>
      </c>
      <c r="C157">
        <v>2.5059999999999998</v>
      </c>
      <c r="D157" t="s">
        <v>57</v>
      </c>
      <c r="E157">
        <v>0</v>
      </c>
      <c r="F157">
        <v>0</v>
      </c>
      <c r="G157">
        <v>0</v>
      </c>
      <c r="H157">
        <v>0.20100000000000001</v>
      </c>
      <c r="I157">
        <v>0.158</v>
      </c>
      <c r="J157">
        <v>0.56999999999999995</v>
      </c>
      <c r="K157">
        <v>2.1000000000000001E-2</v>
      </c>
      <c r="L157">
        <v>0.36499999999999999</v>
      </c>
      <c r="M157">
        <v>0.36399999999999999</v>
      </c>
      <c r="N157">
        <v>0.48599999999999999</v>
      </c>
      <c r="O157">
        <v>0.73299999999999998</v>
      </c>
      <c r="P157">
        <v>0.63600000000000001</v>
      </c>
      <c r="Q157">
        <v>0.63700000000000001</v>
      </c>
      <c r="R157">
        <v>0.82499999999999996</v>
      </c>
      <c r="S157">
        <v>0.69899999999999995</v>
      </c>
      <c r="T157">
        <v>0.749</v>
      </c>
      <c r="U157">
        <v>0.156</v>
      </c>
      <c r="V157">
        <v>-0.11600000000000001</v>
      </c>
      <c r="W157">
        <v>-0.124</v>
      </c>
      <c r="X157">
        <v>0.97799999999999998</v>
      </c>
      <c r="Y157">
        <v>0.64900000000000002</v>
      </c>
      <c r="Z157">
        <v>-7.6999999999999999E-2</v>
      </c>
      <c r="AA157">
        <v>-0.16500000000000001</v>
      </c>
      <c r="AB157">
        <v>0.98599999999999999</v>
      </c>
      <c r="AC157">
        <v>-3.1E-2</v>
      </c>
      <c r="AD157">
        <v>-4.9000000000000002E-2</v>
      </c>
      <c r="AE157">
        <v>-0.128</v>
      </c>
      <c r="AF157">
        <v>-2.1999999999999999E-2</v>
      </c>
      <c r="AG157">
        <v>2.1000000000000001E-2</v>
      </c>
      <c r="AH157">
        <v>-0.13</v>
      </c>
      <c r="AI157">
        <v>-0.125</v>
      </c>
      <c r="AJ157">
        <v>1.6E-2</v>
      </c>
      <c r="AK157">
        <v>-0.41199999999999998</v>
      </c>
      <c r="AL157">
        <v>-6.4000000000000001E-2</v>
      </c>
      <c r="AM157">
        <v>0.59799999999999998</v>
      </c>
      <c r="AN157">
        <v>-0.36699999999999999</v>
      </c>
      <c r="AO157">
        <v>0.67800000000000005</v>
      </c>
      <c r="AP157">
        <v>0.41099999999999998</v>
      </c>
      <c r="AQ157">
        <v>0.23100000000000001</v>
      </c>
      <c r="AR157">
        <v>-2.9000000000000001E-2</v>
      </c>
      <c r="AS157">
        <v>-0.434</v>
      </c>
      <c r="AT157">
        <v>-0.499</v>
      </c>
      <c r="AU157">
        <v>0.43</v>
      </c>
      <c r="AV157">
        <v>0.67100000000000004</v>
      </c>
      <c r="AW157">
        <v>0.88100000000000001</v>
      </c>
      <c r="AX157">
        <v>-0.40400000000000003</v>
      </c>
      <c r="AY157">
        <v>0.26500000000000001</v>
      </c>
      <c r="AZ157">
        <v>0.72899999999999998</v>
      </c>
      <c r="BA157">
        <v>0.63800000000000001</v>
      </c>
      <c r="BE157" s="20"/>
      <c r="BF157" s="21"/>
      <c r="BG157" s="21"/>
      <c r="BH157" s="21"/>
      <c r="BL157" t="s">
        <v>59</v>
      </c>
      <c r="BM157" t="s">
        <v>296</v>
      </c>
      <c r="BN157" t="s">
        <v>279</v>
      </c>
    </row>
    <row r="158" spans="1:66" ht="15" thickBot="1" x14ac:dyDescent="0.35">
      <c r="A158" t="s">
        <v>187</v>
      </c>
      <c r="B158">
        <v>0.53300000000000003</v>
      </c>
      <c r="C158">
        <v>0.502</v>
      </c>
      <c r="D158" t="s">
        <v>53</v>
      </c>
      <c r="E158">
        <v>0</v>
      </c>
      <c r="F158">
        <v>0</v>
      </c>
      <c r="G158">
        <v>0</v>
      </c>
      <c r="H158">
        <v>-0.77900000000000003</v>
      </c>
      <c r="I158">
        <v>-0.79</v>
      </c>
      <c r="J158">
        <v>-0.84499999999999997</v>
      </c>
      <c r="K158">
        <v>-0.76100000000000001</v>
      </c>
      <c r="L158">
        <v>-0.80400000000000005</v>
      </c>
      <c r="M158">
        <v>-0.748</v>
      </c>
      <c r="N158">
        <v>-0.68400000000000005</v>
      </c>
      <c r="O158">
        <v>-0.78800000000000003</v>
      </c>
      <c r="P158">
        <v>0.111</v>
      </c>
      <c r="Q158">
        <v>0.114</v>
      </c>
      <c r="R158">
        <v>0.51</v>
      </c>
      <c r="S158">
        <v>0.48299999999999998</v>
      </c>
      <c r="T158">
        <v>0.11700000000000001</v>
      </c>
      <c r="U158">
        <v>-0.33700000000000002</v>
      </c>
      <c r="V158">
        <v>-0.13400000000000001</v>
      </c>
      <c r="W158">
        <v>-0.751</v>
      </c>
      <c r="X158">
        <v>-0.65500000000000003</v>
      </c>
      <c r="Y158">
        <v>-0.94199999999999995</v>
      </c>
      <c r="Z158">
        <v>-0.50700000000000001</v>
      </c>
      <c r="AA158">
        <v>-2.9000000000000001E-2</v>
      </c>
      <c r="AB158">
        <v>-0.58399999999999996</v>
      </c>
      <c r="AC158">
        <v>-0.22800000000000001</v>
      </c>
      <c r="AD158">
        <v>0.79400000000000004</v>
      </c>
      <c r="AE158">
        <v>-0.78900000000000003</v>
      </c>
      <c r="AF158">
        <v>0.157</v>
      </c>
      <c r="AG158">
        <v>0.311</v>
      </c>
      <c r="AH158">
        <v>-8.5999999999999993E-2</v>
      </c>
      <c r="AI158">
        <v>-0.439</v>
      </c>
      <c r="AJ158">
        <v>0.60899999999999999</v>
      </c>
      <c r="AK158">
        <v>-0.33500000000000002</v>
      </c>
      <c r="AL158">
        <v>-4.8000000000000001E-2</v>
      </c>
      <c r="AM158">
        <v>0.128</v>
      </c>
      <c r="AN158">
        <v>0.126</v>
      </c>
      <c r="AO158">
        <v>0.95399999999999996</v>
      </c>
      <c r="AP158">
        <v>-6.0999999999999999E-2</v>
      </c>
      <c r="AQ158">
        <v>2.7E-2</v>
      </c>
      <c r="AR158">
        <v>-0.54</v>
      </c>
      <c r="AS158">
        <v>-0.36499999999999999</v>
      </c>
      <c r="AT158">
        <v>-7.6999999999999999E-2</v>
      </c>
      <c r="AU158">
        <v>0.747</v>
      </c>
      <c r="AV158">
        <v>1</v>
      </c>
      <c r="AW158">
        <v>-4.9000000000000002E-2</v>
      </c>
      <c r="AX158">
        <v>-1.2999999999999999E-2</v>
      </c>
      <c r="AY158">
        <v>-0.219</v>
      </c>
      <c r="AZ158">
        <v>8.1000000000000003E-2</v>
      </c>
      <c r="BA158">
        <v>-6.5000000000000002E-2</v>
      </c>
      <c r="BE158" s="20"/>
      <c r="BF158" s="21"/>
      <c r="BG158" s="21"/>
      <c r="BH158" s="21"/>
      <c r="BL158" t="s">
        <v>252</v>
      </c>
      <c r="BM158" t="s">
        <v>288</v>
      </c>
      <c r="BN158" t="s">
        <v>287</v>
      </c>
    </row>
    <row r="159" spans="1:66" ht="15" thickBot="1" x14ac:dyDescent="0.35">
      <c r="A159" t="s">
        <v>180</v>
      </c>
      <c r="B159">
        <v>0.77200000000000002</v>
      </c>
      <c r="C159">
        <v>0.85099999999999998</v>
      </c>
      <c r="D159" t="s">
        <v>57</v>
      </c>
      <c r="E159">
        <v>0</v>
      </c>
      <c r="F159">
        <v>0</v>
      </c>
      <c r="G159">
        <v>0</v>
      </c>
      <c r="H159">
        <v>-0.16400000000000001</v>
      </c>
      <c r="I159">
        <v>-0.19800000000000001</v>
      </c>
      <c r="J159">
        <v>6.5000000000000002E-2</v>
      </c>
      <c r="K159">
        <v>-0.35199999999999998</v>
      </c>
      <c r="L159">
        <v>-0.161</v>
      </c>
      <c r="M159">
        <v>-0.17899999999999999</v>
      </c>
      <c r="N159">
        <v>-4.0000000000000001E-3</v>
      </c>
      <c r="O159">
        <v>-0.371</v>
      </c>
      <c r="P159">
        <v>0.20399999999999999</v>
      </c>
      <c r="Q159">
        <v>0.20799999999999999</v>
      </c>
      <c r="R159">
        <v>0.51300000000000001</v>
      </c>
      <c r="S159">
        <v>0.39100000000000001</v>
      </c>
      <c r="T159">
        <v>0.216</v>
      </c>
      <c r="U159">
        <v>0.182</v>
      </c>
      <c r="V159">
        <v>-0.58499999999999996</v>
      </c>
      <c r="W159">
        <v>-0.8</v>
      </c>
      <c r="X159">
        <v>-0.51900000000000002</v>
      </c>
      <c r="Y159">
        <v>-7.0000000000000001E-3</v>
      </c>
      <c r="Z159">
        <v>1</v>
      </c>
      <c r="AA159">
        <v>-0.46400000000000002</v>
      </c>
      <c r="AB159">
        <v>-0.75</v>
      </c>
      <c r="AC159">
        <v>-0.95</v>
      </c>
      <c r="AD159">
        <v>0.39300000000000002</v>
      </c>
      <c r="AE159">
        <v>-0.439</v>
      </c>
      <c r="AF159">
        <v>7.3999999999999996E-2</v>
      </c>
      <c r="AG159">
        <v>0.155</v>
      </c>
      <c r="AH159">
        <v>0.03</v>
      </c>
      <c r="AI159">
        <v>-0.24099999999999999</v>
      </c>
      <c r="AJ159">
        <v>0.874</v>
      </c>
      <c r="AK159">
        <v>7.6999999999999999E-2</v>
      </c>
      <c r="AL159">
        <v>0.878</v>
      </c>
      <c r="AM159">
        <v>0.39</v>
      </c>
      <c r="AN159">
        <v>2.1999999999999999E-2</v>
      </c>
      <c r="AO159">
        <v>0.91500000000000004</v>
      </c>
      <c r="AP159">
        <v>0.54</v>
      </c>
      <c r="AQ159">
        <v>0.46300000000000002</v>
      </c>
      <c r="AR159">
        <v>-0.52</v>
      </c>
      <c r="AS159">
        <v>-0.52</v>
      </c>
      <c r="AT159">
        <v>0.11700000000000001</v>
      </c>
      <c r="AU159">
        <v>0.46200000000000002</v>
      </c>
      <c r="AV159">
        <v>-0.40899999999999997</v>
      </c>
      <c r="AW159">
        <v>0.53900000000000003</v>
      </c>
      <c r="AX159">
        <v>-0.42899999999999999</v>
      </c>
      <c r="AY159">
        <v>0.155</v>
      </c>
      <c r="AZ159">
        <v>0.313</v>
      </c>
      <c r="BA159">
        <v>0.72199999999999998</v>
      </c>
      <c r="BE159" s="20"/>
      <c r="BF159" s="21"/>
      <c r="BG159" s="21"/>
      <c r="BH159" s="21"/>
      <c r="BL159" t="s">
        <v>75</v>
      </c>
      <c r="BM159" t="s">
        <v>295</v>
      </c>
      <c r="BN159" t="s">
        <v>287</v>
      </c>
    </row>
    <row r="160" spans="1:66" ht="15" thickBot="1" x14ac:dyDescent="0.35">
      <c r="A160" t="s">
        <v>239</v>
      </c>
      <c r="B160">
        <v>0.49399999999999999</v>
      </c>
      <c r="C160">
        <v>0.34599999999999997</v>
      </c>
      <c r="D160" t="s">
        <v>57</v>
      </c>
      <c r="E160">
        <v>0</v>
      </c>
      <c r="F160">
        <v>0</v>
      </c>
      <c r="G160">
        <v>0</v>
      </c>
      <c r="H160">
        <v>-0.70799999999999996</v>
      </c>
      <c r="I160">
        <v>-0.84799999999999998</v>
      </c>
      <c r="J160">
        <v>-0.38200000000000001</v>
      </c>
      <c r="K160">
        <v>-0.77</v>
      </c>
      <c r="L160">
        <v>-0.79400000000000004</v>
      </c>
      <c r="M160">
        <v>-0.85699999999999998</v>
      </c>
      <c r="N160">
        <v>-0.878</v>
      </c>
      <c r="O160">
        <v>-0.90900000000000003</v>
      </c>
      <c r="P160">
        <v>-0.47599999999999998</v>
      </c>
      <c r="Q160">
        <v>-0.48</v>
      </c>
      <c r="R160">
        <v>-0.20799999999999999</v>
      </c>
      <c r="S160">
        <v>-0.24399999999999999</v>
      </c>
      <c r="T160">
        <v>-0.53600000000000003</v>
      </c>
      <c r="U160">
        <v>-4.1000000000000002E-2</v>
      </c>
      <c r="V160">
        <v>-0.2</v>
      </c>
      <c r="W160">
        <v>-0.90400000000000003</v>
      </c>
      <c r="X160">
        <v>-0.16900000000000001</v>
      </c>
      <c r="Y160">
        <v>-8.7999999999999995E-2</v>
      </c>
      <c r="Z160">
        <v>1</v>
      </c>
      <c r="AA160">
        <v>-0.66500000000000004</v>
      </c>
      <c r="AB160">
        <v>-1</v>
      </c>
      <c r="AC160">
        <v>-0.28999999999999998</v>
      </c>
      <c r="AD160">
        <v>7.6999999999999999E-2</v>
      </c>
      <c r="AE160">
        <v>-0.59499999999999997</v>
      </c>
      <c r="AF160">
        <v>-0.71099999999999997</v>
      </c>
      <c r="AG160">
        <v>0.99</v>
      </c>
      <c r="AH160">
        <v>-0.55500000000000005</v>
      </c>
      <c r="AI160">
        <v>-8.6999999999999994E-2</v>
      </c>
      <c r="AJ160">
        <v>-0.22</v>
      </c>
      <c r="AK160">
        <v>-0.45400000000000001</v>
      </c>
      <c r="AL160">
        <v>0.69299999999999995</v>
      </c>
      <c r="AM160">
        <v>-0.76400000000000001</v>
      </c>
      <c r="AN160">
        <v>0.44900000000000001</v>
      </c>
      <c r="AO160">
        <v>0.20799999999999999</v>
      </c>
      <c r="AP160">
        <v>0.32900000000000001</v>
      </c>
      <c r="AQ160">
        <v>0.107</v>
      </c>
      <c r="AR160">
        <v>-0.63200000000000001</v>
      </c>
      <c r="AS160">
        <v>-0.61099999999999999</v>
      </c>
      <c r="AT160">
        <v>0.57299999999999995</v>
      </c>
      <c r="AU160">
        <v>-0.88300000000000001</v>
      </c>
      <c r="AV160">
        <v>-1</v>
      </c>
      <c r="AW160">
        <v>-0.27</v>
      </c>
      <c r="AX160">
        <v>0.28199999999999997</v>
      </c>
      <c r="AY160">
        <v>8.7999999999999995E-2</v>
      </c>
      <c r="AZ160">
        <v>-0.38300000000000001</v>
      </c>
      <c r="BA160">
        <v>0.91300000000000003</v>
      </c>
      <c r="BE160" s="20"/>
      <c r="BF160" s="21"/>
      <c r="BG160" s="21"/>
      <c r="BH160" s="21"/>
      <c r="BL160" t="s">
        <v>167</v>
      </c>
      <c r="BM160" t="s">
        <v>291</v>
      </c>
      <c r="BN160" t="s">
        <v>281</v>
      </c>
    </row>
    <row r="161" spans="1:66" ht="15" thickBot="1" x14ac:dyDescent="0.35">
      <c r="A161" t="s">
        <v>262</v>
      </c>
      <c r="B161">
        <v>0.46800000000000003</v>
      </c>
      <c r="C161">
        <v>0.35399999999999998</v>
      </c>
      <c r="D161" t="s">
        <v>68</v>
      </c>
      <c r="E161">
        <v>0</v>
      </c>
      <c r="F161">
        <v>0</v>
      </c>
      <c r="G161">
        <v>0</v>
      </c>
      <c r="H161">
        <v>-1</v>
      </c>
      <c r="I161">
        <v>-1</v>
      </c>
      <c r="J161">
        <v>-0.92400000000000004</v>
      </c>
      <c r="K161">
        <v>-1</v>
      </c>
      <c r="L161">
        <v>-1</v>
      </c>
      <c r="M161">
        <v>-0.997</v>
      </c>
      <c r="N161">
        <v>-0.96299999999999997</v>
      </c>
      <c r="O161">
        <v>-1</v>
      </c>
      <c r="P161">
        <v>-1</v>
      </c>
      <c r="Q161">
        <v>-1</v>
      </c>
      <c r="R161">
        <v>-0.88</v>
      </c>
      <c r="S161">
        <v>-0.84099999999999997</v>
      </c>
      <c r="T161">
        <v>-0.81299999999999994</v>
      </c>
      <c r="U161">
        <v>-1</v>
      </c>
      <c r="V161">
        <v>-1</v>
      </c>
      <c r="W161">
        <v>-1</v>
      </c>
      <c r="X161">
        <v>-0.61599999999999999</v>
      </c>
      <c r="Y161">
        <v>-0.46300000000000002</v>
      </c>
      <c r="Z161">
        <v>-0.51600000000000001</v>
      </c>
      <c r="AA161">
        <v>-0.98799999999999999</v>
      </c>
      <c r="AB161">
        <v>-1</v>
      </c>
      <c r="AC161">
        <v>-0.51900000000000002</v>
      </c>
      <c r="AD161">
        <v>-0.64200000000000002</v>
      </c>
      <c r="AE161">
        <v>-0.94399999999999995</v>
      </c>
      <c r="AF161">
        <v>-0.65200000000000002</v>
      </c>
      <c r="AG161">
        <v>-1</v>
      </c>
      <c r="AH161">
        <v>0.59099999999999997</v>
      </c>
      <c r="AI161">
        <v>0.19400000000000001</v>
      </c>
      <c r="AJ161">
        <v>-0.94899999999999995</v>
      </c>
      <c r="AK161">
        <v>-0.77500000000000002</v>
      </c>
      <c r="AL161">
        <v>-0.84599999999999997</v>
      </c>
      <c r="AM161">
        <v>-8.5000000000000006E-2</v>
      </c>
      <c r="AN161">
        <v>-0.92900000000000005</v>
      </c>
      <c r="AO161">
        <v>-1</v>
      </c>
      <c r="AP161">
        <v>-0.88400000000000001</v>
      </c>
      <c r="AQ161">
        <v>5.6000000000000001E-2</v>
      </c>
      <c r="AR161">
        <v>0.97799999999999998</v>
      </c>
      <c r="AS161">
        <v>0.246</v>
      </c>
      <c r="AT161">
        <v>-6.8000000000000005E-2</v>
      </c>
      <c r="AU161">
        <v>1</v>
      </c>
      <c r="AV161">
        <v>-0.68600000000000005</v>
      </c>
      <c r="AW161">
        <v>0.45700000000000002</v>
      </c>
      <c r="AX161">
        <v>1</v>
      </c>
      <c r="AY161">
        <v>-0.159</v>
      </c>
      <c r="AZ161">
        <v>0.94499999999999995</v>
      </c>
      <c r="BA161">
        <v>0.95799999999999996</v>
      </c>
      <c r="BE161" s="20"/>
      <c r="BF161" s="21"/>
      <c r="BG161" s="21"/>
      <c r="BH161" s="21"/>
      <c r="BL161" t="s">
        <v>201</v>
      </c>
      <c r="BM161" t="s">
        <v>292</v>
      </c>
      <c r="BN161" t="s">
        <v>279</v>
      </c>
    </row>
    <row r="162" spans="1:66" ht="15" thickBot="1" x14ac:dyDescent="0.35">
      <c r="A162" t="s">
        <v>233</v>
      </c>
      <c r="B162">
        <v>0.62</v>
      </c>
      <c r="C162">
        <v>0.49299999999999999</v>
      </c>
      <c r="D162" t="s">
        <v>71</v>
      </c>
      <c r="E162">
        <v>0</v>
      </c>
      <c r="F162">
        <v>0</v>
      </c>
      <c r="G162">
        <v>0</v>
      </c>
      <c r="H162">
        <v>-0.55000000000000004</v>
      </c>
      <c r="I162">
        <v>-0.51300000000000001</v>
      </c>
      <c r="J162">
        <v>-0.89200000000000002</v>
      </c>
      <c r="K162">
        <v>-0.23200000000000001</v>
      </c>
      <c r="L162">
        <v>-0.57699999999999996</v>
      </c>
      <c r="M162">
        <v>-0.44900000000000001</v>
      </c>
      <c r="N162">
        <v>-0.50900000000000001</v>
      </c>
      <c r="O162">
        <v>-0.72899999999999998</v>
      </c>
      <c r="P162">
        <v>0.438</v>
      </c>
      <c r="Q162">
        <v>0.438</v>
      </c>
      <c r="R162">
        <v>0.54900000000000004</v>
      </c>
      <c r="S162">
        <v>0.81</v>
      </c>
      <c r="T162">
        <v>0.56999999999999995</v>
      </c>
      <c r="U162">
        <v>-0.224</v>
      </c>
      <c r="V162">
        <v>0.505</v>
      </c>
      <c r="W162">
        <v>0.627</v>
      </c>
      <c r="X162">
        <v>-0.55400000000000005</v>
      </c>
      <c r="Y162">
        <v>-0.54</v>
      </c>
      <c r="Z162">
        <v>-0.61199999999999999</v>
      </c>
      <c r="AA162">
        <v>7.6999999999999999E-2</v>
      </c>
      <c r="AB162">
        <v>-1</v>
      </c>
      <c r="AC162">
        <v>0.10299999999999999</v>
      </c>
      <c r="AD162">
        <v>0.495</v>
      </c>
      <c r="AE162">
        <v>0.44400000000000001</v>
      </c>
      <c r="AF162">
        <v>0.317</v>
      </c>
      <c r="AG162">
        <v>0.30299999999999999</v>
      </c>
      <c r="AH162">
        <v>0.39600000000000002</v>
      </c>
      <c r="AI162">
        <v>3.5000000000000003E-2</v>
      </c>
      <c r="AJ162">
        <v>-0.105</v>
      </c>
      <c r="AK162">
        <v>0.129</v>
      </c>
      <c r="AL162">
        <v>0.18099999999999999</v>
      </c>
      <c r="AM162">
        <v>9.4E-2</v>
      </c>
      <c r="AN162">
        <v>-0.32700000000000001</v>
      </c>
      <c r="AO162">
        <v>0.51800000000000002</v>
      </c>
      <c r="AP162">
        <v>-0.95099999999999996</v>
      </c>
      <c r="AQ162">
        <v>0.35899999999999999</v>
      </c>
      <c r="AR162">
        <v>-0.376</v>
      </c>
      <c r="AS162">
        <v>-3.3000000000000002E-2</v>
      </c>
      <c r="AT162">
        <v>-0.251</v>
      </c>
      <c r="AU162">
        <v>-0.44500000000000001</v>
      </c>
      <c r="AV162">
        <v>0.39</v>
      </c>
      <c r="AW162">
        <v>0.19800000000000001</v>
      </c>
      <c r="AX162">
        <v>0.16500000000000001</v>
      </c>
      <c r="AY162">
        <v>-0.77900000000000003</v>
      </c>
      <c r="AZ162">
        <v>-0.99</v>
      </c>
      <c r="BA162">
        <v>0.16500000000000001</v>
      </c>
      <c r="BE162" s="20"/>
      <c r="BF162" s="21"/>
      <c r="BG162" s="21"/>
      <c r="BH162" s="21"/>
      <c r="BL162" t="s">
        <v>92</v>
      </c>
      <c r="BM162" t="s">
        <v>291</v>
      </c>
      <c r="BN162" t="s">
        <v>281</v>
      </c>
    </row>
    <row r="163" spans="1:66" ht="15" thickBot="1" x14ac:dyDescent="0.35">
      <c r="A163" t="s">
        <v>59</v>
      </c>
      <c r="B163">
        <v>3.2610000000000001</v>
      </c>
      <c r="C163">
        <v>2.5209999999999999</v>
      </c>
      <c r="D163" t="s">
        <v>57</v>
      </c>
      <c r="E163">
        <v>0</v>
      </c>
      <c r="F163">
        <v>0</v>
      </c>
      <c r="G163">
        <v>0</v>
      </c>
      <c r="H163">
        <v>1</v>
      </c>
      <c r="I163">
        <v>0.90600000000000003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0.84699999999999998</v>
      </c>
      <c r="S163">
        <v>0.80900000000000005</v>
      </c>
      <c r="T163">
        <v>0.96599999999999997</v>
      </c>
      <c r="U163">
        <v>1</v>
      </c>
      <c r="V163">
        <v>1</v>
      </c>
      <c r="W163">
        <v>0.17399999999999999</v>
      </c>
      <c r="X163">
        <v>1</v>
      </c>
      <c r="Y163">
        <v>-3.5999999999999997E-2</v>
      </c>
      <c r="Z163">
        <v>1</v>
      </c>
      <c r="AA163">
        <v>0.89300000000000002</v>
      </c>
      <c r="AB163">
        <v>1</v>
      </c>
      <c r="AC163">
        <v>0.503</v>
      </c>
      <c r="AD163">
        <v>0.72199999999999998</v>
      </c>
      <c r="AE163">
        <v>-0.35399999999999998</v>
      </c>
      <c r="AF163">
        <v>-0.49299999999999999</v>
      </c>
      <c r="AG163">
        <v>0.36899999999999999</v>
      </c>
      <c r="AH163">
        <v>-0.124</v>
      </c>
      <c r="AI163">
        <v>-6.0000000000000001E-3</v>
      </c>
      <c r="AJ163">
        <v>0.80800000000000005</v>
      </c>
      <c r="AK163">
        <v>-0.377</v>
      </c>
      <c r="AL163">
        <v>0.63700000000000001</v>
      </c>
      <c r="AM163">
        <v>0.36099999999999999</v>
      </c>
      <c r="AN163">
        <v>9.7000000000000003E-2</v>
      </c>
      <c r="AO163">
        <v>0.67400000000000004</v>
      </c>
      <c r="AP163">
        <v>0.223</v>
      </c>
      <c r="AQ163">
        <v>0.65500000000000003</v>
      </c>
      <c r="AR163">
        <v>0.318</v>
      </c>
      <c r="AS163">
        <v>0.317</v>
      </c>
      <c r="AT163">
        <v>0.50900000000000001</v>
      </c>
      <c r="AU163">
        <v>0.86399999999999999</v>
      </c>
      <c r="AV163">
        <v>1</v>
      </c>
      <c r="AW163">
        <v>0.73199999999999998</v>
      </c>
      <c r="AX163">
        <v>-0.45600000000000002</v>
      </c>
      <c r="AY163">
        <v>-0.442</v>
      </c>
      <c r="AZ163">
        <v>0.47099999999999997</v>
      </c>
      <c r="BA163">
        <v>0.79200000000000004</v>
      </c>
      <c r="BE163" s="20"/>
      <c r="BF163" s="21"/>
      <c r="BG163" s="21"/>
      <c r="BH163" s="21"/>
      <c r="BL163" t="s">
        <v>77</v>
      </c>
      <c r="BM163" t="s">
        <v>297</v>
      </c>
      <c r="BN163" t="s">
        <v>281</v>
      </c>
    </row>
    <row r="164" spans="1:66" ht="15" thickBot="1" x14ac:dyDescent="0.35">
      <c r="A164" t="s">
        <v>252</v>
      </c>
      <c r="B164">
        <v>0.51400000000000001</v>
      </c>
      <c r="C164">
        <v>0.60599999999999998</v>
      </c>
      <c r="D164" t="s">
        <v>53</v>
      </c>
      <c r="E164">
        <v>0</v>
      </c>
      <c r="F164">
        <v>-2.3E-2</v>
      </c>
      <c r="G164">
        <v>2.3E-2</v>
      </c>
      <c r="H164">
        <v>-0.85299999999999998</v>
      </c>
      <c r="I164">
        <v>-0.76</v>
      </c>
      <c r="J164">
        <v>-0.96399999999999997</v>
      </c>
      <c r="K164">
        <v>-0.75800000000000001</v>
      </c>
      <c r="L164">
        <v>-0.81899999999999995</v>
      </c>
      <c r="M164">
        <v>-0.81899999999999995</v>
      </c>
      <c r="N164">
        <v>-0.77500000000000002</v>
      </c>
      <c r="O164">
        <v>-0.81200000000000006</v>
      </c>
      <c r="P164">
        <v>-0.36799999999999999</v>
      </c>
      <c r="Q164">
        <v>-0.36199999999999999</v>
      </c>
      <c r="R164">
        <v>0.48099999999999998</v>
      </c>
      <c r="S164">
        <v>0.38500000000000001</v>
      </c>
      <c r="T164">
        <v>3.5999999999999997E-2</v>
      </c>
      <c r="U164">
        <v>8.3000000000000004E-2</v>
      </c>
      <c r="V164">
        <v>-0.67</v>
      </c>
      <c r="W164">
        <v>-0.13</v>
      </c>
      <c r="X164">
        <v>-0.65400000000000003</v>
      </c>
      <c r="Y164">
        <v>-0.61699999999999999</v>
      </c>
      <c r="Z164">
        <v>-0.88900000000000001</v>
      </c>
      <c r="AA164">
        <v>0.37</v>
      </c>
      <c r="AB164">
        <v>-0.86499999999999999</v>
      </c>
      <c r="AC164">
        <v>-0.67200000000000004</v>
      </c>
      <c r="AD164">
        <v>-6.6000000000000003E-2</v>
      </c>
      <c r="AE164">
        <v>-0.23100000000000001</v>
      </c>
      <c r="AF164">
        <v>0.54500000000000004</v>
      </c>
      <c r="AG164">
        <v>-0.222</v>
      </c>
      <c r="AH164">
        <v>-1</v>
      </c>
      <c r="AI164">
        <v>-0.93300000000000005</v>
      </c>
      <c r="AJ164">
        <v>0.52200000000000002</v>
      </c>
      <c r="AK164">
        <v>-0.40100000000000002</v>
      </c>
      <c r="AL164">
        <v>0.27700000000000002</v>
      </c>
      <c r="AM164">
        <v>-3.9E-2</v>
      </c>
      <c r="AN164">
        <v>-0.35799999999999998</v>
      </c>
      <c r="AO164">
        <v>0.87</v>
      </c>
      <c r="AP164">
        <v>-0.17599999999999999</v>
      </c>
      <c r="AQ164">
        <v>0.128</v>
      </c>
      <c r="AR164">
        <v>-7.0999999999999994E-2</v>
      </c>
      <c r="AS164">
        <v>0.18</v>
      </c>
      <c r="AT164">
        <v>0.20599999999999999</v>
      </c>
      <c r="AU164">
        <v>-0.995</v>
      </c>
      <c r="AV164">
        <v>-0.40200000000000002</v>
      </c>
      <c r="AW164">
        <v>-5.0999999999999997E-2</v>
      </c>
      <c r="AX164">
        <v>7.2999999999999995E-2</v>
      </c>
      <c r="AY164">
        <v>0.317</v>
      </c>
      <c r="AZ164">
        <v>-0.55500000000000005</v>
      </c>
      <c r="BA164">
        <v>-0.15</v>
      </c>
      <c r="BE164" s="20"/>
      <c r="BF164" s="21"/>
      <c r="BG164" s="21"/>
      <c r="BH164" s="21"/>
      <c r="BL164" t="s">
        <v>101</v>
      </c>
      <c r="BM164" t="s">
        <v>300</v>
      </c>
      <c r="BN164" t="s">
        <v>279</v>
      </c>
    </row>
    <row r="165" spans="1:66" ht="15" thickBot="1" x14ac:dyDescent="0.35">
      <c r="A165" t="s">
        <v>75</v>
      </c>
      <c r="B165">
        <v>1.6180000000000001</v>
      </c>
      <c r="C165">
        <v>1.2470000000000001</v>
      </c>
      <c r="D165" t="s">
        <v>55</v>
      </c>
      <c r="E165">
        <v>0</v>
      </c>
      <c r="F165">
        <v>0</v>
      </c>
      <c r="G165">
        <v>0</v>
      </c>
      <c r="H165">
        <v>0.375</v>
      </c>
      <c r="I165">
        <v>-0.26</v>
      </c>
      <c r="J165">
        <v>0.44</v>
      </c>
      <c r="K165">
        <v>3.5000000000000003E-2</v>
      </c>
      <c r="L165">
        <v>1.4999999999999999E-2</v>
      </c>
      <c r="M165">
        <v>6.3E-2</v>
      </c>
      <c r="N165">
        <v>4.2000000000000003E-2</v>
      </c>
      <c r="O165">
        <v>-0.22900000000000001</v>
      </c>
      <c r="P165">
        <v>0.59399999999999997</v>
      </c>
      <c r="Q165">
        <v>0.59399999999999997</v>
      </c>
      <c r="R165">
        <v>0.70899999999999996</v>
      </c>
      <c r="S165">
        <v>0.95399999999999996</v>
      </c>
      <c r="T165">
        <v>0.71</v>
      </c>
      <c r="U165">
        <v>0.33300000000000002</v>
      </c>
      <c r="V165">
        <v>0.59299999999999997</v>
      </c>
      <c r="W165">
        <v>-8.0000000000000002E-3</v>
      </c>
      <c r="X165">
        <v>1</v>
      </c>
      <c r="Y165">
        <v>-4.2999999999999997E-2</v>
      </c>
      <c r="Z165">
        <v>-0.32500000000000001</v>
      </c>
      <c r="AA165">
        <v>0.23100000000000001</v>
      </c>
      <c r="AB165">
        <v>-1.0999999999999999E-2</v>
      </c>
      <c r="AC165">
        <v>1</v>
      </c>
      <c r="AD165">
        <v>0.497</v>
      </c>
      <c r="AE165">
        <v>-0.19400000000000001</v>
      </c>
      <c r="AF165">
        <v>-0.72599999999999998</v>
      </c>
      <c r="AG165">
        <v>-0.39900000000000002</v>
      </c>
      <c r="AH165">
        <v>0.121</v>
      </c>
      <c r="AI165">
        <v>0.38200000000000001</v>
      </c>
      <c r="AJ165">
        <v>-6.5000000000000002E-2</v>
      </c>
      <c r="AK165">
        <v>8.2000000000000003E-2</v>
      </c>
      <c r="AL165">
        <v>-0.22900000000000001</v>
      </c>
      <c r="AM165">
        <v>2E-3</v>
      </c>
      <c r="AN165">
        <v>-0.79400000000000004</v>
      </c>
      <c r="AO165">
        <v>-0.11700000000000001</v>
      </c>
      <c r="AP165">
        <v>-0.38100000000000001</v>
      </c>
      <c r="AQ165">
        <v>0.85499999999999998</v>
      </c>
      <c r="AR165">
        <v>-8.4000000000000005E-2</v>
      </c>
      <c r="AS165">
        <v>0.122</v>
      </c>
      <c r="AT165">
        <v>9.9000000000000005E-2</v>
      </c>
      <c r="AU165">
        <v>-0.36699999999999999</v>
      </c>
      <c r="AV165">
        <v>0.28799999999999998</v>
      </c>
      <c r="AW165">
        <v>0.14199999999999999</v>
      </c>
      <c r="AX165">
        <v>0.16400000000000001</v>
      </c>
      <c r="AY165">
        <v>0.8</v>
      </c>
      <c r="AZ165">
        <v>0.61299999999999999</v>
      </c>
      <c r="BA165">
        <v>0.96</v>
      </c>
      <c r="BE165" s="20"/>
      <c r="BF165" s="21"/>
      <c r="BG165" s="21"/>
      <c r="BH165" s="21"/>
      <c r="BL165" t="s">
        <v>199</v>
      </c>
      <c r="BM165" t="s">
        <v>280</v>
      </c>
      <c r="BN165" t="s">
        <v>281</v>
      </c>
    </row>
    <row r="166" spans="1:66" ht="15" thickBot="1" x14ac:dyDescent="0.35">
      <c r="A166" t="s">
        <v>167</v>
      </c>
      <c r="B166">
        <v>2.2210000000000001</v>
      </c>
      <c r="C166">
        <v>2.0939999999999999</v>
      </c>
      <c r="D166" t="s">
        <v>57</v>
      </c>
      <c r="E166">
        <v>0</v>
      </c>
      <c r="F166">
        <v>0</v>
      </c>
      <c r="G166">
        <v>0</v>
      </c>
      <c r="H166">
        <v>0.56299999999999994</v>
      </c>
      <c r="I166">
        <v>0.54400000000000004</v>
      </c>
      <c r="J166">
        <v>0.25600000000000001</v>
      </c>
      <c r="K166">
        <v>0.33400000000000002</v>
      </c>
      <c r="L166">
        <v>0.40400000000000003</v>
      </c>
      <c r="M166">
        <v>0.39300000000000002</v>
      </c>
      <c r="N166">
        <v>0.308</v>
      </c>
      <c r="O166">
        <v>0.17399999999999999</v>
      </c>
      <c r="P166">
        <v>0.53300000000000003</v>
      </c>
      <c r="Q166">
        <v>0.53700000000000003</v>
      </c>
      <c r="R166">
        <v>0.83299999999999996</v>
      </c>
      <c r="S166">
        <v>0.85199999999999998</v>
      </c>
      <c r="T166">
        <v>0.82099999999999995</v>
      </c>
      <c r="U166">
        <v>0.28499999999999998</v>
      </c>
      <c r="V166">
        <v>-0.33900000000000002</v>
      </c>
      <c r="W166">
        <v>0.34799999999999998</v>
      </c>
      <c r="X166">
        <v>-0.32700000000000001</v>
      </c>
      <c r="Y166">
        <v>0.58899999999999997</v>
      </c>
      <c r="Z166">
        <v>7.8E-2</v>
      </c>
      <c r="AA166">
        <v>9.5000000000000001E-2</v>
      </c>
      <c r="AB166">
        <v>-0.24199999999999999</v>
      </c>
      <c r="AC166">
        <v>-0.64500000000000002</v>
      </c>
      <c r="AD166">
        <v>0.76600000000000001</v>
      </c>
      <c r="AE166">
        <v>0.35899999999999999</v>
      </c>
      <c r="AF166">
        <v>0.78900000000000003</v>
      </c>
      <c r="AG166">
        <v>7.4999999999999997E-2</v>
      </c>
      <c r="AH166">
        <v>0.13500000000000001</v>
      </c>
      <c r="AI166">
        <v>0.17299999999999999</v>
      </c>
      <c r="AJ166">
        <v>0.53200000000000003</v>
      </c>
      <c r="AK166">
        <v>-9.2999999999999999E-2</v>
      </c>
      <c r="AL166">
        <v>0.35299999999999998</v>
      </c>
      <c r="AM166">
        <v>0.20799999999999999</v>
      </c>
      <c r="AN166">
        <v>0.38</v>
      </c>
      <c r="AO166">
        <v>0.81699999999999995</v>
      </c>
      <c r="AP166">
        <v>0.29299999999999998</v>
      </c>
      <c r="AQ166">
        <v>0.16400000000000001</v>
      </c>
      <c r="AR166">
        <v>0.12</v>
      </c>
      <c r="AS166">
        <v>0.09</v>
      </c>
      <c r="AT166">
        <v>0.38600000000000001</v>
      </c>
      <c r="AU166">
        <v>0.30399999999999999</v>
      </c>
      <c r="AV166">
        <v>0.443</v>
      </c>
      <c r="AW166">
        <v>0.46400000000000002</v>
      </c>
      <c r="AX166">
        <v>0.03</v>
      </c>
      <c r="AY166">
        <v>0.09</v>
      </c>
      <c r="AZ166">
        <v>2E-3</v>
      </c>
      <c r="BA166">
        <v>-0.111</v>
      </c>
      <c r="BE166" s="20"/>
      <c r="BF166" s="21"/>
      <c r="BG166" s="21"/>
      <c r="BH166" s="21"/>
      <c r="BL166" t="s">
        <v>139</v>
      </c>
      <c r="BM166" t="s">
        <v>284</v>
      </c>
      <c r="BN166" t="s">
        <v>281</v>
      </c>
    </row>
    <row r="167" spans="1:66" ht="15" thickBot="1" x14ac:dyDescent="0.35">
      <c r="A167" t="s">
        <v>201</v>
      </c>
      <c r="B167">
        <v>0.79700000000000004</v>
      </c>
      <c r="C167">
        <v>0.624</v>
      </c>
      <c r="D167" t="s">
        <v>71</v>
      </c>
      <c r="E167">
        <v>0</v>
      </c>
      <c r="F167">
        <v>0</v>
      </c>
      <c r="G167">
        <v>0</v>
      </c>
      <c r="H167">
        <v>-0.14000000000000001</v>
      </c>
      <c r="I167">
        <v>-0.53200000000000003</v>
      </c>
      <c r="J167">
        <v>-2E-3</v>
      </c>
      <c r="K167">
        <v>-0.42399999999999999</v>
      </c>
      <c r="L167">
        <v>-0.39800000000000002</v>
      </c>
      <c r="M167">
        <v>-0.51300000000000001</v>
      </c>
      <c r="N167">
        <v>-0.71</v>
      </c>
      <c r="O167">
        <v>-0.70199999999999996</v>
      </c>
      <c r="P167">
        <v>0.53400000000000003</v>
      </c>
      <c r="Q167">
        <v>0.53800000000000003</v>
      </c>
      <c r="R167">
        <v>1</v>
      </c>
      <c r="S167">
        <v>1</v>
      </c>
      <c r="T167">
        <v>0.79800000000000004</v>
      </c>
      <c r="U167">
        <v>-0.13100000000000001</v>
      </c>
      <c r="V167">
        <v>-0.19</v>
      </c>
      <c r="W167">
        <v>0.67</v>
      </c>
      <c r="X167">
        <v>0.98199999999999998</v>
      </c>
      <c r="Y167">
        <v>0.31900000000000001</v>
      </c>
      <c r="Z167">
        <v>-0.628</v>
      </c>
      <c r="AA167">
        <v>0.3</v>
      </c>
      <c r="AB167">
        <v>-0.86199999999999999</v>
      </c>
      <c r="AC167">
        <v>0.48099999999999998</v>
      </c>
      <c r="AD167">
        <v>-0.124</v>
      </c>
      <c r="AE167">
        <v>0.11899999999999999</v>
      </c>
      <c r="AF167">
        <v>0.20200000000000001</v>
      </c>
      <c r="AG167">
        <v>-0.98899999999999999</v>
      </c>
      <c r="AH167">
        <v>0.64500000000000002</v>
      </c>
      <c r="AI167">
        <v>0.13800000000000001</v>
      </c>
      <c r="AJ167">
        <v>-0.10100000000000001</v>
      </c>
      <c r="AK167">
        <v>-0.313</v>
      </c>
      <c r="AL167">
        <v>-0.23200000000000001</v>
      </c>
      <c r="AM167">
        <v>0.251</v>
      </c>
      <c r="AN167">
        <v>-0.13700000000000001</v>
      </c>
      <c r="AO167">
        <v>0.29099999999999998</v>
      </c>
      <c r="AP167">
        <v>-0.28000000000000003</v>
      </c>
      <c r="AQ167">
        <v>0.70599999999999996</v>
      </c>
      <c r="AR167">
        <v>4.3999999999999997E-2</v>
      </c>
      <c r="AS167">
        <v>-2.5000000000000001E-2</v>
      </c>
      <c r="AT167">
        <v>-0.17100000000000001</v>
      </c>
      <c r="AU167">
        <v>-0.11600000000000001</v>
      </c>
      <c r="AV167">
        <v>-0.34200000000000003</v>
      </c>
      <c r="AW167">
        <v>-8.8999999999999996E-2</v>
      </c>
      <c r="AX167">
        <v>0.20699999999999999</v>
      </c>
      <c r="AY167">
        <v>-0.68600000000000005</v>
      </c>
      <c r="AZ167">
        <v>0.58899999999999997</v>
      </c>
      <c r="BA167">
        <v>0.77100000000000002</v>
      </c>
      <c r="BE167" s="20"/>
      <c r="BF167" s="21"/>
      <c r="BG167" s="21"/>
      <c r="BH167" s="21"/>
      <c r="BL167" t="s">
        <v>237</v>
      </c>
      <c r="BM167" t="s">
        <v>290</v>
      </c>
      <c r="BN167" t="s">
        <v>281</v>
      </c>
    </row>
    <row r="168" spans="1:66" ht="15" thickBot="1" x14ac:dyDescent="0.35">
      <c r="A168" t="s">
        <v>92</v>
      </c>
      <c r="B168">
        <v>1.913</v>
      </c>
      <c r="C168">
        <v>1.8580000000000001</v>
      </c>
      <c r="D168" t="s">
        <v>57</v>
      </c>
      <c r="E168">
        <v>0</v>
      </c>
      <c r="F168">
        <v>0</v>
      </c>
      <c r="G168">
        <v>0</v>
      </c>
      <c r="H168">
        <v>0.43</v>
      </c>
      <c r="I168">
        <v>0.13800000000000001</v>
      </c>
      <c r="J168">
        <v>0.57399999999999995</v>
      </c>
      <c r="K168">
        <v>0.186</v>
      </c>
      <c r="L168">
        <v>0.33900000000000002</v>
      </c>
      <c r="M168">
        <v>0.20899999999999999</v>
      </c>
      <c r="N168">
        <v>7.1999999999999995E-2</v>
      </c>
      <c r="O168">
        <v>8.7999999999999995E-2</v>
      </c>
      <c r="P168">
        <v>0.27300000000000002</v>
      </c>
      <c r="Q168">
        <v>0.27400000000000002</v>
      </c>
      <c r="R168">
        <v>0.72199999999999998</v>
      </c>
      <c r="S168">
        <v>0.93400000000000005</v>
      </c>
      <c r="T168">
        <v>0.78800000000000003</v>
      </c>
      <c r="U168">
        <v>0.29799999999999999</v>
      </c>
      <c r="V168">
        <v>-0.21199999999999999</v>
      </c>
      <c r="W168">
        <v>-0.185</v>
      </c>
      <c r="X168">
        <v>-0.252</v>
      </c>
      <c r="Y168">
        <v>0.92800000000000005</v>
      </c>
      <c r="Z168">
        <v>0.87</v>
      </c>
      <c r="AA168">
        <v>-0.28599999999999998</v>
      </c>
      <c r="AB168">
        <v>-0.06</v>
      </c>
      <c r="AC168">
        <v>-0.86</v>
      </c>
      <c r="AD168">
        <v>7.0999999999999994E-2</v>
      </c>
      <c r="AE168">
        <v>0.20699999999999999</v>
      </c>
      <c r="AF168">
        <v>0.53500000000000003</v>
      </c>
      <c r="AG168">
        <v>0.28399999999999997</v>
      </c>
      <c r="AH168">
        <v>0.221</v>
      </c>
      <c r="AI168">
        <v>0.38600000000000001</v>
      </c>
      <c r="AJ168">
        <v>0.51700000000000002</v>
      </c>
      <c r="AK168">
        <v>-0.27600000000000002</v>
      </c>
      <c r="AL168">
        <v>0.47899999999999998</v>
      </c>
      <c r="AM168">
        <v>0.23499999999999999</v>
      </c>
      <c r="AN168">
        <v>0.751</v>
      </c>
      <c r="AO168">
        <v>0.96199999999999997</v>
      </c>
      <c r="AP168">
        <v>0.23300000000000001</v>
      </c>
      <c r="AQ168">
        <v>0.86099999999999999</v>
      </c>
      <c r="AR168">
        <v>8.4000000000000005E-2</v>
      </c>
      <c r="AS168">
        <v>-4.8000000000000001E-2</v>
      </c>
      <c r="AT168">
        <v>-0.63800000000000001</v>
      </c>
      <c r="AU168">
        <v>-0.72599999999999998</v>
      </c>
      <c r="AV168">
        <v>-0.67500000000000004</v>
      </c>
      <c r="AW168">
        <v>0.32700000000000001</v>
      </c>
      <c r="AX168">
        <v>-0.59099999999999997</v>
      </c>
      <c r="AY168">
        <v>9.8000000000000004E-2</v>
      </c>
      <c r="AZ168">
        <v>0.316</v>
      </c>
      <c r="BA168">
        <v>0.191</v>
      </c>
      <c r="BE168" s="20"/>
      <c r="BF168" s="21"/>
      <c r="BG168" s="21"/>
      <c r="BH168" s="21"/>
      <c r="BL168" t="s">
        <v>224</v>
      </c>
      <c r="BM168" t="s">
        <v>292</v>
      </c>
      <c r="BN168" t="s">
        <v>279</v>
      </c>
    </row>
    <row r="169" spans="1:66" ht="15" thickBot="1" x14ac:dyDescent="0.35">
      <c r="A169" t="s">
        <v>77</v>
      </c>
      <c r="B169">
        <v>3.2610000000000001</v>
      </c>
      <c r="C169">
        <v>2.5659999999999998</v>
      </c>
      <c r="D169" t="s">
        <v>57</v>
      </c>
      <c r="E169">
        <v>0</v>
      </c>
      <c r="F169">
        <v>0</v>
      </c>
      <c r="G169">
        <v>0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0.94099999999999995</v>
      </c>
      <c r="O169">
        <v>0.76800000000000002</v>
      </c>
      <c r="P169">
        <v>0.61399999999999999</v>
      </c>
      <c r="Q169">
        <v>0.61599999999999999</v>
      </c>
      <c r="R169">
        <v>1</v>
      </c>
      <c r="S169">
        <v>0.95099999999999996</v>
      </c>
      <c r="T169">
        <v>0.93500000000000005</v>
      </c>
      <c r="U169">
        <v>1</v>
      </c>
      <c r="V169">
        <v>1</v>
      </c>
      <c r="W169">
        <v>0.124</v>
      </c>
      <c r="X169">
        <v>0.20599999999999999</v>
      </c>
      <c r="Y169">
        <v>0.40300000000000002</v>
      </c>
      <c r="Z169">
        <v>1</v>
      </c>
      <c r="AA169">
        <v>0.371</v>
      </c>
      <c r="AB169">
        <v>9.9000000000000005E-2</v>
      </c>
      <c r="AC169">
        <v>-0.60299999999999998</v>
      </c>
      <c r="AD169">
        <v>0.33100000000000002</v>
      </c>
      <c r="AE169">
        <v>0.06</v>
      </c>
      <c r="AF169">
        <v>-0.193</v>
      </c>
      <c r="AG169">
        <v>0.8</v>
      </c>
      <c r="AH169">
        <v>1</v>
      </c>
      <c r="AI169">
        <v>0.84899999999999998</v>
      </c>
      <c r="AJ169">
        <v>0.50600000000000001</v>
      </c>
      <c r="AK169">
        <v>4.2000000000000003E-2</v>
      </c>
      <c r="AL169">
        <v>0.92600000000000005</v>
      </c>
      <c r="AM169">
        <v>-0.17</v>
      </c>
      <c r="AN169">
        <v>-5.1999999999999998E-2</v>
      </c>
      <c r="AO169">
        <v>0.81</v>
      </c>
      <c r="AP169">
        <v>0.998</v>
      </c>
      <c r="AQ169">
        <v>0.872</v>
      </c>
      <c r="AR169">
        <v>-5.0999999999999997E-2</v>
      </c>
      <c r="AS169">
        <v>-0.10299999999999999</v>
      </c>
      <c r="AT169">
        <v>0.23200000000000001</v>
      </c>
      <c r="AU169">
        <v>0.29799999999999999</v>
      </c>
      <c r="AV169">
        <v>1</v>
      </c>
      <c r="AW169">
        <v>0.51700000000000002</v>
      </c>
      <c r="AX169">
        <v>-0.44500000000000001</v>
      </c>
      <c r="AY169">
        <v>0.13900000000000001</v>
      </c>
      <c r="AZ169">
        <v>0.71499999999999997</v>
      </c>
      <c r="BA169">
        <v>0.318</v>
      </c>
      <c r="BE169" s="20"/>
      <c r="BF169" s="21"/>
      <c r="BG169" s="21"/>
      <c r="BH169" s="21"/>
      <c r="BL169" t="s">
        <v>183</v>
      </c>
      <c r="BM169" t="s">
        <v>293</v>
      </c>
      <c r="BN169" t="s">
        <v>282</v>
      </c>
    </row>
    <row r="170" spans="1:66" ht="15" thickBot="1" x14ac:dyDescent="0.35">
      <c r="A170" t="s">
        <v>199</v>
      </c>
      <c r="B170">
        <v>0.748</v>
      </c>
      <c r="C170">
        <v>0.871</v>
      </c>
      <c r="D170" t="s">
        <v>55</v>
      </c>
      <c r="E170">
        <v>0</v>
      </c>
      <c r="F170">
        <v>0</v>
      </c>
      <c r="G170">
        <v>0</v>
      </c>
      <c r="H170">
        <v>-0.439</v>
      </c>
      <c r="I170">
        <v>3.6999999999999998E-2</v>
      </c>
      <c r="J170">
        <v>-0.55600000000000005</v>
      </c>
      <c r="K170">
        <v>-0.41699999999999998</v>
      </c>
      <c r="L170">
        <v>-0.23899999999999999</v>
      </c>
      <c r="M170">
        <v>-0.22700000000000001</v>
      </c>
      <c r="N170">
        <v>-0.106</v>
      </c>
      <c r="O170">
        <v>-0.44400000000000001</v>
      </c>
      <c r="P170">
        <v>0.53800000000000003</v>
      </c>
      <c r="Q170">
        <v>0.53700000000000003</v>
      </c>
      <c r="R170">
        <v>0.56399999999999995</v>
      </c>
      <c r="S170">
        <v>0.58199999999999996</v>
      </c>
      <c r="T170">
        <v>0.45</v>
      </c>
      <c r="U170">
        <v>-0.61499999999999999</v>
      </c>
      <c r="V170">
        <v>-0.36199999999999999</v>
      </c>
      <c r="W170">
        <v>-0.16700000000000001</v>
      </c>
      <c r="X170">
        <v>-0.85599999999999998</v>
      </c>
      <c r="Y170">
        <v>0.13400000000000001</v>
      </c>
      <c r="Z170">
        <v>-0.55300000000000005</v>
      </c>
      <c r="AA170">
        <v>-0.51500000000000001</v>
      </c>
      <c r="AB170">
        <v>-1</v>
      </c>
      <c r="AC170">
        <v>-0.86199999999999999</v>
      </c>
      <c r="AD170">
        <v>0.17699999999999999</v>
      </c>
      <c r="AE170">
        <v>0.627</v>
      </c>
      <c r="AF170">
        <v>0.25900000000000001</v>
      </c>
      <c r="AG170">
        <v>0.77100000000000002</v>
      </c>
      <c r="AH170">
        <v>0.86399999999999999</v>
      </c>
      <c r="AI170">
        <v>0.52700000000000002</v>
      </c>
      <c r="AJ170">
        <v>-0.107</v>
      </c>
      <c r="AK170">
        <v>0.107</v>
      </c>
      <c r="AL170">
        <v>0.18</v>
      </c>
      <c r="AM170">
        <v>0.51500000000000001</v>
      </c>
      <c r="AN170">
        <v>-8.1000000000000003E-2</v>
      </c>
      <c r="AO170">
        <v>0.625</v>
      </c>
      <c r="AP170">
        <v>0.73399999999999999</v>
      </c>
      <c r="AQ170">
        <v>-0.34499999999999997</v>
      </c>
      <c r="AR170">
        <v>-0.68600000000000005</v>
      </c>
      <c r="AS170">
        <v>-0.92200000000000004</v>
      </c>
      <c r="AT170">
        <v>0.21099999999999999</v>
      </c>
      <c r="AU170">
        <v>-0.96299999999999997</v>
      </c>
      <c r="AV170">
        <v>0.36199999999999999</v>
      </c>
      <c r="AW170">
        <v>0.57899999999999996</v>
      </c>
      <c r="AX170">
        <v>-0.65700000000000003</v>
      </c>
      <c r="AY170">
        <v>0.22500000000000001</v>
      </c>
      <c r="AZ170">
        <v>-8.7999999999999995E-2</v>
      </c>
      <c r="BA170">
        <v>0.311</v>
      </c>
      <c r="BE170" s="20"/>
      <c r="BF170" s="21"/>
      <c r="BG170" s="21"/>
      <c r="BH170" s="21"/>
      <c r="BL170" t="s">
        <v>276</v>
      </c>
      <c r="BM170" t="s">
        <v>303</v>
      </c>
      <c r="BN170" t="s">
        <v>287</v>
      </c>
    </row>
    <row r="171" spans="1:66" ht="15" thickBot="1" x14ac:dyDescent="0.35">
      <c r="A171" t="s">
        <v>139</v>
      </c>
      <c r="B171">
        <v>0.57199999999999995</v>
      </c>
      <c r="C171">
        <v>0.60499999999999998</v>
      </c>
      <c r="D171" t="s">
        <v>71</v>
      </c>
      <c r="E171">
        <v>0</v>
      </c>
      <c r="F171">
        <v>0</v>
      </c>
      <c r="G171">
        <v>0</v>
      </c>
      <c r="H171">
        <v>-0.88800000000000001</v>
      </c>
      <c r="I171">
        <v>-0.76500000000000001</v>
      </c>
      <c r="J171">
        <v>-0.95699999999999996</v>
      </c>
      <c r="K171">
        <v>-0.82099999999999995</v>
      </c>
      <c r="L171">
        <v>-0.82799999999999996</v>
      </c>
      <c r="M171">
        <v>-0.53500000000000003</v>
      </c>
      <c r="N171">
        <v>-0.18</v>
      </c>
      <c r="O171">
        <v>-0.39900000000000002</v>
      </c>
      <c r="P171">
        <v>0.35699999999999998</v>
      </c>
      <c r="Q171">
        <v>0.35699999999999998</v>
      </c>
      <c r="R171">
        <v>0.41799999999999998</v>
      </c>
      <c r="S171">
        <v>0.43</v>
      </c>
      <c r="T171">
        <v>0.23499999999999999</v>
      </c>
      <c r="U171">
        <v>-0.754</v>
      </c>
      <c r="V171">
        <v>-0.41</v>
      </c>
      <c r="W171">
        <v>-1</v>
      </c>
      <c r="X171">
        <v>-0.88200000000000001</v>
      </c>
      <c r="Y171">
        <v>-1</v>
      </c>
      <c r="Z171">
        <v>-0.89900000000000002</v>
      </c>
      <c r="AA171">
        <v>-0.47699999999999998</v>
      </c>
      <c r="AB171">
        <v>0.61899999999999999</v>
      </c>
      <c r="AC171">
        <v>-0.751</v>
      </c>
      <c r="AD171">
        <v>-0.60399999999999998</v>
      </c>
      <c r="AE171">
        <v>-0.49399999999999999</v>
      </c>
      <c r="AF171">
        <v>-0.69199999999999995</v>
      </c>
      <c r="AG171">
        <v>0.28100000000000003</v>
      </c>
      <c r="AH171">
        <v>-0.06</v>
      </c>
      <c r="AI171">
        <v>-0.13600000000000001</v>
      </c>
      <c r="AJ171">
        <v>0.33800000000000002</v>
      </c>
      <c r="AK171">
        <v>1.6E-2</v>
      </c>
      <c r="AL171">
        <v>-0.39600000000000002</v>
      </c>
      <c r="AM171">
        <v>0.16900000000000001</v>
      </c>
      <c r="AN171">
        <v>0.27300000000000002</v>
      </c>
      <c r="AO171">
        <v>0.32900000000000001</v>
      </c>
      <c r="AP171">
        <v>-0.999</v>
      </c>
      <c r="AQ171">
        <v>0.40699999999999997</v>
      </c>
      <c r="AR171">
        <v>0.312</v>
      </c>
      <c r="AS171">
        <v>-8.3000000000000004E-2</v>
      </c>
      <c r="AT171">
        <v>0.20200000000000001</v>
      </c>
      <c r="AU171">
        <v>0.26400000000000001</v>
      </c>
      <c r="AV171">
        <v>-0.55700000000000005</v>
      </c>
      <c r="AW171">
        <v>0.79200000000000004</v>
      </c>
      <c r="AX171">
        <v>-0.311</v>
      </c>
      <c r="AY171">
        <v>-0.183</v>
      </c>
      <c r="AZ171">
        <v>0.34200000000000003</v>
      </c>
      <c r="BA171">
        <v>-0.35099999999999998</v>
      </c>
      <c r="BE171" s="20"/>
      <c r="BF171" s="21"/>
      <c r="BG171" s="21"/>
      <c r="BH171" s="21"/>
      <c r="BL171" t="s">
        <v>131</v>
      </c>
      <c r="BM171" t="s">
        <v>300</v>
      </c>
      <c r="BN171" t="s">
        <v>279</v>
      </c>
    </row>
    <row r="172" spans="1:66" ht="15" thickBot="1" x14ac:dyDescent="0.35">
      <c r="A172" t="s">
        <v>237</v>
      </c>
      <c r="B172">
        <v>1.84</v>
      </c>
      <c r="C172">
        <v>1.2909999999999999</v>
      </c>
      <c r="D172" t="s">
        <v>53</v>
      </c>
      <c r="E172">
        <v>0</v>
      </c>
      <c r="F172">
        <v>0</v>
      </c>
      <c r="G172">
        <v>0</v>
      </c>
      <c r="H172">
        <v>0.96</v>
      </c>
      <c r="I172">
        <v>4.9000000000000002E-2</v>
      </c>
      <c r="J172">
        <v>0.85899999999999999</v>
      </c>
      <c r="K172">
        <v>0.61499999999999999</v>
      </c>
      <c r="L172">
        <v>0.39100000000000001</v>
      </c>
      <c r="M172">
        <v>0.05</v>
      </c>
      <c r="N172">
        <v>-0.40400000000000003</v>
      </c>
      <c r="O172">
        <v>-0.60899999999999999</v>
      </c>
      <c r="P172">
        <v>0.46800000000000003</v>
      </c>
      <c r="Q172">
        <v>0.47099999999999997</v>
      </c>
      <c r="R172">
        <v>0.32100000000000001</v>
      </c>
      <c r="S172">
        <v>0.879</v>
      </c>
      <c r="T172">
        <v>0.995</v>
      </c>
      <c r="U172">
        <v>1</v>
      </c>
      <c r="V172">
        <v>0.67600000000000005</v>
      </c>
      <c r="W172">
        <v>1</v>
      </c>
      <c r="X172">
        <v>1</v>
      </c>
      <c r="Y172">
        <v>1</v>
      </c>
      <c r="Z172">
        <v>-0.53800000000000003</v>
      </c>
      <c r="AA172">
        <v>0.86</v>
      </c>
      <c r="AB172">
        <v>-0.878</v>
      </c>
      <c r="AC172">
        <v>0.79600000000000004</v>
      </c>
      <c r="AD172">
        <v>0.23100000000000001</v>
      </c>
      <c r="AE172">
        <v>0.42699999999999999</v>
      </c>
      <c r="AF172">
        <v>0.224</v>
      </c>
      <c r="AG172">
        <v>-0.58799999999999997</v>
      </c>
      <c r="AH172">
        <v>1</v>
      </c>
      <c r="AI172">
        <v>0.44500000000000001</v>
      </c>
      <c r="AJ172">
        <v>0.184</v>
      </c>
      <c r="AK172">
        <v>-0.46600000000000003</v>
      </c>
      <c r="AL172">
        <v>7.4999999999999997E-2</v>
      </c>
      <c r="AM172">
        <v>-0.54600000000000004</v>
      </c>
      <c r="AN172">
        <v>-0.57899999999999996</v>
      </c>
      <c r="AO172">
        <v>8.3000000000000004E-2</v>
      </c>
      <c r="AP172">
        <v>-0.70699999999999996</v>
      </c>
      <c r="AQ172">
        <v>0.94199999999999995</v>
      </c>
      <c r="AR172">
        <v>0.25600000000000001</v>
      </c>
      <c r="AS172">
        <v>-0.23799999999999999</v>
      </c>
      <c r="AT172">
        <v>0.36099999999999999</v>
      </c>
      <c r="AU172">
        <v>-0.47</v>
      </c>
      <c r="AV172">
        <v>0.74099999999999999</v>
      </c>
      <c r="AW172">
        <v>0.06</v>
      </c>
      <c r="AX172">
        <v>1</v>
      </c>
      <c r="AY172">
        <v>0.16400000000000001</v>
      </c>
      <c r="AZ172">
        <v>0.60599999999999998</v>
      </c>
      <c r="BA172">
        <v>0.96599999999999997</v>
      </c>
      <c r="BE172" s="20"/>
      <c r="BF172" s="21"/>
      <c r="BG172" s="21"/>
      <c r="BH172" s="21"/>
      <c r="BL172" t="s">
        <v>122</v>
      </c>
      <c r="BM172" t="s">
        <v>286</v>
      </c>
      <c r="BN172" t="s">
        <v>279</v>
      </c>
    </row>
    <row r="173" spans="1:66" ht="15" thickBot="1" x14ac:dyDescent="0.35">
      <c r="A173" t="s">
        <v>224</v>
      </c>
      <c r="B173">
        <v>0.51600000000000001</v>
      </c>
      <c r="C173">
        <v>0.42399999999999999</v>
      </c>
      <c r="D173" t="s">
        <v>71</v>
      </c>
      <c r="E173">
        <v>0</v>
      </c>
      <c r="F173">
        <v>0</v>
      </c>
      <c r="G173">
        <v>0</v>
      </c>
      <c r="H173">
        <v>-0.98699999999999999</v>
      </c>
      <c r="I173">
        <v>-0.93899999999999995</v>
      </c>
      <c r="J173">
        <v>-0.91400000000000003</v>
      </c>
      <c r="K173">
        <v>-0.95699999999999996</v>
      </c>
      <c r="L173">
        <v>-0.92900000000000005</v>
      </c>
      <c r="M173">
        <v>-0.90700000000000003</v>
      </c>
      <c r="N173">
        <v>-0.872</v>
      </c>
      <c r="O173">
        <v>-0.872</v>
      </c>
      <c r="P173">
        <v>0.44500000000000001</v>
      </c>
      <c r="Q173">
        <v>0.443</v>
      </c>
      <c r="R173">
        <v>0.217</v>
      </c>
      <c r="S173">
        <v>0.17</v>
      </c>
      <c r="T173">
        <v>0.14599999999999999</v>
      </c>
      <c r="U173">
        <v>-0.76300000000000001</v>
      </c>
      <c r="V173">
        <v>-0.77400000000000002</v>
      </c>
      <c r="W173">
        <v>-0.76</v>
      </c>
      <c r="X173">
        <v>7.6999999999999999E-2</v>
      </c>
      <c r="Y173">
        <v>-0.42399999999999999</v>
      </c>
      <c r="Z173">
        <v>-0.52800000000000002</v>
      </c>
      <c r="AA173">
        <v>-0.7</v>
      </c>
      <c r="AB173">
        <v>-0.51400000000000001</v>
      </c>
      <c r="AC173">
        <v>0.439</v>
      </c>
      <c r="AD173">
        <v>-0.24399999999999999</v>
      </c>
      <c r="AE173">
        <v>-0.56799999999999995</v>
      </c>
      <c r="AF173">
        <v>-0.54800000000000004</v>
      </c>
      <c r="AG173">
        <v>-0.47699999999999998</v>
      </c>
      <c r="AH173">
        <v>-0.316</v>
      </c>
      <c r="AI173">
        <v>-0.16</v>
      </c>
      <c r="AJ173">
        <v>-0.13800000000000001</v>
      </c>
      <c r="AK173">
        <v>-0.48799999999999999</v>
      </c>
      <c r="AL173">
        <v>-0.58099999999999996</v>
      </c>
      <c r="AM173">
        <v>0.55100000000000005</v>
      </c>
      <c r="AN173">
        <v>0.222</v>
      </c>
      <c r="AO173">
        <v>-0.183</v>
      </c>
      <c r="AP173">
        <v>-0.57899999999999996</v>
      </c>
      <c r="AQ173">
        <v>-0.97499999999999998</v>
      </c>
      <c r="AR173">
        <v>-0.83499999999999996</v>
      </c>
      <c r="AS173">
        <v>-0.98499999999999999</v>
      </c>
      <c r="AT173">
        <v>-1</v>
      </c>
      <c r="AU173">
        <v>1</v>
      </c>
      <c r="AV173">
        <v>1</v>
      </c>
      <c r="AW173">
        <v>0.28499999999999998</v>
      </c>
      <c r="AX173">
        <v>7.3999999999999996E-2</v>
      </c>
      <c r="AY173">
        <v>-0.78100000000000003</v>
      </c>
      <c r="AZ173">
        <v>0.23400000000000001</v>
      </c>
      <c r="BA173">
        <v>0.76800000000000002</v>
      </c>
      <c r="BE173" s="20"/>
      <c r="BF173" s="21"/>
      <c r="BG173" s="21"/>
      <c r="BH173" s="21"/>
      <c r="BL173" t="s">
        <v>260</v>
      </c>
      <c r="BM173" t="s">
        <v>278</v>
      </c>
      <c r="BN173" t="s">
        <v>287</v>
      </c>
    </row>
    <row r="174" spans="1:66" ht="15" thickBot="1" x14ac:dyDescent="0.35">
      <c r="A174" t="s">
        <v>183</v>
      </c>
      <c r="B174">
        <v>0.54900000000000004</v>
      </c>
      <c r="C174">
        <v>0.625</v>
      </c>
      <c r="D174" t="s">
        <v>68</v>
      </c>
      <c r="E174">
        <v>0</v>
      </c>
      <c r="F174">
        <v>0</v>
      </c>
      <c r="G174">
        <v>0</v>
      </c>
      <c r="H174">
        <v>-0.77</v>
      </c>
      <c r="I174">
        <v>-0.66600000000000004</v>
      </c>
      <c r="J174">
        <v>-0.86199999999999999</v>
      </c>
      <c r="K174">
        <v>-0.78900000000000003</v>
      </c>
      <c r="L174">
        <v>-0.76400000000000001</v>
      </c>
      <c r="M174">
        <v>-0.67500000000000004</v>
      </c>
      <c r="N174">
        <v>-0.58199999999999996</v>
      </c>
      <c r="O174">
        <v>-0.71399999999999997</v>
      </c>
      <c r="P174">
        <v>0.16300000000000001</v>
      </c>
      <c r="Q174">
        <v>0.16500000000000001</v>
      </c>
      <c r="R174">
        <v>0.45400000000000001</v>
      </c>
      <c r="S174">
        <v>0.47499999999999998</v>
      </c>
      <c r="T174">
        <v>0.30199999999999999</v>
      </c>
      <c r="U174">
        <v>-0.50900000000000001</v>
      </c>
      <c r="V174">
        <v>-0.55600000000000005</v>
      </c>
      <c r="W174">
        <v>-0.75600000000000001</v>
      </c>
      <c r="X174">
        <v>-0.81699999999999995</v>
      </c>
      <c r="Y174">
        <v>-0.68700000000000006</v>
      </c>
      <c r="Z174">
        <v>-0.90600000000000003</v>
      </c>
      <c r="AA174">
        <v>-7.9000000000000001E-2</v>
      </c>
      <c r="AB174">
        <v>-0.74099999999999999</v>
      </c>
      <c r="AC174">
        <v>-0.69399999999999995</v>
      </c>
      <c r="AD174">
        <v>0.23100000000000001</v>
      </c>
      <c r="AE174">
        <v>-0.314</v>
      </c>
      <c r="AF174">
        <v>-6.3E-2</v>
      </c>
      <c r="AG174">
        <v>0.14299999999999999</v>
      </c>
      <c r="AH174">
        <v>8.2000000000000003E-2</v>
      </c>
      <c r="AI174">
        <v>-0.27</v>
      </c>
      <c r="AJ174">
        <v>0.48899999999999999</v>
      </c>
      <c r="AK174">
        <v>-0.434</v>
      </c>
      <c r="AL174">
        <v>-8.7999999999999995E-2</v>
      </c>
      <c r="AM174">
        <v>0.32900000000000001</v>
      </c>
      <c r="AN174">
        <v>4.3999999999999997E-2</v>
      </c>
      <c r="AO174">
        <v>0.95199999999999996</v>
      </c>
      <c r="AP174">
        <v>0.34</v>
      </c>
      <c r="AQ174">
        <v>0.63</v>
      </c>
      <c r="AR174">
        <v>-0.315</v>
      </c>
      <c r="AS174">
        <v>8.9999999999999993E-3</v>
      </c>
      <c r="AT174">
        <v>-1.2E-2</v>
      </c>
      <c r="AU174">
        <v>0.54400000000000004</v>
      </c>
      <c r="AV174">
        <v>-0.51800000000000002</v>
      </c>
      <c r="AW174">
        <v>0.58099999999999996</v>
      </c>
      <c r="AX174">
        <v>-0.43099999999999999</v>
      </c>
      <c r="AY174">
        <v>0.129</v>
      </c>
      <c r="AZ174">
        <v>8.2000000000000003E-2</v>
      </c>
      <c r="BA174">
        <v>-0.34</v>
      </c>
      <c r="BE174" s="20"/>
      <c r="BF174" s="21"/>
      <c r="BG174" s="21"/>
      <c r="BH174" s="21"/>
      <c r="BL174" t="s">
        <v>231</v>
      </c>
      <c r="BM174" t="s">
        <v>292</v>
      </c>
      <c r="BN174" t="s">
        <v>282</v>
      </c>
    </row>
    <row r="175" spans="1:66" ht="15" thickBot="1" x14ac:dyDescent="0.35">
      <c r="A175" t="s">
        <v>276</v>
      </c>
      <c r="B175">
        <v>0.51400000000000001</v>
      </c>
      <c r="C175">
        <v>0.36099999999999999</v>
      </c>
      <c r="D175" t="s">
        <v>68</v>
      </c>
      <c r="E175">
        <v>0</v>
      </c>
      <c r="F175">
        <v>0</v>
      </c>
      <c r="G175">
        <v>0</v>
      </c>
      <c r="H175">
        <v>-0.79200000000000004</v>
      </c>
      <c r="I175">
        <v>-0.85599999999999998</v>
      </c>
      <c r="J175">
        <v>-0.78900000000000003</v>
      </c>
      <c r="K175">
        <v>-0.84099999999999997</v>
      </c>
      <c r="L175">
        <v>-0.876</v>
      </c>
      <c r="M175">
        <v>-0.92</v>
      </c>
      <c r="N175">
        <v>-0.92700000000000005</v>
      </c>
      <c r="O175">
        <v>-0.91900000000000004</v>
      </c>
      <c r="P175">
        <v>-0.13500000000000001</v>
      </c>
      <c r="Q175">
        <v>-0.13700000000000001</v>
      </c>
      <c r="R175">
        <v>-0.223</v>
      </c>
      <c r="S175">
        <v>0.28399999999999997</v>
      </c>
      <c r="T175">
        <v>0.28599999999999998</v>
      </c>
      <c r="U175">
        <v>-0.60899999999999999</v>
      </c>
      <c r="V175">
        <v>-0.98499999999999999</v>
      </c>
      <c r="W175">
        <v>-0.78100000000000003</v>
      </c>
      <c r="X175">
        <v>-0.79300000000000004</v>
      </c>
      <c r="Y175">
        <v>-0.38600000000000001</v>
      </c>
      <c r="Z175">
        <v>-0.52600000000000002</v>
      </c>
      <c r="AA175">
        <v>-0.33100000000000002</v>
      </c>
      <c r="AB175">
        <v>-0.71299999999999997</v>
      </c>
      <c r="AC175">
        <v>-0.76500000000000001</v>
      </c>
      <c r="AD175">
        <v>-0.93700000000000006</v>
      </c>
      <c r="AE175">
        <v>0.17799999999999999</v>
      </c>
      <c r="AF175">
        <v>0.14599999999999999</v>
      </c>
      <c r="AG175">
        <v>-0.28100000000000003</v>
      </c>
      <c r="AH175">
        <v>0.126</v>
      </c>
      <c r="AI175">
        <v>0.23899999999999999</v>
      </c>
      <c r="AJ175">
        <v>0.40500000000000003</v>
      </c>
      <c r="AK175">
        <v>-0.29499999999999998</v>
      </c>
      <c r="AL175">
        <v>0.14899999999999999</v>
      </c>
      <c r="AM175">
        <v>-0.75</v>
      </c>
      <c r="AN175">
        <v>9.2999999999999999E-2</v>
      </c>
      <c r="AO175">
        <v>4.3999999999999997E-2</v>
      </c>
      <c r="AP175">
        <v>-0.66800000000000004</v>
      </c>
      <c r="AQ175">
        <v>0.93400000000000005</v>
      </c>
      <c r="AR175">
        <v>0.183</v>
      </c>
      <c r="AS175">
        <v>-0.113</v>
      </c>
      <c r="AT175">
        <v>1</v>
      </c>
      <c r="AU175">
        <v>-1</v>
      </c>
      <c r="AV175">
        <v>-1</v>
      </c>
      <c r="AW175">
        <v>-1</v>
      </c>
      <c r="AX175">
        <v>0.26100000000000001</v>
      </c>
      <c r="AY175">
        <v>0.79400000000000004</v>
      </c>
      <c r="AZ175">
        <v>0.96799999999999997</v>
      </c>
      <c r="BA175">
        <v>-6.8000000000000005E-2</v>
      </c>
      <c r="BE175" s="20"/>
      <c r="BF175" s="21"/>
      <c r="BG175" s="21"/>
      <c r="BH175" s="21"/>
      <c r="BL175" t="s">
        <v>216</v>
      </c>
      <c r="BM175" t="s">
        <v>284</v>
      </c>
      <c r="BN175" t="s">
        <v>279</v>
      </c>
    </row>
    <row r="176" spans="1:66" ht="15" thickBot="1" x14ac:dyDescent="0.35">
      <c r="A176" t="s">
        <v>131</v>
      </c>
      <c r="B176">
        <v>2.0209999999999999</v>
      </c>
      <c r="C176">
        <v>1.915</v>
      </c>
      <c r="D176" t="s">
        <v>71</v>
      </c>
      <c r="E176">
        <v>0</v>
      </c>
      <c r="F176">
        <v>0</v>
      </c>
      <c r="G176">
        <v>0</v>
      </c>
      <c r="H176">
        <v>-0.17599999999999999</v>
      </c>
      <c r="I176">
        <v>0.311</v>
      </c>
      <c r="J176">
        <v>-0.40400000000000003</v>
      </c>
      <c r="K176">
        <v>2E-3</v>
      </c>
      <c r="L176">
        <v>0.17100000000000001</v>
      </c>
      <c r="M176">
        <v>0.36099999999999999</v>
      </c>
      <c r="N176">
        <v>0.40600000000000003</v>
      </c>
      <c r="O176">
        <v>0.65700000000000003</v>
      </c>
      <c r="P176">
        <v>0.90500000000000003</v>
      </c>
      <c r="Q176">
        <v>0.90700000000000003</v>
      </c>
      <c r="R176">
        <v>0.77800000000000002</v>
      </c>
      <c r="S176">
        <v>0.82799999999999996</v>
      </c>
      <c r="T176">
        <v>0.73599999999999999</v>
      </c>
      <c r="U176">
        <v>-0.25600000000000001</v>
      </c>
      <c r="V176">
        <v>-0.34100000000000003</v>
      </c>
      <c r="W176">
        <v>0.95499999999999996</v>
      </c>
      <c r="X176">
        <v>5.0999999999999997E-2</v>
      </c>
      <c r="Y176">
        <v>0.52200000000000002</v>
      </c>
      <c r="Z176">
        <v>-0.66600000000000004</v>
      </c>
      <c r="AA176">
        <v>-0.24299999999999999</v>
      </c>
      <c r="AB176">
        <v>0.77</v>
      </c>
      <c r="AC176">
        <v>-0.06</v>
      </c>
      <c r="AD176">
        <v>0.33100000000000002</v>
      </c>
      <c r="AE176">
        <v>0.36699999999999999</v>
      </c>
      <c r="AF176">
        <v>0.89600000000000002</v>
      </c>
      <c r="AG176">
        <v>-0.42699999999999999</v>
      </c>
      <c r="AH176">
        <v>0.28000000000000003</v>
      </c>
      <c r="AI176">
        <v>4.4999999999999998E-2</v>
      </c>
      <c r="AJ176">
        <v>0.16300000000000001</v>
      </c>
      <c r="AK176">
        <v>0.17</v>
      </c>
      <c r="AL176">
        <v>-0.17499999999999999</v>
      </c>
      <c r="AM176">
        <v>0.312</v>
      </c>
      <c r="AN176">
        <v>0.16600000000000001</v>
      </c>
      <c r="AO176">
        <v>0.82199999999999995</v>
      </c>
      <c r="AP176">
        <v>0.111</v>
      </c>
      <c r="AQ176">
        <v>-0.317</v>
      </c>
      <c r="AR176">
        <v>-0.42199999999999999</v>
      </c>
      <c r="AS176">
        <v>-0.65600000000000003</v>
      </c>
      <c r="AT176">
        <v>-0.67400000000000004</v>
      </c>
      <c r="AU176">
        <v>0.17899999999999999</v>
      </c>
      <c r="AV176">
        <v>0.78700000000000003</v>
      </c>
      <c r="AW176">
        <v>0.624</v>
      </c>
      <c r="AX176">
        <v>-0.20200000000000001</v>
      </c>
      <c r="AY176">
        <v>-0.78500000000000003</v>
      </c>
      <c r="AZ176">
        <v>-0.54300000000000004</v>
      </c>
      <c r="BA176">
        <v>0.437</v>
      </c>
      <c r="BE176" s="20"/>
      <c r="BF176" s="21"/>
      <c r="BG176" s="21"/>
      <c r="BH176" s="21"/>
      <c r="BL176" t="s">
        <v>215</v>
      </c>
      <c r="BM176" t="s">
        <v>302</v>
      </c>
      <c r="BN176" t="s">
        <v>279</v>
      </c>
    </row>
    <row r="177" spans="1:66" ht="15" thickBot="1" x14ac:dyDescent="0.35">
      <c r="A177" t="s">
        <v>122</v>
      </c>
      <c r="B177">
        <v>1.37</v>
      </c>
      <c r="C177">
        <v>1.3280000000000001</v>
      </c>
      <c r="D177" t="s">
        <v>57</v>
      </c>
      <c r="E177">
        <v>0</v>
      </c>
      <c r="F177">
        <v>0</v>
      </c>
      <c r="G177">
        <v>0</v>
      </c>
      <c r="H177">
        <v>-0.14199999999999999</v>
      </c>
      <c r="I177">
        <v>-0.08</v>
      </c>
      <c r="J177">
        <v>0.14099999999999999</v>
      </c>
      <c r="K177">
        <v>-0.56499999999999995</v>
      </c>
      <c r="L177">
        <v>-0.155</v>
      </c>
      <c r="M177">
        <v>-7.5999999999999998E-2</v>
      </c>
      <c r="N177">
        <v>8.1000000000000003E-2</v>
      </c>
      <c r="O177">
        <v>0.182</v>
      </c>
      <c r="P177">
        <v>0.36199999999999999</v>
      </c>
      <c r="Q177">
        <v>0.36299999999999999</v>
      </c>
      <c r="R177">
        <v>0.64500000000000002</v>
      </c>
      <c r="S177">
        <v>0.622</v>
      </c>
      <c r="T177">
        <v>0.70899999999999996</v>
      </c>
      <c r="U177">
        <v>-0.43099999999999999</v>
      </c>
      <c r="V177">
        <v>-0.74</v>
      </c>
      <c r="W177">
        <v>-0.66800000000000004</v>
      </c>
      <c r="X177">
        <v>-0.35599999999999998</v>
      </c>
      <c r="Y177">
        <v>0.26200000000000001</v>
      </c>
      <c r="Z177">
        <v>0.68100000000000005</v>
      </c>
      <c r="AA177">
        <v>-0.79900000000000004</v>
      </c>
      <c r="AB177">
        <v>0.33800000000000002</v>
      </c>
      <c r="AC177">
        <v>-0.64800000000000002</v>
      </c>
      <c r="AD177">
        <v>-9.6000000000000002E-2</v>
      </c>
      <c r="AE177">
        <v>0.112</v>
      </c>
      <c r="AF177">
        <v>6.9000000000000006E-2</v>
      </c>
      <c r="AG177">
        <v>-0.23799999999999999</v>
      </c>
      <c r="AH177">
        <v>0.08</v>
      </c>
      <c r="AI177">
        <v>0.34699999999999998</v>
      </c>
      <c r="AJ177">
        <v>-0.23499999999999999</v>
      </c>
      <c r="AK177">
        <v>0.21299999999999999</v>
      </c>
      <c r="AL177">
        <v>-0.217</v>
      </c>
      <c r="AM177">
        <v>0.55700000000000005</v>
      </c>
      <c r="AN177">
        <v>1</v>
      </c>
      <c r="AO177">
        <v>2.8000000000000001E-2</v>
      </c>
      <c r="AP177">
        <v>0.46400000000000002</v>
      </c>
      <c r="AQ177">
        <v>0.61399999999999999</v>
      </c>
      <c r="AR177">
        <v>0.20499999999999999</v>
      </c>
      <c r="AS177">
        <v>0.253</v>
      </c>
      <c r="AT177">
        <v>4.0000000000000001E-3</v>
      </c>
      <c r="AU177">
        <v>0.156</v>
      </c>
      <c r="AV177">
        <v>-0.20200000000000001</v>
      </c>
      <c r="AW177">
        <v>0.51900000000000002</v>
      </c>
      <c r="AX177">
        <v>-0.65200000000000002</v>
      </c>
      <c r="AY177">
        <v>-0.38100000000000001</v>
      </c>
      <c r="AZ177">
        <v>0.58599999999999997</v>
      </c>
      <c r="BA177">
        <v>0.746</v>
      </c>
      <c r="BE177" s="20"/>
      <c r="BF177" s="21"/>
      <c r="BG177" s="21"/>
      <c r="BH177" s="21"/>
      <c r="BL177" t="s">
        <v>126</v>
      </c>
      <c r="BM177" t="s">
        <v>291</v>
      </c>
      <c r="BN177" t="s">
        <v>283</v>
      </c>
    </row>
    <row r="178" spans="1:66" ht="15" thickBot="1" x14ac:dyDescent="0.35">
      <c r="A178" t="s">
        <v>260</v>
      </c>
      <c r="B178">
        <v>0.46800000000000003</v>
      </c>
      <c r="C178">
        <v>0.33</v>
      </c>
      <c r="D178" t="s">
        <v>57</v>
      </c>
      <c r="E178">
        <v>0</v>
      </c>
      <c r="F178">
        <v>0</v>
      </c>
      <c r="G178">
        <v>0</v>
      </c>
      <c r="H178">
        <v>-0.98399999999999999</v>
      </c>
      <c r="I178">
        <v>-1</v>
      </c>
      <c r="J178">
        <v>-0.97799999999999998</v>
      </c>
      <c r="K178">
        <v>-0.98299999999999998</v>
      </c>
      <c r="L178">
        <v>-1</v>
      </c>
      <c r="M178">
        <v>-1</v>
      </c>
      <c r="N178">
        <v>-1</v>
      </c>
      <c r="O178">
        <v>-0.996</v>
      </c>
      <c r="P178">
        <v>-0.76100000000000001</v>
      </c>
      <c r="Q178">
        <v>-0.76400000000000001</v>
      </c>
      <c r="R178">
        <v>-0.78100000000000003</v>
      </c>
      <c r="S178">
        <v>-1</v>
      </c>
      <c r="T178">
        <v>-1</v>
      </c>
      <c r="U178">
        <v>-0.79900000000000004</v>
      </c>
      <c r="V178">
        <v>-0.45200000000000001</v>
      </c>
      <c r="W178">
        <v>-0.871</v>
      </c>
      <c r="X178">
        <v>-0.14000000000000001</v>
      </c>
      <c r="Y178">
        <v>-0.94099999999999995</v>
      </c>
      <c r="Z178">
        <v>-0.86899999999999999</v>
      </c>
      <c r="AA178">
        <v>0.20399999999999999</v>
      </c>
      <c r="AB178">
        <v>-0.56000000000000005</v>
      </c>
      <c r="AC178">
        <v>-3.6999999999999998E-2</v>
      </c>
      <c r="AD178">
        <v>-0.29099999999999998</v>
      </c>
      <c r="AE178">
        <v>-0.76900000000000002</v>
      </c>
      <c r="AF178">
        <v>-0.874</v>
      </c>
      <c r="AG178">
        <v>-0.57699999999999996</v>
      </c>
      <c r="AH178">
        <v>-0.69899999999999995</v>
      </c>
      <c r="AI178">
        <v>-0.44600000000000001</v>
      </c>
      <c r="AJ178">
        <v>-0.41399999999999998</v>
      </c>
      <c r="AK178">
        <v>-0.66</v>
      </c>
      <c r="AL178">
        <v>-0.69299999999999995</v>
      </c>
      <c r="AM178">
        <v>-0.57899999999999996</v>
      </c>
      <c r="AN178">
        <v>-4.7E-2</v>
      </c>
      <c r="AO178">
        <v>0.28999999999999998</v>
      </c>
      <c r="AP178">
        <v>-0.94099999999999995</v>
      </c>
      <c r="AQ178">
        <v>0.189</v>
      </c>
      <c r="AR178">
        <v>0.78800000000000003</v>
      </c>
      <c r="AS178">
        <v>0.29299999999999998</v>
      </c>
      <c r="AT178">
        <v>-0.28599999999999998</v>
      </c>
      <c r="AU178">
        <v>-0.79300000000000004</v>
      </c>
      <c r="AV178">
        <v>-1</v>
      </c>
      <c r="AW178">
        <v>-1</v>
      </c>
      <c r="AX178">
        <v>0.98199999999999998</v>
      </c>
      <c r="AY178">
        <v>0.69699999999999995</v>
      </c>
      <c r="AZ178">
        <v>0.28199999999999997</v>
      </c>
      <c r="BA178">
        <v>6.6000000000000003E-2</v>
      </c>
      <c r="BE178" s="20"/>
      <c r="BF178" s="21"/>
      <c r="BG178" s="21"/>
      <c r="BH178" s="21"/>
      <c r="BL178" t="s">
        <v>54</v>
      </c>
      <c r="BM178" t="s">
        <v>302</v>
      </c>
      <c r="BN178" t="s">
        <v>282</v>
      </c>
    </row>
    <row r="179" spans="1:66" ht="15" thickBot="1" x14ac:dyDescent="0.35">
      <c r="A179" t="s">
        <v>231</v>
      </c>
      <c r="B179">
        <v>0.52600000000000002</v>
      </c>
      <c r="C179">
        <v>0.56399999999999995</v>
      </c>
      <c r="D179" t="s">
        <v>71</v>
      </c>
      <c r="E179">
        <v>0</v>
      </c>
      <c r="F179">
        <v>-3.0000000000000001E-3</v>
      </c>
      <c r="G179">
        <v>3.0000000000000001E-3</v>
      </c>
      <c r="H179">
        <v>-0.95399999999999996</v>
      </c>
      <c r="I179">
        <v>-0.84399999999999997</v>
      </c>
      <c r="J179">
        <v>-0.98</v>
      </c>
      <c r="K179">
        <v>-0.91200000000000003</v>
      </c>
      <c r="L179">
        <v>-0.89400000000000002</v>
      </c>
      <c r="M179">
        <v>-0.79800000000000004</v>
      </c>
      <c r="N179">
        <v>-0.71199999999999997</v>
      </c>
      <c r="O179">
        <v>-0.83699999999999997</v>
      </c>
      <c r="P179">
        <v>0.23699999999999999</v>
      </c>
      <c r="Q179">
        <v>0.23899999999999999</v>
      </c>
      <c r="R179">
        <v>0.46800000000000003</v>
      </c>
      <c r="S179">
        <v>0.501</v>
      </c>
      <c r="T179">
        <v>0.24399999999999999</v>
      </c>
      <c r="U179">
        <v>-0.85799999999999998</v>
      </c>
      <c r="V179">
        <v>-0.72899999999999998</v>
      </c>
      <c r="W179">
        <v>-0.69599999999999995</v>
      </c>
      <c r="X179">
        <v>-0.78600000000000003</v>
      </c>
      <c r="Y179">
        <v>-0.69899999999999995</v>
      </c>
      <c r="Z179">
        <v>-0.72</v>
      </c>
      <c r="AA179">
        <v>-0.52500000000000002</v>
      </c>
      <c r="AB179">
        <v>-0.83699999999999997</v>
      </c>
      <c r="AC179">
        <v>-0.63300000000000001</v>
      </c>
      <c r="AD179">
        <v>-5.7000000000000002E-2</v>
      </c>
      <c r="AE179">
        <v>4.9000000000000002E-2</v>
      </c>
      <c r="AF179">
        <v>-5.0999999999999997E-2</v>
      </c>
      <c r="AG179">
        <v>0.21299999999999999</v>
      </c>
      <c r="AH179">
        <v>-0.318</v>
      </c>
      <c r="AI179">
        <v>-0.77200000000000002</v>
      </c>
      <c r="AJ179">
        <v>0.29499999999999998</v>
      </c>
      <c r="AK179">
        <v>-0.38</v>
      </c>
      <c r="AL179">
        <v>-0.38700000000000001</v>
      </c>
      <c r="AM179">
        <v>0.44500000000000001</v>
      </c>
      <c r="AN179">
        <v>6.6000000000000003E-2</v>
      </c>
      <c r="AO179">
        <v>0.81</v>
      </c>
      <c r="AP179">
        <v>-0.68799999999999994</v>
      </c>
      <c r="AQ179">
        <v>0.49299999999999999</v>
      </c>
      <c r="AR179">
        <v>-0.96699999999999997</v>
      </c>
      <c r="AS179">
        <v>-0.76700000000000002</v>
      </c>
      <c r="AT179">
        <v>-0.86299999999999999</v>
      </c>
      <c r="AU179">
        <v>-2.8000000000000001E-2</v>
      </c>
      <c r="AV179">
        <v>-0.39800000000000002</v>
      </c>
      <c r="AW179">
        <v>0.79200000000000004</v>
      </c>
      <c r="AX179">
        <v>-0.36899999999999999</v>
      </c>
      <c r="AY179">
        <v>-0.47299999999999998</v>
      </c>
      <c r="AZ179">
        <v>0.33500000000000002</v>
      </c>
      <c r="BA179">
        <v>-3.5999999999999997E-2</v>
      </c>
      <c r="BE179" s="20"/>
      <c r="BF179" s="21"/>
      <c r="BG179" s="21"/>
      <c r="BH179" s="21"/>
      <c r="BL179" t="s">
        <v>190</v>
      </c>
      <c r="BM179" t="s">
        <v>293</v>
      </c>
      <c r="BN179" t="s">
        <v>287</v>
      </c>
    </row>
    <row r="180" spans="1:66" ht="15" thickBot="1" x14ac:dyDescent="0.35">
      <c r="A180" t="s">
        <v>216</v>
      </c>
      <c r="B180">
        <v>0.61699999999999999</v>
      </c>
      <c r="C180">
        <v>0.46300000000000002</v>
      </c>
      <c r="D180" t="s">
        <v>71</v>
      </c>
      <c r="E180">
        <v>0</v>
      </c>
      <c r="F180">
        <v>-4.0000000000000001E-3</v>
      </c>
      <c r="G180">
        <v>4.0000000000000001E-3</v>
      </c>
      <c r="H180">
        <v>-0.71699999999999997</v>
      </c>
      <c r="I180">
        <v>-0.31</v>
      </c>
      <c r="J180">
        <v>-0.84899999999999998</v>
      </c>
      <c r="K180">
        <v>-0.67700000000000005</v>
      </c>
      <c r="L180">
        <v>-0.61699999999999999</v>
      </c>
      <c r="M180">
        <v>-0.52800000000000002</v>
      </c>
      <c r="N180">
        <v>-0.59</v>
      </c>
      <c r="O180">
        <v>-0.71</v>
      </c>
      <c r="P180">
        <v>0.57699999999999996</v>
      </c>
      <c r="Q180">
        <v>0.57599999999999996</v>
      </c>
      <c r="R180">
        <v>0.46100000000000002</v>
      </c>
      <c r="S180">
        <v>0.627</v>
      </c>
      <c r="T180">
        <v>0.79900000000000004</v>
      </c>
      <c r="U180">
        <v>-0.47199999999999998</v>
      </c>
      <c r="V180">
        <v>-0.99199999999999999</v>
      </c>
      <c r="W180">
        <v>0.71899999999999997</v>
      </c>
      <c r="X180">
        <v>-0.72699999999999998</v>
      </c>
      <c r="Y180">
        <v>1</v>
      </c>
      <c r="Z180">
        <v>-0.877</v>
      </c>
      <c r="AA180">
        <v>-0.186</v>
      </c>
      <c r="AB180">
        <v>-1</v>
      </c>
      <c r="AC180">
        <v>-0.44600000000000001</v>
      </c>
      <c r="AD180">
        <v>-0.13700000000000001</v>
      </c>
      <c r="AE180">
        <v>1</v>
      </c>
      <c r="AF180">
        <v>0.89400000000000002</v>
      </c>
      <c r="AG180">
        <v>-0.53500000000000003</v>
      </c>
      <c r="AH180">
        <v>-0.48699999999999999</v>
      </c>
      <c r="AI180">
        <v>-0.27600000000000002</v>
      </c>
      <c r="AJ180">
        <v>5.5E-2</v>
      </c>
      <c r="AK180">
        <v>-0.376</v>
      </c>
      <c r="AL180">
        <v>-4.5999999999999999E-2</v>
      </c>
      <c r="AM180">
        <v>-0.22900000000000001</v>
      </c>
      <c r="AN180">
        <v>-0.247</v>
      </c>
      <c r="AO180">
        <v>0.67900000000000005</v>
      </c>
      <c r="AP180">
        <v>-0.38600000000000001</v>
      </c>
      <c r="AQ180">
        <v>0.48299999999999998</v>
      </c>
      <c r="AR180">
        <v>4.5999999999999999E-2</v>
      </c>
      <c r="AS180">
        <v>-0.25600000000000001</v>
      </c>
      <c r="AT180">
        <v>0.622</v>
      </c>
      <c r="AU180">
        <v>0.34499999999999997</v>
      </c>
      <c r="AV180">
        <v>-1.0999999999999999E-2</v>
      </c>
      <c r="AW180">
        <v>1</v>
      </c>
      <c r="AX180">
        <v>-0.39100000000000001</v>
      </c>
      <c r="AY180">
        <v>-1</v>
      </c>
      <c r="AZ180">
        <v>-0.245</v>
      </c>
      <c r="BA180">
        <v>0.20899999999999999</v>
      </c>
      <c r="BE180" s="20"/>
      <c r="BF180" s="21"/>
      <c r="BG180" s="21"/>
      <c r="BH180" s="21"/>
      <c r="BL180" t="s">
        <v>277</v>
      </c>
      <c r="BM180" t="s">
        <v>302</v>
      </c>
      <c r="BN180" t="s">
        <v>282</v>
      </c>
    </row>
    <row r="181" spans="1:66" ht="15" thickBot="1" x14ac:dyDescent="0.35">
      <c r="A181" t="s">
        <v>215</v>
      </c>
      <c r="B181">
        <v>0.52900000000000003</v>
      </c>
      <c r="C181">
        <v>0.376</v>
      </c>
      <c r="D181" t="s">
        <v>55</v>
      </c>
      <c r="E181">
        <v>0</v>
      </c>
      <c r="F181">
        <v>0</v>
      </c>
      <c r="G181">
        <v>0</v>
      </c>
      <c r="H181">
        <v>-0.85</v>
      </c>
      <c r="I181">
        <v>-0.82</v>
      </c>
      <c r="J181">
        <v>-0.874</v>
      </c>
      <c r="K181">
        <v>-0.82899999999999996</v>
      </c>
      <c r="L181">
        <v>-0.84299999999999997</v>
      </c>
      <c r="M181">
        <v>-0.88300000000000001</v>
      </c>
      <c r="N181">
        <v>-0.86099999999999999</v>
      </c>
      <c r="O181">
        <v>-0.88300000000000001</v>
      </c>
      <c r="P181">
        <v>0.223</v>
      </c>
      <c r="Q181">
        <v>0.217</v>
      </c>
      <c r="R181">
        <v>0.51</v>
      </c>
      <c r="S181">
        <v>0.42599999999999999</v>
      </c>
      <c r="T181">
        <v>0.32200000000000001</v>
      </c>
      <c r="U181">
        <v>-0.80800000000000005</v>
      </c>
      <c r="V181">
        <v>-0.433</v>
      </c>
      <c r="W181">
        <v>-0.503</v>
      </c>
      <c r="X181">
        <v>-0.41399999999999998</v>
      </c>
      <c r="Y181">
        <v>0.17</v>
      </c>
      <c r="Z181">
        <v>-0.40899999999999997</v>
      </c>
      <c r="AA181">
        <v>-0.20599999999999999</v>
      </c>
      <c r="AB181">
        <v>-0.93</v>
      </c>
      <c r="AC181">
        <v>-0.20499999999999999</v>
      </c>
      <c r="AD181">
        <v>9.6000000000000002E-2</v>
      </c>
      <c r="AE181">
        <v>0.32800000000000001</v>
      </c>
      <c r="AF181">
        <v>-0.39200000000000002</v>
      </c>
      <c r="AG181">
        <v>0.17699999999999999</v>
      </c>
      <c r="AH181">
        <v>3.3000000000000002E-2</v>
      </c>
      <c r="AI181">
        <v>-6.3E-2</v>
      </c>
      <c r="AJ181">
        <v>-6.0000000000000001E-3</v>
      </c>
      <c r="AK181">
        <v>0.23100000000000001</v>
      </c>
      <c r="AL181">
        <v>-0.24299999999999999</v>
      </c>
      <c r="AM181">
        <v>-0.42199999999999999</v>
      </c>
      <c r="AN181">
        <v>-0.218</v>
      </c>
      <c r="AO181">
        <v>0.80500000000000005</v>
      </c>
      <c r="AP181">
        <v>-0.17499999999999999</v>
      </c>
      <c r="AQ181">
        <v>0.68799999999999994</v>
      </c>
      <c r="AR181">
        <v>-0.24099999999999999</v>
      </c>
      <c r="AS181">
        <v>-0.55500000000000005</v>
      </c>
      <c r="AT181">
        <v>0.36</v>
      </c>
      <c r="AU181">
        <v>-1</v>
      </c>
      <c r="AV181">
        <v>-1</v>
      </c>
      <c r="AW181">
        <v>-0.70299999999999996</v>
      </c>
      <c r="AX181">
        <v>-0.38700000000000001</v>
      </c>
      <c r="AY181">
        <v>-0.59</v>
      </c>
      <c r="AZ181">
        <v>-0.18</v>
      </c>
      <c r="BA181">
        <v>0.55600000000000005</v>
      </c>
      <c r="BE181" s="20"/>
      <c r="BF181" s="21"/>
      <c r="BG181" s="21"/>
      <c r="BH181" s="21"/>
      <c r="BL181" t="s">
        <v>267</v>
      </c>
      <c r="BM181" t="s">
        <v>290</v>
      </c>
      <c r="BN181" t="s">
        <v>281</v>
      </c>
    </row>
    <row r="182" spans="1:66" ht="15" thickBot="1" x14ac:dyDescent="0.35">
      <c r="A182" t="s">
        <v>126</v>
      </c>
      <c r="B182">
        <v>2.15</v>
      </c>
      <c r="C182">
        <v>1.6180000000000001</v>
      </c>
      <c r="D182" t="s">
        <v>57</v>
      </c>
      <c r="E182">
        <v>0</v>
      </c>
      <c r="F182">
        <v>0</v>
      </c>
      <c r="G182">
        <v>0</v>
      </c>
      <c r="H182">
        <v>0.94599999999999995</v>
      </c>
      <c r="I182">
        <v>0.20899999999999999</v>
      </c>
      <c r="J182">
        <v>0.95599999999999996</v>
      </c>
      <c r="K182">
        <v>0.49099999999999999</v>
      </c>
      <c r="L182">
        <v>0.44800000000000001</v>
      </c>
      <c r="M182">
        <v>0.17699999999999999</v>
      </c>
      <c r="N182">
        <v>-0.253</v>
      </c>
      <c r="O182">
        <v>-0.45900000000000002</v>
      </c>
      <c r="P182">
        <v>0.71899999999999997</v>
      </c>
      <c r="Q182">
        <v>0.72099999999999997</v>
      </c>
      <c r="R182">
        <v>0.98299999999999998</v>
      </c>
      <c r="S182">
        <v>1</v>
      </c>
      <c r="T182">
        <v>1</v>
      </c>
      <c r="U182">
        <v>0.59199999999999997</v>
      </c>
      <c r="V182">
        <v>0.40200000000000002</v>
      </c>
      <c r="W182">
        <v>0.47399999999999998</v>
      </c>
      <c r="X182">
        <v>0.26600000000000001</v>
      </c>
      <c r="Y182">
        <v>0.38100000000000001</v>
      </c>
      <c r="Z182">
        <v>0.307</v>
      </c>
      <c r="AA182">
        <v>-0.221</v>
      </c>
      <c r="AB182">
        <v>-0.79100000000000004</v>
      </c>
      <c r="AC182">
        <v>0.55800000000000005</v>
      </c>
      <c r="AD182">
        <v>0.31</v>
      </c>
      <c r="AE182">
        <v>0.41199999999999998</v>
      </c>
      <c r="AF182">
        <v>-0.161</v>
      </c>
      <c r="AG182">
        <v>0.28499999999999998</v>
      </c>
      <c r="AH182">
        <v>1</v>
      </c>
      <c r="AI182">
        <v>0.80300000000000005</v>
      </c>
      <c r="AJ182">
        <v>1E-3</v>
      </c>
      <c r="AK182">
        <v>-0.315</v>
      </c>
      <c r="AL182">
        <v>0.38300000000000001</v>
      </c>
      <c r="AM182">
        <v>-0.45700000000000002</v>
      </c>
      <c r="AN182">
        <v>0.371</v>
      </c>
      <c r="AO182">
        <v>0.61399999999999999</v>
      </c>
      <c r="AP182">
        <v>-4.0000000000000001E-3</v>
      </c>
      <c r="AQ182">
        <v>0.88500000000000001</v>
      </c>
      <c r="AR182">
        <v>0.308</v>
      </c>
      <c r="AS182">
        <v>-0.192</v>
      </c>
      <c r="AT182">
        <v>0.66400000000000003</v>
      </c>
      <c r="AU182">
        <v>-0.495</v>
      </c>
      <c r="AV182">
        <v>0.13100000000000001</v>
      </c>
      <c r="AW182">
        <v>0.217</v>
      </c>
      <c r="AX182">
        <v>0.498</v>
      </c>
      <c r="AY182">
        <v>-0.127</v>
      </c>
      <c r="AZ182">
        <v>0.88700000000000001</v>
      </c>
      <c r="BA182">
        <v>0.48199999999999998</v>
      </c>
      <c r="BE182" s="20"/>
      <c r="BF182" s="21"/>
      <c r="BG182" s="21"/>
      <c r="BH182" s="21"/>
      <c r="BL182" t="s">
        <v>234</v>
      </c>
      <c r="BM182" t="s">
        <v>280</v>
      </c>
      <c r="BN182" t="s">
        <v>283</v>
      </c>
    </row>
    <row r="183" spans="1:66" ht="15" thickBot="1" x14ac:dyDescent="0.35">
      <c r="A183" t="s">
        <v>54</v>
      </c>
      <c r="B183">
        <v>3.0819999999999999</v>
      </c>
      <c r="C183">
        <v>3.133</v>
      </c>
      <c r="D183" t="s">
        <v>55</v>
      </c>
      <c r="E183">
        <v>0</v>
      </c>
      <c r="F183">
        <v>0</v>
      </c>
      <c r="G183">
        <v>0</v>
      </c>
      <c r="H183">
        <v>0.88600000000000001</v>
      </c>
      <c r="I183">
        <v>0.82299999999999995</v>
      </c>
      <c r="J183">
        <v>0.71299999999999997</v>
      </c>
      <c r="K183">
        <v>0.99399999999999999</v>
      </c>
      <c r="L183">
        <v>0.95199999999999996</v>
      </c>
      <c r="M183">
        <v>0.64200000000000002</v>
      </c>
      <c r="N183">
        <v>0.61599999999999999</v>
      </c>
      <c r="O183">
        <v>0.58499999999999996</v>
      </c>
      <c r="P183">
        <v>0.66800000000000004</v>
      </c>
      <c r="Q183">
        <v>0.67600000000000005</v>
      </c>
      <c r="R183">
        <v>1</v>
      </c>
      <c r="S183">
        <v>1</v>
      </c>
      <c r="T183">
        <v>1</v>
      </c>
      <c r="U183">
        <v>0.629</v>
      </c>
      <c r="V183">
        <v>-1.2E-2</v>
      </c>
      <c r="W183">
        <v>0.84699999999999998</v>
      </c>
      <c r="X183">
        <v>-0.23400000000000001</v>
      </c>
      <c r="Y183">
        <v>1</v>
      </c>
      <c r="Z183">
        <v>1</v>
      </c>
      <c r="AA183">
        <v>-0.23</v>
      </c>
      <c r="AB183">
        <v>9.0999999999999998E-2</v>
      </c>
      <c r="AC183">
        <v>-0.76800000000000002</v>
      </c>
      <c r="AD183">
        <v>8.9999999999999993E-3</v>
      </c>
      <c r="AE183">
        <v>0.871</v>
      </c>
      <c r="AF183">
        <v>0.81299999999999994</v>
      </c>
      <c r="AG183">
        <v>0.29799999999999999</v>
      </c>
      <c r="AH183">
        <v>0.19900000000000001</v>
      </c>
      <c r="AI183">
        <v>0.439</v>
      </c>
      <c r="AJ183">
        <v>0.52300000000000002</v>
      </c>
      <c r="AK183">
        <v>0.36</v>
      </c>
      <c r="AL183">
        <v>0.72199999999999998</v>
      </c>
      <c r="AM183">
        <v>0.44600000000000001</v>
      </c>
      <c r="AN183">
        <v>-6.8000000000000005E-2</v>
      </c>
      <c r="AO183">
        <v>0.93</v>
      </c>
      <c r="AP183">
        <v>-0.66100000000000003</v>
      </c>
      <c r="AQ183">
        <v>0.85099999999999998</v>
      </c>
      <c r="AR183">
        <v>-0.161</v>
      </c>
      <c r="AS183">
        <v>-0.29699999999999999</v>
      </c>
      <c r="AT183">
        <v>0.59699999999999998</v>
      </c>
      <c r="AU183">
        <v>-1</v>
      </c>
      <c r="AV183">
        <v>-0.32</v>
      </c>
      <c r="AW183">
        <v>-0.17</v>
      </c>
      <c r="AX183">
        <v>-0.54100000000000004</v>
      </c>
      <c r="AY183">
        <v>-0.36099999999999999</v>
      </c>
      <c r="AZ183">
        <v>0.7</v>
      </c>
      <c r="BA183">
        <v>0.46800000000000003</v>
      </c>
      <c r="BE183" s="20"/>
      <c r="BF183" s="21"/>
      <c r="BG183" s="21"/>
      <c r="BH183" s="21"/>
      <c r="BL183" t="s">
        <v>85</v>
      </c>
      <c r="BM183" t="s">
        <v>297</v>
      </c>
      <c r="BN183" t="s">
        <v>282</v>
      </c>
    </row>
    <row r="184" spans="1:66" ht="15" thickBot="1" x14ac:dyDescent="0.35">
      <c r="A184" t="s">
        <v>190</v>
      </c>
      <c r="B184">
        <v>0.60699999999999998</v>
      </c>
      <c r="C184">
        <v>0.437</v>
      </c>
      <c r="D184" t="s">
        <v>68</v>
      </c>
      <c r="E184">
        <v>0</v>
      </c>
      <c r="F184">
        <v>0</v>
      </c>
      <c r="G184">
        <v>0</v>
      </c>
      <c r="H184">
        <v>-0.22900000000000001</v>
      </c>
      <c r="I184">
        <v>-0.626</v>
      </c>
      <c r="J184">
        <v>-0.24099999999999999</v>
      </c>
      <c r="K184">
        <v>-0.46300000000000002</v>
      </c>
      <c r="L184">
        <v>-0.58199999999999996</v>
      </c>
      <c r="M184">
        <v>-0.74199999999999999</v>
      </c>
      <c r="N184">
        <v>-0.78400000000000003</v>
      </c>
      <c r="O184">
        <v>-0.72899999999999998</v>
      </c>
      <c r="P184">
        <v>0.193</v>
      </c>
      <c r="Q184">
        <v>0.188</v>
      </c>
      <c r="R184">
        <v>0.64900000000000002</v>
      </c>
      <c r="S184">
        <v>0.17899999999999999</v>
      </c>
      <c r="T184">
        <v>0.47799999999999998</v>
      </c>
      <c r="U184">
        <v>-0.60099999999999998</v>
      </c>
      <c r="V184">
        <v>-0.215</v>
      </c>
      <c r="W184">
        <v>0.26500000000000001</v>
      </c>
      <c r="X184">
        <v>-8.6999999999999994E-2</v>
      </c>
      <c r="Y184">
        <v>1</v>
      </c>
      <c r="Z184">
        <v>-0.68</v>
      </c>
      <c r="AA184">
        <v>-0.19800000000000001</v>
      </c>
      <c r="AB184">
        <v>-5.1999999999999998E-2</v>
      </c>
      <c r="AC184">
        <v>-0.38900000000000001</v>
      </c>
      <c r="AD184">
        <v>0.56200000000000006</v>
      </c>
      <c r="AE184">
        <v>0.54800000000000004</v>
      </c>
      <c r="AF184">
        <v>0.58299999999999996</v>
      </c>
      <c r="AG184">
        <v>-6.5000000000000002E-2</v>
      </c>
      <c r="AH184">
        <v>0.50600000000000001</v>
      </c>
      <c r="AI184">
        <v>0.24299999999999999</v>
      </c>
      <c r="AJ184">
        <v>2.1999999999999999E-2</v>
      </c>
      <c r="AK184">
        <v>-0.10100000000000001</v>
      </c>
      <c r="AL184">
        <v>-0.33300000000000002</v>
      </c>
      <c r="AM184">
        <v>-0.66700000000000004</v>
      </c>
      <c r="AN184">
        <v>-9.2999999999999999E-2</v>
      </c>
      <c r="AO184">
        <v>0.44700000000000001</v>
      </c>
      <c r="AP184">
        <v>-0.79100000000000004</v>
      </c>
      <c r="AQ184">
        <v>-0.38900000000000001</v>
      </c>
      <c r="AR184">
        <v>-0.29399999999999998</v>
      </c>
      <c r="AS184">
        <v>-0.251</v>
      </c>
      <c r="AT184">
        <v>0.121</v>
      </c>
      <c r="AU184">
        <v>-0.41499999999999998</v>
      </c>
      <c r="AV184">
        <v>-1</v>
      </c>
      <c r="AW184">
        <v>-0.85299999999999998</v>
      </c>
      <c r="AX184">
        <v>0.39500000000000002</v>
      </c>
      <c r="AY184">
        <v>1</v>
      </c>
      <c r="AZ184">
        <v>0.60599999999999998</v>
      </c>
      <c r="BA184">
        <v>0.28499999999999998</v>
      </c>
      <c r="BE184" s="20"/>
      <c r="BF184" s="21"/>
      <c r="BG184" s="21"/>
      <c r="BH184" s="21"/>
      <c r="BL184" t="s">
        <v>174</v>
      </c>
      <c r="BM184" t="s">
        <v>293</v>
      </c>
      <c r="BN184" t="s">
        <v>279</v>
      </c>
    </row>
    <row r="185" spans="1:66" ht="15" thickBot="1" x14ac:dyDescent="0.35">
      <c r="A185" t="s">
        <v>277</v>
      </c>
      <c r="B185">
        <v>0.58899999999999997</v>
      </c>
      <c r="C185">
        <v>0.54</v>
      </c>
      <c r="D185" t="s">
        <v>55</v>
      </c>
      <c r="E185">
        <v>0</v>
      </c>
      <c r="F185">
        <v>0</v>
      </c>
      <c r="G185">
        <v>0</v>
      </c>
      <c r="H185">
        <v>-0.67500000000000004</v>
      </c>
      <c r="I185">
        <v>-0.44500000000000001</v>
      </c>
      <c r="J185">
        <v>-0.70699999999999996</v>
      </c>
      <c r="K185">
        <v>-0.77700000000000002</v>
      </c>
      <c r="L185">
        <v>-0.69</v>
      </c>
      <c r="M185">
        <v>-0.64400000000000002</v>
      </c>
      <c r="N185">
        <v>-0.54100000000000004</v>
      </c>
      <c r="O185">
        <v>-0.71499999999999997</v>
      </c>
      <c r="P185">
        <v>0.36299999999999999</v>
      </c>
      <c r="Q185">
        <v>0.36899999999999999</v>
      </c>
      <c r="R185">
        <v>0.52500000000000002</v>
      </c>
      <c r="S185">
        <v>0.59699999999999998</v>
      </c>
      <c r="T185">
        <v>0.58199999999999996</v>
      </c>
      <c r="U185">
        <v>-1</v>
      </c>
      <c r="V185">
        <v>-0.99199999999999999</v>
      </c>
      <c r="W185">
        <v>0.10100000000000001</v>
      </c>
      <c r="X185">
        <v>-0.70699999999999996</v>
      </c>
      <c r="Y185">
        <v>0.03</v>
      </c>
      <c r="Z185">
        <v>-0.42799999999999999</v>
      </c>
      <c r="AA185">
        <v>-0.28499999999999998</v>
      </c>
      <c r="AB185">
        <v>-0.79900000000000004</v>
      </c>
      <c r="AC185">
        <v>-0.504</v>
      </c>
      <c r="AD185">
        <v>-0.35</v>
      </c>
      <c r="AE185">
        <v>0.47899999999999998</v>
      </c>
      <c r="AF185">
        <v>0.31900000000000001</v>
      </c>
      <c r="AG185">
        <v>-3.4000000000000002E-2</v>
      </c>
      <c r="AH185">
        <v>8.4000000000000005E-2</v>
      </c>
      <c r="AI185">
        <v>-0.26200000000000001</v>
      </c>
      <c r="AJ185">
        <v>0.152</v>
      </c>
      <c r="AK185">
        <v>0.13700000000000001</v>
      </c>
      <c r="AL185">
        <v>-0.65</v>
      </c>
      <c r="AM185">
        <v>0.191</v>
      </c>
      <c r="AN185">
        <v>0.10299999999999999</v>
      </c>
      <c r="AO185">
        <v>0.59699999999999998</v>
      </c>
      <c r="AP185">
        <v>-0.32400000000000001</v>
      </c>
      <c r="AQ185">
        <v>0.57199999999999995</v>
      </c>
      <c r="AR185">
        <v>1.9E-2</v>
      </c>
      <c r="AS185">
        <v>-0.20100000000000001</v>
      </c>
      <c r="AT185">
        <v>0.42099999999999999</v>
      </c>
      <c r="AU185">
        <v>4.7E-2</v>
      </c>
      <c r="AV185">
        <v>0.373</v>
      </c>
      <c r="AW185">
        <v>0.40799999999999997</v>
      </c>
      <c r="AX185">
        <v>-5.0999999999999997E-2</v>
      </c>
      <c r="AY185">
        <v>-0.22</v>
      </c>
      <c r="AZ185">
        <v>0.76200000000000001</v>
      </c>
      <c r="BA185">
        <v>-9.1999999999999998E-2</v>
      </c>
      <c r="BE185" s="20"/>
      <c r="BF185" s="21"/>
      <c r="BG185" s="21"/>
      <c r="BH185" s="21"/>
      <c r="BL185" t="s">
        <v>228</v>
      </c>
      <c r="BM185" t="s">
        <v>296</v>
      </c>
      <c r="BN185" t="s">
        <v>281</v>
      </c>
    </row>
    <row r="186" spans="1:66" ht="15" thickBot="1" x14ac:dyDescent="0.35">
      <c r="A186" t="s">
        <v>267</v>
      </c>
      <c r="B186">
        <v>0.46800000000000003</v>
      </c>
      <c r="C186">
        <v>0.32900000000000001</v>
      </c>
      <c r="D186" t="s">
        <v>53</v>
      </c>
      <c r="E186">
        <v>0</v>
      </c>
      <c r="F186">
        <v>0</v>
      </c>
      <c r="G186">
        <v>0</v>
      </c>
      <c r="H186">
        <v>-1</v>
      </c>
      <c r="I186">
        <v>-1</v>
      </c>
      <c r="J186">
        <v>-0.996</v>
      </c>
      <c r="K186">
        <v>-1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-1</v>
      </c>
      <c r="R186">
        <v>-1</v>
      </c>
      <c r="S186">
        <v>-1</v>
      </c>
      <c r="T186">
        <v>-1</v>
      </c>
      <c r="U186">
        <v>-0.86499999999999999</v>
      </c>
      <c r="V186">
        <v>-0.73199999999999998</v>
      </c>
      <c r="W186">
        <v>-1</v>
      </c>
      <c r="X186">
        <v>-0.23499999999999999</v>
      </c>
      <c r="Y186">
        <v>-0.46200000000000002</v>
      </c>
      <c r="Z186">
        <v>-0.68700000000000006</v>
      </c>
      <c r="AA186">
        <v>-0.38800000000000001</v>
      </c>
      <c r="AB186">
        <v>-1</v>
      </c>
      <c r="AC186">
        <v>-0.39300000000000002</v>
      </c>
      <c r="AD186">
        <v>-0.69399999999999995</v>
      </c>
      <c r="AE186">
        <v>-0.47299999999999998</v>
      </c>
      <c r="AF186">
        <v>-0.80800000000000005</v>
      </c>
      <c r="AG186">
        <v>-0.46700000000000003</v>
      </c>
      <c r="AH186">
        <v>-0.77200000000000002</v>
      </c>
      <c r="AI186">
        <v>-0.28399999999999997</v>
      </c>
      <c r="AJ186">
        <v>-0.66100000000000003</v>
      </c>
      <c r="AK186">
        <v>-0.63100000000000001</v>
      </c>
      <c r="AL186">
        <v>-0.69099999999999995</v>
      </c>
      <c r="AM186">
        <v>-0.60699999999999998</v>
      </c>
      <c r="AN186">
        <v>-1</v>
      </c>
      <c r="AO186">
        <v>-0.18099999999999999</v>
      </c>
      <c r="AP186">
        <v>-0.879</v>
      </c>
      <c r="AQ186">
        <v>7.0999999999999994E-2</v>
      </c>
      <c r="AR186">
        <v>0.97899999999999998</v>
      </c>
      <c r="AS186">
        <v>0.54300000000000004</v>
      </c>
      <c r="AT186">
        <v>0.21199999999999999</v>
      </c>
      <c r="AU186">
        <v>1</v>
      </c>
      <c r="AV186">
        <v>-1</v>
      </c>
      <c r="AW186">
        <v>-1</v>
      </c>
      <c r="AX186">
        <v>0.96799999999999997</v>
      </c>
      <c r="AY186">
        <v>0.187</v>
      </c>
      <c r="AZ186">
        <v>0.33800000000000002</v>
      </c>
      <c r="BA186">
        <v>0.53800000000000003</v>
      </c>
      <c r="BE186" s="20"/>
      <c r="BF186" s="21"/>
      <c r="BG186" s="21"/>
      <c r="BH186" s="21"/>
      <c r="BL186" t="s">
        <v>255</v>
      </c>
      <c r="BM186" t="s">
        <v>297</v>
      </c>
      <c r="BN186" t="s">
        <v>282</v>
      </c>
    </row>
    <row r="187" spans="1:66" ht="15" thickBot="1" x14ac:dyDescent="0.35">
      <c r="A187" t="s">
        <v>234</v>
      </c>
      <c r="B187">
        <v>0.6</v>
      </c>
      <c r="C187">
        <v>0.748</v>
      </c>
      <c r="D187" t="s">
        <v>55</v>
      </c>
      <c r="E187">
        <v>0</v>
      </c>
      <c r="F187">
        <v>-8.0000000000000002E-3</v>
      </c>
      <c r="G187">
        <v>8.0000000000000002E-3</v>
      </c>
      <c r="H187">
        <v>-0.80200000000000005</v>
      </c>
      <c r="I187">
        <v>-0.55300000000000005</v>
      </c>
      <c r="J187">
        <v>-0.84899999999999998</v>
      </c>
      <c r="K187">
        <v>-0.77</v>
      </c>
      <c r="L187">
        <v>-0.68899999999999995</v>
      </c>
      <c r="M187">
        <v>-0.629</v>
      </c>
      <c r="N187">
        <v>-0.53900000000000003</v>
      </c>
      <c r="O187">
        <v>-0.42599999999999999</v>
      </c>
      <c r="P187">
        <v>0.48399999999999999</v>
      </c>
      <c r="Q187">
        <v>0.48399999999999999</v>
      </c>
      <c r="R187">
        <v>0.55500000000000005</v>
      </c>
      <c r="S187">
        <v>0.58799999999999997</v>
      </c>
      <c r="T187">
        <v>0.49299999999999999</v>
      </c>
      <c r="U187">
        <v>-0.89800000000000002</v>
      </c>
      <c r="V187">
        <v>-0.59499999999999997</v>
      </c>
      <c r="W187">
        <v>-0.20100000000000001</v>
      </c>
      <c r="X187">
        <v>-0.89200000000000002</v>
      </c>
      <c r="Y187">
        <v>-0.39200000000000002</v>
      </c>
      <c r="Z187">
        <v>-0.94699999999999995</v>
      </c>
      <c r="AA187">
        <v>-0.376</v>
      </c>
      <c r="AB187">
        <v>-0.111</v>
      </c>
      <c r="AC187">
        <v>-0.28499999999999998</v>
      </c>
      <c r="AD187">
        <v>-0.36099999999999999</v>
      </c>
      <c r="AE187">
        <v>0.38400000000000001</v>
      </c>
      <c r="AF187">
        <v>0.41499999999999998</v>
      </c>
      <c r="AG187">
        <v>-0.19400000000000001</v>
      </c>
      <c r="AH187">
        <v>0.72299999999999998</v>
      </c>
      <c r="AI187">
        <v>0.11899999999999999</v>
      </c>
      <c r="AJ187">
        <v>-0.23300000000000001</v>
      </c>
      <c r="AK187">
        <v>-0.42499999999999999</v>
      </c>
      <c r="AL187">
        <v>-0.45500000000000002</v>
      </c>
      <c r="AM187">
        <v>0.58699999999999997</v>
      </c>
      <c r="AN187">
        <v>-0.65900000000000003</v>
      </c>
      <c r="AO187">
        <v>-0.192</v>
      </c>
      <c r="AP187">
        <v>0.222</v>
      </c>
      <c r="AQ187">
        <v>-0.34100000000000003</v>
      </c>
      <c r="AR187">
        <v>8.4000000000000005E-2</v>
      </c>
      <c r="AS187">
        <v>-0.24099999999999999</v>
      </c>
      <c r="AT187">
        <v>0.106</v>
      </c>
      <c r="AU187">
        <v>-0.60499999999999998</v>
      </c>
      <c r="AV187">
        <v>0.219</v>
      </c>
      <c r="AW187">
        <v>0.44900000000000001</v>
      </c>
      <c r="AX187">
        <v>-0.29499999999999998</v>
      </c>
      <c r="AY187">
        <v>3.1E-2</v>
      </c>
      <c r="AZ187">
        <v>6.4000000000000001E-2</v>
      </c>
      <c r="BA187">
        <v>5.8000000000000003E-2</v>
      </c>
      <c r="BE187" s="20"/>
      <c r="BF187" s="21"/>
      <c r="BG187" s="21"/>
      <c r="BH187" s="21"/>
      <c r="BL187" t="s">
        <v>138</v>
      </c>
      <c r="BM187" t="s">
        <v>284</v>
      </c>
      <c r="BN187" t="s">
        <v>282</v>
      </c>
    </row>
    <row r="188" spans="1:66" x14ac:dyDescent="0.3">
      <c r="A188" t="s">
        <v>85</v>
      </c>
      <c r="B188">
        <v>0.83</v>
      </c>
      <c r="C188">
        <v>0.63800000000000001</v>
      </c>
      <c r="D188" t="s">
        <v>57</v>
      </c>
      <c r="E188">
        <v>0</v>
      </c>
      <c r="F188">
        <v>0</v>
      </c>
      <c r="G188">
        <v>0</v>
      </c>
      <c r="H188">
        <v>-0.17499999999999999</v>
      </c>
      <c r="I188">
        <v>-0.219</v>
      </c>
      <c r="J188">
        <v>-6.8000000000000005E-2</v>
      </c>
      <c r="K188">
        <v>-0.17899999999999999</v>
      </c>
      <c r="L188">
        <v>-0.13600000000000001</v>
      </c>
      <c r="M188">
        <v>-0.53900000000000003</v>
      </c>
      <c r="N188">
        <v>-0.54800000000000004</v>
      </c>
      <c r="O188">
        <v>-0.59199999999999997</v>
      </c>
      <c r="P188">
        <v>0.52100000000000002</v>
      </c>
      <c r="Q188">
        <v>0.52800000000000002</v>
      </c>
      <c r="R188">
        <v>0.67600000000000005</v>
      </c>
      <c r="S188">
        <v>0.627</v>
      </c>
      <c r="T188">
        <v>0.75700000000000001</v>
      </c>
      <c r="U188">
        <v>0.33200000000000002</v>
      </c>
      <c r="V188">
        <v>-0.77</v>
      </c>
      <c r="W188">
        <v>0.73499999999999999</v>
      </c>
      <c r="X188">
        <v>9.0999999999999998E-2</v>
      </c>
      <c r="Y188">
        <v>0.77100000000000002</v>
      </c>
      <c r="Z188">
        <v>-7.9000000000000001E-2</v>
      </c>
      <c r="AA188">
        <v>-0.04</v>
      </c>
      <c r="AB188">
        <v>-0.77300000000000002</v>
      </c>
      <c r="AC188">
        <v>0.129</v>
      </c>
      <c r="AD188">
        <v>0.35599999999999998</v>
      </c>
      <c r="AE188">
        <v>0.26100000000000001</v>
      </c>
      <c r="AF188">
        <v>-0.40100000000000002</v>
      </c>
      <c r="AG188">
        <v>0.23300000000000001</v>
      </c>
      <c r="AH188">
        <v>-0.33800000000000002</v>
      </c>
      <c r="AI188">
        <v>0.02</v>
      </c>
      <c r="AJ188">
        <v>0.19800000000000001</v>
      </c>
      <c r="AK188">
        <v>9.5000000000000001E-2</v>
      </c>
      <c r="AL188">
        <v>0.17199999999999999</v>
      </c>
      <c r="AM188">
        <v>-0.39700000000000002</v>
      </c>
      <c r="AN188">
        <v>-0.4</v>
      </c>
      <c r="AO188">
        <v>0.63500000000000001</v>
      </c>
      <c r="AP188">
        <v>0.104</v>
      </c>
      <c r="AQ188">
        <v>-0.13700000000000001</v>
      </c>
      <c r="AR188">
        <v>6.7000000000000004E-2</v>
      </c>
      <c r="AS188">
        <v>-0.311</v>
      </c>
      <c r="AT188">
        <v>0.45700000000000002</v>
      </c>
      <c r="AU188">
        <v>0.36599999999999999</v>
      </c>
      <c r="AV188">
        <v>-0.20599999999999999</v>
      </c>
      <c r="AW188">
        <v>0.13400000000000001</v>
      </c>
      <c r="AX188">
        <v>-0.14699999999999999</v>
      </c>
      <c r="AY188">
        <v>-0.23899999999999999</v>
      </c>
      <c r="AZ188">
        <v>0.374</v>
      </c>
      <c r="BA188">
        <v>0.50600000000000001</v>
      </c>
      <c r="BL188" t="s">
        <v>186</v>
      </c>
      <c r="BM188" t="s">
        <v>284</v>
      </c>
      <c r="BN188" t="s">
        <v>283</v>
      </c>
    </row>
    <row r="189" spans="1:66" x14ac:dyDescent="0.3">
      <c r="A189" t="s">
        <v>174</v>
      </c>
      <c r="B189">
        <v>0.74099999999999999</v>
      </c>
      <c r="C189">
        <v>0.56299999999999994</v>
      </c>
      <c r="D189" t="s">
        <v>68</v>
      </c>
      <c r="E189">
        <v>0</v>
      </c>
      <c r="F189">
        <v>0</v>
      </c>
      <c r="G189">
        <v>0</v>
      </c>
      <c r="H189">
        <v>-0.20499999999999999</v>
      </c>
      <c r="I189">
        <v>-0.53400000000000003</v>
      </c>
      <c r="J189">
        <v>0.108</v>
      </c>
      <c r="K189">
        <v>-0.44900000000000001</v>
      </c>
      <c r="L189">
        <v>-0.372</v>
      </c>
      <c r="M189">
        <v>-0.65400000000000003</v>
      </c>
      <c r="N189">
        <v>-0.71599999999999997</v>
      </c>
      <c r="O189">
        <v>-0.67</v>
      </c>
      <c r="P189">
        <v>0.79200000000000004</v>
      </c>
      <c r="Q189">
        <v>0.79300000000000004</v>
      </c>
      <c r="R189">
        <v>0.64100000000000001</v>
      </c>
      <c r="S189">
        <v>0.69</v>
      </c>
      <c r="T189">
        <v>0.65100000000000002</v>
      </c>
      <c r="U189">
        <v>-0.22900000000000001</v>
      </c>
      <c r="V189">
        <v>0</v>
      </c>
      <c r="W189">
        <v>0.26900000000000002</v>
      </c>
      <c r="X189">
        <v>1</v>
      </c>
      <c r="Y189">
        <v>0.19700000000000001</v>
      </c>
      <c r="Z189">
        <v>-0.374</v>
      </c>
      <c r="AA189">
        <v>0.621</v>
      </c>
      <c r="AB189">
        <v>-0.58199999999999996</v>
      </c>
      <c r="AC189">
        <v>0.90600000000000003</v>
      </c>
      <c r="AD189">
        <v>-0.26600000000000001</v>
      </c>
      <c r="AE189">
        <v>-0.14499999999999999</v>
      </c>
      <c r="AF189">
        <v>-0.109</v>
      </c>
      <c r="AG189">
        <v>-0.38100000000000001</v>
      </c>
      <c r="AH189">
        <v>-0.1</v>
      </c>
      <c r="AI189">
        <v>-0.61699999999999999</v>
      </c>
      <c r="AJ189">
        <v>0.26600000000000001</v>
      </c>
      <c r="AK189">
        <v>-0.48399999999999999</v>
      </c>
      <c r="AL189">
        <v>-0.35499999999999998</v>
      </c>
      <c r="AM189">
        <v>0.14799999999999999</v>
      </c>
      <c r="AN189">
        <v>-0.755</v>
      </c>
      <c r="AO189">
        <v>0.82399999999999995</v>
      </c>
      <c r="AP189">
        <v>6.5000000000000002E-2</v>
      </c>
      <c r="AQ189">
        <v>0.122</v>
      </c>
      <c r="AR189">
        <v>0.27800000000000002</v>
      </c>
      <c r="AS189">
        <v>-7.8E-2</v>
      </c>
      <c r="AT189">
        <v>0.30499999999999999</v>
      </c>
      <c r="AU189">
        <v>-0.46899999999999997</v>
      </c>
      <c r="AV189">
        <v>-7.5999999999999998E-2</v>
      </c>
      <c r="AW189">
        <v>-2.1000000000000001E-2</v>
      </c>
      <c r="AX189">
        <v>1.2E-2</v>
      </c>
      <c r="AY189">
        <v>-0.11</v>
      </c>
      <c r="AZ189">
        <v>0.93100000000000005</v>
      </c>
      <c r="BA189">
        <v>0.71699999999999997</v>
      </c>
      <c r="BL189" t="s">
        <v>230</v>
      </c>
      <c r="BM189" t="s">
        <v>284</v>
      </c>
      <c r="BN189" t="s">
        <v>287</v>
      </c>
    </row>
    <row r="190" spans="1:66" x14ac:dyDescent="0.3">
      <c r="A190" t="s">
        <v>228</v>
      </c>
      <c r="B190">
        <v>0.54800000000000004</v>
      </c>
      <c r="C190">
        <v>0.42899999999999999</v>
      </c>
      <c r="D190" t="s">
        <v>57</v>
      </c>
      <c r="E190">
        <v>0</v>
      </c>
      <c r="F190">
        <v>0</v>
      </c>
      <c r="G190">
        <v>0</v>
      </c>
      <c r="H190">
        <v>-0.55400000000000005</v>
      </c>
      <c r="I190">
        <v>-0.71</v>
      </c>
      <c r="J190">
        <v>-0.23</v>
      </c>
      <c r="K190">
        <v>-0.76200000000000001</v>
      </c>
      <c r="L190">
        <v>-0.68100000000000005</v>
      </c>
      <c r="M190">
        <v>-0.746</v>
      </c>
      <c r="N190">
        <v>-0.75800000000000001</v>
      </c>
      <c r="O190">
        <v>-0.81100000000000005</v>
      </c>
      <c r="P190">
        <v>-0.17299999999999999</v>
      </c>
      <c r="Q190">
        <v>-0.17100000000000001</v>
      </c>
      <c r="R190">
        <v>0.59099999999999997</v>
      </c>
      <c r="S190">
        <v>0.63900000000000001</v>
      </c>
      <c r="T190">
        <v>0.19700000000000001</v>
      </c>
      <c r="U190">
        <v>-0.94</v>
      </c>
      <c r="V190">
        <v>-0.13</v>
      </c>
      <c r="W190">
        <v>-0.13800000000000001</v>
      </c>
      <c r="X190">
        <v>0.14599999999999999</v>
      </c>
      <c r="Y190">
        <v>0.35199999999999998</v>
      </c>
      <c r="Z190">
        <v>0.21199999999999999</v>
      </c>
      <c r="AA190">
        <v>0.17599999999999999</v>
      </c>
      <c r="AB190">
        <v>-0.71699999999999997</v>
      </c>
      <c r="AC190">
        <v>-0.67600000000000005</v>
      </c>
      <c r="AD190">
        <v>-5.6000000000000001E-2</v>
      </c>
      <c r="AE190">
        <v>-0.17599999999999999</v>
      </c>
      <c r="AF190">
        <v>-0.186</v>
      </c>
      <c r="AG190">
        <v>1.7000000000000001E-2</v>
      </c>
      <c r="AH190">
        <v>0.114</v>
      </c>
      <c r="AI190">
        <v>4.8000000000000001E-2</v>
      </c>
      <c r="AJ190">
        <v>0.217</v>
      </c>
      <c r="AK190">
        <v>-0.158</v>
      </c>
      <c r="AL190">
        <v>-0.61099999999999999</v>
      </c>
      <c r="AM190">
        <v>-0.29599999999999999</v>
      </c>
      <c r="AN190">
        <v>0.44600000000000001</v>
      </c>
      <c r="AO190">
        <v>7.4999999999999997E-2</v>
      </c>
      <c r="AP190">
        <v>6.3E-2</v>
      </c>
      <c r="AQ190">
        <v>-0.154</v>
      </c>
      <c r="AR190">
        <v>0.307</v>
      </c>
      <c r="AS190">
        <v>0.63800000000000001</v>
      </c>
      <c r="AT190">
        <v>-0.89500000000000002</v>
      </c>
      <c r="AU190">
        <v>-0.83799999999999997</v>
      </c>
      <c r="AV190">
        <v>-0.71399999999999997</v>
      </c>
      <c r="AW190">
        <v>0.17699999999999999</v>
      </c>
      <c r="AX190">
        <v>0.30399999999999999</v>
      </c>
      <c r="AY190">
        <v>-3.5000000000000003E-2</v>
      </c>
      <c r="AZ190">
        <v>0.29099999999999998</v>
      </c>
      <c r="BA190">
        <v>0.34100000000000003</v>
      </c>
      <c r="BL190" t="s">
        <v>182</v>
      </c>
      <c r="BM190" t="s">
        <v>284</v>
      </c>
      <c r="BN190" t="s">
        <v>283</v>
      </c>
    </row>
    <row r="191" spans="1:66" x14ac:dyDescent="0.3">
      <c r="A191" t="s">
        <v>255</v>
      </c>
      <c r="B191">
        <v>0.47299999999999998</v>
      </c>
      <c r="C191">
        <v>0.373</v>
      </c>
      <c r="D191" t="s">
        <v>57</v>
      </c>
      <c r="E191">
        <v>0</v>
      </c>
      <c r="F191">
        <v>0</v>
      </c>
      <c r="G191">
        <v>0</v>
      </c>
      <c r="H191">
        <v>-0.97699999999999998</v>
      </c>
      <c r="I191">
        <v>-0.95699999999999996</v>
      </c>
      <c r="J191">
        <v>-0.95399999999999996</v>
      </c>
      <c r="K191">
        <v>-0.98399999999999999</v>
      </c>
      <c r="L191">
        <v>-0.97</v>
      </c>
      <c r="M191">
        <v>-0.94199999999999995</v>
      </c>
      <c r="N191">
        <v>-0.90200000000000002</v>
      </c>
      <c r="O191">
        <v>-0.94799999999999995</v>
      </c>
      <c r="P191">
        <v>-0.92200000000000004</v>
      </c>
      <c r="Q191">
        <v>-0.92</v>
      </c>
      <c r="R191">
        <v>-0.72</v>
      </c>
      <c r="S191">
        <v>-0.47699999999999998</v>
      </c>
      <c r="T191">
        <v>-0.72399999999999998</v>
      </c>
      <c r="U191">
        <v>-1</v>
      </c>
      <c r="V191">
        <v>-0.28399999999999997</v>
      </c>
      <c r="W191">
        <v>-1</v>
      </c>
      <c r="X191">
        <v>-0.71399999999999997</v>
      </c>
      <c r="Y191">
        <v>-0.75700000000000001</v>
      </c>
      <c r="Z191">
        <v>-0.55500000000000005</v>
      </c>
      <c r="AA191">
        <v>-0.96399999999999997</v>
      </c>
      <c r="AB191">
        <v>-0.68799999999999994</v>
      </c>
      <c r="AC191">
        <v>-0.66100000000000003</v>
      </c>
      <c r="AD191">
        <v>0.104</v>
      </c>
      <c r="AE191">
        <v>-0.80400000000000005</v>
      </c>
      <c r="AF191">
        <v>-0.76200000000000001</v>
      </c>
      <c r="AG191">
        <v>6.8000000000000005E-2</v>
      </c>
      <c r="AH191">
        <v>4.4999999999999998E-2</v>
      </c>
      <c r="AI191">
        <v>0.16</v>
      </c>
      <c r="AJ191">
        <v>-0.98799999999999999</v>
      </c>
      <c r="AK191">
        <v>-0.69599999999999995</v>
      </c>
      <c r="AL191">
        <v>-0.64900000000000002</v>
      </c>
      <c r="AM191">
        <v>-0.32700000000000001</v>
      </c>
      <c r="AN191">
        <v>-0.40799999999999997</v>
      </c>
      <c r="AO191">
        <v>9.6000000000000002E-2</v>
      </c>
      <c r="AP191">
        <v>-0.20399999999999999</v>
      </c>
      <c r="AQ191">
        <v>0.72199999999999998</v>
      </c>
      <c r="AR191">
        <v>-0.04</v>
      </c>
      <c r="AS191">
        <v>-0.11</v>
      </c>
      <c r="AT191">
        <v>5.0999999999999997E-2</v>
      </c>
      <c r="AU191">
        <v>0.19500000000000001</v>
      </c>
      <c r="AV191">
        <v>8.5999999999999993E-2</v>
      </c>
      <c r="AW191">
        <v>0.5</v>
      </c>
      <c r="AX191">
        <v>0.105</v>
      </c>
      <c r="AY191">
        <v>-0.32100000000000001</v>
      </c>
      <c r="AZ191">
        <v>0.19700000000000001</v>
      </c>
      <c r="BA191">
        <v>0.26900000000000002</v>
      </c>
      <c r="BL191" t="s">
        <v>60</v>
      </c>
      <c r="BM191" t="s">
        <v>289</v>
      </c>
      <c r="BN191" t="s">
        <v>287</v>
      </c>
    </row>
    <row r="192" spans="1:66" x14ac:dyDescent="0.3">
      <c r="A192" t="s">
        <v>138</v>
      </c>
      <c r="B192">
        <v>1.292</v>
      </c>
      <c r="C192">
        <v>1.3160000000000001</v>
      </c>
      <c r="D192" t="s">
        <v>71</v>
      </c>
      <c r="E192">
        <v>0</v>
      </c>
      <c r="F192">
        <v>0</v>
      </c>
      <c r="G192">
        <v>0</v>
      </c>
      <c r="H192">
        <v>-0.22500000000000001</v>
      </c>
      <c r="I192">
        <v>-0.14199999999999999</v>
      </c>
      <c r="J192">
        <v>-0.19700000000000001</v>
      </c>
      <c r="K192">
        <v>-0.505</v>
      </c>
      <c r="L192">
        <v>-0.26800000000000002</v>
      </c>
      <c r="M192">
        <v>2E-3</v>
      </c>
      <c r="N192">
        <v>-0.127</v>
      </c>
      <c r="O192">
        <v>3.1E-2</v>
      </c>
      <c r="P192">
        <v>0.73</v>
      </c>
      <c r="Q192">
        <v>0.72699999999999998</v>
      </c>
      <c r="R192">
        <v>0.68</v>
      </c>
      <c r="S192">
        <v>0.66600000000000004</v>
      </c>
      <c r="T192">
        <v>0.75900000000000001</v>
      </c>
      <c r="U192">
        <v>-0.33400000000000002</v>
      </c>
      <c r="V192">
        <v>-0.90700000000000003</v>
      </c>
      <c r="W192">
        <v>-0.16</v>
      </c>
      <c r="X192">
        <v>-0.28299999999999997</v>
      </c>
      <c r="Y192">
        <v>0.184</v>
      </c>
      <c r="Z192">
        <v>-0.35099999999999998</v>
      </c>
      <c r="AA192">
        <v>-0.22500000000000001</v>
      </c>
      <c r="AB192">
        <v>0.17699999999999999</v>
      </c>
      <c r="AC192">
        <v>-0.308</v>
      </c>
      <c r="AD192">
        <v>-0.22700000000000001</v>
      </c>
      <c r="AE192">
        <v>0.35499999999999998</v>
      </c>
      <c r="AF192">
        <v>0.313</v>
      </c>
      <c r="AG192">
        <v>-0.92800000000000005</v>
      </c>
      <c r="AH192">
        <v>-4.2000000000000003E-2</v>
      </c>
      <c r="AI192">
        <v>0.14499999999999999</v>
      </c>
      <c r="AJ192">
        <v>0.13800000000000001</v>
      </c>
      <c r="AK192">
        <v>-0.32700000000000001</v>
      </c>
      <c r="AL192">
        <v>-1.2E-2</v>
      </c>
      <c r="AM192">
        <v>0.48699999999999999</v>
      </c>
      <c r="AN192">
        <v>0.45900000000000002</v>
      </c>
      <c r="AO192">
        <v>0.85299999999999998</v>
      </c>
      <c r="AP192">
        <v>2.8000000000000001E-2</v>
      </c>
      <c r="AQ192">
        <v>0.83199999999999996</v>
      </c>
      <c r="AR192">
        <v>0.14899999999999999</v>
      </c>
      <c r="AS192">
        <v>8.3000000000000004E-2</v>
      </c>
      <c r="AT192">
        <v>0.36099999999999999</v>
      </c>
      <c r="AU192">
        <v>-5.8999999999999997E-2</v>
      </c>
      <c r="AV192">
        <v>-4.9000000000000002E-2</v>
      </c>
      <c r="AW192">
        <v>0.53500000000000003</v>
      </c>
      <c r="AX192">
        <v>-0.108</v>
      </c>
      <c r="AY192">
        <v>-0.39600000000000002</v>
      </c>
      <c r="AZ192">
        <v>0.625</v>
      </c>
      <c r="BA192">
        <v>0.505</v>
      </c>
      <c r="BL192" t="s">
        <v>261</v>
      </c>
      <c r="BM192" t="s">
        <v>303</v>
      </c>
      <c r="BN192" t="s">
        <v>279</v>
      </c>
    </row>
    <row r="193" spans="1:66" x14ac:dyDescent="0.3">
      <c r="A193" t="s">
        <v>186</v>
      </c>
      <c r="B193">
        <v>0.53900000000000003</v>
      </c>
      <c r="C193">
        <v>0.62</v>
      </c>
      <c r="D193" t="s">
        <v>71</v>
      </c>
      <c r="E193">
        <v>0</v>
      </c>
      <c r="F193">
        <v>0</v>
      </c>
      <c r="G193">
        <v>0</v>
      </c>
      <c r="H193">
        <v>-0.97099999999999997</v>
      </c>
      <c r="I193">
        <v>-0.80700000000000005</v>
      </c>
      <c r="J193">
        <v>-1</v>
      </c>
      <c r="K193">
        <v>-0.91500000000000004</v>
      </c>
      <c r="L193">
        <v>-0.88800000000000001</v>
      </c>
      <c r="M193">
        <v>-0.82</v>
      </c>
      <c r="N193">
        <v>-0.748</v>
      </c>
      <c r="O193">
        <v>-0.73</v>
      </c>
      <c r="P193">
        <v>0.45300000000000001</v>
      </c>
      <c r="Q193">
        <v>0.45400000000000001</v>
      </c>
      <c r="R193">
        <v>0.41899999999999998</v>
      </c>
      <c r="S193">
        <v>0.60299999999999998</v>
      </c>
      <c r="T193">
        <v>0.36</v>
      </c>
      <c r="U193">
        <v>-0.79200000000000004</v>
      </c>
      <c r="V193">
        <v>-1</v>
      </c>
      <c r="W193">
        <v>-0.20200000000000001</v>
      </c>
      <c r="X193">
        <v>-0.9</v>
      </c>
      <c r="Y193">
        <v>-0.94499999999999995</v>
      </c>
      <c r="Z193">
        <v>-0.94899999999999995</v>
      </c>
      <c r="AA193">
        <v>-0.17</v>
      </c>
      <c r="AB193">
        <v>-0.41399999999999998</v>
      </c>
      <c r="AC193">
        <v>-0.112</v>
      </c>
      <c r="AD193">
        <v>-0.65400000000000003</v>
      </c>
      <c r="AE193">
        <v>0.122</v>
      </c>
      <c r="AF193">
        <v>-0.51900000000000002</v>
      </c>
      <c r="AG193">
        <v>-0.96</v>
      </c>
      <c r="AH193">
        <v>-0.98599999999999999</v>
      </c>
      <c r="AI193">
        <v>-0.66300000000000003</v>
      </c>
      <c r="AJ193">
        <v>0.122</v>
      </c>
      <c r="AK193">
        <v>-0.38400000000000001</v>
      </c>
      <c r="AL193">
        <v>-0.439</v>
      </c>
      <c r="AM193">
        <v>0.46800000000000003</v>
      </c>
      <c r="AN193">
        <v>-5.5E-2</v>
      </c>
      <c r="AO193">
        <v>0.876</v>
      </c>
      <c r="AP193">
        <v>-0.39500000000000002</v>
      </c>
      <c r="AQ193">
        <v>0.109</v>
      </c>
      <c r="AR193">
        <v>0.13600000000000001</v>
      </c>
      <c r="AS193">
        <v>-9.6000000000000002E-2</v>
      </c>
      <c r="AT193">
        <v>0.31900000000000001</v>
      </c>
      <c r="AU193">
        <v>-0.63700000000000001</v>
      </c>
      <c r="AV193">
        <v>-0.28799999999999998</v>
      </c>
      <c r="AW193">
        <v>0.63400000000000001</v>
      </c>
      <c r="AX193">
        <v>-0.18</v>
      </c>
      <c r="AY193">
        <v>-0.33700000000000002</v>
      </c>
      <c r="AZ193">
        <v>-0.29499999999999998</v>
      </c>
      <c r="BA193">
        <v>-0.51400000000000001</v>
      </c>
      <c r="BL193" t="s">
        <v>178</v>
      </c>
      <c r="BM193" t="s">
        <v>290</v>
      </c>
      <c r="BN193" t="s">
        <v>279</v>
      </c>
    </row>
    <row r="194" spans="1:66" x14ac:dyDescent="0.3">
      <c r="A194" t="s">
        <v>230</v>
      </c>
      <c r="B194">
        <v>0.49299999999999999</v>
      </c>
      <c r="C194">
        <v>0.378</v>
      </c>
      <c r="D194" t="s">
        <v>71</v>
      </c>
      <c r="E194">
        <v>0</v>
      </c>
      <c r="F194">
        <v>0</v>
      </c>
      <c r="G194">
        <v>0</v>
      </c>
      <c r="H194">
        <v>-1</v>
      </c>
      <c r="I194">
        <v>-0.98899999999999999</v>
      </c>
      <c r="J194">
        <v>-1</v>
      </c>
      <c r="K194">
        <v>-1</v>
      </c>
      <c r="L194">
        <v>-1</v>
      </c>
      <c r="M194">
        <v>-0.96899999999999997</v>
      </c>
      <c r="N194">
        <v>-0.92800000000000005</v>
      </c>
      <c r="O194">
        <v>-0.93600000000000005</v>
      </c>
      <c r="P194">
        <v>-0.38600000000000001</v>
      </c>
      <c r="Q194">
        <v>-0.38800000000000001</v>
      </c>
      <c r="R194">
        <v>7.9000000000000001E-2</v>
      </c>
      <c r="S194">
        <v>0.25700000000000001</v>
      </c>
      <c r="T194">
        <v>-0.128</v>
      </c>
      <c r="U194">
        <v>-0.91100000000000003</v>
      </c>
      <c r="V194">
        <v>-1</v>
      </c>
      <c r="W194">
        <v>-0.997</v>
      </c>
      <c r="X194">
        <v>-0.77800000000000002</v>
      </c>
      <c r="Y194">
        <v>-1</v>
      </c>
      <c r="Z194">
        <v>-0.92200000000000004</v>
      </c>
      <c r="AA194">
        <v>-0.68799999999999994</v>
      </c>
      <c r="AB194">
        <v>-7.4999999999999997E-2</v>
      </c>
      <c r="AC194">
        <v>0.30499999999999999</v>
      </c>
      <c r="AD194">
        <v>-0.78700000000000003</v>
      </c>
      <c r="AE194">
        <v>-0.78700000000000003</v>
      </c>
      <c r="AF194">
        <v>-1</v>
      </c>
      <c r="AG194">
        <v>-0.26600000000000001</v>
      </c>
      <c r="AH194">
        <v>-1</v>
      </c>
      <c r="AI194">
        <v>-0.57599999999999996</v>
      </c>
      <c r="AJ194">
        <v>-0.22600000000000001</v>
      </c>
      <c r="AK194">
        <v>-0.40699999999999997</v>
      </c>
      <c r="AL194">
        <v>-0.69299999999999995</v>
      </c>
      <c r="AM194">
        <v>-0.40600000000000003</v>
      </c>
      <c r="AN194">
        <v>-0.68899999999999995</v>
      </c>
      <c r="AO194">
        <v>0.755</v>
      </c>
      <c r="AP194">
        <v>-1</v>
      </c>
      <c r="AQ194">
        <v>0.33500000000000002</v>
      </c>
      <c r="AR194">
        <v>0.123</v>
      </c>
      <c r="AS194">
        <v>-0.16600000000000001</v>
      </c>
      <c r="AT194">
        <v>5.2999999999999999E-2</v>
      </c>
      <c r="AU194">
        <v>-0.33500000000000002</v>
      </c>
      <c r="AV194">
        <v>-0.248</v>
      </c>
      <c r="AW194">
        <v>-0.05</v>
      </c>
      <c r="AX194">
        <v>0.45</v>
      </c>
      <c r="AY194">
        <v>0.39300000000000002</v>
      </c>
      <c r="AZ194">
        <v>-0.34899999999999998</v>
      </c>
      <c r="BA194">
        <v>0.11</v>
      </c>
      <c r="BL194" t="s">
        <v>168</v>
      </c>
      <c r="BM194" t="s">
        <v>293</v>
      </c>
      <c r="BN194" t="s">
        <v>282</v>
      </c>
    </row>
    <row r="195" spans="1:66" x14ac:dyDescent="0.3">
      <c r="A195" t="s">
        <v>182</v>
      </c>
      <c r="B195">
        <v>0.627</v>
      </c>
      <c r="C195">
        <v>0.76200000000000001</v>
      </c>
      <c r="D195" t="s">
        <v>71</v>
      </c>
      <c r="E195">
        <v>0</v>
      </c>
      <c r="F195">
        <v>0</v>
      </c>
      <c r="G195">
        <v>0</v>
      </c>
      <c r="H195">
        <v>-0.91400000000000003</v>
      </c>
      <c r="I195">
        <v>-0.53100000000000003</v>
      </c>
      <c r="J195">
        <v>-1</v>
      </c>
      <c r="K195">
        <v>-0.77900000000000003</v>
      </c>
      <c r="L195">
        <v>-0.752</v>
      </c>
      <c r="M195">
        <v>-0.59699999999999998</v>
      </c>
      <c r="N195">
        <v>-0.35799999999999998</v>
      </c>
      <c r="O195">
        <v>-0.224</v>
      </c>
      <c r="P195">
        <v>0.59299999999999997</v>
      </c>
      <c r="Q195">
        <v>0.59499999999999997</v>
      </c>
      <c r="R195">
        <v>0.63400000000000001</v>
      </c>
      <c r="S195">
        <v>0.64300000000000002</v>
      </c>
      <c r="T195">
        <v>0.53400000000000003</v>
      </c>
      <c r="U195">
        <v>-0.66200000000000003</v>
      </c>
      <c r="V195">
        <v>-1</v>
      </c>
      <c r="W195">
        <v>0.308</v>
      </c>
      <c r="X195">
        <v>-1</v>
      </c>
      <c r="Y195">
        <v>-0.71799999999999997</v>
      </c>
      <c r="Z195">
        <v>-1</v>
      </c>
      <c r="AA195">
        <v>-0.27800000000000002</v>
      </c>
      <c r="AB195">
        <v>0.11600000000000001</v>
      </c>
      <c r="AC195">
        <v>-0.59699999999999998</v>
      </c>
      <c r="AD195">
        <v>-0.77700000000000002</v>
      </c>
      <c r="AE195">
        <v>0.81499999999999995</v>
      </c>
      <c r="AF195">
        <v>0.20499999999999999</v>
      </c>
      <c r="AG195">
        <v>-0.93899999999999995</v>
      </c>
      <c r="AH195">
        <v>-0.76200000000000001</v>
      </c>
      <c r="AI195">
        <v>-0.56499999999999995</v>
      </c>
      <c r="AJ195">
        <v>-4.2999999999999997E-2</v>
      </c>
      <c r="AK195">
        <v>-9.1999999999999998E-2</v>
      </c>
      <c r="AL195">
        <v>-0.16700000000000001</v>
      </c>
      <c r="AM195">
        <v>0.60399999999999998</v>
      </c>
      <c r="AN195">
        <v>-0.13400000000000001</v>
      </c>
      <c r="AO195">
        <v>0.67800000000000005</v>
      </c>
      <c r="AP195">
        <v>-0.88700000000000001</v>
      </c>
      <c r="AQ195">
        <v>-0.249</v>
      </c>
      <c r="AR195">
        <v>0.311</v>
      </c>
      <c r="AS195">
        <v>0.20100000000000001</v>
      </c>
      <c r="AT195">
        <v>0.32200000000000001</v>
      </c>
      <c r="AU195">
        <v>-0.192</v>
      </c>
      <c r="AV195">
        <v>6.0000000000000001E-3</v>
      </c>
      <c r="AW195">
        <v>0.86399999999999999</v>
      </c>
      <c r="AX195">
        <v>-0.33300000000000002</v>
      </c>
      <c r="AY195">
        <v>-0.30099999999999999</v>
      </c>
      <c r="AZ195">
        <v>-0.40300000000000002</v>
      </c>
      <c r="BA195">
        <v>-1</v>
      </c>
      <c r="BL195" t="s">
        <v>128</v>
      </c>
      <c r="BM195" t="s">
        <v>293</v>
      </c>
      <c r="BN195" t="s">
        <v>279</v>
      </c>
    </row>
    <row r="196" spans="1:66" x14ac:dyDescent="0.3">
      <c r="A196" t="s">
        <v>261</v>
      </c>
      <c r="B196">
        <v>0.47499999999999998</v>
      </c>
      <c r="C196">
        <v>0.34399999999999997</v>
      </c>
      <c r="D196" t="s">
        <v>68</v>
      </c>
      <c r="E196">
        <v>0</v>
      </c>
      <c r="F196">
        <v>-4.0000000000000001E-3</v>
      </c>
      <c r="G196">
        <v>4.0000000000000001E-3</v>
      </c>
      <c r="H196">
        <v>-1</v>
      </c>
      <c r="I196">
        <v>-0.96499999999999997</v>
      </c>
      <c r="J196">
        <v>-0.99399999999999999</v>
      </c>
      <c r="K196">
        <v>-1</v>
      </c>
      <c r="L196">
        <v>-0.99099999999999999</v>
      </c>
      <c r="M196">
        <v>-1</v>
      </c>
      <c r="N196">
        <v>-0.997</v>
      </c>
      <c r="O196">
        <v>-0.98399999999999999</v>
      </c>
      <c r="P196">
        <v>-0.7</v>
      </c>
      <c r="Q196">
        <v>-0.70299999999999996</v>
      </c>
      <c r="R196">
        <v>-0.57699999999999996</v>
      </c>
      <c r="S196">
        <v>-0.376</v>
      </c>
      <c r="T196">
        <v>-0.59399999999999997</v>
      </c>
      <c r="U196">
        <v>-1</v>
      </c>
      <c r="V196">
        <v>-1</v>
      </c>
      <c r="W196">
        <v>-0.91500000000000004</v>
      </c>
      <c r="X196">
        <v>-0.94199999999999995</v>
      </c>
      <c r="Y196">
        <v>-1.6E-2</v>
      </c>
      <c r="Z196">
        <v>-0.88500000000000001</v>
      </c>
      <c r="AA196">
        <v>-0.78200000000000003</v>
      </c>
      <c r="AB196">
        <v>-1</v>
      </c>
      <c r="AC196">
        <v>-0.48199999999999998</v>
      </c>
      <c r="AD196">
        <v>-0.86699999999999999</v>
      </c>
      <c r="AE196">
        <v>0.35899999999999999</v>
      </c>
      <c r="AF196">
        <v>0.48699999999999999</v>
      </c>
      <c r="AG196">
        <v>-0.94199999999999995</v>
      </c>
      <c r="AH196">
        <v>-1.2999999999999999E-2</v>
      </c>
      <c r="AI196">
        <v>-0.20499999999999999</v>
      </c>
      <c r="AJ196">
        <v>-0.83399999999999996</v>
      </c>
      <c r="AK196">
        <v>-0.755</v>
      </c>
      <c r="AL196">
        <v>-0.84599999999999997</v>
      </c>
      <c r="AM196">
        <v>-0.45</v>
      </c>
      <c r="AN196">
        <v>-0.372</v>
      </c>
      <c r="AO196">
        <v>0.126</v>
      </c>
      <c r="AP196">
        <v>-0.249</v>
      </c>
      <c r="AQ196">
        <v>-2E-3</v>
      </c>
      <c r="AR196">
        <v>0.76</v>
      </c>
      <c r="AS196">
        <v>0.193</v>
      </c>
      <c r="AT196">
        <v>4.8000000000000001E-2</v>
      </c>
      <c r="AU196">
        <v>1</v>
      </c>
      <c r="AV196">
        <v>0.82299999999999995</v>
      </c>
      <c r="AW196">
        <v>-0.17599999999999999</v>
      </c>
      <c r="AX196">
        <v>0.45200000000000001</v>
      </c>
      <c r="AY196">
        <v>-0.28000000000000003</v>
      </c>
      <c r="AZ196">
        <v>-2.8000000000000001E-2</v>
      </c>
      <c r="BA196">
        <v>-0.109</v>
      </c>
      <c r="BL196" t="s">
        <v>189</v>
      </c>
      <c r="BM196" t="s">
        <v>293</v>
      </c>
      <c r="BN196" t="s">
        <v>283</v>
      </c>
    </row>
    <row r="197" spans="1:66" x14ac:dyDescent="0.3">
      <c r="A197" t="s">
        <v>178</v>
      </c>
      <c r="B197">
        <v>0.53400000000000003</v>
      </c>
      <c r="C197">
        <v>0.54500000000000004</v>
      </c>
      <c r="D197" t="s">
        <v>53</v>
      </c>
      <c r="E197">
        <v>0</v>
      </c>
      <c r="F197">
        <v>-2.1999999999999999E-2</v>
      </c>
      <c r="G197">
        <v>2.1999999999999999E-2</v>
      </c>
      <c r="H197">
        <v>-0.89200000000000002</v>
      </c>
      <c r="I197">
        <v>-0.76700000000000002</v>
      </c>
      <c r="J197">
        <v>-0.99299999999999999</v>
      </c>
      <c r="K197">
        <v>-0.81399999999999995</v>
      </c>
      <c r="L197">
        <v>-0.84599999999999997</v>
      </c>
      <c r="M197">
        <v>-0.77700000000000002</v>
      </c>
      <c r="N197">
        <v>-0.60499999999999998</v>
      </c>
      <c r="O197">
        <v>-0.78900000000000003</v>
      </c>
      <c r="P197">
        <v>0.13400000000000001</v>
      </c>
      <c r="Q197">
        <v>0.13900000000000001</v>
      </c>
      <c r="R197">
        <v>0.51500000000000001</v>
      </c>
      <c r="S197">
        <v>0.53300000000000003</v>
      </c>
      <c r="T197">
        <v>0.28599999999999998</v>
      </c>
      <c r="U197">
        <v>-0.54</v>
      </c>
      <c r="V197">
        <v>-0.81799999999999995</v>
      </c>
      <c r="W197">
        <v>-0.60199999999999998</v>
      </c>
      <c r="X197">
        <v>-0.98499999999999999</v>
      </c>
      <c r="Y197">
        <v>-0.86499999999999999</v>
      </c>
      <c r="Z197">
        <v>-0.69699999999999995</v>
      </c>
      <c r="AA197">
        <v>-0.39400000000000002</v>
      </c>
      <c r="AB197">
        <v>-0.76100000000000001</v>
      </c>
      <c r="AC197">
        <v>-0.89400000000000002</v>
      </c>
      <c r="AD197">
        <v>0.25600000000000001</v>
      </c>
      <c r="AE197">
        <v>0.25</v>
      </c>
      <c r="AF197">
        <v>-0.14099999999999999</v>
      </c>
      <c r="AG197">
        <v>0.1</v>
      </c>
      <c r="AH197">
        <v>-8.3000000000000004E-2</v>
      </c>
      <c r="AI197">
        <v>-0.39900000000000002</v>
      </c>
      <c r="AJ197">
        <v>0.63400000000000001</v>
      </c>
      <c r="AK197">
        <v>-0.35099999999999998</v>
      </c>
      <c r="AL197">
        <v>0.17</v>
      </c>
      <c r="AM197">
        <v>0.253</v>
      </c>
      <c r="AN197">
        <v>-0.121</v>
      </c>
      <c r="AO197">
        <v>0.97499999999999998</v>
      </c>
      <c r="AP197">
        <v>-0.84899999999999998</v>
      </c>
      <c r="AQ197">
        <v>0.56499999999999995</v>
      </c>
      <c r="AR197">
        <v>-0.32100000000000001</v>
      </c>
      <c r="AS197">
        <v>-0.23599999999999999</v>
      </c>
      <c r="AT197">
        <v>-2.8000000000000001E-2</v>
      </c>
      <c r="AU197">
        <v>0.31900000000000001</v>
      </c>
      <c r="AV197">
        <v>-6.6000000000000003E-2</v>
      </c>
      <c r="AW197">
        <v>0.59299999999999997</v>
      </c>
      <c r="AX197">
        <v>-0.20100000000000001</v>
      </c>
      <c r="AY197">
        <v>-0.38200000000000001</v>
      </c>
      <c r="AZ197">
        <v>-0.27600000000000002</v>
      </c>
      <c r="BA197">
        <v>-0.73699999999999999</v>
      </c>
      <c r="BL197" t="s">
        <v>238</v>
      </c>
      <c r="BM197" t="s">
        <v>293</v>
      </c>
      <c r="BN197" t="s">
        <v>281</v>
      </c>
    </row>
    <row r="198" spans="1:66" x14ac:dyDescent="0.3">
      <c r="A198" t="s">
        <v>168</v>
      </c>
      <c r="B198">
        <v>0.64900000000000002</v>
      </c>
      <c r="C198">
        <v>0.98299999999999998</v>
      </c>
      <c r="D198" t="s">
        <v>68</v>
      </c>
      <c r="E198">
        <v>0</v>
      </c>
      <c r="F198">
        <v>-1.9E-2</v>
      </c>
      <c r="G198">
        <v>1.9E-2</v>
      </c>
      <c r="H198">
        <v>-0.68799999999999994</v>
      </c>
      <c r="I198">
        <v>-0.38700000000000001</v>
      </c>
      <c r="J198">
        <v>-0.91800000000000004</v>
      </c>
      <c r="K198">
        <v>-0.55400000000000005</v>
      </c>
      <c r="L198">
        <v>-0.629</v>
      </c>
      <c r="M198">
        <v>-0.438</v>
      </c>
      <c r="N198">
        <v>-8.5000000000000006E-2</v>
      </c>
      <c r="O198">
        <v>-0.47599999999999998</v>
      </c>
      <c r="P198">
        <v>0.58799999999999997</v>
      </c>
      <c r="Q198">
        <v>0.59299999999999997</v>
      </c>
      <c r="R198">
        <v>0.64</v>
      </c>
      <c r="S198">
        <v>0.85399999999999998</v>
      </c>
      <c r="T198">
        <v>0.441</v>
      </c>
      <c r="U198">
        <v>-0.30299999999999999</v>
      </c>
      <c r="V198">
        <v>-0.51400000000000001</v>
      </c>
      <c r="W198">
        <v>-0.51900000000000002</v>
      </c>
      <c r="X198">
        <v>-1</v>
      </c>
      <c r="Y198">
        <v>-0.99399999999999999</v>
      </c>
      <c r="Z198">
        <v>-0.58399999999999996</v>
      </c>
      <c r="AA198">
        <v>-0.35799999999999998</v>
      </c>
      <c r="AB198">
        <v>-0.57999999999999996</v>
      </c>
      <c r="AC198">
        <v>-0.873</v>
      </c>
      <c r="AD198">
        <v>0.46500000000000002</v>
      </c>
      <c r="AE198">
        <v>0.42199999999999999</v>
      </c>
      <c r="AF198">
        <v>4.3999999999999997E-2</v>
      </c>
      <c r="AG198">
        <v>0.379</v>
      </c>
      <c r="AH198">
        <v>0.114</v>
      </c>
      <c r="AI198">
        <v>-0.57999999999999996</v>
      </c>
      <c r="AJ198">
        <v>0.76900000000000002</v>
      </c>
      <c r="AK198">
        <v>4.0000000000000001E-3</v>
      </c>
      <c r="AL198">
        <v>0.23200000000000001</v>
      </c>
      <c r="AM198">
        <v>0.59199999999999997</v>
      </c>
      <c r="AN198">
        <v>0.50600000000000001</v>
      </c>
      <c r="AO198">
        <v>0.96199999999999997</v>
      </c>
      <c r="AP198">
        <v>-0.63</v>
      </c>
      <c r="AQ198">
        <v>1.7999999999999999E-2</v>
      </c>
      <c r="AR198">
        <v>0.245</v>
      </c>
      <c r="AS198">
        <v>4.9000000000000002E-2</v>
      </c>
      <c r="AT198">
        <v>-2.5000000000000001E-2</v>
      </c>
      <c r="AU198">
        <v>2.5999999999999999E-2</v>
      </c>
      <c r="AV198">
        <v>-0.193</v>
      </c>
      <c r="AW198">
        <v>0.69299999999999995</v>
      </c>
      <c r="AX198">
        <v>-0.36699999999999999</v>
      </c>
      <c r="AY198">
        <v>6.0000000000000001E-3</v>
      </c>
      <c r="AZ198">
        <v>-0.152</v>
      </c>
      <c r="BA198">
        <v>-1</v>
      </c>
      <c r="BL198" t="s">
        <v>242</v>
      </c>
      <c r="BM198" t="s">
        <v>296</v>
      </c>
      <c r="BN198" t="s">
        <v>287</v>
      </c>
    </row>
    <row r="199" spans="1:66" x14ac:dyDescent="0.3">
      <c r="A199" t="s">
        <v>128</v>
      </c>
      <c r="B199">
        <v>0.53300000000000003</v>
      </c>
      <c r="C199">
        <v>0.41799999999999998</v>
      </c>
      <c r="D199" t="s">
        <v>68</v>
      </c>
      <c r="E199">
        <v>0</v>
      </c>
      <c r="F199">
        <v>0</v>
      </c>
      <c r="G199">
        <v>0</v>
      </c>
      <c r="H199">
        <v>-0.86699999999999999</v>
      </c>
      <c r="I199">
        <v>-0.83499999999999996</v>
      </c>
      <c r="J199">
        <v>-0.65700000000000003</v>
      </c>
      <c r="K199">
        <v>-0.90800000000000003</v>
      </c>
      <c r="L199">
        <v>-0.84599999999999997</v>
      </c>
      <c r="M199">
        <v>-0.86699999999999999</v>
      </c>
      <c r="N199">
        <v>-0.79100000000000004</v>
      </c>
      <c r="O199">
        <v>-0.81100000000000005</v>
      </c>
      <c r="P199">
        <v>0.153</v>
      </c>
      <c r="Q199">
        <v>0.151</v>
      </c>
      <c r="R199">
        <v>0.35499999999999998</v>
      </c>
      <c r="S199">
        <v>0.47199999999999998</v>
      </c>
      <c r="T199">
        <v>0.35399999999999998</v>
      </c>
      <c r="U199">
        <v>-0.76</v>
      </c>
      <c r="V199">
        <v>-1</v>
      </c>
      <c r="W199">
        <v>-0.43099999999999999</v>
      </c>
      <c r="X199">
        <v>0.02</v>
      </c>
      <c r="Y199">
        <v>0.377</v>
      </c>
      <c r="Z199">
        <v>-0.21299999999999999</v>
      </c>
      <c r="AA199">
        <v>-0.53800000000000003</v>
      </c>
      <c r="AB199">
        <v>-0.46700000000000003</v>
      </c>
      <c r="AC199">
        <v>0.127</v>
      </c>
      <c r="AD199">
        <v>-0.67300000000000004</v>
      </c>
      <c r="AE199">
        <v>-4.5999999999999999E-2</v>
      </c>
      <c r="AF199">
        <v>-0.16800000000000001</v>
      </c>
      <c r="AG199">
        <v>-0.96799999999999997</v>
      </c>
      <c r="AH199">
        <v>-0.65400000000000003</v>
      </c>
      <c r="AI199">
        <v>-0.45500000000000002</v>
      </c>
      <c r="AJ199">
        <v>-0.13600000000000001</v>
      </c>
      <c r="AK199">
        <v>-0.28299999999999997</v>
      </c>
      <c r="AL199">
        <v>-0.42399999999999999</v>
      </c>
      <c r="AM199">
        <v>0.35599999999999998</v>
      </c>
      <c r="AN199">
        <v>-0.28100000000000003</v>
      </c>
      <c r="AO199">
        <v>0.68500000000000005</v>
      </c>
      <c r="AP199">
        <v>-0.83099999999999996</v>
      </c>
      <c r="AQ199">
        <v>0.626</v>
      </c>
      <c r="AR199">
        <v>2.4E-2</v>
      </c>
      <c r="AS199">
        <v>-0.61499999999999999</v>
      </c>
      <c r="AT199">
        <v>-0.307</v>
      </c>
      <c r="AU199">
        <v>0.54200000000000004</v>
      </c>
      <c r="AV199">
        <v>0.13</v>
      </c>
      <c r="AW199">
        <v>0.39400000000000002</v>
      </c>
      <c r="AX199">
        <v>0.44500000000000001</v>
      </c>
      <c r="AY199">
        <v>-1.9E-2</v>
      </c>
      <c r="AZ199">
        <v>0.76100000000000001</v>
      </c>
      <c r="BA199">
        <v>0.60699999999999998</v>
      </c>
      <c r="BL199" t="s">
        <v>133</v>
      </c>
      <c r="BM199" t="s">
        <v>293</v>
      </c>
      <c r="BN199" t="s">
        <v>279</v>
      </c>
    </row>
    <row r="200" spans="1:66" x14ac:dyDescent="0.3">
      <c r="A200" t="s">
        <v>189</v>
      </c>
      <c r="B200">
        <v>0.54500000000000004</v>
      </c>
      <c r="C200">
        <v>0.63700000000000001</v>
      </c>
      <c r="D200" t="s">
        <v>68</v>
      </c>
      <c r="E200">
        <v>0</v>
      </c>
      <c r="F200">
        <v>0</v>
      </c>
      <c r="G200">
        <v>0</v>
      </c>
      <c r="H200">
        <v>-0.88600000000000001</v>
      </c>
      <c r="I200">
        <v>-0.71799999999999997</v>
      </c>
      <c r="J200">
        <v>-0.80400000000000005</v>
      </c>
      <c r="K200">
        <v>-0.82899999999999996</v>
      </c>
      <c r="L200">
        <v>-0.73599999999999999</v>
      </c>
      <c r="M200">
        <v>-0.72599999999999998</v>
      </c>
      <c r="N200">
        <v>-0.48699999999999999</v>
      </c>
      <c r="O200">
        <v>-0.626</v>
      </c>
      <c r="P200">
        <v>0.35699999999999998</v>
      </c>
      <c r="Q200">
        <v>0.35899999999999999</v>
      </c>
      <c r="R200">
        <v>0.41799999999999998</v>
      </c>
      <c r="S200">
        <v>0.34</v>
      </c>
      <c r="T200">
        <v>0.13900000000000001</v>
      </c>
      <c r="U200">
        <v>-0.67400000000000004</v>
      </c>
      <c r="V200">
        <v>-0.33100000000000002</v>
      </c>
      <c r="W200">
        <v>-0.92700000000000005</v>
      </c>
      <c r="X200">
        <v>-0.67300000000000004</v>
      </c>
      <c r="Y200">
        <v>-0.88500000000000001</v>
      </c>
      <c r="Z200">
        <v>-0.113</v>
      </c>
      <c r="AA200">
        <v>-0.32200000000000001</v>
      </c>
      <c r="AB200">
        <v>-0.56599999999999995</v>
      </c>
      <c r="AC200">
        <v>-0.64500000000000002</v>
      </c>
      <c r="AD200">
        <v>0.13900000000000001</v>
      </c>
      <c r="AE200">
        <v>-0.38500000000000001</v>
      </c>
      <c r="AF200">
        <v>-0.48299999999999998</v>
      </c>
      <c r="AG200">
        <v>0.439</v>
      </c>
      <c r="AH200">
        <v>-0.497</v>
      </c>
      <c r="AI200">
        <v>-0.57599999999999996</v>
      </c>
      <c r="AJ200">
        <v>0.317</v>
      </c>
      <c r="AK200">
        <v>-5.8000000000000003E-2</v>
      </c>
      <c r="AL200">
        <v>-0.125</v>
      </c>
      <c r="AM200">
        <v>0.69</v>
      </c>
      <c r="AN200">
        <v>-4.3999999999999997E-2</v>
      </c>
      <c r="AO200">
        <v>0.79100000000000004</v>
      </c>
      <c r="AP200">
        <v>0.42099999999999999</v>
      </c>
      <c r="AQ200">
        <v>-0.46500000000000002</v>
      </c>
      <c r="AR200">
        <v>-0.88300000000000001</v>
      </c>
      <c r="AS200">
        <v>-0.92600000000000005</v>
      </c>
      <c r="AT200">
        <v>-0.82199999999999995</v>
      </c>
      <c r="AU200">
        <v>0.17100000000000001</v>
      </c>
      <c r="AV200">
        <v>-1</v>
      </c>
      <c r="AW200">
        <v>0.72599999999999998</v>
      </c>
      <c r="AX200">
        <v>-0.67600000000000005</v>
      </c>
      <c r="AY200">
        <v>0.19500000000000001</v>
      </c>
      <c r="AZ200">
        <v>0.60599999999999998</v>
      </c>
      <c r="BA200">
        <v>-0.108</v>
      </c>
      <c r="BL200" t="s">
        <v>109</v>
      </c>
      <c r="BM200" t="s">
        <v>286</v>
      </c>
      <c r="BN200" t="s">
        <v>283</v>
      </c>
    </row>
    <row r="201" spans="1:66" x14ac:dyDescent="0.3">
      <c r="A201" t="s">
        <v>238</v>
      </c>
      <c r="B201">
        <v>0.50900000000000001</v>
      </c>
      <c r="C201">
        <v>0.42</v>
      </c>
      <c r="D201" t="s">
        <v>68</v>
      </c>
      <c r="E201">
        <v>0</v>
      </c>
      <c r="F201">
        <v>0</v>
      </c>
      <c r="G201">
        <v>0</v>
      </c>
      <c r="H201">
        <v>-0.87</v>
      </c>
      <c r="I201">
        <v>-0.81100000000000005</v>
      </c>
      <c r="J201">
        <v>-0.85199999999999998</v>
      </c>
      <c r="K201">
        <v>-0.90300000000000002</v>
      </c>
      <c r="L201">
        <v>-0.86799999999999999</v>
      </c>
      <c r="M201">
        <v>-0.88200000000000001</v>
      </c>
      <c r="N201">
        <v>-0.85599999999999998</v>
      </c>
      <c r="O201">
        <v>-0.84299999999999997</v>
      </c>
      <c r="P201">
        <v>-0.26600000000000001</v>
      </c>
      <c r="Q201">
        <v>-0.26500000000000001</v>
      </c>
      <c r="R201">
        <v>8.5000000000000006E-2</v>
      </c>
      <c r="S201">
        <v>0.376</v>
      </c>
      <c r="T201">
        <v>5.1999999999999998E-2</v>
      </c>
      <c r="U201">
        <v>-0.873</v>
      </c>
      <c r="V201">
        <v>-0.7</v>
      </c>
      <c r="W201">
        <v>-8.7999999999999995E-2</v>
      </c>
      <c r="X201">
        <v>3.0000000000000001E-3</v>
      </c>
      <c r="Y201">
        <v>0.16500000000000001</v>
      </c>
      <c r="Z201">
        <v>-0.68700000000000006</v>
      </c>
      <c r="AA201">
        <v>4.0000000000000001E-3</v>
      </c>
      <c r="AB201">
        <v>-0.61499999999999999</v>
      </c>
      <c r="AC201">
        <v>-6.7000000000000004E-2</v>
      </c>
      <c r="AD201">
        <v>-0.51400000000000001</v>
      </c>
      <c r="AE201">
        <v>-0.31</v>
      </c>
      <c r="AF201">
        <v>0.50800000000000001</v>
      </c>
      <c r="AG201">
        <v>-0.42099999999999999</v>
      </c>
      <c r="AH201">
        <v>-1</v>
      </c>
      <c r="AI201">
        <v>-1</v>
      </c>
      <c r="AJ201">
        <v>-0.28299999999999997</v>
      </c>
      <c r="AK201">
        <v>-0.51500000000000001</v>
      </c>
      <c r="AL201">
        <v>-0.64</v>
      </c>
      <c r="AM201">
        <v>0.314</v>
      </c>
      <c r="AN201">
        <v>-0.29399999999999998</v>
      </c>
      <c r="AO201">
        <v>0.60199999999999998</v>
      </c>
      <c r="AP201">
        <v>-0.14899999999999999</v>
      </c>
      <c r="AQ201">
        <v>-7.3999999999999996E-2</v>
      </c>
      <c r="AR201">
        <v>0.64</v>
      </c>
      <c r="AS201">
        <v>0.121</v>
      </c>
      <c r="AT201">
        <v>0.108</v>
      </c>
      <c r="AU201">
        <v>-0.69299999999999995</v>
      </c>
      <c r="AV201">
        <v>-0.39400000000000002</v>
      </c>
      <c r="AW201">
        <v>2.7E-2</v>
      </c>
      <c r="AX201">
        <v>0.13200000000000001</v>
      </c>
      <c r="AY201">
        <v>0.61699999999999999</v>
      </c>
      <c r="AZ201">
        <v>-8.0000000000000002E-3</v>
      </c>
      <c r="BA201">
        <v>0.26700000000000002</v>
      </c>
      <c r="BL201" t="s">
        <v>121</v>
      </c>
      <c r="BM201" t="s">
        <v>286</v>
      </c>
      <c r="BN201" t="s">
        <v>283</v>
      </c>
    </row>
    <row r="202" spans="1:66" x14ac:dyDescent="0.3">
      <c r="A202" t="s">
        <v>242</v>
      </c>
      <c r="B202">
        <v>0.505</v>
      </c>
      <c r="C202">
        <v>0.35499999999999998</v>
      </c>
      <c r="D202" t="s">
        <v>57</v>
      </c>
      <c r="E202">
        <v>0</v>
      </c>
      <c r="F202">
        <v>0</v>
      </c>
      <c r="G202">
        <v>0</v>
      </c>
      <c r="H202">
        <v>-0.68500000000000005</v>
      </c>
      <c r="I202">
        <v>-0.82899999999999996</v>
      </c>
      <c r="J202">
        <v>-0.71899999999999997</v>
      </c>
      <c r="K202">
        <v>-0.82199999999999995</v>
      </c>
      <c r="L202">
        <v>-0.86199999999999999</v>
      </c>
      <c r="M202">
        <v>-0.80900000000000005</v>
      </c>
      <c r="N202">
        <v>-0.78900000000000003</v>
      </c>
      <c r="O202">
        <v>-0.94299999999999995</v>
      </c>
      <c r="P202">
        <v>-0.27300000000000002</v>
      </c>
      <c r="Q202">
        <v>-0.27500000000000002</v>
      </c>
      <c r="R202">
        <v>-0.48299999999999998</v>
      </c>
      <c r="S202">
        <v>-0.65500000000000003</v>
      </c>
      <c r="T202">
        <v>0.113</v>
      </c>
      <c r="U202">
        <v>-0.56499999999999995</v>
      </c>
      <c r="V202">
        <v>0.105</v>
      </c>
      <c r="W202">
        <v>-0.46500000000000002</v>
      </c>
      <c r="X202">
        <v>0.36899999999999999</v>
      </c>
      <c r="Y202">
        <v>-0.46500000000000002</v>
      </c>
      <c r="Z202">
        <v>-0.60499999999999998</v>
      </c>
      <c r="AA202">
        <v>0.77700000000000002</v>
      </c>
      <c r="AB202">
        <v>-1</v>
      </c>
      <c r="AC202">
        <v>-5.0999999999999997E-2</v>
      </c>
      <c r="AD202">
        <v>4.8000000000000001E-2</v>
      </c>
      <c r="AE202">
        <v>-0.53300000000000003</v>
      </c>
      <c r="AF202">
        <v>0.17499999999999999</v>
      </c>
      <c r="AG202">
        <v>-0.27200000000000002</v>
      </c>
      <c r="AH202">
        <v>-0.57599999999999996</v>
      </c>
      <c r="AI202">
        <v>7.4999999999999997E-2</v>
      </c>
      <c r="AJ202">
        <v>-0.16400000000000001</v>
      </c>
      <c r="AK202">
        <v>-0.17599999999999999</v>
      </c>
      <c r="AL202">
        <v>-0.33900000000000002</v>
      </c>
      <c r="AM202">
        <v>-1</v>
      </c>
      <c r="AN202">
        <v>-0.60799999999999998</v>
      </c>
      <c r="AO202">
        <v>-0.17299999999999999</v>
      </c>
      <c r="AP202">
        <v>-1</v>
      </c>
      <c r="AQ202">
        <v>-0.14399999999999999</v>
      </c>
      <c r="AR202">
        <v>0.47699999999999998</v>
      </c>
      <c r="AS202">
        <v>0.67600000000000005</v>
      </c>
      <c r="AT202">
        <v>0.372</v>
      </c>
      <c r="AU202">
        <v>0.28000000000000003</v>
      </c>
      <c r="AV202">
        <v>0.38200000000000001</v>
      </c>
      <c r="AW202">
        <v>0.58399999999999996</v>
      </c>
      <c r="AX202">
        <v>1</v>
      </c>
      <c r="AY202">
        <v>0.48899999999999999</v>
      </c>
      <c r="AZ202">
        <v>0.13200000000000001</v>
      </c>
      <c r="BA202">
        <v>3.4000000000000002E-2</v>
      </c>
      <c r="BL202" t="s">
        <v>148</v>
      </c>
      <c r="BM202" t="s">
        <v>293</v>
      </c>
      <c r="BN202" t="s">
        <v>281</v>
      </c>
    </row>
    <row r="203" spans="1:66" x14ac:dyDescent="0.3">
      <c r="A203" t="s">
        <v>133</v>
      </c>
      <c r="B203">
        <v>0.67600000000000005</v>
      </c>
      <c r="C203">
        <v>0.81200000000000006</v>
      </c>
      <c r="D203" t="s">
        <v>68</v>
      </c>
      <c r="E203">
        <v>0</v>
      </c>
      <c r="F203">
        <v>0</v>
      </c>
      <c r="G203">
        <v>0</v>
      </c>
      <c r="H203">
        <v>-0.52500000000000002</v>
      </c>
      <c r="I203">
        <v>-0.59699999999999998</v>
      </c>
      <c r="J203">
        <v>-0.25</v>
      </c>
      <c r="K203">
        <v>-0.72399999999999998</v>
      </c>
      <c r="L203">
        <v>-0.61399999999999999</v>
      </c>
      <c r="M203">
        <v>-0.52300000000000002</v>
      </c>
      <c r="N203">
        <v>-0.24299999999999999</v>
      </c>
      <c r="O203">
        <v>-0.38600000000000001</v>
      </c>
      <c r="P203">
        <v>0.46100000000000002</v>
      </c>
      <c r="Q203">
        <v>0.46200000000000002</v>
      </c>
      <c r="R203">
        <v>0.501</v>
      </c>
      <c r="S203">
        <v>0.47899999999999998</v>
      </c>
      <c r="T203">
        <v>0.56000000000000005</v>
      </c>
      <c r="U203">
        <v>-0.504</v>
      </c>
      <c r="V203">
        <v>-0.72699999999999998</v>
      </c>
      <c r="W203">
        <v>-0.16900000000000001</v>
      </c>
      <c r="X203">
        <v>0.71399999999999997</v>
      </c>
      <c r="Y203">
        <v>0.436</v>
      </c>
      <c r="Z203">
        <v>-0.29499999999999998</v>
      </c>
      <c r="AA203">
        <v>-0.17399999999999999</v>
      </c>
      <c r="AB203">
        <v>0.13100000000000001</v>
      </c>
      <c r="AC203">
        <v>0.246</v>
      </c>
      <c r="AD203">
        <v>6.3E-2</v>
      </c>
      <c r="AE203">
        <v>-0.29399999999999998</v>
      </c>
      <c r="AF203">
        <v>-0.44800000000000001</v>
      </c>
      <c r="AG203">
        <v>-0.40500000000000003</v>
      </c>
      <c r="AH203">
        <v>-0.67200000000000004</v>
      </c>
      <c r="AI203">
        <v>-0.88100000000000001</v>
      </c>
      <c r="AJ203">
        <v>-2E-3</v>
      </c>
      <c r="AK203">
        <v>-0.30399999999999999</v>
      </c>
      <c r="AL203">
        <v>-0.32300000000000001</v>
      </c>
      <c r="AM203">
        <v>0.66400000000000003</v>
      </c>
      <c r="AN203">
        <v>-0.152</v>
      </c>
      <c r="AO203">
        <v>0.85099999999999998</v>
      </c>
      <c r="AP203">
        <v>-0.79600000000000004</v>
      </c>
      <c r="AQ203">
        <v>0.83299999999999996</v>
      </c>
      <c r="AR203">
        <v>-8.6999999999999994E-2</v>
      </c>
      <c r="AS203">
        <v>-0.378</v>
      </c>
      <c r="AT203">
        <v>-9.5000000000000001E-2</v>
      </c>
      <c r="AU203">
        <v>1</v>
      </c>
      <c r="AV203">
        <v>0.97</v>
      </c>
      <c r="AW203">
        <v>0.79100000000000004</v>
      </c>
      <c r="AX203">
        <v>0.21099999999999999</v>
      </c>
      <c r="AY203">
        <v>-0.06</v>
      </c>
      <c r="AZ203">
        <v>0.82199999999999995</v>
      </c>
      <c r="BA203">
        <v>0.64800000000000002</v>
      </c>
      <c r="BL203" t="s">
        <v>130</v>
      </c>
      <c r="BM203" t="s">
        <v>284</v>
      </c>
      <c r="BN203" t="s">
        <v>287</v>
      </c>
    </row>
    <row r="204" spans="1:66" x14ac:dyDescent="0.3">
      <c r="A204" t="s">
        <v>109</v>
      </c>
      <c r="B204">
        <v>2.3340000000000001</v>
      </c>
      <c r="C204">
        <v>3.1</v>
      </c>
      <c r="D204" t="s">
        <v>57</v>
      </c>
      <c r="E204">
        <v>0</v>
      </c>
      <c r="F204">
        <v>0</v>
      </c>
      <c r="G204">
        <v>0</v>
      </c>
      <c r="H204">
        <v>0.126</v>
      </c>
      <c r="I204">
        <v>0.66400000000000003</v>
      </c>
      <c r="J204">
        <v>-0.309</v>
      </c>
      <c r="K204">
        <v>0.27600000000000002</v>
      </c>
      <c r="L204">
        <v>0.38900000000000001</v>
      </c>
      <c r="M204">
        <v>0.442</v>
      </c>
      <c r="N204">
        <v>0.61599999999999999</v>
      </c>
      <c r="O204">
        <v>0.61</v>
      </c>
      <c r="P204">
        <v>0.752</v>
      </c>
      <c r="Q204">
        <v>0.76</v>
      </c>
      <c r="R204">
        <v>0.8</v>
      </c>
      <c r="S204">
        <v>0.88600000000000001</v>
      </c>
      <c r="T204">
        <v>0.873</v>
      </c>
      <c r="U204">
        <v>0.106</v>
      </c>
      <c r="V204">
        <v>-0.29699999999999999</v>
      </c>
      <c r="W204">
        <v>0.55700000000000005</v>
      </c>
      <c r="X204">
        <v>-0.96599999999999997</v>
      </c>
      <c r="Y204">
        <v>-0.63600000000000001</v>
      </c>
      <c r="Z204">
        <v>-0.84499999999999997</v>
      </c>
      <c r="AA204">
        <v>-0.14899999999999999</v>
      </c>
      <c r="AB204">
        <v>0.186</v>
      </c>
      <c r="AC204">
        <v>-0.66500000000000004</v>
      </c>
      <c r="AD204">
        <v>-0.39900000000000002</v>
      </c>
      <c r="AE204">
        <v>0.67100000000000004</v>
      </c>
      <c r="AF204">
        <v>0.68500000000000005</v>
      </c>
      <c r="AG204">
        <v>-0.01</v>
      </c>
      <c r="AH204">
        <v>0.17100000000000001</v>
      </c>
      <c r="AI204">
        <v>0.41</v>
      </c>
      <c r="AJ204">
        <v>5.8000000000000003E-2</v>
      </c>
      <c r="AK204">
        <v>5.0999999999999997E-2</v>
      </c>
      <c r="AL204">
        <v>0.29399999999999998</v>
      </c>
      <c r="AM204">
        <v>0.502</v>
      </c>
      <c r="AN204">
        <v>-0.45100000000000001</v>
      </c>
      <c r="AO204">
        <v>0.93600000000000005</v>
      </c>
      <c r="AP204">
        <v>0.252</v>
      </c>
      <c r="AQ204">
        <v>0.91100000000000003</v>
      </c>
      <c r="AR204">
        <v>-2.3E-2</v>
      </c>
      <c r="AS204">
        <v>0.32100000000000001</v>
      </c>
      <c r="AT204">
        <v>0.52100000000000002</v>
      </c>
      <c r="AU204">
        <v>-0.23100000000000001</v>
      </c>
      <c r="AV204">
        <v>-0.27500000000000002</v>
      </c>
      <c r="AW204">
        <v>0.83199999999999996</v>
      </c>
      <c r="AX204">
        <v>-0.66800000000000004</v>
      </c>
      <c r="AY204">
        <v>-1.7000000000000001E-2</v>
      </c>
      <c r="AZ204">
        <v>0.88500000000000001</v>
      </c>
      <c r="BA204">
        <v>-0.68899999999999995</v>
      </c>
      <c r="BL204" t="s">
        <v>219</v>
      </c>
      <c r="BM204" t="s">
        <v>286</v>
      </c>
      <c r="BN204" t="s">
        <v>283</v>
      </c>
    </row>
    <row r="205" spans="1:66" x14ac:dyDescent="0.3">
      <c r="A205" t="s">
        <v>148</v>
      </c>
      <c r="B205">
        <v>0.58899999999999997</v>
      </c>
      <c r="C205">
        <v>0.52700000000000002</v>
      </c>
      <c r="D205" t="s">
        <v>68</v>
      </c>
      <c r="E205">
        <v>0</v>
      </c>
      <c r="F205">
        <v>0</v>
      </c>
      <c r="G205">
        <v>0</v>
      </c>
      <c r="H205">
        <v>-0.81200000000000006</v>
      </c>
      <c r="I205">
        <v>-0.64100000000000001</v>
      </c>
      <c r="J205">
        <v>-0.79100000000000004</v>
      </c>
      <c r="K205">
        <v>-0.79300000000000004</v>
      </c>
      <c r="L205">
        <v>-0.70399999999999996</v>
      </c>
      <c r="M205">
        <v>-0.69299999999999995</v>
      </c>
      <c r="N205">
        <v>-0.52400000000000002</v>
      </c>
      <c r="O205">
        <v>-0.40600000000000003</v>
      </c>
      <c r="P205">
        <v>0.497</v>
      </c>
      <c r="Q205">
        <v>0.496</v>
      </c>
      <c r="R205">
        <v>0.45400000000000001</v>
      </c>
      <c r="S205">
        <v>0.45900000000000002</v>
      </c>
      <c r="T205">
        <v>0.42399999999999999</v>
      </c>
      <c r="U205">
        <v>-0.68500000000000005</v>
      </c>
      <c r="V205">
        <v>-0.89700000000000002</v>
      </c>
      <c r="W205">
        <v>-0.755</v>
      </c>
      <c r="X205">
        <v>-0.23300000000000001</v>
      </c>
      <c r="Y205">
        <v>-0.19600000000000001</v>
      </c>
      <c r="Z205">
        <v>-0.23300000000000001</v>
      </c>
      <c r="AA205">
        <v>-0.16500000000000001</v>
      </c>
      <c r="AB205">
        <v>8.6999999999999994E-2</v>
      </c>
      <c r="AC205">
        <v>-0.61399999999999999</v>
      </c>
      <c r="AD205">
        <v>-0.46200000000000002</v>
      </c>
      <c r="AE205">
        <v>6.0000000000000001E-3</v>
      </c>
      <c r="AF205">
        <v>-0.72799999999999998</v>
      </c>
      <c r="AG205">
        <v>-0.62</v>
      </c>
      <c r="AH205">
        <v>0.224</v>
      </c>
      <c r="AI205">
        <v>0.224</v>
      </c>
      <c r="AJ205">
        <v>0.56299999999999994</v>
      </c>
      <c r="AK205">
        <v>-0.23499999999999999</v>
      </c>
      <c r="AL205">
        <v>-0.20699999999999999</v>
      </c>
      <c r="AM205">
        <v>0.373</v>
      </c>
      <c r="AN205">
        <v>0.33</v>
      </c>
      <c r="AO205">
        <v>0.70099999999999996</v>
      </c>
      <c r="AP205">
        <v>0.10100000000000001</v>
      </c>
      <c r="AQ205">
        <v>-0.497</v>
      </c>
      <c r="AR205">
        <v>-0.19900000000000001</v>
      </c>
      <c r="AS205">
        <v>-0.41</v>
      </c>
      <c r="AT205">
        <v>2.1000000000000001E-2</v>
      </c>
      <c r="AU205">
        <v>-1.7000000000000001E-2</v>
      </c>
      <c r="AV205">
        <v>-0.70099999999999996</v>
      </c>
      <c r="AW205">
        <v>0.52100000000000002</v>
      </c>
      <c r="AX205">
        <v>-0.40500000000000003</v>
      </c>
      <c r="AY205">
        <v>0.46700000000000003</v>
      </c>
      <c r="AZ205">
        <v>-0.57099999999999995</v>
      </c>
      <c r="BA205">
        <v>0.36599999999999999</v>
      </c>
      <c r="BL205" t="s">
        <v>227</v>
      </c>
      <c r="BM205" t="s">
        <v>292</v>
      </c>
      <c r="BN205" t="s">
        <v>279</v>
      </c>
    </row>
    <row r="206" spans="1:66" x14ac:dyDescent="0.3">
      <c r="A206" t="s">
        <v>130</v>
      </c>
      <c r="B206">
        <v>0.61799999999999999</v>
      </c>
      <c r="C206">
        <v>0.443</v>
      </c>
      <c r="D206" t="s">
        <v>71</v>
      </c>
      <c r="E206">
        <v>0</v>
      </c>
      <c r="F206">
        <v>0</v>
      </c>
      <c r="G206">
        <v>0</v>
      </c>
      <c r="H206">
        <v>-0.67500000000000004</v>
      </c>
      <c r="I206">
        <v>-0.375</v>
      </c>
      <c r="J206">
        <v>-0.90300000000000002</v>
      </c>
      <c r="K206">
        <v>-0.54900000000000004</v>
      </c>
      <c r="L206">
        <v>-0.622</v>
      </c>
      <c r="M206">
        <v>-0.627</v>
      </c>
      <c r="N206">
        <v>-0.69099999999999995</v>
      </c>
      <c r="O206">
        <v>-0.58199999999999996</v>
      </c>
      <c r="P206">
        <v>0.60199999999999998</v>
      </c>
      <c r="Q206">
        <v>0.60099999999999998</v>
      </c>
      <c r="R206">
        <v>0.52800000000000002</v>
      </c>
      <c r="S206">
        <v>0.75700000000000001</v>
      </c>
      <c r="T206">
        <v>0.61399999999999999</v>
      </c>
      <c r="U206">
        <v>-0.66500000000000004</v>
      </c>
      <c r="V206">
        <v>-0.80700000000000005</v>
      </c>
      <c r="W206">
        <v>0.14499999999999999</v>
      </c>
      <c r="X206">
        <v>-0.84499999999999997</v>
      </c>
      <c r="Y206">
        <v>-0.40600000000000003</v>
      </c>
      <c r="Z206">
        <v>-0.96799999999999997</v>
      </c>
      <c r="AA206">
        <v>-7.0000000000000007E-2</v>
      </c>
      <c r="AB206">
        <v>-0.54</v>
      </c>
      <c r="AC206">
        <v>-0.496</v>
      </c>
      <c r="AD206">
        <v>-0.48199999999999998</v>
      </c>
      <c r="AE206">
        <v>0.79900000000000004</v>
      </c>
      <c r="AF206">
        <v>0.86499999999999999</v>
      </c>
      <c r="AG206">
        <v>0.16400000000000001</v>
      </c>
      <c r="AH206">
        <v>-0.52200000000000002</v>
      </c>
      <c r="AI206">
        <v>-1.6E-2</v>
      </c>
      <c r="AJ206">
        <v>0.25700000000000001</v>
      </c>
      <c r="AK206">
        <v>0.20699999999999999</v>
      </c>
      <c r="AL206">
        <v>0.14000000000000001</v>
      </c>
      <c r="AM206">
        <v>0.16400000000000001</v>
      </c>
      <c r="AN206">
        <v>0.158</v>
      </c>
      <c r="AO206">
        <v>0.17299999999999999</v>
      </c>
      <c r="AP206">
        <v>8.0000000000000002E-3</v>
      </c>
      <c r="AQ206">
        <v>0.46200000000000002</v>
      </c>
      <c r="AR206">
        <v>-9.8000000000000004E-2</v>
      </c>
      <c r="AS206">
        <v>0.42599999999999999</v>
      </c>
      <c r="AT206">
        <v>0.32600000000000001</v>
      </c>
      <c r="AU206">
        <v>-0.94599999999999995</v>
      </c>
      <c r="AV206">
        <v>0.35199999999999998</v>
      </c>
      <c r="AW206">
        <v>-0.70199999999999996</v>
      </c>
      <c r="AX206">
        <v>-1</v>
      </c>
      <c r="AY206">
        <v>0.39300000000000002</v>
      </c>
      <c r="AZ206">
        <v>-4.5999999999999999E-2</v>
      </c>
      <c r="BA206">
        <v>-0.56499999999999995</v>
      </c>
      <c r="BL206" t="s">
        <v>147</v>
      </c>
      <c r="BM206" t="s">
        <v>289</v>
      </c>
      <c r="BN206" t="s">
        <v>283</v>
      </c>
    </row>
    <row r="207" spans="1:66" x14ac:dyDescent="0.3">
      <c r="A207" t="s">
        <v>219</v>
      </c>
      <c r="B207">
        <v>0.54800000000000004</v>
      </c>
      <c r="C207">
        <v>0.49399999999999999</v>
      </c>
      <c r="D207" t="s">
        <v>57</v>
      </c>
      <c r="E207">
        <v>0</v>
      </c>
      <c r="F207">
        <v>0</v>
      </c>
      <c r="G207">
        <v>0</v>
      </c>
      <c r="H207">
        <v>-0.69099999999999995</v>
      </c>
      <c r="I207">
        <v>-0.65100000000000002</v>
      </c>
      <c r="J207">
        <v>-0.78500000000000003</v>
      </c>
      <c r="K207">
        <v>-0.67800000000000005</v>
      </c>
      <c r="L207">
        <v>-0.69799999999999995</v>
      </c>
      <c r="M207">
        <v>-0.58399999999999996</v>
      </c>
      <c r="N207">
        <v>-0.43</v>
      </c>
      <c r="O207">
        <v>-0.752</v>
      </c>
      <c r="P207">
        <v>0.127</v>
      </c>
      <c r="Q207">
        <v>0.126</v>
      </c>
      <c r="R207">
        <v>0.46300000000000002</v>
      </c>
      <c r="S207">
        <v>0.377</v>
      </c>
      <c r="T207">
        <v>0.112</v>
      </c>
      <c r="U207">
        <v>-0.36399999999999999</v>
      </c>
      <c r="V207">
        <v>0.26100000000000001</v>
      </c>
      <c r="W207">
        <v>-0.82899999999999996</v>
      </c>
      <c r="X207">
        <v>-0.878</v>
      </c>
      <c r="Y207">
        <v>-0.95099999999999996</v>
      </c>
      <c r="Z207">
        <v>-0.313</v>
      </c>
      <c r="AA207">
        <v>-0.26200000000000001</v>
      </c>
      <c r="AB207">
        <v>-0.87</v>
      </c>
      <c r="AC207">
        <v>-0.44800000000000001</v>
      </c>
      <c r="AD207">
        <v>0.504</v>
      </c>
      <c r="AE207">
        <v>-0.42399999999999999</v>
      </c>
      <c r="AF207">
        <v>-0.246</v>
      </c>
      <c r="AG207">
        <v>0.77800000000000002</v>
      </c>
      <c r="AH207">
        <v>0.14599999999999999</v>
      </c>
      <c r="AI207">
        <v>0.161</v>
      </c>
      <c r="AJ207">
        <v>5.3999999999999999E-2</v>
      </c>
      <c r="AK207">
        <v>7.8E-2</v>
      </c>
      <c r="AL207">
        <v>0.2</v>
      </c>
      <c r="AM207">
        <v>-0.21</v>
      </c>
      <c r="AN207">
        <v>-0.32400000000000001</v>
      </c>
      <c r="AO207">
        <v>0.85899999999999999</v>
      </c>
      <c r="AP207">
        <v>0.28799999999999998</v>
      </c>
      <c r="AQ207">
        <v>0.873</v>
      </c>
      <c r="AR207">
        <v>-0.625</v>
      </c>
      <c r="AS207">
        <v>-0.33800000000000002</v>
      </c>
      <c r="AT207">
        <v>-3.5000000000000003E-2</v>
      </c>
      <c r="AU207">
        <v>0.47299999999999998</v>
      </c>
      <c r="AV207">
        <v>4.2999999999999997E-2</v>
      </c>
      <c r="AW207">
        <v>0.61899999999999999</v>
      </c>
      <c r="AX207">
        <v>-0.69899999999999995</v>
      </c>
      <c r="AY207">
        <v>2.5999999999999999E-2</v>
      </c>
      <c r="AZ207">
        <v>-2.1999999999999999E-2</v>
      </c>
      <c r="BA207">
        <v>0.08</v>
      </c>
      <c r="BL207" t="s">
        <v>67</v>
      </c>
      <c r="BM207" t="s">
        <v>293</v>
      </c>
      <c r="BN207" t="s">
        <v>283</v>
      </c>
    </row>
    <row r="208" spans="1:66" x14ac:dyDescent="0.3">
      <c r="A208" t="s">
        <v>227</v>
      </c>
      <c r="B208">
        <v>0.54100000000000004</v>
      </c>
      <c r="C208">
        <v>0.45900000000000002</v>
      </c>
      <c r="D208" t="s">
        <v>71</v>
      </c>
      <c r="E208">
        <v>0</v>
      </c>
      <c r="F208">
        <v>0</v>
      </c>
      <c r="G208">
        <v>0</v>
      </c>
      <c r="H208">
        <v>-0.94699999999999995</v>
      </c>
      <c r="I208">
        <v>-0.78900000000000003</v>
      </c>
      <c r="J208">
        <v>-1</v>
      </c>
      <c r="K208">
        <v>-0.876</v>
      </c>
      <c r="L208">
        <v>-0.85899999999999999</v>
      </c>
      <c r="M208">
        <v>-0.80300000000000005</v>
      </c>
      <c r="N208">
        <v>-0.76100000000000001</v>
      </c>
      <c r="O208">
        <v>-0.74199999999999999</v>
      </c>
      <c r="P208">
        <v>0.45600000000000002</v>
      </c>
      <c r="Q208">
        <v>0.46100000000000002</v>
      </c>
      <c r="R208">
        <v>0.48499999999999999</v>
      </c>
      <c r="S208">
        <v>0.54700000000000004</v>
      </c>
      <c r="T208">
        <v>0.379</v>
      </c>
      <c r="U208">
        <v>-0.96199999999999997</v>
      </c>
      <c r="V208">
        <v>-0.73699999999999999</v>
      </c>
      <c r="W208">
        <v>-0.27500000000000002</v>
      </c>
      <c r="X208">
        <v>-0.98199999999999998</v>
      </c>
      <c r="Y208">
        <v>-0.96199999999999997</v>
      </c>
      <c r="Z208">
        <v>-0.9</v>
      </c>
      <c r="AA208">
        <v>-0.13</v>
      </c>
      <c r="AB208">
        <v>-0.46200000000000002</v>
      </c>
      <c r="AC208">
        <v>-0.59099999999999997</v>
      </c>
      <c r="AD208">
        <v>-0.38800000000000001</v>
      </c>
      <c r="AE208">
        <v>0.3</v>
      </c>
      <c r="AF208">
        <v>0.188</v>
      </c>
      <c r="AG208">
        <v>-0.51800000000000002</v>
      </c>
      <c r="AH208">
        <v>-0.35499999999999998</v>
      </c>
      <c r="AI208">
        <v>-0.40100000000000002</v>
      </c>
      <c r="AJ208">
        <v>0.64300000000000002</v>
      </c>
      <c r="AK208">
        <v>-0.45800000000000002</v>
      </c>
      <c r="AL208">
        <v>-0.65800000000000003</v>
      </c>
      <c r="AM208">
        <v>0.38400000000000001</v>
      </c>
      <c r="AN208">
        <v>-0.52400000000000002</v>
      </c>
      <c r="AO208">
        <v>0.74199999999999999</v>
      </c>
      <c r="AP208">
        <v>-0.44400000000000001</v>
      </c>
      <c r="AQ208">
        <v>0.49099999999999999</v>
      </c>
      <c r="AR208">
        <v>-0.03</v>
      </c>
      <c r="AS208">
        <v>-0.14000000000000001</v>
      </c>
      <c r="AT208">
        <v>-1.0999999999999999E-2</v>
      </c>
      <c r="AU208">
        <v>-9.4E-2</v>
      </c>
      <c r="AV208">
        <v>0.32800000000000001</v>
      </c>
      <c r="AW208">
        <v>0.34499999999999997</v>
      </c>
      <c r="AX208">
        <v>-0.36899999999999999</v>
      </c>
      <c r="AY208">
        <v>-0.89</v>
      </c>
      <c r="AZ208">
        <v>0.16700000000000001</v>
      </c>
      <c r="BA208">
        <v>-0.88300000000000001</v>
      </c>
      <c r="BL208" t="s">
        <v>90</v>
      </c>
      <c r="BM208" t="s">
        <v>293</v>
      </c>
      <c r="BN208" t="s">
        <v>281</v>
      </c>
    </row>
    <row r="209" spans="1:66" x14ac:dyDescent="0.3">
      <c r="A209" t="s">
        <v>67</v>
      </c>
      <c r="B209">
        <v>3.2280000000000002</v>
      </c>
      <c r="C209">
        <v>2.9239999999999999</v>
      </c>
      <c r="D209" t="s">
        <v>68</v>
      </c>
      <c r="E209">
        <v>0</v>
      </c>
      <c r="F209">
        <v>0</v>
      </c>
      <c r="G209">
        <v>0</v>
      </c>
      <c r="H209">
        <v>0.83899999999999997</v>
      </c>
      <c r="I209">
        <v>0.877</v>
      </c>
      <c r="J209">
        <v>0.67200000000000004</v>
      </c>
      <c r="K209">
        <v>0.93200000000000005</v>
      </c>
      <c r="L209">
        <v>1</v>
      </c>
      <c r="M209">
        <v>1</v>
      </c>
      <c r="N209">
        <v>1</v>
      </c>
      <c r="O209">
        <v>1</v>
      </c>
      <c r="P209">
        <v>0.64200000000000002</v>
      </c>
      <c r="Q209">
        <v>0.64700000000000002</v>
      </c>
      <c r="R209">
        <v>0.80800000000000005</v>
      </c>
      <c r="S209">
        <v>0.75600000000000001</v>
      </c>
      <c r="T209">
        <v>0.70399999999999996</v>
      </c>
      <c r="U209">
        <v>1</v>
      </c>
      <c r="V209">
        <v>1</v>
      </c>
      <c r="W209">
        <v>-0.19700000000000001</v>
      </c>
      <c r="X209">
        <v>-0.41899999999999998</v>
      </c>
      <c r="Y209">
        <v>-0.26100000000000001</v>
      </c>
      <c r="Z209">
        <v>0.40500000000000003</v>
      </c>
      <c r="AA209">
        <v>-3.0000000000000001E-3</v>
      </c>
      <c r="AB209">
        <v>0.60099999999999998</v>
      </c>
      <c r="AC209">
        <v>-0.61399999999999999</v>
      </c>
      <c r="AD209">
        <v>0.42899999999999999</v>
      </c>
      <c r="AE209">
        <v>-0.10299999999999999</v>
      </c>
      <c r="AF209">
        <v>0.28599999999999998</v>
      </c>
      <c r="AG209">
        <v>0.94099999999999995</v>
      </c>
      <c r="AH209">
        <v>0.126</v>
      </c>
      <c r="AI209">
        <v>-0.52700000000000002</v>
      </c>
      <c r="AJ209">
        <v>0.71899999999999997</v>
      </c>
      <c r="AK209">
        <v>-2.9000000000000001E-2</v>
      </c>
      <c r="AL209">
        <v>0.53900000000000003</v>
      </c>
      <c r="AM209">
        <v>0.42</v>
      </c>
      <c r="AN209">
        <v>0.16300000000000001</v>
      </c>
      <c r="AO209">
        <v>0.91</v>
      </c>
      <c r="AP209">
        <v>1</v>
      </c>
      <c r="AQ209">
        <v>0.58099999999999996</v>
      </c>
      <c r="AR209">
        <v>-4.5999999999999999E-2</v>
      </c>
      <c r="AS209">
        <v>-0.16700000000000001</v>
      </c>
      <c r="AT209">
        <v>0.22</v>
      </c>
      <c r="AU209">
        <v>-0.34499999999999997</v>
      </c>
      <c r="AV209">
        <v>-0.61699999999999999</v>
      </c>
      <c r="AW209">
        <v>0.56299999999999994</v>
      </c>
      <c r="AX209">
        <v>-0.98899999999999999</v>
      </c>
      <c r="AY209">
        <v>0.35499999999999998</v>
      </c>
      <c r="AZ209">
        <v>0.72</v>
      </c>
      <c r="BA209">
        <v>-0.20899999999999999</v>
      </c>
      <c r="BL209" t="s">
        <v>79</v>
      </c>
      <c r="BM209" t="s">
        <v>293</v>
      </c>
      <c r="BN209" t="s">
        <v>279</v>
      </c>
    </row>
    <row r="210" spans="1:66" x14ac:dyDescent="0.3">
      <c r="A210" t="s">
        <v>90</v>
      </c>
      <c r="B210">
        <v>2.5640000000000001</v>
      </c>
      <c r="C210">
        <v>2.323</v>
      </c>
      <c r="D210" t="s">
        <v>68</v>
      </c>
      <c r="E210">
        <v>0</v>
      </c>
      <c r="F210">
        <v>0</v>
      </c>
      <c r="G210">
        <v>0</v>
      </c>
      <c r="H210">
        <v>0.55800000000000005</v>
      </c>
      <c r="I210">
        <v>0.60699999999999998</v>
      </c>
      <c r="J210">
        <v>0.20699999999999999</v>
      </c>
      <c r="K210">
        <v>0.68600000000000005</v>
      </c>
      <c r="L210">
        <v>0.68400000000000005</v>
      </c>
      <c r="M210">
        <v>0.80100000000000005</v>
      </c>
      <c r="N210">
        <v>0.85199999999999998</v>
      </c>
      <c r="O210">
        <v>0.79600000000000004</v>
      </c>
      <c r="P210">
        <v>0.26900000000000002</v>
      </c>
      <c r="Q210">
        <v>0.27500000000000002</v>
      </c>
      <c r="R210">
        <v>0.69799999999999995</v>
      </c>
      <c r="S210">
        <v>0.64500000000000002</v>
      </c>
      <c r="T210">
        <v>0.53600000000000003</v>
      </c>
      <c r="U210">
        <v>0.97699999999999998</v>
      </c>
      <c r="V210">
        <v>1</v>
      </c>
      <c r="W210">
        <v>-0.373</v>
      </c>
      <c r="X210">
        <v>-0.438</v>
      </c>
      <c r="Y210">
        <v>-0.40400000000000003</v>
      </c>
      <c r="Z210">
        <v>0.40500000000000003</v>
      </c>
      <c r="AA210">
        <v>-3.0000000000000001E-3</v>
      </c>
      <c r="AB210">
        <v>0.38400000000000001</v>
      </c>
      <c r="AC210">
        <v>-0.61399999999999999</v>
      </c>
      <c r="AD210">
        <v>0.46800000000000003</v>
      </c>
      <c r="AE210">
        <v>-0.36399999999999999</v>
      </c>
      <c r="AF210">
        <v>0.378</v>
      </c>
      <c r="AG210">
        <v>0.94099999999999995</v>
      </c>
      <c r="AH210">
        <v>0.126</v>
      </c>
      <c r="AI210">
        <v>-0.52700000000000002</v>
      </c>
      <c r="AJ210">
        <v>0.71899999999999997</v>
      </c>
      <c r="AK210">
        <v>-2.9000000000000001E-2</v>
      </c>
      <c r="AL210">
        <v>0.53900000000000003</v>
      </c>
      <c r="AM210">
        <v>0.40899999999999997</v>
      </c>
      <c r="AN210">
        <v>0.16300000000000001</v>
      </c>
      <c r="AO210">
        <v>0.91</v>
      </c>
      <c r="AP210">
        <v>1</v>
      </c>
      <c r="AQ210">
        <v>0.83699999999999997</v>
      </c>
      <c r="AR210">
        <v>-4.5999999999999999E-2</v>
      </c>
      <c r="AS210">
        <v>-0.16700000000000001</v>
      </c>
      <c r="AT210">
        <v>8.4000000000000005E-2</v>
      </c>
      <c r="AU210">
        <v>-0.34499999999999997</v>
      </c>
      <c r="AV210">
        <v>-0.59799999999999998</v>
      </c>
      <c r="AW210">
        <v>0.55400000000000005</v>
      </c>
      <c r="AX210">
        <v>-0.92300000000000004</v>
      </c>
      <c r="AY210">
        <v>0.35399999999999998</v>
      </c>
      <c r="AZ210">
        <v>-0.49399999999999999</v>
      </c>
      <c r="BA210">
        <v>-0.20899999999999999</v>
      </c>
      <c r="BL210" t="s">
        <v>120</v>
      </c>
      <c r="BM210" t="s">
        <v>284</v>
      </c>
      <c r="BN210" t="s">
        <v>283</v>
      </c>
    </row>
    <row r="211" spans="1:66" x14ac:dyDescent="0.3">
      <c r="A211" t="s">
        <v>79</v>
      </c>
      <c r="B211">
        <v>2.6960000000000002</v>
      </c>
      <c r="C211">
        <v>3.1549999999999998</v>
      </c>
      <c r="D211" t="s">
        <v>68</v>
      </c>
      <c r="E211">
        <v>0</v>
      </c>
      <c r="F211">
        <v>0</v>
      </c>
      <c r="G211">
        <v>0</v>
      </c>
      <c r="H211">
        <v>0.30299999999999999</v>
      </c>
      <c r="I211">
        <v>0.75</v>
      </c>
      <c r="J211">
        <v>0.35799999999999998</v>
      </c>
      <c r="K211">
        <v>0.35899999999999999</v>
      </c>
      <c r="L211">
        <v>0.72</v>
      </c>
      <c r="M211">
        <v>0.55600000000000005</v>
      </c>
      <c r="N211">
        <v>0.69799999999999995</v>
      </c>
      <c r="O211">
        <v>0.82499999999999996</v>
      </c>
      <c r="P211">
        <v>0.88300000000000001</v>
      </c>
      <c r="Q211">
        <v>0.88800000000000001</v>
      </c>
      <c r="R211">
        <v>0.78100000000000003</v>
      </c>
      <c r="S211">
        <v>0.80400000000000005</v>
      </c>
      <c r="T211">
        <v>0.78800000000000003</v>
      </c>
      <c r="U211">
        <v>3.5999999999999997E-2</v>
      </c>
      <c r="V211">
        <v>-0.32600000000000001</v>
      </c>
      <c r="W211">
        <v>0.11700000000000001</v>
      </c>
      <c r="X211">
        <v>-0.48799999999999999</v>
      </c>
      <c r="Y211">
        <v>0.317</v>
      </c>
      <c r="Z211">
        <v>0.437</v>
      </c>
      <c r="AA211">
        <v>-0.13</v>
      </c>
      <c r="AB211">
        <v>0.26400000000000001</v>
      </c>
      <c r="AC211">
        <v>-0.79500000000000004</v>
      </c>
      <c r="AD211">
        <v>-8.8999999999999996E-2</v>
      </c>
      <c r="AE211">
        <v>0.503</v>
      </c>
      <c r="AF211">
        <v>0.221</v>
      </c>
      <c r="AG211">
        <v>0.32300000000000001</v>
      </c>
      <c r="AH211">
        <v>0.151</v>
      </c>
      <c r="AI211">
        <v>-7.1999999999999995E-2</v>
      </c>
      <c r="AJ211">
        <v>0.98899999999999999</v>
      </c>
      <c r="AK211">
        <v>-6.5000000000000002E-2</v>
      </c>
      <c r="AL211">
        <v>0.35699999999999998</v>
      </c>
      <c r="AM211">
        <v>0.66400000000000003</v>
      </c>
      <c r="AN211">
        <v>-5.7000000000000002E-2</v>
      </c>
      <c r="AO211">
        <v>0.80400000000000005</v>
      </c>
      <c r="AP211">
        <v>1</v>
      </c>
      <c r="AQ211">
        <v>0.4</v>
      </c>
      <c r="AR211">
        <v>-0.20300000000000001</v>
      </c>
      <c r="AS211">
        <v>-0.46500000000000002</v>
      </c>
      <c r="AT211">
        <v>-0.42099999999999999</v>
      </c>
      <c r="AU211">
        <v>0.114</v>
      </c>
      <c r="AV211">
        <v>-0.40300000000000002</v>
      </c>
      <c r="AW211">
        <v>0.80200000000000005</v>
      </c>
      <c r="AX211">
        <v>-0.60399999999999998</v>
      </c>
      <c r="AY211">
        <v>-0.108</v>
      </c>
      <c r="AZ211">
        <v>0.45100000000000001</v>
      </c>
      <c r="BA211">
        <v>-3.4000000000000002E-2</v>
      </c>
      <c r="BL211" t="s">
        <v>94</v>
      </c>
      <c r="BM211" t="s">
        <v>295</v>
      </c>
      <c r="BN211" t="s">
        <v>281</v>
      </c>
    </row>
    <row r="212" spans="1:66" x14ac:dyDescent="0.3">
      <c r="A212" t="s">
        <v>120</v>
      </c>
      <c r="B212">
        <v>0.7</v>
      </c>
      <c r="C212">
        <v>0.80800000000000005</v>
      </c>
      <c r="D212" t="s">
        <v>71</v>
      </c>
      <c r="E212">
        <v>0</v>
      </c>
      <c r="F212">
        <v>0</v>
      </c>
      <c r="G212">
        <v>0</v>
      </c>
      <c r="H212">
        <v>-0.79</v>
      </c>
      <c r="I212">
        <v>-0.41899999999999998</v>
      </c>
      <c r="J212">
        <v>-0.88600000000000001</v>
      </c>
      <c r="K212">
        <v>-0.66100000000000003</v>
      </c>
      <c r="L212">
        <v>-0.59299999999999997</v>
      </c>
      <c r="M212">
        <v>-0.50600000000000001</v>
      </c>
      <c r="N212">
        <v>-0.50800000000000001</v>
      </c>
      <c r="O212">
        <v>-0.223</v>
      </c>
      <c r="P212">
        <v>0.94799999999999995</v>
      </c>
      <c r="Q212">
        <v>0.95199999999999996</v>
      </c>
      <c r="R212">
        <v>0.59799999999999998</v>
      </c>
      <c r="S212">
        <v>0.73899999999999999</v>
      </c>
      <c r="T212">
        <v>0.64</v>
      </c>
      <c r="U212">
        <v>-0.53</v>
      </c>
      <c r="V212">
        <v>-0.71199999999999997</v>
      </c>
      <c r="W212">
        <v>1</v>
      </c>
      <c r="X212">
        <v>-0.35299999999999998</v>
      </c>
      <c r="Y212">
        <v>-0.67700000000000005</v>
      </c>
      <c r="Z212">
        <v>-0.84599999999999997</v>
      </c>
      <c r="AA212">
        <v>0.41799999999999998</v>
      </c>
      <c r="AB212">
        <v>1.2E-2</v>
      </c>
      <c r="AC212">
        <v>0.68799999999999994</v>
      </c>
      <c r="AD212">
        <v>-0.63200000000000001</v>
      </c>
      <c r="AE212">
        <v>0.159</v>
      </c>
      <c r="AF212">
        <v>-0.44500000000000001</v>
      </c>
      <c r="AG212">
        <v>-0.95199999999999996</v>
      </c>
      <c r="AH212">
        <v>-0.98599999999999999</v>
      </c>
      <c r="AI212">
        <v>-0.66500000000000004</v>
      </c>
      <c r="AJ212">
        <v>0.121</v>
      </c>
      <c r="AK212">
        <v>-0.38400000000000001</v>
      </c>
      <c r="AL212">
        <v>-0.441</v>
      </c>
      <c r="AM212">
        <v>0.42299999999999999</v>
      </c>
      <c r="AN212">
        <v>-5.3999999999999999E-2</v>
      </c>
      <c r="AO212">
        <v>0.86399999999999999</v>
      </c>
      <c r="AP212">
        <v>-2.5000000000000001E-2</v>
      </c>
      <c r="AQ212">
        <v>0.23899999999999999</v>
      </c>
      <c r="AR212">
        <v>0.14299999999999999</v>
      </c>
      <c r="AS212">
        <v>-9.9000000000000005E-2</v>
      </c>
      <c r="AT212">
        <v>0.35399999999999998</v>
      </c>
      <c r="AU212">
        <v>-0.45300000000000001</v>
      </c>
      <c r="AV212">
        <v>-0.36699999999999999</v>
      </c>
      <c r="AW212">
        <v>0.57999999999999996</v>
      </c>
      <c r="AX212">
        <v>-0.27500000000000002</v>
      </c>
      <c r="AY212">
        <v>-0.314</v>
      </c>
      <c r="AZ212">
        <v>-0.19900000000000001</v>
      </c>
      <c r="BA212">
        <v>-2.9000000000000001E-2</v>
      </c>
      <c r="BL212" t="s">
        <v>113</v>
      </c>
      <c r="BM212" t="s">
        <v>286</v>
      </c>
      <c r="BN212" t="s">
        <v>283</v>
      </c>
    </row>
    <row r="213" spans="1:66" x14ac:dyDescent="0.3">
      <c r="A213" t="s">
        <v>113</v>
      </c>
      <c r="B213">
        <v>1.429</v>
      </c>
      <c r="C213">
        <v>1.8360000000000001</v>
      </c>
      <c r="D213" t="s">
        <v>57</v>
      </c>
      <c r="E213">
        <v>0</v>
      </c>
      <c r="F213">
        <v>0</v>
      </c>
      <c r="G213">
        <v>0</v>
      </c>
      <c r="H213">
        <v>-0.34799999999999998</v>
      </c>
      <c r="I213">
        <v>0.16900000000000001</v>
      </c>
      <c r="J213">
        <v>-0.67500000000000004</v>
      </c>
      <c r="K213">
        <v>-0.22500000000000001</v>
      </c>
      <c r="L213">
        <v>-0.11700000000000001</v>
      </c>
      <c r="M213">
        <v>-7.0000000000000001E-3</v>
      </c>
      <c r="N213">
        <v>0.156</v>
      </c>
      <c r="O213">
        <v>0.154</v>
      </c>
      <c r="P213">
        <v>0.84799999999999998</v>
      </c>
      <c r="Q213">
        <v>0.85399999999999998</v>
      </c>
      <c r="R213">
        <v>0.73399999999999999</v>
      </c>
      <c r="S213">
        <v>0.96899999999999997</v>
      </c>
      <c r="T213">
        <v>0.71499999999999997</v>
      </c>
      <c r="U213">
        <v>-0.59699999999999998</v>
      </c>
      <c r="V213">
        <v>-0.151</v>
      </c>
      <c r="W213">
        <v>0.53700000000000003</v>
      </c>
      <c r="X213">
        <v>-0.92700000000000005</v>
      </c>
      <c r="Y213">
        <v>-0.84399999999999997</v>
      </c>
      <c r="Z213">
        <v>-1</v>
      </c>
      <c r="AA213">
        <v>-0.11799999999999999</v>
      </c>
      <c r="AB213">
        <v>0.155</v>
      </c>
      <c r="AC213">
        <v>-7.9000000000000001E-2</v>
      </c>
      <c r="AD213">
        <v>-3.0000000000000001E-3</v>
      </c>
      <c r="AE213">
        <v>0.22700000000000001</v>
      </c>
      <c r="AF213">
        <v>0.38400000000000001</v>
      </c>
      <c r="AG213">
        <v>5.7000000000000002E-2</v>
      </c>
      <c r="AH213">
        <v>0.27600000000000002</v>
      </c>
      <c r="AI213">
        <v>0.77500000000000002</v>
      </c>
      <c r="AJ213">
        <v>-4.2000000000000003E-2</v>
      </c>
      <c r="AK213">
        <v>-0.115</v>
      </c>
      <c r="AL213">
        <v>-0.317</v>
      </c>
      <c r="AM213">
        <v>0.316</v>
      </c>
      <c r="AN213">
        <v>-0.374</v>
      </c>
      <c r="AO213">
        <v>0.84</v>
      </c>
      <c r="AP213">
        <v>0.39800000000000002</v>
      </c>
      <c r="AQ213">
        <v>1E-3</v>
      </c>
      <c r="AR213">
        <v>-0.20699999999999999</v>
      </c>
      <c r="AS213">
        <v>-0.08</v>
      </c>
      <c r="AT213">
        <v>0.34599999999999997</v>
      </c>
      <c r="AU213">
        <v>-0.122</v>
      </c>
      <c r="AV213">
        <v>-0.45400000000000001</v>
      </c>
      <c r="AW213">
        <v>0.81699999999999995</v>
      </c>
      <c r="AX213">
        <v>-0.42199999999999999</v>
      </c>
      <c r="AY213">
        <v>-0.03</v>
      </c>
      <c r="AZ213">
        <v>0.16200000000000001</v>
      </c>
      <c r="BA213">
        <v>-0.754</v>
      </c>
      <c r="BL213" t="s">
        <v>134</v>
      </c>
      <c r="BM213" t="s">
        <v>286</v>
      </c>
      <c r="BN213" t="s">
        <v>283</v>
      </c>
    </row>
    <row r="214" spans="1:66" x14ac:dyDescent="0.3">
      <c r="A214" t="s">
        <v>116</v>
      </c>
      <c r="B214">
        <v>2.0649999999999999</v>
      </c>
      <c r="C214">
        <v>2.2250000000000001</v>
      </c>
      <c r="D214" t="s">
        <v>53</v>
      </c>
      <c r="E214">
        <v>0</v>
      </c>
      <c r="F214">
        <v>0</v>
      </c>
      <c r="G214">
        <v>0</v>
      </c>
      <c r="H214">
        <v>0.45100000000000001</v>
      </c>
      <c r="I214">
        <v>0.49099999999999999</v>
      </c>
      <c r="J214">
        <v>0.28499999999999998</v>
      </c>
      <c r="K214">
        <v>0.33600000000000002</v>
      </c>
      <c r="L214">
        <v>0.41</v>
      </c>
      <c r="M214">
        <v>0.27600000000000002</v>
      </c>
      <c r="N214">
        <v>0.27400000000000002</v>
      </c>
      <c r="O214">
        <v>-8.6999999999999994E-2</v>
      </c>
      <c r="P214">
        <v>0.55600000000000005</v>
      </c>
      <c r="Q214">
        <v>0.56000000000000005</v>
      </c>
      <c r="R214">
        <v>0.89800000000000002</v>
      </c>
      <c r="S214">
        <v>1</v>
      </c>
      <c r="T214">
        <v>0.91500000000000004</v>
      </c>
      <c r="U214">
        <v>-0.14499999999999999</v>
      </c>
      <c r="V214">
        <v>-0.35199999999999998</v>
      </c>
      <c r="W214">
        <v>0.78200000000000003</v>
      </c>
      <c r="X214">
        <v>-0.374</v>
      </c>
      <c r="Y214">
        <v>1</v>
      </c>
      <c r="Z214">
        <v>0.35199999999999998</v>
      </c>
      <c r="AA214">
        <v>-0.17299999999999999</v>
      </c>
      <c r="AB214">
        <v>-0.6</v>
      </c>
      <c r="AC214">
        <v>-0.58099999999999996</v>
      </c>
      <c r="AD214">
        <v>9.5000000000000001E-2</v>
      </c>
      <c r="AE214">
        <v>0.71899999999999997</v>
      </c>
      <c r="AF214">
        <v>0.66500000000000004</v>
      </c>
      <c r="AG214">
        <v>0.33200000000000002</v>
      </c>
      <c r="AH214">
        <v>0.214</v>
      </c>
      <c r="AI214">
        <v>0.47499999999999998</v>
      </c>
      <c r="AJ214">
        <v>0.52600000000000002</v>
      </c>
      <c r="AK214">
        <v>-0.32100000000000001</v>
      </c>
      <c r="AL214">
        <v>0.46700000000000003</v>
      </c>
      <c r="AM214">
        <v>0.39800000000000002</v>
      </c>
      <c r="AN214">
        <v>-0.129</v>
      </c>
      <c r="AO214">
        <v>0.999</v>
      </c>
      <c r="AP214">
        <v>-0.28000000000000003</v>
      </c>
      <c r="AQ214">
        <v>0.77900000000000003</v>
      </c>
      <c r="AR214">
        <v>-0.28499999999999998</v>
      </c>
      <c r="AS214">
        <v>-0.27600000000000002</v>
      </c>
      <c r="AT214">
        <v>0.16600000000000001</v>
      </c>
      <c r="AU214">
        <v>0.29899999999999999</v>
      </c>
      <c r="AV214">
        <v>-0.69199999999999995</v>
      </c>
      <c r="AW214">
        <v>0.67200000000000004</v>
      </c>
      <c r="AX214">
        <v>-0.30599999999999999</v>
      </c>
      <c r="AY214">
        <v>-3.4000000000000002E-2</v>
      </c>
      <c r="AZ214">
        <v>0.26900000000000002</v>
      </c>
      <c r="BA214">
        <v>0.40200000000000002</v>
      </c>
      <c r="BL214" t="s">
        <v>116</v>
      </c>
      <c r="BM214" t="s">
        <v>290</v>
      </c>
      <c r="BN214" t="s">
        <v>283</v>
      </c>
    </row>
    <row r="215" spans="1:66" x14ac:dyDescent="0.3">
      <c r="A215" t="s">
        <v>268</v>
      </c>
      <c r="B215">
        <v>0.46800000000000003</v>
      </c>
      <c r="C215">
        <v>0.32900000000000001</v>
      </c>
      <c r="D215" t="s">
        <v>71</v>
      </c>
      <c r="E215">
        <v>0</v>
      </c>
      <c r="F215">
        <v>0</v>
      </c>
      <c r="G215">
        <v>0</v>
      </c>
      <c r="H215">
        <v>-0.97</v>
      </c>
      <c r="I215">
        <v>-1</v>
      </c>
      <c r="J215">
        <v>-0.91300000000000003</v>
      </c>
      <c r="K215">
        <v>-0.997</v>
      </c>
      <c r="L215">
        <v>-0.998</v>
      </c>
      <c r="M215">
        <v>-0.99299999999999999</v>
      </c>
      <c r="N215">
        <v>-1</v>
      </c>
      <c r="O215">
        <v>-1</v>
      </c>
      <c r="P215">
        <v>-1</v>
      </c>
      <c r="Q215">
        <v>-1</v>
      </c>
      <c r="R215">
        <v>-1</v>
      </c>
      <c r="S215">
        <v>-1</v>
      </c>
      <c r="T215">
        <v>-1</v>
      </c>
      <c r="U215">
        <v>-0.995</v>
      </c>
      <c r="V215">
        <v>-0.871</v>
      </c>
      <c r="W215">
        <v>-1</v>
      </c>
      <c r="X215">
        <v>-0.505</v>
      </c>
      <c r="Y215">
        <v>-0.35099999999999998</v>
      </c>
      <c r="Z215">
        <v>-0.58299999999999996</v>
      </c>
      <c r="AA215">
        <v>-0.623</v>
      </c>
      <c r="AB215">
        <v>-1</v>
      </c>
      <c r="AC215">
        <v>-0.97299999999999998</v>
      </c>
      <c r="AD215">
        <v>-8.6999999999999994E-2</v>
      </c>
      <c r="AE215">
        <v>-0.68799999999999994</v>
      </c>
      <c r="AF215">
        <v>-0.40500000000000003</v>
      </c>
      <c r="AG215">
        <v>-8.3000000000000004E-2</v>
      </c>
      <c r="AH215">
        <v>0.24199999999999999</v>
      </c>
      <c r="AI215">
        <v>0.13900000000000001</v>
      </c>
      <c r="AJ215">
        <v>-0.77400000000000002</v>
      </c>
      <c r="AK215">
        <v>-0.83499999999999996</v>
      </c>
      <c r="AL215">
        <v>-0.52500000000000002</v>
      </c>
      <c r="AM215">
        <v>-0.50600000000000001</v>
      </c>
      <c r="AN215">
        <v>-0.68300000000000005</v>
      </c>
      <c r="AO215">
        <v>-0.443</v>
      </c>
      <c r="AP215">
        <v>-0.35299999999999998</v>
      </c>
      <c r="AQ215">
        <v>0.46400000000000002</v>
      </c>
      <c r="AR215">
        <v>0.93700000000000006</v>
      </c>
      <c r="AS215">
        <v>0.70799999999999996</v>
      </c>
      <c r="AT215">
        <v>-0.219</v>
      </c>
      <c r="AU215">
        <v>-0.70399999999999996</v>
      </c>
      <c r="AV215">
        <v>-0.98799999999999999</v>
      </c>
      <c r="AW215">
        <v>-0.95599999999999996</v>
      </c>
      <c r="AX215">
        <v>1</v>
      </c>
      <c r="AY215">
        <v>0.19</v>
      </c>
      <c r="AZ215">
        <v>0.67700000000000005</v>
      </c>
      <c r="BA215">
        <v>0.90600000000000003</v>
      </c>
      <c r="BL215" t="s">
        <v>268</v>
      </c>
      <c r="BM215" t="s">
        <v>284</v>
      </c>
      <c r="BN215" t="s">
        <v>287</v>
      </c>
    </row>
    <row r="216" spans="1:66" x14ac:dyDescent="0.3">
      <c r="A216" t="s">
        <v>146</v>
      </c>
      <c r="B216">
        <v>2.6859999999999999</v>
      </c>
      <c r="C216">
        <v>2.8439999999999999</v>
      </c>
      <c r="D216" t="s">
        <v>71</v>
      </c>
      <c r="E216">
        <v>0</v>
      </c>
      <c r="F216">
        <v>0</v>
      </c>
      <c r="G216">
        <v>0</v>
      </c>
      <c r="H216">
        <v>5.0000000000000001E-3</v>
      </c>
      <c r="I216">
        <v>0.98099999999999998</v>
      </c>
      <c r="J216">
        <v>-0.56200000000000006</v>
      </c>
      <c r="K216">
        <v>0.58599999999999997</v>
      </c>
      <c r="L216">
        <v>0.67900000000000005</v>
      </c>
      <c r="M216">
        <v>0.73099999999999998</v>
      </c>
      <c r="N216">
        <v>0.753</v>
      </c>
      <c r="O216">
        <v>1</v>
      </c>
      <c r="P216">
        <v>1</v>
      </c>
      <c r="Q216">
        <v>1</v>
      </c>
      <c r="R216">
        <v>0.67900000000000005</v>
      </c>
      <c r="S216">
        <v>0.79</v>
      </c>
      <c r="T216">
        <v>0.89900000000000002</v>
      </c>
      <c r="U216">
        <v>0.34799999999999998</v>
      </c>
      <c r="V216">
        <v>-0.32500000000000001</v>
      </c>
      <c r="W216">
        <v>1</v>
      </c>
      <c r="X216">
        <v>-0.91600000000000004</v>
      </c>
      <c r="Y216">
        <v>-0.56899999999999995</v>
      </c>
      <c r="Z216">
        <v>-0.91100000000000003</v>
      </c>
      <c r="AA216">
        <v>0.218</v>
      </c>
      <c r="AB216">
        <v>0.41299999999999998</v>
      </c>
      <c r="AC216">
        <v>-0.51400000000000001</v>
      </c>
      <c r="AD216">
        <v>-0.65800000000000003</v>
      </c>
      <c r="AE216">
        <v>0.98499999999999999</v>
      </c>
      <c r="AF216">
        <v>1</v>
      </c>
      <c r="AG216">
        <v>-0.24099999999999999</v>
      </c>
      <c r="AH216">
        <v>0.66900000000000004</v>
      </c>
      <c r="AI216">
        <v>0.46500000000000002</v>
      </c>
      <c r="AJ216">
        <v>0.46500000000000002</v>
      </c>
      <c r="AK216">
        <v>0.34399999999999997</v>
      </c>
      <c r="AL216">
        <v>0.36499999999999999</v>
      </c>
      <c r="AM216">
        <v>0.41099999999999998</v>
      </c>
      <c r="AN216">
        <v>-0.23100000000000001</v>
      </c>
      <c r="AO216">
        <v>0.81399999999999995</v>
      </c>
      <c r="AP216">
        <v>0.65400000000000003</v>
      </c>
      <c r="AQ216">
        <v>-0.157</v>
      </c>
      <c r="AR216">
        <v>-0.14799999999999999</v>
      </c>
      <c r="AS216">
        <v>-0.27300000000000002</v>
      </c>
      <c r="AT216">
        <v>0.35399999999999998</v>
      </c>
      <c r="AU216">
        <v>0.22500000000000001</v>
      </c>
      <c r="AV216">
        <v>0.997</v>
      </c>
      <c r="AW216">
        <v>0.69599999999999995</v>
      </c>
      <c r="AX216">
        <v>-0.93</v>
      </c>
      <c r="AY216">
        <v>-0.997</v>
      </c>
      <c r="AZ216">
        <v>-0.111</v>
      </c>
      <c r="BA216">
        <v>-0.89</v>
      </c>
      <c r="BL216" t="s">
        <v>146</v>
      </c>
      <c r="BM216" t="s">
        <v>300</v>
      </c>
      <c r="BN216" t="s">
        <v>279</v>
      </c>
    </row>
    <row r="217" spans="1:66" x14ac:dyDescent="0.3">
      <c r="A217" t="s">
        <v>136</v>
      </c>
      <c r="B217">
        <v>2.806</v>
      </c>
      <c r="C217">
        <v>3.202</v>
      </c>
      <c r="D217" t="s">
        <v>71</v>
      </c>
      <c r="E217">
        <v>0</v>
      </c>
      <c r="F217">
        <v>0</v>
      </c>
      <c r="G217">
        <v>0</v>
      </c>
      <c r="H217">
        <v>0.112</v>
      </c>
      <c r="I217">
        <v>1</v>
      </c>
      <c r="J217">
        <v>-0.54400000000000004</v>
      </c>
      <c r="K217">
        <v>0.65100000000000002</v>
      </c>
      <c r="L217">
        <v>0.72899999999999998</v>
      </c>
      <c r="M217">
        <v>0.84199999999999997</v>
      </c>
      <c r="N217">
        <v>0.86899999999999999</v>
      </c>
      <c r="O217">
        <v>1</v>
      </c>
      <c r="P217">
        <v>1</v>
      </c>
      <c r="Q217">
        <v>1</v>
      </c>
      <c r="R217">
        <v>0.64400000000000002</v>
      </c>
      <c r="S217">
        <v>0.86699999999999999</v>
      </c>
      <c r="T217">
        <v>0.91200000000000003</v>
      </c>
      <c r="U217">
        <v>0.39900000000000002</v>
      </c>
      <c r="V217">
        <v>-0.30599999999999999</v>
      </c>
      <c r="W217">
        <v>1</v>
      </c>
      <c r="X217">
        <v>-0.91200000000000003</v>
      </c>
      <c r="Y217">
        <v>-0.55500000000000005</v>
      </c>
      <c r="Z217">
        <v>-0.90600000000000003</v>
      </c>
      <c r="AA217">
        <v>0.218</v>
      </c>
      <c r="AB217">
        <v>0.45300000000000001</v>
      </c>
      <c r="AC217">
        <v>-0.51400000000000001</v>
      </c>
      <c r="AD217">
        <v>-0.65200000000000002</v>
      </c>
      <c r="AE217">
        <v>0.98499999999999999</v>
      </c>
      <c r="AF217">
        <v>1</v>
      </c>
      <c r="AG217">
        <v>-0.24099999999999999</v>
      </c>
      <c r="AH217">
        <v>0.66900000000000004</v>
      </c>
      <c r="AI217">
        <v>0.46500000000000002</v>
      </c>
      <c r="AJ217">
        <v>0.46500000000000002</v>
      </c>
      <c r="AK217">
        <v>0.34399999999999997</v>
      </c>
      <c r="AL217">
        <v>0.372</v>
      </c>
      <c r="AM217">
        <v>0.496</v>
      </c>
      <c r="AN217">
        <v>-0.23100000000000001</v>
      </c>
      <c r="AO217">
        <v>0.81399999999999995</v>
      </c>
      <c r="AP217">
        <v>0.629</v>
      </c>
      <c r="AQ217">
        <v>0.47899999999999998</v>
      </c>
      <c r="AR217">
        <v>-0.14799999999999999</v>
      </c>
      <c r="AS217">
        <v>-0.27300000000000002</v>
      </c>
      <c r="AT217">
        <v>0.33800000000000002</v>
      </c>
      <c r="AU217">
        <v>0.191</v>
      </c>
      <c r="AV217">
        <v>0.74399999999999999</v>
      </c>
      <c r="AW217">
        <v>0.70799999999999996</v>
      </c>
      <c r="AX217">
        <v>-0.95399999999999996</v>
      </c>
      <c r="AY217">
        <v>-0.997</v>
      </c>
      <c r="AZ217">
        <v>-0.25900000000000001</v>
      </c>
      <c r="BA217">
        <v>-0.89</v>
      </c>
      <c r="BL217" t="s">
        <v>136</v>
      </c>
      <c r="BM217" t="s">
        <v>300</v>
      </c>
      <c r="BN217" t="s">
        <v>279</v>
      </c>
    </row>
    <row r="218" spans="1:66" x14ac:dyDescent="0.3">
      <c r="A218" t="s">
        <v>195</v>
      </c>
      <c r="B218">
        <v>0.53</v>
      </c>
      <c r="C218">
        <v>0.47699999999999998</v>
      </c>
      <c r="D218" t="s">
        <v>57</v>
      </c>
      <c r="E218">
        <v>0</v>
      </c>
      <c r="F218">
        <v>0</v>
      </c>
      <c r="G218">
        <v>0</v>
      </c>
      <c r="H218">
        <v>-0.9</v>
      </c>
      <c r="I218">
        <v>-0.77900000000000003</v>
      </c>
      <c r="J218">
        <v>-0.93600000000000005</v>
      </c>
      <c r="K218">
        <v>-0.874</v>
      </c>
      <c r="L218">
        <v>-0.84799999999999998</v>
      </c>
      <c r="M218">
        <v>-0.78400000000000003</v>
      </c>
      <c r="N218">
        <v>-0.61899999999999999</v>
      </c>
      <c r="O218">
        <v>-0.79500000000000004</v>
      </c>
      <c r="P218">
        <v>0.33500000000000002</v>
      </c>
      <c r="Q218">
        <v>0.33700000000000002</v>
      </c>
      <c r="R218">
        <v>0.34300000000000003</v>
      </c>
      <c r="S218">
        <v>0.255</v>
      </c>
      <c r="T218">
        <v>0.20599999999999999</v>
      </c>
      <c r="U218">
        <v>-0.97099999999999997</v>
      </c>
      <c r="V218">
        <v>-0.78800000000000003</v>
      </c>
      <c r="W218">
        <v>-1</v>
      </c>
      <c r="X218">
        <v>-1</v>
      </c>
      <c r="Y218">
        <v>-1</v>
      </c>
      <c r="Z218">
        <v>-0.54</v>
      </c>
      <c r="AA218">
        <v>-0.26700000000000002</v>
      </c>
      <c r="AB218">
        <v>-0.72099999999999997</v>
      </c>
      <c r="AC218">
        <v>-0.88400000000000001</v>
      </c>
      <c r="AD218">
        <v>0.245</v>
      </c>
      <c r="AE218">
        <v>-0.33500000000000002</v>
      </c>
      <c r="AF218">
        <v>-0.79100000000000004</v>
      </c>
      <c r="AG218">
        <v>0.49099999999999999</v>
      </c>
      <c r="AH218">
        <v>0.1</v>
      </c>
      <c r="AI218">
        <v>0.28000000000000003</v>
      </c>
      <c r="AJ218">
        <v>0.372</v>
      </c>
      <c r="AK218">
        <v>-8.9999999999999993E-3</v>
      </c>
      <c r="AL218">
        <v>-0.182</v>
      </c>
      <c r="AM218">
        <v>4.7E-2</v>
      </c>
      <c r="AN218">
        <v>0.22700000000000001</v>
      </c>
      <c r="AO218">
        <v>0.36099999999999999</v>
      </c>
      <c r="AP218">
        <v>5.6000000000000001E-2</v>
      </c>
      <c r="AQ218">
        <v>4.2999999999999997E-2</v>
      </c>
      <c r="AR218">
        <v>-0.69099999999999995</v>
      </c>
      <c r="AS218">
        <v>-0.25800000000000001</v>
      </c>
      <c r="AT218">
        <v>-9.2999999999999999E-2</v>
      </c>
      <c r="AU218">
        <v>0.20100000000000001</v>
      </c>
      <c r="AV218">
        <v>-0.41099999999999998</v>
      </c>
      <c r="AW218">
        <v>0.72499999999999998</v>
      </c>
      <c r="AX218">
        <v>-0.44600000000000001</v>
      </c>
      <c r="AY218">
        <v>-0.55100000000000005</v>
      </c>
      <c r="AZ218">
        <v>0.20599999999999999</v>
      </c>
      <c r="BA218">
        <v>-0.41099999999999998</v>
      </c>
      <c r="BL218" t="s">
        <v>195</v>
      </c>
      <c r="BM218" t="s">
        <v>286</v>
      </c>
      <c r="BN218" t="s">
        <v>279</v>
      </c>
    </row>
    <row r="219" spans="1:66" x14ac:dyDescent="0.3">
      <c r="A219" t="s">
        <v>160</v>
      </c>
      <c r="B219">
        <v>0.64500000000000002</v>
      </c>
      <c r="C219">
        <v>0.49</v>
      </c>
      <c r="D219" t="s">
        <v>57</v>
      </c>
      <c r="E219">
        <v>0</v>
      </c>
      <c r="F219">
        <v>0</v>
      </c>
      <c r="G219">
        <v>0</v>
      </c>
      <c r="H219">
        <v>-0.57699999999999996</v>
      </c>
      <c r="I219">
        <v>-0.51700000000000002</v>
      </c>
      <c r="J219">
        <v>-0.72099999999999997</v>
      </c>
      <c r="K219">
        <v>-0.57599999999999996</v>
      </c>
      <c r="L219">
        <v>-0.61899999999999999</v>
      </c>
      <c r="M219">
        <v>-0.51800000000000002</v>
      </c>
      <c r="N219">
        <v>-0.17299999999999999</v>
      </c>
      <c r="O219">
        <v>-0.65200000000000002</v>
      </c>
      <c r="P219">
        <v>0.67300000000000004</v>
      </c>
      <c r="Q219">
        <v>0.67400000000000004</v>
      </c>
      <c r="R219">
        <v>0.76600000000000001</v>
      </c>
      <c r="S219">
        <v>0.79400000000000004</v>
      </c>
      <c r="T219">
        <v>0.47599999999999998</v>
      </c>
      <c r="U219">
        <v>-0.33100000000000002</v>
      </c>
      <c r="V219">
        <v>0.20499999999999999</v>
      </c>
      <c r="W219">
        <v>-0.434</v>
      </c>
      <c r="X219">
        <v>-0.68600000000000005</v>
      </c>
      <c r="Y219">
        <v>-0.91400000000000003</v>
      </c>
      <c r="Z219">
        <v>-0.55500000000000005</v>
      </c>
      <c r="AA219">
        <v>6.8000000000000005E-2</v>
      </c>
      <c r="AB219">
        <v>-0.70399999999999996</v>
      </c>
      <c r="AC219">
        <v>-0.09</v>
      </c>
      <c r="AD219">
        <v>0.73599999999999999</v>
      </c>
      <c r="AE219">
        <v>-9.6000000000000002E-2</v>
      </c>
      <c r="AF219">
        <v>-0.16400000000000001</v>
      </c>
      <c r="AG219">
        <v>0.28399999999999997</v>
      </c>
      <c r="AH219">
        <v>-1.4999999999999999E-2</v>
      </c>
      <c r="AI219">
        <v>-0.89600000000000002</v>
      </c>
      <c r="AJ219">
        <v>0.314</v>
      </c>
      <c r="AK219">
        <v>0.65</v>
      </c>
      <c r="AL219">
        <v>-0.158</v>
      </c>
      <c r="AM219">
        <v>0.11700000000000001</v>
      </c>
      <c r="AN219">
        <v>-0.28699999999999998</v>
      </c>
      <c r="AO219">
        <v>0.34</v>
      </c>
      <c r="AP219">
        <v>-0.61099999999999999</v>
      </c>
      <c r="AQ219">
        <v>-0.17100000000000001</v>
      </c>
      <c r="AR219">
        <v>-6.7000000000000004E-2</v>
      </c>
      <c r="AS219">
        <v>3.9E-2</v>
      </c>
      <c r="AT219">
        <v>7.0000000000000007E-2</v>
      </c>
      <c r="AU219">
        <v>-0.23300000000000001</v>
      </c>
      <c r="AV219">
        <v>3.2000000000000001E-2</v>
      </c>
      <c r="AW219">
        <v>0.434</v>
      </c>
      <c r="AX219">
        <v>0.14599999999999999</v>
      </c>
      <c r="AY219">
        <v>-9.7000000000000003E-2</v>
      </c>
      <c r="AZ219">
        <v>1</v>
      </c>
      <c r="BA219">
        <v>-5.7000000000000002E-2</v>
      </c>
      <c r="BL219" t="s">
        <v>160</v>
      </c>
      <c r="BM219" t="s">
        <v>299</v>
      </c>
      <c r="BN219" t="s">
        <v>282</v>
      </c>
    </row>
    <row r="220" spans="1:66" x14ac:dyDescent="0.3">
      <c r="A220" t="s">
        <v>247</v>
      </c>
      <c r="B220">
        <v>0.51400000000000001</v>
      </c>
      <c r="C220">
        <v>0.39100000000000001</v>
      </c>
      <c r="D220" t="s">
        <v>57</v>
      </c>
      <c r="E220">
        <v>0</v>
      </c>
      <c r="F220">
        <v>0</v>
      </c>
      <c r="G220">
        <v>0</v>
      </c>
      <c r="H220">
        <v>-0.80700000000000005</v>
      </c>
      <c r="I220">
        <v>-0.76300000000000001</v>
      </c>
      <c r="J220">
        <v>-0.84099999999999997</v>
      </c>
      <c r="K220">
        <v>-0.876</v>
      </c>
      <c r="L220">
        <v>-0.85199999999999998</v>
      </c>
      <c r="M220">
        <v>-0.74399999999999999</v>
      </c>
      <c r="N220">
        <v>-0.57099999999999995</v>
      </c>
      <c r="O220">
        <v>-0.84099999999999997</v>
      </c>
      <c r="P220">
        <v>2.1000000000000001E-2</v>
      </c>
      <c r="Q220">
        <v>2.5000000000000001E-2</v>
      </c>
      <c r="R220">
        <v>-0.02</v>
      </c>
      <c r="S220">
        <v>0.13100000000000001</v>
      </c>
      <c r="T220">
        <v>-9.4E-2</v>
      </c>
      <c r="U220">
        <v>-1</v>
      </c>
      <c r="V220">
        <v>-0.46800000000000003</v>
      </c>
      <c r="W220">
        <v>-1</v>
      </c>
      <c r="X220">
        <v>-0.96699999999999997</v>
      </c>
      <c r="Y220">
        <v>-1</v>
      </c>
      <c r="Z220">
        <v>-0.374</v>
      </c>
      <c r="AA220">
        <v>-0.54</v>
      </c>
      <c r="AB220">
        <v>-0.80300000000000005</v>
      </c>
      <c r="AC220">
        <v>-0.433</v>
      </c>
      <c r="AD220">
        <v>0.441</v>
      </c>
      <c r="AE220">
        <v>-0.67200000000000004</v>
      </c>
      <c r="AF220">
        <v>-0.216</v>
      </c>
      <c r="AG220">
        <v>0.73499999999999999</v>
      </c>
      <c r="AH220">
        <v>0.53400000000000003</v>
      </c>
      <c r="AI220">
        <v>1.9E-2</v>
      </c>
      <c r="AJ220">
        <v>1.2999999999999999E-2</v>
      </c>
      <c r="AK220">
        <v>0.318</v>
      </c>
      <c r="AL220">
        <v>-0.40799999999999997</v>
      </c>
      <c r="AM220">
        <v>-0.215</v>
      </c>
      <c r="AN220">
        <v>-0.13900000000000001</v>
      </c>
      <c r="AO220">
        <v>0.72699999999999998</v>
      </c>
      <c r="AP220">
        <v>6.0000000000000001E-3</v>
      </c>
      <c r="AQ220">
        <v>0.73899999999999999</v>
      </c>
      <c r="AR220">
        <v>-0.44500000000000001</v>
      </c>
      <c r="AS220">
        <v>-0.22700000000000001</v>
      </c>
      <c r="AT220">
        <v>-3.4000000000000002E-2</v>
      </c>
      <c r="AU220">
        <v>0.44700000000000001</v>
      </c>
      <c r="AV220">
        <v>-0.46400000000000002</v>
      </c>
      <c r="AW220">
        <v>0.54100000000000004</v>
      </c>
      <c r="AX220">
        <v>-0.34499999999999997</v>
      </c>
      <c r="AY220">
        <v>5.7000000000000002E-2</v>
      </c>
      <c r="AZ220">
        <v>0.53700000000000003</v>
      </c>
      <c r="BA220">
        <v>-0.10100000000000001</v>
      </c>
      <c r="BL220" t="s">
        <v>247</v>
      </c>
      <c r="BM220" t="s">
        <v>299</v>
      </c>
      <c r="BN220" t="s">
        <v>283</v>
      </c>
    </row>
    <row r="221" spans="1:66" x14ac:dyDescent="0.3">
      <c r="A221" t="s">
        <v>206</v>
      </c>
      <c r="B221">
        <v>0.62</v>
      </c>
      <c r="C221">
        <v>0.59499999999999997</v>
      </c>
      <c r="D221" t="s">
        <v>57</v>
      </c>
      <c r="E221">
        <v>0</v>
      </c>
      <c r="F221">
        <v>0</v>
      </c>
      <c r="G221">
        <v>0</v>
      </c>
      <c r="H221">
        <v>-0.51200000000000001</v>
      </c>
      <c r="I221">
        <v>-0.49099999999999999</v>
      </c>
      <c r="J221">
        <v>-0.747</v>
      </c>
      <c r="K221">
        <v>-0.52300000000000002</v>
      </c>
      <c r="L221">
        <v>-0.58299999999999996</v>
      </c>
      <c r="M221">
        <v>-0.48099999999999998</v>
      </c>
      <c r="N221">
        <v>-0.42</v>
      </c>
      <c r="O221">
        <v>-0.628</v>
      </c>
      <c r="P221">
        <v>0.26400000000000001</v>
      </c>
      <c r="Q221">
        <v>0.26300000000000001</v>
      </c>
      <c r="R221">
        <v>0.66500000000000004</v>
      </c>
      <c r="S221">
        <v>0.70699999999999996</v>
      </c>
      <c r="T221">
        <v>0.505</v>
      </c>
      <c r="U221">
        <v>-0.439</v>
      </c>
      <c r="V221">
        <v>0.26600000000000001</v>
      </c>
      <c r="W221">
        <v>-0.22800000000000001</v>
      </c>
      <c r="X221">
        <v>-0.85099999999999998</v>
      </c>
      <c r="Y221">
        <v>-0.91500000000000004</v>
      </c>
      <c r="Z221">
        <v>-0.93600000000000005</v>
      </c>
      <c r="AA221">
        <v>0.109</v>
      </c>
      <c r="AB221">
        <v>-0.60699999999999998</v>
      </c>
      <c r="AC221">
        <v>-0.41799999999999998</v>
      </c>
      <c r="AD221">
        <v>0.35299999999999998</v>
      </c>
      <c r="AE221">
        <v>-0.13300000000000001</v>
      </c>
      <c r="AF221">
        <v>0.28699999999999998</v>
      </c>
      <c r="AG221">
        <v>9.7000000000000003E-2</v>
      </c>
      <c r="AH221">
        <v>5.6000000000000001E-2</v>
      </c>
      <c r="AI221">
        <v>0.5</v>
      </c>
      <c r="AJ221">
        <v>1.4999999999999999E-2</v>
      </c>
      <c r="AK221">
        <v>-2.1999999999999999E-2</v>
      </c>
      <c r="AL221">
        <v>-7.3999999999999996E-2</v>
      </c>
      <c r="AM221">
        <v>6.4000000000000001E-2</v>
      </c>
      <c r="AN221">
        <v>-0.10199999999999999</v>
      </c>
      <c r="AO221">
        <v>3.9E-2</v>
      </c>
      <c r="AP221">
        <v>0.06</v>
      </c>
      <c r="AQ221">
        <v>0.54200000000000004</v>
      </c>
      <c r="AR221">
        <v>-0.308</v>
      </c>
      <c r="AS221">
        <v>2.3E-2</v>
      </c>
      <c r="AT221">
        <v>-6.9000000000000006E-2</v>
      </c>
      <c r="AU221">
        <v>1E-3</v>
      </c>
      <c r="AV221">
        <v>0.155</v>
      </c>
      <c r="AW221">
        <v>0.34799999999999998</v>
      </c>
      <c r="AX221">
        <v>-0.13</v>
      </c>
      <c r="AY221">
        <v>0.34599999999999997</v>
      </c>
      <c r="AZ221">
        <v>0.18</v>
      </c>
      <c r="BA221">
        <v>-0.5</v>
      </c>
      <c r="BL221" t="s">
        <v>206</v>
      </c>
      <c r="BM221" t="s">
        <v>299</v>
      </c>
      <c r="BN221" t="s">
        <v>287</v>
      </c>
    </row>
    <row r="222" spans="1:66" x14ac:dyDescent="0.3">
      <c r="A222" t="s">
        <v>249</v>
      </c>
      <c r="B222">
        <v>0.49</v>
      </c>
      <c r="C222">
        <v>0.34399999999999997</v>
      </c>
      <c r="D222" t="s">
        <v>71</v>
      </c>
      <c r="E222">
        <v>0</v>
      </c>
      <c r="F222">
        <v>0</v>
      </c>
      <c r="G222">
        <v>0</v>
      </c>
      <c r="H222">
        <v>-0.91600000000000004</v>
      </c>
      <c r="I222">
        <v>-0.92200000000000004</v>
      </c>
      <c r="J222">
        <v>-0.90800000000000003</v>
      </c>
      <c r="K222">
        <v>-0.93700000000000006</v>
      </c>
      <c r="L222">
        <v>-0.93799999999999994</v>
      </c>
      <c r="M222">
        <v>-0.94</v>
      </c>
      <c r="N222">
        <v>-0.94399999999999995</v>
      </c>
      <c r="O222">
        <v>-0.92100000000000004</v>
      </c>
      <c r="P222">
        <v>-0.185</v>
      </c>
      <c r="Q222">
        <v>-0.19800000000000001</v>
      </c>
      <c r="R222">
        <v>-0.51300000000000001</v>
      </c>
      <c r="S222">
        <v>-1</v>
      </c>
      <c r="T222">
        <v>-0.10100000000000001</v>
      </c>
      <c r="U222">
        <v>-0.98799999999999999</v>
      </c>
      <c r="V222">
        <v>-1</v>
      </c>
      <c r="W222">
        <v>-0.753</v>
      </c>
      <c r="X222">
        <v>-0.622</v>
      </c>
      <c r="Y222">
        <v>0.151</v>
      </c>
      <c r="Z222">
        <v>-0.62</v>
      </c>
      <c r="AA222">
        <v>-0.54300000000000004</v>
      </c>
      <c r="AB222">
        <v>-0.30299999999999999</v>
      </c>
      <c r="AC222">
        <v>-0.34</v>
      </c>
      <c r="AD222">
        <v>-0.46700000000000003</v>
      </c>
      <c r="AE222">
        <v>0.64600000000000002</v>
      </c>
      <c r="AF222">
        <v>-0.56499999999999995</v>
      </c>
      <c r="AG222">
        <v>-0.65500000000000003</v>
      </c>
      <c r="AH222">
        <v>-0.92100000000000004</v>
      </c>
      <c r="AI222">
        <v>-0.123</v>
      </c>
      <c r="AJ222">
        <v>-0.64200000000000002</v>
      </c>
      <c r="AK222">
        <v>7.0999999999999994E-2</v>
      </c>
      <c r="AL222">
        <v>-0.376</v>
      </c>
      <c r="AM222">
        <v>-0.85699999999999998</v>
      </c>
      <c r="AN222">
        <v>-7.8E-2</v>
      </c>
      <c r="AO222">
        <v>1E-3</v>
      </c>
      <c r="AP222">
        <v>-1</v>
      </c>
      <c r="AQ222">
        <v>0.78600000000000003</v>
      </c>
      <c r="AR222">
        <v>0.314</v>
      </c>
      <c r="AS222">
        <v>0.65400000000000003</v>
      </c>
      <c r="AT222">
        <v>0.54700000000000004</v>
      </c>
      <c r="AU222">
        <v>-1</v>
      </c>
      <c r="AV222">
        <v>-0.48099999999999998</v>
      </c>
      <c r="AW222">
        <v>-1</v>
      </c>
      <c r="AX222">
        <v>0.3</v>
      </c>
      <c r="AY222">
        <v>0.372</v>
      </c>
      <c r="AZ222">
        <v>0.79200000000000004</v>
      </c>
      <c r="BA222">
        <v>0.70399999999999996</v>
      </c>
      <c r="BL222" t="s">
        <v>249</v>
      </c>
      <c r="BM222" t="s">
        <v>284</v>
      </c>
      <c r="BN222" t="s">
        <v>287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D6B5A-2D59-493C-965F-DC6BDF7C28DC}">
  <dimension ref="A1:D215"/>
  <sheetViews>
    <sheetView topLeftCell="A178" workbookViewId="0">
      <selection activeCell="L203" sqref="L203"/>
    </sheetView>
  </sheetViews>
  <sheetFormatPr defaultRowHeight="14.4" x14ac:dyDescent="0.3"/>
  <sheetData>
    <row r="1" spans="1:4" x14ac:dyDescent="0.3">
      <c r="A1" t="s">
        <v>311</v>
      </c>
      <c r="B1" t="s">
        <v>306</v>
      </c>
      <c r="C1" s="28" t="s">
        <v>314</v>
      </c>
      <c r="D1" s="28" t="s">
        <v>315</v>
      </c>
    </row>
    <row r="2" spans="1:4" x14ac:dyDescent="0.3">
      <c r="A2">
        <v>1</v>
      </c>
      <c r="B2" t="s">
        <v>192</v>
      </c>
      <c r="C2">
        <v>0</v>
      </c>
      <c r="D2">
        <v>0</v>
      </c>
    </row>
    <row r="3" spans="1:4" x14ac:dyDescent="0.3">
      <c r="A3">
        <v>2</v>
      </c>
      <c r="B3" t="s">
        <v>72</v>
      </c>
      <c r="C3">
        <v>1.17723240102681E-2</v>
      </c>
      <c r="D3">
        <v>6.6143629294508699E-3</v>
      </c>
    </row>
    <row r="4" spans="1:4" x14ac:dyDescent="0.3">
      <c r="A4">
        <v>3</v>
      </c>
      <c r="B4" t="s">
        <v>98</v>
      </c>
      <c r="C4">
        <v>0</v>
      </c>
      <c r="D4">
        <v>0</v>
      </c>
    </row>
    <row r="5" spans="1:4" x14ac:dyDescent="0.3">
      <c r="A5">
        <v>4</v>
      </c>
      <c r="B5" t="s">
        <v>63</v>
      </c>
      <c r="C5">
        <v>1.002617621347E-2</v>
      </c>
      <c r="D5">
        <v>6.2237229790983702E-3</v>
      </c>
    </row>
    <row r="6" spans="1:4" x14ac:dyDescent="0.3">
      <c r="A6">
        <v>5</v>
      </c>
      <c r="B6" t="s">
        <v>164</v>
      </c>
      <c r="C6">
        <v>0</v>
      </c>
      <c r="D6">
        <v>0</v>
      </c>
    </row>
    <row r="7" spans="1:4" x14ac:dyDescent="0.3">
      <c r="A7">
        <v>6</v>
      </c>
      <c r="B7" t="s">
        <v>264</v>
      </c>
      <c r="C7">
        <v>0</v>
      </c>
      <c r="D7">
        <v>0</v>
      </c>
    </row>
    <row r="8" spans="1:4" x14ac:dyDescent="0.3">
      <c r="A8">
        <v>7</v>
      </c>
      <c r="B8" t="s">
        <v>73</v>
      </c>
      <c r="C8">
        <v>1.3762926282832899E-2</v>
      </c>
      <c r="D8">
        <v>1.1060179214809601E-2</v>
      </c>
    </row>
    <row r="9" spans="1:4" x14ac:dyDescent="0.3">
      <c r="A9">
        <v>8</v>
      </c>
      <c r="B9" t="s">
        <v>265</v>
      </c>
      <c r="C9">
        <v>0</v>
      </c>
      <c r="D9">
        <v>0</v>
      </c>
    </row>
    <row r="10" spans="1:4" x14ac:dyDescent="0.3">
      <c r="A10">
        <v>9</v>
      </c>
      <c r="B10" t="s">
        <v>263</v>
      </c>
      <c r="C10">
        <v>0</v>
      </c>
      <c r="D10">
        <v>0</v>
      </c>
    </row>
    <row r="11" spans="1:4" x14ac:dyDescent="0.3">
      <c r="A11">
        <v>10</v>
      </c>
      <c r="B11" t="s">
        <v>177</v>
      </c>
      <c r="C11">
        <v>0</v>
      </c>
      <c r="D11">
        <v>0</v>
      </c>
    </row>
    <row r="12" spans="1:4" x14ac:dyDescent="0.3">
      <c r="A12">
        <v>11</v>
      </c>
      <c r="B12" t="s">
        <v>159</v>
      </c>
      <c r="C12">
        <v>0</v>
      </c>
      <c r="D12">
        <v>0</v>
      </c>
    </row>
    <row r="13" spans="1:4" x14ac:dyDescent="0.3">
      <c r="A13">
        <v>12</v>
      </c>
      <c r="B13" t="s">
        <v>172</v>
      </c>
      <c r="C13">
        <v>0</v>
      </c>
      <c r="D13">
        <v>0</v>
      </c>
    </row>
    <row r="14" spans="1:4" x14ac:dyDescent="0.3">
      <c r="A14">
        <v>13</v>
      </c>
      <c r="B14" t="s">
        <v>145</v>
      </c>
      <c r="C14">
        <v>9.8346790837545595E-3</v>
      </c>
      <c r="D14">
        <v>7.2699068603040498E-3</v>
      </c>
    </row>
    <row r="15" spans="1:4" x14ac:dyDescent="0.3">
      <c r="A15">
        <v>14</v>
      </c>
      <c r="B15" t="s">
        <v>256</v>
      </c>
      <c r="C15">
        <v>0</v>
      </c>
      <c r="D15">
        <v>0</v>
      </c>
    </row>
    <row r="16" spans="1:4" x14ac:dyDescent="0.3">
      <c r="A16">
        <v>15</v>
      </c>
      <c r="B16" t="s">
        <v>222</v>
      </c>
      <c r="C16">
        <v>0</v>
      </c>
      <c r="D16">
        <v>0</v>
      </c>
    </row>
    <row r="17" spans="1:4" x14ac:dyDescent="0.3">
      <c r="A17">
        <v>16</v>
      </c>
      <c r="B17" t="s">
        <v>253</v>
      </c>
      <c r="C17">
        <v>0</v>
      </c>
      <c r="D17">
        <v>0</v>
      </c>
    </row>
    <row r="18" spans="1:4" x14ac:dyDescent="0.3">
      <c r="A18">
        <v>17</v>
      </c>
      <c r="B18" t="s">
        <v>185</v>
      </c>
      <c r="C18">
        <v>1.6007324056014099E-2</v>
      </c>
      <c r="D18">
        <v>2.46863226530031E-2</v>
      </c>
    </row>
    <row r="19" spans="1:4" x14ac:dyDescent="0.3">
      <c r="A19">
        <v>18</v>
      </c>
      <c r="B19" t="s">
        <v>165</v>
      </c>
      <c r="C19">
        <v>0</v>
      </c>
      <c r="D19">
        <v>0</v>
      </c>
    </row>
    <row r="20" spans="1:4" x14ac:dyDescent="0.3">
      <c r="A20">
        <v>19</v>
      </c>
      <c r="B20" t="s">
        <v>179</v>
      </c>
      <c r="C20">
        <v>0</v>
      </c>
      <c r="D20">
        <v>0</v>
      </c>
    </row>
    <row r="21" spans="1:4" x14ac:dyDescent="0.3">
      <c r="A21">
        <v>20</v>
      </c>
      <c r="B21" t="s">
        <v>204</v>
      </c>
      <c r="C21">
        <v>0</v>
      </c>
      <c r="D21">
        <v>3.6470787498910501E-2</v>
      </c>
    </row>
    <row r="22" spans="1:4" x14ac:dyDescent="0.3">
      <c r="A22">
        <v>21</v>
      </c>
      <c r="B22" t="s">
        <v>194</v>
      </c>
      <c r="C22">
        <v>0</v>
      </c>
      <c r="D22">
        <v>0</v>
      </c>
    </row>
    <row r="23" spans="1:4" x14ac:dyDescent="0.3">
      <c r="A23">
        <v>22</v>
      </c>
      <c r="B23" t="s">
        <v>169</v>
      </c>
      <c r="C23">
        <v>0</v>
      </c>
      <c r="D23">
        <v>0</v>
      </c>
    </row>
    <row r="24" spans="1:4" x14ac:dyDescent="0.3">
      <c r="A24">
        <v>23</v>
      </c>
      <c r="B24" t="s">
        <v>100</v>
      </c>
      <c r="C24">
        <v>1.41175971050346E-2</v>
      </c>
      <c r="D24">
        <v>7.7194534733707604E-3</v>
      </c>
    </row>
    <row r="25" spans="1:4" x14ac:dyDescent="0.3">
      <c r="A25">
        <v>24</v>
      </c>
      <c r="B25" t="s">
        <v>175</v>
      </c>
      <c r="C25">
        <v>0</v>
      </c>
      <c r="D25">
        <v>0</v>
      </c>
    </row>
    <row r="26" spans="1:4" x14ac:dyDescent="0.3">
      <c r="A26">
        <v>25</v>
      </c>
      <c r="B26" t="s">
        <v>193</v>
      </c>
      <c r="C26">
        <v>0</v>
      </c>
      <c r="D26">
        <v>0</v>
      </c>
    </row>
    <row r="27" spans="1:4" x14ac:dyDescent="0.3">
      <c r="A27">
        <v>26</v>
      </c>
      <c r="B27" t="s">
        <v>115</v>
      </c>
      <c r="C27">
        <v>7.9013384755586592E-3</v>
      </c>
      <c r="D27">
        <v>6.7361009204006898E-3</v>
      </c>
    </row>
    <row r="28" spans="1:4" x14ac:dyDescent="0.3">
      <c r="A28">
        <v>27</v>
      </c>
      <c r="B28" t="s">
        <v>259</v>
      </c>
      <c r="C28">
        <v>0</v>
      </c>
      <c r="D28">
        <v>0</v>
      </c>
    </row>
    <row r="29" spans="1:4" x14ac:dyDescent="0.3">
      <c r="A29">
        <v>28</v>
      </c>
      <c r="B29" t="s">
        <v>89</v>
      </c>
      <c r="C29">
        <v>1.27502218799781E-2</v>
      </c>
      <c r="D29">
        <v>0</v>
      </c>
    </row>
    <row r="30" spans="1:4" x14ac:dyDescent="0.3">
      <c r="A30">
        <v>29</v>
      </c>
      <c r="B30" t="s">
        <v>127</v>
      </c>
      <c r="C30">
        <v>1.08848284692117E-2</v>
      </c>
      <c r="D30">
        <v>9.5923515980421998E-3</v>
      </c>
    </row>
    <row r="31" spans="1:4" x14ac:dyDescent="0.3">
      <c r="A31">
        <v>30</v>
      </c>
      <c r="B31" t="s">
        <v>173</v>
      </c>
      <c r="C31">
        <v>0</v>
      </c>
      <c r="D31">
        <v>0</v>
      </c>
    </row>
    <row r="32" spans="1:4" x14ac:dyDescent="0.3">
      <c r="A32">
        <v>31</v>
      </c>
      <c r="B32" t="s">
        <v>241</v>
      </c>
      <c r="C32">
        <v>0</v>
      </c>
      <c r="D32">
        <v>0</v>
      </c>
    </row>
    <row r="33" spans="1:4" x14ac:dyDescent="0.3">
      <c r="A33">
        <v>32</v>
      </c>
      <c r="B33" t="s">
        <v>123</v>
      </c>
      <c r="C33">
        <v>2.4317677161429199E-2</v>
      </c>
      <c r="D33">
        <v>2.1978560176592801E-2</v>
      </c>
    </row>
    <row r="34" spans="1:4" x14ac:dyDescent="0.3">
      <c r="A34">
        <v>33</v>
      </c>
      <c r="B34" t="s">
        <v>102</v>
      </c>
      <c r="C34">
        <v>0</v>
      </c>
      <c r="D34">
        <v>0</v>
      </c>
    </row>
    <row r="35" spans="1:4" x14ac:dyDescent="0.3">
      <c r="A35">
        <v>34</v>
      </c>
      <c r="B35" t="s">
        <v>144</v>
      </c>
      <c r="C35">
        <v>0</v>
      </c>
      <c r="D35">
        <v>1.15547892302785E-2</v>
      </c>
    </row>
    <row r="36" spans="1:4" x14ac:dyDescent="0.3">
      <c r="A36">
        <v>35</v>
      </c>
      <c r="B36" t="s">
        <v>153</v>
      </c>
      <c r="C36">
        <v>0</v>
      </c>
      <c r="D36">
        <v>0</v>
      </c>
    </row>
    <row r="37" spans="1:4" x14ac:dyDescent="0.3">
      <c r="A37">
        <v>36</v>
      </c>
      <c r="B37" t="s">
        <v>64</v>
      </c>
      <c r="C37">
        <v>1.28478227635159E-2</v>
      </c>
      <c r="D37">
        <v>7.9549625554925004E-3</v>
      </c>
    </row>
    <row r="38" spans="1:4" x14ac:dyDescent="0.3">
      <c r="A38">
        <v>37</v>
      </c>
      <c r="B38" t="s">
        <v>56</v>
      </c>
      <c r="C38">
        <v>1.3222208721158301E-2</v>
      </c>
      <c r="D38">
        <v>7.8670833373366608E-3</v>
      </c>
    </row>
    <row r="39" spans="1:4" x14ac:dyDescent="0.3">
      <c r="A39">
        <v>38</v>
      </c>
      <c r="B39" t="s">
        <v>62</v>
      </c>
      <c r="C39">
        <v>1.1634275557374099E-2</v>
      </c>
      <c r="D39">
        <v>7.9996633693010608E-3</v>
      </c>
    </row>
    <row r="40" spans="1:4" x14ac:dyDescent="0.3">
      <c r="A40">
        <v>39</v>
      </c>
      <c r="B40" t="s">
        <v>117</v>
      </c>
      <c r="C40">
        <v>0</v>
      </c>
      <c r="D40">
        <v>8.7175900976511605E-3</v>
      </c>
    </row>
    <row r="41" spans="1:4" x14ac:dyDescent="0.3">
      <c r="A41">
        <v>40</v>
      </c>
      <c r="B41" t="s">
        <v>70</v>
      </c>
      <c r="C41">
        <v>8.0862230306618897E-3</v>
      </c>
      <c r="D41">
        <v>0</v>
      </c>
    </row>
    <row r="42" spans="1:4" x14ac:dyDescent="0.3">
      <c r="A42">
        <v>41</v>
      </c>
      <c r="B42" t="s">
        <v>82</v>
      </c>
      <c r="C42">
        <v>7.2319136123822399E-3</v>
      </c>
      <c r="D42">
        <v>0</v>
      </c>
    </row>
    <row r="43" spans="1:4" x14ac:dyDescent="0.3">
      <c r="A43">
        <v>42</v>
      </c>
      <c r="B43" t="s">
        <v>200</v>
      </c>
      <c r="C43">
        <v>0</v>
      </c>
      <c r="D43">
        <v>0</v>
      </c>
    </row>
    <row r="44" spans="1:4" x14ac:dyDescent="0.3">
      <c r="A44">
        <v>43</v>
      </c>
      <c r="B44" t="s">
        <v>110</v>
      </c>
      <c r="C44">
        <v>7.1385199714608097E-3</v>
      </c>
      <c r="D44">
        <v>8.7436516854604903E-3</v>
      </c>
    </row>
    <row r="45" spans="1:4" x14ac:dyDescent="0.3">
      <c r="A45">
        <v>44</v>
      </c>
      <c r="B45" t="s">
        <v>135</v>
      </c>
      <c r="C45">
        <v>0</v>
      </c>
      <c r="D45">
        <v>3.5143369458620302E-2</v>
      </c>
    </row>
    <row r="46" spans="1:4" x14ac:dyDescent="0.3">
      <c r="A46">
        <v>45</v>
      </c>
      <c r="B46" t="s">
        <v>112</v>
      </c>
      <c r="C46">
        <v>0</v>
      </c>
      <c r="D46">
        <v>1.3473572330424399E-2</v>
      </c>
    </row>
    <row r="47" spans="1:4" x14ac:dyDescent="0.3">
      <c r="A47">
        <v>46</v>
      </c>
      <c r="B47" t="s">
        <v>156</v>
      </c>
      <c r="C47">
        <v>0</v>
      </c>
      <c r="D47">
        <v>6.7889261017899799E-3</v>
      </c>
    </row>
    <row r="48" spans="1:4" x14ac:dyDescent="0.3">
      <c r="A48">
        <v>47</v>
      </c>
      <c r="B48" t="s">
        <v>246</v>
      </c>
      <c r="C48">
        <v>0</v>
      </c>
      <c r="D48">
        <v>0</v>
      </c>
    </row>
    <row r="49" spans="1:4" x14ac:dyDescent="0.3">
      <c r="A49">
        <v>48</v>
      </c>
      <c r="B49" t="s">
        <v>58</v>
      </c>
      <c r="C49">
        <v>1.3552611764238101E-2</v>
      </c>
      <c r="D49">
        <v>8.8452433075354008E-3</v>
      </c>
    </row>
    <row r="50" spans="1:4" x14ac:dyDescent="0.3">
      <c r="A50">
        <v>49</v>
      </c>
      <c r="B50" t="s">
        <v>207</v>
      </c>
      <c r="C50">
        <v>0</v>
      </c>
      <c r="D50">
        <v>0</v>
      </c>
    </row>
    <row r="51" spans="1:4" x14ac:dyDescent="0.3">
      <c r="A51">
        <v>50</v>
      </c>
      <c r="B51" t="s">
        <v>220</v>
      </c>
      <c r="C51">
        <v>0</v>
      </c>
      <c r="D51">
        <v>0</v>
      </c>
    </row>
    <row r="52" spans="1:4" x14ac:dyDescent="0.3">
      <c r="A52">
        <v>51</v>
      </c>
      <c r="B52" t="s">
        <v>217</v>
      </c>
      <c r="C52">
        <v>0</v>
      </c>
      <c r="D52">
        <v>0</v>
      </c>
    </row>
    <row r="53" spans="1:4" x14ac:dyDescent="0.3">
      <c r="A53">
        <v>52</v>
      </c>
      <c r="B53" t="s">
        <v>254</v>
      </c>
      <c r="C53">
        <v>0</v>
      </c>
      <c r="D53">
        <v>0</v>
      </c>
    </row>
    <row r="54" spans="1:4" x14ac:dyDescent="0.3">
      <c r="A54">
        <v>53</v>
      </c>
      <c r="B54" t="s">
        <v>155</v>
      </c>
      <c r="C54">
        <v>0</v>
      </c>
      <c r="D54">
        <v>0</v>
      </c>
    </row>
    <row r="55" spans="1:4" x14ac:dyDescent="0.3">
      <c r="A55">
        <v>54</v>
      </c>
      <c r="B55" t="s">
        <v>213</v>
      </c>
      <c r="C55">
        <v>0</v>
      </c>
      <c r="D55">
        <v>0</v>
      </c>
    </row>
    <row r="56" spans="1:4" x14ac:dyDescent="0.3">
      <c r="A56">
        <v>55</v>
      </c>
      <c r="B56" t="s">
        <v>218</v>
      </c>
      <c r="C56">
        <v>0</v>
      </c>
      <c r="D56">
        <v>0</v>
      </c>
    </row>
    <row r="57" spans="1:4" x14ac:dyDescent="0.3">
      <c r="A57">
        <v>56</v>
      </c>
      <c r="B57" t="s">
        <v>80</v>
      </c>
      <c r="C57">
        <v>1.0264781911688701E-2</v>
      </c>
      <c r="D57">
        <v>9.7176257393080008E-3</v>
      </c>
    </row>
    <row r="58" spans="1:4" x14ac:dyDescent="0.3">
      <c r="A58">
        <v>57</v>
      </c>
      <c r="B58" t="s">
        <v>191</v>
      </c>
      <c r="C58">
        <v>0</v>
      </c>
      <c r="D58">
        <v>0</v>
      </c>
    </row>
    <row r="59" spans="1:4" x14ac:dyDescent="0.3">
      <c r="A59">
        <v>58</v>
      </c>
      <c r="B59" t="s">
        <v>181</v>
      </c>
      <c r="C59">
        <v>0</v>
      </c>
      <c r="D59">
        <v>0</v>
      </c>
    </row>
    <row r="60" spans="1:4" x14ac:dyDescent="0.3">
      <c r="A60">
        <v>59</v>
      </c>
      <c r="B60" t="s">
        <v>103</v>
      </c>
      <c r="C60">
        <v>1.1152737499476701E-2</v>
      </c>
      <c r="D60">
        <v>6.3914333904291796E-3</v>
      </c>
    </row>
    <row r="61" spans="1:4" x14ac:dyDescent="0.3">
      <c r="A61">
        <v>60</v>
      </c>
      <c r="B61" t="s">
        <v>108</v>
      </c>
      <c r="C61">
        <v>6.6627778875297597E-3</v>
      </c>
      <c r="D61">
        <v>7.9140861822037094E-3</v>
      </c>
    </row>
    <row r="62" spans="1:4" x14ac:dyDescent="0.3">
      <c r="A62">
        <v>61</v>
      </c>
      <c r="B62" t="s">
        <v>104</v>
      </c>
      <c r="C62">
        <v>6.5779814597503204E-3</v>
      </c>
      <c r="D62">
        <v>8.2604486140125197E-3</v>
      </c>
    </row>
    <row r="63" spans="1:4" x14ac:dyDescent="0.3">
      <c r="A63">
        <v>62</v>
      </c>
      <c r="B63" t="s">
        <v>124</v>
      </c>
      <c r="C63">
        <v>0</v>
      </c>
      <c r="D63">
        <v>1.1237760521915399E-2</v>
      </c>
    </row>
    <row r="64" spans="1:4" x14ac:dyDescent="0.3">
      <c r="A64">
        <v>63</v>
      </c>
      <c r="B64" t="s">
        <v>142</v>
      </c>
      <c r="C64">
        <v>0</v>
      </c>
      <c r="D64">
        <v>0</v>
      </c>
    </row>
    <row r="65" spans="1:4" x14ac:dyDescent="0.3">
      <c r="A65">
        <v>64</v>
      </c>
      <c r="B65" t="s">
        <v>74</v>
      </c>
      <c r="C65">
        <v>1.3012017133573099E-2</v>
      </c>
      <c r="D65">
        <v>8.9002949436328607E-3</v>
      </c>
    </row>
    <row r="66" spans="1:4" x14ac:dyDescent="0.3">
      <c r="A66">
        <v>65</v>
      </c>
      <c r="B66" t="s">
        <v>106</v>
      </c>
      <c r="C66">
        <v>8.3264803160235205E-3</v>
      </c>
      <c r="D66">
        <v>0</v>
      </c>
    </row>
    <row r="67" spans="1:4" x14ac:dyDescent="0.3">
      <c r="A67">
        <v>66</v>
      </c>
      <c r="B67" t="s">
        <v>229</v>
      </c>
      <c r="C67">
        <v>0</v>
      </c>
      <c r="D67">
        <v>0</v>
      </c>
    </row>
    <row r="68" spans="1:4" x14ac:dyDescent="0.3">
      <c r="A68">
        <v>67</v>
      </c>
      <c r="B68" t="s">
        <v>99</v>
      </c>
      <c r="C68">
        <v>1.05990586303416E-2</v>
      </c>
      <c r="D68">
        <v>0</v>
      </c>
    </row>
    <row r="69" spans="1:4" x14ac:dyDescent="0.3">
      <c r="A69">
        <v>68</v>
      </c>
      <c r="B69" t="s">
        <v>161</v>
      </c>
      <c r="C69">
        <v>0</v>
      </c>
      <c r="D69">
        <v>0</v>
      </c>
    </row>
    <row r="70" spans="1:4" x14ac:dyDescent="0.3">
      <c r="A70">
        <v>69</v>
      </c>
      <c r="B70" t="s">
        <v>162</v>
      </c>
      <c r="C70">
        <v>0</v>
      </c>
      <c r="D70">
        <v>0</v>
      </c>
    </row>
    <row r="71" spans="1:4" x14ac:dyDescent="0.3">
      <c r="A71">
        <v>70</v>
      </c>
      <c r="B71" t="s">
        <v>171</v>
      </c>
      <c r="C71">
        <v>0</v>
      </c>
      <c r="D71">
        <v>0</v>
      </c>
    </row>
    <row r="72" spans="1:4" x14ac:dyDescent="0.3">
      <c r="A72">
        <v>71</v>
      </c>
      <c r="B72" t="s">
        <v>84</v>
      </c>
      <c r="C72">
        <v>8.8460815687471106E-3</v>
      </c>
      <c r="D72">
        <v>1.12224185713198E-2</v>
      </c>
    </row>
    <row r="73" spans="1:4" x14ac:dyDescent="0.3">
      <c r="A73">
        <v>72</v>
      </c>
      <c r="B73" t="s">
        <v>91</v>
      </c>
      <c r="C73">
        <v>1.46965161702187E-2</v>
      </c>
      <c r="D73">
        <v>1.12224185713198E-2</v>
      </c>
    </row>
    <row r="74" spans="1:4" x14ac:dyDescent="0.3">
      <c r="A74">
        <v>73</v>
      </c>
      <c r="B74" t="s">
        <v>158</v>
      </c>
      <c r="C74">
        <v>0</v>
      </c>
      <c r="D74">
        <v>0</v>
      </c>
    </row>
    <row r="75" spans="1:4" x14ac:dyDescent="0.3">
      <c r="A75">
        <v>74</v>
      </c>
      <c r="B75" t="s">
        <v>119</v>
      </c>
      <c r="C75">
        <v>0</v>
      </c>
      <c r="D75">
        <v>0</v>
      </c>
    </row>
    <row r="76" spans="1:4" x14ac:dyDescent="0.3">
      <c r="A76">
        <v>75</v>
      </c>
      <c r="B76" t="s">
        <v>140</v>
      </c>
      <c r="C76">
        <v>0</v>
      </c>
      <c r="D76">
        <v>0</v>
      </c>
    </row>
    <row r="77" spans="1:4" x14ac:dyDescent="0.3">
      <c r="A77">
        <v>76</v>
      </c>
      <c r="B77" t="s">
        <v>78</v>
      </c>
      <c r="C77">
        <v>0</v>
      </c>
      <c r="D77">
        <v>0</v>
      </c>
    </row>
    <row r="78" spans="1:4" x14ac:dyDescent="0.3">
      <c r="A78">
        <v>77</v>
      </c>
      <c r="B78" t="s">
        <v>129</v>
      </c>
      <c r="C78">
        <v>0</v>
      </c>
      <c r="D78">
        <v>0</v>
      </c>
    </row>
    <row r="79" spans="1:4" x14ac:dyDescent="0.3">
      <c r="A79">
        <v>78</v>
      </c>
      <c r="B79" t="s">
        <v>248</v>
      </c>
      <c r="C79">
        <v>0</v>
      </c>
      <c r="D79">
        <v>0</v>
      </c>
    </row>
    <row r="80" spans="1:4" x14ac:dyDescent="0.3">
      <c r="A80">
        <v>79</v>
      </c>
      <c r="B80" t="s">
        <v>225</v>
      </c>
      <c r="C80">
        <v>0</v>
      </c>
      <c r="D80">
        <v>0</v>
      </c>
    </row>
    <row r="81" spans="1:4" x14ac:dyDescent="0.3">
      <c r="A81">
        <v>80</v>
      </c>
      <c r="B81" t="s">
        <v>97</v>
      </c>
      <c r="C81">
        <v>1.20214684847512E-2</v>
      </c>
      <c r="D81">
        <v>7.4109280908588098E-3</v>
      </c>
    </row>
    <row r="82" spans="1:4" x14ac:dyDescent="0.3">
      <c r="A82">
        <v>81</v>
      </c>
      <c r="B82" t="s">
        <v>125</v>
      </c>
      <c r="C82">
        <v>0</v>
      </c>
      <c r="D82">
        <v>0</v>
      </c>
    </row>
    <row r="83" spans="1:4" x14ac:dyDescent="0.3">
      <c r="A83">
        <v>82</v>
      </c>
      <c r="B83" t="s">
        <v>244</v>
      </c>
      <c r="C83">
        <v>0</v>
      </c>
      <c r="D83">
        <v>0</v>
      </c>
    </row>
    <row r="84" spans="1:4" x14ac:dyDescent="0.3">
      <c r="A84">
        <v>83</v>
      </c>
      <c r="B84" t="s">
        <v>141</v>
      </c>
      <c r="C84">
        <v>0</v>
      </c>
      <c r="D84">
        <v>0</v>
      </c>
    </row>
    <row r="85" spans="1:4" x14ac:dyDescent="0.3">
      <c r="A85">
        <v>84</v>
      </c>
      <c r="B85" t="s">
        <v>66</v>
      </c>
      <c r="C85">
        <v>1.4680455299235199E-2</v>
      </c>
      <c r="D85">
        <v>7.4194024038451902E-3</v>
      </c>
    </row>
    <row r="86" spans="1:4" x14ac:dyDescent="0.3">
      <c r="A86">
        <v>85</v>
      </c>
      <c r="B86" t="s">
        <v>118</v>
      </c>
      <c r="C86">
        <v>8.0792796088986502E-3</v>
      </c>
      <c r="D86">
        <v>6.4597299480142001E-3</v>
      </c>
    </row>
    <row r="87" spans="1:4" x14ac:dyDescent="0.3">
      <c r="A87">
        <v>86</v>
      </c>
      <c r="B87" t="s">
        <v>236</v>
      </c>
      <c r="C87">
        <v>0</v>
      </c>
      <c r="D87">
        <v>0</v>
      </c>
    </row>
    <row r="88" spans="1:4" x14ac:dyDescent="0.3">
      <c r="A88">
        <v>87</v>
      </c>
      <c r="B88" t="s">
        <v>76</v>
      </c>
      <c r="C88">
        <v>1.00410285671886E-2</v>
      </c>
      <c r="D88">
        <v>0</v>
      </c>
    </row>
    <row r="89" spans="1:4" x14ac:dyDescent="0.3">
      <c r="A89">
        <v>88</v>
      </c>
      <c r="B89" t="s">
        <v>152</v>
      </c>
      <c r="C89">
        <v>0</v>
      </c>
      <c r="D89">
        <v>6.1114966348128699E-3</v>
      </c>
    </row>
    <row r="90" spans="1:4" x14ac:dyDescent="0.3">
      <c r="A90">
        <v>89</v>
      </c>
      <c r="B90" t="s">
        <v>226</v>
      </c>
      <c r="C90">
        <v>0</v>
      </c>
      <c r="D90">
        <v>0</v>
      </c>
    </row>
    <row r="91" spans="1:4" x14ac:dyDescent="0.3">
      <c r="A91">
        <v>90</v>
      </c>
      <c r="B91" t="s">
        <v>151</v>
      </c>
      <c r="C91">
        <v>6.7526103153495503E-3</v>
      </c>
      <c r="D91">
        <v>0</v>
      </c>
    </row>
    <row r="92" spans="1:4" x14ac:dyDescent="0.3">
      <c r="A92">
        <v>91</v>
      </c>
      <c r="B92" t="s">
        <v>203</v>
      </c>
      <c r="C92">
        <v>0</v>
      </c>
      <c r="D92">
        <v>0</v>
      </c>
    </row>
    <row r="93" spans="1:4" x14ac:dyDescent="0.3">
      <c r="A93">
        <v>92</v>
      </c>
      <c r="B93" t="s">
        <v>114</v>
      </c>
      <c r="C93">
        <v>9.3783751061084393E-3</v>
      </c>
      <c r="D93">
        <v>6.4669248852750796E-3</v>
      </c>
    </row>
    <row r="94" spans="1:4" x14ac:dyDescent="0.3">
      <c r="A94">
        <v>93</v>
      </c>
      <c r="B94" t="s">
        <v>184</v>
      </c>
      <c r="C94">
        <v>0</v>
      </c>
      <c r="D94">
        <v>0</v>
      </c>
    </row>
    <row r="95" spans="1:4" x14ac:dyDescent="0.3">
      <c r="A95">
        <v>94</v>
      </c>
      <c r="B95" t="s">
        <v>143</v>
      </c>
      <c r="C95">
        <v>0</v>
      </c>
      <c r="D95">
        <v>0</v>
      </c>
    </row>
    <row r="96" spans="1:4" x14ac:dyDescent="0.3">
      <c r="A96">
        <v>95</v>
      </c>
      <c r="B96" t="s">
        <v>163</v>
      </c>
      <c r="C96">
        <v>0</v>
      </c>
      <c r="D96">
        <v>0</v>
      </c>
    </row>
    <row r="97" spans="1:4" x14ac:dyDescent="0.3">
      <c r="A97">
        <v>96</v>
      </c>
      <c r="B97" t="s">
        <v>105</v>
      </c>
      <c r="C97">
        <v>0</v>
      </c>
      <c r="D97">
        <v>0</v>
      </c>
    </row>
    <row r="98" spans="1:4" x14ac:dyDescent="0.3">
      <c r="A98">
        <v>97</v>
      </c>
      <c r="B98" t="s">
        <v>240</v>
      </c>
      <c r="C98">
        <v>0</v>
      </c>
      <c r="D98">
        <v>0</v>
      </c>
    </row>
    <row r="99" spans="1:4" x14ac:dyDescent="0.3">
      <c r="A99">
        <v>98</v>
      </c>
      <c r="B99" t="s">
        <v>232</v>
      </c>
      <c r="C99">
        <v>6.8908392114838098E-3</v>
      </c>
      <c r="D99">
        <v>0</v>
      </c>
    </row>
    <row r="100" spans="1:4" x14ac:dyDescent="0.3">
      <c r="A100">
        <v>99</v>
      </c>
      <c r="B100" t="s">
        <v>93</v>
      </c>
      <c r="C100">
        <v>1.8441013838119202E-2</v>
      </c>
      <c r="D100">
        <v>1.3361494887495899E-2</v>
      </c>
    </row>
    <row r="101" spans="1:4" x14ac:dyDescent="0.3">
      <c r="A101">
        <v>100</v>
      </c>
      <c r="B101" t="s">
        <v>157</v>
      </c>
      <c r="C101">
        <v>0</v>
      </c>
      <c r="D101">
        <v>0</v>
      </c>
    </row>
    <row r="102" spans="1:4" x14ac:dyDescent="0.3">
      <c r="A102">
        <v>101</v>
      </c>
      <c r="B102" t="s">
        <v>149</v>
      </c>
      <c r="C102">
        <v>0</v>
      </c>
      <c r="D102">
        <v>0</v>
      </c>
    </row>
    <row r="103" spans="1:4" x14ac:dyDescent="0.3">
      <c r="A103">
        <v>102</v>
      </c>
      <c r="B103" t="s">
        <v>132</v>
      </c>
      <c r="C103">
        <v>0</v>
      </c>
      <c r="D103">
        <v>0</v>
      </c>
    </row>
    <row r="104" spans="1:4" x14ac:dyDescent="0.3">
      <c r="A104">
        <v>103</v>
      </c>
      <c r="B104" t="s">
        <v>211</v>
      </c>
      <c r="C104">
        <v>0</v>
      </c>
      <c r="D104">
        <v>0</v>
      </c>
    </row>
    <row r="105" spans="1:4" x14ac:dyDescent="0.3">
      <c r="A105">
        <v>104</v>
      </c>
      <c r="B105" t="s">
        <v>202</v>
      </c>
      <c r="C105">
        <v>0</v>
      </c>
      <c r="D105">
        <v>0</v>
      </c>
    </row>
    <row r="106" spans="1:4" x14ac:dyDescent="0.3">
      <c r="A106">
        <v>105</v>
      </c>
      <c r="B106" t="s">
        <v>95</v>
      </c>
      <c r="C106">
        <v>1.5053042118270601E-2</v>
      </c>
      <c r="D106">
        <v>1.5198090750551001E-2</v>
      </c>
    </row>
    <row r="107" spans="1:4" x14ac:dyDescent="0.3">
      <c r="A107">
        <v>106</v>
      </c>
      <c r="B107" t="s">
        <v>137</v>
      </c>
      <c r="C107">
        <v>7.7744705893352997E-3</v>
      </c>
      <c r="D107">
        <v>0</v>
      </c>
    </row>
    <row r="108" spans="1:4" x14ac:dyDescent="0.3">
      <c r="A108">
        <v>107</v>
      </c>
      <c r="B108" t="s">
        <v>196</v>
      </c>
      <c r="C108">
        <v>0</v>
      </c>
      <c r="D108">
        <v>7.9979717918270393E-3</v>
      </c>
    </row>
    <row r="109" spans="1:4" x14ac:dyDescent="0.3">
      <c r="A109">
        <v>108</v>
      </c>
      <c r="B109" t="s">
        <v>83</v>
      </c>
      <c r="C109">
        <v>4.2916866036267098E-2</v>
      </c>
      <c r="D109">
        <v>3.4187506051222102E-2</v>
      </c>
    </row>
    <row r="110" spans="1:4" x14ac:dyDescent="0.3">
      <c r="A110">
        <v>109</v>
      </c>
      <c r="B110" t="s">
        <v>87</v>
      </c>
      <c r="C110">
        <v>1.1321078095991401E-2</v>
      </c>
      <c r="D110">
        <v>6.0706506352526304E-3</v>
      </c>
    </row>
    <row r="111" spans="1:4" x14ac:dyDescent="0.3">
      <c r="A111">
        <v>110</v>
      </c>
      <c r="B111" t="s">
        <v>198</v>
      </c>
      <c r="C111">
        <v>0</v>
      </c>
      <c r="D111">
        <v>0</v>
      </c>
    </row>
    <row r="112" spans="1:4" x14ac:dyDescent="0.3">
      <c r="A112">
        <v>111</v>
      </c>
      <c r="B112" t="s">
        <v>52</v>
      </c>
      <c r="C112">
        <v>1.46965161702187E-2</v>
      </c>
      <c r="D112">
        <v>1.05286394974092E-2</v>
      </c>
    </row>
    <row r="113" spans="1:4" x14ac:dyDescent="0.3">
      <c r="A113">
        <v>112</v>
      </c>
      <c r="B113" t="s">
        <v>107</v>
      </c>
      <c r="C113">
        <v>0</v>
      </c>
      <c r="D113">
        <v>1.20161548263553E-2</v>
      </c>
    </row>
    <row r="114" spans="1:4" x14ac:dyDescent="0.3">
      <c r="A114">
        <v>113</v>
      </c>
      <c r="B114" t="s">
        <v>208</v>
      </c>
      <c r="C114">
        <v>0</v>
      </c>
      <c r="D114">
        <v>0</v>
      </c>
    </row>
    <row r="115" spans="1:4" x14ac:dyDescent="0.3">
      <c r="A115">
        <v>114</v>
      </c>
      <c r="B115" t="s">
        <v>266</v>
      </c>
      <c r="C115">
        <v>0</v>
      </c>
      <c r="D115">
        <v>0</v>
      </c>
    </row>
    <row r="116" spans="1:4" x14ac:dyDescent="0.3">
      <c r="A116">
        <v>115</v>
      </c>
      <c r="B116" t="s">
        <v>214</v>
      </c>
      <c r="C116">
        <v>0</v>
      </c>
      <c r="D116">
        <v>0</v>
      </c>
    </row>
    <row r="117" spans="1:4" x14ac:dyDescent="0.3">
      <c r="A117">
        <v>116</v>
      </c>
      <c r="B117" t="s">
        <v>111</v>
      </c>
      <c r="C117">
        <v>7.3960677069385399E-3</v>
      </c>
      <c r="D117">
        <v>0</v>
      </c>
    </row>
    <row r="118" spans="1:4" x14ac:dyDescent="0.3">
      <c r="A118">
        <v>117</v>
      </c>
      <c r="B118" t="s">
        <v>223</v>
      </c>
      <c r="C118">
        <v>0</v>
      </c>
      <c r="D118">
        <v>0</v>
      </c>
    </row>
    <row r="119" spans="1:4" x14ac:dyDescent="0.3">
      <c r="A119">
        <v>118</v>
      </c>
      <c r="B119" t="s">
        <v>221</v>
      </c>
      <c r="C119">
        <v>0</v>
      </c>
      <c r="D119">
        <v>0</v>
      </c>
    </row>
    <row r="120" spans="1:4" x14ac:dyDescent="0.3">
      <c r="A120">
        <v>119</v>
      </c>
      <c r="B120" t="s">
        <v>205</v>
      </c>
      <c r="C120">
        <v>0</v>
      </c>
      <c r="D120">
        <v>2.2799719561755999E-2</v>
      </c>
    </row>
    <row r="121" spans="1:4" x14ac:dyDescent="0.3">
      <c r="A121">
        <v>120</v>
      </c>
      <c r="B121" t="s">
        <v>88</v>
      </c>
      <c r="C121">
        <v>0</v>
      </c>
      <c r="D121">
        <v>0</v>
      </c>
    </row>
    <row r="122" spans="1:4" x14ac:dyDescent="0.3">
      <c r="A122">
        <v>121</v>
      </c>
      <c r="B122" t="s">
        <v>243</v>
      </c>
      <c r="C122">
        <v>0</v>
      </c>
      <c r="D122">
        <v>0</v>
      </c>
    </row>
    <row r="123" spans="1:4" x14ac:dyDescent="0.3">
      <c r="A123">
        <v>122</v>
      </c>
      <c r="B123" t="s">
        <v>210</v>
      </c>
      <c r="C123">
        <v>0</v>
      </c>
      <c r="D123">
        <v>3.7833716586561698E-2</v>
      </c>
    </row>
    <row r="124" spans="1:4" x14ac:dyDescent="0.3">
      <c r="A124">
        <v>123</v>
      </c>
      <c r="B124" t="s">
        <v>188</v>
      </c>
      <c r="C124">
        <v>1.31072656069666E-2</v>
      </c>
      <c r="D124">
        <v>1.7684943207392199E-2</v>
      </c>
    </row>
    <row r="125" spans="1:4" x14ac:dyDescent="0.3">
      <c r="A125">
        <v>124</v>
      </c>
      <c r="B125" t="s">
        <v>209</v>
      </c>
      <c r="C125">
        <v>0</v>
      </c>
      <c r="D125">
        <v>2.40869617446175E-2</v>
      </c>
    </row>
    <row r="126" spans="1:4" x14ac:dyDescent="0.3">
      <c r="A126">
        <v>125</v>
      </c>
      <c r="B126" t="s">
        <v>166</v>
      </c>
      <c r="C126">
        <v>0</v>
      </c>
      <c r="D126">
        <v>7.6416264006607497E-3</v>
      </c>
    </row>
    <row r="127" spans="1:4" x14ac:dyDescent="0.3">
      <c r="A127">
        <v>126</v>
      </c>
      <c r="B127" t="s">
        <v>154</v>
      </c>
      <c r="C127">
        <v>1.43655012455521E-2</v>
      </c>
      <c r="D127">
        <v>1.96624261185161E-2</v>
      </c>
    </row>
    <row r="128" spans="1:4" x14ac:dyDescent="0.3">
      <c r="A128">
        <v>127</v>
      </c>
      <c r="B128" t="s">
        <v>69</v>
      </c>
      <c r="C128">
        <v>1.46965161702187E-2</v>
      </c>
      <c r="D128">
        <v>1.12224185713198E-2</v>
      </c>
    </row>
    <row r="129" spans="1:4" x14ac:dyDescent="0.3">
      <c r="A129">
        <v>128</v>
      </c>
      <c r="B129" t="s">
        <v>150</v>
      </c>
      <c r="C129">
        <v>0</v>
      </c>
      <c r="D129">
        <v>0</v>
      </c>
    </row>
    <row r="130" spans="1:4" x14ac:dyDescent="0.3">
      <c r="A130">
        <v>129</v>
      </c>
      <c r="B130" t="s">
        <v>170</v>
      </c>
      <c r="C130">
        <v>0</v>
      </c>
      <c r="D130">
        <v>0</v>
      </c>
    </row>
    <row r="131" spans="1:4" x14ac:dyDescent="0.3">
      <c r="A131">
        <v>130</v>
      </c>
      <c r="B131" t="s">
        <v>257</v>
      </c>
      <c r="C131">
        <v>0</v>
      </c>
      <c r="D131">
        <v>0</v>
      </c>
    </row>
    <row r="132" spans="1:4" x14ac:dyDescent="0.3">
      <c r="A132">
        <v>131</v>
      </c>
      <c r="B132" t="s">
        <v>235</v>
      </c>
      <c r="C132">
        <v>0</v>
      </c>
      <c r="D132">
        <v>0</v>
      </c>
    </row>
    <row r="133" spans="1:4" x14ac:dyDescent="0.3">
      <c r="A133">
        <v>132</v>
      </c>
      <c r="B133" t="s">
        <v>197</v>
      </c>
      <c r="C133">
        <v>0</v>
      </c>
      <c r="D133">
        <v>0</v>
      </c>
    </row>
    <row r="134" spans="1:4" x14ac:dyDescent="0.3">
      <c r="A134">
        <v>133</v>
      </c>
      <c r="B134" t="s">
        <v>176</v>
      </c>
      <c r="C134">
        <v>0</v>
      </c>
      <c r="D134">
        <v>0</v>
      </c>
    </row>
    <row r="135" spans="1:4" x14ac:dyDescent="0.3">
      <c r="A135">
        <v>134</v>
      </c>
      <c r="B135" t="s">
        <v>86</v>
      </c>
      <c r="C135">
        <v>1.38697468515052E-2</v>
      </c>
      <c r="D135">
        <v>1.0241009279439901E-2</v>
      </c>
    </row>
    <row r="136" spans="1:4" x14ac:dyDescent="0.3">
      <c r="A136">
        <v>135</v>
      </c>
      <c r="B136" t="s">
        <v>250</v>
      </c>
      <c r="C136">
        <v>0</v>
      </c>
      <c r="D136">
        <v>0</v>
      </c>
    </row>
    <row r="137" spans="1:4" x14ac:dyDescent="0.3">
      <c r="A137">
        <v>136</v>
      </c>
      <c r="B137" t="s">
        <v>81</v>
      </c>
      <c r="C137">
        <v>2.9194606706619001E-2</v>
      </c>
      <c r="D137">
        <v>1.89200059108698E-2</v>
      </c>
    </row>
    <row r="138" spans="1:4" x14ac:dyDescent="0.3">
      <c r="A138">
        <v>137</v>
      </c>
      <c r="B138" t="s">
        <v>251</v>
      </c>
      <c r="C138">
        <v>0</v>
      </c>
      <c r="D138">
        <v>0</v>
      </c>
    </row>
    <row r="139" spans="1:4" x14ac:dyDescent="0.3">
      <c r="A139">
        <v>138</v>
      </c>
      <c r="B139" t="s">
        <v>245</v>
      </c>
      <c r="C139">
        <v>0</v>
      </c>
      <c r="D139">
        <v>0</v>
      </c>
    </row>
    <row r="140" spans="1:4" x14ac:dyDescent="0.3">
      <c r="A140">
        <v>139</v>
      </c>
      <c r="B140" t="s">
        <v>258</v>
      </c>
      <c r="C140">
        <v>0</v>
      </c>
      <c r="D140">
        <v>0</v>
      </c>
    </row>
    <row r="141" spans="1:4" x14ac:dyDescent="0.3">
      <c r="A141">
        <v>140</v>
      </c>
      <c r="B141" t="s">
        <v>61</v>
      </c>
      <c r="C141">
        <v>8.9362388341619609E-3</v>
      </c>
      <c r="D141">
        <v>8.2533799251437896E-3</v>
      </c>
    </row>
    <row r="142" spans="1:4" x14ac:dyDescent="0.3">
      <c r="A142">
        <v>141</v>
      </c>
      <c r="B142" t="s">
        <v>212</v>
      </c>
      <c r="C142">
        <v>0</v>
      </c>
      <c r="D142">
        <v>0</v>
      </c>
    </row>
    <row r="143" spans="1:4" x14ac:dyDescent="0.3">
      <c r="A143">
        <v>142</v>
      </c>
      <c r="B143" t="s">
        <v>96</v>
      </c>
      <c r="C143">
        <v>1.23748005484241E-2</v>
      </c>
      <c r="D143">
        <v>7.4086905709937097E-3</v>
      </c>
    </row>
    <row r="144" spans="1:4" x14ac:dyDescent="0.3">
      <c r="A144">
        <v>143</v>
      </c>
      <c r="B144" t="s">
        <v>65</v>
      </c>
      <c r="C144">
        <v>1.0436295466367601E-2</v>
      </c>
      <c r="D144">
        <v>7.1146122449661899E-3</v>
      </c>
    </row>
    <row r="145" spans="1:4" x14ac:dyDescent="0.3">
      <c r="A145">
        <v>144</v>
      </c>
      <c r="B145" t="s">
        <v>187</v>
      </c>
      <c r="C145">
        <v>0</v>
      </c>
      <c r="D145">
        <v>0</v>
      </c>
    </row>
    <row r="146" spans="1:4" x14ac:dyDescent="0.3">
      <c r="A146">
        <v>145</v>
      </c>
      <c r="B146" t="s">
        <v>180</v>
      </c>
      <c r="C146">
        <v>0</v>
      </c>
      <c r="D146">
        <v>0</v>
      </c>
    </row>
    <row r="147" spans="1:4" x14ac:dyDescent="0.3">
      <c r="A147">
        <v>146</v>
      </c>
      <c r="B147" t="s">
        <v>239</v>
      </c>
      <c r="C147">
        <v>0</v>
      </c>
      <c r="D147">
        <v>0</v>
      </c>
    </row>
    <row r="148" spans="1:4" x14ac:dyDescent="0.3">
      <c r="A148">
        <v>147</v>
      </c>
      <c r="B148" t="s">
        <v>262</v>
      </c>
      <c r="C148">
        <v>0</v>
      </c>
      <c r="D148">
        <v>0</v>
      </c>
    </row>
    <row r="149" spans="1:4" x14ac:dyDescent="0.3">
      <c r="A149">
        <v>148</v>
      </c>
      <c r="B149" t="s">
        <v>233</v>
      </c>
      <c r="C149">
        <v>0</v>
      </c>
      <c r="D149">
        <v>0</v>
      </c>
    </row>
    <row r="150" spans="1:4" x14ac:dyDescent="0.3">
      <c r="A150">
        <v>149</v>
      </c>
      <c r="B150" t="s">
        <v>59</v>
      </c>
      <c r="C150">
        <v>1.46965161702187E-2</v>
      </c>
      <c r="D150">
        <v>1.12224185713198E-2</v>
      </c>
    </row>
    <row r="151" spans="1:4" x14ac:dyDescent="0.3">
      <c r="A151">
        <v>150</v>
      </c>
      <c r="B151" t="s">
        <v>252</v>
      </c>
      <c r="C151">
        <v>0</v>
      </c>
      <c r="D151">
        <v>0</v>
      </c>
    </row>
    <row r="152" spans="1:4" x14ac:dyDescent="0.3">
      <c r="A152">
        <v>151</v>
      </c>
      <c r="B152" t="s">
        <v>75</v>
      </c>
      <c r="C152">
        <v>7.2909245853264902E-3</v>
      </c>
      <c r="D152">
        <v>0</v>
      </c>
    </row>
    <row r="153" spans="1:4" x14ac:dyDescent="0.3">
      <c r="A153">
        <v>152</v>
      </c>
      <c r="B153" t="s">
        <v>167</v>
      </c>
      <c r="C153">
        <v>1.0012073999949699E-2</v>
      </c>
      <c r="D153">
        <v>6.3078922061141603E-3</v>
      </c>
    </row>
    <row r="154" spans="1:4" x14ac:dyDescent="0.3">
      <c r="A154">
        <v>153</v>
      </c>
      <c r="B154" t="s">
        <v>201</v>
      </c>
      <c r="C154">
        <v>0</v>
      </c>
      <c r="D154">
        <v>0</v>
      </c>
    </row>
    <row r="155" spans="1:4" x14ac:dyDescent="0.3">
      <c r="A155">
        <v>154</v>
      </c>
      <c r="B155" t="s">
        <v>92</v>
      </c>
      <c r="C155">
        <v>8.6222545495699601E-3</v>
      </c>
      <c r="D155">
        <v>7.9462234109856696E-3</v>
      </c>
    </row>
    <row r="156" spans="1:4" x14ac:dyDescent="0.3">
      <c r="A156">
        <v>155</v>
      </c>
      <c r="B156" t="s">
        <v>77</v>
      </c>
      <c r="C156">
        <v>1.46965161702187E-2</v>
      </c>
      <c r="D156">
        <v>1.0573983866079001E-2</v>
      </c>
    </row>
    <row r="157" spans="1:4" x14ac:dyDescent="0.3">
      <c r="A157">
        <v>156</v>
      </c>
      <c r="B157" t="s">
        <v>101</v>
      </c>
      <c r="C157">
        <v>8.9807712525459098E-3</v>
      </c>
      <c r="D157">
        <v>7.2310179468144803E-3</v>
      </c>
    </row>
    <row r="158" spans="1:4" x14ac:dyDescent="0.3">
      <c r="A158">
        <v>157</v>
      </c>
      <c r="B158" t="s">
        <v>199</v>
      </c>
      <c r="C158">
        <v>0</v>
      </c>
      <c r="D158">
        <v>6.2846974557616599E-3</v>
      </c>
    </row>
    <row r="159" spans="1:4" x14ac:dyDescent="0.3">
      <c r="A159">
        <v>158</v>
      </c>
      <c r="B159" t="s">
        <v>139</v>
      </c>
      <c r="C159">
        <v>0</v>
      </c>
      <c r="D159">
        <v>0</v>
      </c>
    </row>
    <row r="160" spans="1:4" x14ac:dyDescent="0.3">
      <c r="A160">
        <v>159</v>
      </c>
      <c r="B160" t="s">
        <v>237</v>
      </c>
      <c r="C160">
        <v>8.2949665643067706E-3</v>
      </c>
      <c r="D160">
        <v>0</v>
      </c>
    </row>
    <row r="161" spans="1:4" x14ac:dyDescent="0.3">
      <c r="A161">
        <v>160</v>
      </c>
      <c r="B161" t="s">
        <v>224</v>
      </c>
      <c r="C161">
        <v>0</v>
      </c>
      <c r="D161">
        <v>0</v>
      </c>
    </row>
    <row r="162" spans="1:4" x14ac:dyDescent="0.3">
      <c r="A162">
        <v>161</v>
      </c>
      <c r="B162" t="s">
        <v>183</v>
      </c>
      <c r="C162">
        <v>0</v>
      </c>
      <c r="D162">
        <v>0</v>
      </c>
    </row>
    <row r="163" spans="1:4" x14ac:dyDescent="0.3">
      <c r="A163">
        <v>162</v>
      </c>
      <c r="B163" t="s">
        <v>276</v>
      </c>
      <c r="C163">
        <v>0</v>
      </c>
      <c r="D163">
        <v>0</v>
      </c>
    </row>
    <row r="164" spans="1:4" x14ac:dyDescent="0.3">
      <c r="A164">
        <v>163</v>
      </c>
      <c r="B164" t="s">
        <v>131</v>
      </c>
      <c r="C164">
        <v>9.8997659306566798E-3</v>
      </c>
      <c r="D164">
        <v>8.3775132854182702E-3</v>
      </c>
    </row>
    <row r="165" spans="1:4" x14ac:dyDescent="0.3">
      <c r="A165">
        <v>164</v>
      </c>
      <c r="B165" t="s">
        <v>122</v>
      </c>
      <c r="C165">
        <v>6.1754167809295896E-3</v>
      </c>
      <c r="D165">
        <v>0</v>
      </c>
    </row>
    <row r="166" spans="1:4" x14ac:dyDescent="0.3">
      <c r="A166">
        <v>165</v>
      </c>
      <c r="B166" t="s">
        <v>260</v>
      </c>
      <c r="C166">
        <v>0</v>
      </c>
      <c r="D166">
        <v>0</v>
      </c>
    </row>
    <row r="167" spans="1:4" x14ac:dyDescent="0.3">
      <c r="A167">
        <v>166</v>
      </c>
      <c r="B167" t="s">
        <v>231</v>
      </c>
      <c r="C167">
        <v>0</v>
      </c>
      <c r="D167">
        <v>0</v>
      </c>
    </row>
    <row r="168" spans="1:4" x14ac:dyDescent="0.3">
      <c r="A168">
        <v>167</v>
      </c>
      <c r="B168" t="s">
        <v>216</v>
      </c>
      <c r="C168">
        <v>0</v>
      </c>
      <c r="D168">
        <v>0</v>
      </c>
    </row>
    <row r="169" spans="1:4" x14ac:dyDescent="0.3">
      <c r="A169">
        <v>168</v>
      </c>
      <c r="B169" t="s">
        <v>215</v>
      </c>
      <c r="C169">
        <v>0</v>
      </c>
      <c r="D169">
        <v>0</v>
      </c>
    </row>
    <row r="170" spans="1:4" x14ac:dyDescent="0.3">
      <c r="A170">
        <v>169</v>
      </c>
      <c r="B170" t="s">
        <v>126</v>
      </c>
      <c r="C170">
        <v>9.6885846554920392E-3</v>
      </c>
      <c r="D170">
        <v>0</v>
      </c>
    </row>
    <row r="171" spans="1:4" x14ac:dyDescent="0.3">
      <c r="A171">
        <v>170</v>
      </c>
      <c r="B171" t="s">
        <v>54</v>
      </c>
      <c r="C171">
        <v>1.3891662283693E-2</v>
      </c>
      <c r="D171">
        <v>1.12224185713198E-2</v>
      </c>
    </row>
    <row r="172" spans="1:4" x14ac:dyDescent="0.3">
      <c r="A172">
        <v>171</v>
      </c>
      <c r="B172" t="s">
        <v>190</v>
      </c>
      <c r="C172">
        <v>0</v>
      </c>
      <c r="D172">
        <v>0</v>
      </c>
    </row>
    <row r="173" spans="1:4" x14ac:dyDescent="0.3">
      <c r="A173">
        <v>172</v>
      </c>
      <c r="B173" t="s">
        <v>277</v>
      </c>
      <c r="C173">
        <v>0</v>
      </c>
      <c r="D173">
        <v>0</v>
      </c>
    </row>
    <row r="174" spans="1:4" x14ac:dyDescent="0.3">
      <c r="A174">
        <v>173</v>
      </c>
      <c r="B174" t="s">
        <v>267</v>
      </c>
      <c r="C174">
        <v>0</v>
      </c>
      <c r="D174">
        <v>0</v>
      </c>
    </row>
    <row r="175" spans="1:4" x14ac:dyDescent="0.3">
      <c r="A175">
        <v>174</v>
      </c>
      <c r="B175" t="s">
        <v>234</v>
      </c>
      <c r="C175">
        <v>0</v>
      </c>
      <c r="D175">
        <v>0</v>
      </c>
    </row>
    <row r="176" spans="1:4" x14ac:dyDescent="0.3">
      <c r="A176">
        <v>175</v>
      </c>
      <c r="B176" t="s">
        <v>85</v>
      </c>
      <c r="C176">
        <v>0</v>
      </c>
      <c r="D176">
        <v>0</v>
      </c>
    </row>
    <row r="177" spans="1:4" x14ac:dyDescent="0.3">
      <c r="A177">
        <v>176</v>
      </c>
      <c r="B177" t="s">
        <v>174</v>
      </c>
      <c r="C177">
        <v>0</v>
      </c>
      <c r="D177">
        <v>0</v>
      </c>
    </row>
    <row r="178" spans="1:4" x14ac:dyDescent="0.3">
      <c r="A178">
        <v>177</v>
      </c>
      <c r="B178" t="s">
        <v>228</v>
      </c>
      <c r="C178">
        <v>0</v>
      </c>
      <c r="D178">
        <v>0</v>
      </c>
    </row>
    <row r="179" spans="1:4" x14ac:dyDescent="0.3">
      <c r="A179">
        <v>178</v>
      </c>
      <c r="B179" t="s">
        <v>255</v>
      </c>
      <c r="C179">
        <v>0</v>
      </c>
      <c r="D179">
        <v>0</v>
      </c>
    </row>
    <row r="180" spans="1:4" x14ac:dyDescent="0.3">
      <c r="A180">
        <v>179</v>
      </c>
      <c r="B180" t="s">
        <v>138</v>
      </c>
      <c r="C180">
        <v>5.8248436155990697E-3</v>
      </c>
      <c r="D180">
        <v>0</v>
      </c>
    </row>
    <row r="181" spans="1:4" x14ac:dyDescent="0.3">
      <c r="A181">
        <v>180</v>
      </c>
      <c r="B181" t="s">
        <v>186</v>
      </c>
      <c r="C181">
        <v>0</v>
      </c>
      <c r="D181">
        <v>0</v>
      </c>
    </row>
    <row r="182" spans="1:4" x14ac:dyDescent="0.3">
      <c r="A182">
        <v>181</v>
      </c>
      <c r="B182" t="s">
        <v>230</v>
      </c>
      <c r="C182">
        <v>0</v>
      </c>
      <c r="D182">
        <v>0</v>
      </c>
    </row>
    <row r="183" spans="1:4" x14ac:dyDescent="0.3">
      <c r="A183">
        <v>182</v>
      </c>
      <c r="B183" t="s">
        <v>182</v>
      </c>
      <c r="C183">
        <v>0</v>
      </c>
      <c r="D183">
        <v>0</v>
      </c>
    </row>
    <row r="184" spans="1:4" x14ac:dyDescent="0.3">
      <c r="A184">
        <v>183</v>
      </c>
      <c r="B184" t="s">
        <v>60</v>
      </c>
      <c r="C184">
        <v>1.46965161702187E-2</v>
      </c>
      <c r="D184">
        <v>1.07967207296109E-2</v>
      </c>
    </row>
    <row r="185" spans="1:4" x14ac:dyDescent="0.3">
      <c r="A185">
        <v>184</v>
      </c>
      <c r="B185" t="s">
        <v>261</v>
      </c>
      <c r="C185">
        <v>0</v>
      </c>
      <c r="D185">
        <v>0</v>
      </c>
    </row>
    <row r="186" spans="1:4" x14ac:dyDescent="0.3">
      <c r="A186">
        <v>185</v>
      </c>
      <c r="B186" t="s">
        <v>178</v>
      </c>
      <c r="C186">
        <v>0</v>
      </c>
      <c r="D186">
        <v>0</v>
      </c>
    </row>
    <row r="187" spans="1:4" x14ac:dyDescent="0.3">
      <c r="A187">
        <v>186</v>
      </c>
      <c r="B187" t="s">
        <v>168</v>
      </c>
      <c r="C187">
        <v>0</v>
      </c>
      <c r="D187">
        <v>0</v>
      </c>
    </row>
    <row r="188" spans="1:4" x14ac:dyDescent="0.3">
      <c r="A188">
        <v>187</v>
      </c>
      <c r="B188" t="s">
        <v>128</v>
      </c>
      <c r="C188">
        <v>0</v>
      </c>
      <c r="D188">
        <v>0</v>
      </c>
    </row>
    <row r="189" spans="1:4" x14ac:dyDescent="0.3">
      <c r="A189">
        <v>188</v>
      </c>
      <c r="B189" t="s">
        <v>189</v>
      </c>
      <c r="C189">
        <v>0</v>
      </c>
      <c r="D189">
        <v>0</v>
      </c>
    </row>
    <row r="190" spans="1:4" x14ac:dyDescent="0.3">
      <c r="A190">
        <v>189</v>
      </c>
      <c r="B190" t="s">
        <v>238</v>
      </c>
      <c r="C190">
        <v>0</v>
      </c>
      <c r="D190">
        <v>0</v>
      </c>
    </row>
    <row r="191" spans="1:4" x14ac:dyDescent="0.3">
      <c r="A191">
        <v>190</v>
      </c>
      <c r="B191" t="s">
        <v>242</v>
      </c>
      <c r="C191">
        <v>0</v>
      </c>
      <c r="D191">
        <v>0</v>
      </c>
    </row>
    <row r="192" spans="1:4" x14ac:dyDescent="0.3">
      <c r="A192">
        <v>191</v>
      </c>
      <c r="B192" t="s">
        <v>133</v>
      </c>
      <c r="C192">
        <v>0</v>
      </c>
      <c r="D192">
        <v>0</v>
      </c>
    </row>
    <row r="193" spans="1:4" x14ac:dyDescent="0.3">
      <c r="A193">
        <v>192</v>
      </c>
      <c r="B193" t="s">
        <v>109</v>
      </c>
      <c r="C193">
        <v>1.05214578255716E-2</v>
      </c>
      <c r="D193">
        <v>7.5607711310933601E-3</v>
      </c>
    </row>
    <row r="194" spans="1:4" x14ac:dyDescent="0.3">
      <c r="A194">
        <v>193</v>
      </c>
      <c r="B194" t="s">
        <v>121</v>
      </c>
      <c r="C194">
        <v>4.6306272510921703E-2</v>
      </c>
      <c r="D194">
        <v>4.1624557070220801E-2</v>
      </c>
    </row>
    <row r="195" spans="1:4" x14ac:dyDescent="0.3">
      <c r="A195">
        <v>194</v>
      </c>
      <c r="B195" t="s">
        <v>148</v>
      </c>
      <c r="C195">
        <v>0</v>
      </c>
      <c r="D195">
        <v>0</v>
      </c>
    </row>
    <row r="196" spans="1:4" x14ac:dyDescent="0.3">
      <c r="A196">
        <v>195</v>
      </c>
      <c r="B196" t="s">
        <v>130</v>
      </c>
      <c r="C196">
        <v>0</v>
      </c>
      <c r="D196">
        <v>0</v>
      </c>
    </row>
    <row r="197" spans="1:4" x14ac:dyDescent="0.3">
      <c r="A197">
        <v>196</v>
      </c>
      <c r="B197" t="s">
        <v>219</v>
      </c>
      <c r="C197">
        <v>0</v>
      </c>
      <c r="D197">
        <v>0</v>
      </c>
    </row>
    <row r="198" spans="1:4" x14ac:dyDescent="0.3">
      <c r="A198">
        <v>197</v>
      </c>
      <c r="B198" t="s">
        <v>227</v>
      </c>
      <c r="C198">
        <v>0</v>
      </c>
      <c r="D198">
        <v>0</v>
      </c>
    </row>
    <row r="199" spans="1:4" x14ac:dyDescent="0.3">
      <c r="A199">
        <v>198</v>
      </c>
      <c r="B199" t="s">
        <v>147</v>
      </c>
      <c r="C199">
        <v>9.9878156753923503E-3</v>
      </c>
      <c r="D199">
        <v>0</v>
      </c>
    </row>
    <row r="200" spans="1:4" x14ac:dyDescent="0.3">
      <c r="A200">
        <v>199</v>
      </c>
      <c r="B200" t="s">
        <v>67</v>
      </c>
      <c r="C200">
        <v>1.4549271125567099E-2</v>
      </c>
      <c r="D200">
        <v>6.8122102154550297E-3</v>
      </c>
    </row>
    <row r="201" spans="1:4" x14ac:dyDescent="0.3">
      <c r="A201">
        <v>200</v>
      </c>
      <c r="B201" t="s">
        <v>90</v>
      </c>
      <c r="C201">
        <v>1.3098456732494299E-2</v>
      </c>
      <c r="D201">
        <v>0</v>
      </c>
    </row>
    <row r="202" spans="1:4" x14ac:dyDescent="0.3">
      <c r="A202">
        <v>201</v>
      </c>
      <c r="B202" t="s">
        <v>79</v>
      </c>
      <c r="C202">
        <v>1.21507870205324E-2</v>
      </c>
      <c r="D202">
        <v>1.0928910517985901E-2</v>
      </c>
    </row>
    <row r="203" spans="1:4" x14ac:dyDescent="0.3">
      <c r="A203">
        <v>202</v>
      </c>
      <c r="B203" t="s">
        <v>120</v>
      </c>
      <c r="C203">
        <v>0</v>
      </c>
      <c r="D203">
        <v>0</v>
      </c>
    </row>
    <row r="204" spans="1:4" x14ac:dyDescent="0.3">
      <c r="A204">
        <v>203</v>
      </c>
      <c r="B204" t="s">
        <v>94</v>
      </c>
      <c r="C204">
        <v>0</v>
      </c>
      <c r="D204">
        <v>9.62111582891346E-3</v>
      </c>
    </row>
    <row r="205" spans="1:4" x14ac:dyDescent="0.3">
      <c r="A205">
        <v>204</v>
      </c>
      <c r="B205" t="s">
        <v>113</v>
      </c>
      <c r="C205">
        <v>1.5828248764407901E-2</v>
      </c>
      <c r="D205">
        <v>1.80282353189497E-2</v>
      </c>
    </row>
    <row r="206" spans="1:4" x14ac:dyDescent="0.3">
      <c r="A206">
        <v>205</v>
      </c>
      <c r="B206" t="s">
        <v>134</v>
      </c>
      <c r="C206">
        <v>0</v>
      </c>
      <c r="D206">
        <v>3.51086809172367E-2</v>
      </c>
    </row>
    <row r="207" spans="1:4" x14ac:dyDescent="0.3">
      <c r="A207">
        <v>206</v>
      </c>
      <c r="B207" t="s">
        <v>116</v>
      </c>
      <c r="C207">
        <v>9.3097022598520492E-3</v>
      </c>
      <c r="D207">
        <v>9.2720699152648908E-3</v>
      </c>
    </row>
    <row r="208" spans="1:4" x14ac:dyDescent="0.3">
      <c r="A208">
        <v>207</v>
      </c>
      <c r="B208" t="s">
        <v>268</v>
      </c>
      <c r="C208">
        <v>0</v>
      </c>
      <c r="D208">
        <v>0</v>
      </c>
    </row>
    <row r="209" spans="1:4" x14ac:dyDescent="0.3">
      <c r="A209">
        <v>208</v>
      </c>
      <c r="B209" t="s">
        <v>146</v>
      </c>
      <c r="C209">
        <v>6.7399921900851395E-2</v>
      </c>
      <c r="D209">
        <v>6.2192442622804503E-2</v>
      </c>
    </row>
    <row r="210" spans="1:4" x14ac:dyDescent="0.3">
      <c r="A210">
        <v>209</v>
      </c>
      <c r="B210" t="s">
        <v>136</v>
      </c>
      <c r="C210">
        <v>7.0426070142019695E-2</v>
      </c>
      <c r="D210">
        <v>6.2482533581480502E-2</v>
      </c>
    </row>
    <row r="211" spans="1:4" x14ac:dyDescent="0.3">
      <c r="A211">
        <v>210</v>
      </c>
      <c r="B211" t="s">
        <v>195</v>
      </c>
      <c r="C211">
        <v>0</v>
      </c>
      <c r="D211">
        <v>0</v>
      </c>
    </row>
    <row r="212" spans="1:4" x14ac:dyDescent="0.3">
      <c r="A212">
        <v>211</v>
      </c>
      <c r="B212" t="s">
        <v>160</v>
      </c>
      <c r="C212">
        <v>0</v>
      </c>
      <c r="D212">
        <v>0</v>
      </c>
    </row>
    <row r="213" spans="1:4" x14ac:dyDescent="0.3">
      <c r="A213">
        <v>212</v>
      </c>
      <c r="B213" t="s">
        <v>247</v>
      </c>
      <c r="C213">
        <v>0</v>
      </c>
      <c r="D213">
        <v>0</v>
      </c>
    </row>
    <row r="214" spans="1:4" x14ac:dyDescent="0.3">
      <c r="A214">
        <v>213</v>
      </c>
      <c r="B214" t="s">
        <v>206</v>
      </c>
      <c r="C214">
        <v>0</v>
      </c>
      <c r="D214">
        <v>0</v>
      </c>
    </row>
    <row r="215" spans="1:4" x14ac:dyDescent="0.3">
      <c r="A215">
        <v>214</v>
      </c>
      <c r="B215" t="s">
        <v>249</v>
      </c>
      <c r="C215">
        <v>0</v>
      </c>
      <c r="D215">
        <v>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D9E3-DB8D-4FD0-A003-F7C20566E9D5}">
  <dimension ref="A1:C215"/>
  <sheetViews>
    <sheetView topLeftCell="A178" workbookViewId="0">
      <selection activeCell="J32" sqref="J32"/>
    </sheetView>
  </sheetViews>
  <sheetFormatPr defaultRowHeight="14.4" x14ac:dyDescent="0.3"/>
  <sheetData>
    <row r="1" spans="1:3" x14ac:dyDescent="0.3">
      <c r="A1" t="s">
        <v>306</v>
      </c>
      <c r="B1" t="s">
        <v>312</v>
      </c>
      <c r="C1" t="s">
        <v>313</v>
      </c>
    </row>
    <row r="2" spans="1:3" x14ac:dyDescent="0.3">
      <c r="A2" t="s">
        <v>192</v>
      </c>
      <c r="B2">
        <v>0</v>
      </c>
      <c r="C2">
        <v>0</v>
      </c>
    </row>
    <row r="3" spans="1:3" x14ac:dyDescent="0.3">
      <c r="A3" t="s">
        <v>72</v>
      </c>
      <c r="B3">
        <v>1.66529776864222E-2</v>
      </c>
      <c r="C3">
        <v>1.0913832164059801E-2</v>
      </c>
    </row>
    <row r="4" spans="1:3" x14ac:dyDescent="0.3">
      <c r="A4" t="s">
        <v>98</v>
      </c>
      <c r="B4">
        <v>0</v>
      </c>
      <c r="C4">
        <v>0</v>
      </c>
    </row>
    <row r="5" spans="1:3" x14ac:dyDescent="0.3">
      <c r="A5" t="s">
        <v>63</v>
      </c>
      <c r="B5">
        <v>1.53898211818661E-2</v>
      </c>
      <c r="C5">
        <v>0</v>
      </c>
    </row>
    <row r="6" spans="1:3" x14ac:dyDescent="0.3">
      <c r="A6" t="s">
        <v>164</v>
      </c>
      <c r="B6">
        <v>0</v>
      </c>
      <c r="C6">
        <v>0</v>
      </c>
    </row>
    <row r="7" spans="1:3" x14ac:dyDescent="0.3">
      <c r="A7" t="s">
        <v>264</v>
      </c>
      <c r="B7">
        <v>0</v>
      </c>
      <c r="C7">
        <v>0</v>
      </c>
    </row>
    <row r="8" spans="1:3" x14ac:dyDescent="0.3">
      <c r="A8" t="s">
        <v>73</v>
      </c>
      <c r="B8">
        <v>3.2247886779500003E-2</v>
      </c>
      <c r="C8">
        <v>2.8259775535961401E-2</v>
      </c>
    </row>
    <row r="9" spans="1:3" x14ac:dyDescent="0.3">
      <c r="A9" t="s">
        <v>265</v>
      </c>
      <c r="B9">
        <v>0</v>
      </c>
      <c r="C9">
        <v>0</v>
      </c>
    </row>
    <row r="10" spans="1:3" x14ac:dyDescent="0.3">
      <c r="A10" t="s">
        <v>263</v>
      </c>
      <c r="B10">
        <v>0</v>
      </c>
      <c r="C10">
        <v>0</v>
      </c>
    </row>
    <row r="11" spans="1:3" x14ac:dyDescent="0.3">
      <c r="A11" t="s">
        <v>177</v>
      </c>
      <c r="B11">
        <v>0</v>
      </c>
      <c r="C11">
        <v>0</v>
      </c>
    </row>
    <row r="12" spans="1:3" x14ac:dyDescent="0.3">
      <c r="A12" t="s">
        <v>159</v>
      </c>
      <c r="B12">
        <v>0</v>
      </c>
      <c r="C12">
        <v>0</v>
      </c>
    </row>
    <row r="13" spans="1:3" x14ac:dyDescent="0.3">
      <c r="A13" t="s">
        <v>172</v>
      </c>
      <c r="B13">
        <v>0</v>
      </c>
      <c r="C13">
        <v>0</v>
      </c>
    </row>
    <row r="14" spans="1:3" x14ac:dyDescent="0.3">
      <c r="A14" t="s">
        <v>145</v>
      </c>
      <c r="B14">
        <v>8.8927911614837003E-3</v>
      </c>
      <c r="C14">
        <v>7.7057477985124001E-3</v>
      </c>
    </row>
    <row r="15" spans="1:3" x14ac:dyDescent="0.3">
      <c r="A15" t="s">
        <v>256</v>
      </c>
      <c r="B15">
        <v>0</v>
      </c>
      <c r="C15">
        <v>0</v>
      </c>
    </row>
    <row r="16" spans="1:3" x14ac:dyDescent="0.3">
      <c r="A16" t="s">
        <v>222</v>
      </c>
      <c r="B16">
        <v>0</v>
      </c>
      <c r="C16">
        <v>0</v>
      </c>
    </row>
    <row r="17" spans="1:3" x14ac:dyDescent="0.3">
      <c r="A17" t="s">
        <v>253</v>
      </c>
      <c r="B17">
        <v>0</v>
      </c>
      <c r="C17">
        <v>0</v>
      </c>
    </row>
    <row r="18" spans="1:3" x14ac:dyDescent="0.3">
      <c r="A18" t="s">
        <v>185</v>
      </c>
      <c r="B18">
        <v>5.5243691860086298E-3</v>
      </c>
      <c r="C18">
        <v>1.18077870820744E-2</v>
      </c>
    </row>
    <row r="19" spans="1:3" x14ac:dyDescent="0.3">
      <c r="A19" t="s">
        <v>165</v>
      </c>
      <c r="B19">
        <v>0</v>
      </c>
      <c r="C19">
        <v>0</v>
      </c>
    </row>
    <row r="20" spans="1:3" x14ac:dyDescent="0.3">
      <c r="A20" t="s">
        <v>179</v>
      </c>
      <c r="B20">
        <v>0</v>
      </c>
      <c r="C20">
        <v>0</v>
      </c>
    </row>
    <row r="21" spans="1:3" x14ac:dyDescent="0.3">
      <c r="A21" t="s">
        <v>204</v>
      </c>
      <c r="B21">
        <v>0</v>
      </c>
      <c r="C21">
        <v>0</v>
      </c>
    </row>
    <row r="22" spans="1:3" x14ac:dyDescent="0.3">
      <c r="A22" t="s">
        <v>194</v>
      </c>
      <c r="B22">
        <v>0</v>
      </c>
      <c r="C22">
        <v>0</v>
      </c>
    </row>
    <row r="23" spans="1:3" x14ac:dyDescent="0.3">
      <c r="A23" t="s">
        <v>169</v>
      </c>
      <c r="B23">
        <v>0</v>
      </c>
      <c r="C23">
        <v>0</v>
      </c>
    </row>
    <row r="24" spans="1:3" x14ac:dyDescent="0.3">
      <c r="A24" t="s">
        <v>100</v>
      </c>
      <c r="B24">
        <v>1.27655251063983E-2</v>
      </c>
      <c r="C24">
        <v>6.83493284775281E-3</v>
      </c>
    </row>
    <row r="25" spans="1:3" x14ac:dyDescent="0.3">
      <c r="A25" t="s">
        <v>175</v>
      </c>
      <c r="B25">
        <v>0</v>
      </c>
      <c r="C25">
        <v>0</v>
      </c>
    </row>
    <row r="26" spans="1:3" x14ac:dyDescent="0.3">
      <c r="A26" t="s">
        <v>193</v>
      </c>
      <c r="B26">
        <v>0</v>
      </c>
      <c r="C26">
        <v>7.6426531660953104E-3</v>
      </c>
    </row>
    <row r="27" spans="1:3" x14ac:dyDescent="0.3">
      <c r="A27" t="s">
        <v>115</v>
      </c>
      <c r="B27">
        <v>7.1446106538856496E-3</v>
      </c>
      <c r="C27">
        <v>9.3016251727252395E-3</v>
      </c>
    </row>
    <row r="28" spans="1:3" x14ac:dyDescent="0.3">
      <c r="A28" t="s">
        <v>259</v>
      </c>
      <c r="B28">
        <v>0</v>
      </c>
      <c r="C28">
        <v>0</v>
      </c>
    </row>
    <row r="29" spans="1:3" x14ac:dyDescent="0.3">
      <c r="A29" t="s">
        <v>89</v>
      </c>
      <c r="B29">
        <v>1.15291062855849E-2</v>
      </c>
      <c r="C29">
        <v>0</v>
      </c>
    </row>
    <row r="30" spans="1:3" x14ac:dyDescent="0.3">
      <c r="A30" t="s">
        <v>127</v>
      </c>
      <c r="B30">
        <v>7.2914323263972604E-3</v>
      </c>
      <c r="C30">
        <v>8.2330390417265399E-3</v>
      </c>
    </row>
    <row r="31" spans="1:3" x14ac:dyDescent="0.3">
      <c r="A31" t="s">
        <v>173</v>
      </c>
      <c r="B31">
        <v>0</v>
      </c>
      <c r="C31">
        <v>6.5515282872095201E-3</v>
      </c>
    </row>
    <row r="32" spans="1:3" x14ac:dyDescent="0.3">
      <c r="A32" t="s">
        <v>241</v>
      </c>
      <c r="B32">
        <v>0</v>
      </c>
      <c r="C32">
        <v>0</v>
      </c>
    </row>
    <row r="33" spans="1:3" x14ac:dyDescent="0.3">
      <c r="A33" t="s">
        <v>123</v>
      </c>
      <c r="B33">
        <v>8.0632015108695002E-3</v>
      </c>
      <c r="C33">
        <v>1.0006746530903899E-2</v>
      </c>
    </row>
    <row r="34" spans="1:3" x14ac:dyDescent="0.3">
      <c r="A34" t="s">
        <v>102</v>
      </c>
      <c r="B34">
        <v>0</v>
      </c>
      <c r="C34">
        <v>0</v>
      </c>
    </row>
    <row r="35" spans="1:3" x14ac:dyDescent="0.3">
      <c r="A35" t="s">
        <v>144</v>
      </c>
      <c r="B35">
        <v>0</v>
      </c>
      <c r="C35">
        <v>9.1917041313772097E-3</v>
      </c>
    </row>
    <row r="36" spans="1:3" x14ac:dyDescent="0.3">
      <c r="A36" t="s">
        <v>153</v>
      </c>
      <c r="B36">
        <v>0</v>
      </c>
      <c r="C36">
        <v>7.4953988516436396E-3</v>
      </c>
    </row>
    <row r="37" spans="1:3" x14ac:dyDescent="0.3">
      <c r="A37" t="s">
        <v>64</v>
      </c>
      <c r="B37">
        <v>1.16173597270126E-2</v>
      </c>
      <c r="C37">
        <v>8.5507013673109308E-3</v>
      </c>
    </row>
    <row r="38" spans="1:3" x14ac:dyDescent="0.3">
      <c r="A38" t="s">
        <v>56</v>
      </c>
      <c r="B38">
        <v>1.19558899532408E-2</v>
      </c>
      <c r="C38">
        <v>8.1879268878186605E-3</v>
      </c>
    </row>
    <row r="39" spans="1:3" x14ac:dyDescent="0.3">
      <c r="A39" t="s">
        <v>62</v>
      </c>
      <c r="B39">
        <v>5.7444843110723703E-2</v>
      </c>
      <c r="C39">
        <v>4.5854787185248699E-2</v>
      </c>
    </row>
    <row r="40" spans="1:3" x14ac:dyDescent="0.3">
      <c r="A40" t="s">
        <v>117</v>
      </c>
      <c r="B40">
        <v>0</v>
      </c>
      <c r="C40">
        <v>8.2738996846392302E-3</v>
      </c>
    </row>
    <row r="41" spans="1:3" x14ac:dyDescent="0.3">
      <c r="A41" t="s">
        <v>70</v>
      </c>
      <c r="B41">
        <v>7.3117884258815501E-3</v>
      </c>
      <c r="C41">
        <v>0</v>
      </c>
    </row>
    <row r="42" spans="1:3" x14ac:dyDescent="0.3">
      <c r="A42" t="s">
        <v>82</v>
      </c>
      <c r="B42">
        <v>2.4113421788551699E-2</v>
      </c>
      <c r="C42">
        <v>0</v>
      </c>
    </row>
    <row r="43" spans="1:3" x14ac:dyDescent="0.3">
      <c r="A43" t="s">
        <v>200</v>
      </c>
      <c r="B43">
        <v>0</v>
      </c>
      <c r="C43">
        <v>0</v>
      </c>
    </row>
    <row r="44" spans="1:3" x14ac:dyDescent="0.3">
      <c r="A44" t="s">
        <v>110</v>
      </c>
      <c r="B44">
        <v>6.4548488840010503E-3</v>
      </c>
      <c r="C44">
        <v>1.12899499827197E-2</v>
      </c>
    </row>
    <row r="45" spans="1:3" x14ac:dyDescent="0.3">
      <c r="A45" t="s">
        <v>135</v>
      </c>
      <c r="B45">
        <v>0</v>
      </c>
      <c r="C45">
        <v>0</v>
      </c>
    </row>
    <row r="46" spans="1:3" x14ac:dyDescent="0.3">
      <c r="A46" t="s">
        <v>112</v>
      </c>
      <c r="B46">
        <v>0</v>
      </c>
      <c r="C46">
        <v>6.15297084127477E-2</v>
      </c>
    </row>
    <row r="47" spans="1:3" x14ac:dyDescent="0.3">
      <c r="A47" t="s">
        <v>156</v>
      </c>
      <c r="B47">
        <v>0</v>
      </c>
      <c r="C47">
        <v>2.1061987677873199E-2</v>
      </c>
    </row>
    <row r="48" spans="1:3" x14ac:dyDescent="0.3">
      <c r="A48" t="s">
        <v>246</v>
      </c>
      <c r="B48">
        <v>0</v>
      </c>
      <c r="C48">
        <v>0</v>
      </c>
    </row>
    <row r="49" spans="1:3" x14ac:dyDescent="0.3">
      <c r="A49" t="s">
        <v>58</v>
      </c>
      <c r="B49">
        <v>1.59334397117399E-2</v>
      </c>
      <c r="C49">
        <v>9.2750914184114904E-3</v>
      </c>
    </row>
    <row r="50" spans="1:3" x14ac:dyDescent="0.3">
      <c r="A50" t="s">
        <v>207</v>
      </c>
      <c r="B50">
        <v>0</v>
      </c>
      <c r="C50">
        <v>0</v>
      </c>
    </row>
    <row r="51" spans="1:3" x14ac:dyDescent="0.3">
      <c r="A51" t="s">
        <v>220</v>
      </c>
      <c r="B51">
        <v>0</v>
      </c>
      <c r="C51">
        <v>0</v>
      </c>
    </row>
    <row r="52" spans="1:3" x14ac:dyDescent="0.3">
      <c r="A52" t="s">
        <v>217</v>
      </c>
      <c r="B52">
        <v>0</v>
      </c>
      <c r="C52">
        <v>0</v>
      </c>
    </row>
    <row r="53" spans="1:3" x14ac:dyDescent="0.3">
      <c r="A53" t="s">
        <v>254</v>
      </c>
      <c r="B53">
        <v>0</v>
      </c>
      <c r="C53">
        <v>0</v>
      </c>
    </row>
    <row r="54" spans="1:3" x14ac:dyDescent="0.3">
      <c r="A54" t="s">
        <v>155</v>
      </c>
      <c r="B54">
        <v>0</v>
      </c>
      <c r="C54">
        <v>0</v>
      </c>
    </row>
    <row r="55" spans="1:3" x14ac:dyDescent="0.3">
      <c r="A55" t="s">
        <v>213</v>
      </c>
      <c r="B55">
        <v>0</v>
      </c>
      <c r="C55">
        <v>0</v>
      </c>
    </row>
    <row r="56" spans="1:3" x14ac:dyDescent="0.3">
      <c r="A56" t="s">
        <v>218</v>
      </c>
      <c r="B56">
        <v>0</v>
      </c>
      <c r="C56">
        <v>0</v>
      </c>
    </row>
    <row r="57" spans="1:3" x14ac:dyDescent="0.3">
      <c r="A57" t="s">
        <v>80</v>
      </c>
      <c r="B57">
        <v>1.3954818695169201E-2</v>
      </c>
      <c r="C57">
        <v>1.16571934085163E-2</v>
      </c>
    </row>
    <row r="58" spans="1:3" x14ac:dyDescent="0.3">
      <c r="A58" t="s">
        <v>191</v>
      </c>
      <c r="B58">
        <v>0</v>
      </c>
      <c r="C58">
        <v>0</v>
      </c>
    </row>
    <row r="59" spans="1:3" x14ac:dyDescent="0.3">
      <c r="A59" t="s">
        <v>181</v>
      </c>
      <c r="B59">
        <v>0</v>
      </c>
      <c r="C59">
        <v>0</v>
      </c>
    </row>
    <row r="60" spans="1:3" x14ac:dyDescent="0.3">
      <c r="A60" t="s">
        <v>103</v>
      </c>
      <c r="B60">
        <v>2.98818694693186E-2</v>
      </c>
      <c r="C60">
        <v>1.8867324364505299E-2</v>
      </c>
    </row>
    <row r="61" spans="1:3" x14ac:dyDescent="0.3">
      <c r="A61" t="s">
        <v>108</v>
      </c>
      <c r="B61">
        <v>6.0246696210989803E-3</v>
      </c>
      <c r="C61">
        <v>8.9020624436739002E-3</v>
      </c>
    </row>
    <row r="62" spans="1:3" x14ac:dyDescent="0.3">
      <c r="A62" t="s">
        <v>104</v>
      </c>
      <c r="B62">
        <v>5.9479943257425699E-3</v>
      </c>
      <c r="C62">
        <v>9.3259146942408899E-3</v>
      </c>
    </row>
    <row r="63" spans="1:3" x14ac:dyDescent="0.3">
      <c r="A63" t="s">
        <v>124</v>
      </c>
      <c r="B63">
        <v>0</v>
      </c>
      <c r="C63">
        <v>5.0382925660308303E-2</v>
      </c>
    </row>
    <row r="64" spans="1:3" x14ac:dyDescent="0.3">
      <c r="A64" t="s">
        <v>142</v>
      </c>
      <c r="B64">
        <v>0</v>
      </c>
      <c r="C64">
        <v>0</v>
      </c>
    </row>
    <row r="65" spans="1:3" x14ac:dyDescent="0.3">
      <c r="A65" t="s">
        <v>74</v>
      </c>
      <c r="B65">
        <v>1.1765828856546499E-2</v>
      </c>
      <c r="C65">
        <v>0</v>
      </c>
    </row>
    <row r="66" spans="1:3" x14ac:dyDescent="0.3">
      <c r="A66" t="s">
        <v>106</v>
      </c>
      <c r="B66">
        <v>7.8766722845027195E-3</v>
      </c>
      <c r="C66">
        <v>0</v>
      </c>
    </row>
    <row r="67" spans="1:3" x14ac:dyDescent="0.3">
      <c r="A67" t="s">
        <v>229</v>
      </c>
      <c r="B67">
        <v>0</v>
      </c>
      <c r="C67">
        <v>0</v>
      </c>
    </row>
    <row r="68" spans="1:3" x14ac:dyDescent="0.3">
      <c r="A68" t="s">
        <v>99</v>
      </c>
      <c r="B68">
        <v>1.3019416095419701E-2</v>
      </c>
      <c r="C68">
        <v>0</v>
      </c>
    </row>
    <row r="69" spans="1:3" x14ac:dyDescent="0.3">
      <c r="A69" t="s">
        <v>161</v>
      </c>
      <c r="B69">
        <v>0</v>
      </c>
      <c r="C69">
        <v>0</v>
      </c>
    </row>
    <row r="70" spans="1:3" x14ac:dyDescent="0.3">
      <c r="A70" t="s">
        <v>162</v>
      </c>
      <c r="B70">
        <v>0</v>
      </c>
      <c r="C70">
        <v>0</v>
      </c>
    </row>
    <row r="71" spans="1:3" x14ac:dyDescent="0.3">
      <c r="A71" t="s">
        <v>171</v>
      </c>
      <c r="B71">
        <v>0</v>
      </c>
      <c r="C71">
        <v>0</v>
      </c>
    </row>
    <row r="72" spans="1:3" x14ac:dyDescent="0.3">
      <c r="A72" t="s">
        <v>84</v>
      </c>
      <c r="B72">
        <v>7.99887371193061E-3</v>
      </c>
      <c r="C72">
        <v>1.17105505215326E-2</v>
      </c>
    </row>
    <row r="73" spans="1:3" x14ac:dyDescent="0.3">
      <c r="A73" t="s">
        <v>91</v>
      </c>
      <c r="B73">
        <v>3.5956710410150403E-2</v>
      </c>
      <c r="C73">
        <v>3.1948919010160302E-2</v>
      </c>
    </row>
    <row r="74" spans="1:3" x14ac:dyDescent="0.3">
      <c r="A74" t="s">
        <v>158</v>
      </c>
      <c r="B74">
        <v>0</v>
      </c>
      <c r="C74">
        <v>0</v>
      </c>
    </row>
    <row r="75" spans="1:3" x14ac:dyDescent="0.3">
      <c r="A75" t="s">
        <v>119</v>
      </c>
      <c r="B75">
        <v>0</v>
      </c>
      <c r="C75">
        <v>0</v>
      </c>
    </row>
    <row r="76" spans="1:3" x14ac:dyDescent="0.3">
      <c r="A76" t="s">
        <v>140</v>
      </c>
      <c r="B76">
        <v>0</v>
      </c>
      <c r="C76">
        <v>0</v>
      </c>
    </row>
    <row r="77" spans="1:3" x14ac:dyDescent="0.3">
      <c r="A77" t="s">
        <v>78</v>
      </c>
      <c r="B77">
        <v>0</v>
      </c>
      <c r="C77">
        <v>0</v>
      </c>
    </row>
    <row r="78" spans="1:3" x14ac:dyDescent="0.3">
      <c r="A78" t="s">
        <v>129</v>
      </c>
      <c r="B78">
        <v>0</v>
      </c>
      <c r="C78">
        <v>0</v>
      </c>
    </row>
    <row r="79" spans="1:3" x14ac:dyDescent="0.3">
      <c r="A79" t="s">
        <v>248</v>
      </c>
      <c r="B79">
        <v>0</v>
      </c>
      <c r="C79">
        <v>0</v>
      </c>
    </row>
    <row r="80" spans="1:3" x14ac:dyDescent="0.3">
      <c r="A80" t="s">
        <v>225</v>
      </c>
      <c r="B80">
        <v>0</v>
      </c>
      <c r="C80">
        <v>0</v>
      </c>
    </row>
    <row r="81" spans="1:3" x14ac:dyDescent="0.3">
      <c r="A81" t="s">
        <v>97</v>
      </c>
      <c r="B81">
        <v>2.0375717122738699E-2</v>
      </c>
      <c r="C81">
        <v>1.4535756252868501E-2</v>
      </c>
    </row>
    <row r="82" spans="1:3" x14ac:dyDescent="0.3">
      <c r="A82" t="s">
        <v>125</v>
      </c>
      <c r="B82">
        <v>0</v>
      </c>
      <c r="C82">
        <v>4.0261867185247699E-2</v>
      </c>
    </row>
    <row r="83" spans="1:3" x14ac:dyDescent="0.3">
      <c r="A83" t="s">
        <v>244</v>
      </c>
      <c r="B83">
        <v>0</v>
      </c>
      <c r="C83">
        <v>0</v>
      </c>
    </row>
    <row r="84" spans="1:3" x14ac:dyDescent="0.3">
      <c r="A84" t="s">
        <v>141</v>
      </c>
      <c r="B84">
        <v>0</v>
      </c>
      <c r="C84">
        <v>0</v>
      </c>
    </row>
    <row r="85" spans="1:3" x14ac:dyDescent="0.3">
      <c r="A85" t="s">
        <v>66</v>
      </c>
      <c r="B85">
        <v>1.37097565857754E-2</v>
      </c>
      <c r="C85">
        <v>0</v>
      </c>
    </row>
    <row r="86" spans="1:3" x14ac:dyDescent="0.3">
      <c r="A86" t="s">
        <v>118</v>
      </c>
      <c r="B86">
        <v>1.31078570053134E-2</v>
      </c>
      <c r="C86">
        <v>0</v>
      </c>
    </row>
    <row r="87" spans="1:3" x14ac:dyDescent="0.3">
      <c r="A87" t="s">
        <v>236</v>
      </c>
      <c r="B87">
        <v>0</v>
      </c>
      <c r="C87">
        <v>0</v>
      </c>
    </row>
    <row r="88" spans="1:3" x14ac:dyDescent="0.3">
      <c r="A88" t="s">
        <v>76</v>
      </c>
      <c r="B88">
        <v>9.0793781204308206E-3</v>
      </c>
      <c r="C88">
        <v>0</v>
      </c>
    </row>
    <row r="89" spans="1:3" x14ac:dyDescent="0.3">
      <c r="A89" t="s">
        <v>152</v>
      </c>
      <c r="B89">
        <v>0</v>
      </c>
      <c r="C89">
        <v>1.98098768631296E-2</v>
      </c>
    </row>
    <row r="90" spans="1:3" x14ac:dyDescent="0.3">
      <c r="A90" t="s">
        <v>226</v>
      </c>
      <c r="B90">
        <v>0</v>
      </c>
      <c r="C90">
        <v>8.1864906192962196E-3</v>
      </c>
    </row>
    <row r="91" spans="1:3" x14ac:dyDescent="0.3">
      <c r="A91" t="s">
        <v>151</v>
      </c>
      <c r="B91">
        <v>1.8643580541980401E-2</v>
      </c>
      <c r="C91">
        <v>0</v>
      </c>
    </row>
    <row r="92" spans="1:3" x14ac:dyDescent="0.3">
      <c r="A92" t="s">
        <v>203</v>
      </c>
      <c r="B92">
        <v>0</v>
      </c>
      <c r="C92">
        <v>0</v>
      </c>
    </row>
    <row r="93" spans="1:3" x14ac:dyDescent="0.3">
      <c r="A93" t="s">
        <v>114</v>
      </c>
      <c r="B93">
        <v>3.4045298905355202E-2</v>
      </c>
      <c r="C93">
        <v>3.0900745920330399E-2</v>
      </c>
    </row>
    <row r="94" spans="1:3" x14ac:dyDescent="0.3">
      <c r="A94" t="s">
        <v>184</v>
      </c>
      <c r="B94">
        <v>0</v>
      </c>
      <c r="C94">
        <v>0</v>
      </c>
    </row>
    <row r="95" spans="1:3" x14ac:dyDescent="0.3">
      <c r="A95" t="s">
        <v>143</v>
      </c>
      <c r="B95">
        <v>0</v>
      </c>
      <c r="C95">
        <v>0</v>
      </c>
    </row>
    <row r="96" spans="1:3" x14ac:dyDescent="0.3">
      <c r="A96" t="s">
        <v>163</v>
      </c>
      <c r="B96">
        <v>0</v>
      </c>
      <c r="C96">
        <v>0</v>
      </c>
    </row>
    <row r="97" spans="1:3" x14ac:dyDescent="0.3">
      <c r="A97" t="s">
        <v>105</v>
      </c>
      <c r="B97">
        <v>0</v>
      </c>
      <c r="C97">
        <v>0</v>
      </c>
    </row>
    <row r="98" spans="1:3" x14ac:dyDescent="0.3">
      <c r="A98" t="s">
        <v>240</v>
      </c>
      <c r="B98">
        <v>0</v>
      </c>
      <c r="C98">
        <v>0</v>
      </c>
    </row>
    <row r="99" spans="1:3" x14ac:dyDescent="0.3">
      <c r="A99" t="s">
        <v>232</v>
      </c>
      <c r="B99">
        <v>1.3524977395769E-2</v>
      </c>
      <c r="C99">
        <v>0</v>
      </c>
    </row>
    <row r="100" spans="1:3" x14ac:dyDescent="0.3">
      <c r="A100" t="s">
        <v>93</v>
      </c>
      <c r="B100">
        <v>5.2260976788654302E-2</v>
      </c>
      <c r="C100">
        <v>5.0045506657633097E-2</v>
      </c>
    </row>
    <row r="101" spans="1:3" x14ac:dyDescent="0.3">
      <c r="A101" t="s">
        <v>157</v>
      </c>
      <c r="B101">
        <v>0</v>
      </c>
      <c r="C101">
        <v>0</v>
      </c>
    </row>
    <row r="102" spans="1:3" x14ac:dyDescent="0.3">
      <c r="A102" t="s">
        <v>149</v>
      </c>
      <c r="B102">
        <v>0</v>
      </c>
      <c r="C102">
        <v>0</v>
      </c>
    </row>
    <row r="103" spans="1:3" x14ac:dyDescent="0.3">
      <c r="A103" t="s">
        <v>132</v>
      </c>
      <c r="B103">
        <v>0</v>
      </c>
      <c r="C103">
        <v>0</v>
      </c>
    </row>
    <row r="104" spans="1:3" x14ac:dyDescent="0.3">
      <c r="A104" t="s">
        <v>211</v>
      </c>
      <c r="B104">
        <v>0</v>
      </c>
      <c r="C104">
        <v>0</v>
      </c>
    </row>
    <row r="105" spans="1:3" x14ac:dyDescent="0.3">
      <c r="A105" t="s">
        <v>202</v>
      </c>
      <c r="B105">
        <v>0</v>
      </c>
      <c r="C105">
        <v>0</v>
      </c>
    </row>
    <row r="106" spans="1:3" x14ac:dyDescent="0.3">
      <c r="A106" t="s">
        <v>95</v>
      </c>
      <c r="B106">
        <v>6.2813208431310302E-3</v>
      </c>
      <c r="C106">
        <v>7.9390295750858802E-3</v>
      </c>
    </row>
    <row r="107" spans="1:3" x14ac:dyDescent="0.3">
      <c r="A107" t="s">
        <v>137</v>
      </c>
      <c r="B107">
        <v>7.8636330091286701E-3</v>
      </c>
      <c r="C107">
        <v>0</v>
      </c>
    </row>
    <row r="108" spans="1:3" x14ac:dyDescent="0.3">
      <c r="A108" t="s">
        <v>196</v>
      </c>
      <c r="B108">
        <v>0</v>
      </c>
      <c r="C108">
        <v>9.0399092361523707E-3</v>
      </c>
    </row>
    <row r="109" spans="1:3" x14ac:dyDescent="0.3">
      <c r="A109" t="s">
        <v>83</v>
      </c>
      <c r="B109">
        <v>0</v>
      </c>
      <c r="C109">
        <v>0</v>
      </c>
    </row>
    <row r="110" spans="1:3" x14ac:dyDescent="0.3">
      <c r="A110" t="s">
        <v>87</v>
      </c>
      <c r="B110">
        <v>1.4551403409403399E-2</v>
      </c>
      <c r="C110">
        <v>0</v>
      </c>
    </row>
    <row r="111" spans="1:3" x14ac:dyDescent="0.3">
      <c r="A111" t="s">
        <v>198</v>
      </c>
      <c r="B111">
        <v>0</v>
      </c>
      <c r="C111">
        <v>0</v>
      </c>
    </row>
    <row r="112" spans="1:3" x14ac:dyDescent="0.3">
      <c r="A112" t="s">
        <v>52</v>
      </c>
      <c r="B112">
        <v>1.3288999873824901E-2</v>
      </c>
      <c r="C112">
        <v>8.5259172201202493E-3</v>
      </c>
    </row>
    <row r="113" spans="1:3" x14ac:dyDescent="0.3">
      <c r="A113" t="s">
        <v>107</v>
      </c>
      <c r="B113">
        <v>0</v>
      </c>
      <c r="C113">
        <v>9.5083359713939095E-3</v>
      </c>
    </row>
    <row r="114" spans="1:3" x14ac:dyDescent="0.3">
      <c r="A114" t="s">
        <v>208</v>
      </c>
      <c r="B114">
        <v>0</v>
      </c>
      <c r="C114">
        <v>0</v>
      </c>
    </row>
    <row r="115" spans="1:3" x14ac:dyDescent="0.3">
      <c r="A115" t="s">
        <v>266</v>
      </c>
      <c r="B115">
        <v>0</v>
      </c>
      <c r="C115">
        <v>0</v>
      </c>
    </row>
    <row r="116" spans="1:3" x14ac:dyDescent="0.3">
      <c r="A116" t="s">
        <v>214</v>
      </c>
      <c r="B116">
        <v>0</v>
      </c>
      <c r="C116">
        <v>0</v>
      </c>
    </row>
    <row r="117" spans="1:3" x14ac:dyDescent="0.3">
      <c r="A117" t="s">
        <v>111</v>
      </c>
      <c r="B117">
        <v>7.4959301045983504E-3</v>
      </c>
      <c r="C117">
        <v>0</v>
      </c>
    </row>
    <row r="118" spans="1:3" x14ac:dyDescent="0.3">
      <c r="A118" t="s">
        <v>223</v>
      </c>
      <c r="B118">
        <v>0</v>
      </c>
      <c r="C118">
        <v>0</v>
      </c>
    </row>
    <row r="119" spans="1:3" x14ac:dyDescent="0.3">
      <c r="A119" t="s">
        <v>221</v>
      </c>
      <c r="B119">
        <v>0</v>
      </c>
      <c r="C119">
        <v>0</v>
      </c>
    </row>
    <row r="120" spans="1:3" x14ac:dyDescent="0.3">
      <c r="A120" t="s">
        <v>205</v>
      </c>
      <c r="B120">
        <v>0</v>
      </c>
      <c r="C120">
        <v>9.5337001877279608E-3</v>
      </c>
    </row>
    <row r="121" spans="1:3" x14ac:dyDescent="0.3">
      <c r="A121" t="s">
        <v>88</v>
      </c>
      <c r="B121">
        <v>0</v>
      </c>
      <c r="C121">
        <v>0</v>
      </c>
    </row>
    <row r="122" spans="1:3" x14ac:dyDescent="0.3">
      <c r="A122" t="s">
        <v>243</v>
      </c>
      <c r="B122">
        <v>0</v>
      </c>
      <c r="C122">
        <v>0</v>
      </c>
    </row>
    <row r="123" spans="1:3" x14ac:dyDescent="0.3">
      <c r="A123" t="s">
        <v>210</v>
      </c>
      <c r="B123">
        <v>0</v>
      </c>
      <c r="C123">
        <v>0</v>
      </c>
    </row>
    <row r="124" spans="1:3" x14ac:dyDescent="0.3">
      <c r="A124" t="s">
        <v>188</v>
      </c>
      <c r="B124">
        <v>5.8436853215289497E-3</v>
      </c>
      <c r="C124">
        <v>1.1635979096034201E-2</v>
      </c>
    </row>
    <row r="125" spans="1:3" x14ac:dyDescent="0.3">
      <c r="A125" t="s">
        <v>209</v>
      </c>
      <c r="B125">
        <v>0</v>
      </c>
      <c r="C125">
        <v>1.02640064422E-2</v>
      </c>
    </row>
    <row r="126" spans="1:3" x14ac:dyDescent="0.3">
      <c r="A126" t="s">
        <v>166</v>
      </c>
      <c r="B126">
        <v>0</v>
      </c>
      <c r="C126">
        <v>9.9575257526368696E-3</v>
      </c>
    </row>
    <row r="127" spans="1:3" x14ac:dyDescent="0.3">
      <c r="A127" t="s">
        <v>154</v>
      </c>
      <c r="B127">
        <v>5.3520670750930102E-3</v>
      </c>
      <c r="C127">
        <v>9.8033024403716609E-3</v>
      </c>
    </row>
    <row r="128" spans="1:3" x14ac:dyDescent="0.3">
      <c r="A128" t="s">
        <v>69</v>
      </c>
      <c r="B128">
        <v>1.3288999873824901E-2</v>
      </c>
      <c r="C128">
        <v>1.18077870820744E-2</v>
      </c>
    </row>
    <row r="129" spans="1:3" x14ac:dyDescent="0.3">
      <c r="A129" t="s">
        <v>150</v>
      </c>
      <c r="B129">
        <v>0</v>
      </c>
      <c r="C129">
        <v>0</v>
      </c>
    </row>
    <row r="130" spans="1:3" x14ac:dyDescent="0.3">
      <c r="A130" t="s">
        <v>170</v>
      </c>
      <c r="B130">
        <v>0</v>
      </c>
      <c r="C130">
        <v>0</v>
      </c>
    </row>
    <row r="131" spans="1:3" x14ac:dyDescent="0.3">
      <c r="A131" t="s">
        <v>257</v>
      </c>
      <c r="B131">
        <v>0</v>
      </c>
      <c r="C131">
        <v>0</v>
      </c>
    </row>
    <row r="132" spans="1:3" x14ac:dyDescent="0.3">
      <c r="A132" t="s">
        <v>235</v>
      </c>
      <c r="B132">
        <v>0</v>
      </c>
      <c r="C132">
        <v>0</v>
      </c>
    </row>
    <row r="133" spans="1:3" x14ac:dyDescent="0.3">
      <c r="A133" t="s">
        <v>197</v>
      </c>
      <c r="B133">
        <v>0</v>
      </c>
      <c r="C133">
        <v>0</v>
      </c>
    </row>
    <row r="134" spans="1:3" x14ac:dyDescent="0.3">
      <c r="A134" t="s">
        <v>176</v>
      </c>
      <c r="B134">
        <v>0</v>
      </c>
      <c r="C134">
        <v>0</v>
      </c>
    </row>
    <row r="135" spans="1:3" x14ac:dyDescent="0.3">
      <c r="A135" t="s">
        <v>86</v>
      </c>
      <c r="B135">
        <v>1.25414119934856E-2</v>
      </c>
      <c r="C135">
        <v>7.2027054168184602E-3</v>
      </c>
    </row>
    <row r="136" spans="1:3" x14ac:dyDescent="0.3">
      <c r="A136" t="s">
        <v>250</v>
      </c>
      <c r="B136">
        <v>0</v>
      </c>
      <c r="C136">
        <v>0</v>
      </c>
    </row>
    <row r="137" spans="1:3" x14ac:dyDescent="0.3">
      <c r="A137" t="s">
        <v>81</v>
      </c>
      <c r="B137">
        <v>1.22184050659364E-2</v>
      </c>
      <c r="C137">
        <v>1.00243266277939E-2</v>
      </c>
    </row>
    <row r="138" spans="1:3" x14ac:dyDescent="0.3">
      <c r="A138" t="s">
        <v>251</v>
      </c>
      <c r="B138">
        <v>0</v>
      </c>
      <c r="C138">
        <v>0</v>
      </c>
    </row>
    <row r="139" spans="1:3" x14ac:dyDescent="0.3">
      <c r="A139" t="s">
        <v>245</v>
      </c>
      <c r="B139">
        <v>0</v>
      </c>
      <c r="C139">
        <v>0</v>
      </c>
    </row>
    <row r="140" spans="1:3" x14ac:dyDescent="0.3">
      <c r="A140" t="s">
        <v>258</v>
      </c>
      <c r="B140">
        <v>0</v>
      </c>
      <c r="C140">
        <v>0</v>
      </c>
    </row>
    <row r="141" spans="1:3" x14ac:dyDescent="0.3">
      <c r="A141" t="s">
        <v>61</v>
      </c>
      <c r="B141">
        <v>1.03465212680326E-2</v>
      </c>
      <c r="C141">
        <v>8.6339202643376696E-3</v>
      </c>
    </row>
    <row r="142" spans="1:3" x14ac:dyDescent="0.3">
      <c r="A142" t="s">
        <v>212</v>
      </c>
      <c r="B142">
        <v>0</v>
      </c>
      <c r="C142">
        <v>0</v>
      </c>
    </row>
    <row r="143" spans="1:3" x14ac:dyDescent="0.3">
      <c r="A143" t="s">
        <v>96</v>
      </c>
      <c r="B143">
        <v>3.90719055404396E-2</v>
      </c>
      <c r="C143">
        <v>2.5954032312824001E-2</v>
      </c>
    </row>
    <row r="144" spans="1:3" x14ac:dyDescent="0.3">
      <c r="A144" t="s">
        <v>65</v>
      </c>
      <c r="B144">
        <v>9.4367894764609897E-3</v>
      </c>
      <c r="C144">
        <v>0</v>
      </c>
    </row>
    <row r="145" spans="1:3" x14ac:dyDescent="0.3">
      <c r="A145" t="s">
        <v>187</v>
      </c>
      <c r="B145">
        <v>0</v>
      </c>
      <c r="C145">
        <v>0</v>
      </c>
    </row>
    <row r="146" spans="1:3" x14ac:dyDescent="0.3">
      <c r="A146" t="s">
        <v>180</v>
      </c>
      <c r="B146">
        <v>0</v>
      </c>
      <c r="C146">
        <v>0</v>
      </c>
    </row>
    <row r="147" spans="1:3" x14ac:dyDescent="0.3">
      <c r="A147" t="s">
        <v>239</v>
      </c>
      <c r="B147">
        <v>0</v>
      </c>
      <c r="C147">
        <v>0</v>
      </c>
    </row>
    <row r="148" spans="1:3" x14ac:dyDescent="0.3">
      <c r="A148" t="s">
        <v>262</v>
      </c>
      <c r="B148">
        <v>0</v>
      </c>
      <c r="C148">
        <v>0</v>
      </c>
    </row>
    <row r="149" spans="1:3" x14ac:dyDescent="0.3">
      <c r="A149" t="s">
        <v>233</v>
      </c>
      <c r="B149">
        <v>0</v>
      </c>
      <c r="C149">
        <v>3.9619015926858098E-2</v>
      </c>
    </row>
    <row r="150" spans="1:3" x14ac:dyDescent="0.3">
      <c r="A150" t="s">
        <v>59</v>
      </c>
      <c r="B150">
        <v>1.3288999873824901E-2</v>
      </c>
      <c r="C150">
        <v>7.3549029246943202E-3</v>
      </c>
    </row>
    <row r="151" spans="1:3" x14ac:dyDescent="0.3">
      <c r="A151" t="s">
        <v>252</v>
      </c>
      <c r="B151">
        <v>0</v>
      </c>
      <c r="C151">
        <v>0</v>
      </c>
    </row>
    <row r="152" spans="1:3" x14ac:dyDescent="0.3">
      <c r="A152" t="s">
        <v>75</v>
      </c>
      <c r="B152">
        <v>6.5926573871166001E-3</v>
      </c>
      <c r="C152">
        <v>0</v>
      </c>
    </row>
    <row r="153" spans="1:3" x14ac:dyDescent="0.3">
      <c r="A153" t="s">
        <v>167</v>
      </c>
      <c r="B153">
        <v>1.3831219675731201E-2</v>
      </c>
      <c r="C153">
        <v>9.8315963933172709E-3</v>
      </c>
    </row>
    <row r="154" spans="1:3" x14ac:dyDescent="0.3">
      <c r="A154" t="s">
        <v>201</v>
      </c>
      <c r="B154">
        <v>0</v>
      </c>
      <c r="C154">
        <v>0</v>
      </c>
    </row>
    <row r="155" spans="1:3" x14ac:dyDescent="0.3">
      <c r="A155" t="s">
        <v>92</v>
      </c>
      <c r="B155">
        <v>1.4612549080837801E-2</v>
      </c>
      <c r="C155">
        <v>1.30072227656196E-2</v>
      </c>
    </row>
    <row r="156" spans="1:3" x14ac:dyDescent="0.3">
      <c r="A156" t="s">
        <v>77</v>
      </c>
      <c r="B156">
        <v>1.3288999873824901E-2</v>
      </c>
      <c r="C156">
        <v>8.5639136828573308E-3</v>
      </c>
    </row>
    <row r="157" spans="1:3" x14ac:dyDescent="0.3">
      <c r="A157" t="s">
        <v>101</v>
      </c>
      <c r="B157">
        <v>8.1206638811296694E-3</v>
      </c>
      <c r="C157">
        <v>7.23488372806566E-3</v>
      </c>
    </row>
    <row r="158" spans="1:3" x14ac:dyDescent="0.3">
      <c r="A158" t="s">
        <v>199</v>
      </c>
      <c r="B158">
        <v>0</v>
      </c>
      <c r="C158">
        <v>2.6925647196765299E-2</v>
      </c>
    </row>
    <row r="159" spans="1:3" x14ac:dyDescent="0.3">
      <c r="A159" t="s">
        <v>139</v>
      </c>
      <c r="B159">
        <v>0</v>
      </c>
      <c r="C159">
        <v>0</v>
      </c>
    </row>
    <row r="160" spans="1:3" x14ac:dyDescent="0.3">
      <c r="A160" t="s">
        <v>237</v>
      </c>
      <c r="B160">
        <v>7.5005401518103004E-3</v>
      </c>
      <c r="C160">
        <v>0</v>
      </c>
    </row>
    <row r="161" spans="1:3" x14ac:dyDescent="0.3">
      <c r="A161" t="s">
        <v>224</v>
      </c>
      <c r="B161">
        <v>0</v>
      </c>
      <c r="C161">
        <v>0</v>
      </c>
    </row>
    <row r="162" spans="1:3" x14ac:dyDescent="0.3">
      <c r="A162" t="s">
        <v>183</v>
      </c>
      <c r="B162">
        <v>0</v>
      </c>
      <c r="C162">
        <v>0</v>
      </c>
    </row>
    <row r="163" spans="1:3" x14ac:dyDescent="0.3">
      <c r="A163" t="s">
        <v>276</v>
      </c>
      <c r="B163">
        <v>0</v>
      </c>
      <c r="C163">
        <v>0</v>
      </c>
    </row>
    <row r="164" spans="1:3" x14ac:dyDescent="0.3">
      <c r="A164" t="s">
        <v>131</v>
      </c>
      <c r="B164">
        <v>2.30893773710566E-2</v>
      </c>
      <c r="C164">
        <v>2.07360119686908E-2</v>
      </c>
    </row>
    <row r="165" spans="1:3" x14ac:dyDescent="0.3">
      <c r="A165" t="s">
        <v>122</v>
      </c>
      <c r="B165">
        <v>6.7723638830977E-3</v>
      </c>
      <c r="C165">
        <v>0</v>
      </c>
    </row>
    <row r="166" spans="1:3" x14ac:dyDescent="0.3">
      <c r="A166" t="s">
        <v>260</v>
      </c>
      <c r="B166">
        <v>0</v>
      </c>
      <c r="C166">
        <v>0</v>
      </c>
    </row>
    <row r="167" spans="1:3" x14ac:dyDescent="0.3">
      <c r="A167" t="s">
        <v>231</v>
      </c>
      <c r="B167">
        <v>0</v>
      </c>
      <c r="C167">
        <v>0</v>
      </c>
    </row>
    <row r="168" spans="1:3" x14ac:dyDescent="0.3">
      <c r="A168" t="s">
        <v>216</v>
      </c>
      <c r="B168">
        <v>0</v>
      </c>
      <c r="C168">
        <v>0</v>
      </c>
    </row>
    <row r="169" spans="1:3" x14ac:dyDescent="0.3">
      <c r="A169" t="s">
        <v>215</v>
      </c>
      <c r="B169">
        <v>0</v>
      </c>
      <c r="C169">
        <v>0</v>
      </c>
    </row>
    <row r="170" spans="1:3" x14ac:dyDescent="0.3">
      <c r="A170" t="s">
        <v>126</v>
      </c>
      <c r="B170">
        <v>8.7606885042103098E-3</v>
      </c>
      <c r="C170">
        <v>0</v>
      </c>
    </row>
    <row r="171" spans="1:3" x14ac:dyDescent="0.3">
      <c r="A171" t="s">
        <v>54</v>
      </c>
      <c r="B171">
        <v>1.25612285385909E-2</v>
      </c>
      <c r="C171">
        <v>1.18077870820744E-2</v>
      </c>
    </row>
    <row r="172" spans="1:3" x14ac:dyDescent="0.3">
      <c r="A172" t="s">
        <v>190</v>
      </c>
      <c r="B172">
        <v>0</v>
      </c>
      <c r="C172">
        <v>0</v>
      </c>
    </row>
    <row r="173" spans="1:3" x14ac:dyDescent="0.3">
      <c r="A173" t="s">
        <v>277</v>
      </c>
      <c r="B173">
        <v>0</v>
      </c>
      <c r="C173">
        <v>0</v>
      </c>
    </row>
    <row r="174" spans="1:3" x14ac:dyDescent="0.3">
      <c r="A174" t="s">
        <v>267</v>
      </c>
      <c r="B174">
        <v>0</v>
      </c>
      <c r="C174">
        <v>0</v>
      </c>
    </row>
    <row r="175" spans="1:3" x14ac:dyDescent="0.3">
      <c r="A175" t="s">
        <v>234</v>
      </c>
      <c r="B175">
        <v>0</v>
      </c>
      <c r="C175">
        <v>0</v>
      </c>
    </row>
    <row r="176" spans="1:3" x14ac:dyDescent="0.3">
      <c r="A176" t="s">
        <v>85</v>
      </c>
      <c r="B176">
        <v>0</v>
      </c>
      <c r="C176">
        <v>0</v>
      </c>
    </row>
    <row r="177" spans="1:3" x14ac:dyDescent="0.3">
      <c r="A177" t="s">
        <v>174</v>
      </c>
      <c r="B177">
        <v>0</v>
      </c>
      <c r="C177">
        <v>0</v>
      </c>
    </row>
    <row r="178" spans="1:3" x14ac:dyDescent="0.3">
      <c r="A178" t="s">
        <v>228</v>
      </c>
      <c r="B178">
        <v>0</v>
      </c>
      <c r="C178">
        <v>0</v>
      </c>
    </row>
    <row r="179" spans="1:3" x14ac:dyDescent="0.3">
      <c r="A179" t="s">
        <v>255</v>
      </c>
      <c r="B179">
        <v>0</v>
      </c>
      <c r="C179">
        <v>0</v>
      </c>
    </row>
    <row r="180" spans="1:3" x14ac:dyDescent="0.3">
      <c r="A180" t="s">
        <v>138</v>
      </c>
      <c r="B180">
        <v>6.9467780615663898E-3</v>
      </c>
      <c r="C180">
        <v>0</v>
      </c>
    </row>
    <row r="181" spans="1:3" x14ac:dyDescent="0.3">
      <c r="A181" t="s">
        <v>186</v>
      </c>
      <c r="B181">
        <v>0</v>
      </c>
      <c r="C181">
        <v>0</v>
      </c>
    </row>
    <row r="182" spans="1:3" x14ac:dyDescent="0.3">
      <c r="A182" t="s">
        <v>230</v>
      </c>
      <c r="B182">
        <v>0</v>
      </c>
      <c r="C182">
        <v>0</v>
      </c>
    </row>
    <row r="183" spans="1:3" x14ac:dyDescent="0.3">
      <c r="A183" t="s">
        <v>182</v>
      </c>
      <c r="B183">
        <v>0</v>
      </c>
      <c r="C183">
        <v>0</v>
      </c>
    </row>
    <row r="184" spans="1:3" x14ac:dyDescent="0.3">
      <c r="A184" t="s">
        <v>60</v>
      </c>
      <c r="B184">
        <v>1.5633943475130599E-2</v>
      </c>
      <c r="C184">
        <v>1.26996911906941E-2</v>
      </c>
    </row>
    <row r="185" spans="1:3" x14ac:dyDescent="0.3">
      <c r="A185" t="s">
        <v>261</v>
      </c>
      <c r="B185">
        <v>0</v>
      </c>
      <c r="C185">
        <v>0</v>
      </c>
    </row>
    <row r="186" spans="1:3" x14ac:dyDescent="0.3">
      <c r="A186" t="s">
        <v>178</v>
      </c>
      <c r="B186">
        <v>0</v>
      </c>
      <c r="C186">
        <v>0</v>
      </c>
    </row>
    <row r="187" spans="1:3" x14ac:dyDescent="0.3">
      <c r="A187" t="s">
        <v>168</v>
      </c>
      <c r="B187">
        <v>0</v>
      </c>
      <c r="C187">
        <v>0</v>
      </c>
    </row>
    <row r="188" spans="1:3" x14ac:dyDescent="0.3">
      <c r="A188" t="s">
        <v>128</v>
      </c>
      <c r="B188">
        <v>0</v>
      </c>
      <c r="C188">
        <v>0</v>
      </c>
    </row>
    <row r="189" spans="1:3" x14ac:dyDescent="0.3">
      <c r="A189" t="s">
        <v>189</v>
      </c>
      <c r="B189">
        <v>0</v>
      </c>
      <c r="C189">
        <v>0</v>
      </c>
    </row>
    <row r="190" spans="1:3" x14ac:dyDescent="0.3">
      <c r="A190" t="s">
        <v>238</v>
      </c>
      <c r="B190">
        <v>0</v>
      </c>
      <c r="C190">
        <v>0</v>
      </c>
    </row>
    <row r="191" spans="1:3" x14ac:dyDescent="0.3">
      <c r="A191" t="s">
        <v>242</v>
      </c>
      <c r="B191">
        <v>0</v>
      </c>
      <c r="C191">
        <v>0</v>
      </c>
    </row>
    <row r="192" spans="1:3" x14ac:dyDescent="0.3">
      <c r="A192" t="s">
        <v>133</v>
      </c>
      <c r="B192">
        <v>0</v>
      </c>
      <c r="C192">
        <v>0</v>
      </c>
    </row>
    <row r="193" spans="1:3" x14ac:dyDescent="0.3">
      <c r="A193" t="s">
        <v>109</v>
      </c>
      <c r="B193">
        <v>9.51379565721896E-3</v>
      </c>
      <c r="C193">
        <v>9.8111596493118403E-3</v>
      </c>
    </row>
    <row r="194" spans="1:3" x14ac:dyDescent="0.3">
      <c r="A194" t="s">
        <v>121</v>
      </c>
      <c r="B194">
        <v>0</v>
      </c>
      <c r="C194">
        <v>0</v>
      </c>
    </row>
    <row r="195" spans="1:3" x14ac:dyDescent="0.3">
      <c r="A195" t="s">
        <v>148</v>
      </c>
      <c r="B195">
        <v>0</v>
      </c>
      <c r="C195">
        <v>0</v>
      </c>
    </row>
    <row r="196" spans="1:3" x14ac:dyDescent="0.3">
      <c r="A196" t="s">
        <v>130</v>
      </c>
      <c r="B196">
        <v>0</v>
      </c>
      <c r="C196">
        <v>0</v>
      </c>
    </row>
    <row r="197" spans="1:3" x14ac:dyDescent="0.3">
      <c r="A197" t="s">
        <v>219</v>
      </c>
      <c r="B197">
        <v>0</v>
      </c>
      <c r="C197">
        <v>0</v>
      </c>
    </row>
    <row r="198" spans="1:3" x14ac:dyDescent="0.3">
      <c r="A198" t="s">
        <v>227</v>
      </c>
      <c r="B198">
        <v>0</v>
      </c>
      <c r="C198">
        <v>0</v>
      </c>
    </row>
    <row r="199" spans="1:3" x14ac:dyDescent="0.3">
      <c r="A199" t="s">
        <v>147</v>
      </c>
      <c r="B199">
        <v>2.84495386833916E-2</v>
      </c>
      <c r="C199">
        <v>0</v>
      </c>
    </row>
    <row r="200" spans="1:3" x14ac:dyDescent="0.3">
      <c r="A200" t="s">
        <v>67</v>
      </c>
      <c r="B200">
        <v>1.3155856797116601E-2</v>
      </c>
      <c r="C200">
        <v>0</v>
      </c>
    </row>
    <row r="201" spans="1:3" x14ac:dyDescent="0.3">
      <c r="A201" t="s">
        <v>90</v>
      </c>
      <c r="B201">
        <v>3.7478796358646302E-2</v>
      </c>
      <c r="C201">
        <v>0</v>
      </c>
    </row>
    <row r="202" spans="1:3" x14ac:dyDescent="0.3">
      <c r="A202" t="s">
        <v>79</v>
      </c>
      <c r="B202">
        <v>1.8972620786440401E-2</v>
      </c>
      <c r="C202">
        <v>1.8464716696060101E-2</v>
      </c>
    </row>
    <row r="203" spans="1:3" x14ac:dyDescent="0.3">
      <c r="A203" t="s">
        <v>120</v>
      </c>
      <c r="B203">
        <v>0</v>
      </c>
      <c r="C203">
        <v>0</v>
      </c>
    </row>
    <row r="204" spans="1:3" x14ac:dyDescent="0.3">
      <c r="A204" t="s">
        <v>94</v>
      </c>
      <c r="B204">
        <v>0</v>
      </c>
      <c r="C204">
        <v>3.8726730408163497E-2</v>
      </c>
    </row>
    <row r="205" spans="1:3" x14ac:dyDescent="0.3">
      <c r="A205" t="s">
        <v>113</v>
      </c>
      <c r="B205">
        <v>5.8256116403234397E-3</v>
      </c>
      <c r="C205">
        <v>9.0223402721789393E-3</v>
      </c>
    </row>
    <row r="206" spans="1:3" x14ac:dyDescent="0.3">
      <c r="A206" t="s">
        <v>134</v>
      </c>
      <c r="B206">
        <v>0</v>
      </c>
      <c r="C206">
        <v>0</v>
      </c>
    </row>
    <row r="207" spans="1:3" x14ac:dyDescent="0.3">
      <c r="A207" t="s">
        <v>116</v>
      </c>
      <c r="B207">
        <v>1.05149880485819E-2</v>
      </c>
      <c r="C207">
        <v>1.18599456608221E-2</v>
      </c>
    </row>
    <row r="208" spans="1:3" x14ac:dyDescent="0.3">
      <c r="A208" t="s">
        <v>268</v>
      </c>
      <c r="B208">
        <v>0</v>
      </c>
      <c r="C208">
        <v>0</v>
      </c>
    </row>
    <row r="209" spans="1:3" x14ac:dyDescent="0.3">
      <c r="A209" t="s">
        <v>146</v>
      </c>
      <c r="B209">
        <v>0</v>
      </c>
      <c r="C209">
        <v>0</v>
      </c>
    </row>
    <row r="210" spans="1:3" x14ac:dyDescent="0.3">
      <c r="A210" t="s">
        <v>136</v>
      </c>
      <c r="B210">
        <v>0</v>
      </c>
      <c r="C210">
        <v>0</v>
      </c>
    </row>
    <row r="211" spans="1:3" x14ac:dyDescent="0.3">
      <c r="A211" t="s">
        <v>195</v>
      </c>
      <c r="B211">
        <v>0</v>
      </c>
      <c r="C211">
        <v>0</v>
      </c>
    </row>
    <row r="212" spans="1:3" x14ac:dyDescent="0.3">
      <c r="A212" t="s">
        <v>160</v>
      </c>
      <c r="B212">
        <v>0</v>
      </c>
      <c r="C212">
        <v>0</v>
      </c>
    </row>
    <row r="213" spans="1:3" x14ac:dyDescent="0.3">
      <c r="A213" t="s">
        <v>247</v>
      </c>
      <c r="B213">
        <v>0</v>
      </c>
      <c r="C213">
        <v>0</v>
      </c>
    </row>
    <row r="214" spans="1:3" x14ac:dyDescent="0.3">
      <c r="A214" t="s">
        <v>206</v>
      </c>
      <c r="B214">
        <v>0</v>
      </c>
      <c r="C214">
        <v>0</v>
      </c>
    </row>
    <row r="215" spans="1:3" x14ac:dyDescent="0.3">
      <c r="A215" t="s">
        <v>249</v>
      </c>
      <c r="B215">
        <v>0</v>
      </c>
      <c r="C215">
        <v>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1304B-5B19-4913-BCAD-20C9E5A6DBFF}">
  <dimension ref="A1:C215"/>
  <sheetViews>
    <sheetView topLeftCell="A178" workbookViewId="0">
      <selection activeCell="F13" sqref="F13"/>
    </sheetView>
  </sheetViews>
  <sheetFormatPr defaultRowHeight="14.4" x14ac:dyDescent="0.3"/>
  <sheetData>
    <row r="1" spans="1:3" x14ac:dyDescent="0.3">
      <c r="A1" t="s">
        <v>306</v>
      </c>
      <c r="B1" t="s">
        <v>312</v>
      </c>
      <c r="C1" t="s">
        <v>313</v>
      </c>
    </row>
    <row r="2" spans="1:3" x14ac:dyDescent="0.3">
      <c r="A2" t="s">
        <v>192</v>
      </c>
      <c r="B2">
        <v>0</v>
      </c>
      <c r="C2">
        <v>0</v>
      </c>
    </row>
    <row r="3" spans="1:3" x14ac:dyDescent="0.3">
      <c r="A3" t="s">
        <v>72</v>
      </c>
      <c r="B3">
        <v>9.8471322749146498E-3</v>
      </c>
      <c r="C3">
        <v>6.0394483683184601E-3</v>
      </c>
    </row>
    <row r="4" spans="1:3" x14ac:dyDescent="0.3">
      <c r="A4" t="s">
        <v>98</v>
      </c>
      <c r="B4">
        <v>0</v>
      </c>
      <c r="C4">
        <v>0</v>
      </c>
    </row>
    <row r="5" spans="1:3" x14ac:dyDescent="0.3">
      <c r="A5" t="s">
        <v>63</v>
      </c>
      <c r="B5">
        <v>1.0042276131745E-2</v>
      </c>
      <c r="C5">
        <v>0</v>
      </c>
    </row>
    <row r="6" spans="1:3" x14ac:dyDescent="0.3">
      <c r="A6" t="s">
        <v>164</v>
      </c>
      <c r="B6">
        <v>0</v>
      </c>
      <c r="C6">
        <v>0</v>
      </c>
    </row>
    <row r="7" spans="1:3" x14ac:dyDescent="0.3">
      <c r="A7" t="s">
        <v>264</v>
      </c>
      <c r="B7">
        <v>0</v>
      </c>
      <c r="C7">
        <v>0</v>
      </c>
    </row>
    <row r="8" spans="1:3" x14ac:dyDescent="0.3">
      <c r="A8" t="s">
        <v>73</v>
      </c>
      <c r="B8">
        <v>1.7124788720639099E-2</v>
      </c>
      <c r="C8">
        <v>1.3995960713463E-2</v>
      </c>
    </row>
    <row r="9" spans="1:3" x14ac:dyDescent="0.3">
      <c r="A9" t="s">
        <v>265</v>
      </c>
      <c r="B9">
        <v>0</v>
      </c>
      <c r="C9">
        <v>0</v>
      </c>
    </row>
    <row r="10" spans="1:3" x14ac:dyDescent="0.3">
      <c r="A10" t="s">
        <v>263</v>
      </c>
      <c r="B10">
        <v>0</v>
      </c>
      <c r="C10">
        <v>0</v>
      </c>
    </row>
    <row r="11" spans="1:3" x14ac:dyDescent="0.3">
      <c r="A11" t="s">
        <v>177</v>
      </c>
      <c r="B11">
        <v>0</v>
      </c>
      <c r="C11">
        <v>0</v>
      </c>
    </row>
    <row r="12" spans="1:3" x14ac:dyDescent="0.3">
      <c r="A12" t="s">
        <v>159</v>
      </c>
      <c r="B12">
        <v>0</v>
      </c>
      <c r="C12">
        <v>0</v>
      </c>
    </row>
    <row r="13" spans="1:3" x14ac:dyDescent="0.3">
      <c r="A13" t="s">
        <v>172</v>
      </c>
      <c r="B13">
        <v>0</v>
      </c>
      <c r="C13">
        <v>0</v>
      </c>
    </row>
    <row r="14" spans="1:3" x14ac:dyDescent="0.3">
      <c r="A14" t="s">
        <v>145</v>
      </c>
      <c r="B14">
        <v>8.2263608897103699E-3</v>
      </c>
      <c r="C14">
        <v>6.6813209975065202E-3</v>
      </c>
    </row>
    <row r="15" spans="1:3" x14ac:dyDescent="0.3">
      <c r="A15" t="s">
        <v>256</v>
      </c>
      <c r="B15">
        <v>0</v>
      </c>
      <c r="C15">
        <v>0</v>
      </c>
    </row>
    <row r="16" spans="1:3" x14ac:dyDescent="0.3">
      <c r="A16" t="s">
        <v>222</v>
      </c>
      <c r="B16">
        <v>0</v>
      </c>
      <c r="C16">
        <v>0</v>
      </c>
    </row>
    <row r="17" spans="1:3" x14ac:dyDescent="0.3">
      <c r="A17" t="s">
        <v>253</v>
      </c>
      <c r="B17">
        <v>0</v>
      </c>
      <c r="C17">
        <v>0</v>
      </c>
    </row>
    <row r="18" spans="1:3" x14ac:dyDescent="0.3">
      <c r="A18" t="s">
        <v>185</v>
      </c>
      <c r="B18">
        <v>6.5708499058699703E-3</v>
      </c>
      <c r="C18">
        <v>1.0962730591200299E-2</v>
      </c>
    </row>
    <row r="19" spans="1:3" x14ac:dyDescent="0.3">
      <c r="A19" t="s">
        <v>165</v>
      </c>
      <c r="B19">
        <v>0</v>
      </c>
      <c r="C19">
        <v>0</v>
      </c>
    </row>
    <row r="20" spans="1:3" x14ac:dyDescent="0.3">
      <c r="A20" t="s">
        <v>179</v>
      </c>
      <c r="B20">
        <v>0</v>
      </c>
      <c r="C20">
        <v>0</v>
      </c>
    </row>
    <row r="21" spans="1:3" x14ac:dyDescent="0.3">
      <c r="A21" t="s">
        <v>204</v>
      </c>
      <c r="B21">
        <v>0</v>
      </c>
      <c r="C21">
        <v>1.7606779285380798E-2</v>
      </c>
    </row>
    <row r="22" spans="1:3" x14ac:dyDescent="0.3">
      <c r="A22" t="s">
        <v>194</v>
      </c>
      <c r="B22">
        <v>0</v>
      </c>
      <c r="C22">
        <v>0</v>
      </c>
    </row>
    <row r="23" spans="1:3" x14ac:dyDescent="0.3">
      <c r="A23" t="s">
        <v>169</v>
      </c>
      <c r="B23">
        <v>0</v>
      </c>
      <c r="C23">
        <v>0</v>
      </c>
    </row>
    <row r="24" spans="1:3" x14ac:dyDescent="0.3">
      <c r="A24" t="s">
        <v>100</v>
      </c>
      <c r="B24">
        <v>1.1808870192153501E-2</v>
      </c>
      <c r="C24">
        <v>7.8343946817996998E-3</v>
      </c>
    </row>
    <row r="25" spans="1:3" x14ac:dyDescent="0.3">
      <c r="A25" t="s">
        <v>175</v>
      </c>
      <c r="B25">
        <v>0</v>
      </c>
      <c r="C25">
        <v>0</v>
      </c>
    </row>
    <row r="26" spans="1:3" x14ac:dyDescent="0.3">
      <c r="A26" t="s">
        <v>193</v>
      </c>
      <c r="B26">
        <v>0</v>
      </c>
      <c r="C26">
        <v>0</v>
      </c>
    </row>
    <row r="27" spans="1:3" x14ac:dyDescent="0.3">
      <c r="A27" t="s">
        <v>115</v>
      </c>
      <c r="B27">
        <v>6.6091899143988003E-3</v>
      </c>
      <c r="C27">
        <v>6.8352940954510199E-3</v>
      </c>
    </row>
    <row r="28" spans="1:3" x14ac:dyDescent="0.3">
      <c r="A28" t="s">
        <v>259</v>
      </c>
      <c r="B28">
        <v>0</v>
      </c>
      <c r="C28">
        <v>0</v>
      </c>
    </row>
    <row r="29" spans="1:3" x14ac:dyDescent="0.3">
      <c r="A29" t="s">
        <v>89</v>
      </c>
      <c r="B29">
        <v>1.0665109223730601E-2</v>
      </c>
      <c r="C29">
        <v>0</v>
      </c>
    </row>
    <row r="30" spans="1:3" x14ac:dyDescent="0.3">
      <c r="A30" t="s">
        <v>127</v>
      </c>
      <c r="B30">
        <v>7.1314083555547901E-3</v>
      </c>
      <c r="C30">
        <v>6.1066632254909497E-3</v>
      </c>
    </row>
    <row r="31" spans="1:3" x14ac:dyDescent="0.3">
      <c r="A31" t="s">
        <v>173</v>
      </c>
      <c r="B31">
        <v>0</v>
      </c>
      <c r="C31">
        <v>0</v>
      </c>
    </row>
    <row r="32" spans="1:3" x14ac:dyDescent="0.3">
      <c r="A32" t="s">
        <v>241</v>
      </c>
      <c r="B32">
        <v>0</v>
      </c>
      <c r="C32">
        <v>0</v>
      </c>
    </row>
    <row r="33" spans="1:3" x14ac:dyDescent="0.3">
      <c r="A33" t="s">
        <v>123</v>
      </c>
      <c r="B33">
        <v>9.7833752897460591E-3</v>
      </c>
      <c r="C33">
        <v>8.8332078204465796E-3</v>
      </c>
    </row>
    <row r="34" spans="1:3" x14ac:dyDescent="0.3">
      <c r="A34" t="s">
        <v>102</v>
      </c>
      <c r="B34">
        <v>0</v>
      </c>
      <c r="C34">
        <v>0</v>
      </c>
    </row>
    <row r="35" spans="1:3" x14ac:dyDescent="0.3">
      <c r="A35" t="s">
        <v>144</v>
      </c>
      <c r="B35">
        <v>0</v>
      </c>
      <c r="C35">
        <v>2.5133515867686699E-2</v>
      </c>
    </row>
    <row r="36" spans="1:3" x14ac:dyDescent="0.3">
      <c r="A36" t="s">
        <v>153</v>
      </c>
      <c r="B36">
        <v>0</v>
      </c>
      <c r="C36">
        <v>0</v>
      </c>
    </row>
    <row r="37" spans="1:3" x14ac:dyDescent="0.3">
      <c r="A37" t="s">
        <v>64</v>
      </c>
      <c r="B37">
        <v>1.07467489075778E-2</v>
      </c>
      <c r="C37">
        <v>6.1663395248289397E-3</v>
      </c>
    </row>
    <row r="38" spans="1:3" x14ac:dyDescent="0.3">
      <c r="A38" t="s">
        <v>56</v>
      </c>
      <c r="B38">
        <v>1.10599095072657E-2</v>
      </c>
      <c r="C38">
        <v>5.8453806896521599E-3</v>
      </c>
    </row>
    <row r="39" spans="1:3" x14ac:dyDescent="0.3">
      <c r="A39" t="s">
        <v>62</v>
      </c>
      <c r="B39">
        <v>2.5805571372611101E-2</v>
      </c>
      <c r="C39">
        <v>1.5954457725169301E-2</v>
      </c>
    </row>
    <row r="40" spans="1:3" x14ac:dyDescent="0.3">
      <c r="A40" t="s">
        <v>117</v>
      </c>
      <c r="B40">
        <v>0</v>
      </c>
      <c r="C40">
        <v>1.7628130189911901E-2</v>
      </c>
    </row>
    <row r="41" spans="1:3" x14ac:dyDescent="0.3">
      <c r="A41" t="s">
        <v>70</v>
      </c>
      <c r="B41">
        <v>6.7638392995246497E-3</v>
      </c>
      <c r="C41">
        <v>0</v>
      </c>
    </row>
    <row r="42" spans="1:3" x14ac:dyDescent="0.3">
      <c r="A42" t="s">
        <v>82</v>
      </c>
      <c r="B42">
        <v>1.1607141175290899E-2</v>
      </c>
      <c r="C42">
        <v>0</v>
      </c>
    </row>
    <row r="43" spans="1:3" x14ac:dyDescent="0.3">
      <c r="A43" t="s">
        <v>200</v>
      </c>
      <c r="B43">
        <v>0</v>
      </c>
      <c r="C43">
        <v>0</v>
      </c>
    </row>
    <row r="44" spans="1:3" x14ac:dyDescent="0.3">
      <c r="A44" t="s">
        <v>110</v>
      </c>
      <c r="B44">
        <v>3.2110809835316598E-2</v>
      </c>
      <c r="C44">
        <v>4.2334635815924997E-2</v>
      </c>
    </row>
    <row r="45" spans="1:3" x14ac:dyDescent="0.3">
      <c r="A45" t="s">
        <v>135</v>
      </c>
      <c r="B45">
        <v>0</v>
      </c>
      <c r="C45">
        <v>3.0146667203923401E-2</v>
      </c>
    </row>
    <row r="46" spans="1:3" x14ac:dyDescent="0.3">
      <c r="A46" t="s">
        <v>112</v>
      </c>
      <c r="B46">
        <v>0</v>
      </c>
      <c r="C46">
        <v>2.8687088981288501E-2</v>
      </c>
    </row>
    <row r="47" spans="1:3" x14ac:dyDescent="0.3">
      <c r="A47" t="s">
        <v>156</v>
      </c>
      <c r="B47">
        <v>0</v>
      </c>
      <c r="C47">
        <v>5.3209785483147899E-3</v>
      </c>
    </row>
    <row r="48" spans="1:3" x14ac:dyDescent="0.3">
      <c r="A48" t="s">
        <v>246</v>
      </c>
      <c r="B48">
        <v>0</v>
      </c>
      <c r="C48">
        <v>0</v>
      </c>
    </row>
    <row r="49" spans="1:3" x14ac:dyDescent="0.3">
      <c r="A49" t="s">
        <v>58</v>
      </c>
      <c r="B49">
        <v>1.24295189691779E-2</v>
      </c>
      <c r="C49">
        <v>7.9398298805718106E-3</v>
      </c>
    </row>
    <row r="50" spans="1:3" x14ac:dyDescent="0.3">
      <c r="A50" t="s">
        <v>207</v>
      </c>
      <c r="B50">
        <v>0</v>
      </c>
      <c r="C50">
        <v>0</v>
      </c>
    </row>
    <row r="51" spans="1:3" x14ac:dyDescent="0.3">
      <c r="A51" t="s">
        <v>220</v>
      </c>
      <c r="B51">
        <v>0</v>
      </c>
      <c r="C51">
        <v>0</v>
      </c>
    </row>
    <row r="52" spans="1:3" x14ac:dyDescent="0.3">
      <c r="A52" t="s">
        <v>217</v>
      </c>
      <c r="B52">
        <v>0</v>
      </c>
      <c r="C52">
        <v>0</v>
      </c>
    </row>
    <row r="53" spans="1:3" x14ac:dyDescent="0.3">
      <c r="A53" t="s">
        <v>254</v>
      </c>
      <c r="B53">
        <v>0</v>
      </c>
      <c r="C53">
        <v>0</v>
      </c>
    </row>
    <row r="54" spans="1:3" x14ac:dyDescent="0.3">
      <c r="A54" t="s">
        <v>155</v>
      </c>
      <c r="B54">
        <v>0</v>
      </c>
      <c r="C54">
        <v>0</v>
      </c>
    </row>
    <row r="55" spans="1:3" x14ac:dyDescent="0.3">
      <c r="A55" t="s">
        <v>213</v>
      </c>
      <c r="B55">
        <v>0</v>
      </c>
      <c r="C55">
        <v>0</v>
      </c>
    </row>
    <row r="56" spans="1:3" x14ac:dyDescent="0.3">
      <c r="A56" t="s">
        <v>218</v>
      </c>
      <c r="B56">
        <v>0</v>
      </c>
      <c r="C56">
        <v>0</v>
      </c>
    </row>
    <row r="57" spans="1:3" x14ac:dyDescent="0.3">
      <c r="A57" t="s">
        <v>80</v>
      </c>
      <c r="B57">
        <v>9.8707701870783295E-3</v>
      </c>
      <c r="C57">
        <v>8.9554939434519296E-3</v>
      </c>
    </row>
    <row r="58" spans="1:3" x14ac:dyDescent="0.3">
      <c r="A58" t="s">
        <v>191</v>
      </c>
      <c r="B58">
        <v>0</v>
      </c>
      <c r="C58">
        <v>0</v>
      </c>
    </row>
    <row r="59" spans="1:3" x14ac:dyDescent="0.3">
      <c r="A59" t="s">
        <v>181</v>
      </c>
      <c r="B59">
        <v>0</v>
      </c>
      <c r="C59">
        <v>0</v>
      </c>
    </row>
    <row r="60" spans="1:3" x14ac:dyDescent="0.3">
      <c r="A60" t="s">
        <v>103</v>
      </c>
      <c r="B60">
        <v>1.5176465705911701E-2</v>
      </c>
      <c r="C60">
        <v>9.4637562466659397E-3</v>
      </c>
    </row>
    <row r="61" spans="1:3" x14ac:dyDescent="0.3">
      <c r="A61" t="s">
        <v>108</v>
      </c>
      <c r="B61">
        <v>5.5731778295989897E-3</v>
      </c>
      <c r="C61">
        <v>6.2475638733621797E-3</v>
      </c>
    </row>
    <row r="62" spans="1:3" x14ac:dyDescent="0.3">
      <c r="A62" t="s">
        <v>104</v>
      </c>
      <c r="B62">
        <v>5.5022486196948002E-3</v>
      </c>
      <c r="C62">
        <v>6.6468270517203096E-3</v>
      </c>
    </row>
    <row r="63" spans="1:3" x14ac:dyDescent="0.3">
      <c r="A63" t="s">
        <v>124</v>
      </c>
      <c r="B63">
        <v>0</v>
      </c>
      <c r="C63">
        <v>2.06063436114419E-2</v>
      </c>
    </row>
    <row r="64" spans="1:3" x14ac:dyDescent="0.3">
      <c r="A64" t="s">
        <v>142</v>
      </c>
      <c r="B64">
        <v>0</v>
      </c>
      <c r="C64">
        <v>0</v>
      </c>
    </row>
    <row r="65" spans="1:3" x14ac:dyDescent="0.3">
      <c r="A65" t="s">
        <v>74</v>
      </c>
      <c r="B65">
        <v>1.08840916853793E-2</v>
      </c>
      <c r="C65">
        <v>8.1674537517602008E-3</v>
      </c>
    </row>
    <row r="66" spans="1:3" x14ac:dyDescent="0.3">
      <c r="A66" t="s">
        <v>106</v>
      </c>
      <c r="B66">
        <v>6.96480601322573E-3</v>
      </c>
      <c r="C66">
        <v>0</v>
      </c>
    </row>
    <row r="67" spans="1:3" x14ac:dyDescent="0.3">
      <c r="A67" t="s">
        <v>229</v>
      </c>
      <c r="B67">
        <v>0</v>
      </c>
      <c r="C67">
        <v>0</v>
      </c>
    </row>
    <row r="68" spans="1:3" x14ac:dyDescent="0.3">
      <c r="A68" t="s">
        <v>99</v>
      </c>
      <c r="B68">
        <v>9.8592752449806805E-3</v>
      </c>
      <c r="C68">
        <v>0</v>
      </c>
    </row>
    <row r="69" spans="1:3" x14ac:dyDescent="0.3">
      <c r="A69" t="s">
        <v>161</v>
      </c>
      <c r="B69">
        <v>0</v>
      </c>
      <c r="C69">
        <v>0</v>
      </c>
    </row>
    <row r="70" spans="1:3" x14ac:dyDescent="0.3">
      <c r="A70" t="s">
        <v>162</v>
      </c>
      <c r="B70">
        <v>0</v>
      </c>
      <c r="C70">
        <v>0</v>
      </c>
    </row>
    <row r="71" spans="1:3" x14ac:dyDescent="0.3">
      <c r="A71" t="s">
        <v>171</v>
      </c>
      <c r="B71">
        <v>0</v>
      </c>
      <c r="C71">
        <v>0</v>
      </c>
    </row>
    <row r="72" spans="1:3" x14ac:dyDescent="0.3">
      <c r="A72" t="s">
        <v>84</v>
      </c>
      <c r="B72">
        <v>7.3994340663882004E-3</v>
      </c>
      <c r="C72">
        <v>9.8665773843535608E-3</v>
      </c>
    </row>
    <row r="73" spans="1:3" x14ac:dyDescent="0.3">
      <c r="A73" t="s">
        <v>91</v>
      </c>
      <c r="B73">
        <v>1.8813622700624699E-2</v>
      </c>
      <c r="C73">
        <v>1.51000016492021E-2</v>
      </c>
    </row>
    <row r="74" spans="1:3" x14ac:dyDescent="0.3">
      <c r="A74" t="s">
        <v>158</v>
      </c>
      <c r="B74">
        <v>0</v>
      </c>
      <c r="C74">
        <v>0</v>
      </c>
    </row>
    <row r="75" spans="1:3" x14ac:dyDescent="0.3">
      <c r="A75" t="s">
        <v>119</v>
      </c>
      <c r="B75">
        <v>0</v>
      </c>
      <c r="C75">
        <v>0</v>
      </c>
    </row>
    <row r="76" spans="1:3" x14ac:dyDescent="0.3">
      <c r="A76" t="s">
        <v>140</v>
      </c>
      <c r="B76">
        <v>0</v>
      </c>
      <c r="C76">
        <v>0</v>
      </c>
    </row>
    <row r="77" spans="1:3" x14ac:dyDescent="0.3">
      <c r="A77" t="s">
        <v>78</v>
      </c>
      <c r="B77">
        <v>0</v>
      </c>
      <c r="C77">
        <v>0</v>
      </c>
    </row>
    <row r="78" spans="1:3" x14ac:dyDescent="0.3">
      <c r="A78" t="s">
        <v>129</v>
      </c>
      <c r="B78">
        <v>0</v>
      </c>
      <c r="C78">
        <v>0</v>
      </c>
    </row>
    <row r="79" spans="1:3" x14ac:dyDescent="0.3">
      <c r="A79" t="s">
        <v>248</v>
      </c>
      <c r="B79">
        <v>0</v>
      </c>
      <c r="C79">
        <v>0</v>
      </c>
    </row>
    <row r="80" spans="1:3" x14ac:dyDescent="0.3">
      <c r="A80" t="s">
        <v>225</v>
      </c>
      <c r="B80">
        <v>0</v>
      </c>
      <c r="C80">
        <v>0</v>
      </c>
    </row>
    <row r="81" spans="1:3" x14ac:dyDescent="0.3">
      <c r="A81" t="s">
        <v>97</v>
      </c>
      <c r="B81">
        <v>1.25201656196942E-2</v>
      </c>
      <c r="C81">
        <v>8.8939794121524508E-3</v>
      </c>
    </row>
    <row r="82" spans="1:3" x14ac:dyDescent="0.3">
      <c r="A82" t="s">
        <v>125</v>
      </c>
      <c r="B82">
        <v>0</v>
      </c>
      <c r="C82">
        <v>5.6973828030730403E-3</v>
      </c>
    </row>
    <row r="83" spans="1:3" x14ac:dyDescent="0.3">
      <c r="A83" t="s">
        <v>244</v>
      </c>
      <c r="B83">
        <v>0</v>
      </c>
      <c r="C83">
        <v>0</v>
      </c>
    </row>
    <row r="84" spans="1:3" x14ac:dyDescent="0.3">
      <c r="A84" t="s">
        <v>141</v>
      </c>
      <c r="B84">
        <v>0</v>
      </c>
      <c r="C84">
        <v>0</v>
      </c>
    </row>
    <row r="85" spans="1:3" x14ac:dyDescent="0.3">
      <c r="A85" t="s">
        <v>66</v>
      </c>
      <c r="B85">
        <v>1.24681403633661E-2</v>
      </c>
      <c r="C85">
        <v>0</v>
      </c>
    </row>
    <row r="86" spans="1:3" x14ac:dyDescent="0.3">
      <c r="A86" t="s">
        <v>118</v>
      </c>
      <c r="B86">
        <v>6.75803137302827E-3</v>
      </c>
      <c r="C86">
        <v>7.1416139043459096E-3</v>
      </c>
    </row>
    <row r="87" spans="1:3" x14ac:dyDescent="0.3">
      <c r="A87" t="s">
        <v>236</v>
      </c>
      <c r="B87">
        <v>0</v>
      </c>
      <c r="C87">
        <v>0</v>
      </c>
    </row>
    <row r="88" spans="1:3" x14ac:dyDescent="0.3">
      <c r="A88" t="s">
        <v>76</v>
      </c>
      <c r="B88">
        <v>8.3989649274910597E-3</v>
      </c>
      <c r="C88">
        <v>0</v>
      </c>
    </row>
    <row r="89" spans="1:3" x14ac:dyDescent="0.3">
      <c r="A89" t="s">
        <v>152</v>
      </c>
      <c r="B89">
        <v>0</v>
      </c>
      <c r="C89">
        <v>6.5045216903351702E-3</v>
      </c>
    </row>
    <row r="90" spans="1:3" x14ac:dyDescent="0.3">
      <c r="A90" t="s">
        <v>226</v>
      </c>
      <c r="B90">
        <v>0</v>
      </c>
      <c r="C90">
        <v>0</v>
      </c>
    </row>
    <row r="91" spans="1:3" x14ac:dyDescent="0.3">
      <c r="A91" t="s">
        <v>151</v>
      </c>
      <c r="B91">
        <v>9.5214972237470299E-3</v>
      </c>
      <c r="C91">
        <v>0</v>
      </c>
    </row>
    <row r="92" spans="1:3" x14ac:dyDescent="0.3">
      <c r="A92" t="s">
        <v>203</v>
      </c>
      <c r="B92">
        <v>0</v>
      </c>
      <c r="C92">
        <v>0</v>
      </c>
    </row>
    <row r="93" spans="1:3" x14ac:dyDescent="0.3">
      <c r="A93" t="s">
        <v>114</v>
      </c>
      <c r="B93">
        <v>7.8446787663223293E-3</v>
      </c>
      <c r="C93">
        <v>5.6054284691201203E-3</v>
      </c>
    </row>
    <row r="94" spans="1:3" x14ac:dyDescent="0.3">
      <c r="A94" t="s">
        <v>184</v>
      </c>
      <c r="B94">
        <v>0</v>
      </c>
      <c r="C94">
        <v>0</v>
      </c>
    </row>
    <row r="95" spans="1:3" x14ac:dyDescent="0.3">
      <c r="A95" t="s">
        <v>143</v>
      </c>
      <c r="B95">
        <v>0</v>
      </c>
      <c r="C95">
        <v>0</v>
      </c>
    </row>
    <row r="96" spans="1:3" x14ac:dyDescent="0.3">
      <c r="A96" t="s">
        <v>163</v>
      </c>
      <c r="B96">
        <v>0</v>
      </c>
      <c r="C96">
        <v>0</v>
      </c>
    </row>
    <row r="97" spans="1:3" x14ac:dyDescent="0.3">
      <c r="A97" t="s">
        <v>105</v>
      </c>
      <c r="B97">
        <v>0</v>
      </c>
      <c r="C97">
        <v>6.3054283658331104E-3</v>
      </c>
    </row>
    <row r="98" spans="1:3" x14ac:dyDescent="0.3">
      <c r="A98" t="s">
        <v>240</v>
      </c>
      <c r="B98">
        <v>0</v>
      </c>
      <c r="C98">
        <v>0</v>
      </c>
    </row>
    <row r="99" spans="1:3" x14ac:dyDescent="0.3">
      <c r="A99" t="s">
        <v>232</v>
      </c>
      <c r="B99">
        <v>5.5051006115204902E-3</v>
      </c>
      <c r="C99">
        <v>0</v>
      </c>
    </row>
    <row r="100" spans="1:3" x14ac:dyDescent="0.3">
      <c r="A100" t="s">
        <v>93</v>
      </c>
      <c r="B100">
        <v>4.0108934991352298E-2</v>
      </c>
      <c r="C100">
        <v>3.2405264709735399E-2</v>
      </c>
    </row>
    <row r="101" spans="1:3" x14ac:dyDescent="0.3">
      <c r="A101" t="s">
        <v>157</v>
      </c>
      <c r="B101">
        <v>0</v>
      </c>
      <c r="C101">
        <v>0</v>
      </c>
    </row>
    <row r="102" spans="1:3" x14ac:dyDescent="0.3">
      <c r="A102" t="s">
        <v>149</v>
      </c>
      <c r="B102">
        <v>0</v>
      </c>
      <c r="C102">
        <v>0</v>
      </c>
    </row>
    <row r="103" spans="1:3" x14ac:dyDescent="0.3">
      <c r="A103" t="s">
        <v>132</v>
      </c>
      <c r="B103">
        <v>0</v>
      </c>
      <c r="C103">
        <v>0</v>
      </c>
    </row>
    <row r="104" spans="1:3" x14ac:dyDescent="0.3">
      <c r="A104" t="s">
        <v>211</v>
      </c>
      <c r="B104">
        <v>0</v>
      </c>
      <c r="C104">
        <v>0</v>
      </c>
    </row>
    <row r="105" spans="1:3" x14ac:dyDescent="0.3">
      <c r="A105" t="s">
        <v>202</v>
      </c>
      <c r="B105">
        <v>0</v>
      </c>
      <c r="C105">
        <v>0</v>
      </c>
    </row>
    <row r="106" spans="1:3" x14ac:dyDescent="0.3">
      <c r="A106" t="s">
        <v>95</v>
      </c>
      <c r="B106">
        <v>3.2301011995927602E-2</v>
      </c>
      <c r="C106">
        <v>2.9982021530997702E-2</v>
      </c>
    </row>
    <row r="107" spans="1:3" x14ac:dyDescent="0.3">
      <c r="A107" t="s">
        <v>137</v>
      </c>
      <c r="B107">
        <v>6.5030694189052501E-3</v>
      </c>
      <c r="C107">
        <v>6.0971787781913603E-3</v>
      </c>
    </row>
    <row r="108" spans="1:3" x14ac:dyDescent="0.3">
      <c r="A108" t="s">
        <v>196</v>
      </c>
      <c r="B108">
        <v>0</v>
      </c>
      <c r="C108">
        <v>7.1728208345121502E-3</v>
      </c>
    </row>
    <row r="109" spans="1:3" x14ac:dyDescent="0.3">
      <c r="A109" t="s">
        <v>83</v>
      </c>
      <c r="B109">
        <v>1.4011711379811199E-2</v>
      </c>
      <c r="C109">
        <v>1.2187081989893499E-2</v>
      </c>
    </row>
    <row r="110" spans="1:3" x14ac:dyDescent="0.3">
      <c r="A110" t="s">
        <v>87</v>
      </c>
      <c r="B110">
        <v>1.06894933207549E-2</v>
      </c>
      <c r="C110">
        <v>7.5987481941277501E-3</v>
      </c>
    </row>
    <row r="111" spans="1:3" x14ac:dyDescent="0.3">
      <c r="A111" t="s">
        <v>198</v>
      </c>
      <c r="B111">
        <v>0</v>
      </c>
      <c r="C111">
        <v>0</v>
      </c>
    </row>
    <row r="112" spans="1:3" x14ac:dyDescent="0.3">
      <c r="A112" t="s">
        <v>52</v>
      </c>
      <c r="B112">
        <v>1.22931154954909E-2</v>
      </c>
      <c r="C112">
        <v>9.8665773843535608E-3</v>
      </c>
    </row>
    <row r="113" spans="1:3" x14ac:dyDescent="0.3">
      <c r="A113" t="s">
        <v>107</v>
      </c>
      <c r="B113">
        <v>0</v>
      </c>
      <c r="C113">
        <v>2.4933616933467701E-2</v>
      </c>
    </row>
    <row r="114" spans="1:3" x14ac:dyDescent="0.3">
      <c r="A114" t="s">
        <v>208</v>
      </c>
      <c r="B114">
        <v>0</v>
      </c>
      <c r="C114">
        <v>0</v>
      </c>
    </row>
    <row r="115" spans="1:3" x14ac:dyDescent="0.3">
      <c r="A115" t="s">
        <v>266</v>
      </c>
      <c r="B115">
        <v>0</v>
      </c>
      <c r="C115">
        <v>0</v>
      </c>
    </row>
    <row r="116" spans="1:3" x14ac:dyDescent="0.3">
      <c r="A116" t="s">
        <v>214</v>
      </c>
      <c r="B116">
        <v>0</v>
      </c>
      <c r="C116">
        <v>0</v>
      </c>
    </row>
    <row r="117" spans="1:3" x14ac:dyDescent="0.3">
      <c r="A117" t="s">
        <v>111</v>
      </c>
      <c r="B117">
        <v>6.18654880386613E-3</v>
      </c>
      <c r="C117">
        <v>0</v>
      </c>
    </row>
    <row r="118" spans="1:3" x14ac:dyDescent="0.3">
      <c r="A118" t="s">
        <v>223</v>
      </c>
      <c r="B118">
        <v>0</v>
      </c>
      <c r="C118">
        <v>0</v>
      </c>
    </row>
    <row r="119" spans="1:3" x14ac:dyDescent="0.3">
      <c r="A119" t="s">
        <v>221</v>
      </c>
      <c r="B119">
        <v>0</v>
      </c>
      <c r="C119">
        <v>0</v>
      </c>
    </row>
    <row r="120" spans="1:3" x14ac:dyDescent="0.3">
      <c r="A120" t="s">
        <v>205</v>
      </c>
      <c r="B120">
        <v>0</v>
      </c>
      <c r="C120">
        <v>3.6661330408336301E-2</v>
      </c>
    </row>
    <row r="121" spans="1:3" x14ac:dyDescent="0.3">
      <c r="A121" t="s">
        <v>88</v>
      </c>
      <c r="B121">
        <v>0</v>
      </c>
      <c r="C121">
        <v>0</v>
      </c>
    </row>
    <row r="122" spans="1:3" x14ac:dyDescent="0.3">
      <c r="A122" t="s">
        <v>243</v>
      </c>
      <c r="B122">
        <v>0</v>
      </c>
      <c r="C122">
        <v>0</v>
      </c>
    </row>
    <row r="123" spans="1:3" x14ac:dyDescent="0.3">
      <c r="A123" t="s">
        <v>210</v>
      </c>
      <c r="B123">
        <v>0</v>
      </c>
      <c r="C123">
        <v>2.1864692175429901E-2</v>
      </c>
    </row>
    <row r="124" spans="1:3" x14ac:dyDescent="0.3">
      <c r="A124" t="s">
        <v>188</v>
      </c>
      <c r="B124">
        <v>6.2770234370053404E-3</v>
      </c>
      <c r="C124">
        <v>9.4616072201836598E-3</v>
      </c>
    </row>
    <row r="125" spans="1:3" x14ac:dyDescent="0.3">
      <c r="A125" t="s">
        <v>209</v>
      </c>
      <c r="B125">
        <v>0</v>
      </c>
      <c r="C125">
        <v>0</v>
      </c>
    </row>
    <row r="126" spans="1:3" x14ac:dyDescent="0.3">
      <c r="A126" t="s">
        <v>166</v>
      </c>
      <c r="B126">
        <v>0</v>
      </c>
      <c r="C126">
        <v>6.7034430974183103E-3</v>
      </c>
    </row>
    <row r="127" spans="1:3" x14ac:dyDescent="0.3">
      <c r="A127" t="s">
        <v>154</v>
      </c>
      <c r="B127">
        <v>2.7522425157542999E-2</v>
      </c>
      <c r="C127">
        <v>3.6697239273837001E-2</v>
      </c>
    </row>
    <row r="128" spans="1:3" x14ac:dyDescent="0.3">
      <c r="A128" t="s">
        <v>69</v>
      </c>
      <c r="B128">
        <v>1.22931154954909E-2</v>
      </c>
      <c r="C128">
        <v>9.8665773843535608E-3</v>
      </c>
    </row>
    <row r="129" spans="1:3" x14ac:dyDescent="0.3">
      <c r="A129" t="s">
        <v>150</v>
      </c>
      <c r="B129">
        <v>0</v>
      </c>
      <c r="C129">
        <v>0</v>
      </c>
    </row>
    <row r="130" spans="1:3" x14ac:dyDescent="0.3">
      <c r="A130" t="s">
        <v>170</v>
      </c>
      <c r="B130">
        <v>0</v>
      </c>
      <c r="C130">
        <v>0</v>
      </c>
    </row>
    <row r="131" spans="1:3" x14ac:dyDescent="0.3">
      <c r="A131" t="s">
        <v>257</v>
      </c>
      <c r="B131">
        <v>0</v>
      </c>
      <c r="C131">
        <v>0</v>
      </c>
    </row>
    <row r="132" spans="1:3" x14ac:dyDescent="0.3">
      <c r="A132" t="s">
        <v>235</v>
      </c>
      <c r="B132">
        <v>0</v>
      </c>
      <c r="C132">
        <v>0</v>
      </c>
    </row>
    <row r="133" spans="1:3" x14ac:dyDescent="0.3">
      <c r="A133" t="s">
        <v>197</v>
      </c>
      <c r="B133">
        <v>0</v>
      </c>
      <c r="C133">
        <v>0</v>
      </c>
    </row>
    <row r="134" spans="1:3" x14ac:dyDescent="0.3">
      <c r="A134" t="s">
        <v>176</v>
      </c>
      <c r="B134">
        <v>0</v>
      </c>
      <c r="C134">
        <v>0</v>
      </c>
    </row>
    <row r="135" spans="1:3" x14ac:dyDescent="0.3">
      <c r="A135" t="s">
        <v>86</v>
      </c>
      <c r="B135">
        <v>1.1601552229383701E-2</v>
      </c>
      <c r="C135">
        <v>8.7508389748659904E-3</v>
      </c>
    </row>
    <row r="136" spans="1:3" x14ac:dyDescent="0.3">
      <c r="A136" t="s">
        <v>250</v>
      </c>
      <c r="B136">
        <v>0</v>
      </c>
      <c r="C136">
        <v>0</v>
      </c>
    </row>
    <row r="137" spans="1:3" x14ac:dyDescent="0.3">
      <c r="A137" t="s">
        <v>81</v>
      </c>
      <c r="B137">
        <v>5.8182099503771699E-2</v>
      </c>
      <c r="C137">
        <v>3.5251617178582099E-2</v>
      </c>
    </row>
    <row r="138" spans="1:3" x14ac:dyDescent="0.3">
      <c r="A138" t="s">
        <v>251</v>
      </c>
      <c r="B138">
        <v>0</v>
      </c>
      <c r="C138">
        <v>0</v>
      </c>
    </row>
    <row r="139" spans="1:3" x14ac:dyDescent="0.3">
      <c r="A139" t="s">
        <v>245</v>
      </c>
      <c r="B139">
        <v>0</v>
      </c>
      <c r="C139">
        <v>0</v>
      </c>
    </row>
    <row r="140" spans="1:3" x14ac:dyDescent="0.3">
      <c r="A140" t="s">
        <v>258</v>
      </c>
      <c r="B140">
        <v>0</v>
      </c>
      <c r="C140">
        <v>0</v>
      </c>
    </row>
    <row r="141" spans="1:3" x14ac:dyDescent="0.3">
      <c r="A141" t="s">
        <v>61</v>
      </c>
      <c r="B141">
        <v>8.1556490035622903E-3</v>
      </c>
      <c r="C141">
        <v>7.7964448584748602E-3</v>
      </c>
    </row>
    <row r="142" spans="1:3" x14ac:dyDescent="0.3">
      <c r="A142" t="s">
        <v>212</v>
      </c>
      <c r="B142">
        <v>0</v>
      </c>
      <c r="C142">
        <v>0</v>
      </c>
    </row>
    <row r="143" spans="1:3" x14ac:dyDescent="0.3">
      <c r="A143" t="s">
        <v>96</v>
      </c>
      <c r="B143">
        <v>1.91215187713463E-2</v>
      </c>
      <c r="C143">
        <v>1.1549096490446701E-2</v>
      </c>
    </row>
    <row r="144" spans="1:3" x14ac:dyDescent="0.3">
      <c r="A144" t="s">
        <v>65</v>
      </c>
      <c r="B144">
        <v>8.7295916955545498E-3</v>
      </c>
      <c r="C144">
        <v>5.7226640543277599E-3</v>
      </c>
    </row>
    <row r="145" spans="1:3" x14ac:dyDescent="0.3">
      <c r="A145" t="s">
        <v>187</v>
      </c>
      <c r="B145">
        <v>0</v>
      </c>
      <c r="C145">
        <v>0</v>
      </c>
    </row>
    <row r="146" spans="1:3" x14ac:dyDescent="0.3">
      <c r="A146" t="s">
        <v>180</v>
      </c>
      <c r="B146">
        <v>0</v>
      </c>
      <c r="C146">
        <v>0</v>
      </c>
    </row>
    <row r="147" spans="1:3" x14ac:dyDescent="0.3">
      <c r="A147" t="s">
        <v>239</v>
      </c>
      <c r="B147">
        <v>0</v>
      </c>
      <c r="C147">
        <v>0</v>
      </c>
    </row>
    <row r="148" spans="1:3" x14ac:dyDescent="0.3">
      <c r="A148" t="s">
        <v>262</v>
      </c>
      <c r="B148">
        <v>0</v>
      </c>
      <c r="C148">
        <v>0</v>
      </c>
    </row>
    <row r="149" spans="1:3" x14ac:dyDescent="0.3">
      <c r="A149" t="s">
        <v>233</v>
      </c>
      <c r="B149">
        <v>0</v>
      </c>
      <c r="C149">
        <v>0</v>
      </c>
    </row>
    <row r="150" spans="1:3" x14ac:dyDescent="0.3">
      <c r="A150" t="s">
        <v>59</v>
      </c>
      <c r="B150">
        <v>1.22931154954909E-2</v>
      </c>
      <c r="C150">
        <v>7.8704699683066707E-3</v>
      </c>
    </row>
    <row r="151" spans="1:3" x14ac:dyDescent="0.3">
      <c r="A151" t="s">
        <v>252</v>
      </c>
      <c r="B151">
        <v>0</v>
      </c>
      <c r="C151">
        <v>0</v>
      </c>
    </row>
    <row r="152" spans="1:3" x14ac:dyDescent="0.3">
      <c r="A152" t="s">
        <v>75</v>
      </c>
      <c r="B152">
        <v>6.0986003048774601E-3</v>
      </c>
      <c r="C152">
        <v>0</v>
      </c>
    </row>
    <row r="153" spans="1:3" x14ac:dyDescent="0.3">
      <c r="A153" t="s">
        <v>167</v>
      </c>
      <c r="B153">
        <v>8.3747454570351904E-3</v>
      </c>
      <c r="C153">
        <v>6.6370185864229004E-3</v>
      </c>
    </row>
    <row r="154" spans="1:3" x14ac:dyDescent="0.3">
      <c r="A154" t="s">
        <v>201</v>
      </c>
      <c r="B154">
        <v>0</v>
      </c>
      <c r="C154">
        <v>0</v>
      </c>
    </row>
    <row r="155" spans="1:3" x14ac:dyDescent="0.3">
      <c r="A155" t="s">
        <v>92</v>
      </c>
      <c r="B155">
        <v>7.21221068869193E-3</v>
      </c>
      <c r="C155">
        <v>8.19071113710685E-3</v>
      </c>
    </row>
    <row r="156" spans="1:3" x14ac:dyDescent="0.3">
      <c r="A156" t="s">
        <v>77</v>
      </c>
      <c r="B156">
        <v>1.22931154954909E-2</v>
      </c>
      <c r="C156">
        <v>8.4903833908052707E-3</v>
      </c>
    </row>
    <row r="157" spans="1:3" x14ac:dyDescent="0.3">
      <c r="A157" t="s">
        <v>101</v>
      </c>
      <c r="B157">
        <v>7.5120972186490699E-3</v>
      </c>
      <c r="C157">
        <v>7.6066319571425197E-3</v>
      </c>
    </row>
    <row r="158" spans="1:3" x14ac:dyDescent="0.3">
      <c r="A158" t="s">
        <v>199</v>
      </c>
      <c r="B158">
        <v>0</v>
      </c>
      <c r="C158">
        <v>0</v>
      </c>
    </row>
    <row r="159" spans="1:3" x14ac:dyDescent="0.3">
      <c r="A159" t="s">
        <v>139</v>
      </c>
      <c r="B159">
        <v>0</v>
      </c>
      <c r="C159">
        <v>0</v>
      </c>
    </row>
    <row r="160" spans="1:3" x14ac:dyDescent="0.3">
      <c r="A160" t="s">
        <v>237</v>
      </c>
      <c r="B160">
        <v>6.9384458755534202E-3</v>
      </c>
      <c r="C160">
        <v>0</v>
      </c>
    </row>
    <row r="161" spans="1:3" x14ac:dyDescent="0.3">
      <c r="A161" t="s">
        <v>224</v>
      </c>
      <c r="B161">
        <v>0</v>
      </c>
      <c r="C161">
        <v>0</v>
      </c>
    </row>
    <row r="162" spans="1:3" x14ac:dyDescent="0.3">
      <c r="A162" t="s">
        <v>183</v>
      </c>
      <c r="B162">
        <v>0</v>
      </c>
      <c r="C162">
        <v>0</v>
      </c>
    </row>
    <row r="163" spans="1:3" x14ac:dyDescent="0.3">
      <c r="A163" t="s">
        <v>276</v>
      </c>
      <c r="B163">
        <v>0</v>
      </c>
      <c r="C163">
        <v>0</v>
      </c>
    </row>
    <row r="164" spans="1:3" x14ac:dyDescent="0.3">
      <c r="A164" t="s">
        <v>131</v>
      </c>
      <c r="B164">
        <v>1.2486418931108001E-2</v>
      </c>
      <c r="C164">
        <v>1.1106755055447601E-2</v>
      </c>
    </row>
    <row r="165" spans="1:3" x14ac:dyDescent="0.3">
      <c r="A165" t="s">
        <v>122</v>
      </c>
      <c r="B165">
        <v>5.5410634338436404E-3</v>
      </c>
      <c r="C165">
        <v>0</v>
      </c>
    </row>
    <row r="166" spans="1:3" x14ac:dyDescent="0.3">
      <c r="A166" t="s">
        <v>260</v>
      </c>
      <c r="B166">
        <v>0</v>
      </c>
      <c r="C166">
        <v>0</v>
      </c>
    </row>
    <row r="167" spans="1:3" x14ac:dyDescent="0.3">
      <c r="A167" t="s">
        <v>231</v>
      </c>
      <c r="B167">
        <v>0</v>
      </c>
      <c r="C167">
        <v>0</v>
      </c>
    </row>
    <row r="168" spans="1:3" x14ac:dyDescent="0.3">
      <c r="A168" t="s">
        <v>216</v>
      </c>
      <c r="B168">
        <v>0</v>
      </c>
      <c r="C168">
        <v>0</v>
      </c>
    </row>
    <row r="169" spans="1:3" x14ac:dyDescent="0.3">
      <c r="A169" t="s">
        <v>215</v>
      </c>
      <c r="B169">
        <v>0</v>
      </c>
      <c r="C169">
        <v>0</v>
      </c>
    </row>
    <row r="170" spans="1:3" x14ac:dyDescent="0.3">
      <c r="A170" t="s">
        <v>126</v>
      </c>
      <c r="B170">
        <v>8.1041580724523395E-3</v>
      </c>
      <c r="C170">
        <v>0</v>
      </c>
    </row>
    <row r="171" spans="1:3" x14ac:dyDescent="0.3">
      <c r="A171" t="s">
        <v>54</v>
      </c>
      <c r="B171">
        <v>1.16198837125663E-2</v>
      </c>
      <c r="C171">
        <v>9.8665773843535608E-3</v>
      </c>
    </row>
    <row r="172" spans="1:3" x14ac:dyDescent="0.3">
      <c r="A172" t="s">
        <v>190</v>
      </c>
      <c r="B172">
        <v>0</v>
      </c>
      <c r="C172">
        <v>0</v>
      </c>
    </row>
    <row r="173" spans="1:3" x14ac:dyDescent="0.3">
      <c r="A173" t="s">
        <v>277</v>
      </c>
      <c r="B173">
        <v>0</v>
      </c>
      <c r="C173">
        <v>0</v>
      </c>
    </row>
    <row r="174" spans="1:3" x14ac:dyDescent="0.3">
      <c r="A174" t="s">
        <v>267</v>
      </c>
      <c r="B174">
        <v>0</v>
      </c>
      <c r="C174">
        <v>0</v>
      </c>
    </row>
    <row r="175" spans="1:3" x14ac:dyDescent="0.3">
      <c r="A175" t="s">
        <v>234</v>
      </c>
      <c r="B175">
        <v>0</v>
      </c>
      <c r="C175">
        <v>0</v>
      </c>
    </row>
    <row r="176" spans="1:3" x14ac:dyDescent="0.3">
      <c r="A176" t="s">
        <v>85</v>
      </c>
      <c r="B176">
        <v>0</v>
      </c>
      <c r="C176">
        <v>0</v>
      </c>
    </row>
    <row r="177" spans="1:3" x14ac:dyDescent="0.3">
      <c r="A177" t="s">
        <v>174</v>
      </c>
      <c r="B177">
        <v>0</v>
      </c>
      <c r="C177">
        <v>0</v>
      </c>
    </row>
    <row r="178" spans="1:3" x14ac:dyDescent="0.3">
      <c r="A178" t="s">
        <v>228</v>
      </c>
      <c r="B178">
        <v>0</v>
      </c>
      <c r="C178">
        <v>0</v>
      </c>
    </row>
    <row r="179" spans="1:3" x14ac:dyDescent="0.3">
      <c r="A179" t="s">
        <v>255</v>
      </c>
      <c r="B179">
        <v>0</v>
      </c>
      <c r="C179">
        <v>0</v>
      </c>
    </row>
    <row r="180" spans="1:3" x14ac:dyDescent="0.3">
      <c r="A180" t="s">
        <v>138</v>
      </c>
      <c r="B180">
        <v>5.36657253996065E-3</v>
      </c>
      <c r="C180">
        <v>0</v>
      </c>
    </row>
    <row r="181" spans="1:3" x14ac:dyDescent="0.3">
      <c r="A181" t="s">
        <v>186</v>
      </c>
      <c r="B181">
        <v>0</v>
      </c>
      <c r="C181">
        <v>0</v>
      </c>
    </row>
    <row r="182" spans="1:3" x14ac:dyDescent="0.3">
      <c r="A182" t="s">
        <v>230</v>
      </c>
      <c r="B182">
        <v>0</v>
      </c>
      <c r="C182">
        <v>0</v>
      </c>
    </row>
    <row r="183" spans="1:3" x14ac:dyDescent="0.3">
      <c r="A183" t="s">
        <v>182</v>
      </c>
      <c r="B183">
        <v>0</v>
      </c>
      <c r="C183">
        <v>0</v>
      </c>
    </row>
    <row r="184" spans="1:3" x14ac:dyDescent="0.3">
      <c r="A184" t="s">
        <v>60</v>
      </c>
      <c r="B184">
        <v>1.22931154954909E-2</v>
      </c>
      <c r="C184">
        <v>9.8665773843535608E-3</v>
      </c>
    </row>
    <row r="185" spans="1:3" x14ac:dyDescent="0.3">
      <c r="A185" t="s">
        <v>261</v>
      </c>
      <c r="B185">
        <v>0</v>
      </c>
      <c r="C185">
        <v>0</v>
      </c>
    </row>
    <row r="186" spans="1:3" x14ac:dyDescent="0.3">
      <c r="A186" t="s">
        <v>178</v>
      </c>
      <c r="B186">
        <v>0</v>
      </c>
      <c r="C186">
        <v>0</v>
      </c>
    </row>
    <row r="187" spans="1:3" x14ac:dyDescent="0.3">
      <c r="A187" t="s">
        <v>168</v>
      </c>
      <c r="B187">
        <v>0</v>
      </c>
      <c r="C187">
        <v>0</v>
      </c>
    </row>
    <row r="188" spans="1:3" x14ac:dyDescent="0.3">
      <c r="A188" t="s">
        <v>128</v>
      </c>
      <c r="B188">
        <v>0</v>
      </c>
      <c r="C188">
        <v>0</v>
      </c>
    </row>
    <row r="189" spans="1:3" x14ac:dyDescent="0.3">
      <c r="A189" t="s">
        <v>189</v>
      </c>
      <c r="B189">
        <v>0</v>
      </c>
      <c r="C189">
        <v>0</v>
      </c>
    </row>
    <row r="190" spans="1:3" x14ac:dyDescent="0.3">
      <c r="A190" t="s">
        <v>238</v>
      </c>
      <c r="B190">
        <v>0</v>
      </c>
      <c r="C190">
        <v>0</v>
      </c>
    </row>
    <row r="191" spans="1:3" x14ac:dyDescent="0.3">
      <c r="A191" t="s">
        <v>242</v>
      </c>
      <c r="B191">
        <v>0</v>
      </c>
      <c r="C191">
        <v>0</v>
      </c>
    </row>
    <row r="192" spans="1:3" x14ac:dyDescent="0.3">
      <c r="A192" t="s">
        <v>133</v>
      </c>
      <c r="B192">
        <v>0</v>
      </c>
      <c r="C192">
        <v>0</v>
      </c>
    </row>
    <row r="193" spans="1:3" x14ac:dyDescent="0.3">
      <c r="A193" t="s">
        <v>109</v>
      </c>
      <c r="B193">
        <v>8.80082699414079E-3</v>
      </c>
      <c r="C193">
        <v>6.7839827692912401E-3</v>
      </c>
    </row>
    <row r="194" spans="1:3" x14ac:dyDescent="0.3">
      <c r="A194" t="s">
        <v>121</v>
      </c>
      <c r="B194">
        <v>3.8673253253293301E-2</v>
      </c>
      <c r="C194">
        <v>3.7223191116048202E-2</v>
      </c>
    </row>
    <row r="195" spans="1:3" x14ac:dyDescent="0.3">
      <c r="A195" t="s">
        <v>148</v>
      </c>
      <c r="B195">
        <v>0</v>
      </c>
      <c r="C195">
        <v>0</v>
      </c>
    </row>
    <row r="196" spans="1:3" x14ac:dyDescent="0.3">
      <c r="A196" t="s">
        <v>130</v>
      </c>
      <c r="B196">
        <v>0</v>
      </c>
      <c r="C196">
        <v>0</v>
      </c>
    </row>
    <row r="197" spans="1:3" x14ac:dyDescent="0.3">
      <c r="A197" t="s">
        <v>219</v>
      </c>
      <c r="B197">
        <v>0</v>
      </c>
      <c r="C197">
        <v>0</v>
      </c>
    </row>
    <row r="198" spans="1:3" x14ac:dyDescent="0.3">
      <c r="A198" t="s">
        <v>227</v>
      </c>
      <c r="B198">
        <v>0</v>
      </c>
      <c r="C198">
        <v>0</v>
      </c>
    </row>
    <row r="199" spans="1:3" x14ac:dyDescent="0.3">
      <c r="A199" t="s">
        <v>147</v>
      </c>
      <c r="B199">
        <v>5.3465127095911804E-3</v>
      </c>
      <c r="C199">
        <v>0</v>
      </c>
    </row>
    <row r="200" spans="1:3" x14ac:dyDescent="0.3">
      <c r="A200" t="s">
        <v>67</v>
      </c>
      <c r="B200">
        <v>1.2169950228357099E-2</v>
      </c>
      <c r="C200">
        <v>5.4404261476151501E-3</v>
      </c>
    </row>
    <row r="201" spans="1:3" x14ac:dyDescent="0.3">
      <c r="A201" t="s">
        <v>90</v>
      </c>
      <c r="B201">
        <v>1.840632866493E-2</v>
      </c>
      <c r="C201">
        <v>0</v>
      </c>
    </row>
    <row r="202" spans="1:3" x14ac:dyDescent="0.3">
      <c r="A202" t="s">
        <v>79</v>
      </c>
      <c r="B202">
        <v>1.2247467571982701E-2</v>
      </c>
      <c r="C202">
        <v>1.16261364000412E-2</v>
      </c>
    </row>
    <row r="203" spans="1:3" x14ac:dyDescent="0.3">
      <c r="A203" t="s">
        <v>120</v>
      </c>
      <c r="B203">
        <v>0</v>
      </c>
      <c r="C203">
        <v>0</v>
      </c>
    </row>
    <row r="204" spans="1:3" x14ac:dyDescent="0.3">
      <c r="A204" t="s">
        <v>94</v>
      </c>
      <c r="B204">
        <v>0</v>
      </c>
      <c r="C204">
        <v>7.5170242417019403E-3</v>
      </c>
    </row>
    <row r="205" spans="1:3" x14ac:dyDescent="0.3">
      <c r="A205" t="s">
        <v>113</v>
      </c>
      <c r="B205">
        <v>2.9957576786334799E-2</v>
      </c>
      <c r="C205">
        <v>3.0666905071777498E-2</v>
      </c>
    </row>
    <row r="206" spans="1:3" x14ac:dyDescent="0.3">
      <c r="A206" t="s">
        <v>134</v>
      </c>
      <c r="B206">
        <v>0</v>
      </c>
      <c r="C206">
        <v>0</v>
      </c>
    </row>
    <row r="207" spans="1:3" x14ac:dyDescent="0.3">
      <c r="A207" t="s">
        <v>116</v>
      </c>
      <c r="B207">
        <v>7.7872363615608103E-3</v>
      </c>
      <c r="C207">
        <v>9.5811356785878293E-3</v>
      </c>
    </row>
    <row r="208" spans="1:3" x14ac:dyDescent="0.3">
      <c r="A208" t="s">
        <v>268</v>
      </c>
      <c r="B208">
        <v>0</v>
      </c>
      <c r="C208">
        <v>0</v>
      </c>
    </row>
    <row r="209" spans="1:3" x14ac:dyDescent="0.3">
      <c r="A209" t="s">
        <v>146</v>
      </c>
      <c r="B209">
        <v>5.6289874083668298E-2</v>
      </c>
      <c r="C209">
        <v>5.24423738795343E-2</v>
      </c>
    </row>
    <row r="210" spans="1:3" x14ac:dyDescent="0.3">
      <c r="A210" t="s">
        <v>136</v>
      </c>
      <c r="B210">
        <v>5.8817199021885001E-2</v>
      </c>
      <c r="C210">
        <v>5.3259641996780897E-2</v>
      </c>
    </row>
    <row r="211" spans="1:3" x14ac:dyDescent="0.3">
      <c r="A211" t="s">
        <v>195</v>
      </c>
      <c r="B211">
        <v>0</v>
      </c>
      <c r="C211">
        <v>0</v>
      </c>
    </row>
    <row r="212" spans="1:3" x14ac:dyDescent="0.3">
      <c r="A212" t="s">
        <v>160</v>
      </c>
      <c r="B212">
        <v>0</v>
      </c>
      <c r="C212">
        <v>0</v>
      </c>
    </row>
    <row r="213" spans="1:3" x14ac:dyDescent="0.3">
      <c r="A213" t="s">
        <v>247</v>
      </c>
      <c r="B213">
        <v>0</v>
      </c>
      <c r="C213">
        <v>0</v>
      </c>
    </row>
    <row r="214" spans="1:3" x14ac:dyDescent="0.3">
      <c r="A214" t="s">
        <v>206</v>
      </c>
      <c r="B214">
        <v>0</v>
      </c>
      <c r="C214">
        <v>0</v>
      </c>
    </row>
    <row r="215" spans="1:3" x14ac:dyDescent="0.3">
      <c r="A215" t="s">
        <v>249</v>
      </c>
      <c r="B215">
        <v>0</v>
      </c>
      <c r="C215">
        <v>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358FF-6914-46DE-9D47-3DE68DBCD665}">
  <dimension ref="A1:C215"/>
  <sheetViews>
    <sheetView topLeftCell="A178" workbookViewId="0">
      <selection activeCell="B1" sqref="B1"/>
    </sheetView>
  </sheetViews>
  <sheetFormatPr defaultRowHeight="14.4" x14ac:dyDescent="0.3"/>
  <sheetData>
    <row r="1" spans="1:3" x14ac:dyDescent="0.3">
      <c r="A1" t="s">
        <v>306</v>
      </c>
      <c r="B1" t="s">
        <v>312</v>
      </c>
      <c r="C1" t="s">
        <v>313</v>
      </c>
    </row>
    <row r="2" spans="1:3" x14ac:dyDescent="0.3">
      <c r="A2" t="s">
        <v>192</v>
      </c>
      <c r="B2">
        <v>0</v>
      </c>
      <c r="C2">
        <v>0</v>
      </c>
    </row>
    <row r="3" spans="1:3" x14ac:dyDescent="0.3">
      <c r="A3" t="s">
        <v>72</v>
      </c>
      <c r="B3">
        <v>0</v>
      </c>
      <c r="C3">
        <v>0</v>
      </c>
    </row>
    <row r="4" spans="1:3" x14ac:dyDescent="0.3">
      <c r="A4" t="s">
        <v>98</v>
      </c>
      <c r="B4">
        <v>0</v>
      </c>
      <c r="C4">
        <v>0</v>
      </c>
    </row>
    <row r="5" spans="1:3" x14ac:dyDescent="0.3">
      <c r="A5" t="s">
        <v>63</v>
      </c>
      <c r="B5">
        <v>0</v>
      </c>
      <c r="C5">
        <v>0</v>
      </c>
    </row>
    <row r="6" spans="1:3" x14ac:dyDescent="0.3">
      <c r="A6" t="s">
        <v>164</v>
      </c>
      <c r="B6">
        <v>0</v>
      </c>
      <c r="C6">
        <v>0</v>
      </c>
    </row>
    <row r="7" spans="1:3" x14ac:dyDescent="0.3">
      <c r="A7" t="s">
        <v>264</v>
      </c>
      <c r="B7">
        <v>0</v>
      </c>
      <c r="C7">
        <v>0</v>
      </c>
    </row>
    <row r="8" spans="1:3" x14ac:dyDescent="0.3">
      <c r="A8" t="s">
        <v>73</v>
      </c>
      <c r="B8">
        <v>0</v>
      </c>
      <c r="C8">
        <v>0</v>
      </c>
    </row>
    <row r="9" spans="1:3" x14ac:dyDescent="0.3">
      <c r="A9" t="s">
        <v>265</v>
      </c>
      <c r="B9">
        <v>0</v>
      </c>
      <c r="C9">
        <v>0</v>
      </c>
    </row>
    <row r="10" spans="1:3" x14ac:dyDescent="0.3">
      <c r="A10" t="s">
        <v>263</v>
      </c>
      <c r="B10">
        <v>0</v>
      </c>
      <c r="C10">
        <v>0</v>
      </c>
    </row>
    <row r="11" spans="1:3" x14ac:dyDescent="0.3">
      <c r="A11" t="s">
        <v>177</v>
      </c>
      <c r="B11">
        <v>0</v>
      </c>
      <c r="C11">
        <v>0</v>
      </c>
    </row>
    <row r="12" spans="1:3" x14ac:dyDescent="0.3">
      <c r="A12" t="s">
        <v>159</v>
      </c>
      <c r="B12">
        <v>0</v>
      </c>
      <c r="C12">
        <v>0</v>
      </c>
    </row>
    <row r="13" spans="1:3" x14ac:dyDescent="0.3">
      <c r="A13" t="s">
        <v>172</v>
      </c>
      <c r="B13">
        <v>0</v>
      </c>
      <c r="C13">
        <v>0</v>
      </c>
    </row>
    <row r="14" spans="1:3" x14ac:dyDescent="0.3">
      <c r="A14" t="s">
        <v>145</v>
      </c>
      <c r="B14">
        <v>0</v>
      </c>
      <c r="C14">
        <v>0</v>
      </c>
    </row>
    <row r="15" spans="1:3" x14ac:dyDescent="0.3">
      <c r="A15" t="s">
        <v>256</v>
      </c>
      <c r="B15">
        <v>0</v>
      </c>
      <c r="C15">
        <v>0</v>
      </c>
    </row>
    <row r="16" spans="1:3" x14ac:dyDescent="0.3">
      <c r="A16" t="s">
        <v>222</v>
      </c>
      <c r="B16">
        <v>0</v>
      </c>
      <c r="C16">
        <v>0</v>
      </c>
    </row>
    <row r="17" spans="1:3" x14ac:dyDescent="0.3">
      <c r="A17" t="s">
        <v>253</v>
      </c>
      <c r="B17">
        <v>0</v>
      </c>
      <c r="C17">
        <v>0</v>
      </c>
    </row>
    <row r="18" spans="1:3" x14ac:dyDescent="0.3">
      <c r="A18" t="s">
        <v>185</v>
      </c>
      <c r="B18">
        <v>6.4467104767116701E-2</v>
      </c>
      <c r="C18">
        <v>7.4334394083604496E-2</v>
      </c>
    </row>
    <row r="19" spans="1:3" x14ac:dyDescent="0.3">
      <c r="A19" t="s">
        <v>165</v>
      </c>
      <c r="B19">
        <v>0</v>
      </c>
      <c r="C19">
        <v>0</v>
      </c>
    </row>
    <row r="20" spans="1:3" x14ac:dyDescent="0.3">
      <c r="A20" t="s">
        <v>179</v>
      </c>
      <c r="B20">
        <v>0</v>
      </c>
      <c r="C20">
        <v>0</v>
      </c>
    </row>
    <row r="21" spans="1:3" x14ac:dyDescent="0.3">
      <c r="A21" t="s">
        <v>204</v>
      </c>
      <c r="B21">
        <v>0</v>
      </c>
      <c r="C21">
        <v>4.8250871783096803E-2</v>
      </c>
    </row>
    <row r="22" spans="1:3" x14ac:dyDescent="0.3">
      <c r="A22" t="s">
        <v>194</v>
      </c>
      <c r="B22">
        <v>0</v>
      </c>
      <c r="C22">
        <v>0</v>
      </c>
    </row>
    <row r="23" spans="1:3" x14ac:dyDescent="0.3">
      <c r="A23" t="s">
        <v>169</v>
      </c>
      <c r="B23">
        <v>0</v>
      </c>
      <c r="C23">
        <v>0</v>
      </c>
    </row>
    <row r="24" spans="1:3" x14ac:dyDescent="0.3">
      <c r="A24" t="s">
        <v>100</v>
      </c>
      <c r="B24">
        <v>0</v>
      </c>
      <c r="C24">
        <v>0</v>
      </c>
    </row>
    <row r="25" spans="1:3" x14ac:dyDescent="0.3">
      <c r="A25" t="s">
        <v>175</v>
      </c>
      <c r="B25">
        <v>0</v>
      </c>
      <c r="C25">
        <v>0</v>
      </c>
    </row>
    <row r="26" spans="1:3" x14ac:dyDescent="0.3">
      <c r="A26" t="s">
        <v>193</v>
      </c>
      <c r="B26">
        <v>0</v>
      </c>
      <c r="C26">
        <v>0</v>
      </c>
    </row>
    <row r="27" spans="1:3" x14ac:dyDescent="0.3">
      <c r="A27" t="s">
        <v>115</v>
      </c>
      <c r="B27">
        <v>0</v>
      </c>
      <c r="C27">
        <v>0</v>
      </c>
    </row>
    <row r="28" spans="1:3" x14ac:dyDescent="0.3">
      <c r="A28" t="s">
        <v>259</v>
      </c>
      <c r="B28">
        <v>0</v>
      </c>
      <c r="C28">
        <v>0</v>
      </c>
    </row>
    <row r="29" spans="1:3" x14ac:dyDescent="0.3">
      <c r="A29" t="s">
        <v>89</v>
      </c>
      <c r="B29">
        <v>0</v>
      </c>
      <c r="C29">
        <v>0</v>
      </c>
    </row>
    <row r="30" spans="1:3" x14ac:dyDescent="0.3">
      <c r="A30" t="s">
        <v>127</v>
      </c>
      <c r="B30">
        <v>5.9551521571764299E-2</v>
      </c>
      <c r="C30">
        <v>3.5607644625039701E-2</v>
      </c>
    </row>
    <row r="31" spans="1:3" x14ac:dyDescent="0.3">
      <c r="A31" t="s">
        <v>173</v>
      </c>
      <c r="B31">
        <v>0</v>
      </c>
      <c r="C31">
        <v>0</v>
      </c>
    </row>
    <row r="32" spans="1:3" x14ac:dyDescent="0.3">
      <c r="A32" t="s">
        <v>241</v>
      </c>
      <c r="B32">
        <v>0</v>
      </c>
      <c r="C32">
        <v>0</v>
      </c>
    </row>
    <row r="33" spans="1:3" x14ac:dyDescent="0.3">
      <c r="A33" t="s">
        <v>123</v>
      </c>
      <c r="B33">
        <v>9.4094228509583502E-2</v>
      </c>
      <c r="C33">
        <v>5.9210497638176103E-2</v>
      </c>
    </row>
    <row r="34" spans="1:3" x14ac:dyDescent="0.3">
      <c r="A34" t="s">
        <v>102</v>
      </c>
      <c r="B34">
        <v>0</v>
      </c>
      <c r="C34">
        <v>0</v>
      </c>
    </row>
    <row r="35" spans="1:3" x14ac:dyDescent="0.3">
      <c r="A35" t="s">
        <v>144</v>
      </c>
      <c r="B35">
        <v>0</v>
      </c>
      <c r="C35">
        <v>4.57663703281204E-2</v>
      </c>
    </row>
    <row r="36" spans="1:3" x14ac:dyDescent="0.3">
      <c r="A36" t="s">
        <v>153</v>
      </c>
      <c r="B36">
        <v>0</v>
      </c>
      <c r="C36">
        <v>0</v>
      </c>
    </row>
    <row r="37" spans="1:3" x14ac:dyDescent="0.3">
      <c r="A37" t="s">
        <v>64</v>
      </c>
      <c r="B37">
        <v>0</v>
      </c>
      <c r="C37">
        <v>0</v>
      </c>
    </row>
    <row r="38" spans="1:3" x14ac:dyDescent="0.3">
      <c r="A38" t="s">
        <v>56</v>
      </c>
      <c r="B38">
        <v>0</v>
      </c>
      <c r="C38">
        <v>0</v>
      </c>
    </row>
    <row r="39" spans="1:3" x14ac:dyDescent="0.3">
      <c r="A39" t="s">
        <v>62</v>
      </c>
      <c r="B39">
        <v>7.9144023211870099E-2</v>
      </c>
      <c r="C39">
        <v>2.6139327480420398E-2</v>
      </c>
    </row>
    <row r="40" spans="1:3" x14ac:dyDescent="0.3">
      <c r="A40" t="s">
        <v>117</v>
      </c>
      <c r="B40">
        <v>0</v>
      </c>
      <c r="C40">
        <v>0</v>
      </c>
    </row>
    <row r="41" spans="1:3" x14ac:dyDescent="0.3">
      <c r="A41" t="s">
        <v>70</v>
      </c>
      <c r="B41">
        <v>0</v>
      </c>
      <c r="C41">
        <v>0</v>
      </c>
    </row>
    <row r="42" spans="1:3" x14ac:dyDescent="0.3">
      <c r="A42" t="s">
        <v>82</v>
      </c>
      <c r="B42">
        <v>0</v>
      </c>
      <c r="C42">
        <v>0</v>
      </c>
    </row>
    <row r="43" spans="1:3" x14ac:dyDescent="0.3">
      <c r="A43" t="s">
        <v>200</v>
      </c>
      <c r="B43">
        <v>0</v>
      </c>
      <c r="C43">
        <v>0</v>
      </c>
    </row>
    <row r="44" spans="1:3" x14ac:dyDescent="0.3">
      <c r="A44" t="s">
        <v>110</v>
      </c>
      <c r="B44">
        <v>0</v>
      </c>
      <c r="C44">
        <v>0</v>
      </c>
    </row>
    <row r="45" spans="1:3" x14ac:dyDescent="0.3">
      <c r="A45" t="s">
        <v>135</v>
      </c>
      <c r="B45">
        <v>0</v>
      </c>
      <c r="C45">
        <v>4.4105926367722599E-2</v>
      </c>
    </row>
    <row r="46" spans="1:3" x14ac:dyDescent="0.3">
      <c r="A46" t="s">
        <v>112</v>
      </c>
      <c r="B46">
        <v>0</v>
      </c>
      <c r="C46">
        <v>5.0856651392812098E-2</v>
      </c>
    </row>
    <row r="47" spans="1:3" x14ac:dyDescent="0.3">
      <c r="A47" t="s">
        <v>156</v>
      </c>
      <c r="B47">
        <v>0</v>
      </c>
      <c r="C47">
        <v>0</v>
      </c>
    </row>
    <row r="48" spans="1:3" x14ac:dyDescent="0.3">
      <c r="A48" t="s">
        <v>246</v>
      </c>
      <c r="B48">
        <v>0</v>
      </c>
      <c r="C48">
        <v>0</v>
      </c>
    </row>
    <row r="49" spans="1:3" x14ac:dyDescent="0.3">
      <c r="A49" t="s">
        <v>58</v>
      </c>
      <c r="B49">
        <v>0</v>
      </c>
      <c r="C49">
        <v>0</v>
      </c>
    </row>
    <row r="50" spans="1:3" x14ac:dyDescent="0.3">
      <c r="A50" t="s">
        <v>207</v>
      </c>
      <c r="B50">
        <v>0</v>
      </c>
      <c r="C50">
        <v>0</v>
      </c>
    </row>
    <row r="51" spans="1:3" x14ac:dyDescent="0.3">
      <c r="A51" t="s">
        <v>220</v>
      </c>
      <c r="B51">
        <v>0</v>
      </c>
      <c r="C51">
        <v>0</v>
      </c>
    </row>
    <row r="52" spans="1:3" x14ac:dyDescent="0.3">
      <c r="A52" t="s">
        <v>217</v>
      </c>
      <c r="B52">
        <v>0</v>
      </c>
      <c r="C52">
        <v>0</v>
      </c>
    </row>
    <row r="53" spans="1:3" x14ac:dyDescent="0.3">
      <c r="A53" t="s">
        <v>254</v>
      </c>
      <c r="B53">
        <v>0</v>
      </c>
      <c r="C53">
        <v>0</v>
      </c>
    </row>
    <row r="54" spans="1:3" x14ac:dyDescent="0.3">
      <c r="A54" t="s">
        <v>155</v>
      </c>
      <c r="B54">
        <v>0</v>
      </c>
      <c r="C54">
        <v>0</v>
      </c>
    </row>
    <row r="55" spans="1:3" x14ac:dyDescent="0.3">
      <c r="A55" t="s">
        <v>213</v>
      </c>
      <c r="B55">
        <v>0</v>
      </c>
      <c r="C55">
        <v>0</v>
      </c>
    </row>
    <row r="56" spans="1:3" x14ac:dyDescent="0.3">
      <c r="A56" t="s">
        <v>218</v>
      </c>
      <c r="B56">
        <v>0</v>
      </c>
      <c r="C56">
        <v>0</v>
      </c>
    </row>
    <row r="57" spans="1:3" x14ac:dyDescent="0.3">
      <c r="A57" t="s">
        <v>80</v>
      </c>
      <c r="B57">
        <v>0</v>
      </c>
      <c r="C57">
        <v>0</v>
      </c>
    </row>
    <row r="58" spans="1:3" x14ac:dyDescent="0.3">
      <c r="A58" t="s">
        <v>191</v>
      </c>
      <c r="B58">
        <v>0</v>
      </c>
      <c r="C58">
        <v>0</v>
      </c>
    </row>
    <row r="59" spans="1:3" x14ac:dyDescent="0.3">
      <c r="A59" t="s">
        <v>181</v>
      </c>
      <c r="B59">
        <v>0</v>
      </c>
      <c r="C59">
        <v>0</v>
      </c>
    </row>
    <row r="60" spans="1:3" x14ac:dyDescent="0.3">
      <c r="A60" t="s">
        <v>103</v>
      </c>
      <c r="B60">
        <v>4.4459692945787999E-2</v>
      </c>
      <c r="C60">
        <v>1.55597420551935E-2</v>
      </c>
    </row>
    <row r="61" spans="1:3" x14ac:dyDescent="0.3">
      <c r="A61" t="s">
        <v>108</v>
      </c>
      <c r="B61">
        <v>0</v>
      </c>
      <c r="C61">
        <v>0</v>
      </c>
    </row>
    <row r="62" spans="1:3" x14ac:dyDescent="0.3">
      <c r="A62" t="s">
        <v>104</v>
      </c>
      <c r="B62">
        <v>0</v>
      </c>
      <c r="C62">
        <v>0</v>
      </c>
    </row>
    <row r="63" spans="1:3" x14ac:dyDescent="0.3">
      <c r="A63" t="s">
        <v>124</v>
      </c>
      <c r="B63">
        <v>0</v>
      </c>
      <c r="C63">
        <v>0</v>
      </c>
    </row>
    <row r="64" spans="1:3" x14ac:dyDescent="0.3">
      <c r="A64" t="s">
        <v>142</v>
      </c>
      <c r="B64">
        <v>0</v>
      </c>
      <c r="C64">
        <v>0</v>
      </c>
    </row>
    <row r="65" spans="1:3" x14ac:dyDescent="0.3">
      <c r="A65" t="s">
        <v>74</v>
      </c>
      <c r="B65">
        <v>0</v>
      </c>
      <c r="C65">
        <v>0</v>
      </c>
    </row>
    <row r="66" spans="1:3" x14ac:dyDescent="0.3">
      <c r="A66" t="s">
        <v>106</v>
      </c>
      <c r="B66">
        <v>0</v>
      </c>
      <c r="C66">
        <v>0</v>
      </c>
    </row>
    <row r="67" spans="1:3" x14ac:dyDescent="0.3">
      <c r="A67" t="s">
        <v>229</v>
      </c>
      <c r="B67">
        <v>0</v>
      </c>
      <c r="C67">
        <v>0</v>
      </c>
    </row>
    <row r="68" spans="1:3" x14ac:dyDescent="0.3">
      <c r="A68" t="s">
        <v>99</v>
      </c>
      <c r="B68">
        <v>0</v>
      </c>
      <c r="C68">
        <v>0</v>
      </c>
    </row>
    <row r="69" spans="1:3" x14ac:dyDescent="0.3">
      <c r="A69" t="s">
        <v>161</v>
      </c>
      <c r="B69">
        <v>0</v>
      </c>
      <c r="C69">
        <v>0</v>
      </c>
    </row>
    <row r="70" spans="1:3" x14ac:dyDescent="0.3">
      <c r="A70" t="s">
        <v>162</v>
      </c>
      <c r="B70">
        <v>0</v>
      </c>
      <c r="C70">
        <v>0</v>
      </c>
    </row>
    <row r="71" spans="1:3" x14ac:dyDescent="0.3">
      <c r="A71" t="s">
        <v>171</v>
      </c>
      <c r="B71">
        <v>0</v>
      </c>
      <c r="C71">
        <v>0</v>
      </c>
    </row>
    <row r="72" spans="1:3" x14ac:dyDescent="0.3">
      <c r="A72" t="s">
        <v>84</v>
      </c>
      <c r="B72">
        <v>0</v>
      </c>
      <c r="C72">
        <v>0</v>
      </c>
    </row>
    <row r="73" spans="1:3" x14ac:dyDescent="0.3">
      <c r="A73" t="s">
        <v>91</v>
      </c>
      <c r="B73">
        <v>0</v>
      </c>
      <c r="C73">
        <v>0</v>
      </c>
    </row>
    <row r="74" spans="1:3" x14ac:dyDescent="0.3">
      <c r="A74" t="s">
        <v>158</v>
      </c>
      <c r="B74">
        <v>0</v>
      </c>
      <c r="C74">
        <v>0</v>
      </c>
    </row>
    <row r="75" spans="1:3" x14ac:dyDescent="0.3">
      <c r="A75" t="s">
        <v>119</v>
      </c>
      <c r="B75">
        <v>0</v>
      </c>
      <c r="C75">
        <v>0</v>
      </c>
    </row>
    <row r="76" spans="1:3" x14ac:dyDescent="0.3">
      <c r="A76" t="s">
        <v>140</v>
      </c>
      <c r="B76">
        <v>0</v>
      </c>
      <c r="C76">
        <v>0</v>
      </c>
    </row>
    <row r="77" spans="1:3" x14ac:dyDescent="0.3">
      <c r="A77" t="s">
        <v>78</v>
      </c>
      <c r="B77">
        <v>0</v>
      </c>
      <c r="C77">
        <v>0</v>
      </c>
    </row>
    <row r="78" spans="1:3" x14ac:dyDescent="0.3">
      <c r="A78" t="s">
        <v>129</v>
      </c>
      <c r="B78">
        <v>0</v>
      </c>
      <c r="C78">
        <v>0</v>
      </c>
    </row>
    <row r="79" spans="1:3" x14ac:dyDescent="0.3">
      <c r="A79" t="s">
        <v>248</v>
      </c>
      <c r="B79">
        <v>0</v>
      </c>
      <c r="C79">
        <v>0</v>
      </c>
    </row>
    <row r="80" spans="1:3" x14ac:dyDescent="0.3">
      <c r="A80" t="s">
        <v>225</v>
      </c>
      <c r="B80">
        <v>0</v>
      </c>
      <c r="C80">
        <v>0</v>
      </c>
    </row>
    <row r="81" spans="1:3" x14ac:dyDescent="0.3">
      <c r="A81" t="s">
        <v>97</v>
      </c>
      <c r="B81">
        <v>0</v>
      </c>
      <c r="C81">
        <v>0</v>
      </c>
    </row>
    <row r="82" spans="1:3" x14ac:dyDescent="0.3">
      <c r="A82" t="s">
        <v>125</v>
      </c>
      <c r="B82">
        <v>0</v>
      </c>
      <c r="C82">
        <v>0</v>
      </c>
    </row>
    <row r="83" spans="1:3" x14ac:dyDescent="0.3">
      <c r="A83" t="s">
        <v>244</v>
      </c>
      <c r="B83">
        <v>0</v>
      </c>
      <c r="C83">
        <v>0</v>
      </c>
    </row>
    <row r="84" spans="1:3" x14ac:dyDescent="0.3">
      <c r="A84" t="s">
        <v>141</v>
      </c>
      <c r="B84">
        <v>0</v>
      </c>
      <c r="C84">
        <v>0</v>
      </c>
    </row>
    <row r="85" spans="1:3" x14ac:dyDescent="0.3">
      <c r="A85" t="s">
        <v>66</v>
      </c>
      <c r="B85">
        <v>0</v>
      </c>
      <c r="C85">
        <v>0</v>
      </c>
    </row>
    <row r="86" spans="1:3" x14ac:dyDescent="0.3">
      <c r="A86" t="s">
        <v>118</v>
      </c>
      <c r="B86">
        <v>0</v>
      </c>
      <c r="C86">
        <v>0</v>
      </c>
    </row>
    <row r="87" spans="1:3" x14ac:dyDescent="0.3">
      <c r="A87" t="s">
        <v>236</v>
      </c>
      <c r="B87">
        <v>0</v>
      </c>
      <c r="C87">
        <v>0</v>
      </c>
    </row>
    <row r="88" spans="1:3" x14ac:dyDescent="0.3">
      <c r="A88" t="s">
        <v>76</v>
      </c>
      <c r="B88">
        <v>0</v>
      </c>
      <c r="C88">
        <v>0</v>
      </c>
    </row>
    <row r="89" spans="1:3" x14ac:dyDescent="0.3">
      <c r="A89" t="s">
        <v>152</v>
      </c>
      <c r="B89">
        <v>0</v>
      </c>
      <c r="C89">
        <v>0</v>
      </c>
    </row>
    <row r="90" spans="1:3" x14ac:dyDescent="0.3">
      <c r="A90" t="s">
        <v>226</v>
      </c>
      <c r="B90">
        <v>0</v>
      </c>
      <c r="C90">
        <v>5.4284640243097398E-2</v>
      </c>
    </row>
    <row r="91" spans="1:3" x14ac:dyDescent="0.3">
      <c r="A91" t="s">
        <v>151</v>
      </c>
      <c r="B91">
        <v>0</v>
      </c>
      <c r="C91">
        <v>0</v>
      </c>
    </row>
    <row r="92" spans="1:3" x14ac:dyDescent="0.3">
      <c r="A92" t="s">
        <v>203</v>
      </c>
      <c r="B92">
        <v>0</v>
      </c>
      <c r="C92">
        <v>0</v>
      </c>
    </row>
    <row r="93" spans="1:3" x14ac:dyDescent="0.3">
      <c r="A93" t="s">
        <v>114</v>
      </c>
      <c r="B93">
        <v>0</v>
      </c>
      <c r="C93">
        <v>0</v>
      </c>
    </row>
    <row r="94" spans="1:3" x14ac:dyDescent="0.3">
      <c r="A94" t="s">
        <v>184</v>
      </c>
      <c r="B94">
        <v>0</v>
      </c>
      <c r="C94">
        <v>4.10629623701547E-2</v>
      </c>
    </row>
    <row r="95" spans="1:3" x14ac:dyDescent="0.3">
      <c r="A95" t="s">
        <v>143</v>
      </c>
      <c r="B95">
        <v>0</v>
      </c>
      <c r="C95">
        <v>0</v>
      </c>
    </row>
    <row r="96" spans="1:3" x14ac:dyDescent="0.3">
      <c r="A96" t="s">
        <v>163</v>
      </c>
      <c r="B96">
        <v>0</v>
      </c>
      <c r="C96">
        <v>0</v>
      </c>
    </row>
    <row r="97" spans="1:3" x14ac:dyDescent="0.3">
      <c r="A97" t="s">
        <v>105</v>
      </c>
      <c r="B97">
        <v>0</v>
      </c>
      <c r="C97">
        <v>0</v>
      </c>
    </row>
    <row r="98" spans="1:3" x14ac:dyDescent="0.3">
      <c r="A98" t="s">
        <v>240</v>
      </c>
      <c r="B98">
        <v>0</v>
      </c>
      <c r="C98">
        <v>0</v>
      </c>
    </row>
    <row r="99" spans="1:3" x14ac:dyDescent="0.3">
      <c r="A99" t="s">
        <v>232</v>
      </c>
      <c r="B99">
        <v>2.14633002454475E-2</v>
      </c>
      <c r="C99">
        <v>0</v>
      </c>
    </row>
    <row r="100" spans="1:3" x14ac:dyDescent="0.3">
      <c r="A100" t="s">
        <v>93</v>
      </c>
      <c r="B100">
        <v>9.9806363057751701E-2</v>
      </c>
      <c r="C100">
        <v>5.3294307185904097E-2</v>
      </c>
    </row>
    <row r="101" spans="1:3" x14ac:dyDescent="0.3">
      <c r="A101" t="s">
        <v>157</v>
      </c>
      <c r="B101">
        <v>0</v>
      </c>
      <c r="C101">
        <v>0</v>
      </c>
    </row>
    <row r="102" spans="1:3" x14ac:dyDescent="0.3">
      <c r="A102" t="s">
        <v>149</v>
      </c>
      <c r="B102">
        <v>0</v>
      </c>
      <c r="C102">
        <v>0</v>
      </c>
    </row>
    <row r="103" spans="1:3" x14ac:dyDescent="0.3">
      <c r="A103" t="s">
        <v>132</v>
      </c>
      <c r="B103">
        <v>0</v>
      </c>
      <c r="C103">
        <v>0</v>
      </c>
    </row>
    <row r="104" spans="1:3" x14ac:dyDescent="0.3">
      <c r="A104" t="s">
        <v>211</v>
      </c>
      <c r="B104">
        <v>0</v>
      </c>
      <c r="C104">
        <v>0</v>
      </c>
    </row>
    <row r="105" spans="1:3" x14ac:dyDescent="0.3">
      <c r="A105" t="s">
        <v>202</v>
      </c>
      <c r="B105">
        <v>0</v>
      </c>
      <c r="C105">
        <v>0</v>
      </c>
    </row>
    <row r="106" spans="1:3" x14ac:dyDescent="0.3">
      <c r="A106" t="s">
        <v>95</v>
      </c>
      <c r="B106">
        <v>0</v>
      </c>
      <c r="C106">
        <v>0</v>
      </c>
    </row>
    <row r="107" spans="1:3" x14ac:dyDescent="0.3">
      <c r="A107" t="s">
        <v>137</v>
      </c>
      <c r="B107">
        <v>0</v>
      </c>
      <c r="C107">
        <v>0</v>
      </c>
    </row>
    <row r="108" spans="1:3" x14ac:dyDescent="0.3">
      <c r="A108" t="s">
        <v>196</v>
      </c>
      <c r="B108">
        <v>0</v>
      </c>
      <c r="C108">
        <v>0</v>
      </c>
    </row>
    <row r="109" spans="1:3" x14ac:dyDescent="0.3">
      <c r="A109" t="s">
        <v>83</v>
      </c>
      <c r="B109">
        <v>7.5605877485646802E-2</v>
      </c>
      <c r="C109">
        <v>4.1188896645116602E-2</v>
      </c>
    </row>
    <row r="110" spans="1:3" x14ac:dyDescent="0.3">
      <c r="A110" t="s">
        <v>87</v>
      </c>
      <c r="B110">
        <v>0</v>
      </c>
      <c r="C110">
        <v>0</v>
      </c>
    </row>
    <row r="111" spans="1:3" x14ac:dyDescent="0.3">
      <c r="A111" t="s">
        <v>198</v>
      </c>
      <c r="B111">
        <v>0</v>
      </c>
      <c r="C111">
        <v>0</v>
      </c>
    </row>
    <row r="112" spans="1:3" x14ac:dyDescent="0.3">
      <c r="A112" t="s">
        <v>52</v>
      </c>
      <c r="B112">
        <v>0</v>
      </c>
      <c r="C112">
        <v>0</v>
      </c>
    </row>
    <row r="113" spans="1:3" x14ac:dyDescent="0.3">
      <c r="A113" t="s">
        <v>107</v>
      </c>
      <c r="B113">
        <v>0</v>
      </c>
      <c r="C113">
        <v>0</v>
      </c>
    </row>
    <row r="114" spans="1:3" x14ac:dyDescent="0.3">
      <c r="A114" t="s">
        <v>208</v>
      </c>
      <c r="B114">
        <v>0</v>
      </c>
      <c r="C114">
        <v>0</v>
      </c>
    </row>
    <row r="115" spans="1:3" x14ac:dyDescent="0.3">
      <c r="A115" t="s">
        <v>266</v>
      </c>
      <c r="B115">
        <v>0</v>
      </c>
      <c r="C115">
        <v>0</v>
      </c>
    </row>
    <row r="116" spans="1:3" x14ac:dyDescent="0.3">
      <c r="A116" t="s">
        <v>214</v>
      </c>
      <c r="B116">
        <v>0</v>
      </c>
      <c r="C116">
        <v>0</v>
      </c>
    </row>
    <row r="117" spans="1:3" x14ac:dyDescent="0.3">
      <c r="A117" t="s">
        <v>111</v>
      </c>
      <c r="B117">
        <v>1.7565937812657102E-2</v>
      </c>
      <c r="C117">
        <v>0</v>
      </c>
    </row>
    <row r="118" spans="1:3" x14ac:dyDescent="0.3">
      <c r="A118" t="s">
        <v>223</v>
      </c>
      <c r="B118">
        <v>0</v>
      </c>
      <c r="C118">
        <v>0</v>
      </c>
    </row>
    <row r="119" spans="1:3" x14ac:dyDescent="0.3">
      <c r="A119" t="s">
        <v>221</v>
      </c>
      <c r="B119">
        <v>0</v>
      </c>
      <c r="C119">
        <v>0</v>
      </c>
    </row>
    <row r="120" spans="1:3" x14ac:dyDescent="0.3">
      <c r="A120" t="s">
        <v>205</v>
      </c>
      <c r="B120">
        <v>0</v>
      </c>
      <c r="C120">
        <v>5.06977923591048E-2</v>
      </c>
    </row>
    <row r="121" spans="1:3" x14ac:dyDescent="0.3">
      <c r="A121" t="s">
        <v>88</v>
      </c>
      <c r="B121">
        <v>0</v>
      </c>
      <c r="C121">
        <v>0</v>
      </c>
    </row>
    <row r="122" spans="1:3" x14ac:dyDescent="0.3">
      <c r="A122" t="s">
        <v>243</v>
      </c>
      <c r="B122">
        <v>0</v>
      </c>
      <c r="C122">
        <v>0</v>
      </c>
    </row>
    <row r="123" spans="1:3" x14ac:dyDescent="0.3">
      <c r="A123" t="s">
        <v>210</v>
      </c>
      <c r="B123">
        <v>0</v>
      </c>
      <c r="C123">
        <v>6.2238861662695197E-2</v>
      </c>
    </row>
    <row r="124" spans="1:3" x14ac:dyDescent="0.3">
      <c r="A124" t="s">
        <v>188</v>
      </c>
      <c r="B124">
        <v>0</v>
      </c>
      <c r="C124">
        <v>0</v>
      </c>
    </row>
    <row r="125" spans="1:3" x14ac:dyDescent="0.3">
      <c r="A125" t="s">
        <v>209</v>
      </c>
      <c r="B125">
        <v>0</v>
      </c>
      <c r="C125">
        <v>2.23022873940848E-2</v>
      </c>
    </row>
    <row r="126" spans="1:3" x14ac:dyDescent="0.3">
      <c r="A126" t="s">
        <v>166</v>
      </c>
      <c r="B126">
        <v>0</v>
      </c>
      <c r="C126">
        <v>0</v>
      </c>
    </row>
    <row r="127" spans="1:3" x14ac:dyDescent="0.3">
      <c r="A127" t="s">
        <v>154</v>
      </c>
      <c r="B127">
        <v>6.2456410358038297E-2</v>
      </c>
      <c r="C127">
        <v>4.5553730431503299E-2</v>
      </c>
    </row>
    <row r="128" spans="1:3" x14ac:dyDescent="0.3">
      <c r="A128" t="s">
        <v>69</v>
      </c>
      <c r="B128">
        <v>0</v>
      </c>
      <c r="C128">
        <v>0</v>
      </c>
    </row>
    <row r="129" spans="1:3" x14ac:dyDescent="0.3">
      <c r="A129" t="s">
        <v>150</v>
      </c>
      <c r="B129">
        <v>0</v>
      </c>
      <c r="C129">
        <v>0</v>
      </c>
    </row>
    <row r="130" spans="1:3" x14ac:dyDescent="0.3">
      <c r="A130" t="s">
        <v>170</v>
      </c>
      <c r="B130">
        <v>0</v>
      </c>
      <c r="C130">
        <v>0</v>
      </c>
    </row>
    <row r="131" spans="1:3" x14ac:dyDescent="0.3">
      <c r="A131" t="s">
        <v>257</v>
      </c>
      <c r="B131">
        <v>0</v>
      </c>
      <c r="C131">
        <v>0</v>
      </c>
    </row>
    <row r="132" spans="1:3" x14ac:dyDescent="0.3">
      <c r="A132" t="s">
        <v>235</v>
      </c>
      <c r="B132">
        <v>0</v>
      </c>
      <c r="C132">
        <v>0</v>
      </c>
    </row>
    <row r="133" spans="1:3" x14ac:dyDescent="0.3">
      <c r="A133" t="s">
        <v>197</v>
      </c>
      <c r="B133">
        <v>0</v>
      </c>
      <c r="C133">
        <v>0</v>
      </c>
    </row>
    <row r="134" spans="1:3" x14ac:dyDescent="0.3">
      <c r="A134" t="s">
        <v>176</v>
      </c>
      <c r="B134">
        <v>0</v>
      </c>
      <c r="C134">
        <v>0</v>
      </c>
    </row>
    <row r="135" spans="1:3" x14ac:dyDescent="0.3">
      <c r="A135" t="s">
        <v>86</v>
      </c>
      <c r="B135">
        <v>3.1812000498661397E-2</v>
      </c>
      <c r="C135">
        <v>1.3181966070419099E-2</v>
      </c>
    </row>
    <row r="136" spans="1:3" x14ac:dyDescent="0.3">
      <c r="A136" t="s">
        <v>250</v>
      </c>
      <c r="B136">
        <v>0</v>
      </c>
      <c r="C136">
        <v>0</v>
      </c>
    </row>
    <row r="137" spans="1:3" x14ac:dyDescent="0.3">
      <c r="A137" t="s">
        <v>81</v>
      </c>
      <c r="B137">
        <v>0.142583736341831</v>
      </c>
      <c r="C137">
        <v>5.7785500729527699E-2</v>
      </c>
    </row>
    <row r="138" spans="1:3" x14ac:dyDescent="0.3">
      <c r="A138" t="s">
        <v>251</v>
      </c>
      <c r="B138">
        <v>0</v>
      </c>
      <c r="C138">
        <v>0</v>
      </c>
    </row>
    <row r="139" spans="1:3" x14ac:dyDescent="0.3">
      <c r="A139" t="s">
        <v>245</v>
      </c>
      <c r="B139">
        <v>0</v>
      </c>
      <c r="C139">
        <v>0</v>
      </c>
    </row>
    <row r="140" spans="1:3" x14ac:dyDescent="0.3">
      <c r="A140" t="s">
        <v>258</v>
      </c>
      <c r="B140">
        <v>0</v>
      </c>
      <c r="C140">
        <v>0</v>
      </c>
    </row>
    <row r="141" spans="1:3" x14ac:dyDescent="0.3">
      <c r="A141" t="s">
        <v>61</v>
      </c>
      <c r="B141">
        <v>0</v>
      </c>
      <c r="C141">
        <v>0</v>
      </c>
    </row>
    <row r="142" spans="1:3" x14ac:dyDescent="0.3">
      <c r="A142" t="s">
        <v>212</v>
      </c>
      <c r="B142">
        <v>0</v>
      </c>
      <c r="C142">
        <v>0</v>
      </c>
    </row>
    <row r="143" spans="1:3" x14ac:dyDescent="0.3">
      <c r="A143" t="s">
        <v>96</v>
      </c>
      <c r="B143">
        <v>0</v>
      </c>
      <c r="C143">
        <v>0</v>
      </c>
    </row>
    <row r="144" spans="1:3" x14ac:dyDescent="0.3">
      <c r="A144" t="s">
        <v>65</v>
      </c>
      <c r="B144">
        <v>0</v>
      </c>
      <c r="C144">
        <v>0</v>
      </c>
    </row>
    <row r="145" spans="1:3" x14ac:dyDescent="0.3">
      <c r="A145" t="s">
        <v>187</v>
      </c>
      <c r="B145">
        <v>0</v>
      </c>
      <c r="C145">
        <v>0</v>
      </c>
    </row>
    <row r="146" spans="1:3" x14ac:dyDescent="0.3">
      <c r="A146" t="s">
        <v>180</v>
      </c>
      <c r="B146">
        <v>0</v>
      </c>
      <c r="C146">
        <v>0</v>
      </c>
    </row>
    <row r="147" spans="1:3" x14ac:dyDescent="0.3">
      <c r="A147" t="s">
        <v>239</v>
      </c>
      <c r="B147">
        <v>0</v>
      </c>
      <c r="C147">
        <v>0</v>
      </c>
    </row>
    <row r="148" spans="1:3" x14ac:dyDescent="0.3">
      <c r="A148" t="s">
        <v>262</v>
      </c>
      <c r="B148">
        <v>0</v>
      </c>
      <c r="C148">
        <v>0</v>
      </c>
    </row>
    <row r="149" spans="1:3" x14ac:dyDescent="0.3">
      <c r="A149" t="s">
        <v>233</v>
      </c>
      <c r="B149">
        <v>0</v>
      </c>
      <c r="C149">
        <v>0</v>
      </c>
    </row>
    <row r="150" spans="1:3" x14ac:dyDescent="0.3">
      <c r="A150" t="s">
        <v>59</v>
      </c>
      <c r="B150">
        <v>0</v>
      </c>
      <c r="C150">
        <v>0</v>
      </c>
    </row>
    <row r="151" spans="1:3" x14ac:dyDescent="0.3">
      <c r="A151" t="s">
        <v>252</v>
      </c>
      <c r="B151">
        <v>0</v>
      </c>
      <c r="C151">
        <v>0</v>
      </c>
    </row>
    <row r="152" spans="1:3" x14ac:dyDescent="0.3">
      <c r="A152" t="s">
        <v>75</v>
      </c>
      <c r="B152">
        <v>0</v>
      </c>
      <c r="C152">
        <v>0</v>
      </c>
    </row>
    <row r="153" spans="1:3" x14ac:dyDescent="0.3">
      <c r="A153" t="s">
        <v>167</v>
      </c>
      <c r="B153">
        <v>0</v>
      </c>
      <c r="C153">
        <v>0</v>
      </c>
    </row>
    <row r="154" spans="1:3" x14ac:dyDescent="0.3">
      <c r="A154" t="s">
        <v>201</v>
      </c>
      <c r="B154">
        <v>0</v>
      </c>
      <c r="C154">
        <v>0</v>
      </c>
    </row>
    <row r="155" spans="1:3" x14ac:dyDescent="0.3">
      <c r="A155" t="s">
        <v>92</v>
      </c>
      <c r="B155">
        <v>0</v>
      </c>
      <c r="C155">
        <v>0</v>
      </c>
    </row>
    <row r="156" spans="1:3" x14ac:dyDescent="0.3">
      <c r="A156" t="s">
        <v>77</v>
      </c>
      <c r="B156">
        <v>0</v>
      </c>
      <c r="C156">
        <v>0</v>
      </c>
    </row>
    <row r="157" spans="1:3" x14ac:dyDescent="0.3">
      <c r="A157" t="s">
        <v>101</v>
      </c>
      <c r="B157">
        <v>2.29187604144062E-2</v>
      </c>
      <c r="C157">
        <v>1.56102114038767E-2</v>
      </c>
    </row>
    <row r="158" spans="1:3" x14ac:dyDescent="0.3">
      <c r="A158" t="s">
        <v>199</v>
      </c>
      <c r="B158">
        <v>0</v>
      </c>
      <c r="C158">
        <v>0</v>
      </c>
    </row>
    <row r="159" spans="1:3" x14ac:dyDescent="0.3">
      <c r="A159" t="s">
        <v>139</v>
      </c>
      <c r="B159">
        <v>0</v>
      </c>
      <c r="C159">
        <v>0</v>
      </c>
    </row>
    <row r="160" spans="1:3" x14ac:dyDescent="0.3">
      <c r="A160" t="s">
        <v>237</v>
      </c>
      <c r="B160">
        <v>0</v>
      </c>
      <c r="C160">
        <v>0</v>
      </c>
    </row>
    <row r="161" spans="1:3" x14ac:dyDescent="0.3">
      <c r="A161" t="s">
        <v>224</v>
      </c>
      <c r="B161">
        <v>0</v>
      </c>
      <c r="C161">
        <v>0</v>
      </c>
    </row>
    <row r="162" spans="1:3" x14ac:dyDescent="0.3">
      <c r="A162" t="s">
        <v>183</v>
      </c>
      <c r="B162">
        <v>0</v>
      </c>
      <c r="C162">
        <v>0</v>
      </c>
    </row>
    <row r="163" spans="1:3" x14ac:dyDescent="0.3">
      <c r="A163" t="s">
        <v>276</v>
      </c>
      <c r="B163">
        <v>0</v>
      </c>
      <c r="C163">
        <v>0</v>
      </c>
    </row>
    <row r="164" spans="1:3" x14ac:dyDescent="0.3">
      <c r="A164" t="s">
        <v>131</v>
      </c>
      <c r="B164">
        <v>0</v>
      </c>
      <c r="C164">
        <v>0</v>
      </c>
    </row>
    <row r="165" spans="1:3" x14ac:dyDescent="0.3">
      <c r="A165" t="s">
        <v>122</v>
      </c>
      <c r="B165">
        <v>0</v>
      </c>
      <c r="C165">
        <v>0</v>
      </c>
    </row>
    <row r="166" spans="1:3" x14ac:dyDescent="0.3">
      <c r="A166" t="s">
        <v>260</v>
      </c>
      <c r="B166">
        <v>0</v>
      </c>
      <c r="C166">
        <v>0</v>
      </c>
    </row>
    <row r="167" spans="1:3" x14ac:dyDescent="0.3">
      <c r="A167" t="s">
        <v>231</v>
      </c>
      <c r="B167">
        <v>0</v>
      </c>
      <c r="C167">
        <v>0</v>
      </c>
    </row>
    <row r="168" spans="1:3" x14ac:dyDescent="0.3">
      <c r="A168" t="s">
        <v>216</v>
      </c>
      <c r="B168">
        <v>0</v>
      </c>
      <c r="C168">
        <v>0</v>
      </c>
    </row>
    <row r="169" spans="1:3" x14ac:dyDescent="0.3">
      <c r="A169" t="s">
        <v>215</v>
      </c>
      <c r="B169">
        <v>0</v>
      </c>
      <c r="C169">
        <v>0</v>
      </c>
    </row>
    <row r="170" spans="1:3" x14ac:dyDescent="0.3">
      <c r="A170" t="s">
        <v>126</v>
      </c>
      <c r="B170">
        <v>0</v>
      </c>
      <c r="C170">
        <v>0</v>
      </c>
    </row>
    <row r="171" spans="1:3" x14ac:dyDescent="0.3">
      <c r="A171" t="s">
        <v>54</v>
      </c>
      <c r="B171">
        <v>0</v>
      </c>
      <c r="C171">
        <v>0</v>
      </c>
    </row>
    <row r="172" spans="1:3" x14ac:dyDescent="0.3">
      <c r="A172" t="s">
        <v>190</v>
      </c>
      <c r="B172">
        <v>0</v>
      </c>
      <c r="C172">
        <v>0</v>
      </c>
    </row>
    <row r="173" spans="1:3" x14ac:dyDescent="0.3">
      <c r="A173" t="s">
        <v>277</v>
      </c>
      <c r="B173">
        <v>0</v>
      </c>
      <c r="C173">
        <v>0</v>
      </c>
    </row>
    <row r="174" spans="1:3" x14ac:dyDescent="0.3">
      <c r="A174" t="s">
        <v>267</v>
      </c>
      <c r="B174">
        <v>0</v>
      </c>
      <c r="C174">
        <v>0</v>
      </c>
    </row>
    <row r="175" spans="1:3" x14ac:dyDescent="0.3">
      <c r="A175" t="s">
        <v>234</v>
      </c>
      <c r="B175">
        <v>0</v>
      </c>
      <c r="C175">
        <v>0</v>
      </c>
    </row>
    <row r="176" spans="1:3" x14ac:dyDescent="0.3">
      <c r="A176" t="s">
        <v>85</v>
      </c>
      <c r="B176">
        <v>0</v>
      </c>
      <c r="C176">
        <v>0</v>
      </c>
    </row>
    <row r="177" spans="1:3" x14ac:dyDescent="0.3">
      <c r="A177" t="s">
        <v>174</v>
      </c>
      <c r="B177">
        <v>0</v>
      </c>
      <c r="C177">
        <v>0</v>
      </c>
    </row>
    <row r="178" spans="1:3" x14ac:dyDescent="0.3">
      <c r="A178" t="s">
        <v>228</v>
      </c>
      <c r="B178">
        <v>0</v>
      </c>
      <c r="C178">
        <v>0</v>
      </c>
    </row>
    <row r="179" spans="1:3" x14ac:dyDescent="0.3">
      <c r="A179" t="s">
        <v>255</v>
      </c>
      <c r="B179">
        <v>0</v>
      </c>
      <c r="C179">
        <v>0</v>
      </c>
    </row>
    <row r="180" spans="1:3" x14ac:dyDescent="0.3">
      <c r="A180" t="s">
        <v>138</v>
      </c>
      <c r="B180">
        <v>0</v>
      </c>
      <c r="C180">
        <v>0</v>
      </c>
    </row>
    <row r="181" spans="1:3" x14ac:dyDescent="0.3">
      <c r="A181" t="s">
        <v>186</v>
      </c>
      <c r="B181">
        <v>0</v>
      </c>
      <c r="C181">
        <v>0</v>
      </c>
    </row>
    <row r="182" spans="1:3" x14ac:dyDescent="0.3">
      <c r="A182" t="s">
        <v>230</v>
      </c>
      <c r="B182">
        <v>0</v>
      </c>
      <c r="C182">
        <v>0</v>
      </c>
    </row>
    <row r="183" spans="1:3" x14ac:dyDescent="0.3">
      <c r="A183" t="s">
        <v>182</v>
      </c>
      <c r="B183">
        <v>0</v>
      </c>
      <c r="C183">
        <v>0</v>
      </c>
    </row>
    <row r="184" spans="1:3" x14ac:dyDescent="0.3">
      <c r="A184" t="s">
        <v>60</v>
      </c>
      <c r="B184">
        <v>3.5511086177026703E-2</v>
      </c>
      <c r="C184">
        <v>1.7021819953860401E-2</v>
      </c>
    </row>
    <row r="185" spans="1:3" x14ac:dyDescent="0.3">
      <c r="A185" t="s">
        <v>261</v>
      </c>
      <c r="B185">
        <v>0</v>
      </c>
      <c r="C185">
        <v>0</v>
      </c>
    </row>
    <row r="186" spans="1:3" x14ac:dyDescent="0.3">
      <c r="A186" t="s">
        <v>178</v>
      </c>
      <c r="B186">
        <v>0</v>
      </c>
      <c r="C186">
        <v>0</v>
      </c>
    </row>
    <row r="187" spans="1:3" x14ac:dyDescent="0.3">
      <c r="A187" t="s">
        <v>168</v>
      </c>
      <c r="B187">
        <v>0</v>
      </c>
      <c r="C187">
        <v>0</v>
      </c>
    </row>
    <row r="188" spans="1:3" x14ac:dyDescent="0.3">
      <c r="A188" t="s">
        <v>128</v>
      </c>
      <c r="B188">
        <v>0</v>
      </c>
      <c r="C188">
        <v>0</v>
      </c>
    </row>
    <row r="189" spans="1:3" x14ac:dyDescent="0.3">
      <c r="A189" t="s">
        <v>189</v>
      </c>
      <c r="B189">
        <v>0</v>
      </c>
      <c r="C189">
        <v>0</v>
      </c>
    </row>
    <row r="190" spans="1:3" x14ac:dyDescent="0.3">
      <c r="A190" t="s">
        <v>238</v>
      </c>
      <c r="B190">
        <v>0</v>
      </c>
      <c r="C190">
        <v>0</v>
      </c>
    </row>
    <row r="191" spans="1:3" x14ac:dyDescent="0.3">
      <c r="A191" t="s">
        <v>242</v>
      </c>
      <c r="B191">
        <v>0</v>
      </c>
      <c r="C191">
        <v>0</v>
      </c>
    </row>
    <row r="192" spans="1:3" x14ac:dyDescent="0.3">
      <c r="A192" t="s">
        <v>133</v>
      </c>
      <c r="B192">
        <v>0</v>
      </c>
      <c r="C192">
        <v>0</v>
      </c>
    </row>
    <row r="193" spans="1:3" x14ac:dyDescent="0.3">
      <c r="A193" t="s">
        <v>109</v>
      </c>
      <c r="B193">
        <v>0</v>
      </c>
      <c r="C193">
        <v>0</v>
      </c>
    </row>
    <row r="194" spans="1:3" x14ac:dyDescent="0.3">
      <c r="A194" t="s">
        <v>121</v>
      </c>
      <c r="B194">
        <v>8.7760891754338904E-2</v>
      </c>
      <c r="C194">
        <v>5.2021770552461703E-2</v>
      </c>
    </row>
    <row r="195" spans="1:3" x14ac:dyDescent="0.3">
      <c r="A195" t="s">
        <v>148</v>
      </c>
      <c r="B195">
        <v>0</v>
      </c>
      <c r="C195">
        <v>0</v>
      </c>
    </row>
    <row r="196" spans="1:3" x14ac:dyDescent="0.3">
      <c r="A196" t="s">
        <v>130</v>
      </c>
      <c r="B196">
        <v>0</v>
      </c>
      <c r="C196">
        <v>0</v>
      </c>
    </row>
    <row r="197" spans="1:3" x14ac:dyDescent="0.3">
      <c r="A197" t="s">
        <v>219</v>
      </c>
      <c r="B197">
        <v>0</v>
      </c>
      <c r="C197">
        <v>0</v>
      </c>
    </row>
    <row r="198" spans="1:3" x14ac:dyDescent="0.3">
      <c r="A198" t="s">
        <v>227</v>
      </c>
      <c r="B198">
        <v>0</v>
      </c>
      <c r="C198">
        <v>0</v>
      </c>
    </row>
    <row r="199" spans="1:3" x14ac:dyDescent="0.3">
      <c r="A199" t="s">
        <v>147</v>
      </c>
      <c r="B199">
        <v>6.0799064848071599E-2</v>
      </c>
      <c r="C199">
        <v>0</v>
      </c>
    </row>
    <row r="200" spans="1:3" x14ac:dyDescent="0.3">
      <c r="A200" t="s">
        <v>67</v>
      </c>
      <c r="B200">
        <v>0</v>
      </c>
      <c r="C200">
        <v>0</v>
      </c>
    </row>
    <row r="201" spans="1:3" x14ac:dyDescent="0.3">
      <c r="A201" t="s">
        <v>90</v>
      </c>
      <c r="B201">
        <v>0</v>
      </c>
      <c r="C201">
        <v>0</v>
      </c>
    </row>
    <row r="202" spans="1:3" x14ac:dyDescent="0.3">
      <c r="A202" t="s">
        <v>79</v>
      </c>
      <c r="B202">
        <v>0</v>
      </c>
      <c r="C202">
        <v>0</v>
      </c>
    </row>
    <row r="203" spans="1:3" x14ac:dyDescent="0.3">
      <c r="A203" t="s">
        <v>120</v>
      </c>
      <c r="B203">
        <v>0</v>
      </c>
      <c r="C203">
        <v>0</v>
      </c>
    </row>
    <row r="204" spans="1:3" x14ac:dyDescent="0.3">
      <c r="A204" t="s">
        <v>94</v>
      </c>
      <c r="B204">
        <v>0</v>
      </c>
      <c r="C204">
        <v>3.4435209071714303E-2</v>
      </c>
    </row>
    <row r="205" spans="1:3" x14ac:dyDescent="0.3">
      <c r="A205" t="s">
        <v>113</v>
      </c>
      <c r="B205">
        <v>0</v>
      </c>
      <c r="C205">
        <v>0</v>
      </c>
    </row>
    <row r="206" spans="1:3" x14ac:dyDescent="0.3">
      <c r="A206" t="s">
        <v>134</v>
      </c>
      <c r="B206">
        <v>0</v>
      </c>
      <c r="C206">
        <v>3.9488618172292898E-2</v>
      </c>
    </row>
    <row r="207" spans="1:3" x14ac:dyDescent="0.3">
      <c r="A207" t="s">
        <v>116</v>
      </c>
      <c r="B207">
        <v>0</v>
      </c>
      <c r="C207">
        <v>0</v>
      </c>
    </row>
    <row r="208" spans="1:3" x14ac:dyDescent="0.3">
      <c r="A208" t="s">
        <v>268</v>
      </c>
      <c r="B208">
        <v>0</v>
      </c>
      <c r="C208">
        <v>0</v>
      </c>
    </row>
    <row r="209" spans="1:3" x14ac:dyDescent="0.3">
      <c r="A209" t="s">
        <v>146</v>
      </c>
      <c r="B209">
        <v>0</v>
      </c>
      <c r="C209">
        <v>0</v>
      </c>
    </row>
    <row r="210" spans="1:3" x14ac:dyDescent="0.3">
      <c r="A210" t="s">
        <v>136</v>
      </c>
      <c r="B210">
        <v>0</v>
      </c>
      <c r="C210">
        <v>0</v>
      </c>
    </row>
    <row r="211" spans="1:3" x14ac:dyDescent="0.3">
      <c r="A211" t="s">
        <v>195</v>
      </c>
      <c r="B211">
        <v>0</v>
      </c>
      <c r="C211">
        <v>0</v>
      </c>
    </row>
    <row r="212" spans="1:3" x14ac:dyDescent="0.3">
      <c r="A212" t="s">
        <v>160</v>
      </c>
      <c r="B212">
        <v>0</v>
      </c>
      <c r="C212">
        <v>0</v>
      </c>
    </row>
    <row r="213" spans="1:3" x14ac:dyDescent="0.3">
      <c r="A213" t="s">
        <v>247</v>
      </c>
      <c r="B213">
        <v>0</v>
      </c>
      <c r="C213">
        <v>0</v>
      </c>
    </row>
    <row r="214" spans="1:3" x14ac:dyDescent="0.3">
      <c r="A214" t="s">
        <v>206</v>
      </c>
      <c r="B214">
        <v>0</v>
      </c>
      <c r="C214">
        <v>0</v>
      </c>
    </row>
    <row r="215" spans="1:3" x14ac:dyDescent="0.3">
      <c r="A215" t="s">
        <v>249</v>
      </c>
      <c r="B215">
        <v>0</v>
      </c>
      <c r="C215">
        <v>0</v>
      </c>
    </row>
  </sheetData>
  <autoFilter ref="A1:C215" xr:uid="{02F358FF-6914-46DE-9D47-3DE68DBCD665}"/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29 - FIA</vt:lpstr>
      <vt:lpstr>29</vt:lpstr>
      <vt:lpstr>35 - SMLL</vt:lpstr>
      <vt:lpstr>36 - LP</vt:lpstr>
      <vt:lpstr>37 - ISEE</vt:lpstr>
      <vt:lpstr>Planilha6</vt:lpstr>
      <vt:lpstr>Mandato Ibov</vt:lpstr>
      <vt:lpstr>Mandato Smll</vt:lpstr>
      <vt:lpstr>Mandato LP</vt:lpstr>
      <vt:lpstr>Mandato ISEE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Roberto Fonteles Guimaraes</dc:creator>
  <cp:lastModifiedBy>Paulo Roberto Fonteles Guimaraes</cp:lastModifiedBy>
  <dcterms:created xsi:type="dcterms:W3CDTF">2026-04-17T17:33:17Z</dcterms:created>
  <dcterms:modified xsi:type="dcterms:W3CDTF">2026-04-20T11:47:34Z</dcterms:modified>
</cp:coreProperties>
</file>