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oob-my.sharepoint.com/personal/paulo_fonteles_sicoob_com_br/Documents/Renda Variável/Multifatorial 3.0/Rebalanceamentos/1T26/"/>
    </mc:Choice>
  </mc:AlternateContent>
  <xr:revisionPtr revIDLastSave="1307" documentId="13_ncr:10000001_{0FE00555-C17E-47F7-AECB-3EABAA971752}" xr6:coauthVersionLast="47" xr6:coauthVersionMax="47" xr10:uidLastSave="{42AD0679-2EAD-4E6F-8CF8-68C0D756F910}"/>
  <bookViews>
    <workbookView xWindow="-108" yWindow="-108" windowWidth="23256" windowHeight="13896" tabRatio="730" activeTab="7" xr2:uid="{3AEC99F5-4E21-4FB3-810C-649CE4EF3B12}"/>
  </bookViews>
  <sheets>
    <sheet name="pesos VGBLs" sheetId="16" r:id="rId1"/>
    <sheet name="pesos FIA" sheetId="1" r:id="rId2"/>
    <sheet name="pesos vgbl30" sheetId="4" state="hidden" r:id="rId3"/>
    <sheet name="pesos vgbl65" sheetId="5" state="hidden" r:id="rId4"/>
    <sheet name="pesos smal" sheetId="6" r:id="rId5"/>
    <sheet name="pesos dividendos" sheetId="7" r:id="rId6"/>
    <sheet name="pesos ASG" sheetId="8" r:id="rId7"/>
    <sheet name="pesos PREVI" sheetId="3" r:id="rId8"/>
    <sheet name="pesos 501" sheetId="9" state="hidden" r:id="rId9"/>
  </sheets>
  <externalReferences>
    <externalReference r:id="rId10"/>
  </externalReferences>
  <definedNames>
    <definedName name="_xlnm._FilterDatabase" localSheetId="1" hidden="1">'pesos FIA'!$A$1:$B$216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61" i="3"/>
  <c r="B161" i="3"/>
  <c r="A162" i="3"/>
  <c r="B162" i="3"/>
  <c r="A163" i="3"/>
  <c r="B163" i="3"/>
  <c r="A164" i="3"/>
  <c r="B164" i="3"/>
  <c r="A165" i="3"/>
  <c r="B165" i="3"/>
  <c r="A166" i="3"/>
  <c r="B166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L64" i="16"/>
  <c r="L65" i="16"/>
  <c r="L66" i="16"/>
  <c r="L67" i="16"/>
  <c r="L68" i="16"/>
  <c r="L69" i="16"/>
  <c r="L70" i="16"/>
  <c r="L71" i="16"/>
  <c r="L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A72" i="16"/>
  <c r="B72" i="16"/>
  <c r="A73" i="16"/>
  <c r="B73" i="16"/>
  <c r="A74" i="16"/>
  <c r="B74" i="16"/>
  <c r="A75" i="16"/>
  <c r="B75" i="16"/>
  <c r="A76" i="16"/>
  <c r="B76" i="16"/>
  <c r="A77" i="16"/>
  <c r="B77" i="16"/>
  <c r="A78" i="16"/>
  <c r="B78" i="16"/>
  <c r="A79" i="16"/>
  <c r="B79" i="16"/>
  <c r="A80" i="16"/>
  <c r="B80" i="16"/>
  <c r="A81" i="16"/>
  <c r="B81" i="16"/>
  <c r="A82" i="16"/>
  <c r="B82" i="16"/>
  <c r="A83" i="16"/>
  <c r="B83" i="16"/>
  <c r="A84" i="16"/>
  <c r="B84" i="16"/>
  <c r="A85" i="16"/>
  <c r="B85" i="16"/>
  <c r="A86" i="16"/>
  <c r="B86" i="16"/>
  <c r="A87" i="16"/>
  <c r="B87" i="16"/>
  <c r="A88" i="16"/>
  <c r="B88" i="16"/>
  <c r="A89" i="16"/>
  <c r="B89" i="16"/>
  <c r="A90" i="16"/>
  <c r="B90" i="16"/>
  <c r="A91" i="16"/>
  <c r="B91" i="16"/>
  <c r="A92" i="16"/>
  <c r="B92" i="16"/>
  <c r="A93" i="16"/>
  <c r="B93" i="16"/>
  <c r="A94" i="16"/>
  <c r="B94" i="16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2" i="7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2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E64" i="6"/>
  <c r="F64" i="6"/>
  <c r="E65" i="6"/>
  <c r="F65" i="6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O2" i="1"/>
  <c r="N2" i="1"/>
  <c r="K3" i="1"/>
  <c r="K4" i="1"/>
  <c r="K5" i="1"/>
  <c r="K6" i="1"/>
  <c r="K7" i="1"/>
  <c r="L7" i="1" s="1"/>
  <c r="K8" i="1"/>
  <c r="L8" i="1" s="1"/>
  <c r="K9" i="1"/>
  <c r="L9" i="1" s="1"/>
  <c r="K10" i="1"/>
  <c r="L10" i="1" s="1"/>
  <c r="K11" i="1"/>
  <c r="K12" i="1"/>
  <c r="L12" i="1" s="1"/>
  <c r="K13" i="1"/>
  <c r="K14" i="1"/>
  <c r="K15" i="1"/>
  <c r="L15" i="1" s="1"/>
  <c r="K16" i="1"/>
  <c r="L16" i="1" s="1"/>
  <c r="K17" i="1"/>
  <c r="K18" i="1"/>
  <c r="K19" i="1"/>
  <c r="K20" i="1"/>
  <c r="K21" i="1"/>
  <c r="K22" i="1"/>
  <c r="K23" i="1"/>
  <c r="L23" i="1" s="1"/>
  <c r="K24" i="1"/>
  <c r="L24" i="1" s="1"/>
  <c r="K25" i="1"/>
  <c r="L25" i="1" s="1"/>
  <c r="K26" i="1"/>
  <c r="L26" i="1" s="1"/>
  <c r="K27" i="1"/>
  <c r="K28" i="1"/>
  <c r="L28" i="1" s="1"/>
  <c r="K29" i="1"/>
  <c r="K30" i="1"/>
  <c r="K31" i="1"/>
  <c r="L31" i="1" s="1"/>
  <c r="K32" i="1"/>
  <c r="L32" i="1" s="1"/>
  <c r="K33" i="1"/>
  <c r="K34" i="1"/>
  <c r="K35" i="1"/>
  <c r="K36" i="1"/>
  <c r="K37" i="1"/>
  <c r="K38" i="1"/>
  <c r="K39" i="1"/>
  <c r="L39" i="1" s="1"/>
  <c r="K40" i="1"/>
  <c r="L40" i="1" s="1"/>
  <c r="K41" i="1"/>
  <c r="L41" i="1" s="1"/>
  <c r="K42" i="1"/>
  <c r="L42" i="1" s="1"/>
  <c r="K43" i="1"/>
  <c r="K44" i="1"/>
  <c r="L44" i="1" s="1"/>
  <c r="K45" i="1"/>
  <c r="K46" i="1"/>
  <c r="K47" i="1"/>
  <c r="L47" i="1" s="1"/>
  <c r="K48" i="1"/>
  <c r="L48" i="1" s="1"/>
  <c r="K49" i="1"/>
  <c r="K50" i="1"/>
  <c r="K51" i="1"/>
  <c r="K52" i="1"/>
  <c r="K53" i="1"/>
  <c r="L53" i="1" s="1"/>
  <c r="K54" i="1"/>
  <c r="K55" i="1"/>
  <c r="L55" i="1" s="1"/>
  <c r="K56" i="1"/>
  <c r="L56" i="1" s="1"/>
  <c r="K57" i="1"/>
  <c r="L57" i="1" s="1"/>
  <c r="K58" i="1"/>
  <c r="L58" i="1" s="1"/>
  <c r="K59" i="1"/>
  <c r="K60" i="1"/>
  <c r="L60" i="1" s="1"/>
  <c r="K61" i="1"/>
  <c r="K62" i="1"/>
  <c r="K63" i="1"/>
  <c r="L63" i="1" s="1"/>
  <c r="K64" i="1"/>
  <c r="L64" i="1" s="1"/>
  <c r="K65" i="1"/>
  <c r="K66" i="1"/>
  <c r="K67" i="1"/>
  <c r="K68" i="1"/>
  <c r="K69" i="1"/>
  <c r="L69" i="1" s="1"/>
  <c r="K70" i="1"/>
  <c r="K71" i="1"/>
  <c r="L71" i="1" s="1"/>
  <c r="K2" i="1"/>
  <c r="L2" i="1" s="1"/>
  <c r="L3" i="1"/>
  <c r="L4" i="1"/>
  <c r="L5" i="1"/>
  <c r="L6" i="1"/>
  <c r="L11" i="1"/>
  <c r="L13" i="1"/>
  <c r="L14" i="1"/>
  <c r="L17" i="1"/>
  <c r="L18" i="1"/>
  <c r="L19" i="1"/>
  <c r="L20" i="1"/>
  <c r="L21" i="1"/>
  <c r="L22" i="1"/>
  <c r="L27" i="1"/>
  <c r="L29" i="1"/>
  <c r="L30" i="1"/>
  <c r="L33" i="1"/>
  <c r="L34" i="1"/>
  <c r="L35" i="1"/>
  <c r="L36" i="1"/>
  <c r="L37" i="1"/>
  <c r="L38" i="1"/>
  <c r="L43" i="1"/>
  <c r="L45" i="1"/>
  <c r="L46" i="1"/>
  <c r="L49" i="1"/>
  <c r="L50" i="1"/>
  <c r="L51" i="1"/>
  <c r="L52" i="1"/>
  <c r="L54" i="1"/>
  <c r="L59" i="1"/>
  <c r="L61" i="1"/>
  <c r="L62" i="1"/>
  <c r="L65" i="1"/>
  <c r="L66" i="1"/>
  <c r="L67" i="1"/>
  <c r="L68" i="1"/>
  <c r="L7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A3" i="3" l="1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B65" i="3"/>
  <c r="A66" i="3"/>
  <c r="B66" i="3"/>
  <c r="A67" i="3"/>
  <c r="E67" i="3" s="1"/>
  <c r="I67" i="3" s="1"/>
  <c r="B67" i="3"/>
  <c r="F67" i="3" s="1"/>
  <c r="A68" i="3"/>
  <c r="E68" i="3" s="1"/>
  <c r="I68" i="3" s="1"/>
  <c r="B68" i="3"/>
  <c r="F68" i="3" s="1"/>
  <c r="A69" i="3"/>
  <c r="E69" i="3" s="1"/>
  <c r="I69" i="3" s="1"/>
  <c r="B69" i="3"/>
  <c r="F69" i="3" s="1"/>
  <c r="A70" i="3"/>
  <c r="E70" i="3" s="1"/>
  <c r="I70" i="3" s="1"/>
  <c r="B70" i="3"/>
  <c r="F70" i="3" s="1"/>
  <c r="A71" i="3"/>
  <c r="E71" i="3" s="1"/>
  <c r="I71" i="3" s="1"/>
  <c r="B71" i="3"/>
  <c r="F71" i="3" s="1"/>
  <c r="B2" i="3"/>
  <c r="A2" i="3"/>
  <c r="A3" i="16"/>
  <c r="B3" i="16"/>
  <c r="A4" i="16"/>
  <c r="B4" i="16"/>
  <c r="A5" i="16"/>
  <c r="B5" i="16"/>
  <c r="A6" i="16"/>
  <c r="B6" i="16"/>
  <c r="A7" i="16"/>
  <c r="B7" i="16"/>
  <c r="A8" i="16"/>
  <c r="B8" i="16"/>
  <c r="A9" i="16"/>
  <c r="B9" i="16"/>
  <c r="A10" i="16"/>
  <c r="B10" i="16"/>
  <c r="A11" i="16"/>
  <c r="B11" i="16"/>
  <c r="A12" i="16"/>
  <c r="B12" i="16"/>
  <c r="A13" i="16"/>
  <c r="B13" i="16"/>
  <c r="A14" i="16"/>
  <c r="B14" i="16"/>
  <c r="A15" i="16"/>
  <c r="B15" i="16"/>
  <c r="A16" i="16"/>
  <c r="B16" i="16"/>
  <c r="A17" i="16"/>
  <c r="B17" i="16"/>
  <c r="A18" i="16"/>
  <c r="B18" i="16"/>
  <c r="A19" i="16"/>
  <c r="B19" i="16"/>
  <c r="A20" i="16"/>
  <c r="B20" i="16"/>
  <c r="A21" i="16"/>
  <c r="B21" i="16"/>
  <c r="A22" i="16"/>
  <c r="B22" i="16"/>
  <c r="A23" i="16"/>
  <c r="B23" i="16"/>
  <c r="A24" i="16"/>
  <c r="B24" i="16"/>
  <c r="A25" i="16"/>
  <c r="B25" i="16"/>
  <c r="A26" i="16"/>
  <c r="B26" i="16"/>
  <c r="A27" i="16"/>
  <c r="B27" i="16"/>
  <c r="A28" i="16"/>
  <c r="B28" i="16"/>
  <c r="A29" i="16"/>
  <c r="B29" i="16"/>
  <c r="A30" i="16"/>
  <c r="B30" i="16"/>
  <c r="A31" i="16"/>
  <c r="B31" i="16"/>
  <c r="A32" i="16"/>
  <c r="B32" i="16"/>
  <c r="A33" i="16"/>
  <c r="B33" i="16"/>
  <c r="A34" i="16"/>
  <c r="B34" i="16"/>
  <c r="A35" i="16"/>
  <c r="B35" i="16"/>
  <c r="A36" i="16"/>
  <c r="B36" i="16"/>
  <c r="A37" i="16"/>
  <c r="B37" i="16"/>
  <c r="A38" i="16"/>
  <c r="B38" i="16"/>
  <c r="A39" i="16"/>
  <c r="B39" i="16"/>
  <c r="A40" i="16"/>
  <c r="B40" i="16"/>
  <c r="A41" i="16"/>
  <c r="B41" i="16"/>
  <c r="A42" i="16"/>
  <c r="B42" i="16"/>
  <c r="A43" i="16"/>
  <c r="B43" i="16"/>
  <c r="A44" i="16"/>
  <c r="B44" i="16"/>
  <c r="A45" i="16"/>
  <c r="B45" i="16"/>
  <c r="A46" i="16"/>
  <c r="B46" i="16"/>
  <c r="A47" i="16"/>
  <c r="B47" i="16"/>
  <c r="A48" i="16"/>
  <c r="B48" i="16"/>
  <c r="A49" i="16"/>
  <c r="B49" i="16"/>
  <c r="A50" i="16"/>
  <c r="B50" i="16"/>
  <c r="A51" i="16"/>
  <c r="B51" i="16"/>
  <c r="A52" i="16"/>
  <c r="B52" i="16"/>
  <c r="A53" i="16"/>
  <c r="B53" i="16"/>
  <c r="A54" i="16"/>
  <c r="B54" i="16"/>
  <c r="A55" i="16"/>
  <c r="B55" i="16"/>
  <c r="A56" i="16"/>
  <c r="B56" i="16"/>
  <c r="A57" i="16"/>
  <c r="B57" i="16"/>
  <c r="A58" i="16"/>
  <c r="B58" i="16"/>
  <c r="A59" i="16"/>
  <c r="B59" i="16"/>
  <c r="A60" i="16"/>
  <c r="B60" i="16"/>
  <c r="A61" i="16"/>
  <c r="B61" i="16"/>
  <c r="A62" i="16"/>
  <c r="B62" i="16"/>
  <c r="A63" i="16"/>
  <c r="B63" i="16"/>
  <c r="A64" i="16"/>
  <c r="B64" i="16"/>
  <c r="A65" i="16"/>
  <c r="B65" i="16"/>
  <c r="A66" i="16"/>
  <c r="B66" i="16"/>
  <c r="A67" i="16"/>
  <c r="E67" i="16" s="1"/>
  <c r="B67" i="16"/>
  <c r="F67" i="16" s="1"/>
  <c r="A68" i="16"/>
  <c r="E68" i="16" s="1"/>
  <c r="B68" i="16"/>
  <c r="F68" i="16" s="1"/>
  <c r="A69" i="16"/>
  <c r="E69" i="16" s="1"/>
  <c r="B69" i="16"/>
  <c r="F69" i="16" s="1"/>
  <c r="A70" i="16"/>
  <c r="E70" i="16" s="1"/>
  <c r="B70" i="16"/>
  <c r="F70" i="16" s="1"/>
  <c r="A71" i="16"/>
  <c r="E71" i="16" s="1"/>
  <c r="B71" i="16"/>
  <c r="F71" i="16" s="1"/>
  <c r="B2" i="16"/>
  <c r="A2" i="16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E39" i="8"/>
  <c r="F39" i="8"/>
  <c r="E3" i="7"/>
  <c r="F3" i="7"/>
  <c r="E4" i="7"/>
  <c r="F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69" i="7"/>
  <c r="F69" i="7"/>
  <c r="E70" i="7"/>
  <c r="F70" i="7"/>
  <c r="E71" i="7"/>
  <c r="F71" i="7"/>
  <c r="E72" i="7"/>
  <c r="F72" i="7"/>
  <c r="E3" i="6"/>
  <c r="F3" i="6"/>
  <c r="E4" i="6"/>
  <c r="F4" i="6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E40" i="6"/>
  <c r="F40" i="6"/>
  <c r="E41" i="6"/>
  <c r="F41" i="6"/>
  <c r="E42" i="6"/>
  <c r="F42" i="6"/>
  <c r="E43" i="6"/>
  <c r="F43" i="6"/>
  <c r="E44" i="6"/>
  <c r="F44" i="6"/>
  <c r="E45" i="6"/>
  <c r="F45" i="6"/>
  <c r="E46" i="6"/>
  <c r="F46" i="6"/>
  <c r="E47" i="6"/>
  <c r="F47" i="6"/>
  <c r="E48" i="6"/>
  <c r="F48" i="6"/>
  <c r="E49" i="6"/>
  <c r="F49" i="6"/>
  <c r="E50" i="6"/>
  <c r="F50" i="6"/>
  <c r="E51" i="6"/>
  <c r="F51" i="6"/>
  <c r="E52" i="6"/>
  <c r="F52" i="6"/>
  <c r="E53" i="6"/>
  <c r="F53" i="6"/>
  <c r="E54" i="6"/>
  <c r="F54" i="6"/>
  <c r="E55" i="6"/>
  <c r="F55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E63" i="6"/>
  <c r="F63" i="6"/>
  <c r="E67" i="1"/>
  <c r="E68" i="1"/>
  <c r="E69" i="1"/>
  <c r="E70" i="1"/>
  <c r="E71" i="1"/>
  <c r="F3" i="16" l="1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2" i="16"/>
  <c r="F12" i="8" l="1"/>
  <c r="F24" i="8"/>
  <c r="F8" i="8"/>
  <c r="F5" i="8"/>
  <c r="F27" i="8"/>
  <c r="F9" i="8"/>
  <c r="F4" i="8"/>
  <c r="F35" i="8"/>
  <c r="F25" i="8"/>
  <c r="F7" i="8"/>
  <c r="F18" i="8"/>
  <c r="F21" i="8"/>
  <c r="F26" i="8"/>
  <c r="F2" i="8"/>
  <c r="F22" i="8"/>
  <c r="F36" i="8"/>
  <c r="F33" i="8"/>
  <c r="F16" i="8"/>
  <c r="F11" i="8"/>
  <c r="F38" i="8"/>
  <c r="F19" i="8"/>
  <c r="F15" i="8"/>
  <c r="F28" i="8"/>
  <c r="F23" i="8"/>
  <c r="F37" i="8"/>
  <c r="F3" i="8"/>
  <c r="F14" i="8"/>
  <c r="F10" i="8"/>
  <c r="F6" i="8"/>
  <c r="F20" i="8"/>
  <c r="F34" i="8"/>
  <c r="F17" i="8"/>
  <c r="F32" i="8"/>
  <c r="F31" i="8"/>
  <c r="F30" i="8"/>
  <c r="F29" i="8"/>
  <c r="F13" i="8"/>
  <c r="F2" i="7" l="1"/>
  <c r="F2" i="6" l="1"/>
  <c r="F2" i="1" l="1"/>
  <c r="G1" i="1" s="1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66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2" i="16"/>
  <c r="C1" i="16"/>
  <c r="J74" i="3"/>
  <c r="G1" i="16" l="1"/>
  <c r="G1" i="6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J69" i="9" l="1"/>
  <c r="I69" i="9"/>
  <c r="J68" i="9"/>
  <c r="I68" i="9"/>
  <c r="J67" i="9"/>
  <c r="I67" i="9"/>
  <c r="J66" i="9"/>
  <c r="I66" i="9"/>
  <c r="F66" i="9"/>
  <c r="E66" i="9"/>
  <c r="J65" i="9"/>
  <c r="I65" i="9"/>
  <c r="F65" i="9"/>
  <c r="E65" i="9"/>
  <c r="J64" i="9"/>
  <c r="I64" i="9"/>
  <c r="F64" i="9"/>
  <c r="E64" i="9"/>
  <c r="J63" i="9"/>
  <c r="I63" i="9"/>
  <c r="F63" i="9"/>
  <c r="E63" i="9"/>
  <c r="J62" i="9"/>
  <c r="I62" i="9"/>
  <c r="F62" i="9"/>
  <c r="E62" i="9"/>
  <c r="J61" i="9"/>
  <c r="I61" i="9"/>
  <c r="F61" i="9"/>
  <c r="E61" i="9"/>
  <c r="J60" i="9"/>
  <c r="I60" i="9"/>
  <c r="F60" i="9"/>
  <c r="E60" i="9"/>
  <c r="J59" i="9"/>
  <c r="I59" i="9"/>
  <c r="F59" i="9"/>
  <c r="E59" i="9"/>
  <c r="J58" i="9"/>
  <c r="I58" i="9"/>
  <c r="F58" i="9"/>
  <c r="E58" i="9"/>
  <c r="J57" i="9"/>
  <c r="I57" i="9"/>
  <c r="F57" i="9"/>
  <c r="E57" i="9"/>
  <c r="J56" i="9"/>
  <c r="I56" i="9"/>
  <c r="F56" i="9"/>
  <c r="E56" i="9"/>
  <c r="J55" i="9"/>
  <c r="I55" i="9"/>
  <c r="F55" i="9"/>
  <c r="E55" i="9"/>
  <c r="J54" i="9"/>
  <c r="I54" i="9"/>
  <c r="F54" i="9"/>
  <c r="E54" i="9"/>
  <c r="J53" i="9"/>
  <c r="I53" i="9"/>
  <c r="F53" i="9"/>
  <c r="E53" i="9"/>
  <c r="J52" i="9"/>
  <c r="I52" i="9"/>
  <c r="F52" i="9"/>
  <c r="E52" i="9"/>
  <c r="J51" i="9"/>
  <c r="I51" i="9"/>
  <c r="F51" i="9"/>
  <c r="E51" i="9"/>
  <c r="J50" i="9"/>
  <c r="I50" i="9"/>
  <c r="F50" i="9"/>
  <c r="E50" i="9"/>
  <c r="J49" i="9"/>
  <c r="I49" i="9"/>
  <c r="F49" i="9"/>
  <c r="E49" i="9"/>
  <c r="J48" i="9"/>
  <c r="I48" i="9"/>
  <c r="F48" i="9"/>
  <c r="E48" i="9"/>
  <c r="J47" i="9"/>
  <c r="I47" i="9"/>
  <c r="F47" i="9"/>
  <c r="E47" i="9"/>
  <c r="J46" i="9"/>
  <c r="I46" i="9"/>
  <c r="F46" i="9"/>
  <c r="E46" i="9"/>
  <c r="J45" i="9"/>
  <c r="I45" i="9"/>
  <c r="F45" i="9"/>
  <c r="E45" i="9"/>
  <c r="J44" i="9"/>
  <c r="I44" i="9"/>
  <c r="F44" i="9"/>
  <c r="E44" i="9"/>
  <c r="J43" i="9"/>
  <c r="I43" i="9"/>
  <c r="F43" i="9"/>
  <c r="E43" i="9"/>
  <c r="J42" i="9"/>
  <c r="I42" i="9"/>
  <c r="F42" i="9"/>
  <c r="E42" i="9"/>
  <c r="J41" i="9"/>
  <c r="I41" i="9"/>
  <c r="F41" i="9"/>
  <c r="E41" i="9"/>
  <c r="J40" i="9"/>
  <c r="I40" i="9"/>
  <c r="F40" i="9"/>
  <c r="E40" i="9"/>
  <c r="J39" i="9"/>
  <c r="I39" i="9"/>
  <c r="F39" i="9"/>
  <c r="E39" i="9"/>
  <c r="J38" i="9"/>
  <c r="I38" i="9"/>
  <c r="F38" i="9"/>
  <c r="E38" i="9"/>
  <c r="J37" i="9"/>
  <c r="I37" i="9"/>
  <c r="F37" i="9"/>
  <c r="E37" i="9"/>
  <c r="J36" i="9"/>
  <c r="I36" i="9"/>
  <c r="F36" i="9"/>
  <c r="E36" i="9"/>
  <c r="J35" i="9"/>
  <c r="I35" i="9"/>
  <c r="F35" i="9"/>
  <c r="E35" i="9"/>
  <c r="J34" i="9"/>
  <c r="I34" i="9"/>
  <c r="F34" i="9"/>
  <c r="E34" i="9"/>
  <c r="J33" i="9"/>
  <c r="I33" i="9"/>
  <c r="F33" i="9"/>
  <c r="E33" i="9"/>
  <c r="J32" i="9"/>
  <c r="I32" i="9"/>
  <c r="F32" i="9"/>
  <c r="E32" i="9"/>
  <c r="J31" i="9"/>
  <c r="I31" i="9"/>
  <c r="F31" i="9"/>
  <c r="E31" i="9"/>
  <c r="J30" i="9"/>
  <c r="I30" i="9"/>
  <c r="F30" i="9"/>
  <c r="E30" i="9"/>
  <c r="J29" i="9"/>
  <c r="I29" i="9"/>
  <c r="F29" i="9"/>
  <c r="E29" i="9"/>
  <c r="J28" i="9"/>
  <c r="I28" i="9"/>
  <c r="F28" i="9"/>
  <c r="E28" i="9"/>
  <c r="J27" i="9"/>
  <c r="I27" i="9"/>
  <c r="F27" i="9"/>
  <c r="E27" i="9"/>
  <c r="J26" i="9"/>
  <c r="I26" i="9"/>
  <c r="F26" i="9"/>
  <c r="E26" i="9"/>
  <c r="J25" i="9"/>
  <c r="I25" i="9"/>
  <c r="F25" i="9"/>
  <c r="E25" i="9"/>
  <c r="J24" i="9"/>
  <c r="I24" i="9"/>
  <c r="F24" i="9"/>
  <c r="E24" i="9"/>
  <c r="J23" i="9"/>
  <c r="I23" i="9"/>
  <c r="F23" i="9"/>
  <c r="E23" i="9"/>
  <c r="J22" i="9"/>
  <c r="I22" i="9"/>
  <c r="F22" i="9"/>
  <c r="E22" i="9"/>
  <c r="J21" i="9"/>
  <c r="I21" i="9"/>
  <c r="F21" i="9"/>
  <c r="E21" i="9"/>
  <c r="J20" i="9"/>
  <c r="I20" i="9"/>
  <c r="F20" i="9"/>
  <c r="E20" i="9"/>
  <c r="J19" i="9"/>
  <c r="I19" i="9"/>
  <c r="F19" i="9"/>
  <c r="E19" i="9"/>
  <c r="J18" i="9"/>
  <c r="I18" i="9"/>
  <c r="F18" i="9"/>
  <c r="E18" i="9"/>
  <c r="J17" i="9"/>
  <c r="I17" i="9"/>
  <c r="F17" i="9"/>
  <c r="E17" i="9"/>
  <c r="J16" i="9"/>
  <c r="I16" i="9"/>
  <c r="F16" i="9"/>
  <c r="E16" i="9"/>
  <c r="J15" i="9"/>
  <c r="I15" i="9"/>
  <c r="F15" i="9"/>
  <c r="E15" i="9"/>
  <c r="J14" i="9"/>
  <c r="I14" i="9"/>
  <c r="F14" i="9"/>
  <c r="E14" i="9"/>
  <c r="J13" i="9"/>
  <c r="I13" i="9"/>
  <c r="F13" i="9"/>
  <c r="E13" i="9"/>
  <c r="J12" i="9"/>
  <c r="I12" i="9"/>
  <c r="F12" i="9"/>
  <c r="E12" i="9"/>
  <c r="J11" i="9"/>
  <c r="I11" i="9"/>
  <c r="F11" i="9"/>
  <c r="E11" i="9"/>
  <c r="J10" i="9"/>
  <c r="I10" i="9"/>
  <c r="F10" i="9"/>
  <c r="E10" i="9"/>
  <c r="J9" i="9"/>
  <c r="I9" i="9"/>
  <c r="F9" i="9"/>
  <c r="E9" i="9"/>
  <c r="J8" i="9"/>
  <c r="I8" i="9"/>
  <c r="F8" i="9"/>
  <c r="E8" i="9"/>
  <c r="J7" i="9"/>
  <c r="I7" i="9"/>
  <c r="F7" i="9"/>
  <c r="E7" i="9"/>
  <c r="J6" i="9"/>
  <c r="I6" i="9"/>
  <c r="F6" i="9"/>
  <c r="E6" i="9"/>
  <c r="J5" i="9"/>
  <c r="I5" i="9"/>
  <c r="F5" i="9"/>
  <c r="E5" i="9"/>
  <c r="J4" i="9"/>
  <c r="I4" i="9"/>
  <c r="F4" i="9"/>
  <c r="E4" i="9"/>
  <c r="J3" i="9"/>
  <c r="I3" i="9"/>
  <c r="F3" i="9"/>
  <c r="E3" i="9"/>
  <c r="J2" i="9"/>
  <c r="I2" i="9"/>
  <c r="F2" i="9"/>
  <c r="E2" i="9"/>
  <c r="K1" i="9"/>
  <c r="G1" i="9"/>
  <c r="C1" i="9"/>
  <c r="I74" i="3"/>
  <c r="I73" i="3"/>
  <c r="I72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G1" i="3"/>
  <c r="E2" i="3"/>
  <c r="C1" i="3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G1" i="8"/>
  <c r="E3" i="8"/>
  <c r="E2" i="8"/>
  <c r="C1" i="8"/>
  <c r="G1" i="7"/>
  <c r="E2" i="7"/>
  <c r="C1" i="7"/>
  <c r="E2" i="6"/>
  <c r="C1" i="6"/>
  <c r="I68" i="5"/>
  <c r="H68" i="5"/>
  <c r="I67" i="5"/>
  <c r="H67" i="5"/>
  <c r="I66" i="5"/>
  <c r="H66" i="5"/>
  <c r="F66" i="5"/>
  <c r="E66" i="5"/>
  <c r="I65" i="5"/>
  <c r="H65" i="5"/>
  <c r="F65" i="5"/>
  <c r="E65" i="5"/>
  <c r="I64" i="5"/>
  <c r="H64" i="5"/>
  <c r="F64" i="5"/>
  <c r="E64" i="5"/>
  <c r="I63" i="5"/>
  <c r="H63" i="5"/>
  <c r="F63" i="5"/>
  <c r="E63" i="5"/>
  <c r="I62" i="5"/>
  <c r="H62" i="5"/>
  <c r="F62" i="5"/>
  <c r="E62" i="5"/>
  <c r="I61" i="5"/>
  <c r="H61" i="5"/>
  <c r="F61" i="5"/>
  <c r="E61" i="5"/>
  <c r="I60" i="5"/>
  <c r="H60" i="5"/>
  <c r="F60" i="5"/>
  <c r="E60" i="5"/>
  <c r="I59" i="5"/>
  <c r="H59" i="5"/>
  <c r="F59" i="5"/>
  <c r="E59" i="5"/>
  <c r="I58" i="5"/>
  <c r="H58" i="5"/>
  <c r="F58" i="5"/>
  <c r="E58" i="5"/>
  <c r="I57" i="5"/>
  <c r="H57" i="5"/>
  <c r="F57" i="5"/>
  <c r="E57" i="5"/>
  <c r="I56" i="5"/>
  <c r="H56" i="5"/>
  <c r="F56" i="5"/>
  <c r="E56" i="5"/>
  <c r="I55" i="5"/>
  <c r="H55" i="5"/>
  <c r="F55" i="5"/>
  <c r="E55" i="5"/>
  <c r="I54" i="5"/>
  <c r="H54" i="5"/>
  <c r="F54" i="5"/>
  <c r="E54" i="5"/>
  <c r="I53" i="5"/>
  <c r="H53" i="5"/>
  <c r="F53" i="5"/>
  <c r="E53" i="5"/>
  <c r="I52" i="5"/>
  <c r="H52" i="5"/>
  <c r="F52" i="5"/>
  <c r="E52" i="5"/>
  <c r="I51" i="5"/>
  <c r="H51" i="5"/>
  <c r="F51" i="5"/>
  <c r="E51" i="5"/>
  <c r="I50" i="5"/>
  <c r="H50" i="5"/>
  <c r="F50" i="5"/>
  <c r="E50" i="5"/>
  <c r="I49" i="5"/>
  <c r="H49" i="5"/>
  <c r="F49" i="5"/>
  <c r="E49" i="5"/>
  <c r="I48" i="5"/>
  <c r="H48" i="5"/>
  <c r="F48" i="5"/>
  <c r="E48" i="5"/>
  <c r="I47" i="5"/>
  <c r="H47" i="5"/>
  <c r="F47" i="5"/>
  <c r="E47" i="5"/>
  <c r="I46" i="5"/>
  <c r="H46" i="5"/>
  <c r="F46" i="5"/>
  <c r="E46" i="5"/>
  <c r="I45" i="5"/>
  <c r="H45" i="5"/>
  <c r="F45" i="5"/>
  <c r="E45" i="5"/>
  <c r="I44" i="5"/>
  <c r="H44" i="5"/>
  <c r="F44" i="5"/>
  <c r="E44" i="5"/>
  <c r="I43" i="5"/>
  <c r="H43" i="5"/>
  <c r="F43" i="5"/>
  <c r="E43" i="5"/>
  <c r="I42" i="5"/>
  <c r="H42" i="5"/>
  <c r="F42" i="5"/>
  <c r="E42" i="5"/>
  <c r="I41" i="5"/>
  <c r="H41" i="5"/>
  <c r="F41" i="5"/>
  <c r="E41" i="5"/>
  <c r="I40" i="5"/>
  <c r="H40" i="5"/>
  <c r="F40" i="5"/>
  <c r="E40" i="5"/>
  <c r="I39" i="5"/>
  <c r="H39" i="5"/>
  <c r="F39" i="5"/>
  <c r="E39" i="5"/>
  <c r="I38" i="5"/>
  <c r="H38" i="5"/>
  <c r="F38" i="5"/>
  <c r="E38" i="5"/>
  <c r="I37" i="5"/>
  <c r="H37" i="5"/>
  <c r="F37" i="5"/>
  <c r="E37" i="5"/>
  <c r="I36" i="5"/>
  <c r="H36" i="5"/>
  <c r="F36" i="5"/>
  <c r="E36" i="5"/>
  <c r="I35" i="5"/>
  <c r="H35" i="5"/>
  <c r="F35" i="5"/>
  <c r="E35" i="5"/>
  <c r="I34" i="5"/>
  <c r="H34" i="5"/>
  <c r="F34" i="5"/>
  <c r="E34" i="5"/>
  <c r="I33" i="5"/>
  <c r="H33" i="5"/>
  <c r="F33" i="5"/>
  <c r="E33" i="5"/>
  <c r="I32" i="5"/>
  <c r="H32" i="5"/>
  <c r="F32" i="5"/>
  <c r="E32" i="5"/>
  <c r="I31" i="5"/>
  <c r="H31" i="5"/>
  <c r="F31" i="5"/>
  <c r="E31" i="5"/>
  <c r="I30" i="5"/>
  <c r="H30" i="5"/>
  <c r="F30" i="5"/>
  <c r="E30" i="5"/>
  <c r="I29" i="5"/>
  <c r="H29" i="5"/>
  <c r="F29" i="5"/>
  <c r="E29" i="5"/>
  <c r="I28" i="5"/>
  <c r="H28" i="5"/>
  <c r="F28" i="5"/>
  <c r="E28" i="5"/>
  <c r="I27" i="5"/>
  <c r="H27" i="5"/>
  <c r="F27" i="5"/>
  <c r="E27" i="5"/>
  <c r="I26" i="5"/>
  <c r="H26" i="5"/>
  <c r="F26" i="5"/>
  <c r="E26" i="5"/>
  <c r="I25" i="5"/>
  <c r="H25" i="5"/>
  <c r="F25" i="5"/>
  <c r="E25" i="5"/>
  <c r="I24" i="5"/>
  <c r="H24" i="5"/>
  <c r="F24" i="5"/>
  <c r="E24" i="5"/>
  <c r="I23" i="5"/>
  <c r="H23" i="5"/>
  <c r="F23" i="5"/>
  <c r="E23" i="5"/>
  <c r="I22" i="5"/>
  <c r="H22" i="5"/>
  <c r="F22" i="5"/>
  <c r="E22" i="5"/>
  <c r="I21" i="5"/>
  <c r="H21" i="5"/>
  <c r="F21" i="5"/>
  <c r="E21" i="5"/>
  <c r="I20" i="5"/>
  <c r="H20" i="5"/>
  <c r="F20" i="5"/>
  <c r="E20" i="5"/>
  <c r="I19" i="5"/>
  <c r="H19" i="5"/>
  <c r="F19" i="5"/>
  <c r="E19" i="5"/>
  <c r="I18" i="5"/>
  <c r="H18" i="5"/>
  <c r="F18" i="5"/>
  <c r="E18" i="5"/>
  <c r="I17" i="5"/>
  <c r="H17" i="5"/>
  <c r="F17" i="5"/>
  <c r="E17" i="5"/>
  <c r="I16" i="5"/>
  <c r="H16" i="5"/>
  <c r="F16" i="5"/>
  <c r="E16" i="5"/>
  <c r="I15" i="5"/>
  <c r="H15" i="5"/>
  <c r="F15" i="5"/>
  <c r="E15" i="5"/>
  <c r="I14" i="5"/>
  <c r="H14" i="5"/>
  <c r="F14" i="5"/>
  <c r="E14" i="5"/>
  <c r="I13" i="5"/>
  <c r="H13" i="5"/>
  <c r="F13" i="5"/>
  <c r="E13" i="5"/>
  <c r="I12" i="5"/>
  <c r="H12" i="5"/>
  <c r="F12" i="5"/>
  <c r="E12" i="5"/>
  <c r="I11" i="5"/>
  <c r="H11" i="5"/>
  <c r="F11" i="5"/>
  <c r="E11" i="5"/>
  <c r="I10" i="5"/>
  <c r="H10" i="5"/>
  <c r="F10" i="5"/>
  <c r="E10" i="5"/>
  <c r="I9" i="5"/>
  <c r="H9" i="5"/>
  <c r="F9" i="5"/>
  <c r="E9" i="5"/>
  <c r="I8" i="5"/>
  <c r="H8" i="5"/>
  <c r="F8" i="5"/>
  <c r="E8" i="5"/>
  <c r="I7" i="5"/>
  <c r="H7" i="5"/>
  <c r="F7" i="5"/>
  <c r="E7" i="5"/>
  <c r="I6" i="5"/>
  <c r="H6" i="5"/>
  <c r="F6" i="5"/>
  <c r="E6" i="5"/>
  <c r="I5" i="5"/>
  <c r="H5" i="5"/>
  <c r="F5" i="5"/>
  <c r="E5" i="5"/>
  <c r="I4" i="5"/>
  <c r="H4" i="5"/>
  <c r="F4" i="5"/>
  <c r="E4" i="5"/>
  <c r="I3" i="5"/>
  <c r="H3" i="5"/>
  <c r="F3" i="5"/>
  <c r="E3" i="5"/>
  <c r="I2" i="5"/>
  <c r="H2" i="5"/>
  <c r="F2" i="5"/>
  <c r="E2" i="5"/>
  <c r="C1" i="5"/>
  <c r="Q66" i="4"/>
  <c r="P66" i="4"/>
  <c r="O66" i="4"/>
  <c r="M66" i="4"/>
  <c r="L66" i="4"/>
  <c r="F66" i="4"/>
  <c r="E66" i="4"/>
  <c r="Q65" i="4"/>
  <c r="P65" i="4"/>
  <c r="O65" i="4"/>
  <c r="M65" i="4"/>
  <c r="L65" i="4"/>
  <c r="F65" i="4"/>
  <c r="E65" i="4"/>
  <c r="Q64" i="4"/>
  <c r="P64" i="4"/>
  <c r="O64" i="4"/>
  <c r="M64" i="4"/>
  <c r="L64" i="4"/>
  <c r="F64" i="4"/>
  <c r="E64" i="4"/>
  <c r="Q63" i="4"/>
  <c r="P63" i="4"/>
  <c r="O63" i="4"/>
  <c r="M63" i="4"/>
  <c r="L63" i="4"/>
  <c r="F63" i="4"/>
  <c r="E63" i="4"/>
  <c r="Q62" i="4"/>
  <c r="P62" i="4"/>
  <c r="O62" i="4"/>
  <c r="M62" i="4"/>
  <c r="L62" i="4"/>
  <c r="F62" i="4"/>
  <c r="E62" i="4"/>
  <c r="Q61" i="4"/>
  <c r="P61" i="4"/>
  <c r="O61" i="4"/>
  <c r="M61" i="4"/>
  <c r="L61" i="4"/>
  <c r="F61" i="4"/>
  <c r="E61" i="4"/>
  <c r="Q60" i="4"/>
  <c r="P60" i="4"/>
  <c r="O60" i="4"/>
  <c r="M60" i="4"/>
  <c r="L60" i="4"/>
  <c r="F60" i="4"/>
  <c r="E60" i="4"/>
  <c r="Q59" i="4"/>
  <c r="P59" i="4"/>
  <c r="O59" i="4"/>
  <c r="M59" i="4"/>
  <c r="L59" i="4"/>
  <c r="F59" i="4"/>
  <c r="E59" i="4"/>
  <c r="Q58" i="4"/>
  <c r="P58" i="4"/>
  <c r="O58" i="4"/>
  <c r="M58" i="4"/>
  <c r="L58" i="4"/>
  <c r="F58" i="4"/>
  <c r="E58" i="4"/>
  <c r="Q57" i="4"/>
  <c r="P57" i="4"/>
  <c r="O57" i="4"/>
  <c r="M57" i="4"/>
  <c r="L57" i="4"/>
  <c r="F57" i="4"/>
  <c r="E57" i="4"/>
  <c r="Q56" i="4"/>
  <c r="P56" i="4"/>
  <c r="O56" i="4"/>
  <c r="M56" i="4"/>
  <c r="L56" i="4"/>
  <c r="F56" i="4"/>
  <c r="E56" i="4"/>
  <c r="Q55" i="4"/>
  <c r="P55" i="4"/>
  <c r="O55" i="4"/>
  <c r="M55" i="4"/>
  <c r="L55" i="4"/>
  <c r="F55" i="4"/>
  <c r="E55" i="4"/>
  <c r="Q54" i="4"/>
  <c r="P54" i="4"/>
  <c r="O54" i="4"/>
  <c r="M54" i="4"/>
  <c r="L54" i="4"/>
  <c r="F54" i="4"/>
  <c r="E54" i="4"/>
  <c r="Q53" i="4"/>
  <c r="P53" i="4"/>
  <c r="O53" i="4"/>
  <c r="M53" i="4"/>
  <c r="L53" i="4"/>
  <c r="F53" i="4"/>
  <c r="E53" i="4"/>
  <c r="Q52" i="4"/>
  <c r="P52" i="4"/>
  <c r="O52" i="4"/>
  <c r="M52" i="4"/>
  <c r="L52" i="4"/>
  <c r="F52" i="4"/>
  <c r="E52" i="4"/>
  <c r="Q51" i="4"/>
  <c r="P51" i="4"/>
  <c r="O51" i="4"/>
  <c r="M51" i="4"/>
  <c r="L51" i="4"/>
  <c r="F51" i="4"/>
  <c r="E51" i="4"/>
  <c r="Q50" i="4"/>
  <c r="P50" i="4"/>
  <c r="O50" i="4"/>
  <c r="M50" i="4"/>
  <c r="L50" i="4"/>
  <c r="F50" i="4"/>
  <c r="E50" i="4"/>
  <c r="Q49" i="4"/>
  <c r="P49" i="4"/>
  <c r="O49" i="4"/>
  <c r="M49" i="4"/>
  <c r="L49" i="4"/>
  <c r="F49" i="4"/>
  <c r="E49" i="4"/>
  <c r="Q48" i="4"/>
  <c r="P48" i="4"/>
  <c r="O48" i="4"/>
  <c r="M48" i="4"/>
  <c r="L48" i="4"/>
  <c r="F48" i="4"/>
  <c r="E48" i="4"/>
  <c r="Q47" i="4"/>
  <c r="P47" i="4"/>
  <c r="O47" i="4"/>
  <c r="M47" i="4"/>
  <c r="L47" i="4"/>
  <c r="F47" i="4"/>
  <c r="E47" i="4"/>
  <c r="Q46" i="4"/>
  <c r="P46" i="4"/>
  <c r="O46" i="4"/>
  <c r="M46" i="4"/>
  <c r="L46" i="4"/>
  <c r="F46" i="4"/>
  <c r="E46" i="4"/>
  <c r="Q45" i="4"/>
  <c r="P45" i="4"/>
  <c r="O45" i="4"/>
  <c r="M45" i="4"/>
  <c r="L45" i="4"/>
  <c r="F45" i="4"/>
  <c r="E45" i="4"/>
  <c r="Q44" i="4"/>
  <c r="P44" i="4"/>
  <c r="O44" i="4"/>
  <c r="M44" i="4"/>
  <c r="L44" i="4"/>
  <c r="F44" i="4"/>
  <c r="E44" i="4"/>
  <c r="Q43" i="4"/>
  <c r="P43" i="4"/>
  <c r="O43" i="4"/>
  <c r="M43" i="4"/>
  <c r="L43" i="4"/>
  <c r="F43" i="4"/>
  <c r="E43" i="4"/>
  <c r="Q42" i="4"/>
  <c r="P42" i="4"/>
  <c r="O42" i="4"/>
  <c r="M42" i="4"/>
  <c r="L42" i="4"/>
  <c r="F42" i="4"/>
  <c r="E42" i="4"/>
  <c r="Q41" i="4"/>
  <c r="P41" i="4"/>
  <c r="O41" i="4"/>
  <c r="M41" i="4"/>
  <c r="L41" i="4"/>
  <c r="F41" i="4"/>
  <c r="E41" i="4"/>
  <c r="Q40" i="4"/>
  <c r="P40" i="4"/>
  <c r="O40" i="4"/>
  <c r="M40" i="4"/>
  <c r="L40" i="4"/>
  <c r="F40" i="4"/>
  <c r="E40" i="4"/>
  <c r="Q39" i="4"/>
  <c r="P39" i="4"/>
  <c r="O39" i="4"/>
  <c r="M39" i="4"/>
  <c r="L39" i="4"/>
  <c r="F39" i="4"/>
  <c r="E39" i="4"/>
  <c r="Q38" i="4"/>
  <c r="P38" i="4"/>
  <c r="O38" i="4"/>
  <c r="M38" i="4"/>
  <c r="L38" i="4"/>
  <c r="F38" i="4"/>
  <c r="E38" i="4"/>
  <c r="Q37" i="4"/>
  <c r="P37" i="4"/>
  <c r="O37" i="4"/>
  <c r="M37" i="4"/>
  <c r="L37" i="4"/>
  <c r="F37" i="4"/>
  <c r="E37" i="4"/>
  <c r="Q36" i="4"/>
  <c r="P36" i="4"/>
  <c r="O36" i="4"/>
  <c r="M36" i="4"/>
  <c r="L36" i="4"/>
  <c r="F36" i="4"/>
  <c r="E36" i="4"/>
  <c r="Q35" i="4"/>
  <c r="P35" i="4"/>
  <c r="O35" i="4"/>
  <c r="M35" i="4"/>
  <c r="L35" i="4"/>
  <c r="F35" i="4"/>
  <c r="E35" i="4"/>
  <c r="Q34" i="4"/>
  <c r="P34" i="4"/>
  <c r="O34" i="4"/>
  <c r="M34" i="4"/>
  <c r="L34" i="4"/>
  <c r="F34" i="4"/>
  <c r="E34" i="4"/>
  <c r="Q33" i="4"/>
  <c r="P33" i="4"/>
  <c r="O33" i="4"/>
  <c r="M33" i="4"/>
  <c r="L33" i="4"/>
  <c r="F33" i="4"/>
  <c r="E33" i="4"/>
  <c r="Q32" i="4"/>
  <c r="P32" i="4"/>
  <c r="O32" i="4"/>
  <c r="M32" i="4"/>
  <c r="L32" i="4"/>
  <c r="F32" i="4"/>
  <c r="E32" i="4"/>
  <c r="Q31" i="4"/>
  <c r="P31" i="4"/>
  <c r="O31" i="4"/>
  <c r="M31" i="4"/>
  <c r="L31" i="4"/>
  <c r="F31" i="4"/>
  <c r="E31" i="4"/>
  <c r="Q30" i="4"/>
  <c r="P30" i="4"/>
  <c r="O30" i="4"/>
  <c r="M30" i="4"/>
  <c r="L30" i="4"/>
  <c r="F30" i="4"/>
  <c r="E30" i="4"/>
  <c r="Q29" i="4"/>
  <c r="P29" i="4"/>
  <c r="O29" i="4"/>
  <c r="M29" i="4"/>
  <c r="L29" i="4"/>
  <c r="F29" i="4"/>
  <c r="E29" i="4"/>
  <c r="Q28" i="4"/>
  <c r="P28" i="4"/>
  <c r="O28" i="4"/>
  <c r="M28" i="4"/>
  <c r="L28" i="4"/>
  <c r="F28" i="4"/>
  <c r="E28" i="4"/>
  <c r="Q27" i="4"/>
  <c r="P27" i="4"/>
  <c r="O27" i="4"/>
  <c r="M27" i="4"/>
  <c r="L27" i="4"/>
  <c r="F27" i="4"/>
  <c r="E27" i="4"/>
  <c r="Q26" i="4"/>
  <c r="P26" i="4"/>
  <c r="O26" i="4"/>
  <c r="M26" i="4"/>
  <c r="L26" i="4"/>
  <c r="F26" i="4"/>
  <c r="E26" i="4"/>
  <c r="Q25" i="4"/>
  <c r="P25" i="4"/>
  <c r="O25" i="4"/>
  <c r="M25" i="4"/>
  <c r="L25" i="4"/>
  <c r="F25" i="4"/>
  <c r="E25" i="4"/>
  <c r="Q24" i="4"/>
  <c r="P24" i="4"/>
  <c r="O24" i="4"/>
  <c r="M24" i="4"/>
  <c r="L24" i="4"/>
  <c r="F24" i="4"/>
  <c r="E24" i="4"/>
  <c r="Q23" i="4"/>
  <c r="P23" i="4"/>
  <c r="O23" i="4"/>
  <c r="M23" i="4"/>
  <c r="L23" i="4"/>
  <c r="F23" i="4"/>
  <c r="E23" i="4"/>
  <c r="Q22" i="4"/>
  <c r="P22" i="4"/>
  <c r="O22" i="4"/>
  <c r="M22" i="4"/>
  <c r="L22" i="4"/>
  <c r="F22" i="4"/>
  <c r="E22" i="4"/>
  <c r="Q21" i="4"/>
  <c r="P21" i="4"/>
  <c r="O21" i="4"/>
  <c r="M21" i="4"/>
  <c r="L21" i="4"/>
  <c r="F21" i="4"/>
  <c r="E21" i="4"/>
  <c r="Q20" i="4"/>
  <c r="P20" i="4"/>
  <c r="O20" i="4"/>
  <c r="M20" i="4"/>
  <c r="L20" i="4"/>
  <c r="F20" i="4"/>
  <c r="E20" i="4"/>
  <c r="Q19" i="4"/>
  <c r="P19" i="4"/>
  <c r="O19" i="4"/>
  <c r="M19" i="4"/>
  <c r="L19" i="4"/>
  <c r="F19" i="4"/>
  <c r="E19" i="4"/>
  <c r="Q18" i="4"/>
  <c r="P18" i="4"/>
  <c r="O18" i="4"/>
  <c r="M18" i="4"/>
  <c r="L18" i="4"/>
  <c r="F18" i="4"/>
  <c r="E18" i="4"/>
  <c r="Q17" i="4"/>
  <c r="P17" i="4"/>
  <c r="O17" i="4"/>
  <c r="M17" i="4"/>
  <c r="L17" i="4"/>
  <c r="F17" i="4"/>
  <c r="E17" i="4"/>
  <c r="Q16" i="4"/>
  <c r="P16" i="4"/>
  <c r="O16" i="4"/>
  <c r="M16" i="4"/>
  <c r="L16" i="4"/>
  <c r="F16" i="4"/>
  <c r="E16" i="4"/>
  <c r="Q15" i="4"/>
  <c r="P15" i="4"/>
  <c r="O15" i="4"/>
  <c r="M15" i="4"/>
  <c r="L15" i="4"/>
  <c r="F15" i="4"/>
  <c r="E15" i="4"/>
  <c r="Q14" i="4"/>
  <c r="P14" i="4"/>
  <c r="O14" i="4"/>
  <c r="M14" i="4"/>
  <c r="L14" i="4"/>
  <c r="F14" i="4"/>
  <c r="E14" i="4"/>
  <c r="Q13" i="4"/>
  <c r="P13" i="4"/>
  <c r="O13" i="4"/>
  <c r="M13" i="4"/>
  <c r="L13" i="4"/>
  <c r="F13" i="4"/>
  <c r="E13" i="4"/>
  <c r="Q12" i="4"/>
  <c r="P12" i="4"/>
  <c r="O12" i="4"/>
  <c r="M12" i="4"/>
  <c r="L12" i="4"/>
  <c r="F12" i="4"/>
  <c r="E12" i="4"/>
  <c r="Q11" i="4"/>
  <c r="P11" i="4"/>
  <c r="O11" i="4"/>
  <c r="M11" i="4"/>
  <c r="L11" i="4"/>
  <c r="F11" i="4"/>
  <c r="E11" i="4"/>
  <c r="Q10" i="4"/>
  <c r="P10" i="4"/>
  <c r="O10" i="4"/>
  <c r="M10" i="4"/>
  <c r="L10" i="4"/>
  <c r="F10" i="4"/>
  <c r="E10" i="4"/>
  <c r="Q9" i="4"/>
  <c r="P9" i="4"/>
  <c r="O9" i="4"/>
  <c r="M9" i="4"/>
  <c r="L9" i="4"/>
  <c r="F9" i="4"/>
  <c r="E9" i="4"/>
  <c r="Q8" i="4"/>
  <c r="P8" i="4"/>
  <c r="O8" i="4"/>
  <c r="M8" i="4"/>
  <c r="L8" i="4"/>
  <c r="F8" i="4"/>
  <c r="E8" i="4"/>
  <c r="Q7" i="4"/>
  <c r="P7" i="4"/>
  <c r="O7" i="4"/>
  <c r="M7" i="4"/>
  <c r="L7" i="4"/>
  <c r="F7" i="4"/>
  <c r="E7" i="4"/>
  <c r="Q6" i="4"/>
  <c r="P6" i="4"/>
  <c r="O6" i="4"/>
  <c r="M6" i="4"/>
  <c r="L6" i="4"/>
  <c r="F6" i="4"/>
  <c r="E6" i="4"/>
  <c r="Q5" i="4"/>
  <c r="P5" i="4"/>
  <c r="O5" i="4"/>
  <c r="M5" i="4"/>
  <c r="L5" i="4"/>
  <c r="F5" i="4"/>
  <c r="E5" i="4"/>
  <c r="Q4" i="4"/>
  <c r="P4" i="4"/>
  <c r="O4" i="4"/>
  <c r="M4" i="4"/>
  <c r="L4" i="4"/>
  <c r="F4" i="4"/>
  <c r="E4" i="4"/>
  <c r="Q3" i="4"/>
  <c r="P3" i="4"/>
  <c r="O3" i="4"/>
  <c r="M3" i="4"/>
  <c r="L3" i="4"/>
  <c r="F3" i="4"/>
  <c r="E3" i="4"/>
  <c r="Q2" i="4"/>
  <c r="P2" i="4"/>
  <c r="O2" i="4"/>
  <c r="M2" i="4"/>
  <c r="L2" i="4"/>
  <c r="F2" i="4"/>
  <c r="E2" i="4"/>
  <c r="L1" i="4"/>
  <c r="K1" i="4"/>
  <c r="G1" i="4"/>
  <c r="C1" i="4"/>
  <c r="E2" i="1"/>
  <c r="C1" i="1"/>
  <c r="J67" i="3" l="1"/>
  <c r="J68" i="3"/>
  <c r="J69" i="3"/>
  <c r="J70" i="3"/>
  <c r="J71" i="3"/>
  <c r="I4" i="3"/>
  <c r="I37" i="3"/>
  <c r="I6" i="3"/>
  <c r="I22" i="3"/>
  <c r="I38" i="3"/>
  <c r="I54" i="3"/>
  <c r="I3" i="3"/>
  <c r="I52" i="3"/>
  <c r="I21" i="3"/>
  <c r="I7" i="3"/>
  <c r="I23" i="3"/>
  <c r="I39" i="3"/>
  <c r="I55" i="3"/>
  <c r="I36" i="3"/>
  <c r="I53" i="3"/>
  <c r="I8" i="3"/>
  <c r="I24" i="3"/>
  <c r="I40" i="3"/>
  <c r="I56" i="3"/>
  <c r="I20" i="3"/>
  <c r="I5" i="3"/>
  <c r="I9" i="3"/>
  <c r="I25" i="3"/>
  <c r="I41" i="3"/>
  <c r="I57" i="3"/>
  <c r="I58" i="3"/>
  <c r="I11" i="3"/>
  <c r="I27" i="3"/>
  <c r="I43" i="3"/>
  <c r="I59" i="3"/>
  <c r="I12" i="3"/>
  <c r="I28" i="3"/>
  <c r="I44" i="3"/>
  <c r="I60" i="3"/>
  <c r="I35" i="3"/>
  <c r="I10" i="3"/>
  <c r="I62" i="3"/>
  <c r="I19" i="3"/>
  <c r="I26" i="3"/>
  <c r="I13" i="3"/>
  <c r="I45" i="3"/>
  <c r="I46" i="3"/>
  <c r="I15" i="3"/>
  <c r="I31" i="3"/>
  <c r="I47" i="3"/>
  <c r="I63" i="3"/>
  <c r="I51" i="3"/>
  <c r="I29" i="3"/>
  <c r="I30" i="3"/>
  <c r="I16" i="3"/>
  <c r="I32" i="3"/>
  <c r="I48" i="3"/>
  <c r="I64" i="3"/>
  <c r="I42" i="3"/>
  <c r="I61" i="3"/>
  <c r="I14" i="3"/>
  <c r="I2" i="3"/>
  <c r="I17" i="3"/>
  <c r="I33" i="3"/>
  <c r="I49" i="3"/>
  <c r="I65" i="3"/>
  <c r="I18" i="3"/>
  <c r="I34" i="3"/>
  <c r="I50" i="3"/>
  <c r="I66" i="3"/>
  <c r="J72" i="3"/>
  <c r="J21" i="3"/>
  <c r="J30" i="3"/>
  <c r="J73" i="3"/>
  <c r="J37" i="3"/>
  <c r="J46" i="3"/>
  <c r="J7" i="3"/>
  <c r="J53" i="3"/>
  <c r="J62" i="3"/>
  <c r="J5" i="3"/>
  <c r="J14" i="3"/>
  <c r="J16" i="3"/>
  <c r="J23" i="3"/>
  <c r="J32" i="3"/>
  <c r="J39" i="3"/>
  <c r="J48" i="3"/>
  <c r="J55" i="3"/>
  <c r="J64" i="3"/>
  <c r="J3" i="3"/>
  <c r="J12" i="3"/>
  <c r="J19" i="3"/>
  <c r="J28" i="3"/>
  <c r="J35" i="3"/>
  <c r="J44" i="3"/>
  <c r="J51" i="3"/>
  <c r="J60" i="3"/>
  <c r="J10" i="3"/>
  <c r="J17" i="3"/>
  <c r="J26" i="3"/>
  <c r="J33" i="3"/>
  <c r="J42" i="3"/>
  <c r="J49" i="3"/>
  <c r="J58" i="3"/>
  <c r="J65" i="3"/>
  <c r="J8" i="3"/>
  <c r="J15" i="3"/>
  <c r="J24" i="3"/>
  <c r="J31" i="3"/>
  <c r="J40" i="3"/>
  <c r="J47" i="3"/>
  <c r="J56" i="3"/>
  <c r="J63" i="3"/>
  <c r="J6" i="3"/>
  <c r="J13" i="3"/>
  <c r="J22" i="3"/>
  <c r="J29" i="3"/>
  <c r="J38" i="3"/>
  <c r="J45" i="3"/>
  <c r="J54" i="3"/>
  <c r="J61" i="3"/>
  <c r="J4" i="3"/>
  <c r="J11" i="3"/>
  <c r="J20" i="3"/>
  <c r="J27" i="3"/>
  <c r="J36" i="3"/>
  <c r="J43" i="3"/>
  <c r="J52" i="3"/>
  <c r="J59" i="3"/>
  <c r="J2" i="3"/>
  <c r="J9" i="3"/>
  <c r="J18" i="3"/>
  <c r="J25" i="3"/>
  <c r="J34" i="3"/>
  <c r="J41" i="3"/>
  <c r="J50" i="3"/>
  <c r="J57" i="3"/>
  <c r="M69" i="9"/>
  <c r="J66" i="3"/>
  <c r="M68" i="9" l="1"/>
  <c r="M67" i="9"/>
  <c r="M34" i="9"/>
  <c r="M42" i="9"/>
  <c r="M27" i="9"/>
  <c r="M33" i="9"/>
  <c r="M41" i="9"/>
  <c r="M43" i="9"/>
  <c r="M45" i="9"/>
  <c r="M47" i="9"/>
  <c r="M49" i="9"/>
  <c r="M44" i="9"/>
  <c r="M48" i="9"/>
  <c r="M53" i="9"/>
  <c r="M40" i="9"/>
  <c r="M39" i="9"/>
  <c r="M29" i="9"/>
  <c r="M28" i="9"/>
  <c r="M32" i="9"/>
  <c r="M18" i="9"/>
  <c r="M20" i="9"/>
  <c r="M22" i="9"/>
  <c r="M24" i="9"/>
  <c r="M26" i="9"/>
  <c r="M19" i="9"/>
  <c r="M23" i="9"/>
  <c r="M37" i="9"/>
  <c r="M38" i="9"/>
  <c r="M7" i="9"/>
  <c r="M15" i="9"/>
  <c r="M36" i="9"/>
  <c r="M35" i="9"/>
  <c r="M25" i="9"/>
  <c r="M9" i="9"/>
  <c r="M11" i="9"/>
  <c r="M13" i="9"/>
  <c r="M17" i="9"/>
  <c r="M12" i="9"/>
  <c r="M16" i="9"/>
  <c r="M2" i="9"/>
  <c r="M4" i="9"/>
  <c r="M6" i="9"/>
  <c r="M8" i="9"/>
  <c r="M10" i="9"/>
  <c r="M3" i="9"/>
  <c r="M14" i="9"/>
  <c r="M30" i="9"/>
  <c r="M57" i="9"/>
  <c r="M59" i="9"/>
  <c r="M61" i="9"/>
  <c r="M63" i="9"/>
  <c r="M65" i="9"/>
  <c r="M60" i="9"/>
  <c r="M64" i="9"/>
  <c r="M5" i="9"/>
  <c r="M21" i="9"/>
  <c r="M31" i="9"/>
  <c r="M46" i="9"/>
  <c r="M50" i="9"/>
  <c r="M52" i="9"/>
  <c r="M54" i="9"/>
  <c r="M56" i="9"/>
  <c r="M58" i="9"/>
  <c r="M51" i="9"/>
  <c r="M55" i="9"/>
  <c r="M62" i="9"/>
  <c r="M66" i="9"/>
  <c r="K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Dieggo Henrique da Silva Araujo</author>
  </authors>
  <commentList>
    <comment ref="A134" authorId="0" shapeId="0" xr:uid="{B9AC9879-4F51-43AC-88E0-4B4C504AF250}">
      <text>
        <r>
          <rPr>
            <b/>
            <sz val="9"/>
            <color indexed="81"/>
            <rFont val="Segoe UI"/>
            <family val="2"/>
          </rPr>
          <t>Dieggo Henrique da Silva Araujo:</t>
        </r>
        <r>
          <rPr>
            <sz val="9"/>
            <color indexed="81"/>
            <rFont val="Segoe UI"/>
            <family val="2"/>
          </rPr>
          <t xml:space="preserve">
25.10 - ALSO3 virou ALSO3.</t>
        </r>
      </text>
    </comment>
  </commentList>
</comments>
</file>

<file path=xl/sharedStrings.xml><?xml version="1.0" encoding="utf-8"?>
<sst xmlns="http://schemas.openxmlformats.org/spreadsheetml/2006/main" count="573" uniqueCount="133">
  <si>
    <t>Ativo</t>
  </si>
  <si>
    <t>Peso - Port</t>
  </si>
  <si>
    <t>VALE3</t>
  </si>
  <si>
    <t>PETR4</t>
  </si>
  <si>
    <t>BBAS3</t>
  </si>
  <si>
    <t>PETR3</t>
  </si>
  <si>
    <t>JBSS3</t>
  </si>
  <si>
    <t>BBDC4</t>
  </si>
  <si>
    <t>BBSE3</t>
  </si>
  <si>
    <t>ELET3</t>
  </si>
  <si>
    <t>SBSP3</t>
  </si>
  <si>
    <t>GGBR4</t>
  </si>
  <si>
    <t>BBDC3</t>
  </si>
  <si>
    <t>VIVT3</t>
  </si>
  <si>
    <t>CSNA3</t>
  </si>
  <si>
    <t>CMIN3</t>
  </si>
  <si>
    <t>POMO4</t>
  </si>
  <si>
    <t>CPFE3</t>
  </si>
  <si>
    <t>CXSE3</t>
  </si>
  <si>
    <t>MRFG3</t>
  </si>
  <si>
    <t>CMIG3</t>
  </si>
  <si>
    <t>CMIG4</t>
  </si>
  <si>
    <t>GOAU4</t>
  </si>
  <si>
    <t>TIMS3</t>
  </si>
  <si>
    <t>TGMA3</t>
  </si>
  <si>
    <t>BEEF3</t>
  </si>
  <si>
    <t>BRSR6</t>
  </si>
  <si>
    <t>BRAP4</t>
  </si>
  <si>
    <t>LEVE3</t>
  </si>
  <si>
    <t>SYNE3</t>
  </si>
  <si>
    <t>CURY3</t>
  </si>
  <si>
    <t>PSSA3</t>
  </si>
  <si>
    <t>CSMG3</t>
  </si>
  <si>
    <t>ELET6</t>
  </si>
  <si>
    <t>ECOR3</t>
  </si>
  <si>
    <t>AURE3</t>
  </si>
  <si>
    <t>VBBR3</t>
  </si>
  <si>
    <t>ISAE4</t>
  </si>
  <si>
    <t>LAVV3</t>
  </si>
  <si>
    <t>PLPL3</t>
  </si>
  <si>
    <t>UNIP6</t>
  </si>
  <si>
    <t>ANIM3</t>
  </si>
  <si>
    <t>VLID3</t>
  </si>
  <si>
    <t>COGN3</t>
  </si>
  <si>
    <t>MULT3</t>
  </si>
  <si>
    <t>ALOS3</t>
  </si>
  <si>
    <t>WIZC3</t>
  </si>
  <si>
    <t>SAPR4</t>
  </si>
  <si>
    <t>JHSF3</t>
  </si>
  <si>
    <t>FRAS3</t>
  </si>
  <si>
    <t>MTRE3</t>
  </si>
  <si>
    <t>BHIA3</t>
  </si>
  <si>
    <t>AGRO3</t>
  </si>
  <si>
    <t>TRIS3</t>
  </si>
  <si>
    <t>LIGT3</t>
  </si>
  <si>
    <t>MYPK3</t>
  </si>
  <si>
    <t>DIRR3</t>
  </si>
  <si>
    <t>TEND3</t>
  </si>
  <si>
    <t>YDUQ3</t>
  </si>
  <si>
    <t>RECV3</t>
  </si>
  <si>
    <t>RANI3</t>
  </si>
  <si>
    <t>GRND3</t>
  </si>
  <si>
    <t>TAEE11</t>
  </si>
  <si>
    <t>BMGB4</t>
  </si>
  <si>
    <t>BRBI11</t>
  </si>
  <si>
    <t>CYRE3</t>
  </si>
  <si>
    <t>ITSA4</t>
  </si>
  <si>
    <t>ONCO3</t>
  </si>
  <si>
    <t>ORVR3</t>
  </si>
  <si>
    <t>BOVA11</t>
  </si>
  <si>
    <t>BOVV11</t>
  </si>
  <si>
    <t>BMOB3</t>
  </si>
  <si>
    <t>ITUB4</t>
  </si>
  <si>
    <t>MDNE3</t>
  </si>
  <si>
    <t>MGLU3</t>
  </si>
  <si>
    <t>PRIO3</t>
  </si>
  <si>
    <t>SAPR11</t>
  </si>
  <si>
    <t>Port</t>
  </si>
  <si>
    <t>Peso BBG</t>
  </si>
  <si>
    <t>DIVO11</t>
  </si>
  <si>
    <t>SMAL11</t>
  </si>
  <si>
    <t>ISUS11</t>
  </si>
  <si>
    <t>Alvo</t>
  </si>
  <si>
    <t>BRL Curncy</t>
  </si>
  <si>
    <t>Peso Carteira</t>
  </si>
  <si>
    <t>CSED3</t>
  </si>
  <si>
    <t>CPLE3</t>
  </si>
  <si>
    <t>POMO3</t>
  </si>
  <si>
    <t>ABCB4</t>
  </si>
  <si>
    <t>FLRY3</t>
  </si>
  <si>
    <t>IGTI11</t>
  </si>
  <si>
    <t>ITUB3</t>
  </si>
  <si>
    <t>OPCT3</t>
  </si>
  <si>
    <t>VULC3</t>
  </si>
  <si>
    <t>FIQE3</t>
  </si>
  <si>
    <t>ALLD3</t>
  </si>
  <si>
    <t>TAEE4</t>
  </si>
  <si>
    <t>PINE4</t>
  </si>
  <si>
    <t>Novos Fundos</t>
  </si>
  <si>
    <t>AXIA3</t>
  </si>
  <si>
    <t>AXIA6</t>
  </si>
  <si>
    <t>BMEB4</t>
  </si>
  <si>
    <t>RIAA3</t>
  </si>
  <si>
    <t>MELK3</t>
  </si>
  <si>
    <t>ALPA4</t>
  </si>
  <si>
    <t>PNVL3</t>
  </si>
  <si>
    <t>JSLG3</t>
  </si>
  <si>
    <t>tickers</t>
  </si>
  <si>
    <t>SHUL4</t>
  </si>
  <si>
    <t>PFRM3</t>
  </si>
  <si>
    <t>LOGG3</t>
  </si>
  <si>
    <t>INTB3</t>
  </si>
  <si>
    <t>MLAS3</t>
  </si>
  <si>
    <t>POSI3</t>
  </si>
  <si>
    <t>SEER3</t>
  </si>
  <si>
    <t>HBRE3</t>
  </si>
  <si>
    <t>LREN3</t>
  </si>
  <si>
    <t>meta</t>
  </si>
  <si>
    <t>MDIA3</t>
  </si>
  <si>
    <t>MILS3</t>
  </si>
  <si>
    <t>AURA33</t>
  </si>
  <si>
    <t>ESPA3</t>
  </si>
  <si>
    <t>VTRU3</t>
  </si>
  <si>
    <t>EUCA4</t>
  </si>
  <si>
    <t>CSUD3</t>
  </si>
  <si>
    <t>EZTC3</t>
  </si>
  <si>
    <t>JALL3</t>
  </si>
  <si>
    <t>B3SA3</t>
  </si>
  <si>
    <t>UGPA3</t>
  </si>
  <si>
    <t>SAUD3</t>
  </si>
  <si>
    <t>USIM3</t>
  </si>
  <si>
    <t>PGMN3</t>
  </si>
  <si>
    <t>USIM5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</si>
</sst>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0000%"/>
    <numFmt numFmtId="165" formatCode="0.0%"/>
    <numFmt numFmtId="166" formatCode="0.000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5" fillId="0" borderId="5" applyNumberFormat="0" applyFill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8" borderId="8" applyNumberFormat="0" applyAlignment="0" applyProtection="0"/>
    <xf numFmtId="0" fontId="11" fillId="9" borderId="9" applyNumberFormat="0" applyAlignment="0" applyProtection="0"/>
    <xf numFmtId="0" fontId="12" fillId="9" borderId="8" applyNumberFormat="0" applyAlignment="0" applyProtection="0"/>
    <xf numFmtId="0" fontId="13" fillId="0" borderId="10" applyNumberFormat="0" applyFill="0" applyAlignment="0" applyProtection="0"/>
    <xf numFmtId="0" fontId="14" fillId="10" borderId="11" applyNumberFormat="0" applyAlignment="0" applyProtection="0"/>
    <xf numFmtId="0" fontId="15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7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8" fillId="0" borderId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7" fillId="35" borderId="0" applyNumberFormat="0" applyBorder="0" applyAlignment="0" applyProtection="0"/>
    <xf numFmtId="0" fontId="19" fillId="36" borderId="0"/>
    <xf numFmtId="0" fontId="21" fillId="7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10" fontId="2" fillId="2" borderId="2" xfId="1" applyNumberFormat="1" applyFont="1" applyFill="1" applyBorder="1" applyAlignment="1">
      <alignment horizontal="center"/>
    </xf>
    <xf numFmtId="10" fontId="0" fillId="0" borderId="0" xfId="1" applyNumberFormat="1" applyFont="1"/>
    <xf numFmtId="10" fontId="2" fillId="0" borderId="0" xfId="1" applyNumberFormat="1" applyFont="1" applyAlignment="1">
      <alignment horizontal="center"/>
    </xf>
    <xf numFmtId="10" fontId="2" fillId="0" borderId="0" xfId="1" applyNumberFormat="1" applyFont="1"/>
    <xf numFmtId="10" fontId="0" fillId="0" borderId="0" xfId="0" applyNumberFormat="1"/>
    <xf numFmtId="10" fontId="0" fillId="0" borderId="0" xfId="1" applyNumberFormat="1" applyFont="1" applyAlignment="1">
      <alignment horizontal="center"/>
    </xf>
    <xf numFmtId="0" fontId="2" fillId="0" borderId="0" xfId="0" applyFont="1"/>
    <xf numFmtId="0" fontId="0" fillId="3" borderId="0" xfId="0" applyFill="1"/>
    <xf numFmtId="0" fontId="2" fillId="4" borderId="3" xfId="0" applyFont="1" applyFill="1" applyBorder="1" applyAlignment="1">
      <alignment horizontal="center"/>
    </xf>
    <xf numFmtId="10" fontId="2" fillId="4" borderId="3" xfId="1" applyNumberFormat="1" applyFont="1" applyFill="1" applyBorder="1" applyAlignment="1">
      <alignment horizontal="center"/>
    </xf>
    <xf numFmtId="9" fontId="2" fillId="0" borderId="0" xfId="0" applyNumberFormat="1" applyFont="1"/>
    <xf numFmtId="10" fontId="2" fillId="0" borderId="0" xfId="0" applyNumberFormat="1" applyFont="1"/>
    <xf numFmtId="0" fontId="2" fillId="4" borderId="4" xfId="0" applyFont="1" applyFill="1" applyBorder="1" applyAlignment="1">
      <alignment horizontal="center"/>
    </xf>
    <xf numFmtId="164" fontId="0" fillId="0" borderId="0" xfId="0" applyNumberFormat="1"/>
    <xf numFmtId="165" fontId="2" fillId="0" borderId="0" xfId="1" applyNumberFormat="1" applyFont="1" applyAlignment="1">
      <alignment horizontal="center"/>
    </xf>
    <xf numFmtId="10" fontId="2" fillId="37" borderId="0" xfId="1" applyNumberFormat="1" applyFont="1" applyFill="1"/>
    <xf numFmtId="10" fontId="2" fillId="3" borderId="0" xfId="0" applyNumberFormat="1" applyFont="1" applyFill="1"/>
    <xf numFmtId="0" fontId="2" fillId="37" borderId="0" xfId="0" applyFont="1" applyFill="1"/>
    <xf numFmtId="10" fontId="2" fillId="3" borderId="0" xfId="1" applyNumberFormat="1" applyFont="1" applyFill="1"/>
    <xf numFmtId="166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10" fontId="0" fillId="0" borderId="0" xfId="0" applyNumberFormat="1" applyAlignment="1">
      <alignment horizontal="center"/>
    </xf>
  </cellXfs>
  <cellStyles count="45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6" xr:uid="{2AB53629-6BAE-449D-9FFB-5415D35060E4}"/>
    <cellStyle name="60% - Ênfase2 2" xfId="37" xr:uid="{0F1520F7-2C3A-41D3-A61B-624F7CF94E86}"/>
    <cellStyle name="60% - Ênfase3 2" xfId="38" xr:uid="{5BCACD53-8A8C-42F1-B8DE-A1058F9BC7AB}"/>
    <cellStyle name="60% - Ênfase4 2" xfId="39" xr:uid="{23E2DD00-EBCB-4A55-8C39-9A0273A31D16}"/>
    <cellStyle name="60% - Ênfase5 2" xfId="40" xr:uid="{DE45EFC0-9B8E-4DEE-AC3A-774F42185354}"/>
    <cellStyle name="60% - Ênfase6 2" xfId="41" xr:uid="{39754401-0DCC-478E-9988-6670E5CB916D}"/>
    <cellStyle name="blp_column_header" xfId="42" xr:uid="{5CA7160A-31C7-4EBC-A207-F09B6973FF7A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Neutro 2" xfId="43" xr:uid="{C443A6E1-356E-4165-A8C2-8D1A51BD9499}"/>
    <cellStyle name="Normal" xfId="0" builtinId="0"/>
    <cellStyle name="Normal 2" xfId="35" xr:uid="{1A8D833F-000B-4160-833D-FF142F4BCDA5}"/>
    <cellStyle name="Nota" xfId="14" builtinId="10" customBuiltin="1"/>
    <cellStyle name="Porcentagem" xfId="1" builtinId="5"/>
    <cellStyle name="Ruim" xfId="7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ítulo 5" xfId="44" xr:uid="{36165201-0AA7-4C92-992C-4A4638CD6113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coob-my.sharepoint.com/personal/paulo_fonteles_sicoob_com_br/Documents/Renda%20Vari&#225;vel/Multifatorial%203.0/Rebalanceamentos/1T26/1T26.xlsx" TargetMode="External"/><Relationship Id="rId1" Type="http://schemas.openxmlformats.org/officeDocument/2006/relationships/externalLinkPath" Target="1T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9 - FIA"/>
      <sheetName val="35 - SMLL"/>
      <sheetName val="36 - LP"/>
      <sheetName val="37 - ISEE"/>
      <sheetName val="Setores"/>
      <sheetName val="Mandato Ibov"/>
      <sheetName val="Mandato Smll"/>
      <sheetName val="Mandato LP"/>
      <sheetName val="Mandato ISEE"/>
      <sheetName val="Interpretação"/>
    </sheetNames>
    <sheetDataSet>
      <sheetData sheetId="0">
        <row r="9">
          <cell r="A9" t="str">
            <v>LOGG3</v>
          </cell>
          <cell r="B9">
            <v>0.01</v>
          </cell>
        </row>
        <row r="10">
          <cell r="A10" t="str">
            <v>FIQE3</v>
          </cell>
          <cell r="B10">
            <v>1.0999999999999999E-2</v>
          </cell>
        </row>
        <row r="11">
          <cell r="A11" t="str">
            <v>BMGB4</v>
          </cell>
          <cell r="B11">
            <v>1.2E-2</v>
          </cell>
        </row>
        <row r="12">
          <cell r="A12" t="str">
            <v>WIZC3</v>
          </cell>
          <cell r="B12">
            <v>1.2999999999999999E-2</v>
          </cell>
        </row>
        <row r="13">
          <cell r="A13" t="str">
            <v>JHSF3</v>
          </cell>
          <cell r="B13">
            <v>8.9999999999999993E-3</v>
          </cell>
        </row>
        <row r="14">
          <cell r="A14" t="str">
            <v>ALLD3</v>
          </cell>
          <cell r="B14">
            <v>7.0000000000000001E-3</v>
          </cell>
        </row>
        <row r="15">
          <cell r="A15" t="str">
            <v>RIAA3</v>
          </cell>
          <cell r="B15">
            <v>0.01</v>
          </cell>
        </row>
        <row r="16">
          <cell r="A16" t="str">
            <v>GRND3</v>
          </cell>
          <cell r="B16">
            <v>1.2E-2</v>
          </cell>
        </row>
        <row r="17">
          <cell r="A17" t="str">
            <v>HBRE3</v>
          </cell>
          <cell r="B17">
            <v>8.0000000000000002E-3</v>
          </cell>
        </row>
        <row r="18">
          <cell r="A18" t="str">
            <v>POMO3</v>
          </cell>
          <cell r="B18">
            <v>8.9999999999999993E-3</v>
          </cell>
        </row>
        <row r="19">
          <cell r="A19" t="str">
            <v>MTRE3</v>
          </cell>
          <cell r="B19">
            <v>1.7000000000000001E-2</v>
          </cell>
        </row>
        <row r="20">
          <cell r="A20" t="str">
            <v>MLAS3</v>
          </cell>
          <cell r="B20">
            <v>6.0000000000000001E-3</v>
          </cell>
        </row>
        <row r="21">
          <cell r="A21" t="str">
            <v>BRAP3</v>
          </cell>
          <cell r="B21">
            <v>0</v>
          </cell>
        </row>
        <row r="22">
          <cell r="A22" t="str">
            <v>SYNE3</v>
          </cell>
          <cell r="B22">
            <v>8.9999999999999993E-3</v>
          </cell>
        </row>
        <row r="23">
          <cell r="A23" t="str">
            <v>BRSR6</v>
          </cell>
          <cell r="B23">
            <v>1.2E-2</v>
          </cell>
        </row>
        <row r="24">
          <cell r="A24" t="str">
            <v>MILS3</v>
          </cell>
          <cell r="B24">
            <v>1.4E-2</v>
          </cell>
        </row>
        <row r="25">
          <cell r="A25" t="str">
            <v>AURA33</v>
          </cell>
          <cell r="B25">
            <v>5.0000000000000001E-3</v>
          </cell>
        </row>
        <row r="26">
          <cell r="A26" t="str">
            <v>BRAP4</v>
          </cell>
          <cell r="B26">
            <v>1.4999999999999999E-2</v>
          </cell>
        </row>
        <row r="27">
          <cell r="A27" t="str">
            <v>INTB3</v>
          </cell>
          <cell r="B27">
            <v>8.9999999999999993E-3</v>
          </cell>
        </row>
        <row r="28">
          <cell r="A28" t="str">
            <v>SEER3</v>
          </cell>
          <cell r="B28">
            <v>7.0000000000000001E-3</v>
          </cell>
        </row>
        <row r="29">
          <cell r="A29" t="str">
            <v>PETR4</v>
          </cell>
          <cell r="B29">
            <v>0.05</v>
          </cell>
        </row>
        <row r="30">
          <cell r="A30" t="str">
            <v>PINE4</v>
          </cell>
          <cell r="B30">
            <v>8.0000000000000002E-3</v>
          </cell>
        </row>
        <row r="31">
          <cell r="A31" t="str">
            <v>POMO4</v>
          </cell>
          <cell r="B31">
            <v>0.01</v>
          </cell>
        </row>
        <row r="32">
          <cell r="A32" t="str">
            <v>PETR3</v>
          </cell>
          <cell r="B32">
            <v>4.3999999999999997E-2</v>
          </cell>
        </row>
        <row r="33">
          <cell r="A33" t="str">
            <v>CSED3</v>
          </cell>
          <cell r="B33">
            <v>8.9999999999999993E-3</v>
          </cell>
        </row>
        <row r="34">
          <cell r="A34" t="str">
            <v>OPCT3</v>
          </cell>
          <cell r="B34">
            <v>1.2999999999999999E-2</v>
          </cell>
        </row>
        <row r="35">
          <cell r="A35" t="str">
            <v>ESPA3</v>
          </cell>
          <cell r="B35">
            <v>3.0000000000000001E-3</v>
          </cell>
        </row>
        <row r="36">
          <cell r="A36" t="str">
            <v>VTRU3</v>
          </cell>
          <cell r="B36">
            <v>7.0000000000000001E-3</v>
          </cell>
        </row>
        <row r="37">
          <cell r="A37" t="str">
            <v>ITSA3</v>
          </cell>
          <cell r="B37">
            <v>0</v>
          </cell>
        </row>
        <row r="38">
          <cell r="A38" t="str">
            <v>ABCB4</v>
          </cell>
          <cell r="B38">
            <v>1.6E-2</v>
          </cell>
        </row>
        <row r="39">
          <cell r="A39" t="str">
            <v>MELK3</v>
          </cell>
          <cell r="B39">
            <v>1.4E-2</v>
          </cell>
        </row>
        <row r="40">
          <cell r="A40" t="str">
            <v>BMOB3</v>
          </cell>
          <cell r="B40">
            <v>1.4E-2</v>
          </cell>
        </row>
        <row r="41">
          <cell r="A41" t="str">
            <v>LEVE3</v>
          </cell>
          <cell r="B41">
            <v>1.2E-2</v>
          </cell>
        </row>
        <row r="42">
          <cell r="A42" t="str">
            <v>EUCA4</v>
          </cell>
          <cell r="B42">
            <v>8.9999999999999993E-3</v>
          </cell>
        </row>
        <row r="43">
          <cell r="A43" t="str">
            <v>CSUD3</v>
          </cell>
          <cell r="B43">
            <v>1.2999999999999999E-2</v>
          </cell>
        </row>
        <row r="44">
          <cell r="A44" t="str">
            <v>PNVL3</v>
          </cell>
          <cell r="B44">
            <v>1.0999999999999999E-2</v>
          </cell>
        </row>
        <row r="45">
          <cell r="A45" t="str">
            <v>SAPR3</v>
          </cell>
          <cell r="B45">
            <v>0</v>
          </cell>
        </row>
        <row r="46">
          <cell r="A46" t="str">
            <v>MDNE3</v>
          </cell>
          <cell r="B46">
            <v>7.0000000000000001E-3</v>
          </cell>
        </row>
        <row r="47">
          <cell r="A47" t="str">
            <v>SHUL4</v>
          </cell>
          <cell r="B47">
            <v>1.2E-2</v>
          </cell>
        </row>
        <row r="48">
          <cell r="A48" t="str">
            <v>POSI3</v>
          </cell>
          <cell r="B48">
            <v>1.2999999999999999E-2</v>
          </cell>
        </row>
        <row r="49">
          <cell r="A49" t="str">
            <v>PFRM3</v>
          </cell>
          <cell r="B49">
            <v>8.9999999999999993E-3</v>
          </cell>
        </row>
        <row r="50">
          <cell r="A50" t="str">
            <v>GOAU4</v>
          </cell>
          <cell r="B50">
            <v>1.2999999999999999E-2</v>
          </cell>
        </row>
        <row r="51">
          <cell r="A51" t="str">
            <v>ITSA4</v>
          </cell>
          <cell r="B51">
            <v>4.2000000000000003E-2</v>
          </cell>
        </row>
        <row r="52">
          <cell r="A52" t="str">
            <v>ALPA4</v>
          </cell>
          <cell r="B52">
            <v>8.9999999999999993E-3</v>
          </cell>
        </row>
        <row r="53">
          <cell r="A53" t="str">
            <v>SAPR4</v>
          </cell>
          <cell r="B53">
            <v>0.02</v>
          </cell>
        </row>
        <row r="54">
          <cell r="A54" t="str">
            <v>TIMS3</v>
          </cell>
          <cell r="B54">
            <v>2.5000000000000001E-2</v>
          </cell>
        </row>
        <row r="55">
          <cell r="A55" t="str">
            <v>BBSE3</v>
          </cell>
          <cell r="B55">
            <v>2.1999999999999999E-2</v>
          </cell>
        </row>
        <row r="56">
          <cell r="A56" t="str">
            <v>EZTC3</v>
          </cell>
          <cell r="B56">
            <v>0.01</v>
          </cell>
        </row>
        <row r="57">
          <cell r="A57" t="str">
            <v>IGTI11</v>
          </cell>
          <cell r="B57">
            <v>1.4E-2</v>
          </cell>
        </row>
        <row r="58">
          <cell r="A58" t="str">
            <v>PSSA3</v>
          </cell>
          <cell r="B58">
            <v>1.2999999999999999E-2</v>
          </cell>
        </row>
        <row r="59">
          <cell r="A59" t="str">
            <v>BMEB4</v>
          </cell>
          <cell r="B59">
            <v>8.0000000000000002E-3</v>
          </cell>
        </row>
        <row r="60">
          <cell r="A60" t="str">
            <v>JSLG3</v>
          </cell>
          <cell r="B60">
            <v>4.0000000000000001E-3</v>
          </cell>
        </row>
        <row r="61">
          <cell r="A61" t="str">
            <v>SAPR11</v>
          </cell>
          <cell r="B61">
            <v>1.0999999999999999E-2</v>
          </cell>
        </row>
        <row r="62">
          <cell r="A62" t="str">
            <v>CURY3</v>
          </cell>
          <cell r="B62">
            <v>8.9999999999999993E-3</v>
          </cell>
        </row>
        <row r="63">
          <cell r="A63" t="str">
            <v>AXIA6</v>
          </cell>
          <cell r="B63">
            <v>2.8000000000000001E-2</v>
          </cell>
        </row>
        <row r="64">
          <cell r="A64" t="str">
            <v>ALOS3</v>
          </cell>
          <cell r="B64">
            <v>1.4E-2</v>
          </cell>
        </row>
        <row r="65">
          <cell r="A65" t="str">
            <v>RECV3</v>
          </cell>
          <cell r="B65">
            <v>1.6E-2</v>
          </cell>
        </row>
        <row r="66">
          <cell r="A66" t="str">
            <v>JALL3</v>
          </cell>
          <cell r="B66">
            <v>1.2500000000000001E-2</v>
          </cell>
        </row>
        <row r="67">
          <cell r="A67" t="str">
            <v>B3SA3</v>
          </cell>
          <cell r="B67">
            <v>0.02</v>
          </cell>
        </row>
        <row r="68">
          <cell r="A68" t="str">
            <v>VBBR3</v>
          </cell>
          <cell r="B68">
            <v>2.1999999999999999E-2</v>
          </cell>
        </row>
        <row r="69">
          <cell r="A69" t="str">
            <v>UGPA3</v>
          </cell>
          <cell r="B69">
            <v>2.1000000000000001E-2</v>
          </cell>
        </row>
        <row r="70">
          <cell r="A70" t="str">
            <v>TEND3</v>
          </cell>
          <cell r="B70">
            <v>7.0000000000000001E-3</v>
          </cell>
        </row>
        <row r="71">
          <cell r="A71" t="str">
            <v>CXSE3</v>
          </cell>
          <cell r="B71">
            <v>1.4E-2</v>
          </cell>
        </row>
        <row r="72">
          <cell r="A72" t="str">
            <v>VIVT3</v>
          </cell>
          <cell r="B72">
            <v>1.4999999999999999E-2</v>
          </cell>
        </row>
        <row r="73">
          <cell r="A73" t="str">
            <v>VULC3</v>
          </cell>
          <cell r="B73">
            <v>0.01</v>
          </cell>
        </row>
        <row r="74">
          <cell r="A74" t="str">
            <v>TRIS3</v>
          </cell>
          <cell r="B74">
            <v>4.0000000000000001E-3</v>
          </cell>
        </row>
        <row r="75">
          <cell r="A75" t="str">
            <v>CMIG3</v>
          </cell>
          <cell r="B75">
            <v>1.7999999999999999E-2</v>
          </cell>
        </row>
        <row r="76">
          <cell r="A76" t="str">
            <v>ITUB3</v>
          </cell>
          <cell r="B76">
            <v>2.5000000000000001E-2</v>
          </cell>
        </row>
        <row r="77">
          <cell r="A77" t="str">
            <v>SAUD3</v>
          </cell>
          <cell r="B77">
            <v>0.01</v>
          </cell>
        </row>
        <row r="78">
          <cell r="A78" t="str">
            <v>PAGS34</v>
          </cell>
          <cell r="B78">
            <v>0</v>
          </cell>
        </row>
        <row r="79">
          <cell r="A79" t="str">
            <v>BLAU3</v>
          </cell>
          <cell r="B79">
            <v>0</v>
          </cell>
        </row>
        <row r="80">
          <cell r="A80" t="str">
            <v>USIM3</v>
          </cell>
          <cell r="B80">
            <v>0</v>
          </cell>
        </row>
        <row r="81">
          <cell r="A81" t="str">
            <v>EVEN3</v>
          </cell>
          <cell r="B81">
            <v>0</v>
          </cell>
        </row>
        <row r="82">
          <cell r="A82" t="str">
            <v>VVEO3</v>
          </cell>
          <cell r="B82">
            <v>0</v>
          </cell>
        </row>
        <row r="83">
          <cell r="A83" t="str">
            <v>MYPK3</v>
          </cell>
          <cell r="B83">
            <v>0</v>
          </cell>
        </row>
        <row r="84">
          <cell r="A84" t="str">
            <v>FLRY3</v>
          </cell>
          <cell r="B84">
            <v>0</v>
          </cell>
        </row>
        <row r="85">
          <cell r="A85" t="str">
            <v>PGMN3</v>
          </cell>
          <cell r="B85">
            <v>0</v>
          </cell>
        </row>
        <row r="86">
          <cell r="A86" t="str">
            <v>AUAU3</v>
          </cell>
          <cell r="B86">
            <v>0</v>
          </cell>
        </row>
        <row r="87">
          <cell r="A87" t="str">
            <v>MULT3</v>
          </cell>
          <cell r="B87">
            <v>0</v>
          </cell>
        </row>
        <row r="88">
          <cell r="A88" t="str">
            <v>ANIM3</v>
          </cell>
          <cell r="B88">
            <v>0</v>
          </cell>
        </row>
        <row r="89">
          <cell r="A89" t="str">
            <v>TAEE4</v>
          </cell>
          <cell r="B89">
            <v>5.0000000000000001E-3</v>
          </cell>
        </row>
        <row r="90">
          <cell r="A90" t="str">
            <v>TGMA3</v>
          </cell>
          <cell r="B90">
            <v>0</v>
          </cell>
        </row>
        <row r="91">
          <cell r="A91" t="str">
            <v>MDIA3</v>
          </cell>
          <cell r="B91">
            <v>0</v>
          </cell>
        </row>
        <row r="92">
          <cell r="A92" t="str">
            <v>TAEE3</v>
          </cell>
          <cell r="B92">
            <v>0</v>
          </cell>
        </row>
        <row r="93">
          <cell r="A93" t="str">
            <v>CPLE3</v>
          </cell>
          <cell r="B93">
            <v>7.0000000000000001E-3</v>
          </cell>
        </row>
        <row r="94">
          <cell r="A94" t="str">
            <v>CMIG4</v>
          </cell>
          <cell r="B94">
            <v>0</v>
          </cell>
        </row>
        <row r="95">
          <cell r="A95" t="str">
            <v>LAVV3</v>
          </cell>
          <cell r="B95">
            <v>0</v>
          </cell>
        </row>
        <row r="96">
          <cell r="A96" t="str">
            <v>HYPE3</v>
          </cell>
          <cell r="B96">
            <v>0</v>
          </cell>
        </row>
        <row r="97">
          <cell r="A97" t="str">
            <v>AXIA3</v>
          </cell>
          <cell r="B97">
            <v>0</v>
          </cell>
        </row>
        <row r="98">
          <cell r="A98" t="str">
            <v>CAML3</v>
          </cell>
          <cell r="B98">
            <v>0</v>
          </cell>
        </row>
        <row r="99">
          <cell r="A99" t="str">
            <v>BBDC3</v>
          </cell>
          <cell r="B99">
            <v>0</v>
          </cell>
        </row>
        <row r="100">
          <cell r="A100" t="str">
            <v>ORVR3</v>
          </cell>
          <cell r="B100">
            <v>0</v>
          </cell>
        </row>
        <row r="101">
          <cell r="A101" t="str">
            <v>AMER3</v>
          </cell>
          <cell r="B101">
            <v>0</v>
          </cell>
        </row>
        <row r="102">
          <cell r="A102" t="str">
            <v>DIRR3</v>
          </cell>
          <cell r="B102">
            <v>0</v>
          </cell>
        </row>
        <row r="103">
          <cell r="A103" t="str">
            <v>FESA4</v>
          </cell>
          <cell r="B103">
            <v>0</v>
          </cell>
        </row>
        <row r="104">
          <cell r="A104" t="str">
            <v>CPFE3</v>
          </cell>
          <cell r="B104">
            <v>0</v>
          </cell>
        </row>
        <row r="105">
          <cell r="A105" t="str">
            <v>ITUB4</v>
          </cell>
          <cell r="B105">
            <v>2.1999999999999999E-2</v>
          </cell>
        </row>
        <row r="106">
          <cell r="A106" t="str">
            <v>VALE3</v>
          </cell>
          <cell r="B106">
            <v>0.06</v>
          </cell>
        </row>
        <row r="107">
          <cell r="A107" t="str">
            <v>BRBI11</v>
          </cell>
          <cell r="B107">
            <v>0</v>
          </cell>
        </row>
        <row r="108">
          <cell r="A108" t="str">
            <v>USIM5</v>
          </cell>
          <cell r="B108">
            <v>0</v>
          </cell>
        </row>
        <row r="109">
          <cell r="A109" t="str">
            <v>RANI3</v>
          </cell>
          <cell r="B109">
            <v>0</v>
          </cell>
        </row>
        <row r="110">
          <cell r="A110" t="str">
            <v>COGN3</v>
          </cell>
          <cell r="B110">
            <v>0</v>
          </cell>
        </row>
        <row r="111">
          <cell r="A111" t="str">
            <v>CSMG3</v>
          </cell>
          <cell r="B111">
            <v>0</v>
          </cell>
        </row>
        <row r="112">
          <cell r="A112" t="str">
            <v>ABEV3</v>
          </cell>
          <cell r="B112">
            <v>0</v>
          </cell>
        </row>
        <row r="113">
          <cell r="A113" t="str">
            <v>LREN3</v>
          </cell>
          <cell r="B113">
            <v>0</v>
          </cell>
        </row>
        <row r="114">
          <cell r="A114" t="str">
            <v>GGBR4</v>
          </cell>
          <cell r="B114">
            <v>0</v>
          </cell>
        </row>
        <row r="115">
          <cell r="A115" t="str">
            <v>LIGT3</v>
          </cell>
          <cell r="B115">
            <v>0</v>
          </cell>
        </row>
        <row r="116">
          <cell r="A116" t="str">
            <v>UNIP6</v>
          </cell>
          <cell r="B116">
            <v>0</v>
          </cell>
        </row>
        <row r="117">
          <cell r="A117" t="str">
            <v>ENEV3</v>
          </cell>
          <cell r="B117">
            <v>0</v>
          </cell>
        </row>
        <row r="118">
          <cell r="A118" t="str">
            <v>BBDC4</v>
          </cell>
          <cell r="B118">
            <v>0</v>
          </cell>
        </row>
        <row r="119">
          <cell r="A119" t="str">
            <v>ALUP11</v>
          </cell>
          <cell r="B119">
            <v>0</v>
          </cell>
        </row>
        <row r="120">
          <cell r="A120" t="str">
            <v>BPAC11</v>
          </cell>
          <cell r="B120">
            <v>0</v>
          </cell>
        </row>
        <row r="121">
          <cell r="A121" t="str">
            <v>CBAV3</v>
          </cell>
          <cell r="B121">
            <v>0</v>
          </cell>
        </row>
        <row r="122">
          <cell r="A122" t="str">
            <v>DESK3</v>
          </cell>
          <cell r="B122">
            <v>0</v>
          </cell>
        </row>
        <row r="123">
          <cell r="A123" t="str">
            <v>TAEE11</v>
          </cell>
          <cell r="B123">
            <v>0</v>
          </cell>
        </row>
        <row r="124">
          <cell r="A124" t="str">
            <v>LWSA3</v>
          </cell>
          <cell r="B124">
            <v>0</v>
          </cell>
        </row>
        <row r="125">
          <cell r="A125" t="str">
            <v>ISAE4</v>
          </cell>
          <cell r="B125">
            <v>0</v>
          </cell>
        </row>
        <row r="126">
          <cell r="A126" t="str">
            <v>IRBR3</v>
          </cell>
          <cell r="B126">
            <v>0</v>
          </cell>
        </row>
        <row r="127">
          <cell r="A127" t="str">
            <v>EGIE3</v>
          </cell>
          <cell r="B127">
            <v>0</v>
          </cell>
        </row>
        <row r="128">
          <cell r="A128" t="str">
            <v>SMTO3</v>
          </cell>
          <cell r="B128">
            <v>0</v>
          </cell>
        </row>
        <row r="129">
          <cell r="A129" t="str">
            <v>VLID3</v>
          </cell>
          <cell r="B129">
            <v>0</v>
          </cell>
        </row>
        <row r="130">
          <cell r="A130" t="str">
            <v>TFCO4</v>
          </cell>
          <cell r="B130">
            <v>0</v>
          </cell>
        </row>
        <row r="131">
          <cell r="A131" t="str">
            <v>BRAV3</v>
          </cell>
          <cell r="B131">
            <v>0</v>
          </cell>
        </row>
        <row r="132">
          <cell r="A132" t="str">
            <v>WEGE3</v>
          </cell>
          <cell r="B132">
            <v>0</v>
          </cell>
        </row>
        <row r="133">
          <cell r="A133" t="str">
            <v>AXIA7</v>
          </cell>
          <cell r="B133">
            <v>0</v>
          </cell>
        </row>
        <row r="134">
          <cell r="A134" t="str">
            <v>ARML3</v>
          </cell>
          <cell r="B134">
            <v>0</v>
          </cell>
        </row>
        <row r="135">
          <cell r="A135" t="str">
            <v>AZZA3</v>
          </cell>
          <cell r="B135">
            <v>0</v>
          </cell>
        </row>
        <row r="136">
          <cell r="A136" t="str">
            <v>SLCE3</v>
          </cell>
          <cell r="B136">
            <v>0</v>
          </cell>
        </row>
        <row r="137">
          <cell r="A137" t="str">
            <v>KLBN4</v>
          </cell>
          <cell r="B137">
            <v>0</v>
          </cell>
        </row>
        <row r="138">
          <cell r="A138" t="str">
            <v>KLBN3</v>
          </cell>
          <cell r="B138">
            <v>0</v>
          </cell>
        </row>
        <row r="139">
          <cell r="A139" t="str">
            <v>SANB4</v>
          </cell>
          <cell r="B139">
            <v>0</v>
          </cell>
        </row>
        <row r="140">
          <cell r="A140" t="str">
            <v>RAPT4</v>
          </cell>
          <cell r="B140">
            <v>0</v>
          </cell>
        </row>
        <row r="141">
          <cell r="A141" t="str">
            <v>SANB3</v>
          </cell>
          <cell r="B141">
            <v>0</v>
          </cell>
        </row>
        <row r="142">
          <cell r="A142" t="str">
            <v>DXCO3</v>
          </cell>
          <cell r="B142">
            <v>0</v>
          </cell>
        </row>
        <row r="143">
          <cell r="A143" t="str">
            <v>QUAL3</v>
          </cell>
          <cell r="B143">
            <v>0</v>
          </cell>
        </row>
        <row r="144">
          <cell r="A144" t="str">
            <v>KLBN11</v>
          </cell>
          <cell r="B144">
            <v>0</v>
          </cell>
        </row>
        <row r="145">
          <cell r="A145" t="str">
            <v>MOTV3</v>
          </cell>
          <cell r="B145">
            <v>0</v>
          </cell>
        </row>
        <row r="146">
          <cell r="A146" t="str">
            <v>KEPL3</v>
          </cell>
          <cell r="B146">
            <v>0</v>
          </cell>
        </row>
        <row r="147">
          <cell r="A147" t="str">
            <v>ENGI11</v>
          </cell>
          <cell r="B147">
            <v>0</v>
          </cell>
        </row>
        <row r="148">
          <cell r="A148" t="str">
            <v>MBRF3</v>
          </cell>
          <cell r="B148">
            <v>0</v>
          </cell>
        </row>
        <row r="149">
          <cell r="A149" t="str">
            <v>SANB11</v>
          </cell>
          <cell r="B149">
            <v>0</v>
          </cell>
        </row>
        <row r="150">
          <cell r="A150" t="str">
            <v>BBAS3</v>
          </cell>
          <cell r="B150">
            <v>0</v>
          </cell>
        </row>
        <row r="151">
          <cell r="A151" t="str">
            <v>CMIN3</v>
          </cell>
          <cell r="B151">
            <v>0</v>
          </cell>
        </row>
        <row r="152">
          <cell r="A152" t="str">
            <v>BIOM3</v>
          </cell>
          <cell r="B152">
            <v>0</v>
          </cell>
        </row>
        <row r="153">
          <cell r="A153" t="str">
            <v>YDUQ3</v>
          </cell>
          <cell r="B153">
            <v>0</v>
          </cell>
        </row>
        <row r="154">
          <cell r="A154" t="str">
            <v>ROMI3</v>
          </cell>
          <cell r="B154">
            <v>0</v>
          </cell>
        </row>
        <row r="155">
          <cell r="A155" t="str">
            <v>FRAS3</v>
          </cell>
          <cell r="B155">
            <v>0</v>
          </cell>
        </row>
        <row r="156">
          <cell r="A156" t="str">
            <v>MOVI3</v>
          </cell>
          <cell r="B156">
            <v>0</v>
          </cell>
        </row>
        <row r="157">
          <cell r="A157" t="str">
            <v>SBSP3</v>
          </cell>
          <cell r="B157">
            <v>0</v>
          </cell>
        </row>
        <row r="158">
          <cell r="A158" t="str">
            <v>RAIL3</v>
          </cell>
          <cell r="B158">
            <v>0</v>
          </cell>
        </row>
        <row r="159">
          <cell r="A159" t="str">
            <v>SUZB3</v>
          </cell>
          <cell r="B159">
            <v>0</v>
          </cell>
        </row>
        <row r="160">
          <cell r="A160" t="str">
            <v>PRIO3</v>
          </cell>
          <cell r="B160">
            <v>0</v>
          </cell>
        </row>
        <row r="161">
          <cell r="A161" t="str">
            <v>XPBR31</v>
          </cell>
          <cell r="B161">
            <v>0</v>
          </cell>
        </row>
        <row r="162">
          <cell r="A162" t="str">
            <v>AURE3</v>
          </cell>
          <cell r="B162">
            <v>0</v>
          </cell>
        </row>
        <row r="163">
          <cell r="A163" t="str">
            <v>EQTL3</v>
          </cell>
          <cell r="B163">
            <v>0</v>
          </cell>
        </row>
        <row r="164">
          <cell r="A164" t="str">
            <v>BRST3</v>
          </cell>
          <cell r="B164">
            <v>0</v>
          </cell>
        </row>
        <row r="165">
          <cell r="A165" t="str">
            <v>VITT3</v>
          </cell>
          <cell r="B165">
            <v>0</v>
          </cell>
        </row>
        <row r="166">
          <cell r="A166" t="str">
            <v>RENT3</v>
          </cell>
          <cell r="B166">
            <v>0</v>
          </cell>
        </row>
        <row r="167">
          <cell r="A167" t="str">
            <v>BEEF3</v>
          </cell>
          <cell r="B167">
            <v>0</v>
          </cell>
        </row>
        <row r="168">
          <cell r="A168" t="str">
            <v>NATU3</v>
          </cell>
          <cell r="B168">
            <v>0</v>
          </cell>
        </row>
        <row r="169">
          <cell r="A169" t="str">
            <v>ECOR3</v>
          </cell>
          <cell r="B169">
            <v>0</v>
          </cell>
        </row>
        <row r="170">
          <cell r="A170" t="str">
            <v>JBSS32</v>
          </cell>
          <cell r="B170">
            <v>0</v>
          </cell>
        </row>
        <row r="171">
          <cell r="A171" t="str">
            <v>CYRE3</v>
          </cell>
          <cell r="B171">
            <v>0</v>
          </cell>
        </row>
        <row r="172">
          <cell r="A172" t="str">
            <v>ASAI3</v>
          </cell>
          <cell r="B172">
            <v>0</v>
          </cell>
        </row>
        <row r="173">
          <cell r="A173" t="str">
            <v>TASA4</v>
          </cell>
          <cell r="B173">
            <v>0</v>
          </cell>
        </row>
        <row r="174">
          <cell r="A174" t="str">
            <v>STOC34</v>
          </cell>
          <cell r="B174">
            <v>0</v>
          </cell>
        </row>
        <row r="175">
          <cell r="A175" t="str">
            <v>CEAB3</v>
          </cell>
          <cell r="B175">
            <v>0</v>
          </cell>
        </row>
        <row r="176">
          <cell r="A176" t="str">
            <v>RADL3</v>
          </cell>
          <cell r="B176">
            <v>0</v>
          </cell>
        </row>
        <row r="177">
          <cell r="A177" t="str">
            <v>RDOR3</v>
          </cell>
          <cell r="B177">
            <v>0</v>
          </cell>
        </row>
        <row r="178">
          <cell r="A178" t="str">
            <v>CYRE4</v>
          </cell>
          <cell r="B178">
            <v>0</v>
          </cell>
        </row>
        <row r="179">
          <cell r="A179" t="str">
            <v>TUPY3</v>
          </cell>
          <cell r="B179">
            <v>0</v>
          </cell>
        </row>
        <row r="180">
          <cell r="A180" t="str">
            <v>SBFG3</v>
          </cell>
          <cell r="B180">
            <v>0</v>
          </cell>
        </row>
        <row r="181">
          <cell r="A181" t="str">
            <v>RENT4</v>
          </cell>
          <cell r="B181">
            <v>0</v>
          </cell>
        </row>
        <row r="182">
          <cell r="A182" t="str">
            <v>TTEN3</v>
          </cell>
          <cell r="B182">
            <v>0</v>
          </cell>
        </row>
        <row r="183">
          <cell r="A183" t="str">
            <v>VAMO3</v>
          </cell>
          <cell r="B183">
            <v>0</v>
          </cell>
        </row>
        <row r="184">
          <cell r="A184" t="str">
            <v>AMBP3</v>
          </cell>
          <cell r="B184">
            <v>0</v>
          </cell>
        </row>
        <row r="185">
          <cell r="A185" t="str">
            <v>GMAT3</v>
          </cell>
          <cell r="B185">
            <v>0</v>
          </cell>
        </row>
        <row r="186">
          <cell r="A186" t="str">
            <v>MGLU3</v>
          </cell>
          <cell r="B186">
            <v>0</v>
          </cell>
        </row>
        <row r="187">
          <cell r="A187" t="str">
            <v>PRNR3</v>
          </cell>
          <cell r="B187">
            <v>0</v>
          </cell>
        </row>
        <row r="188">
          <cell r="A188" t="str">
            <v>AGRO3</v>
          </cell>
          <cell r="B188">
            <v>0</v>
          </cell>
        </row>
        <row r="189">
          <cell r="A189" t="str">
            <v>HBOR3</v>
          </cell>
          <cell r="B189">
            <v>0</v>
          </cell>
        </row>
        <row r="190">
          <cell r="A190" t="str">
            <v>GGPS3</v>
          </cell>
          <cell r="B190">
            <v>0</v>
          </cell>
        </row>
        <row r="191">
          <cell r="A191" t="str">
            <v>SOJA3</v>
          </cell>
          <cell r="B191">
            <v>0</v>
          </cell>
        </row>
        <row r="192">
          <cell r="A192" t="str">
            <v>SMFT3</v>
          </cell>
          <cell r="B192">
            <v>0</v>
          </cell>
        </row>
        <row r="193">
          <cell r="A193" t="str">
            <v>DASA3</v>
          </cell>
          <cell r="B193">
            <v>0</v>
          </cell>
        </row>
        <row r="194">
          <cell r="A194" t="str">
            <v>VIVA3</v>
          </cell>
          <cell r="B194">
            <v>0</v>
          </cell>
        </row>
        <row r="195">
          <cell r="A195" t="str">
            <v>INBR32</v>
          </cell>
          <cell r="B195">
            <v>0</v>
          </cell>
        </row>
        <row r="196">
          <cell r="A196" t="str">
            <v>MRVE3</v>
          </cell>
          <cell r="B196">
            <v>0</v>
          </cell>
        </row>
        <row r="197">
          <cell r="A197" t="str">
            <v>HBSA3</v>
          </cell>
          <cell r="B197">
            <v>0</v>
          </cell>
        </row>
        <row r="198">
          <cell r="A198" t="str">
            <v>ROXO34</v>
          </cell>
          <cell r="B198">
            <v>0</v>
          </cell>
        </row>
        <row r="199">
          <cell r="A199" t="str">
            <v>CSAN3</v>
          </cell>
          <cell r="B199">
            <v>0</v>
          </cell>
        </row>
        <row r="200">
          <cell r="A200" t="str">
            <v>CSNA3</v>
          </cell>
          <cell r="B200">
            <v>0</v>
          </cell>
        </row>
        <row r="201">
          <cell r="A201" t="str">
            <v>PLPL3</v>
          </cell>
          <cell r="B201">
            <v>0</v>
          </cell>
        </row>
        <row r="202">
          <cell r="A202" t="str">
            <v>EMBJ3</v>
          </cell>
          <cell r="B202">
            <v>0</v>
          </cell>
        </row>
        <row r="203">
          <cell r="A203" t="str">
            <v>TOTS3</v>
          </cell>
          <cell r="B203">
            <v>0</v>
          </cell>
        </row>
        <row r="204">
          <cell r="A204" t="str">
            <v>S2GM34</v>
          </cell>
          <cell r="B204">
            <v>0</v>
          </cell>
        </row>
        <row r="205">
          <cell r="A205" t="str">
            <v>SIMH3</v>
          </cell>
          <cell r="B205">
            <v>0</v>
          </cell>
        </row>
        <row r="206">
          <cell r="A206" t="str">
            <v>HAPV3</v>
          </cell>
          <cell r="B206">
            <v>0</v>
          </cell>
        </row>
        <row r="207">
          <cell r="A207" t="str">
            <v>LJQQ3</v>
          </cell>
          <cell r="B207">
            <v>0</v>
          </cell>
        </row>
        <row r="208">
          <cell r="A208" t="str">
            <v>RAIZ4</v>
          </cell>
          <cell r="B208">
            <v>0</v>
          </cell>
        </row>
        <row r="209">
          <cell r="A209" t="str">
            <v>BHIA3</v>
          </cell>
          <cell r="B209">
            <v>0</v>
          </cell>
        </row>
        <row r="210">
          <cell r="A210" t="str">
            <v>OBTC3</v>
          </cell>
          <cell r="B210">
            <v>0</v>
          </cell>
        </row>
        <row r="211">
          <cell r="A211" t="str">
            <v>PTBL3</v>
          </cell>
          <cell r="B211">
            <v>0</v>
          </cell>
        </row>
        <row r="212">
          <cell r="A212" t="str">
            <v>CVCB3</v>
          </cell>
          <cell r="B212">
            <v>0</v>
          </cell>
        </row>
        <row r="213">
          <cell r="A213" t="str">
            <v>BRKM5</v>
          </cell>
          <cell r="B213">
            <v>0</v>
          </cell>
        </row>
        <row r="214">
          <cell r="A214" t="str">
            <v>PCAR3</v>
          </cell>
          <cell r="B214">
            <v>0</v>
          </cell>
        </row>
        <row r="215">
          <cell r="A215" t="str">
            <v>CASH3</v>
          </cell>
          <cell r="B215">
            <v>0</v>
          </cell>
        </row>
        <row r="216">
          <cell r="A216" t="str">
            <v>RCSL4</v>
          </cell>
          <cell r="B216">
            <v>0</v>
          </cell>
        </row>
        <row r="217">
          <cell r="A217" t="str">
            <v>GFSA3</v>
          </cell>
          <cell r="B217">
            <v>0</v>
          </cell>
        </row>
        <row r="218">
          <cell r="A218" t="str">
            <v>ONCO3</v>
          </cell>
          <cell r="B218">
            <v>0</v>
          </cell>
        </row>
        <row r="219">
          <cell r="A219" t="str">
            <v>PMAM3</v>
          </cell>
          <cell r="B219">
            <v>0</v>
          </cell>
        </row>
      </sheetData>
      <sheetData sheetId="1">
        <row r="9">
          <cell r="A9" t="str">
            <v>JHSF3</v>
          </cell>
          <cell r="B9">
            <v>2.5999999999999999E-2</v>
          </cell>
        </row>
        <row r="10">
          <cell r="A10" t="str">
            <v>WIZC3</v>
          </cell>
          <cell r="B10">
            <v>1.4999999999999999E-2</v>
          </cell>
        </row>
        <row r="11">
          <cell r="A11" t="str">
            <v>LOGG3</v>
          </cell>
          <cell r="B11">
            <v>1.7999999999999999E-2</v>
          </cell>
        </row>
        <row r="12">
          <cell r="A12" t="str">
            <v>FIQE3</v>
          </cell>
          <cell r="B12">
            <v>1.4999999999999999E-2</v>
          </cell>
        </row>
        <row r="13">
          <cell r="A13" t="str">
            <v>BMGB4</v>
          </cell>
          <cell r="B13">
            <v>1.4E-2</v>
          </cell>
        </row>
        <row r="14">
          <cell r="A14" t="str">
            <v>ALLD3</v>
          </cell>
          <cell r="B14">
            <v>1.0999999999999999E-2</v>
          </cell>
        </row>
        <row r="15">
          <cell r="A15" t="str">
            <v>RIAA3</v>
          </cell>
          <cell r="B15">
            <v>1.4999999999999999E-2</v>
          </cell>
        </row>
        <row r="16">
          <cell r="A16" t="str">
            <v>GRND3</v>
          </cell>
          <cell r="B16">
            <v>1.4999999999999999E-2</v>
          </cell>
        </row>
        <row r="17">
          <cell r="A17" t="str">
            <v>HBRE3</v>
          </cell>
          <cell r="B17">
            <v>1.4E-2</v>
          </cell>
        </row>
        <row r="18">
          <cell r="A18" t="str">
            <v>POMO3</v>
          </cell>
          <cell r="B18">
            <v>1.4999999999999999E-2</v>
          </cell>
        </row>
        <row r="19">
          <cell r="A19" t="str">
            <v>MTRE3</v>
          </cell>
          <cell r="B19">
            <v>2.1000000000000001E-2</v>
          </cell>
        </row>
        <row r="20">
          <cell r="A20" t="str">
            <v>MLAS3</v>
          </cell>
          <cell r="B20">
            <v>1.0999999999999999E-2</v>
          </cell>
        </row>
        <row r="21">
          <cell r="A21" t="str">
            <v>BRAP3</v>
          </cell>
          <cell r="B21">
            <v>0</v>
          </cell>
        </row>
        <row r="22">
          <cell r="A22" t="str">
            <v>SYNE3</v>
          </cell>
          <cell r="B22">
            <v>1.4E-2</v>
          </cell>
        </row>
        <row r="23">
          <cell r="A23" t="str">
            <v>BRSR6</v>
          </cell>
          <cell r="B23">
            <v>0.02</v>
          </cell>
        </row>
        <row r="24">
          <cell r="A24" t="str">
            <v>MILS3</v>
          </cell>
          <cell r="B24">
            <v>0.02</v>
          </cell>
        </row>
        <row r="25">
          <cell r="A25" t="str">
            <v>AURA33</v>
          </cell>
          <cell r="B25">
            <v>8.0000000000000002E-3</v>
          </cell>
        </row>
        <row r="26">
          <cell r="A26" t="str">
            <v>BRAP4</v>
          </cell>
          <cell r="B26">
            <v>3.3000000000000002E-2</v>
          </cell>
        </row>
        <row r="27">
          <cell r="A27" t="str">
            <v>INTB3</v>
          </cell>
          <cell r="B27">
            <v>0.02</v>
          </cell>
        </row>
        <row r="28">
          <cell r="A28" t="str">
            <v>SEER3</v>
          </cell>
          <cell r="B28">
            <v>1.2E-2</v>
          </cell>
        </row>
        <row r="29">
          <cell r="A29" t="str">
            <v>PETR4</v>
          </cell>
          <cell r="B29">
            <v>0</v>
          </cell>
        </row>
        <row r="30">
          <cell r="A30" t="str">
            <v>PINE4</v>
          </cell>
          <cell r="B30">
            <v>1.0999999999999999E-2</v>
          </cell>
        </row>
        <row r="31">
          <cell r="A31" t="str">
            <v>POMO4</v>
          </cell>
          <cell r="B31">
            <v>1.7999999999999999E-2</v>
          </cell>
        </row>
        <row r="32">
          <cell r="A32" t="str">
            <v>PETR3</v>
          </cell>
          <cell r="B32">
            <v>0</v>
          </cell>
        </row>
        <row r="33">
          <cell r="A33" t="str">
            <v>CSED3</v>
          </cell>
          <cell r="B33">
            <v>1.2999999999999999E-2</v>
          </cell>
        </row>
        <row r="34">
          <cell r="A34" t="str">
            <v>OPCT3</v>
          </cell>
          <cell r="B34">
            <v>1.2E-2</v>
          </cell>
        </row>
        <row r="35">
          <cell r="A35" t="str">
            <v>ESPA3</v>
          </cell>
          <cell r="B35">
            <v>6.0000000000000001E-3</v>
          </cell>
        </row>
        <row r="36">
          <cell r="A36" t="str">
            <v>VTRU3</v>
          </cell>
          <cell r="B36">
            <v>1.4E-2</v>
          </cell>
        </row>
        <row r="37">
          <cell r="A37" t="str">
            <v>ITSA3</v>
          </cell>
          <cell r="B37">
            <v>0</v>
          </cell>
        </row>
        <row r="38">
          <cell r="A38" t="str">
            <v>ABCB4</v>
          </cell>
          <cell r="B38">
            <v>1.6E-2</v>
          </cell>
        </row>
        <row r="39">
          <cell r="A39" t="str">
            <v>MELK3</v>
          </cell>
          <cell r="B39">
            <v>1.4999999999999999E-2</v>
          </cell>
        </row>
        <row r="40">
          <cell r="A40" t="str">
            <v>BMOB3</v>
          </cell>
          <cell r="B40">
            <v>1.7000000000000001E-2</v>
          </cell>
        </row>
        <row r="41">
          <cell r="A41" t="str">
            <v>LEVE3</v>
          </cell>
          <cell r="B41">
            <v>1.2999999999999999E-2</v>
          </cell>
        </row>
        <row r="42">
          <cell r="A42" t="str">
            <v>EUCA4</v>
          </cell>
          <cell r="B42">
            <v>1.4E-2</v>
          </cell>
        </row>
        <row r="43">
          <cell r="A43" t="str">
            <v>CSUD3</v>
          </cell>
          <cell r="B43">
            <v>0.01</v>
          </cell>
        </row>
        <row r="44">
          <cell r="A44" t="str">
            <v>PNVL3</v>
          </cell>
          <cell r="B44">
            <v>1.7000000000000001E-2</v>
          </cell>
        </row>
        <row r="45">
          <cell r="A45" t="str">
            <v>SAPR3</v>
          </cell>
          <cell r="B45">
            <v>0</v>
          </cell>
        </row>
        <row r="46">
          <cell r="A46" t="str">
            <v>MDNE3</v>
          </cell>
          <cell r="B46">
            <v>1.4999999999999999E-2</v>
          </cell>
        </row>
        <row r="47">
          <cell r="A47" t="str">
            <v>SHUL4</v>
          </cell>
          <cell r="B47">
            <v>1.2E-2</v>
          </cell>
        </row>
        <row r="48">
          <cell r="A48" t="str">
            <v>POSI3</v>
          </cell>
          <cell r="B48">
            <v>1.6E-2</v>
          </cell>
        </row>
        <row r="49">
          <cell r="A49" t="str">
            <v>PFRM3</v>
          </cell>
          <cell r="B49">
            <v>1.0999999999999999E-2</v>
          </cell>
        </row>
        <row r="50">
          <cell r="A50" t="str">
            <v>GOAU4</v>
          </cell>
          <cell r="B50">
            <v>3.5000000000000003E-2</v>
          </cell>
        </row>
        <row r="51">
          <cell r="A51" t="str">
            <v>ITSA4</v>
          </cell>
          <cell r="B51">
            <v>0</v>
          </cell>
        </row>
        <row r="52">
          <cell r="A52" t="str">
            <v>ALPA4</v>
          </cell>
          <cell r="B52">
            <v>1.4999999999999999E-2</v>
          </cell>
        </row>
        <row r="53">
          <cell r="A53" t="str">
            <v>SAPR4</v>
          </cell>
          <cell r="B53">
            <v>1.4999999999999999E-2</v>
          </cell>
        </row>
        <row r="54">
          <cell r="A54" t="str">
            <v>TIMS3</v>
          </cell>
          <cell r="B54">
            <v>1.2999999999999999E-2</v>
          </cell>
        </row>
        <row r="55">
          <cell r="A55" t="str">
            <v>BBSE3</v>
          </cell>
          <cell r="B55">
            <v>1.4E-2</v>
          </cell>
        </row>
        <row r="56">
          <cell r="A56" t="str">
            <v>EZTC3</v>
          </cell>
          <cell r="B56">
            <v>2.5000000000000001E-2</v>
          </cell>
        </row>
        <row r="57">
          <cell r="A57" t="str">
            <v>IGTI11</v>
          </cell>
          <cell r="B57">
            <v>3.1E-2</v>
          </cell>
        </row>
        <row r="58">
          <cell r="A58" t="str">
            <v>PSSA3</v>
          </cell>
          <cell r="B58">
            <v>1.2999999999999999E-2</v>
          </cell>
        </row>
        <row r="59">
          <cell r="A59" t="str">
            <v>JSLG3</v>
          </cell>
          <cell r="B59">
            <v>1.4E-2</v>
          </cell>
        </row>
        <row r="60">
          <cell r="A60" t="str">
            <v>BMEB4</v>
          </cell>
          <cell r="B60">
            <v>7.0000000000000001E-3</v>
          </cell>
        </row>
        <row r="61">
          <cell r="A61" t="str">
            <v>SAPR11</v>
          </cell>
          <cell r="B61">
            <v>0.03</v>
          </cell>
        </row>
        <row r="62">
          <cell r="A62" t="str">
            <v>CURY3</v>
          </cell>
          <cell r="B62">
            <v>1.7000000000000001E-2</v>
          </cell>
        </row>
        <row r="63">
          <cell r="A63" t="str">
            <v>AXIA6</v>
          </cell>
          <cell r="B63">
            <v>0</v>
          </cell>
        </row>
        <row r="64">
          <cell r="A64" t="str">
            <v>ALOS3</v>
          </cell>
          <cell r="B64">
            <v>0.03</v>
          </cell>
        </row>
        <row r="65">
          <cell r="A65" t="str">
            <v>RECV3</v>
          </cell>
          <cell r="B65">
            <v>1.4999999999999999E-2</v>
          </cell>
        </row>
        <row r="66">
          <cell r="A66" t="str">
            <v>JALL3</v>
          </cell>
          <cell r="B66">
            <v>0.01</v>
          </cell>
        </row>
        <row r="67">
          <cell r="A67" t="str">
            <v>B3SA3</v>
          </cell>
          <cell r="B67">
            <v>0</v>
          </cell>
        </row>
        <row r="68">
          <cell r="A68" t="str">
            <v>VBBR3</v>
          </cell>
          <cell r="B68">
            <v>1.9E-2</v>
          </cell>
        </row>
        <row r="69">
          <cell r="A69" t="str">
            <v>UGPA3</v>
          </cell>
          <cell r="B69">
            <v>1.7999999999999999E-2</v>
          </cell>
        </row>
        <row r="70">
          <cell r="A70" t="str">
            <v>TEND3</v>
          </cell>
          <cell r="B70">
            <v>1.7000000000000001E-2</v>
          </cell>
        </row>
        <row r="71">
          <cell r="A71" t="str">
            <v>CXSE3</v>
          </cell>
          <cell r="B71">
            <v>1.4999999999999999E-2</v>
          </cell>
        </row>
        <row r="72">
          <cell r="A72" t="str">
            <v>VIVT3</v>
          </cell>
          <cell r="B72">
            <v>1.6E-2</v>
          </cell>
        </row>
        <row r="73">
          <cell r="A73" t="str">
            <v>VULC3</v>
          </cell>
          <cell r="B73">
            <v>2.3E-2</v>
          </cell>
        </row>
        <row r="74">
          <cell r="A74" t="str">
            <v>TRIS3</v>
          </cell>
          <cell r="B74">
            <v>8.0000000000000002E-3</v>
          </cell>
        </row>
        <row r="75">
          <cell r="A75" t="str">
            <v>CMIG3</v>
          </cell>
          <cell r="B75">
            <v>1.6E-2</v>
          </cell>
        </row>
        <row r="76">
          <cell r="A76" t="str">
            <v>ITUB3</v>
          </cell>
          <cell r="B76">
            <v>0</v>
          </cell>
        </row>
        <row r="77">
          <cell r="A77" t="str">
            <v>SAUD3</v>
          </cell>
          <cell r="B77">
            <v>1.2999999999999999E-2</v>
          </cell>
        </row>
        <row r="78">
          <cell r="A78" t="str">
            <v>PAGS34</v>
          </cell>
          <cell r="B78">
            <v>0</v>
          </cell>
        </row>
        <row r="79">
          <cell r="A79" t="str">
            <v>BLAU3</v>
          </cell>
          <cell r="B79">
            <v>0</v>
          </cell>
        </row>
        <row r="80">
          <cell r="A80" t="str">
            <v>USIM3</v>
          </cell>
          <cell r="B80">
            <v>6.0000000000000001E-3</v>
          </cell>
        </row>
        <row r="81">
          <cell r="A81" t="str">
            <v>EVEN3</v>
          </cell>
          <cell r="B81">
            <v>0</v>
          </cell>
        </row>
        <row r="82">
          <cell r="A82" t="str">
            <v>VVEO3</v>
          </cell>
          <cell r="B82">
            <v>0</v>
          </cell>
        </row>
        <row r="83">
          <cell r="A83" t="str">
            <v>MYPK3</v>
          </cell>
          <cell r="B83">
            <v>0</v>
          </cell>
        </row>
        <row r="84">
          <cell r="A84" t="str">
            <v>FLRY3</v>
          </cell>
          <cell r="B84">
            <v>7.4999999999999997E-3</v>
          </cell>
        </row>
        <row r="85">
          <cell r="A85" t="str">
            <v>PGMN3</v>
          </cell>
          <cell r="B85">
            <v>0</v>
          </cell>
        </row>
        <row r="86">
          <cell r="A86" t="str">
            <v>AUAU3</v>
          </cell>
          <cell r="B86">
            <v>0</v>
          </cell>
        </row>
        <row r="87">
          <cell r="A87" t="str">
            <v>MULT3</v>
          </cell>
          <cell r="B87">
            <v>0</v>
          </cell>
        </row>
        <row r="88">
          <cell r="A88" t="str">
            <v>ANIM3</v>
          </cell>
          <cell r="B88">
            <v>0</v>
          </cell>
        </row>
        <row r="89">
          <cell r="A89" t="str">
            <v>TAEE4</v>
          </cell>
          <cell r="B89">
            <v>5.0000000000000001E-3</v>
          </cell>
        </row>
        <row r="90">
          <cell r="A90" t="str">
            <v>TGMA3</v>
          </cell>
          <cell r="B90">
            <v>0</v>
          </cell>
        </row>
        <row r="91">
          <cell r="A91" t="str">
            <v>MDIA3</v>
          </cell>
          <cell r="B91">
            <v>0</v>
          </cell>
        </row>
        <row r="92">
          <cell r="A92" t="str">
            <v>TAEE3</v>
          </cell>
          <cell r="B92">
            <v>0</v>
          </cell>
        </row>
        <row r="93">
          <cell r="A93" t="str">
            <v>CPLE3</v>
          </cell>
          <cell r="B93">
            <v>5.0000000000000001E-3</v>
          </cell>
        </row>
        <row r="94">
          <cell r="A94" t="str">
            <v>CMIG4</v>
          </cell>
          <cell r="B94">
            <v>0</v>
          </cell>
        </row>
        <row r="95">
          <cell r="A95" t="str">
            <v>LAVV3</v>
          </cell>
          <cell r="B95">
            <v>0</v>
          </cell>
        </row>
        <row r="96">
          <cell r="A96" t="str">
            <v>HYPE3</v>
          </cell>
          <cell r="B96">
            <v>0</v>
          </cell>
        </row>
        <row r="97">
          <cell r="A97" t="str">
            <v>AXIA3</v>
          </cell>
          <cell r="B97">
            <v>0</v>
          </cell>
        </row>
        <row r="98">
          <cell r="A98" t="str">
            <v>CAML3</v>
          </cell>
          <cell r="B98">
            <v>0</v>
          </cell>
        </row>
        <row r="99">
          <cell r="A99" t="str">
            <v>BBDC3</v>
          </cell>
          <cell r="B99">
            <v>0</v>
          </cell>
        </row>
        <row r="100">
          <cell r="A100" t="str">
            <v>ORVR3</v>
          </cell>
          <cell r="B100">
            <v>0</v>
          </cell>
        </row>
        <row r="101">
          <cell r="A101" t="str">
            <v>AMER3</v>
          </cell>
          <cell r="B101">
            <v>0</v>
          </cell>
        </row>
        <row r="102">
          <cell r="A102" t="str">
            <v>DIRR3</v>
          </cell>
          <cell r="B102">
            <v>0</v>
          </cell>
        </row>
        <row r="103">
          <cell r="A103" t="str">
            <v>FESA4</v>
          </cell>
          <cell r="B103">
            <v>0</v>
          </cell>
        </row>
        <row r="104">
          <cell r="A104" t="str">
            <v>CPFE3</v>
          </cell>
          <cell r="B104">
            <v>0</v>
          </cell>
        </row>
        <row r="105">
          <cell r="A105" t="str">
            <v>ITUB4</v>
          </cell>
          <cell r="B105">
            <v>0</v>
          </cell>
        </row>
        <row r="106">
          <cell r="A106" t="str">
            <v>VALE3</v>
          </cell>
          <cell r="B106">
            <v>0</v>
          </cell>
        </row>
        <row r="107">
          <cell r="A107" t="str">
            <v>BRBI11</v>
          </cell>
          <cell r="B107">
            <v>0</v>
          </cell>
        </row>
        <row r="108">
          <cell r="A108" t="str">
            <v>USIM5</v>
          </cell>
          <cell r="B108">
            <v>0</v>
          </cell>
        </row>
        <row r="109">
          <cell r="A109" t="str">
            <v>RANI3</v>
          </cell>
          <cell r="B109">
            <v>0</v>
          </cell>
        </row>
        <row r="110">
          <cell r="A110" t="str">
            <v>COGN3</v>
          </cell>
          <cell r="B110">
            <v>0</v>
          </cell>
        </row>
        <row r="111">
          <cell r="A111" t="str">
            <v>CSMG3</v>
          </cell>
          <cell r="B111">
            <v>0</v>
          </cell>
        </row>
        <row r="112">
          <cell r="A112" t="str">
            <v>ABEV3</v>
          </cell>
          <cell r="B112">
            <v>0</v>
          </cell>
        </row>
        <row r="113">
          <cell r="A113" t="str">
            <v>LREN3</v>
          </cell>
          <cell r="B113">
            <v>0</v>
          </cell>
        </row>
        <row r="114">
          <cell r="A114" t="str">
            <v>GGBR4</v>
          </cell>
          <cell r="B114">
            <v>0</v>
          </cell>
        </row>
        <row r="115">
          <cell r="A115" t="str">
            <v>LIGT3</v>
          </cell>
          <cell r="B115">
            <v>0</v>
          </cell>
        </row>
        <row r="116">
          <cell r="A116" t="str">
            <v>UNIP6</v>
          </cell>
          <cell r="B116">
            <v>0</v>
          </cell>
        </row>
        <row r="117">
          <cell r="A117" t="str">
            <v>ENEV3</v>
          </cell>
          <cell r="B117">
            <v>0</v>
          </cell>
        </row>
        <row r="118">
          <cell r="A118" t="str">
            <v>BBDC4</v>
          </cell>
          <cell r="B118">
            <v>0</v>
          </cell>
        </row>
        <row r="119">
          <cell r="A119" t="str">
            <v>ALUP11</v>
          </cell>
          <cell r="B119">
            <v>0</v>
          </cell>
        </row>
        <row r="120">
          <cell r="A120" t="str">
            <v>BPAC11</v>
          </cell>
          <cell r="B120">
            <v>0</v>
          </cell>
        </row>
        <row r="121">
          <cell r="A121" t="str">
            <v>CBAV3</v>
          </cell>
          <cell r="B121">
            <v>0</v>
          </cell>
        </row>
        <row r="122">
          <cell r="A122" t="str">
            <v>DESK3</v>
          </cell>
          <cell r="B122">
            <v>0</v>
          </cell>
        </row>
        <row r="123">
          <cell r="A123" t="str">
            <v>TAEE11</v>
          </cell>
          <cell r="B123">
            <v>0</v>
          </cell>
        </row>
        <row r="124">
          <cell r="A124" t="str">
            <v>LWSA3</v>
          </cell>
          <cell r="B124">
            <v>0</v>
          </cell>
        </row>
        <row r="125">
          <cell r="A125" t="str">
            <v>ISAE4</v>
          </cell>
          <cell r="B125">
            <v>0</v>
          </cell>
        </row>
        <row r="126">
          <cell r="A126" t="str">
            <v>IRBR3</v>
          </cell>
          <cell r="B126">
            <v>0</v>
          </cell>
        </row>
        <row r="127">
          <cell r="A127" t="str">
            <v>EGIE3</v>
          </cell>
          <cell r="B127">
            <v>0</v>
          </cell>
        </row>
        <row r="128">
          <cell r="A128" t="str">
            <v>SMTO3</v>
          </cell>
          <cell r="B128">
            <v>0</v>
          </cell>
        </row>
        <row r="129">
          <cell r="A129" t="str">
            <v>VLID3</v>
          </cell>
          <cell r="B129">
            <v>0</v>
          </cell>
        </row>
        <row r="130">
          <cell r="A130" t="str">
            <v>TFCO4</v>
          </cell>
          <cell r="B130">
            <v>0</v>
          </cell>
        </row>
        <row r="131">
          <cell r="A131" t="str">
            <v>BRAV3</v>
          </cell>
          <cell r="B131">
            <v>0</v>
          </cell>
        </row>
        <row r="132">
          <cell r="A132" t="str">
            <v>WEGE3</v>
          </cell>
          <cell r="B132">
            <v>0</v>
          </cell>
        </row>
        <row r="133">
          <cell r="A133" t="str">
            <v>AXIA7</v>
          </cell>
          <cell r="B133">
            <v>0</v>
          </cell>
        </row>
        <row r="134">
          <cell r="A134" t="str">
            <v>ARML3</v>
          </cell>
          <cell r="B134">
            <v>0</v>
          </cell>
        </row>
        <row r="135">
          <cell r="A135" t="str">
            <v>AZZA3</v>
          </cell>
          <cell r="B135">
            <v>0</v>
          </cell>
        </row>
        <row r="136">
          <cell r="A136" t="str">
            <v>KLBN3</v>
          </cell>
          <cell r="B136">
            <v>0</v>
          </cell>
        </row>
        <row r="137">
          <cell r="A137" t="str">
            <v>KLBN4</v>
          </cell>
          <cell r="B137">
            <v>0</v>
          </cell>
        </row>
        <row r="138">
          <cell r="A138" t="str">
            <v>SLCE3</v>
          </cell>
          <cell r="B138">
            <v>0</v>
          </cell>
        </row>
        <row r="139">
          <cell r="A139" t="str">
            <v>SANB4</v>
          </cell>
          <cell r="B139">
            <v>0</v>
          </cell>
        </row>
        <row r="140">
          <cell r="A140" t="str">
            <v>RAPT4</v>
          </cell>
          <cell r="B140">
            <v>0</v>
          </cell>
        </row>
        <row r="141">
          <cell r="A141" t="str">
            <v>SANB3</v>
          </cell>
          <cell r="B141">
            <v>0</v>
          </cell>
        </row>
        <row r="142">
          <cell r="A142" t="str">
            <v>DXCO3</v>
          </cell>
          <cell r="B142">
            <v>0</v>
          </cell>
        </row>
        <row r="143">
          <cell r="A143" t="str">
            <v>QUAL3</v>
          </cell>
          <cell r="B143">
            <v>0</v>
          </cell>
        </row>
        <row r="144">
          <cell r="A144" t="str">
            <v>KLBN11</v>
          </cell>
          <cell r="B144">
            <v>0</v>
          </cell>
        </row>
        <row r="145">
          <cell r="A145" t="str">
            <v>MOTV3</v>
          </cell>
          <cell r="B145">
            <v>0</v>
          </cell>
        </row>
        <row r="146">
          <cell r="A146" t="str">
            <v>KEPL3</v>
          </cell>
          <cell r="B146">
            <v>0</v>
          </cell>
        </row>
        <row r="147">
          <cell r="A147" t="str">
            <v>ENGI11</v>
          </cell>
          <cell r="B147">
            <v>0</v>
          </cell>
        </row>
        <row r="148">
          <cell r="A148" t="str">
            <v>MBRF3</v>
          </cell>
          <cell r="B148">
            <v>0</v>
          </cell>
        </row>
        <row r="149">
          <cell r="A149" t="str">
            <v>SANB11</v>
          </cell>
          <cell r="B149">
            <v>0</v>
          </cell>
        </row>
        <row r="150">
          <cell r="A150" t="str">
            <v>BBAS3</v>
          </cell>
          <cell r="B150">
            <v>0</v>
          </cell>
        </row>
        <row r="151">
          <cell r="A151" t="str">
            <v>CMIN3</v>
          </cell>
          <cell r="B151">
            <v>0</v>
          </cell>
        </row>
        <row r="152">
          <cell r="A152" t="str">
            <v>BIOM3</v>
          </cell>
          <cell r="B152">
            <v>0</v>
          </cell>
        </row>
        <row r="153">
          <cell r="A153" t="str">
            <v>YDUQ3</v>
          </cell>
          <cell r="B153">
            <v>0</v>
          </cell>
        </row>
        <row r="154">
          <cell r="A154" t="str">
            <v>ROMI3</v>
          </cell>
          <cell r="B154">
            <v>0</v>
          </cell>
        </row>
        <row r="155">
          <cell r="A155" t="str">
            <v>MOVI3</v>
          </cell>
          <cell r="B155">
            <v>0</v>
          </cell>
        </row>
        <row r="156">
          <cell r="A156" t="str">
            <v>FRAS3</v>
          </cell>
          <cell r="B156">
            <v>0</v>
          </cell>
        </row>
        <row r="157">
          <cell r="A157" t="str">
            <v>SBSP3</v>
          </cell>
          <cell r="B157">
            <v>0</v>
          </cell>
        </row>
        <row r="158">
          <cell r="A158" t="str">
            <v>RAIL3</v>
          </cell>
          <cell r="B158">
            <v>0</v>
          </cell>
        </row>
        <row r="159">
          <cell r="A159" t="str">
            <v>SUZB3</v>
          </cell>
          <cell r="B159">
            <v>0</v>
          </cell>
        </row>
        <row r="160">
          <cell r="A160" t="str">
            <v>PRIO3</v>
          </cell>
          <cell r="B160">
            <v>0</v>
          </cell>
        </row>
        <row r="161">
          <cell r="A161" t="str">
            <v>XPBR31</v>
          </cell>
          <cell r="B161">
            <v>0</v>
          </cell>
        </row>
        <row r="162">
          <cell r="A162" t="str">
            <v>AURE3</v>
          </cell>
          <cell r="B162">
            <v>0</v>
          </cell>
        </row>
        <row r="163">
          <cell r="A163" t="str">
            <v>EQTL3</v>
          </cell>
          <cell r="B163">
            <v>0</v>
          </cell>
        </row>
        <row r="164">
          <cell r="A164" t="str">
            <v>BRST3</v>
          </cell>
          <cell r="B164">
            <v>0</v>
          </cell>
        </row>
        <row r="165">
          <cell r="A165" t="str">
            <v>VITT3</v>
          </cell>
          <cell r="B165">
            <v>0</v>
          </cell>
        </row>
        <row r="166">
          <cell r="A166" t="str">
            <v>RENT3</v>
          </cell>
          <cell r="B166">
            <v>0</v>
          </cell>
        </row>
        <row r="167">
          <cell r="A167" t="str">
            <v>BEEF3</v>
          </cell>
          <cell r="B167">
            <v>0</v>
          </cell>
        </row>
        <row r="168">
          <cell r="A168" t="str">
            <v>NATU3</v>
          </cell>
          <cell r="B168">
            <v>0</v>
          </cell>
        </row>
        <row r="169">
          <cell r="A169" t="str">
            <v>ECOR3</v>
          </cell>
          <cell r="B169">
            <v>0</v>
          </cell>
        </row>
        <row r="170">
          <cell r="A170" t="str">
            <v>JBSS32</v>
          </cell>
          <cell r="B170">
            <v>0</v>
          </cell>
        </row>
        <row r="171">
          <cell r="A171" t="str">
            <v>CYRE3</v>
          </cell>
          <cell r="B171">
            <v>0</v>
          </cell>
        </row>
        <row r="172">
          <cell r="A172" t="str">
            <v>ASAI3</v>
          </cell>
          <cell r="B172">
            <v>0</v>
          </cell>
        </row>
        <row r="173">
          <cell r="A173" t="str">
            <v>TASA4</v>
          </cell>
          <cell r="B173">
            <v>0</v>
          </cell>
        </row>
        <row r="174">
          <cell r="A174" t="str">
            <v>STOC34</v>
          </cell>
          <cell r="B174">
            <v>0</v>
          </cell>
        </row>
        <row r="175">
          <cell r="A175" t="str">
            <v>CEAB3</v>
          </cell>
          <cell r="B175">
            <v>0</v>
          </cell>
        </row>
        <row r="176">
          <cell r="A176" t="str">
            <v>RADL3</v>
          </cell>
          <cell r="B176">
            <v>0</v>
          </cell>
        </row>
        <row r="177">
          <cell r="A177" t="str">
            <v>RDOR3</v>
          </cell>
          <cell r="B177">
            <v>0</v>
          </cell>
        </row>
        <row r="178">
          <cell r="A178" t="str">
            <v>CYRE4</v>
          </cell>
          <cell r="B178">
            <v>0</v>
          </cell>
        </row>
        <row r="179">
          <cell r="A179" t="str">
            <v>TUPY3</v>
          </cell>
          <cell r="B179">
            <v>0</v>
          </cell>
        </row>
        <row r="180">
          <cell r="A180" t="str">
            <v>SBFG3</v>
          </cell>
          <cell r="B180">
            <v>0</v>
          </cell>
        </row>
        <row r="181">
          <cell r="A181" t="str">
            <v>RENT4</v>
          </cell>
          <cell r="B181">
            <v>0</v>
          </cell>
        </row>
        <row r="182">
          <cell r="A182" t="str">
            <v>VAMO3</v>
          </cell>
          <cell r="B182">
            <v>0</v>
          </cell>
        </row>
        <row r="183">
          <cell r="A183" t="str">
            <v>AMBP3</v>
          </cell>
          <cell r="B183">
            <v>0</v>
          </cell>
        </row>
        <row r="184">
          <cell r="A184" t="str">
            <v>TTEN3</v>
          </cell>
          <cell r="B184">
            <v>0</v>
          </cell>
        </row>
        <row r="185">
          <cell r="A185" t="str">
            <v>GMAT3</v>
          </cell>
          <cell r="B185">
            <v>0</v>
          </cell>
        </row>
        <row r="186">
          <cell r="A186" t="str">
            <v>MGLU3</v>
          </cell>
          <cell r="B186">
            <v>0</v>
          </cell>
        </row>
        <row r="187">
          <cell r="A187" t="str">
            <v>PRNR3</v>
          </cell>
          <cell r="B187">
            <v>0</v>
          </cell>
        </row>
        <row r="188">
          <cell r="A188" t="str">
            <v>AGRO3</v>
          </cell>
          <cell r="B188">
            <v>0</v>
          </cell>
        </row>
        <row r="189">
          <cell r="A189" t="str">
            <v>HBOR3</v>
          </cell>
          <cell r="B189">
            <v>0</v>
          </cell>
        </row>
        <row r="190">
          <cell r="A190" t="str">
            <v>GGPS3</v>
          </cell>
          <cell r="B190">
            <v>0</v>
          </cell>
        </row>
        <row r="191">
          <cell r="A191" t="str">
            <v>SOJA3</v>
          </cell>
          <cell r="B191">
            <v>0</v>
          </cell>
        </row>
        <row r="192">
          <cell r="A192" t="str">
            <v>DASA3</v>
          </cell>
          <cell r="B192">
            <v>0</v>
          </cell>
        </row>
        <row r="193">
          <cell r="A193" t="str">
            <v>SMFT3</v>
          </cell>
          <cell r="B193">
            <v>0</v>
          </cell>
        </row>
        <row r="194">
          <cell r="A194" t="str">
            <v>VIVA3</v>
          </cell>
          <cell r="B194">
            <v>0</v>
          </cell>
        </row>
        <row r="195">
          <cell r="A195" t="str">
            <v>INBR32</v>
          </cell>
          <cell r="B195">
            <v>0</v>
          </cell>
        </row>
        <row r="196">
          <cell r="A196" t="str">
            <v>MRVE3</v>
          </cell>
          <cell r="B196">
            <v>0</v>
          </cell>
        </row>
        <row r="197">
          <cell r="A197" t="str">
            <v>HBSA3</v>
          </cell>
          <cell r="B197">
            <v>0</v>
          </cell>
        </row>
        <row r="198">
          <cell r="A198" t="str">
            <v>ROXO34</v>
          </cell>
          <cell r="B198">
            <v>0</v>
          </cell>
        </row>
        <row r="199">
          <cell r="A199" t="str">
            <v>CSAN3</v>
          </cell>
          <cell r="B199">
            <v>0</v>
          </cell>
        </row>
        <row r="200">
          <cell r="A200" t="str">
            <v>CSNA3</v>
          </cell>
          <cell r="B200">
            <v>0</v>
          </cell>
        </row>
        <row r="201">
          <cell r="A201" t="str">
            <v>PLPL3</v>
          </cell>
          <cell r="B201">
            <v>0</v>
          </cell>
        </row>
        <row r="202">
          <cell r="A202" t="str">
            <v>EMBJ3</v>
          </cell>
          <cell r="B202">
            <v>0</v>
          </cell>
        </row>
        <row r="203">
          <cell r="A203" t="str">
            <v>TOTS3</v>
          </cell>
          <cell r="B203">
            <v>0</v>
          </cell>
        </row>
        <row r="204">
          <cell r="A204" t="str">
            <v>S2GM34</v>
          </cell>
          <cell r="B204">
            <v>0</v>
          </cell>
        </row>
        <row r="205">
          <cell r="A205" t="str">
            <v>SIMH3</v>
          </cell>
          <cell r="B205">
            <v>0</v>
          </cell>
        </row>
        <row r="206">
          <cell r="A206" t="str">
            <v>HAPV3</v>
          </cell>
          <cell r="B206">
            <v>0</v>
          </cell>
        </row>
        <row r="207">
          <cell r="A207" t="str">
            <v>LJQQ3</v>
          </cell>
          <cell r="B207">
            <v>0</v>
          </cell>
        </row>
        <row r="208">
          <cell r="A208" t="str">
            <v>RAIZ4</v>
          </cell>
          <cell r="B208">
            <v>0</v>
          </cell>
        </row>
        <row r="209">
          <cell r="A209" t="str">
            <v>BHIA3</v>
          </cell>
          <cell r="B209">
            <v>0</v>
          </cell>
        </row>
        <row r="210">
          <cell r="A210" t="str">
            <v>OBTC3</v>
          </cell>
          <cell r="B210">
            <v>0</v>
          </cell>
        </row>
        <row r="211">
          <cell r="A211" t="str">
            <v>PTBL3</v>
          </cell>
          <cell r="B211">
            <v>0</v>
          </cell>
        </row>
        <row r="212">
          <cell r="A212" t="str">
            <v>CVCB3</v>
          </cell>
          <cell r="B212">
            <v>0</v>
          </cell>
        </row>
        <row r="213">
          <cell r="A213" t="str">
            <v>BRKM5</v>
          </cell>
          <cell r="B213">
            <v>0</v>
          </cell>
        </row>
        <row r="214">
          <cell r="A214" t="str">
            <v>RCSL4</v>
          </cell>
          <cell r="B214">
            <v>0</v>
          </cell>
        </row>
        <row r="215">
          <cell r="A215" t="str">
            <v>PCAR3</v>
          </cell>
          <cell r="B215">
            <v>0</v>
          </cell>
        </row>
        <row r="216">
          <cell r="A216" t="str">
            <v>GFSA3</v>
          </cell>
          <cell r="B216">
            <v>0</v>
          </cell>
        </row>
        <row r="217">
          <cell r="A217" t="str">
            <v>CASH3</v>
          </cell>
          <cell r="B217">
            <v>0</v>
          </cell>
        </row>
        <row r="218">
          <cell r="A218" t="str">
            <v>ONCO3</v>
          </cell>
          <cell r="B218">
            <v>0</v>
          </cell>
        </row>
        <row r="219">
          <cell r="A219" t="str">
            <v>PMAM3</v>
          </cell>
          <cell r="B219">
            <v>0</v>
          </cell>
        </row>
      </sheetData>
      <sheetData sheetId="2">
        <row r="9">
          <cell r="A9" t="str">
            <v>WIZC3</v>
          </cell>
          <cell r="B9">
            <v>1.2E-2</v>
          </cell>
        </row>
        <row r="10">
          <cell r="A10" t="str">
            <v>BMGB4</v>
          </cell>
          <cell r="B10">
            <v>1.2E-2</v>
          </cell>
        </row>
        <row r="11">
          <cell r="A11" t="str">
            <v>LOGG3</v>
          </cell>
          <cell r="B11">
            <v>0.01</v>
          </cell>
        </row>
        <row r="12">
          <cell r="A12" t="str">
            <v>FIQE3</v>
          </cell>
          <cell r="B12">
            <v>8.9999999999999993E-3</v>
          </cell>
        </row>
        <row r="13">
          <cell r="A13" t="str">
            <v>JHSF3</v>
          </cell>
          <cell r="B13">
            <v>1.2500000000000001E-2</v>
          </cell>
        </row>
        <row r="14">
          <cell r="A14" t="str">
            <v>ALLD3</v>
          </cell>
          <cell r="B14">
            <v>0.01</v>
          </cell>
        </row>
        <row r="15">
          <cell r="A15" t="str">
            <v>RIAA3</v>
          </cell>
          <cell r="B15">
            <v>8.0000000000000002E-3</v>
          </cell>
        </row>
        <row r="16">
          <cell r="A16" t="str">
            <v>GRND3</v>
          </cell>
          <cell r="B16">
            <v>1.2E-2</v>
          </cell>
        </row>
        <row r="17">
          <cell r="A17" t="str">
            <v>HBRE3</v>
          </cell>
          <cell r="B17">
            <v>7.0000000000000001E-3</v>
          </cell>
        </row>
        <row r="18">
          <cell r="A18" t="str">
            <v>POMO3</v>
          </cell>
          <cell r="B18">
            <v>0.01</v>
          </cell>
        </row>
        <row r="19">
          <cell r="A19" t="str">
            <v>MTRE3</v>
          </cell>
          <cell r="B19">
            <v>1.4999999999999999E-2</v>
          </cell>
        </row>
        <row r="20">
          <cell r="A20" t="str">
            <v>MLAS3</v>
          </cell>
          <cell r="B20">
            <v>5.0000000000000001E-3</v>
          </cell>
        </row>
        <row r="21">
          <cell r="A21" t="str">
            <v>BRAP3</v>
          </cell>
          <cell r="B21">
            <v>0</v>
          </cell>
        </row>
        <row r="22">
          <cell r="A22" t="str">
            <v>SYNE3</v>
          </cell>
          <cell r="B22">
            <v>8.9999999999999993E-3</v>
          </cell>
        </row>
        <row r="23">
          <cell r="A23" t="str">
            <v>BRSR6</v>
          </cell>
          <cell r="B23">
            <v>1.2E-2</v>
          </cell>
        </row>
        <row r="24">
          <cell r="A24" t="str">
            <v>MILS3</v>
          </cell>
          <cell r="B24">
            <v>1.2999999999999999E-2</v>
          </cell>
        </row>
        <row r="25">
          <cell r="A25" t="str">
            <v>AURA33</v>
          </cell>
          <cell r="B25">
            <v>5.0000000000000001E-3</v>
          </cell>
        </row>
        <row r="26">
          <cell r="A26" t="str">
            <v>BRAP4</v>
          </cell>
          <cell r="B26">
            <v>4.4999999999999998E-2</v>
          </cell>
        </row>
        <row r="27">
          <cell r="A27" t="str">
            <v>INTB3</v>
          </cell>
          <cell r="B27">
            <v>8.0000000000000002E-3</v>
          </cell>
        </row>
        <row r="28">
          <cell r="A28" t="str">
            <v>SEER3</v>
          </cell>
          <cell r="B28">
            <v>5.0000000000000001E-3</v>
          </cell>
        </row>
        <row r="29">
          <cell r="A29" t="str">
            <v>PETR4</v>
          </cell>
          <cell r="B29">
            <v>0.05</v>
          </cell>
        </row>
        <row r="30">
          <cell r="A30" t="str">
            <v>PINE4</v>
          </cell>
          <cell r="B30">
            <v>0.01</v>
          </cell>
        </row>
        <row r="31">
          <cell r="A31" t="str">
            <v>POMO4</v>
          </cell>
          <cell r="B31">
            <v>0.01</v>
          </cell>
        </row>
        <row r="32">
          <cell r="A32" t="str">
            <v>PETR3</v>
          </cell>
          <cell r="B32">
            <v>4.4999999999999998E-2</v>
          </cell>
        </row>
        <row r="33">
          <cell r="A33" t="str">
            <v>CSED3</v>
          </cell>
          <cell r="B33">
            <v>6.0000000000000001E-3</v>
          </cell>
        </row>
        <row r="34">
          <cell r="A34" t="str">
            <v>OPCT3</v>
          </cell>
          <cell r="B34">
            <v>1.2E-2</v>
          </cell>
        </row>
        <row r="35">
          <cell r="A35" t="str">
            <v>ESPA3</v>
          </cell>
          <cell r="B35">
            <v>5.0000000000000001E-3</v>
          </cell>
        </row>
        <row r="36">
          <cell r="A36" t="str">
            <v>VTRU3</v>
          </cell>
          <cell r="B36">
            <v>6.0000000000000001E-3</v>
          </cell>
        </row>
        <row r="37">
          <cell r="A37" t="str">
            <v>ITSA3</v>
          </cell>
          <cell r="B37">
            <v>0</v>
          </cell>
        </row>
        <row r="38">
          <cell r="A38" t="str">
            <v>ABCB4</v>
          </cell>
          <cell r="B38">
            <v>1.6E-2</v>
          </cell>
        </row>
        <row r="39">
          <cell r="A39" t="str">
            <v>MELK3</v>
          </cell>
          <cell r="B39">
            <v>1.2999999999999999E-2</v>
          </cell>
        </row>
        <row r="40">
          <cell r="A40" t="str">
            <v>BMOB3</v>
          </cell>
          <cell r="B40">
            <v>1.2E-2</v>
          </cell>
        </row>
        <row r="41">
          <cell r="A41" t="str">
            <v>LEVE3</v>
          </cell>
          <cell r="B41">
            <v>1.2999999999999999E-2</v>
          </cell>
        </row>
        <row r="42">
          <cell r="A42" t="str">
            <v>EUCA4</v>
          </cell>
          <cell r="B42">
            <v>0.01</v>
          </cell>
        </row>
        <row r="43">
          <cell r="A43" t="str">
            <v>CSUD3</v>
          </cell>
          <cell r="B43">
            <v>1.2999999999999999E-2</v>
          </cell>
        </row>
        <row r="44">
          <cell r="A44" t="str">
            <v>PNVL3</v>
          </cell>
          <cell r="B44">
            <v>8.9999999999999993E-3</v>
          </cell>
        </row>
        <row r="45">
          <cell r="A45" t="str">
            <v>SAPR3</v>
          </cell>
          <cell r="B45">
            <v>0</v>
          </cell>
        </row>
        <row r="46">
          <cell r="A46" t="str">
            <v>MDNE3</v>
          </cell>
          <cell r="B46">
            <v>6.0000000000000001E-3</v>
          </cell>
        </row>
        <row r="47">
          <cell r="A47" t="str">
            <v>SHUL4</v>
          </cell>
          <cell r="B47">
            <v>1.2999999999999999E-2</v>
          </cell>
        </row>
        <row r="48">
          <cell r="A48" t="str">
            <v>POSI3</v>
          </cell>
          <cell r="B48">
            <v>1.0999999999999999E-2</v>
          </cell>
        </row>
        <row r="49">
          <cell r="A49" t="str">
            <v>PFRM3</v>
          </cell>
          <cell r="B49">
            <v>8.9999999999999993E-3</v>
          </cell>
        </row>
        <row r="50">
          <cell r="A50" t="str">
            <v>GOAU4</v>
          </cell>
          <cell r="B50">
            <v>1.6E-2</v>
          </cell>
        </row>
        <row r="51">
          <cell r="A51" t="str">
            <v>ITSA4</v>
          </cell>
          <cell r="B51">
            <v>3.4000000000000002E-2</v>
          </cell>
        </row>
        <row r="52">
          <cell r="A52" t="str">
            <v>ALPA4</v>
          </cell>
          <cell r="B52">
            <v>8.9999999999999993E-3</v>
          </cell>
        </row>
        <row r="53">
          <cell r="A53" t="str">
            <v>SAPR4</v>
          </cell>
          <cell r="B53">
            <v>1.2500000000000001E-2</v>
          </cell>
        </row>
        <row r="54">
          <cell r="A54" t="str">
            <v>TIMS3</v>
          </cell>
          <cell r="B54">
            <v>0.03</v>
          </cell>
        </row>
        <row r="55">
          <cell r="A55" t="str">
            <v>BBSE3</v>
          </cell>
          <cell r="B55">
            <v>3.2000000000000001E-2</v>
          </cell>
        </row>
        <row r="56">
          <cell r="A56" t="str">
            <v>EZTC3</v>
          </cell>
          <cell r="B56">
            <v>8.9999999999999993E-3</v>
          </cell>
        </row>
        <row r="57">
          <cell r="A57" t="str">
            <v>IGTI11</v>
          </cell>
          <cell r="B57">
            <v>1.2E-2</v>
          </cell>
        </row>
        <row r="58">
          <cell r="A58" t="str">
            <v>PSSA3</v>
          </cell>
          <cell r="B58">
            <v>1.2999999999999999E-2</v>
          </cell>
        </row>
        <row r="59">
          <cell r="A59" t="str">
            <v>BMEB4</v>
          </cell>
          <cell r="B59">
            <v>7.0000000000000001E-3</v>
          </cell>
        </row>
        <row r="60">
          <cell r="A60" t="str">
            <v>JSLG3</v>
          </cell>
          <cell r="B60">
            <v>4.0000000000000001E-3</v>
          </cell>
        </row>
        <row r="61">
          <cell r="A61" t="str">
            <v>SAPR11</v>
          </cell>
          <cell r="B61">
            <v>1.2500000000000001E-2</v>
          </cell>
        </row>
        <row r="62">
          <cell r="A62" t="str">
            <v>CURY3</v>
          </cell>
          <cell r="B62">
            <v>8.0000000000000002E-3</v>
          </cell>
        </row>
        <row r="63">
          <cell r="A63" t="str">
            <v>AXIA6</v>
          </cell>
          <cell r="B63">
            <v>2.2499999999999999E-2</v>
          </cell>
        </row>
        <row r="64">
          <cell r="A64" t="str">
            <v>ALOS3</v>
          </cell>
          <cell r="B64">
            <v>1.4E-2</v>
          </cell>
        </row>
        <row r="65">
          <cell r="A65" t="str">
            <v>RECV3</v>
          </cell>
          <cell r="B65">
            <v>1.6E-2</v>
          </cell>
        </row>
        <row r="66">
          <cell r="A66" t="str">
            <v>JALL3</v>
          </cell>
          <cell r="B66">
            <v>1.2999999999999999E-2</v>
          </cell>
        </row>
        <row r="67">
          <cell r="A67" t="str">
            <v>B3SA3</v>
          </cell>
          <cell r="B67">
            <v>1.2E-2</v>
          </cell>
        </row>
        <row r="68">
          <cell r="A68" t="str">
            <v>VBBR3</v>
          </cell>
          <cell r="B68">
            <v>2.1000000000000001E-2</v>
          </cell>
        </row>
        <row r="69">
          <cell r="A69" t="str">
            <v>UGPA3</v>
          </cell>
          <cell r="B69">
            <v>1.7999999999999999E-2</v>
          </cell>
        </row>
        <row r="70">
          <cell r="A70" t="str">
            <v>TEND3</v>
          </cell>
          <cell r="B70">
            <v>8.0000000000000002E-3</v>
          </cell>
        </row>
        <row r="71">
          <cell r="A71" t="str">
            <v>CXSE3</v>
          </cell>
          <cell r="B71">
            <v>2.1999999999999999E-2</v>
          </cell>
        </row>
        <row r="72">
          <cell r="A72" t="str">
            <v>VIVT3</v>
          </cell>
          <cell r="B72">
            <v>1.4999999999999999E-2</v>
          </cell>
        </row>
        <row r="73">
          <cell r="A73" t="str">
            <v>VULC3</v>
          </cell>
          <cell r="B73">
            <v>1.2999999999999999E-2</v>
          </cell>
        </row>
        <row r="74">
          <cell r="A74" t="str">
            <v>TRIS3</v>
          </cell>
          <cell r="B74">
            <v>5.0000000000000001E-3</v>
          </cell>
        </row>
        <row r="75">
          <cell r="A75" t="str">
            <v>CMIG3</v>
          </cell>
          <cell r="B75">
            <v>2.5000000000000001E-2</v>
          </cell>
        </row>
        <row r="76">
          <cell r="A76" t="str">
            <v>ITUB3</v>
          </cell>
          <cell r="B76">
            <v>2.5000000000000001E-2</v>
          </cell>
        </row>
        <row r="77">
          <cell r="A77" t="str">
            <v>SAUD3</v>
          </cell>
          <cell r="B77">
            <v>1.2999999999999999E-2</v>
          </cell>
        </row>
        <row r="78">
          <cell r="A78" t="str">
            <v>PAGS34</v>
          </cell>
          <cell r="B78">
            <v>0</v>
          </cell>
        </row>
        <row r="79">
          <cell r="A79" t="str">
            <v>BLAU3</v>
          </cell>
          <cell r="B79">
            <v>0</v>
          </cell>
        </row>
        <row r="80">
          <cell r="A80" t="str">
            <v>USIM3</v>
          </cell>
          <cell r="B80">
            <v>5.0000000000000001E-3</v>
          </cell>
        </row>
        <row r="81">
          <cell r="A81" t="str">
            <v>EVEN3</v>
          </cell>
          <cell r="B81">
            <v>0</v>
          </cell>
        </row>
        <row r="82">
          <cell r="A82" t="str">
            <v>VVEO3</v>
          </cell>
          <cell r="B82">
            <v>0</v>
          </cell>
        </row>
        <row r="83">
          <cell r="A83" t="str">
            <v>MYPK3</v>
          </cell>
          <cell r="B83">
            <v>0</v>
          </cell>
        </row>
        <row r="84">
          <cell r="A84" t="str">
            <v>FLRY3</v>
          </cell>
          <cell r="B84">
            <v>0</v>
          </cell>
        </row>
        <row r="85">
          <cell r="A85" t="str">
            <v>PGMN3</v>
          </cell>
          <cell r="B85">
            <v>0</v>
          </cell>
        </row>
        <row r="86">
          <cell r="A86" t="str">
            <v>AUAU3</v>
          </cell>
          <cell r="B86">
            <v>0</v>
          </cell>
        </row>
        <row r="87">
          <cell r="A87" t="str">
            <v>MULT3</v>
          </cell>
          <cell r="B87">
            <v>0</v>
          </cell>
        </row>
        <row r="88">
          <cell r="A88" t="str">
            <v>ANIM3</v>
          </cell>
          <cell r="B88">
            <v>0</v>
          </cell>
        </row>
        <row r="89">
          <cell r="A89" t="str">
            <v>TAEE4</v>
          </cell>
          <cell r="B89">
            <v>0.01</v>
          </cell>
        </row>
        <row r="90">
          <cell r="A90" t="str">
            <v>TGMA3</v>
          </cell>
          <cell r="B90">
            <v>0</v>
          </cell>
        </row>
        <row r="91">
          <cell r="A91" t="str">
            <v>MDIA3</v>
          </cell>
          <cell r="B91">
            <v>0</v>
          </cell>
        </row>
        <row r="92">
          <cell r="A92" t="str">
            <v>TAEE3</v>
          </cell>
          <cell r="B92">
            <v>0</v>
          </cell>
        </row>
        <row r="93">
          <cell r="A93" t="str">
            <v>CPLE3</v>
          </cell>
          <cell r="B93">
            <v>5.0000000000000001E-3</v>
          </cell>
        </row>
        <row r="94">
          <cell r="A94" t="str">
            <v>CMIG4</v>
          </cell>
          <cell r="B94">
            <v>0</v>
          </cell>
        </row>
        <row r="95">
          <cell r="A95" t="str">
            <v>LAVV3</v>
          </cell>
          <cell r="B95">
            <v>0</v>
          </cell>
        </row>
        <row r="96">
          <cell r="A96" t="str">
            <v>HYPE3</v>
          </cell>
          <cell r="B96">
            <v>0</v>
          </cell>
        </row>
        <row r="97">
          <cell r="A97" t="str">
            <v>AXIA3</v>
          </cell>
          <cell r="B97">
            <v>0</v>
          </cell>
        </row>
        <row r="98">
          <cell r="A98" t="str">
            <v>CAML3</v>
          </cell>
          <cell r="B98">
            <v>0</v>
          </cell>
        </row>
        <row r="99">
          <cell r="A99" t="str">
            <v>BBDC3</v>
          </cell>
          <cell r="B99">
            <v>0</v>
          </cell>
        </row>
        <row r="100">
          <cell r="A100" t="str">
            <v>ORVR3</v>
          </cell>
          <cell r="B100">
            <v>0</v>
          </cell>
        </row>
        <row r="101">
          <cell r="A101" t="str">
            <v>AMER3</v>
          </cell>
          <cell r="B101">
            <v>0</v>
          </cell>
        </row>
        <row r="102">
          <cell r="A102" t="str">
            <v>DIRR3</v>
          </cell>
          <cell r="B102">
            <v>0</v>
          </cell>
        </row>
        <row r="103">
          <cell r="A103" t="str">
            <v>FESA4</v>
          </cell>
          <cell r="B103">
            <v>0</v>
          </cell>
        </row>
        <row r="104">
          <cell r="A104" t="str">
            <v>CPFE3</v>
          </cell>
          <cell r="B104">
            <v>0</v>
          </cell>
        </row>
        <row r="105">
          <cell r="A105" t="str">
            <v>ITUB4</v>
          </cell>
          <cell r="B105">
            <v>2.5000000000000001E-2</v>
          </cell>
        </row>
        <row r="106">
          <cell r="A106" t="str">
            <v>VALE3</v>
          </cell>
          <cell r="B106">
            <v>2.5000000000000001E-2</v>
          </cell>
        </row>
        <row r="107">
          <cell r="A107" t="str">
            <v>BRBI11</v>
          </cell>
          <cell r="B107">
            <v>0</v>
          </cell>
        </row>
        <row r="108">
          <cell r="A108" t="str">
            <v>USIM5</v>
          </cell>
          <cell r="B108">
            <v>0</v>
          </cell>
        </row>
        <row r="109">
          <cell r="A109" t="str">
            <v>RANI3</v>
          </cell>
          <cell r="B109">
            <v>0</v>
          </cell>
        </row>
        <row r="110">
          <cell r="A110" t="str">
            <v>COGN3</v>
          </cell>
          <cell r="B110">
            <v>0</v>
          </cell>
        </row>
        <row r="111">
          <cell r="A111" t="str">
            <v>CSMG3</v>
          </cell>
          <cell r="B111">
            <v>0</v>
          </cell>
        </row>
        <row r="112">
          <cell r="A112" t="str">
            <v>ABEV3</v>
          </cell>
          <cell r="B112">
            <v>0</v>
          </cell>
        </row>
        <row r="113">
          <cell r="A113" t="str">
            <v>LREN3</v>
          </cell>
          <cell r="B113">
            <v>0</v>
          </cell>
        </row>
        <row r="114">
          <cell r="A114" t="str">
            <v>GGBR4</v>
          </cell>
          <cell r="B114">
            <v>0</v>
          </cell>
        </row>
        <row r="115">
          <cell r="A115" t="str">
            <v>LIGT3</v>
          </cell>
          <cell r="B115">
            <v>0</v>
          </cell>
        </row>
        <row r="116">
          <cell r="A116" t="str">
            <v>UNIP6</v>
          </cell>
          <cell r="B116">
            <v>0</v>
          </cell>
        </row>
        <row r="117">
          <cell r="A117" t="str">
            <v>ENEV3</v>
          </cell>
          <cell r="B117">
            <v>0</v>
          </cell>
        </row>
        <row r="118">
          <cell r="A118" t="str">
            <v>BBDC4</v>
          </cell>
          <cell r="B118">
            <v>0</v>
          </cell>
        </row>
        <row r="119">
          <cell r="A119" t="str">
            <v>ALUP11</v>
          </cell>
          <cell r="B119">
            <v>0</v>
          </cell>
        </row>
        <row r="120">
          <cell r="A120" t="str">
            <v>BPAC11</v>
          </cell>
          <cell r="B120">
            <v>0</v>
          </cell>
        </row>
        <row r="121">
          <cell r="A121" t="str">
            <v>CBAV3</v>
          </cell>
          <cell r="B121">
            <v>0</v>
          </cell>
        </row>
        <row r="122">
          <cell r="A122" t="str">
            <v>DESK3</v>
          </cell>
          <cell r="B122">
            <v>0</v>
          </cell>
        </row>
        <row r="123">
          <cell r="A123" t="str">
            <v>TAEE11</v>
          </cell>
          <cell r="B123">
            <v>0</v>
          </cell>
        </row>
        <row r="124">
          <cell r="A124" t="str">
            <v>LWSA3</v>
          </cell>
          <cell r="B124">
            <v>0</v>
          </cell>
        </row>
        <row r="125">
          <cell r="A125" t="str">
            <v>ISAE4</v>
          </cell>
          <cell r="B125">
            <v>0</v>
          </cell>
        </row>
        <row r="126">
          <cell r="A126" t="str">
            <v>IRBR3</v>
          </cell>
          <cell r="B126">
            <v>0</v>
          </cell>
        </row>
        <row r="127">
          <cell r="A127" t="str">
            <v>EGIE3</v>
          </cell>
          <cell r="B127">
            <v>0</v>
          </cell>
        </row>
        <row r="128">
          <cell r="A128" t="str">
            <v>SMTO3</v>
          </cell>
          <cell r="B128">
            <v>0</v>
          </cell>
        </row>
        <row r="129">
          <cell r="A129" t="str">
            <v>VLID3</v>
          </cell>
          <cell r="B129">
            <v>0</v>
          </cell>
        </row>
        <row r="130">
          <cell r="A130" t="str">
            <v>TFCO4</v>
          </cell>
          <cell r="B130">
            <v>0</v>
          </cell>
        </row>
        <row r="131">
          <cell r="A131" t="str">
            <v>BRAV3</v>
          </cell>
          <cell r="B131">
            <v>0</v>
          </cell>
        </row>
        <row r="132">
          <cell r="A132" t="str">
            <v>WEGE3</v>
          </cell>
          <cell r="B132">
            <v>0</v>
          </cell>
        </row>
        <row r="133">
          <cell r="A133" t="str">
            <v>AXIA7</v>
          </cell>
          <cell r="B133">
            <v>0</v>
          </cell>
        </row>
        <row r="134">
          <cell r="A134" t="str">
            <v>ARML3</v>
          </cell>
          <cell r="B134">
            <v>0</v>
          </cell>
        </row>
        <row r="135">
          <cell r="A135" t="str">
            <v>AZZA3</v>
          </cell>
          <cell r="B135">
            <v>0</v>
          </cell>
        </row>
        <row r="136">
          <cell r="A136" t="str">
            <v>KLBN3</v>
          </cell>
          <cell r="B136">
            <v>0</v>
          </cell>
        </row>
        <row r="137">
          <cell r="A137" t="str">
            <v>KLBN4</v>
          </cell>
          <cell r="B137">
            <v>0</v>
          </cell>
        </row>
        <row r="138">
          <cell r="A138" t="str">
            <v>SLCE3</v>
          </cell>
          <cell r="B138">
            <v>0</v>
          </cell>
        </row>
        <row r="139">
          <cell r="A139" t="str">
            <v>SANB4</v>
          </cell>
          <cell r="B139">
            <v>0</v>
          </cell>
        </row>
        <row r="140">
          <cell r="A140" t="str">
            <v>RAPT4</v>
          </cell>
          <cell r="B140">
            <v>0</v>
          </cell>
        </row>
        <row r="141">
          <cell r="A141" t="str">
            <v>SANB3</v>
          </cell>
          <cell r="B141">
            <v>0</v>
          </cell>
        </row>
        <row r="142">
          <cell r="A142" t="str">
            <v>DXCO3</v>
          </cell>
          <cell r="B142">
            <v>0</v>
          </cell>
        </row>
        <row r="143">
          <cell r="A143" t="str">
            <v>QUAL3</v>
          </cell>
          <cell r="B143">
            <v>0</v>
          </cell>
        </row>
        <row r="144">
          <cell r="A144" t="str">
            <v>KLBN11</v>
          </cell>
          <cell r="B144">
            <v>0</v>
          </cell>
        </row>
        <row r="145">
          <cell r="A145" t="str">
            <v>MOTV3</v>
          </cell>
          <cell r="B145">
            <v>0</v>
          </cell>
        </row>
        <row r="146">
          <cell r="A146" t="str">
            <v>KEPL3</v>
          </cell>
          <cell r="B146">
            <v>0</v>
          </cell>
        </row>
        <row r="147">
          <cell r="A147" t="str">
            <v>ENGI11</v>
          </cell>
          <cell r="B147">
            <v>0</v>
          </cell>
        </row>
        <row r="148">
          <cell r="A148" t="str">
            <v>MBRF3</v>
          </cell>
          <cell r="B148">
            <v>0</v>
          </cell>
        </row>
        <row r="149">
          <cell r="A149" t="str">
            <v>SANB11</v>
          </cell>
          <cell r="B149">
            <v>0</v>
          </cell>
        </row>
        <row r="150">
          <cell r="A150" t="str">
            <v>BBAS3</v>
          </cell>
          <cell r="B150">
            <v>0</v>
          </cell>
        </row>
        <row r="151">
          <cell r="A151" t="str">
            <v>CMIN3</v>
          </cell>
          <cell r="B151">
            <v>0</v>
          </cell>
        </row>
        <row r="152">
          <cell r="A152" t="str">
            <v>BIOM3</v>
          </cell>
          <cell r="B152">
            <v>0</v>
          </cell>
        </row>
        <row r="153">
          <cell r="A153" t="str">
            <v>YDUQ3</v>
          </cell>
          <cell r="B153">
            <v>0</v>
          </cell>
        </row>
        <row r="154">
          <cell r="A154" t="str">
            <v>ROMI3</v>
          </cell>
          <cell r="B154">
            <v>0</v>
          </cell>
        </row>
        <row r="155">
          <cell r="A155" t="str">
            <v>MOVI3</v>
          </cell>
          <cell r="B155">
            <v>0</v>
          </cell>
        </row>
        <row r="156">
          <cell r="A156" t="str">
            <v>FRAS3</v>
          </cell>
          <cell r="B156">
            <v>0</v>
          </cell>
        </row>
        <row r="157">
          <cell r="A157" t="str">
            <v>SBSP3</v>
          </cell>
          <cell r="B157">
            <v>0</v>
          </cell>
        </row>
        <row r="158">
          <cell r="A158" t="str">
            <v>RAIL3</v>
          </cell>
          <cell r="B158">
            <v>0</v>
          </cell>
        </row>
        <row r="159">
          <cell r="A159" t="str">
            <v>SUZB3</v>
          </cell>
          <cell r="B159">
            <v>0</v>
          </cell>
        </row>
        <row r="160">
          <cell r="A160" t="str">
            <v>PRIO3</v>
          </cell>
          <cell r="B160">
            <v>0</v>
          </cell>
        </row>
        <row r="161">
          <cell r="A161" t="str">
            <v>XPBR31</v>
          </cell>
          <cell r="B161">
            <v>0</v>
          </cell>
        </row>
        <row r="162">
          <cell r="A162" t="str">
            <v>AURE3</v>
          </cell>
          <cell r="B162">
            <v>0</v>
          </cell>
        </row>
        <row r="163">
          <cell r="A163" t="str">
            <v>EQTL3</v>
          </cell>
          <cell r="B163">
            <v>0</v>
          </cell>
        </row>
        <row r="164">
          <cell r="A164" t="str">
            <v>BRST3</v>
          </cell>
          <cell r="B164">
            <v>0</v>
          </cell>
        </row>
        <row r="165">
          <cell r="A165" t="str">
            <v>VITT3</v>
          </cell>
          <cell r="B165">
            <v>0</v>
          </cell>
        </row>
        <row r="166">
          <cell r="A166" t="str">
            <v>RENT3</v>
          </cell>
          <cell r="B166">
            <v>0</v>
          </cell>
        </row>
        <row r="167">
          <cell r="A167" t="str">
            <v>BEEF3</v>
          </cell>
          <cell r="B167">
            <v>0</v>
          </cell>
        </row>
        <row r="168">
          <cell r="A168" t="str">
            <v>NATU3</v>
          </cell>
          <cell r="B168">
            <v>0</v>
          </cell>
        </row>
        <row r="169">
          <cell r="A169" t="str">
            <v>ECOR3</v>
          </cell>
          <cell r="B169">
            <v>0</v>
          </cell>
        </row>
        <row r="170">
          <cell r="A170" t="str">
            <v>JBSS32</v>
          </cell>
          <cell r="B170">
            <v>0</v>
          </cell>
        </row>
        <row r="171">
          <cell r="A171" t="str">
            <v>CYRE3</v>
          </cell>
          <cell r="B171">
            <v>0</v>
          </cell>
        </row>
        <row r="172">
          <cell r="A172" t="str">
            <v>ASAI3</v>
          </cell>
          <cell r="B172">
            <v>0</v>
          </cell>
        </row>
        <row r="173">
          <cell r="A173" t="str">
            <v>TASA4</v>
          </cell>
          <cell r="B173">
            <v>0</v>
          </cell>
        </row>
        <row r="174">
          <cell r="A174" t="str">
            <v>STOC34</v>
          </cell>
          <cell r="B174">
            <v>0</v>
          </cell>
        </row>
        <row r="175">
          <cell r="A175" t="str">
            <v>CEAB3</v>
          </cell>
          <cell r="B175">
            <v>0</v>
          </cell>
        </row>
        <row r="176">
          <cell r="A176" t="str">
            <v>RADL3</v>
          </cell>
          <cell r="B176">
            <v>0</v>
          </cell>
        </row>
        <row r="177">
          <cell r="A177" t="str">
            <v>RDOR3</v>
          </cell>
          <cell r="B177">
            <v>0</v>
          </cell>
        </row>
        <row r="178">
          <cell r="A178" t="str">
            <v>CYRE4</v>
          </cell>
          <cell r="B178">
            <v>0</v>
          </cell>
        </row>
        <row r="179">
          <cell r="A179" t="str">
            <v>TUPY3</v>
          </cell>
          <cell r="B179">
            <v>0</v>
          </cell>
        </row>
        <row r="180">
          <cell r="A180" t="str">
            <v>SBFG3</v>
          </cell>
          <cell r="B180">
            <v>0</v>
          </cell>
        </row>
        <row r="181">
          <cell r="A181" t="str">
            <v>RENT4</v>
          </cell>
          <cell r="B181">
            <v>0</v>
          </cell>
        </row>
        <row r="182">
          <cell r="A182" t="str">
            <v>VAMO3</v>
          </cell>
          <cell r="B182">
            <v>0</v>
          </cell>
        </row>
        <row r="183">
          <cell r="A183" t="str">
            <v>AMBP3</v>
          </cell>
          <cell r="B183">
            <v>0</v>
          </cell>
        </row>
        <row r="184">
          <cell r="A184" t="str">
            <v>TTEN3</v>
          </cell>
          <cell r="B184">
            <v>0</v>
          </cell>
        </row>
        <row r="185">
          <cell r="A185" t="str">
            <v>GMAT3</v>
          </cell>
          <cell r="B185">
            <v>0</v>
          </cell>
        </row>
        <row r="186">
          <cell r="A186" t="str">
            <v>MGLU3</v>
          </cell>
          <cell r="B186">
            <v>0</v>
          </cell>
        </row>
        <row r="187">
          <cell r="A187" t="str">
            <v>PRNR3</v>
          </cell>
          <cell r="B187">
            <v>0</v>
          </cell>
        </row>
        <row r="188">
          <cell r="A188" t="str">
            <v>AGRO3</v>
          </cell>
          <cell r="B188">
            <v>0</v>
          </cell>
        </row>
        <row r="189">
          <cell r="A189" t="str">
            <v>HBOR3</v>
          </cell>
          <cell r="B189">
            <v>0</v>
          </cell>
        </row>
        <row r="190">
          <cell r="A190" t="str">
            <v>GGPS3</v>
          </cell>
          <cell r="B190">
            <v>0</v>
          </cell>
        </row>
        <row r="191">
          <cell r="A191" t="str">
            <v>SOJA3</v>
          </cell>
          <cell r="B191">
            <v>0</v>
          </cell>
        </row>
        <row r="192">
          <cell r="A192" t="str">
            <v>DASA3</v>
          </cell>
          <cell r="B192">
            <v>0</v>
          </cell>
        </row>
        <row r="193">
          <cell r="A193" t="str">
            <v>SMFT3</v>
          </cell>
          <cell r="B193">
            <v>0</v>
          </cell>
        </row>
        <row r="194">
          <cell r="A194" t="str">
            <v>VIVA3</v>
          </cell>
          <cell r="B194">
            <v>0</v>
          </cell>
        </row>
        <row r="195">
          <cell r="A195" t="str">
            <v>INBR32</v>
          </cell>
          <cell r="B195">
            <v>0</v>
          </cell>
        </row>
        <row r="196">
          <cell r="A196" t="str">
            <v>MRVE3</v>
          </cell>
          <cell r="B196">
            <v>0</v>
          </cell>
        </row>
        <row r="197">
          <cell r="A197" t="str">
            <v>HBSA3</v>
          </cell>
          <cell r="B197">
            <v>0</v>
          </cell>
        </row>
        <row r="198">
          <cell r="A198" t="str">
            <v>ROXO34</v>
          </cell>
          <cell r="B198">
            <v>0</v>
          </cell>
        </row>
        <row r="199">
          <cell r="A199" t="str">
            <v>CSAN3</v>
          </cell>
          <cell r="B199">
            <v>0</v>
          </cell>
        </row>
        <row r="200">
          <cell r="A200" t="str">
            <v>CSNA3</v>
          </cell>
          <cell r="B200">
            <v>0</v>
          </cell>
        </row>
        <row r="201">
          <cell r="A201" t="str">
            <v>PLPL3</v>
          </cell>
          <cell r="B201">
            <v>0</v>
          </cell>
        </row>
        <row r="202">
          <cell r="A202" t="str">
            <v>EMBJ3</v>
          </cell>
          <cell r="B202">
            <v>0</v>
          </cell>
        </row>
        <row r="203">
          <cell r="A203" t="str">
            <v>TOTS3</v>
          </cell>
          <cell r="B203">
            <v>0</v>
          </cell>
        </row>
        <row r="204">
          <cell r="A204" t="str">
            <v>S2GM34</v>
          </cell>
          <cell r="B204">
            <v>0</v>
          </cell>
        </row>
        <row r="205">
          <cell r="A205" t="str">
            <v>SIMH3</v>
          </cell>
          <cell r="B205">
            <v>0</v>
          </cell>
        </row>
        <row r="206">
          <cell r="A206" t="str">
            <v>HAPV3</v>
          </cell>
          <cell r="B206">
            <v>0</v>
          </cell>
        </row>
        <row r="207">
          <cell r="A207" t="str">
            <v>LJQQ3</v>
          </cell>
          <cell r="B207">
            <v>0</v>
          </cell>
        </row>
        <row r="208">
          <cell r="A208" t="str">
            <v>RAIZ4</v>
          </cell>
          <cell r="B208">
            <v>0</v>
          </cell>
        </row>
        <row r="209">
          <cell r="A209" t="str">
            <v>BHIA3</v>
          </cell>
          <cell r="B209">
            <v>0</v>
          </cell>
        </row>
        <row r="210">
          <cell r="A210" t="str">
            <v>OBTC3</v>
          </cell>
          <cell r="B210">
            <v>0</v>
          </cell>
        </row>
        <row r="211">
          <cell r="A211" t="str">
            <v>PTBL3</v>
          </cell>
          <cell r="B211">
            <v>0</v>
          </cell>
        </row>
        <row r="212">
          <cell r="A212" t="str">
            <v>CVCB3</v>
          </cell>
          <cell r="B212">
            <v>0</v>
          </cell>
        </row>
        <row r="213">
          <cell r="A213" t="str">
            <v>BRKM5</v>
          </cell>
          <cell r="B213">
            <v>0</v>
          </cell>
        </row>
        <row r="214">
          <cell r="A214" t="str">
            <v>RCSL4</v>
          </cell>
          <cell r="B214">
            <v>0</v>
          </cell>
        </row>
        <row r="215">
          <cell r="A215" t="str">
            <v>PCAR3</v>
          </cell>
          <cell r="B215">
            <v>0</v>
          </cell>
        </row>
        <row r="216">
          <cell r="A216" t="str">
            <v>GFSA3</v>
          </cell>
          <cell r="B216">
            <v>0</v>
          </cell>
        </row>
        <row r="217">
          <cell r="A217" t="str">
            <v>CASH3</v>
          </cell>
          <cell r="B217">
            <v>0</v>
          </cell>
        </row>
        <row r="218">
          <cell r="A218" t="str">
            <v>ONCO3</v>
          </cell>
          <cell r="B218">
            <v>0</v>
          </cell>
        </row>
        <row r="219">
          <cell r="A219" t="str">
            <v>PMAM3</v>
          </cell>
          <cell r="B219">
            <v>0</v>
          </cell>
        </row>
      </sheetData>
      <sheetData sheetId="3">
        <row r="9">
          <cell r="A9" t="str">
            <v>JHSF3</v>
          </cell>
          <cell r="B9">
            <v>5.0000000000000001E-3</v>
          </cell>
        </row>
        <row r="10">
          <cell r="A10" t="str">
            <v>LOGG3</v>
          </cell>
          <cell r="B10">
            <v>0</v>
          </cell>
        </row>
        <row r="11">
          <cell r="A11" t="str">
            <v>WIZC3</v>
          </cell>
          <cell r="B11">
            <v>0</v>
          </cell>
        </row>
        <row r="12">
          <cell r="A12" t="str">
            <v>BMGB4</v>
          </cell>
          <cell r="B12">
            <v>0</v>
          </cell>
        </row>
        <row r="13">
          <cell r="A13" t="str">
            <v>ALLD3</v>
          </cell>
          <cell r="B13">
            <v>0</v>
          </cell>
        </row>
        <row r="14">
          <cell r="A14" t="str">
            <v>FIQE3</v>
          </cell>
          <cell r="B14">
            <v>0</v>
          </cell>
        </row>
        <row r="15">
          <cell r="A15" t="str">
            <v>RIAA3</v>
          </cell>
          <cell r="B15">
            <v>1.6E-2</v>
          </cell>
        </row>
        <row r="16">
          <cell r="A16" t="str">
            <v>GRND3</v>
          </cell>
          <cell r="B16">
            <v>5.0000000000000001E-3</v>
          </cell>
        </row>
        <row r="17">
          <cell r="A17" t="str">
            <v>HBRE3</v>
          </cell>
          <cell r="B17">
            <v>0</v>
          </cell>
        </row>
        <row r="18">
          <cell r="A18" t="str">
            <v>POMO3</v>
          </cell>
          <cell r="B18">
            <v>0</v>
          </cell>
        </row>
        <row r="19">
          <cell r="A19" t="str">
            <v>MTRE3</v>
          </cell>
          <cell r="B19">
            <v>3.4000000000000002E-2</v>
          </cell>
        </row>
        <row r="20">
          <cell r="A20" t="str">
            <v>MLAS3</v>
          </cell>
          <cell r="B20">
            <v>0</v>
          </cell>
        </row>
        <row r="21">
          <cell r="A21" t="str">
            <v>BRAP3</v>
          </cell>
          <cell r="B21">
            <v>0</v>
          </cell>
        </row>
        <row r="22">
          <cell r="A22" t="str">
            <v>SYNE3</v>
          </cell>
          <cell r="B22">
            <v>0</v>
          </cell>
        </row>
        <row r="23">
          <cell r="A23" t="str">
            <v>BRSR6</v>
          </cell>
          <cell r="B23">
            <v>5.0000000000000001E-3</v>
          </cell>
        </row>
        <row r="24">
          <cell r="A24" t="str">
            <v>MILS3</v>
          </cell>
          <cell r="B24">
            <v>2.7E-2</v>
          </cell>
        </row>
        <row r="25">
          <cell r="A25" t="str">
            <v>AURA33</v>
          </cell>
          <cell r="B25">
            <v>0</v>
          </cell>
        </row>
        <row r="26">
          <cell r="A26" t="str">
            <v>BRAP4</v>
          </cell>
          <cell r="B26">
            <v>0</v>
          </cell>
        </row>
        <row r="27">
          <cell r="A27" t="str">
            <v>INTB3</v>
          </cell>
          <cell r="B27">
            <v>5.0000000000000001E-3</v>
          </cell>
        </row>
        <row r="28">
          <cell r="A28" t="str">
            <v>SEER3</v>
          </cell>
          <cell r="B28">
            <v>0</v>
          </cell>
        </row>
        <row r="29">
          <cell r="A29" t="str">
            <v>PETR4</v>
          </cell>
          <cell r="B29">
            <v>0</v>
          </cell>
        </row>
        <row r="30">
          <cell r="A30" t="str">
            <v>PINE4</v>
          </cell>
          <cell r="B30">
            <v>0</v>
          </cell>
        </row>
        <row r="31">
          <cell r="A31" t="str">
            <v>POMO4</v>
          </cell>
          <cell r="B31">
            <v>5.0000000000000001E-3</v>
          </cell>
        </row>
        <row r="32">
          <cell r="A32" t="str">
            <v>PETR3</v>
          </cell>
          <cell r="B32">
            <v>0</v>
          </cell>
        </row>
        <row r="33">
          <cell r="A33" t="str">
            <v>CSED3</v>
          </cell>
          <cell r="B33">
            <v>0</v>
          </cell>
        </row>
        <row r="34">
          <cell r="A34" t="str">
            <v>OPCT3</v>
          </cell>
          <cell r="B34">
            <v>2.5000000000000001E-2</v>
          </cell>
        </row>
        <row r="35">
          <cell r="A35" t="str">
            <v>ESPA3</v>
          </cell>
          <cell r="B35">
            <v>0</v>
          </cell>
        </row>
        <row r="36">
          <cell r="A36" t="str">
            <v>VTRU3</v>
          </cell>
          <cell r="B36">
            <v>0</v>
          </cell>
        </row>
        <row r="37">
          <cell r="A37" t="str">
            <v>ITSA3</v>
          </cell>
          <cell r="B37">
            <v>0</v>
          </cell>
        </row>
        <row r="38">
          <cell r="A38" t="str">
            <v>ABCB4</v>
          </cell>
          <cell r="B38">
            <v>5.0000000000000001E-3</v>
          </cell>
        </row>
        <row r="39">
          <cell r="A39" t="str">
            <v>MELK3</v>
          </cell>
          <cell r="B39">
            <v>0</v>
          </cell>
        </row>
        <row r="40">
          <cell r="A40" t="str">
            <v>BMOB3</v>
          </cell>
          <cell r="B40">
            <v>0</v>
          </cell>
        </row>
        <row r="41">
          <cell r="A41" t="str">
            <v>LEVE3</v>
          </cell>
          <cell r="B41">
            <v>5.0000000000000001E-3</v>
          </cell>
        </row>
        <row r="42">
          <cell r="A42" t="str">
            <v>EUCA4</v>
          </cell>
          <cell r="B42">
            <v>0</v>
          </cell>
        </row>
        <row r="43">
          <cell r="A43" t="str">
            <v>CSUD3</v>
          </cell>
          <cell r="B43">
            <v>0</v>
          </cell>
        </row>
        <row r="44">
          <cell r="A44" t="str">
            <v>PNVL3</v>
          </cell>
          <cell r="B44">
            <v>0</v>
          </cell>
        </row>
        <row r="45">
          <cell r="A45" t="str">
            <v>SAPR3</v>
          </cell>
          <cell r="B45">
            <v>0</v>
          </cell>
        </row>
        <row r="46">
          <cell r="A46" t="str">
            <v>MDNE3</v>
          </cell>
          <cell r="B46">
            <v>0</v>
          </cell>
        </row>
        <row r="47">
          <cell r="A47" t="str">
            <v>SHUL4</v>
          </cell>
          <cell r="B47">
            <v>0</v>
          </cell>
        </row>
        <row r="48">
          <cell r="A48" t="str">
            <v>POSI3</v>
          </cell>
          <cell r="B48">
            <v>0</v>
          </cell>
        </row>
        <row r="49">
          <cell r="A49" t="str">
            <v>PFRM3</v>
          </cell>
          <cell r="B49">
            <v>0</v>
          </cell>
        </row>
        <row r="50">
          <cell r="A50" t="str">
            <v>GOAU4</v>
          </cell>
          <cell r="B50">
            <v>0</v>
          </cell>
        </row>
        <row r="51">
          <cell r="A51" t="str">
            <v>ITSA4</v>
          </cell>
          <cell r="B51">
            <v>5.5E-2</v>
          </cell>
        </row>
        <row r="52">
          <cell r="A52" t="str">
            <v>ALPA4</v>
          </cell>
          <cell r="B52">
            <v>0</v>
          </cell>
        </row>
        <row r="53">
          <cell r="A53" t="str">
            <v>SAPR4</v>
          </cell>
          <cell r="B53">
            <v>0</v>
          </cell>
        </row>
        <row r="54">
          <cell r="A54" t="str">
            <v>TIMS3</v>
          </cell>
          <cell r="B54">
            <v>3.2000000000000001E-2</v>
          </cell>
        </row>
        <row r="55">
          <cell r="A55" t="str">
            <v>BBSE3</v>
          </cell>
          <cell r="B55">
            <v>0</v>
          </cell>
        </row>
        <row r="56">
          <cell r="A56" t="str">
            <v>EZTC3</v>
          </cell>
          <cell r="B56">
            <v>0</v>
          </cell>
        </row>
        <row r="57">
          <cell r="A57" t="str">
            <v>IGTI11</v>
          </cell>
          <cell r="B57">
            <v>4.1000000000000002E-2</v>
          </cell>
        </row>
        <row r="58">
          <cell r="A58" t="str">
            <v>PSSA3</v>
          </cell>
          <cell r="B58">
            <v>2.7E-2</v>
          </cell>
        </row>
        <row r="59">
          <cell r="A59" t="str">
            <v>JSLG3</v>
          </cell>
          <cell r="B59">
            <v>1.2E-2</v>
          </cell>
        </row>
        <row r="60">
          <cell r="A60" t="str">
            <v>BMEB4</v>
          </cell>
          <cell r="B60">
            <v>0</v>
          </cell>
        </row>
        <row r="61">
          <cell r="A61" t="str">
            <v>SAPR11</v>
          </cell>
          <cell r="B61">
            <v>2.4E-2</v>
          </cell>
        </row>
        <row r="62">
          <cell r="A62" t="str">
            <v>CURY3</v>
          </cell>
          <cell r="B62">
            <v>0</v>
          </cell>
        </row>
        <row r="63">
          <cell r="A63" t="str">
            <v>AXIA6</v>
          </cell>
          <cell r="B63">
            <v>0</v>
          </cell>
        </row>
        <row r="64">
          <cell r="A64" t="str">
            <v>ALOS3</v>
          </cell>
          <cell r="B64">
            <v>4.4999999999999998E-2</v>
          </cell>
        </row>
        <row r="65">
          <cell r="A65" t="str">
            <v>RECV3</v>
          </cell>
          <cell r="B65">
            <v>0</v>
          </cell>
        </row>
        <row r="66">
          <cell r="A66" t="str">
            <v>JALL3</v>
          </cell>
          <cell r="B66">
            <v>0</v>
          </cell>
        </row>
        <row r="67">
          <cell r="A67" t="str">
            <v>B3SA3</v>
          </cell>
          <cell r="B67">
            <v>3.7999999999999999E-2</v>
          </cell>
        </row>
        <row r="68">
          <cell r="A68" t="str">
            <v>VBBR3</v>
          </cell>
          <cell r="B68">
            <v>3.3000000000000002E-2</v>
          </cell>
        </row>
        <row r="69">
          <cell r="A69" t="str">
            <v>UGPA3</v>
          </cell>
          <cell r="B69">
            <v>3.5000000000000003E-2</v>
          </cell>
        </row>
        <row r="70">
          <cell r="A70" t="str">
            <v>TEND3</v>
          </cell>
          <cell r="B70">
            <v>0</v>
          </cell>
        </row>
        <row r="71">
          <cell r="A71" t="str">
            <v>CXSE3</v>
          </cell>
          <cell r="B71">
            <v>0</v>
          </cell>
        </row>
        <row r="72">
          <cell r="A72" t="str">
            <v>VIVT3</v>
          </cell>
          <cell r="B72">
            <v>3.7999999999999999E-2</v>
          </cell>
        </row>
        <row r="73">
          <cell r="A73" t="str">
            <v>VULC3</v>
          </cell>
          <cell r="B73">
            <v>0</v>
          </cell>
        </row>
        <row r="74">
          <cell r="A74" t="str">
            <v>TRIS3</v>
          </cell>
          <cell r="B74">
            <v>0</v>
          </cell>
        </row>
        <row r="75">
          <cell r="A75" t="str">
            <v>CMIG3</v>
          </cell>
          <cell r="B75">
            <v>0</v>
          </cell>
        </row>
        <row r="76">
          <cell r="A76" t="str">
            <v>ITUB3</v>
          </cell>
          <cell r="B76">
            <v>0</v>
          </cell>
        </row>
        <row r="77">
          <cell r="A77" t="str">
            <v>SAUD3</v>
          </cell>
          <cell r="B77">
            <v>2.1000000000000001E-2</v>
          </cell>
        </row>
        <row r="78">
          <cell r="A78" t="str">
            <v>PAGS34</v>
          </cell>
          <cell r="B78">
            <v>0</v>
          </cell>
        </row>
        <row r="79">
          <cell r="A79" t="str">
            <v>BLAU3</v>
          </cell>
          <cell r="B79">
            <v>0</v>
          </cell>
        </row>
        <row r="80">
          <cell r="A80" t="str">
            <v>USIM3</v>
          </cell>
          <cell r="B80">
            <v>0</v>
          </cell>
        </row>
        <row r="81">
          <cell r="A81" t="str">
            <v>EVEN3</v>
          </cell>
          <cell r="B81">
            <v>0</v>
          </cell>
        </row>
        <row r="82">
          <cell r="A82" t="str">
            <v>VVEO3</v>
          </cell>
          <cell r="B82">
            <v>0</v>
          </cell>
        </row>
        <row r="83">
          <cell r="A83" t="str">
            <v>MYPK3</v>
          </cell>
          <cell r="B83">
            <v>2.7E-2</v>
          </cell>
        </row>
        <row r="84">
          <cell r="A84" t="str">
            <v>FLRY3</v>
          </cell>
          <cell r="B84">
            <v>3.5000000000000003E-2</v>
          </cell>
        </row>
        <row r="85">
          <cell r="A85" t="str">
            <v>PGMN3</v>
          </cell>
          <cell r="B85">
            <v>0.02</v>
          </cell>
        </row>
        <row r="86">
          <cell r="A86" t="str">
            <v>AUAU3</v>
          </cell>
          <cell r="B86">
            <v>0</v>
          </cell>
        </row>
        <row r="87">
          <cell r="A87" t="str">
            <v>MULT3</v>
          </cell>
          <cell r="B87">
            <v>0</v>
          </cell>
        </row>
        <row r="88">
          <cell r="A88" t="str">
            <v>ANIM3</v>
          </cell>
          <cell r="B88">
            <v>0</v>
          </cell>
        </row>
        <row r="89">
          <cell r="A89" t="str">
            <v>TAEE4</v>
          </cell>
          <cell r="B89">
            <v>0</v>
          </cell>
        </row>
        <row r="90">
          <cell r="A90" t="str">
            <v>TGMA3</v>
          </cell>
          <cell r="B90">
            <v>1.7999999999999999E-2</v>
          </cell>
        </row>
        <row r="91">
          <cell r="A91" t="str">
            <v>MDIA3</v>
          </cell>
          <cell r="B91">
            <v>1.9E-2</v>
          </cell>
        </row>
        <row r="92">
          <cell r="A92" t="str">
            <v>TAEE3</v>
          </cell>
          <cell r="B92">
            <v>0</v>
          </cell>
        </row>
        <row r="93">
          <cell r="A93" t="str">
            <v>CPLE3</v>
          </cell>
          <cell r="B93">
            <v>4.4999999999999998E-2</v>
          </cell>
        </row>
        <row r="94">
          <cell r="A94" t="str">
            <v>CMIG4</v>
          </cell>
          <cell r="B94">
            <v>0.04</v>
          </cell>
        </row>
        <row r="95">
          <cell r="A95" t="str">
            <v>LAVV3</v>
          </cell>
          <cell r="B95">
            <v>0</v>
          </cell>
        </row>
        <row r="96">
          <cell r="A96" t="str">
            <v>HYPE3</v>
          </cell>
          <cell r="B96">
            <v>0</v>
          </cell>
        </row>
        <row r="97">
          <cell r="A97" t="str">
            <v>AXIA3</v>
          </cell>
          <cell r="B97">
            <v>0.04</v>
          </cell>
        </row>
        <row r="98">
          <cell r="A98" t="str">
            <v>CAML3</v>
          </cell>
          <cell r="B98">
            <v>0</v>
          </cell>
        </row>
        <row r="99">
          <cell r="A99" t="str">
            <v>BBDC3</v>
          </cell>
          <cell r="B99">
            <v>0</v>
          </cell>
        </row>
        <row r="100">
          <cell r="A100" t="str">
            <v>ORVR3</v>
          </cell>
          <cell r="B100">
            <v>0</v>
          </cell>
        </row>
        <row r="101">
          <cell r="A101" t="str">
            <v>AMER3</v>
          </cell>
          <cell r="B101">
            <v>0</v>
          </cell>
        </row>
        <row r="102">
          <cell r="A102" t="str">
            <v>DIRR3</v>
          </cell>
          <cell r="B102">
            <v>0</v>
          </cell>
        </row>
        <row r="103">
          <cell r="A103" t="str">
            <v>FESA4</v>
          </cell>
          <cell r="B103">
            <v>0</v>
          </cell>
        </row>
        <row r="104">
          <cell r="A104" t="str">
            <v>CPFE3</v>
          </cell>
          <cell r="B104">
            <v>0.04</v>
          </cell>
        </row>
        <row r="105">
          <cell r="A105" t="str">
            <v>ITUB4</v>
          </cell>
          <cell r="B105">
            <v>4.8000000000000001E-2</v>
          </cell>
        </row>
        <row r="106">
          <cell r="A106" t="str">
            <v>VALE3</v>
          </cell>
          <cell r="B106">
            <v>0</v>
          </cell>
        </row>
        <row r="107">
          <cell r="A107" t="str">
            <v>BRBI11</v>
          </cell>
          <cell r="B107">
            <v>0</v>
          </cell>
        </row>
        <row r="108">
          <cell r="A108" t="str">
            <v>USIM5</v>
          </cell>
          <cell r="B108">
            <v>1.7000000000000001E-2</v>
          </cell>
        </row>
        <row r="109">
          <cell r="A109" t="str">
            <v>RANI3</v>
          </cell>
          <cell r="B109">
            <v>0.03</v>
          </cell>
        </row>
        <row r="110">
          <cell r="A110" t="str">
            <v>COGN3</v>
          </cell>
          <cell r="B110">
            <v>1.9E-2</v>
          </cell>
        </row>
        <row r="111">
          <cell r="A111" t="str">
            <v>CSMG3</v>
          </cell>
          <cell r="B111">
            <v>0.03</v>
          </cell>
        </row>
        <row r="112">
          <cell r="A112" t="str">
            <v>ABEV3</v>
          </cell>
          <cell r="B112">
            <v>0</v>
          </cell>
        </row>
        <row r="113">
          <cell r="A113" t="str">
            <v>LREN3</v>
          </cell>
          <cell r="B113">
            <v>3.4000000000000002E-2</v>
          </cell>
        </row>
        <row r="114">
          <cell r="A114" t="str">
            <v>GGBR4</v>
          </cell>
          <cell r="B114">
            <v>0</v>
          </cell>
        </row>
        <row r="115">
          <cell r="A115" t="str">
            <v>LIGT3</v>
          </cell>
          <cell r="B115">
            <v>0</v>
          </cell>
        </row>
        <row r="116">
          <cell r="A116" t="str">
            <v>UNIP6</v>
          </cell>
          <cell r="B116">
            <v>0</v>
          </cell>
        </row>
        <row r="117">
          <cell r="A117" t="str">
            <v>ENEV3</v>
          </cell>
          <cell r="B117">
            <v>0</v>
          </cell>
        </row>
        <row r="118">
          <cell r="A118" t="str">
            <v>BBDC4</v>
          </cell>
          <cell r="B118">
            <v>0</v>
          </cell>
        </row>
        <row r="119">
          <cell r="A119" t="str">
            <v>ALUP11</v>
          </cell>
          <cell r="B119">
            <v>0</v>
          </cell>
        </row>
        <row r="120">
          <cell r="A120" t="str">
            <v>BPAC11</v>
          </cell>
          <cell r="B120">
            <v>0</v>
          </cell>
        </row>
        <row r="121">
          <cell r="A121" t="str">
            <v>CBAV3</v>
          </cell>
          <cell r="B121">
            <v>0</v>
          </cell>
        </row>
        <row r="122">
          <cell r="A122" t="str">
            <v>DESK3</v>
          </cell>
          <cell r="B122">
            <v>0</v>
          </cell>
        </row>
        <row r="123">
          <cell r="A123" t="str">
            <v>TAEE11</v>
          </cell>
          <cell r="B123">
            <v>0</v>
          </cell>
        </row>
        <row r="124">
          <cell r="A124" t="str">
            <v>LWSA3</v>
          </cell>
          <cell r="B124">
            <v>0</v>
          </cell>
        </row>
        <row r="125">
          <cell r="A125" t="str">
            <v>ISAE4</v>
          </cell>
          <cell r="B125">
            <v>0</v>
          </cell>
        </row>
        <row r="126">
          <cell r="A126" t="str">
            <v>IRBR3</v>
          </cell>
          <cell r="B126">
            <v>0</v>
          </cell>
        </row>
        <row r="127">
          <cell r="A127" t="str">
            <v>EGIE3</v>
          </cell>
          <cell r="B127">
            <v>0</v>
          </cell>
        </row>
        <row r="128">
          <cell r="A128" t="str">
            <v>SMTO3</v>
          </cell>
          <cell r="B128">
            <v>0</v>
          </cell>
        </row>
        <row r="129">
          <cell r="A129" t="str">
            <v>VLID3</v>
          </cell>
          <cell r="B129">
            <v>0</v>
          </cell>
        </row>
        <row r="130">
          <cell r="A130" t="str">
            <v>TFCO4</v>
          </cell>
          <cell r="B130">
            <v>0</v>
          </cell>
        </row>
        <row r="131">
          <cell r="A131" t="str">
            <v>BRAV3</v>
          </cell>
          <cell r="B131">
            <v>0</v>
          </cell>
        </row>
        <row r="132">
          <cell r="A132" t="str">
            <v>WEGE3</v>
          </cell>
          <cell r="B132">
            <v>0</v>
          </cell>
        </row>
        <row r="133">
          <cell r="A133" t="str">
            <v>AXIA7</v>
          </cell>
          <cell r="B133">
            <v>0</v>
          </cell>
        </row>
        <row r="134">
          <cell r="A134" t="str">
            <v>ARML3</v>
          </cell>
          <cell r="B134">
            <v>0</v>
          </cell>
        </row>
        <row r="135">
          <cell r="A135" t="str">
            <v>AZZA3</v>
          </cell>
          <cell r="B135">
            <v>0</v>
          </cell>
        </row>
        <row r="136">
          <cell r="A136" t="str">
            <v>KLBN3</v>
          </cell>
          <cell r="B136">
            <v>0</v>
          </cell>
        </row>
        <row r="137">
          <cell r="A137" t="str">
            <v>KLBN4</v>
          </cell>
          <cell r="B137">
            <v>0</v>
          </cell>
        </row>
        <row r="138">
          <cell r="A138" t="str">
            <v>SLCE3</v>
          </cell>
          <cell r="B138">
            <v>0</v>
          </cell>
        </row>
        <row r="139">
          <cell r="A139" t="str">
            <v>SANB4</v>
          </cell>
          <cell r="B139">
            <v>0</v>
          </cell>
        </row>
        <row r="140">
          <cell r="A140" t="str">
            <v>RAPT4</v>
          </cell>
          <cell r="B140">
            <v>0</v>
          </cell>
        </row>
        <row r="141">
          <cell r="A141" t="str">
            <v>SANB3</v>
          </cell>
          <cell r="B141">
            <v>0</v>
          </cell>
        </row>
        <row r="142">
          <cell r="A142" t="str">
            <v>DXCO3</v>
          </cell>
          <cell r="B142">
            <v>0</v>
          </cell>
        </row>
        <row r="143">
          <cell r="A143" t="str">
            <v>QUAL3</v>
          </cell>
          <cell r="B143">
            <v>0</v>
          </cell>
        </row>
        <row r="144">
          <cell r="A144" t="str">
            <v>KLBN11</v>
          </cell>
          <cell r="B144">
            <v>0</v>
          </cell>
        </row>
        <row r="145">
          <cell r="A145" t="str">
            <v>MOTV3</v>
          </cell>
          <cell r="B145">
            <v>0</v>
          </cell>
        </row>
        <row r="146">
          <cell r="A146" t="str">
            <v>KEPL3</v>
          </cell>
          <cell r="B146">
            <v>0</v>
          </cell>
        </row>
        <row r="147">
          <cell r="A147" t="str">
            <v>ENGI11</v>
          </cell>
          <cell r="B147">
            <v>0</v>
          </cell>
        </row>
        <row r="148">
          <cell r="A148" t="str">
            <v>MBRF3</v>
          </cell>
          <cell r="B148">
            <v>0</v>
          </cell>
        </row>
        <row r="149">
          <cell r="A149" t="str">
            <v>SANB11</v>
          </cell>
          <cell r="B149">
            <v>0</v>
          </cell>
        </row>
        <row r="150">
          <cell r="A150" t="str">
            <v>BBAS3</v>
          </cell>
          <cell r="B150">
            <v>0</v>
          </cell>
        </row>
        <row r="151">
          <cell r="A151" t="str">
            <v>CMIN3</v>
          </cell>
          <cell r="B151">
            <v>0</v>
          </cell>
        </row>
        <row r="152">
          <cell r="A152" t="str">
            <v>BIOM3</v>
          </cell>
          <cell r="B152">
            <v>0</v>
          </cell>
        </row>
        <row r="153">
          <cell r="A153" t="str">
            <v>YDUQ3</v>
          </cell>
          <cell r="B153">
            <v>0</v>
          </cell>
        </row>
        <row r="154">
          <cell r="A154" t="str">
            <v>ROMI3</v>
          </cell>
          <cell r="B154">
            <v>0</v>
          </cell>
        </row>
        <row r="155">
          <cell r="A155" t="str">
            <v>MOVI3</v>
          </cell>
          <cell r="B155">
            <v>0</v>
          </cell>
        </row>
        <row r="156">
          <cell r="A156" t="str">
            <v>FRAS3</v>
          </cell>
          <cell r="B156">
            <v>0</v>
          </cell>
        </row>
        <row r="157">
          <cell r="A157" t="str">
            <v>SBSP3</v>
          </cell>
          <cell r="B157">
            <v>0</v>
          </cell>
        </row>
        <row r="158">
          <cell r="A158" t="str">
            <v>RAIL3</v>
          </cell>
          <cell r="B158">
            <v>0</v>
          </cell>
        </row>
        <row r="159">
          <cell r="A159" t="str">
            <v>SUZB3</v>
          </cell>
          <cell r="B159">
            <v>0</v>
          </cell>
        </row>
        <row r="160">
          <cell r="A160" t="str">
            <v>PRIO3</v>
          </cell>
          <cell r="B160">
            <v>0</v>
          </cell>
        </row>
        <row r="161">
          <cell r="A161" t="str">
            <v>XPBR31</v>
          </cell>
          <cell r="B161">
            <v>0</v>
          </cell>
        </row>
        <row r="162">
          <cell r="A162" t="str">
            <v>AURE3</v>
          </cell>
          <cell r="B162">
            <v>0</v>
          </cell>
        </row>
        <row r="163">
          <cell r="A163" t="str">
            <v>EQTL3</v>
          </cell>
          <cell r="B163">
            <v>0</v>
          </cell>
        </row>
        <row r="164">
          <cell r="A164" t="str">
            <v>BRST3</v>
          </cell>
          <cell r="B164">
            <v>0</v>
          </cell>
        </row>
        <row r="165">
          <cell r="A165" t="str">
            <v>VITT3</v>
          </cell>
          <cell r="B165">
            <v>0</v>
          </cell>
        </row>
        <row r="166">
          <cell r="A166" t="str">
            <v>RENT3</v>
          </cell>
          <cell r="B166">
            <v>0</v>
          </cell>
        </row>
        <row r="167">
          <cell r="A167" t="str">
            <v>BEEF3</v>
          </cell>
          <cell r="B167">
            <v>0</v>
          </cell>
        </row>
        <row r="168">
          <cell r="A168" t="str">
            <v>NATU3</v>
          </cell>
          <cell r="B168">
            <v>0</v>
          </cell>
        </row>
        <row r="169">
          <cell r="A169" t="str">
            <v>ECOR3</v>
          </cell>
          <cell r="B169">
            <v>0</v>
          </cell>
        </row>
        <row r="170">
          <cell r="A170" t="str">
            <v>JBSS32</v>
          </cell>
          <cell r="B170">
            <v>0</v>
          </cell>
        </row>
        <row r="171">
          <cell r="A171" t="str">
            <v>CYRE3</v>
          </cell>
          <cell r="B171">
            <v>0</v>
          </cell>
        </row>
        <row r="172">
          <cell r="A172" t="str">
            <v>ASAI3</v>
          </cell>
          <cell r="B172">
            <v>0</v>
          </cell>
        </row>
        <row r="173">
          <cell r="A173" t="str">
            <v>TASA4</v>
          </cell>
          <cell r="B173">
            <v>0</v>
          </cell>
        </row>
        <row r="174">
          <cell r="A174" t="str">
            <v>STOC34</v>
          </cell>
          <cell r="B174">
            <v>0</v>
          </cell>
        </row>
        <row r="175">
          <cell r="A175" t="str">
            <v>CEAB3</v>
          </cell>
          <cell r="B175">
            <v>0</v>
          </cell>
        </row>
        <row r="176">
          <cell r="A176" t="str">
            <v>RADL3</v>
          </cell>
          <cell r="B176">
            <v>0</v>
          </cell>
        </row>
        <row r="177">
          <cell r="A177" t="str">
            <v>RDOR3</v>
          </cell>
          <cell r="B177">
            <v>0</v>
          </cell>
        </row>
        <row r="178">
          <cell r="A178" t="str">
            <v>CYRE4</v>
          </cell>
          <cell r="B178">
            <v>0</v>
          </cell>
        </row>
        <row r="179">
          <cell r="A179" t="str">
            <v>TUPY3</v>
          </cell>
          <cell r="B179">
            <v>0</v>
          </cell>
        </row>
        <row r="180">
          <cell r="A180" t="str">
            <v>SBFG3</v>
          </cell>
          <cell r="B180">
            <v>0</v>
          </cell>
        </row>
        <row r="181">
          <cell r="A181" t="str">
            <v>RENT4</v>
          </cell>
          <cell r="B181">
            <v>0</v>
          </cell>
        </row>
        <row r="182">
          <cell r="A182" t="str">
            <v>VAMO3</v>
          </cell>
          <cell r="B182">
            <v>0</v>
          </cell>
        </row>
        <row r="183">
          <cell r="A183" t="str">
            <v>AMBP3</v>
          </cell>
          <cell r="B183">
            <v>0</v>
          </cell>
        </row>
        <row r="184">
          <cell r="A184" t="str">
            <v>TTEN3</v>
          </cell>
          <cell r="B184">
            <v>0</v>
          </cell>
        </row>
        <row r="185">
          <cell r="A185" t="str">
            <v>GMAT3</v>
          </cell>
          <cell r="B185">
            <v>0</v>
          </cell>
        </row>
        <row r="186">
          <cell r="A186" t="str">
            <v>MGLU3</v>
          </cell>
          <cell r="B186">
            <v>0</v>
          </cell>
        </row>
        <row r="187">
          <cell r="A187" t="str">
            <v>PRNR3</v>
          </cell>
          <cell r="B187">
            <v>0</v>
          </cell>
        </row>
        <row r="188">
          <cell r="A188" t="str">
            <v>AGRO3</v>
          </cell>
          <cell r="B188">
            <v>0</v>
          </cell>
        </row>
        <row r="189">
          <cell r="A189" t="str">
            <v>HBOR3</v>
          </cell>
          <cell r="B189">
            <v>0</v>
          </cell>
        </row>
        <row r="190">
          <cell r="A190" t="str">
            <v>GGPS3</v>
          </cell>
          <cell r="B190">
            <v>0</v>
          </cell>
        </row>
        <row r="191">
          <cell r="A191" t="str">
            <v>SOJA3</v>
          </cell>
          <cell r="B191">
            <v>0</v>
          </cell>
        </row>
        <row r="192">
          <cell r="A192" t="str">
            <v>DASA3</v>
          </cell>
          <cell r="B192">
            <v>0</v>
          </cell>
        </row>
        <row r="193">
          <cell r="A193" t="str">
            <v>SMFT3</v>
          </cell>
          <cell r="B193">
            <v>0</v>
          </cell>
        </row>
        <row r="194">
          <cell r="A194" t="str">
            <v>VIVA3</v>
          </cell>
          <cell r="B194">
            <v>0</v>
          </cell>
        </row>
        <row r="195">
          <cell r="A195" t="str">
            <v>INBR32</v>
          </cell>
          <cell r="B195">
            <v>0</v>
          </cell>
        </row>
        <row r="196">
          <cell r="A196" t="str">
            <v>MRVE3</v>
          </cell>
          <cell r="B196">
            <v>0</v>
          </cell>
        </row>
        <row r="197">
          <cell r="A197" t="str">
            <v>HBSA3</v>
          </cell>
          <cell r="B197">
            <v>0</v>
          </cell>
        </row>
        <row r="198">
          <cell r="A198" t="str">
            <v>ROXO34</v>
          </cell>
          <cell r="B198">
            <v>0</v>
          </cell>
        </row>
        <row r="199">
          <cell r="A199" t="str">
            <v>CSAN3</v>
          </cell>
          <cell r="B199">
            <v>0</v>
          </cell>
        </row>
        <row r="200">
          <cell r="A200" t="str">
            <v>CSNA3</v>
          </cell>
          <cell r="B200">
            <v>0</v>
          </cell>
        </row>
        <row r="201">
          <cell r="A201" t="str">
            <v>PLPL3</v>
          </cell>
          <cell r="B201">
            <v>0</v>
          </cell>
        </row>
        <row r="202">
          <cell r="A202" t="str">
            <v>EMBJ3</v>
          </cell>
          <cell r="B202">
            <v>0</v>
          </cell>
        </row>
        <row r="203">
          <cell r="A203" t="str">
            <v>TOTS3</v>
          </cell>
          <cell r="B203">
            <v>0</v>
          </cell>
        </row>
        <row r="204">
          <cell r="A204" t="str">
            <v>S2GM34</v>
          </cell>
          <cell r="B204">
            <v>0</v>
          </cell>
        </row>
        <row r="205">
          <cell r="A205" t="str">
            <v>SIMH3</v>
          </cell>
          <cell r="B205">
            <v>0</v>
          </cell>
        </row>
        <row r="206">
          <cell r="A206" t="str">
            <v>HAPV3</v>
          </cell>
          <cell r="B206">
            <v>0</v>
          </cell>
        </row>
        <row r="207">
          <cell r="A207" t="str">
            <v>LJQQ3</v>
          </cell>
          <cell r="B207">
            <v>0</v>
          </cell>
        </row>
        <row r="208">
          <cell r="A208" t="str">
            <v>RAIZ4</v>
          </cell>
          <cell r="B208">
            <v>0</v>
          </cell>
        </row>
        <row r="209">
          <cell r="A209" t="str">
            <v>BHIA3</v>
          </cell>
          <cell r="B209">
            <v>0</v>
          </cell>
        </row>
        <row r="210">
          <cell r="A210" t="str">
            <v>OBTC3</v>
          </cell>
          <cell r="B210">
            <v>0</v>
          </cell>
        </row>
        <row r="211">
          <cell r="A211" t="str">
            <v>PTBL3</v>
          </cell>
          <cell r="B211">
            <v>0</v>
          </cell>
        </row>
        <row r="212">
          <cell r="A212" t="str">
            <v>CVCB3</v>
          </cell>
          <cell r="B212">
            <v>0</v>
          </cell>
        </row>
        <row r="213">
          <cell r="A213" t="str">
            <v>BRKM5</v>
          </cell>
          <cell r="B213">
            <v>0</v>
          </cell>
        </row>
        <row r="214">
          <cell r="A214" t="str">
            <v>RCSL4</v>
          </cell>
          <cell r="B214">
            <v>0</v>
          </cell>
        </row>
        <row r="215">
          <cell r="A215" t="str">
            <v>PCAR3</v>
          </cell>
          <cell r="B215">
            <v>0</v>
          </cell>
        </row>
        <row r="216">
          <cell r="A216" t="str">
            <v>GFSA3</v>
          </cell>
          <cell r="B216">
            <v>0</v>
          </cell>
        </row>
        <row r="217">
          <cell r="A217" t="str">
            <v>CASH3</v>
          </cell>
          <cell r="B217">
            <v>0</v>
          </cell>
        </row>
        <row r="218">
          <cell r="A218" t="str">
            <v>ONCO3</v>
          </cell>
          <cell r="B218">
            <v>0</v>
          </cell>
        </row>
        <row r="219">
          <cell r="A219" t="str">
            <v>PMAM3</v>
          </cell>
          <cell r="B219">
            <v>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3206-C71E-439E-A190-691E2827CDD1}">
  <sheetPr>
    <tabColor theme="3" tint="0.749992370372631"/>
  </sheetPr>
  <dimension ref="A1:W245"/>
  <sheetViews>
    <sheetView topLeftCell="A51" zoomScale="130" zoomScaleNormal="130" workbookViewId="0">
      <selection activeCell="C70" sqref="C70"/>
    </sheetView>
  </sheetViews>
  <sheetFormatPr defaultRowHeight="14.4" x14ac:dyDescent="0.3"/>
  <cols>
    <col min="1" max="1" width="19.88671875" customWidth="1"/>
    <col min="2" max="2" width="19.6640625" style="4" bestFit="1" customWidth="1"/>
    <col min="4" max="4" width="9.109375" style="8"/>
    <col min="5" max="5" width="15.6640625" customWidth="1"/>
    <col min="10" max="10" width="13" customWidth="1"/>
    <col min="12" max="12" width="11.77734375" bestFit="1" customWidth="1"/>
    <col min="14" max="15" width="20.44140625" bestFit="1" customWidth="1"/>
    <col min="17" max="17" width="9.109375" style="3"/>
    <col min="18" max="18" width="12.6640625" customWidth="1"/>
    <col min="20" max="20" width="12.109375" bestFit="1" customWidth="1"/>
    <col min="21" max="21" width="20.44140625" bestFit="1" customWidth="1"/>
    <col min="22" max="22" width="9.109375" style="7"/>
    <col min="23" max="23" width="22.5546875" bestFit="1" customWidth="1"/>
  </cols>
  <sheetData>
    <row r="1" spans="1:23" ht="15" thickBot="1" x14ac:dyDescent="0.35">
      <c r="A1" s="1" t="s">
        <v>0</v>
      </c>
      <c r="B1" s="2" t="s">
        <v>77</v>
      </c>
      <c r="C1" s="4">
        <f>SUM(B2:B68)</f>
        <v>0.91050000000000053</v>
      </c>
      <c r="E1" s="8" t="s">
        <v>0</v>
      </c>
      <c r="F1" s="8" t="s">
        <v>84</v>
      </c>
      <c r="G1" s="16">
        <f>SUM(F2:F74)</f>
        <v>0.99972514999999962</v>
      </c>
      <c r="Q1" s="6"/>
      <c r="R1" s="6"/>
    </row>
    <row r="2" spans="1:23" x14ac:dyDescent="0.3">
      <c r="A2" s="10" t="str">
        <f>'pesos FIA'!A2</f>
        <v>LOGG3</v>
      </c>
      <c r="B2" s="11">
        <f>'pesos FIA'!B2</f>
        <v>0.01</v>
      </c>
      <c r="E2" s="5" t="str">
        <f t="shared" ref="E2:E64" si="0">A2</f>
        <v>LOGG3</v>
      </c>
      <c r="F2" s="5">
        <f t="shared" ref="F2:F33" si="1">(1-$F$72-$F$73-$F$74)*B2</f>
        <v>5.497000000000001E-3</v>
      </c>
      <c r="G2" s="5"/>
      <c r="K2" s="3">
        <f>VLOOKUP(A2,'[1]29 - FIA'!$A$9:$B$219,2,0)</f>
        <v>0.01</v>
      </c>
      <c r="L2" t="b">
        <f>K2=B2</f>
        <v>1</v>
      </c>
      <c r="N2" s="15"/>
      <c r="O2" s="15"/>
      <c r="R2" s="7"/>
      <c r="S2" s="7"/>
      <c r="U2" s="15"/>
      <c r="W2" s="3"/>
    </row>
    <row r="3" spans="1:23" x14ac:dyDescent="0.3">
      <c r="A3" s="10" t="str">
        <f>'pesos FIA'!A3</f>
        <v>FIQE3</v>
      </c>
      <c r="B3" s="11">
        <f>'pesos FIA'!B3</f>
        <v>1.0999999999999999E-2</v>
      </c>
      <c r="E3" s="5" t="str">
        <f t="shared" si="0"/>
        <v>FIQE3</v>
      </c>
      <c r="F3" s="5">
        <f t="shared" si="1"/>
        <v>6.0467000000000003E-3</v>
      </c>
      <c r="G3" s="5"/>
      <c r="K3" s="3">
        <f>VLOOKUP(A3,'[1]29 - FIA'!$A$9:$B$219,2,0)</f>
        <v>1.0999999999999999E-2</v>
      </c>
      <c r="L3" t="b">
        <f t="shared" ref="L3:L66" si="2">K3=B3</f>
        <v>1</v>
      </c>
      <c r="N3" s="15"/>
      <c r="O3" s="15"/>
      <c r="R3" s="7"/>
      <c r="S3" s="7"/>
      <c r="U3" s="15"/>
      <c r="W3" s="3"/>
    </row>
    <row r="4" spans="1:23" x14ac:dyDescent="0.3">
      <c r="A4" s="10" t="str">
        <f>'pesos FIA'!A4</f>
        <v>BMGB4</v>
      </c>
      <c r="B4" s="11">
        <f>'pesos FIA'!B4</f>
        <v>1.2E-2</v>
      </c>
      <c r="E4" s="5" t="str">
        <f t="shared" si="0"/>
        <v>BMGB4</v>
      </c>
      <c r="F4" s="5">
        <f t="shared" si="1"/>
        <v>6.5964000000000014E-3</v>
      </c>
      <c r="G4" s="5"/>
      <c r="K4" s="3">
        <f>VLOOKUP(A4,'[1]29 - FIA'!$A$9:$B$219,2,0)</f>
        <v>1.2E-2</v>
      </c>
      <c r="L4" t="b">
        <f t="shared" si="2"/>
        <v>1</v>
      </c>
      <c r="N4" s="15"/>
      <c r="O4" s="15"/>
      <c r="R4" s="7"/>
      <c r="S4" s="7"/>
      <c r="U4" s="15"/>
      <c r="W4" s="3"/>
    </row>
    <row r="5" spans="1:23" x14ac:dyDescent="0.3">
      <c r="A5" s="10" t="str">
        <f>'pesos FIA'!A5</f>
        <v>WIZC3</v>
      </c>
      <c r="B5" s="11">
        <f>'pesos FIA'!B5</f>
        <v>1.2999999999999999E-2</v>
      </c>
      <c r="E5" s="5" t="str">
        <f t="shared" si="0"/>
        <v>WIZC3</v>
      </c>
      <c r="F5" s="5">
        <f t="shared" si="1"/>
        <v>7.1461000000000007E-3</v>
      </c>
      <c r="G5" s="5"/>
      <c r="K5" s="3">
        <f>VLOOKUP(A5,'[1]29 - FIA'!$A$9:$B$219,2,0)</f>
        <v>1.2999999999999999E-2</v>
      </c>
      <c r="L5" t="b">
        <f t="shared" si="2"/>
        <v>1</v>
      </c>
      <c r="N5" s="15"/>
      <c r="O5" s="15"/>
      <c r="R5" s="7"/>
      <c r="S5" s="7"/>
      <c r="U5" s="15"/>
      <c r="W5" s="3"/>
    </row>
    <row r="6" spans="1:23" x14ac:dyDescent="0.3">
      <c r="A6" s="10" t="str">
        <f>'pesos FIA'!A6</f>
        <v>JHSF3</v>
      </c>
      <c r="B6" s="11">
        <f>'pesos FIA'!B6</f>
        <v>8.9999999999999993E-3</v>
      </c>
      <c r="E6" s="5" t="str">
        <f t="shared" si="0"/>
        <v>JHSF3</v>
      </c>
      <c r="F6" s="5">
        <f t="shared" si="1"/>
        <v>4.9473E-3</v>
      </c>
      <c r="G6" s="5"/>
      <c r="K6" s="3">
        <f>VLOOKUP(A6,'[1]29 - FIA'!$A$9:$B$219,2,0)</f>
        <v>8.9999999999999993E-3</v>
      </c>
      <c r="L6" t="b">
        <f t="shared" si="2"/>
        <v>1</v>
      </c>
      <c r="N6" s="15"/>
      <c r="O6" s="15"/>
      <c r="R6" s="7"/>
      <c r="S6" s="7"/>
      <c r="U6" s="15"/>
      <c r="W6" s="3"/>
    </row>
    <row r="7" spans="1:23" x14ac:dyDescent="0.3">
      <c r="A7" s="10" t="str">
        <f>'pesos FIA'!A7</f>
        <v>ALLD3</v>
      </c>
      <c r="B7" s="11">
        <f>'pesos FIA'!B7</f>
        <v>7.0000000000000001E-3</v>
      </c>
      <c r="E7" s="5" t="str">
        <f t="shared" si="0"/>
        <v>ALLD3</v>
      </c>
      <c r="F7" s="5">
        <f t="shared" si="1"/>
        <v>3.8479000000000005E-3</v>
      </c>
      <c r="G7" s="5"/>
      <c r="K7" s="3">
        <f>VLOOKUP(A7,'[1]29 - FIA'!$A$9:$B$219,2,0)</f>
        <v>7.0000000000000001E-3</v>
      </c>
      <c r="L7" t="b">
        <f t="shared" si="2"/>
        <v>1</v>
      </c>
      <c r="N7" s="15"/>
      <c r="O7" s="15"/>
      <c r="R7" s="7"/>
      <c r="S7" s="7"/>
      <c r="U7" s="15"/>
      <c r="W7" s="3"/>
    </row>
    <row r="8" spans="1:23" x14ac:dyDescent="0.3">
      <c r="A8" s="10" t="str">
        <f>'pesos FIA'!A8</f>
        <v>RIAA3</v>
      </c>
      <c r="B8" s="11">
        <f>'pesos FIA'!B8</f>
        <v>0.01</v>
      </c>
      <c r="E8" s="5" t="str">
        <f t="shared" si="0"/>
        <v>RIAA3</v>
      </c>
      <c r="F8" s="5">
        <f t="shared" si="1"/>
        <v>5.497000000000001E-3</v>
      </c>
      <c r="G8" s="5"/>
      <c r="K8" s="3">
        <f>VLOOKUP(A8,'[1]29 - FIA'!$A$9:$B$219,2,0)</f>
        <v>0.01</v>
      </c>
      <c r="L8" t="b">
        <f t="shared" si="2"/>
        <v>1</v>
      </c>
      <c r="N8" s="15"/>
      <c r="O8" s="15"/>
      <c r="R8" s="7"/>
      <c r="S8" s="7"/>
      <c r="U8" s="15"/>
      <c r="W8" s="3"/>
    </row>
    <row r="9" spans="1:23" x14ac:dyDescent="0.3">
      <c r="A9" s="10" t="str">
        <f>'pesos FIA'!A9</f>
        <v>GRND3</v>
      </c>
      <c r="B9" s="11">
        <f>'pesos FIA'!B9</f>
        <v>1.2E-2</v>
      </c>
      <c r="E9" s="5" t="str">
        <f t="shared" si="0"/>
        <v>GRND3</v>
      </c>
      <c r="F9" s="5">
        <f t="shared" si="1"/>
        <v>6.5964000000000014E-3</v>
      </c>
      <c r="G9" s="5"/>
      <c r="K9" s="3">
        <f>VLOOKUP(A9,'[1]29 - FIA'!$A$9:$B$219,2,0)</f>
        <v>1.2E-2</v>
      </c>
      <c r="L9" t="b">
        <f t="shared" si="2"/>
        <v>1</v>
      </c>
      <c r="N9" s="15"/>
      <c r="O9" s="15"/>
      <c r="R9" s="7"/>
      <c r="S9" s="7"/>
      <c r="U9" s="15"/>
      <c r="W9" s="3"/>
    </row>
    <row r="10" spans="1:23" x14ac:dyDescent="0.3">
      <c r="A10" s="10" t="str">
        <f>'pesos FIA'!A10</f>
        <v>HBRE3</v>
      </c>
      <c r="B10" s="11">
        <f>'pesos FIA'!B10</f>
        <v>8.0000000000000002E-3</v>
      </c>
      <c r="E10" s="5" t="str">
        <f t="shared" si="0"/>
        <v>HBRE3</v>
      </c>
      <c r="F10" s="5">
        <f t="shared" si="1"/>
        <v>4.3976000000000006E-3</v>
      </c>
      <c r="G10" s="5"/>
      <c r="K10" s="3">
        <f>VLOOKUP(A10,'[1]29 - FIA'!$A$9:$B$219,2,0)</f>
        <v>8.0000000000000002E-3</v>
      </c>
      <c r="L10" t="b">
        <f t="shared" si="2"/>
        <v>1</v>
      </c>
      <c r="N10" s="15"/>
      <c r="O10" s="15"/>
      <c r="R10" s="7"/>
      <c r="S10" s="7"/>
      <c r="U10" s="15"/>
      <c r="W10" s="3"/>
    </row>
    <row r="11" spans="1:23" x14ac:dyDescent="0.3">
      <c r="A11" s="10" t="str">
        <f>'pesos FIA'!A11</f>
        <v>POMO3</v>
      </c>
      <c r="B11" s="11">
        <f>'pesos FIA'!B11</f>
        <v>8.9999999999999993E-3</v>
      </c>
      <c r="E11" s="5" t="str">
        <f t="shared" si="0"/>
        <v>POMO3</v>
      </c>
      <c r="F11" s="5">
        <f t="shared" si="1"/>
        <v>4.9473E-3</v>
      </c>
      <c r="G11" s="5"/>
      <c r="K11" s="3">
        <f>VLOOKUP(A11,'[1]29 - FIA'!$A$9:$B$219,2,0)</f>
        <v>8.9999999999999993E-3</v>
      </c>
      <c r="L11" t="b">
        <f t="shared" si="2"/>
        <v>1</v>
      </c>
      <c r="N11" s="15"/>
      <c r="O11" s="15"/>
      <c r="R11" s="7"/>
      <c r="S11" s="7"/>
      <c r="U11" s="15"/>
      <c r="W11" s="3"/>
    </row>
    <row r="12" spans="1:23" x14ac:dyDescent="0.3">
      <c r="A12" s="10" t="str">
        <f>'pesos FIA'!A12</f>
        <v>MTRE3</v>
      </c>
      <c r="B12" s="11">
        <f>'pesos FIA'!B12</f>
        <v>1.7000000000000001E-2</v>
      </c>
      <c r="E12" s="5" t="str">
        <f t="shared" si="0"/>
        <v>MTRE3</v>
      </c>
      <c r="F12" s="5">
        <f t="shared" si="1"/>
        <v>9.3449000000000015E-3</v>
      </c>
      <c r="G12" s="5"/>
      <c r="K12" s="3">
        <f>VLOOKUP(A12,'[1]29 - FIA'!$A$9:$B$219,2,0)</f>
        <v>1.7000000000000001E-2</v>
      </c>
      <c r="L12" t="b">
        <f t="shared" si="2"/>
        <v>1</v>
      </c>
      <c r="N12" s="15"/>
      <c r="O12" s="15"/>
      <c r="R12" s="7"/>
      <c r="S12" s="7"/>
      <c r="U12" s="15"/>
      <c r="W12" s="3"/>
    </row>
    <row r="13" spans="1:23" x14ac:dyDescent="0.3">
      <c r="A13" s="10" t="str">
        <f>'pesos FIA'!A13</f>
        <v>MLAS3</v>
      </c>
      <c r="B13" s="11">
        <f>'pesos FIA'!B13</f>
        <v>6.0000000000000001E-3</v>
      </c>
      <c r="E13" s="5" t="str">
        <f t="shared" si="0"/>
        <v>MLAS3</v>
      </c>
      <c r="F13" s="5">
        <f t="shared" si="1"/>
        <v>3.2982000000000007E-3</v>
      </c>
      <c r="G13" s="5"/>
      <c r="K13" s="3">
        <f>VLOOKUP(A13,'[1]29 - FIA'!$A$9:$B$219,2,0)</f>
        <v>6.0000000000000001E-3</v>
      </c>
      <c r="L13" t="b">
        <f t="shared" si="2"/>
        <v>1</v>
      </c>
      <c r="N13" s="15"/>
      <c r="O13" s="15"/>
      <c r="R13" s="7"/>
      <c r="S13" s="7"/>
      <c r="U13" s="15"/>
      <c r="W13" s="3"/>
    </row>
    <row r="14" spans="1:23" x14ac:dyDescent="0.3">
      <c r="A14" s="10" t="str">
        <f>'pesos FIA'!A14</f>
        <v>SYNE3</v>
      </c>
      <c r="B14" s="11">
        <f>'pesos FIA'!B14</f>
        <v>8.9999999999999993E-3</v>
      </c>
      <c r="E14" s="5" t="str">
        <f t="shared" si="0"/>
        <v>SYNE3</v>
      </c>
      <c r="F14" s="5">
        <f t="shared" si="1"/>
        <v>4.9473E-3</v>
      </c>
      <c r="G14" s="5"/>
      <c r="K14" s="3">
        <f>VLOOKUP(A14,'[1]29 - FIA'!$A$9:$B$219,2,0)</f>
        <v>8.9999999999999993E-3</v>
      </c>
      <c r="L14" t="b">
        <f t="shared" si="2"/>
        <v>1</v>
      </c>
      <c r="N14" s="15"/>
      <c r="O14" s="15"/>
      <c r="R14" s="7"/>
      <c r="S14" s="7"/>
      <c r="U14" s="15"/>
      <c r="W14" s="3"/>
    </row>
    <row r="15" spans="1:23" x14ac:dyDescent="0.3">
      <c r="A15" s="10" t="str">
        <f>'pesos FIA'!A15</f>
        <v>BRSR6</v>
      </c>
      <c r="B15" s="11">
        <f>'pesos FIA'!B15</f>
        <v>1.2E-2</v>
      </c>
      <c r="E15" s="5" t="str">
        <f t="shared" si="0"/>
        <v>BRSR6</v>
      </c>
      <c r="F15" s="5">
        <f t="shared" si="1"/>
        <v>6.5964000000000014E-3</v>
      </c>
      <c r="G15" s="5"/>
      <c r="K15" s="3">
        <f>VLOOKUP(A15,'[1]29 - FIA'!$A$9:$B$219,2,0)</f>
        <v>1.2E-2</v>
      </c>
      <c r="L15" t="b">
        <f t="shared" si="2"/>
        <v>1</v>
      </c>
      <c r="N15" s="15"/>
      <c r="O15" s="15"/>
      <c r="R15" s="7"/>
      <c r="S15" s="7"/>
      <c r="U15" s="15"/>
      <c r="W15" s="3"/>
    </row>
    <row r="16" spans="1:23" x14ac:dyDescent="0.3">
      <c r="A16" s="10" t="str">
        <f>'pesos FIA'!A16</f>
        <v>MILS3</v>
      </c>
      <c r="B16" s="11">
        <f>'pesos FIA'!B16</f>
        <v>1.4E-2</v>
      </c>
      <c r="E16" s="5" t="str">
        <f t="shared" si="0"/>
        <v>MILS3</v>
      </c>
      <c r="F16" s="5">
        <f t="shared" si="1"/>
        <v>7.6958000000000009E-3</v>
      </c>
      <c r="G16" s="5"/>
      <c r="K16" s="3">
        <f>VLOOKUP(A16,'[1]29 - FIA'!$A$9:$B$219,2,0)</f>
        <v>1.4E-2</v>
      </c>
      <c r="L16" t="b">
        <f t="shared" si="2"/>
        <v>1</v>
      </c>
      <c r="N16" s="15"/>
      <c r="O16" s="15"/>
      <c r="R16" s="7"/>
      <c r="S16" s="7"/>
      <c r="U16" s="15"/>
      <c r="W16" s="3"/>
    </row>
    <row r="17" spans="1:23" x14ac:dyDescent="0.3">
      <c r="A17" s="10" t="str">
        <f>'pesos FIA'!A17</f>
        <v>AURA33</v>
      </c>
      <c r="B17" s="11">
        <f>'pesos FIA'!B17</f>
        <v>5.0000000000000001E-3</v>
      </c>
      <c r="E17" s="5" t="str">
        <f t="shared" si="0"/>
        <v>AURA33</v>
      </c>
      <c r="F17" s="5">
        <f t="shared" si="1"/>
        <v>2.7485000000000005E-3</v>
      </c>
      <c r="G17" s="5"/>
      <c r="K17" s="3">
        <f>VLOOKUP(A17,'[1]29 - FIA'!$A$9:$B$219,2,0)</f>
        <v>5.0000000000000001E-3</v>
      </c>
      <c r="L17" t="b">
        <f t="shared" si="2"/>
        <v>1</v>
      </c>
      <c r="N17" s="15"/>
      <c r="O17" s="15"/>
      <c r="R17" s="7"/>
      <c r="S17" s="7"/>
      <c r="U17" s="15"/>
      <c r="W17" s="3"/>
    </row>
    <row r="18" spans="1:23" x14ac:dyDescent="0.3">
      <c r="A18" s="10" t="str">
        <f>'pesos FIA'!A18</f>
        <v>BRAP4</v>
      </c>
      <c r="B18" s="11">
        <f>'pesos FIA'!B18</f>
        <v>1.4999999999999999E-2</v>
      </c>
      <c r="E18" s="5" t="str">
        <f t="shared" si="0"/>
        <v>BRAP4</v>
      </c>
      <c r="F18" s="5">
        <f t="shared" si="1"/>
        <v>8.2455000000000011E-3</v>
      </c>
      <c r="G18" s="5"/>
      <c r="K18" s="3">
        <f>VLOOKUP(A18,'[1]29 - FIA'!$A$9:$B$219,2,0)</f>
        <v>1.4999999999999999E-2</v>
      </c>
      <c r="L18" t="b">
        <f t="shared" si="2"/>
        <v>1</v>
      </c>
      <c r="N18" s="15"/>
      <c r="O18" s="15"/>
      <c r="R18" s="7"/>
      <c r="S18" s="7"/>
      <c r="U18" s="15"/>
      <c r="W18" s="3"/>
    </row>
    <row r="19" spans="1:23" x14ac:dyDescent="0.3">
      <c r="A19" s="10" t="str">
        <f>'pesos FIA'!A19</f>
        <v>INTB3</v>
      </c>
      <c r="B19" s="11">
        <f>'pesos FIA'!B19</f>
        <v>8.9999999999999993E-3</v>
      </c>
      <c r="E19" s="5" t="str">
        <f t="shared" si="0"/>
        <v>INTB3</v>
      </c>
      <c r="F19" s="5">
        <f t="shared" si="1"/>
        <v>4.9473E-3</v>
      </c>
      <c r="G19" s="5"/>
      <c r="K19" s="3">
        <f>VLOOKUP(A19,'[1]29 - FIA'!$A$9:$B$219,2,0)</f>
        <v>8.9999999999999993E-3</v>
      </c>
      <c r="L19" t="b">
        <f t="shared" si="2"/>
        <v>1</v>
      </c>
      <c r="N19" s="15"/>
      <c r="O19" s="15"/>
      <c r="R19" s="7"/>
      <c r="S19" s="7"/>
      <c r="U19" s="15"/>
      <c r="W19" s="3"/>
    </row>
    <row r="20" spans="1:23" x14ac:dyDescent="0.3">
      <c r="A20" s="10" t="str">
        <f>'pesos FIA'!A20</f>
        <v>SEER3</v>
      </c>
      <c r="B20" s="11">
        <f>'pesos FIA'!B20</f>
        <v>7.0000000000000001E-3</v>
      </c>
      <c r="E20" s="5" t="str">
        <f t="shared" si="0"/>
        <v>SEER3</v>
      </c>
      <c r="F20" s="5">
        <f t="shared" si="1"/>
        <v>3.8479000000000005E-3</v>
      </c>
      <c r="G20" s="5"/>
      <c r="K20" s="3">
        <f>VLOOKUP(A20,'[1]29 - FIA'!$A$9:$B$219,2,0)</f>
        <v>7.0000000000000001E-3</v>
      </c>
      <c r="L20" t="b">
        <f t="shared" si="2"/>
        <v>1</v>
      </c>
      <c r="N20" s="15"/>
      <c r="O20" s="15"/>
      <c r="R20" s="7"/>
      <c r="S20" s="7"/>
      <c r="U20" s="15"/>
      <c r="W20" s="3"/>
    </row>
    <row r="21" spans="1:23" x14ac:dyDescent="0.3">
      <c r="A21" s="10" t="str">
        <f>'pesos FIA'!A21</f>
        <v>PETR4</v>
      </c>
      <c r="B21" s="11">
        <f>'pesos FIA'!B21</f>
        <v>0.05</v>
      </c>
      <c r="E21" s="5" t="str">
        <f t="shared" si="0"/>
        <v>PETR4</v>
      </c>
      <c r="F21" s="5">
        <f t="shared" si="1"/>
        <v>2.7485000000000006E-2</v>
      </c>
      <c r="G21" s="5"/>
      <c r="K21" s="3">
        <f>VLOOKUP(A21,'[1]29 - FIA'!$A$9:$B$219,2,0)</f>
        <v>0.05</v>
      </c>
      <c r="L21" t="b">
        <f t="shared" si="2"/>
        <v>1</v>
      </c>
      <c r="N21" s="15"/>
      <c r="O21" s="15"/>
      <c r="R21" s="7"/>
      <c r="S21" s="7"/>
      <c r="U21" s="15"/>
      <c r="W21" s="3"/>
    </row>
    <row r="22" spans="1:23" x14ac:dyDescent="0.3">
      <c r="A22" s="10" t="str">
        <f>'pesos FIA'!A22</f>
        <v>PINE4</v>
      </c>
      <c r="B22" s="11">
        <f>'pesos FIA'!B22</f>
        <v>8.0000000000000002E-3</v>
      </c>
      <c r="E22" s="5" t="str">
        <f t="shared" si="0"/>
        <v>PINE4</v>
      </c>
      <c r="F22" s="5">
        <f t="shared" si="1"/>
        <v>4.3976000000000006E-3</v>
      </c>
      <c r="G22" s="5"/>
      <c r="K22" s="3">
        <f>VLOOKUP(A22,'[1]29 - FIA'!$A$9:$B$219,2,0)</f>
        <v>8.0000000000000002E-3</v>
      </c>
      <c r="L22" t="b">
        <f t="shared" si="2"/>
        <v>1</v>
      </c>
      <c r="N22" s="15"/>
      <c r="O22" s="15"/>
      <c r="R22" s="7"/>
      <c r="S22" s="7"/>
      <c r="U22" s="15"/>
      <c r="W22" s="3"/>
    </row>
    <row r="23" spans="1:23" x14ac:dyDescent="0.3">
      <c r="A23" s="10" t="str">
        <f>'pesos FIA'!A23</f>
        <v>POMO4</v>
      </c>
      <c r="B23" s="11">
        <f>'pesos FIA'!B23</f>
        <v>0.01</v>
      </c>
      <c r="E23" s="5" t="str">
        <f t="shared" si="0"/>
        <v>POMO4</v>
      </c>
      <c r="F23" s="5">
        <f t="shared" si="1"/>
        <v>5.497000000000001E-3</v>
      </c>
      <c r="G23" s="5"/>
      <c r="K23" s="3">
        <f>VLOOKUP(A23,'[1]29 - FIA'!$A$9:$B$219,2,0)</f>
        <v>0.01</v>
      </c>
      <c r="L23" t="b">
        <f t="shared" si="2"/>
        <v>1</v>
      </c>
      <c r="N23" s="15"/>
      <c r="O23" s="15"/>
      <c r="R23" s="7"/>
      <c r="S23" s="7"/>
      <c r="U23" s="15"/>
      <c r="W23" s="3"/>
    </row>
    <row r="24" spans="1:23" x14ac:dyDescent="0.3">
      <c r="A24" s="10" t="str">
        <f>'pesos FIA'!A24</f>
        <v>PETR3</v>
      </c>
      <c r="B24" s="11">
        <f>'pesos FIA'!B24</f>
        <v>4.3999999999999997E-2</v>
      </c>
      <c r="E24" s="5" t="str">
        <f t="shared" si="0"/>
        <v>PETR3</v>
      </c>
      <c r="F24" s="5">
        <f t="shared" si="1"/>
        <v>2.4186800000000001E-2</v>
      </c>
      <c r="G24" s="5"/>
      <c r="K24" s="3">
        <f>VLOOKUP(A24,'[1]29 - FIA'!$A$9:$B$219,2,0)</f>
        <v>4.3999999999999997E-2</v>
      </c>
      <c r="L24" t="b">
        <f t="shared" si="2"/>
        <v>1</v>
      </c>
      <c r="N24" s="15"/>
      <c r="O24" s="15"/>
      <c r="R24" s="7"/>
      <c r="S24" s="7"/>
      <c r="U24" s="15"/>
      <c r="W24" s="3"/>
    </row>
    <row r="25" spans="1:23" x14ac:dyDescent="0.3">
      <c r="A25" s="10" t="str">
        <f>'pesos FIA'!A25</f>
        <v>CSED3</v>
      </c>
      <c r="B25" s="11">
        <f>'pesos FIA'!B25</f>
        <v>8.9999999999999993E-3</v>
      </c>
      <c r="E25" s="5" t="str">
        <f t="shared" si="0"/>
        <v>CSED3</v>
      </c>
      <c r="F25" s="5">
        <f t="shared" si="1"/>
        <v>4.9473E-3</v>
      </c>
      <c r="G25" s="5"/>
      <c r="K25" s="3">
        <f>VLOOKUP(A25,'[1]29 - FIA'!$A$9:$B$219,2,0)</f>
        <v>8.9999999999999993E-3</v>
      </c>
      <c r="L25" t="b">
        <f t="shared" si="2"/>
        <v>1</v>
      </c>
      <c r="N25" s="15"/>
      <c r="O25" s="15"/>
      <c r="R25" s="7"/>
      <c r="S25" s="7"/>
      <c r="U25" s="15"/>
      <c r="W25" s="3"/>
    </row>
    <row r="26" spans="1:23" x14ac:dyDescent="0.3">
      <c r="A26" s="10" t="str">
        <f>'pesos FIA'!A26</f>
        <v>OPCT3</v>
      </c>
      <c r="B26" s="11">
        <f>'pesos FIA'!B26</f>
        <v>1.2999999999999999E-2</v>
      </c>
      <c r="E26" s="5" t="str">
        <f t="shared" si="0"/>
        <v>OPCT3</v>
      </c>
      <c r="F26" s="5">
        <f t="shared" si="1"/>
        <v>7.1461000000000007E-3</v>
      </c>
      <c r="G26" s="5"/>
      <c r="K26" s="3">
        <f>VLOOKUP(A26,'[1]29 - FIA'!$A$9:$B$219,2,0)</f>
        <v>1.2999999999999999E-2</v>
      </c>
      <c r="L26" t="b">
        <f t="shared" si="2"/>
        <v>1</v>
      </c>
      <c r="N26" s="15"/>
      <c r="O26" s="15"/>
      <c r="R26" s="7"/>
      <c r="S26" s="7"/>
      <c r="U26" s="15"/>
      <c r="W26" s="3"/>
    </row>
    <row r="27" spans="1:23" x14ac:dyDescent="0.3">
      <c r="A27" s="10" t="str">
        <f>'pesos FIA'!A27</f>
        <v>ESPA3</v>
      </c>
      <c r="B27" s="11">
        <f>'pesos FIA'!B27</f>
        <v>3.0000000000000001E-3</v>
      </c>
      <c r="E27" s="5" t="str">
        <f t="shared" si="0"/>
        <v>ESPA3</v>
      </c>
      <c r="F27" s="5">
        <f t="shared" si="1"/>
        <v>1.6491000000000003E-3</v>
      </c>
      <c r="G27" s="5"/>
      <c r="K27" s="3">
        <f>VLOOKUP(A27,'[1]29 - FIA'!$A$9:$B$219,2,0)</f>
        <v>3.0000000000000001E-3</v>
      </c>
      <c r="L27" t="b">
        <f t="shared" si="2"/>
        <v>1</v>
      </c>
      <c r="N27" s="15"/>
      <c r="O27" s="15"/>
      <c r="R27" s="7"/>
      <c r="S27" s="7"/>
      <c r="U27" s="15"/>
      <c r="W27" s="3"/>
    </row>
    <row r="28" spans="1:23" x14ac:dyDescent="0.3">
      <c r="A28" s="10" t="str">
        <f>'pesos FIA'!A28</f>
        <v>VTRU3</v>
      </c>
      <c r="B28" s="11">
        <f>'pesos FIA'!B28</f>
        <v>7.0000000000000001E-3</v>
      </c>
      <c r="E28" s="5" t="str">
        <f t="shared" si="0"/>
        <v>VTRU3</v>
      </c>
      <c r="F28" s="5">
        <f t="shared" si="1"/>
        <v>3.8479000000000005E-3</v>
      </c>
      <c r="G28" s="5"/>
      <c r="K28" s="3">
        <f>VLOOKUP(A28,'[1]29 - FIA'!$A$9:$B$219,2,0)</f>
        <v>7.0000000000000001E-3</v>
      </c>
      <c r="L28" t="b">
        <f t="shared" si="2"/>
        <v>1</v>
      </c>
      <c r="N28" s="15"/>
      <c r="O28" s="15"/>
      <c r="R28" s="7"/>
      <c r="S28" s="7"/>
      <c r="U28" s="15"/>
      <c r="W28" s="3"/>
    </row>
    <row r="29" spans="1:23" x14ac:dyDescent="0.3">
      <c r="A29" s="10" t="str">
        <f>'pesos FIA'!A29</f>
        <v>ABCB4</v>
      </c>
      <c r="B29" s="11">
        <f>'pesos FIA'!B29</f>
        <v>1.6E-2</v>
      </c>
      <c r="E29" s="5" t="str">
        <f t="shared" si="0"/>
        <v>ABCB4</v>
      </c>
      <c r="F29" s="5">
        <f t="shared" si="1"/>
        <v>8.7952000000000013E-3</v>
      </c>
      <c r="G29" s="5"/>
      <c r="K29" s="3">
        <f>VLOOKUP(A29,'[1]29 - FIA'!$A$9:$B$219,2,0)</f>
        <v>1.6E-2</v>
      </c>
      <c r="L29" t="b">
        <f t="shared" si="2"/>
        <v>1</v>
      </c>
      <c r="N29" s="15"/>
      <c r="O29" s="15"/>
      <c r="R29" s="7"/>
      <c r="S29" s="7"/>
      <c r="U29" s="15"/>
      <c r="W29" s="3"/>
    </row>
    <row r="30" spans="1:23" x14ac:dyDescent="0.3">
      <c r="A30" s="10" t="str">
        <f>'pesos FIA'!A30</f>
        <v>MELK3</v>
      </c>
      <c r="B30" s="11">
        <f>'pesos FIA'!B30</f>
        <v>1.4E-2</v>
      </c>
      <c r="E30" s="5" t="str">
        <f t="shared" si="0"/>
        <v>MELK3</v>
      </c>
      <c r="F30" s="5">
        <f t="shared" si="1"/>
        <v>7.6958000000000009E-3</v>
      </c>
      <c r="G30" s="5"/>
      <c r="K30" s="3">
        <f>VLOOKUP(A30,'[1]29 - FIA'!$A$9:$B$219,2,0)</f>
        <v>1.4E-2</v>
      </c>
      <c r="L30" t="b">
        <f t="shared" si="2"/>
        <v>1</v>
      </c>
      <c r="N30" s="15"/>
      <c r="O30" s="15"/>
      <c r="R30" s="7"/>
      <c r="S30" s="7"/>
      <c r="U30" s="15"/>
      <c r="W30" s="3"/>
    </row>
    <row r="31" spans="1:23" x14ac:dyDescent="0.3">
      <c r="A31" s="10" t="str">
        <f>'pesos FIA'!A31</f>
        <v>BMOB3</v>
      </c>
      <c r="B31" s="11">
        <f>'pesos FIA'!B31</f>
        <v>1.4E-2</v>
      </c>
      <c r="E31" s="5" t="str">
        <f t="shared" si="0"/>
        <v>BMOB3</v>
      </c>
      <c r="F31" s="5">
        <f t="shared" si="1"/>
        <v>7.6958000000000009E-3</v>
      </c>
      <c r="G31" s="5"/>
      <c r="K31" s="3">
        <f>VLOOKUP(A31,'[1]29 - FIA'!$A$9:$B$219,2,0)</f>
        <v>1.4E-2</v>
      </c>
      <c r="L31" t="b">
        <f t="shared" si="2"/>
        <v>1</v>
      </c>
      <c r="N31" s="15"/>
      <c r="O31" s="15"/>
      <c r="R31" s="7"/>
      <c r="S31" s="7"/>
      <c r="U31" s="15"/>
      <c r="W31" s="3"/>
    </row>
    <row r="32" spans="1:23" x14ac:dyDescent="0.3">
      <c r="A32" s="10" t="str">
        <f>'pesos FIA'!A32</f>
        <v>LEVE3</v>
      </c>
      <c r="B32" s="11">
        <f>'pesos FIA'!B32</f>
        <v>1.2E-2</v>
      </c>
      <c r="E32" s="5" t="str">
        <f t="shared" si="0"/>
        <v>LEVE3</v>
      </c>
      <c r="F32" s="5">
        <f t="shared" si="1"/>
        <v>6.5964000000000014E-3</v>
      </c>
      <c r="G32" s="5"/>
      <c r="K32" s="3">
        <f>VLOOKUP(A32,'[1]29 - FIA'!$A$9:$B$219,2,0)</f>
        <v>1.2E-2</v>
      </c>
      <c r="L32" t="b">
        <f t="shared" si="2"/>
        <v>1</v>
      </c>
      <c r="N32" s="15"/>
      <c r="O32" s="15"/>
      <c r="R32" s="7"/>
      <c r="S32" s="7"/>
      <c r="U32" s="15"/>
      <c r="W32" s="3"/>
    </row>
    <row r="33" spans="1:23" x14ac:dyDescent="0.3">
      <c r="A33" s="10" t="str">
        <f>'pesos FIA'!A33</f>
        <v>EUCA4</v>
      </c>
      <c r="B33" s="11">
        <f>'pesos FIA'!B33</f>
        <v>8.9999999999999993E-3</v>
      </c>
      <c r="E33" s="5" t="str">
        <f t="shared" si="0"/>
        <v>EUCA4</v>
      </c>
      <c r="F33" s="5">
        <f t="shared" si="1"/>
        <v>4.9473E-3</v>
      </c>
      <c r="G33" s="5"/>
      <c r="K33" s="3">
        <f>VLOOKUP(A33,'[1]29 - FIA'!$A$9:$B$219,2,0)</f>
        <v>8.9999999999999993E-3</v>
      </c>
      <c r="L33" t="b">
        <f t="shared" si="2"/>
        <v>1</v>
      </c>
      <c r="N33" s="15"/>
      <c r="O33" s="15"/>
      <c r="R33" s="7"/>
      <c r="S33" s="7"/>
      <c r="U33" s="15"/>
      <c r="W33" s="3"/>
    </row>
    <row r="34" spans="1:23" x14ac:dyDescent="0.3">
      <c r="A34" s="10" t="str">
        <f>'pesos FIA'!A34</f>
        <v>CSUD3</v>
      </c>
      <c r="B34" s="11">
        <f>'pesos FIA'!B34</f>
        <v>1.2999999999999999E-2</v>
      </c>
      <c r="E34" s="5" t="str">
        <f t="shared" si="0"/>
        <v>CSUD3</v>
      </c>
      <c r="F34" s="5">
        <f t="shared" ref="F34:F66" si="3">(1-$F$72-$F$73-$F$74)*B34</f>
        <v>7.1461000000000007E-3</v>
      </c>
      <c r="G34" s="5"/>
      <c r="K34" s="3">
        <f>VLOOKUP(A34,'[1]29 - FIA'!$A$9:$B$219,2,0)</f>
        <v>1.2999999999999999E-2</v>
      </c>
      <c r="L34" t="b">
        <f t="shared" si="2"/>
        <v>1</v>
      </c>
      <c r="N34" s="15"/>
      <c r="O34" s="15"/>
      <c r="R34" s="7"/>
      <c r="S34" s="7"/>
      <c r="U34" s="15"/>
      <c r="W34" s="3"/>
    </row>
    <row r="35" spans="1:23" x14ac:dyDescent="0.3">
      <c r="A35" s="10" t="str">
        <f>'pesos FIA'!A35</f>
        <v>PNVL3</v>
      </c>
      <c r="B35" s="11">
        <f>'pesos FIA'!B35</f>
        <v>1.0999999999999999E-2</v>
      </c>
      <c r="E35" s="5" t="str">
        <f t="shared" si="0"/>
        <v>PNVL3</v>
      </c>
      <c r="F35" s="5">
        <f t="shared" si="3"/>
        <v>6.0467000000000003E-3</v>
      </c>
      <c r="G35" s="5"/>
      <c r="K35" s="3">
        <f>VLOOKUP(A35,'[1]29 - FIA'!$A$9:$B$219,2,0)</f>
        <v>1.0999999999999999E-2</v>
      </c>
      <c r="L35" t="b">
        <f t="shared" si="2"/>
        <v>1</v>
      </c>
      <c r="N35" s="15"/>
      <c r="O35" s="15"/>
      <c r="R35" s="7"/>
      <c r="S35" s="7"/>
      <c r="U35" s="15"/>
      <c r="W35" s="3"/>
    </row>
    <row r="36" spans="1:23" x14ac:dyDescent="0.3">
      <c r="A36" s="10" t="str">
        <f>'pesos FIA'!A36</f>
        <v>MDNE3</v>
      </c>
      <c r="B36" s="11">
        <f>'pesos FIA'!B36</f>
        <v>7.0000000000000001E-3</v>
      </c>
      <c r="E36" s="5" t="str">
        <f t="shared" si="0"/>
        <v>MDNE3</v>
      </c>
      <c r="F36" s="5">
        <f t="shared" si="3"/>
        <v>3.8479000000000005E-3</v>
      </c>
      <c r="G36" s="5"/>
      <c r="K36" s="3">
        <f>VLOOKUP(A36,'[1]29 - FIA'!$A$9:$B$219,2,0)</f>
        <v>7.0000000000000001E-3</v>
      </c>
      <c r="L36" t="b">
        <f t="shared" si="2"/>
        <v>1</v>
      </c>
      <c r="N36" s="15"/>
      <c r="O36" s="15"/>
      <c r="R36" s="7"/>
      <c r="S36" s="7"/>
      <c r="U36" s="15"/>
      <c r="W36" s="3"/>
    </row>
    <row r="37" spans="1:23" x14ac:dyDescent="0.3">
      <c r="A37" s="10" t="str">
        <f>'pesos FIA'!A37</f>
        <v>SHUL4</v>
      </c>
      <c r="B37" s="11">
        <f>'pesos FIA'!B37</f>
        <v>1.2E-2</v>
      </c>
      <c r="E37" s="5" t="str">
        <f t="shared" si="0"/>
        <v>SHUL4</v>
      </c>
      <c r="F37" s="5">
        <f t="shared" si="3"/>
        <v>6.5964000000000014E-3</v>
      </c>
      <c r="G37" s="5"/>
      <c r="K37" s="3">
        <f>VLOOKUP(A37,'[1]29 - FIA'!$A$9:$B$219,2,0)</f>
        <v>1.2E-2</v>
      </c>
      <c r="L37" t="b">
        <f t="shared" si="2"/>
        <v>1</v>
      </c>
      <c r="N37" s="15"/>
      <c r="O37" s="15"/>
      <c r="R37" s="7"/>
      <c r="S37" s="7"/>
      <c r="U37" s="15"/>
      <c r="W37" s="3"/>
    </row>
    <row r="38" spans="1:23" x14ac:dyDescent="0.3">
      <c r="A38" s="10" t="str">
        <f>'pesos FIA'!A38</f>
        <v>POSI3</v>
      </c>
      <c r="B38" s="11">
        <f>'pesos FIA'!B38</f>
        <v>1.2999999999999999E-2</v>
      </c>
      <c r="E38" s="5" t="str">
        <f t="shared" si="0"/>
        <v>POSI3</v>
      </c>
      <c r="F38" s="5">
        <f t="shared" si="3"/>
        <v>7.1461000000000007E-3</v>
      </c>
      <c r="G38" s="5"/>
      <c r="K38" s="3">
        <f>VLOOKUP(A38,'[1]29 - FIA'!$A$9:$B$219,2,0)</f>
        <v>1.2999999999999999E-2</v>
      </c>
      <c r="L38" t="b">
        <f t="shared" si="2"/>
        <v>1</v>
      </c>
      <c r="N38" s="15"/>
      <c r="O38" s="15"/>
      <c r="R38" s="7"/>
      <c r="S38" s="7"/>
      <c r="U38" s="15"/>
      <c r="W38" s="3"/>
    </row>
    <row r="39" spans="1:23" x14ac:dyDescent="0.3">
      <c r="A39" s="10" t="str">
        <f>'pesos FIA'!A39</f>
        <v>PFRM3</v>
      </c>
      <c r="B39" s="11">
        <f>'pesos FIA'!B39</f>
        <v>8.9999999999999993E-3</v>
      </c>
      <c r="E39" s="5" t="str">
        <f t="shared" si="0"/>
        <v>PFRM3</v>
      </c>
      <c r="F39" s="5">
        <f t="shared" si="3"/>
        <v>4.9473E-3</v>
      </c>
      <c r="G39" s="5"/>
      <c r="K39" s="3">
        <f>VLOOKUP(A39,'[1]29 - FIA'!$A$9:$B$219,2,0)</f>
        <v>8.9999999999999993E-3</v>
      </c>
      <c r="L39" t="b">
        <f t="shared" si="2"/>
        <v>1</v>
      </c>
      <c r="N39" s="15"/>
      <c r="O39" s="15"/>
      <c r="R39" s="7"/>
      <c r="S39" s="7"/>
      <c r="U39" s="15"/>
      <c r="W39" s="3"/>
    </row>
    <row r="40" spans="1:23" x14ac:dyDescent="0.3">
      <c r="A40" s="10" t="str">
        <f>'pesos FIA'!A40</f>
        <v>GOAU4</v>
      </c>
      <c r="B40" s="11">
        <f>'pesos FIA'!B40</f>
        <v>1.2999999999999999E-2</v>
      </c>
      <c r="E40" s="5" t="str">
        <f t="shared" si="0"/>
        <v>GOAU4</v>
      </c>
      <c r="F40" s="5">
        <f t="shared" si="3"/>
        <v>7.1461000000000007E-3</v>
      </c>
      <c r="G40" s="5"/>
      <c r="K40" s="3">
        <f>VLOOKUP(A40,'[1]29 - FIA'!$A$9:$B$219,2,0)</f>
        <v>1.2999999999999999E-2</v>
      </c>
      <c r="L40" t="b">
        <f t="shared" si="2"/>
        <v>1</v>
      </c>
      <c r="N40" s="15"/>
      <c r="O40" s="15"/>
      <c r="R40" s="7"/>
      <c r="S40" s="7"/>
      <c r="U40" s="15"/>
      <c r="W40" s="3"/>
    </row>
    <row r="41" spans="1:23" x14ac:dyDescent="0.3">
      <c r="A41" s="10" t="str">
        <f>'pesos FIA'!A41</f>
        <v>ITSA4</v>
      </c>
      <c r="B41" s="11">
        <f>'pesos FIA'!B41</f>
        <v>4.2000000000000003E-2</v>
      </c>
      <c r="E41" s="5" t="str">
        <f t="shared" si="0"/>
        <v>ITSA4</v>
      </c>
      <c r="F41" s="5">
        <f t="shared" si="3"/>
        <v>2.3087400000000004E-2</v>
      </c>
      <c r="G41" s="5"/>
      <c r="K41" s="3">
        <f>VLOOKUP(A41,'[1]29 - FIA'!$A$9:$B$219,2,0)</f>
        <v>4.2000000000000003E-2</v>
      </c>
      <c r="L41" t="b">
        <f t="shared" si="2"/>
        <v>1</v>
      </c>
      <c r="N41" s="15"/>
      <c r="O41" s="15"/>
      <c r="R41" s="7"/>
      <c r="S41" s="7"/>
      <c r="U41" s="15"/>
      <c r="W41" s="3"/>
    </row>
    <row r="42" spans="1:23" x14ac:dyDescent="0.3">
      <c r="A42" s="10" t="str">
        <f>'pesos FIA'!A42</f>
        <v>ALPA4</v>
      </c>
      <c r="B42" s="11">
        <f>'pesos FIA'!B42</f>
        <v>8.9999999999999993E-3</v>
      </c>
      <c r="E42" s="5" t="str">
        <f t="shared" si="0"/>
        <v>ALPA4</v>
      </c>
      <c r="F42" s="5">
        <f t="shared" si="3"/>
        <v>4.9473E-3</v>
      </c>
      <c r="G42" s="5"/>
      <c r="K42" s="3">
        <f>VLOOKUP(A42,'[1]29 - FIA'!$A$9:$B$219,2,0)</f>
        <v>8.9999999999999993E-3</v>
      </c>
      <c r="L42" t="b">
        <f t="shared" si="2"/>
        <v>1</v>
      </c>
      <c r="N42" s="15"/>
      <c r="O42" s="15"/>
      <c r="R42" s="7"/>
      <c r="S42" s="7"/>
      <c r="U42" s="15"/>
      <c r="W42" s="3"/>
    </row>
    <row r="43" spans="1:23" x14ac:dyDescent="0.3">
      <c r="A43" s="10" t="str">
        <f>'pesos FIA'!A43</f>
        <v>SAPR4</v>
      </c>
      <c r="B43" s="11">
        <f>'pesos FIA'!B43</f>
        <v>0.02</v>
      </c>
      <c r="E43" s="5" t="str">
        <f t="shared" si="0"/>
        <v>SAPR4</v>
      </c>
      <c r="F43" s="5">
        <f t="shared" si="3"/>
        <v>1.0994000000000002E-2</v>
      </c>
      <c r="G43" s="5"/>
      <c r="K43" s="3">
        <f>VLOOKUP(A43,'[1]29 - FIA'!$A$9:$B$219,2,0)</f>
        <v>0.02</v>
      </c>
      <c r="L43" t="b">
        <f t="shared" si="2"/>
        <v>1</v>
      </c>
      <c r="N43" s="15"/>
      <c r="O43" s="15"/>
      <c r="R43" s="7"/>
      <c r="S43" s="7"/>
      <c r="U43" s="15"/>
      <c r="W43" s="3"/>
    </row>
    <row r="44" spans="1:23" x14ac:dyDescent="0.3">
      <c r="A44" s="10" t="str">
        <f>'pesos FIA'!A44</f>
        <v>TIMS3</v>
      </c>
      <c r="B44" s="11">
        <f>'pesos FIA'!B44</f>
        <v>2.5000000000000001E-2</v>
      </c>
      <c r="E44" s="5" t="str">
        <f t="shared" si="0"/>
        <v>TIMS3</v>
      </c>
      <c r="F44" s="5">
        <f t="shared" si="3"/>
        <v>1.3742500000000003E-2</v>
      </c>
      <c r="G44" s="5"/>
      <c r="K44" s="3">
        <f>VLOOKUP(A44,'[1]29 - FIA'!$A$9:$B$219,2,0)</f>
        <v>2.5000000000000001E-2</v>
      </c>
      <c r="L44" t="b">
        <f t="shared" si="2"/>
        <v>1</v>
      </c>
      <c r="N44" s="15"/>
      <c r="O44" s="15"/>
      <c r="R44" s="7"/>
      <c r="S44" s="7"/>
      <c r="U44" s="15"/>
      <c r="W44" s="3"/>
    </row>
    <row r="45" spans="1:23" x14ac:dyDescent="0.3">
      <c r="A45" s="10" t="str">
        <f>'pesos FIA'!A45</f>
        <v>BBSE3</v>
      </c>
      <c r="B45" s="11">
        <f>'pesos FIA'!B45</f>
        <v>2.1999999999999999E-2</v>
      </c>
      <c r="E45" s="5" t="str">
        <f t="shared" si="0"/>
        <v>BBSE3</v>
      </c>
      <c r="F45" s="5">
        <f t="shared" si="3"/>
        <v>1.2093400000000001E-2</v>
      </c>
      <c r="G45" s="5"/>
      <c r="K45" s="3">
        <f>VLOOKUP(A45,'[1]29 - FIA'!$A$9:$B$219,2,0)</f>
        <v>2.1999999999999999E-2</v>
      </c>
      <c r="L45" t="b">
        <f t="shared" si="2"/>
        <v>1</v>
      </c>
      <c r="N45" s="15"/>
      <c r="O45" s="15"/>
      <c r="R45" s="7"/>
      <c r="S45" s="7"/>
      <c r="U45" s="15"/>
      <c r="W45" s="3"/>
    </row>
    <row r="46" spans="1:23" x14ac:dyDescent="0.3">
      <c r="A46" s="10" t="str">
        <f>'pesos FIA'!A46</f>
        <v>EZTC3</v>
      </c>
      <c r="B46" s="11">
        <f>'pesos FIA'!B46</f>
        <v>0.01</v>
      </c>
      <c r="E46" s="5" t="str">
        <f t="shared" si="0"/>
        <v>EZTC3</v>
      </c>
      <c r="F46" s="5">
        <f t="shared" si="3"/>
        <v>5.497000000000001E-3</v>
      </c>
      <c r="G46" s="5"/>
      <c r="K46" s="3">
        <f>VLOOKUP(A46,'[1]29 - FIA'!$A$9:$B$219,2,0)</f>
        <v>0.01</v>
      </c>
      <c r="L46" t="b">
        <f t="shared" si="2"/>
        <v>1</v>
      </c>
      <c r="N46" s="15"/>
      <c r="O46" s="15"/>
      <c r="R46" s="7"/>
      <c r="S46" s="7"/>
      <c r="U46" s="15"/>
      <c r="W46" s="3"/>
    </row>
    <row r="47" spans="1:23" x14ac:dyDescent="0.3">
      <c r="A47" s="10" t="str">
        <f>'pesos FIA'!A47</f>
        <v>IGTI11</v>
      </c>
      <c r="B47" s="11">
        <f>'pesos FIA'!B47</f>
        <v>1.4E-2</v>
      </c>
      <c r="E47" s="5" t="str">
        <f t="shared" si="0"/>
        <v>IGTI11</v>
      </c>
      <c r="F47" s="5">
        <f t="shared" si="3"/>
        <v>7.6958000000000009E-3</v>
      </c>
      <c r="G47" s="5"/>
      <c r="K47" s="3">
        <f>VLOOKUP(A47,'[1]29 - FIA'!$A$9:$B$219,2,0)</f>
        <v>1.4E-2</v>
      </c>
      <c r="L47" t="b">
        <f t="shared" si="2"/>
        <v>1</v>
      </c>
      <c r="N47" s="15"/>
      <c r="O47" s="15"/>
      <c r="R47" s="7"/>
      <c r="S47" s="7"/>
      <c r="U47" s="15"/>
      <c r="W47" s="3"/>
    </row>
    <row r="48" spans="1:23" x14ac:dyDescent="0.3">
      <c r="A48" s="10" t="str">
        <f>'pesos FIA'!A48</f>
        <v>PSSA3</v>
      </c>
      <c r="B48" s="11">
        <f>'pesos FIA'!B48</f>
        <v>1.2999999999999999E-2</v>
      </c>
      <c r="E48" s="5" t="str">
        <f t="shared" si="0"/>
        <v>PSSA3</v>
      </c>
      <c r="F48" s="5">
        <f t="shared" si="3"/>
        <v>7.1461000000000007E-3</v>
      </c>
      <c r="G48" s="5"/>
      <c r="K48" s="3">
        <f>VLOOKUP(A48,'[1]29 - FIA'!$A$9:$B$219,2,0)</f>
        <v>1.2999999999999999E-2</v>
      </c>
      <c r="L48" t="b">
        <f t="shared" si="2"/>
        <v>1</v>
      </c>
      <c r="N48" s="15"/>
      <c r="O48" s="15"/>
      <c r="R48" s="7"/>
      <c r="S48" s="7"/>
      <c r="U48" s="15"/>
      <c r="W48" s="3"/>
    </row>
    <row r="49" spans="1:23" x14ac:dyDescent="0.3">
      <c r="A49" s="10" t="str">
        <f>'pesos FIA'!A49</f>
        <v>BMEB4</v>
      </c>
      <c r="B49" s="11">
        <f>'pesos FIA'!B49</f>
        <v>8.0000000000000002E-3</v>
      </c>
      <c r="E49" s="5" t="str">
        <f t="shared" si="0"/>
        <v>BMEB4</v>
      </c>
      <c r="F49" s="5">
        <f t="shared" si="3"/>
        <v>4.3976000000000006E-3</v>
      </c>
      <c r="G49" s="5"/>
      <c r="K49" s="3">
        <f>VLOOKUP(A49,'[1]29 - FIA'!$A$9:$B$219,2,0)</f>
        <v>8.0000000000000002E-3</v>
      </c>
      <c r="L49" t="b">
        <f t="shared" si="2"/>
        <v>1</v>
      </c>
      <c r="N49" s="15"/>
      <c r="O49" s="15"/>
      <c r="R49" s="7"/>
      <c r="S49" s="7"/>
      <c r="U49" s="15"/>
      <c r="W49" s="3"/>
    </row>
    <row r="50" spans="1:23" x14ac:dyDescent="0.3">
      <c r="A50" s="10" t="str">
        <f>'pesos FIA'!A50</f>
        <v>JSLG3</v>
      </c>
      <c r="B50" s="11">
        <f>'pesos FIA'!B50</f>
        <v>4.0000000000000001E-3</v>
      </c>
      <c r="E50" s="5" t="str">
        <f t="shared" si="0"/>
        <v>JSLG3</v>
      </c>
      <c r="F50" s="5">
        <f t="shared" si="3"/>
        <v>2.1988000000000003E-3</v>
      </c>
      <c r="G50" s="5"/>
      <c r="K50" s="3">
        <f>VLOOKUP(A50,'[1]29 - FIA'!$A$9:$B$219,2,0)</f>
        <v>4.0000000000000001E-3</v>
      </c>
      <c r="L50" t="b">
        <f t="shared" si="2"/>
        <v>1</v>
      </c>
      <c r="N50" s="15"/>
      <c r="O50" s="15"/>
      <c r="R50" s="7"/>
      <c r="S50" s="7"/>
      <c r="U50" s="15"/>
      <c r="W50" s="3"/>
    </row>
    <row r="51" spans="1:23" x14ac:dyDescent="0.3">
      <c r="A51" s="10" t="str">
        <f>'pesos FIA'!A51</f>
        <v>SAPR11</v>
      </c>
      <c r="B51" s="11">
        <f>'pesos FIA'!B51</f>
        <v>1.0999999999999999E-2</v>
      </c>
      <c r="E51" s="5" t="str">
        <f t="shared" si="0"/>
        <v>SAPR11</v>
      </c>
      <c r="F51" s="5">
        <f t="shared" si="3"/>
        <v>6.0467000000000003E-3</v>
      </c>
      <c r="G51" s="5"/>
      <c r="K51" s="3">
        <f>VLOOKUP(A51,'[1]29 - FIA'!$A$9:$B$219,2,0)</f>
        <v>1.0999999999999999E-2</v>
      </c>
      <c r="L51" t="b">
        <f t="shared" si="2"/>
        <v>1</v>
      </c>
      <c r="N51" s="15"/>
      <c r="O51" s="15"/>
      <c r="R51" s="7"/>
      <c r="S51" s="7"/>
      <c r="U51" s="15"/>
      <c r="W51" s="3"/>
    </row>
    <row r="52" spans="1:23" x14ac:dyDescent="0.3">
      <c r="A52" s="10" t="str">
        <f>'pesos FIA'!A52</f>
        <v>CURY3</v>
      </c>
      <c r="B52" s="11">
        <f>'pesos FIA'!B52</f>
        <v>8.9999999999999993E-3</v>
      </c>
      <c r="E52" s="5" t="str">
        <f t="shared" si="0"/>
        <v>CURY3</v>
      </c>
      <c r="F52" s="5">
        <f t="shared" si="3"/>
        <v>4.9473E-3</v>
      </c>
      <c r="G52" s="5"/>
      <c r="K52" s="3">
        <f>VLOOKUP(A52,'[1]29 - FIA'!$A$9:$B$219,2,0)</f>
        <v>8.9999999999999993E-3</v>
      </c>
      <c r="L52" t="b">
        <f t="shared" si="2"/>
        <v>1</v>
      </c>
      <c r="N52" s="15"/>
      <c r="O52" s="15"/>
      <c r="R52" s="7"/>
      <c r="S52" s="7"/>
      <c r="U52" s="15"/>
      <c r="W52" s="3"/>
    </row>
    <row r="53" spans="1:23" x14ac:dyDescent="0.3">
      <c r="A53" s="10" t="str">
        <f>'pesos FIA'!A53</f>
        <v>AXIA6</v>
      </c>
      <c r="B53" s="11">
        <f>'pesos FIA'!B53</f>
        <v>2.8000000000000001E-2</v>
      </c>
      <c r="E53" s="5" t="str">
        <f t="shared" si="0"/>
        <v>AXIA6</v>
      </c>
      <c r="F53" s="5">
        <f t="shared" si="3"/>
        <v>1.5391600000000002E-2</v>
      </c>
      <c r="G53" s="5"/>
      <c r="K53" s="3">
        <f>VLOOKUP(A53,'[1]29 - FIA'!$A$9:$B$219,2,0)</f>
        <v>2.8000000000000001E-2</v>
      </c>
      <c r="L53" t="b">
        <f t="shared" si="2"/>
        <v>1</v>
      </c>
      <c r="N53" s="15"/>
      <c r="O53" s="15"/>
      <c r="R53" s="7"/>
      <c r="S53" s="7"/>
      <c r="U53" s="15"/>
      <c r="W53" s="3"/>
    </row>
    <row r="54" spans="1:23" x14ac:dyDescent="0.3">
      <c r="A54" s="10" t="str">
        <f>'pesos FIA'!A54</f>
        <v>ALOS3</v>
      </c>
      <c r="B54" s="11">
        <f>'pesos FIA'!B54</f>
        <v>1.4E-2</v>
      </c>
      <c r="E54" s="5" t="str">
        <f t="shared" si="0"/>
        <v>ALOS3</v>
      </c>
      <c r="F54" s="5">
        <f t="shared" si="3"/>
        <v>7.6958000000000009E-3</v>
      </c>
      <c r="G54" s="5"/>
      <c r="K54" s="3">
        <f>VLOOKUP(A54,'[1]29 - FIA'!$A$9:$B$219,2,0)</f>
        <v>1.4E-2</v>
      </c>
      <c r="L54" t="b">
        <f t="shared" si="2"/>
        <v>1</v>
      </c>
      <c r="N54" s="15"/>
      <c r="O54" s="15"/>
      <c r="R54" s="7"/>
      <c r="S54" s="7"/>
      <c r="U54" s="15"/>
      <c r="W54" s="3"/>
    </row>
    <row r="55" spans="1:23" x14ac:dyDescent="0.3">
      <c r="A55" s="10" t="str">
        <f>'pesos FIA'!A55</f>
        <v>RECV3</v>
      </c>
      <c r="B55" s="11">
        <f>'pesos FIA'!B55</f>
        <v>1.6E-2</v>
      </c>
      <c r="E55" s="5" t="str">
        <f t="shared" si="0"/>
        <v>RECV3</v>
      </c>
      <c r="F55" s="5">
        <f t="shared" si="3"/>
        <v>8.7952000000000013E-3</v>
      </c>
      <c r="G55" s="5"/>
      <c r="K55" s="3">
        <f>VLOOKUP(A55,'[1]29 - FIA'!$A$9:$B$219,2,0)</f>
        <v>1.6E-2</v>
      </c>
      <c r="L55" t="b">
        <f t="shared" si="2"/>
        <v>1</v>
      </c>
      <c r="N55" s="15"/>
      <c r="O55" s="15"/>
      <c r="R55" s="7"/>
      <c r="S55" s="7"/>
      <c r="U55" s="15"/>
      <c r="W55" s="3"/>
    </row>
    <row r="56" spans="1:23" x14ac:dyDescent="0.3">
      <c r="A56" s="10" t="str">
        <f>'pesos FIA'!A56</f>
        <v>JALL3</v>
      </c>
      <c r="B56" s="11">
        <f>'pesos FIA'!B56</f>
        <v>1.2500000000000001E-2</v>
      </c>
      <c r="E56" s="5" t="str">
        <f t="shared" si="0"/>
        <v>JALL3</v>
      </c>
      <c r="F56" s="5">
        <f t="shared" si="3"/>
        <v>6.8712500000000015E-3</v>
      </c>
      <c r="G56" s="5"/>
      <c r="K56" s="3">
        <f>VLOOKUP(A56,'[1]29 - FIA'!$A$9:$B$219,2,0)</f>
        <v>1.2500000000000001E-2</v>
      </c>
      <c r="L56" t="b">
        <f t="shared" si="2"/>
        <v>1</v>
      </c>
      <c r="N56" s="15"/>
      <c r="O56" s="15"/>
      <c r="R56" s="7"/>
      <c r="S56" s="7"/>
      <c r="U56" s="15"/>
      <c r="W56" s="3"/>
    </row>
    <row r="57" spans="1:23" x14ac:dyDescent="0.3">
      <c r="A57" s="10" t="str">
        <f>'pesos FIA'!A57</f>
        <v>B3SA3</v>
      </c>
      <c r="B57" s="11">
        <f>'pesos FIA'!B57</f>
        <v>0.02</v>
      </c>
      <c r="E57" s="5" t="str">
        <f t="shared" si="0"/>
        <v>B3SA3</v>
      </c>
      <c r="F57" s="5">
        <f t="shared" si="3"/>
        <v>1.0994000000000002E-2</v>
      </c>
      <c r="G57" s="5"/>
      <c r="K57" s="3">
        <f>VLOOKUP(A57,'[1]29 - FIA'!$A$9:$B$219,2,0)</f>
        <v>0.02</v>
      </c>
      <c r="L57" t="b">
        <f t="shared" si="2"/>
        <v>1</v>
      </c>
      <c r="N57" s="15"/>
      <c r="O57" s="15"/>
      <c r="R57" s="7"/>
      <c r="S57" s="7"/>
      <c r="U57" s="15"/>
      <c r="W57" s="3"/>
    </row>
    <row r="58" spans="1:23" x14ac:dyDescent="0.3">
      <c r="A58" s="10" t="str">
        <f>'pesos FIA'!A58</f>
        <v>VBBR3</v>
      </c>
      <c r="B58" s="11">
        <f>'pesos FIA'!B58</f>
        <v>2.1999999999999999E-2</v>
      </c>
      <c r="E58" s="5" t="str">
        <f t="shared" si="0"/>
        <v>VBBR3</v>
      </c>
      <c r="F58" s="5">
        <f t="shared" si="3"/>
        <v>1.2093400000000001E-2</v>
      </c>
      <c r="G58" s="5"/>
      <c r="K58" s="3">
        <f>VLOOKUP(A58,'[1]29 - FIA'!$A$9:$B$219,2,0)</f>
        <v>2.1999999999999999E-2</v>
      </c>
      <c r="L58" t="b">
        <f t="shared" si="2"/>
        <v>1</v>
      </c>
      <c r="N58" s="15"/>
      <c r="O58" s="15"/>
      <c r="R58" s="7"/>
      <c r="S58" s="7"/>
      <c r="U58" s="15"/>
      <c r="W58" s="3"/>
    </row>
    <row r="59" spans="1:23" x14ac:dyDescent="0.3">
      <c r="A59" s="10" t="str">
        <f>'pesos FIA'!A59</f>
        <v>UGPA3</v>
      </c>
      <c r="B59" s="11">
        <f>'pesos FIA'!B59</f>
        <v>2.1000000000000001E-2</v>
      </c>
      <c r="E59" s="5" t="str">
        <f t="shared" si="0"/>
        <v>UGPA3</v>
      </c>
      <c r="F59" s="5">
        <f t="shared" si="3"/>
        <v>1.1543700000000002E-2</v>
      </c>
      <c r="G59" s="5"/>
      <c r="K59" s="3">
        <f>VLOOKUP(A59,'[1]29 - FIA'!$A$9:$B$219,2,0)</f>
        <v>2.1000000000000001E-2</v>
      </c>
      <c r="L59" t="b">
        <f t="shared" si="2"/>
        <v>1</v>
      </c>
      <c r="N59" s="15"/>
      <c r="O59" s="15"/>
      <c r="R59" s="7"/>
      <c r="S59" s="7"/>
      <c r="U59" s="15"/>
      <c r="W59" s="3"/>
    </row>
    <row r="60" spans="1:23" x14ac:dyDescent="0.3">
      <c r="A60" s="10" t="str">
        <f>'pesos FIA'!A60</f>
        <v>TEND3</v>
      </c>
      <c r="B60" s="11">
        <f>'pesos FIA'!B60</f>
        <v>7.0000000000000001E-3</v>
      </c>
      <c r="E60" s="5" t="str">
        <f t="shared" si="0"/>
        <v>TEND3</v>
      </c>
      <c r="F60" s="5">
        <f t="shared" si="3"/>
        <v>3.8479000000000005E-3</v>
      </c>
      <c r="G60" s="5"/>
      <c r="K60" s="3">
        <f>VLOOKUP(A60,'[1]29 - FIA'!$A$9:$B$219,2,0)</f>
        <v>7.0000000000000001E-3</v>
      </c>
      <c r="L60" t="b">
        <f t="shared" si="2"/>
        <v>1</v>
      </c>
      <c r="N60" s="15"/>
      <c r="O60" s="15"/>
      <c r="R60" s="7"/>
      <c r="S60" s="7"/>
      <c r="U60" s="15"/>
      <c r="W60" s="3"/>
    </row>
    <row r="61" spans="1:23" x14ac:dyDescent="0.3">
      <c r="A61" s="10" t="str">
        <f>'pesos FIA'!A61</f>
        <v>CXSE3</v>
      </c>
      <c r="B61" s="11">
        <f>'pesos FIA'!B61</f>
        <v>1.4E-2</v>
      </c>
      <c r="E61" s="5" t="str">
        <f t="shared" si="0"/>
        <v>CXSE3</v>
      </c>
      <c r="F61" s="5">
        <f t="shared" si="3"/>
        <v>7.6958000000000009E-3</v>
      </c>
      <c r="G61" s="5"/>
      <c r="K61" s="3">
        <f>VLOOKUP(A61,'[1]29 - FIA'!$A$9:$B$219,2,0)</f>
        <v>1.4E-2</v>
      </c>
      <c r="L61" t="b">
        <f t="shared" si="2"/>
        <v>1</v>
      </c>
      <c r="N61" s="15"/>
      <c r="O61" s="15"/>
      <c r="R61" s="7"/>
      <c r="S61" s="7"/>
      <c r="U61" s="15"/>
      <c r="W61" s="3"/>
    </row>
    <row r="62" spans="1:23" x14ac:dyDescent="0.3">
      <c r="A62" s="10" t="str">
        <f>'pesos FIA'!A62</f>
        <v>VIVT3</v>
      </c>
      <c r="B62" s="11">
        <f>'pesos FIA'!B62</f>
        <v>1.4999999999999999E-2</v>
      </c>
      <c r="E62" s="5" t="str">
        <f t="shared" si="0"/>
        <v>VIVT3</v>
      </c>
      <c r="F62" s="5">
        <f t="shared" si="3"/>
        <v>8.2455000000000011E-3</v>
      </c>
      <c r="G62" s="5"/>
      <c r="K62" s="3">
        <f>VLOOKUP(A62,'[1]29 - FIA'!$A$9:$B$219,2,0)</f>
        <v>1.4999999999999999E-2</v>
      </c>
      <c r="L62" t="b">
        <f t="shared" si="2"/>
        <v>1</v>
      </c>
      <c r="N62" s="15"/>
      <c r="O62" s="15"/>
      <c r="R62" s="7"/>
      <c r="S62" s="7"/>
      <c r="U62" s="15"/>
      <c r="W62" s="3"/>
    </row>
    <row r="63" spans="1:23" x14ac:dyDescent="0.3">
      <c r="A63" s="10" t="str">
        <f>'pesos FIA'!A63</f>
        <v>VULC3</v>
      </c>
      <c r="B63" s="11">
        <f>'pesos FIA'!B63</f>
        <v>0.01</v>
      </c>
      <c r="E63" s="5" t="str">
        <f t="shared" si="0"/>
        <v>VULC3</v>
      </c>
      <c r="F63" s="5">
        <f t="shared" si="3"/>
        <v>5.497000000000001E-3</v>
      </c>
      <c r="G63" s="5"/>
      <c r="K63" s="3">
        <f>VLOOKUP(A63,'[1]29 - FIA'!$A$9:$B$219,2,0)</f>
        <v>0.01</v>
      </c>
      <c r="L63" t="b">
        <f t="shared" si="2"/>
        <v>1</v>
      </c>
      <c r="N63" s="15"/>
      <c r="O63" s="15"/>
      <c r="R63" s="7"/>
      <c r="S63" s="7"/>
      <c r="U63" s="15"/>
      <c r="W63" s="3"/>
    </row>
    <row r="64" spans="1:23" x14ac:dyDescent="0.3">
      <c r="A64" s="10" t="str">
        <f>'pesos FIA'!A64</f>
        <v>TRIS3</v>
      </c>
      <c r="B64" s="11">
        <f>'pesos FIA'!B64</f>
        <v>4.0000000000000001E-3</v>
      </c>
      <c r="E64" s="5" t="str">
        <f t="shared" si="0"/>
        <v>TRIS3</v>
      </c>
      <c r="F64" s="5">
        <f t="shared" si="3"/>
        <v>2.1988000000000003E-3</v>
      </c>
      <c r="G64" s="5"/>
      <c r="K64" s="3">
        <f>VLOOKUP(A64,'[1]29 - FIA'!$A$9:$B$219,2,0)</f>
        <v>4.0000000000000001E-3</v>
      </c>
      <c r="L64" t="b">
        <f t="shared" si="2"/>
        <v>1</v>
      </c>
      <c r="N64" s="15"/>
      <c r="O64" s="15"/>
      <c r="R64" s="7"/>
      <c r="S64" s="7"/>
      <c r="U64" s="15"/>
      <c r="W64" s="3"/>
    </row>
    <row r="65" spans="1:23" x14ac:dyDescent="0.3">
      <c r="A65" s="10" t="str">
        <f>'pesos FIA'!A65</f>
        <v>CMIG3</v>
      </c>
      <c r="B65" s="11">
        <f>'pesos FIA'!B65</f>
        <v>1.7999999999999999E-2</v>
      </c>
      <c r="E65" s="5" t="s">
        <v>21</v>
      </c>
      <c r="F65" s="5">
        <f t="shared" si="3"/>
        <v>9.8945999999999999E-3</v>
      </c>
      <c r="G65" s="5"/>
      <c r="K65" s="3">
        <f>VLOOKUP(A65,'[1]29 - FIA'!$A$9:$B$219,2,0)</f>
        <v>1.7999999999999999E-2</v>
      </c>
      <c r="L65" t="b">
        <f t="shared" si="2"/>
        <v>1</v>
      </c>
      <c r="N65" s="15"/>
      <c r="O65" s="15"/>
      <c r="R65" s="7"/>
      <c r="S65" s="7"/>
      <c r="U65" s="15"/>
      <c r="W65" s="3"/>
    </row>
    <row r="66" spans="1:23" x14ac:dyDescent="0.3">
      <c r="A66" s="10" t="str">
        <f>'pesos FIA'!A66</f>
        <v>ITUB3</v>
      </c>
      <c r="B66" s="11">
        <f>'pesos FIA'!B66</f>
        <v>2.5000000000000001E-2</v>
      </c>
      <c r="E66" s="5" t="str">
        <f>A66</f>
        <v>ITUB3</v>
      </c>
      <c r="F66" s="5">
        <f t="shared" si="3"/>
        <v>1.3742500000000003E-2</v>
      </c>
      <c r="G66" s="5"/>
      <c r="K66" s="3">
        <f>VLOOKUP(A66,'[1]29 - FIA'!$A$9:$B$219,2,0)</f>
        <v>2.5000000000000001E-2</v>
      </c>
      <c r="L66" t="b">
        <f t="shared" si="2"/>
        <v>1</v>
      </c>
      <c r="N66" s="15"/>
      <c r="O66" s="15"/>
      <c r="R66" s="7"/>
      <c r="S66" s="7"/>
      <c r="U66" s="15"/>
      <c r="W66" s="3"/>
    </row>
    <row r="67" spans="1:23" x14ac:dyDescent="0.3">
      <c r="A67" s="10" t="str">
        <f>'pesos FIA'!A67</f>
        <v>SAUD3</v>
      </c>
      <c r="B67" s="11">
        <f>'pesos FIA'!B67</f>
        <v>0.01</v>
      </c>
      <c r="E67" s="5" t="str">
        <f t="shared" ref="E67:E71" si="4">A67</f>
        <v>SAUD3</v>
      </c>
      <c r="F67" s="5">
        <f t="shared" ref="F67:F71" si="5">(1-$F$72-$F$73-$F$74)*B67</f>
        <v>5.497000000000001E-3</v>
      </c>
      <c r="G67" s="5"/>
      <c r="K67" s="3">
        <f>VLOOKUP(A67,'[1]29 - FIA'!$A$9:$B$219,2,0)</f>
        <v>0.01</v>
      </c>
      <c r="L67" t="b">
        <f t="shared" ref="L67:L71" si="6">K67=B67</f>
        <v>1</v>
      </c>
      <c r="N67" s="15"/>
      <c r="O67" s="15"/>
    </row>
    <row r="68" spans="1:23" x14ac:dyDescent="0.3">
      <c r="A68" s="10" t="str">
        <f>'pesos FIA'!A68</f>
        <v>TAEE4</v>
      </c>
      <c r="B68" s="11">
        <f>'pesos FIA'!B68</f>
        <v>5.0000000000000001E-3</v>
      </c>
      <c r="E68" s="5" t="str">
        <f t="shared" si="4"/>
        <v>TAEE4</v>
      </c>
      <c r="F68" s="5">
        <f t="shared" si="5"/>
        <v>2.7485000000000005E-3</v>
      </c>
      <c r="G68" s="5"/>
      <c r="K68" s="3">
        <f>VLOOKUP(A68,'[1]29 - FIA'!$A$9:$B$219,2,0)</f>
        <v>5.0000000000000001E-3</v>
      </c>
      <c r="L68" t="b">
        <f t="shared" si="6"/>
        <v>1</v>
      </c>
      <c r="N68" s="15"/>
      <c r="O68" s="15"/>
    </row>
    <row r="69" spans="1:23" x14ac:dyDescent="0.3">
      <c r="A69" s="10" t="str">
        <f>'pesos FIA'!A69</f>
        <v>CPLE3</v>
      </c>
      <c r="B69" s="11">
        <f>'pesos FIA'!B69</f>
        <v>7.0000000000000001E-3</v>
      </c>
      <c r="E69" s="5" t="str">
        <f t="shared" si="4"/>
        <v>CPLE3</v>
      </c>
      <c r="F69" s="5">
        <f t="shared" si="5"/>
        <v>3.8479000000000005E-3</v>
      </c>
      <c r="K69" s="3">
        <f>VLOOKUP(A69,'[1]29 - FIA'!$A$9:$B$219,2,0)</f>
        <v>7.0000000000000001E-3</v>
      </c>
      <c r="L69" t="b">
        <f t="shared" si="6"/>
        <v>1</v>
      </c>
      <c r="N69" s="15"/>
      <c r="O69" s="15"/>
    </row>
    <row r="70" spans="1:23" x14ac:dyDescent="0.3">
      <c r="A70" s="10" t="str">
        <f>'pesos FIA'!A70</f>
        <v>ITUB4</v>
      </c>
      <c r="B70" s="11">
        <f>'pesos FIA'!B70</f>
        <v>2.1999999999999999E-2</v>
      </c>
      <c r="E70" s="5" t="str">
        <f t="shared" si="4"/>
        <v>ITUB4</v>
      </c>
      <c r="F70" s="5">
        <f t="shared" si="5"/>
        <v>1.2093400000000001E-2</v>
      </c>
      <c r="J70" s="6"/>
      <c r="K70" s="3">
        <f>VLOOKUP(A70,'[1]29 - FIA'!$A$9:$B$219,2,0)</f>
        <v>2.1999999999999999E-2</v>
      </c>
      <c r="L70" t="b">
        <f t="shared" si="6"/>
        <v>1</v>
      </c>
    </row>
    <row r="71" spans="1:23" x14ac:dyDescent="0.3">
      <c r="A71" s="10" t="str">
        <f>'pesos FIA'!A71</f>
        <v>VALE3</v>
      </c>
      <c r="B71" s="11">
        <f>'pesos FIA'!B71</f>
        <v>0.06</v>
      </c>
      <c r="C71" s="6"/>
      <c r="E71" s="5" t="str">
        <f t="shared" si="4"/>
        <v>VALE3</v>
      </c>
      <c r="F71" s="5">
        <f t="shared" si="5"/>
        <v>3.2982000000000004E-2</v>
      </c>
      <c r="K71" s="3">
        <f>VLOOKUP(A71,'[1]29 - FIA'!$A$9:$B$219,2,0)</f>
        <v>0.06</v>
      </c>
      <c r="L71" t="b">
        <f t="shared" si="6"/>
        <v>1</v>
      </c>
    </row>
    <row r="72" spans="1:23" x14ac:dyDescent="0.3">
      <c r="A72" s="10">
        <f>'pesos FIA'!A72</f>
        <v>0</v>
      </c>
      <c r="B72" s="11">
        <f>'pesos FIA'!B72</f>
        <v>0</v>
      </c>
      <c r="C72" s="6"/>
      <c r="E72" s="12" t="s">
        <v>69</v>
      </c>
      <c r="F72" s="13">
        <v>0.375</v>
      </c>
    </row>
    <row r="73" spans="1:23" x14ac:dyDescent="0.3">
      <c r="A73" s="10">
        <f>'pesos FIA'!A73</f>
        <v>0</v>
      </c>
      <c r="B73" s="11">
        <f>'pesos FIA'!B73</f>
        <v>0</v>
      </c>
      <c r="C73" s="6"/>
      <c r="E73" s="12" t="s">
        <v>79</v>
      </c>
      <c r="F73" s="13">
        <v>7.4999999999999997E-2</v>
      </c>
    </row>
    <row r="74" spans="1:23" x14ac:dyDescent="0.3">
      <c r="A74" s="10">
        <f>'pesos FIA'!A74</f>
        <v>0</v>
      </c>
      <c r="B74" s="11">
        <f>'pesos FIA'!B74</f>
        <v>0</v>
      </c>
      <c r="C74" s="6"/>
      <c r="E74" s="5" t="s">
        <v>83</v>
      </c>
      <c r="F74" s="5">
        <v>2.9999999999999997E-4</v>
      </c>
    </row>
    <row r="75" spans="1:23" x14ac:dyDescent="0.3">
      <c r="A75" s="10">
        <f>'pesos FIA'!A75</f>
        <v>0</v>
      </c>
      <c r="B75" s="11">
        <f>'pesos FIA'!B75</f>
        <v>0</v>
      </c>
      <c r="C75" s="6"/>
    </row>
    <row r="76" spans="1:23" x14ac:dyDescent="0.3">
      <c r="A76" s="10">
        <f>'pesos FIA'!A76</f>
        <v>0</v>
      </c>
      <c r="B76" s="11">
        <f>'pesos FIA'!B76</f>
        <v>0</v>
      </c>
      <c r="C76" s="6"/>
    </row>
    <row r="77" spans="1:23" x14ac:dyDescent="0.3">
      <c r="A77" s="10">
        <f>'pesos FIA'!A77</f>
        <v>0</v>
      </c>
      <c r="B77" s="11">
        <f>'pesos FIA'!B77</f>
        <v>0</v>
      </c>
      <c r="C77" s="6"/>
    </row>
    <row r="78" spans="1:23" x14ac:dyDescent="0.3">
      <c r="A78" s="10">
        <f>'pesos FIA'!A78</f>
        <v>0</v>
      </c>
      <c r="B78" s="11">
        <f>'pesos FIA'!B78</f>
        <v>0</v>
      </c>
      <c r="C78" s="6"/>
    </row>
    <row r="79" spans="1:23" x14ac:dyDescent="0.3">
      <c r="A79" s="10">
        <f>'pesos FIA'!A79</f>
        <v>0</v>
      </c>
      <c r="B79" s="11">
        <f>'pesos FIA'!B79</f>
        <v>0</v>
      </c>
      <c r="C79" s="6"/>
    </row>
    <row r="80" spans="1:23" x14ac:dyDescent="0.3">
      <c r="A80" s="10">
        <f>'pesos FIA'!A80</f>
        <v>0</v>
      </c>
      <c r="B80" s="11">
        <f>'pesos FIA'!B80</f>
        <v>0</v>
      </c>
      <c r="C80" s="6"/>
    </row>
    <row r="81" spans="1:3" x14ac:dyDescent="0.3">
      <c r="A81" s="10">
        <f>'pesos FIA'!A81</f>
        <v>0</v>
      </c>
      <c r="B81" s="11">
        <f>'pesos FIA'!B81</f>
        <v>0</v>
      </c>
      <c r="C81" s="6"/>
    </row>
    <row r="82" spans="1:3" x14ac:dyDescent="0.3">
      <c r="A82" s="10">
        <f>'pesos FIA'!A82</f>
        <v>0</v>
      </c>
      <c r="B82" s="11">
        <f>'pesos FIA'!B82</f>
        <v>0</v>
      </c>
      <c r="C82" s="6"/>
    </row>
    <row r="83" spans="1:3" x14ac:dyDescent="0.3">
      <c r="A83" s="10">
        <f>'pesos FIA'!A83</f>
        <v>0</v>
      </c>
      <c r="B83" s="11">
        <f>'pesos FIA'!B83</f>
        <v>0</v>
      </c>
      <c r="C83" s="6"/>
    </row>
    <row r="84" spans="1:3" x14ac:dyDescent="0.3">
      <c r="A84" s="10">
        <f>'pesos FIA'!A84</f>
        <v>0</v>
      </c>
      <c r="B84" s="11">
        <f>'pesos FIA'!B84</f>
        <v>0</v>
      </c>
      <c r="C84" s="6"/>
    </row>
    <row r="85" spans="1:3" x14ac:dyDescent="0.3">
      <c r="A85" s="10">
        <f>'pesos FIA'!A85</f>
        <v>0</v>
      </c>
      <c r="B85" s="11">
        <f>'pesos FIA'!B85</f>
        <v>0</v>
      </c>
      <c r="C85" s="6"/>
    </row>
    <row r="86" spans="1:3" x14ac:dyDescent="0.3">
      <c r="A86" s="10">
        <f>'pesos FIA'!A86</f>
        <v>0</v>
      </c>
      <c r="B86" s="11">
        <f>'pesos FIA'!B86</f>
        <v>0</v>
      </c>
      <c r="C86" s="6"/>
    </row>
    <row r="87" spans="1:3" x14ac:dyDescent="0.3">
      <c r="A87" s="10">
        <f>'pesos FIA'!A87</f>
        <v>0</v>
      </c>
      <c r="B87" s="11">
        <f>'pesos FIA'!B87</f>
        <v>0</v>
      </c>
      <c r="C87" s="6"/>
    </row>
    <row r="88" spans="1:3" x14ac:dyDescent="0.3">
      <c r="A88" s="10">
        <f>'pesos FIA'!A88</f>
        <v>0</v>
      </c>
      <c r="B88" s="11">
        <f>'pesos FIA'!B88</f>
        <v>0</v>
      </c>
      <c r="C88" s="6"/>
    </row>
    <row r="89" spans="1:3" x14ac:dyDescent="0.3">
      <c r="A89" s="10">
        <f>'pesos FIA'!A89</f>
        <v>0</v>
      </c>
      <c r="B89" s="11">
        <f>'pesos FIA'!B89</f>
        <v>0</v>
      </c>
      <c r="C89" s="6"/>
    </row>
    <row r="90" spans="1:3" x14ac:dyDescent="0.3">
      <c r="A90" s="10">
        <f>'pesos FIA'!A90</f>
        <v>0</v>
      </c>
      <c r="B90" s="11">
        <f>'pesos FIA'!B90</f>
        <v>0</v>
      </c>
      <c r="C90" s="6"/>
    </row>
    <row r="91" spans="1:3" x14ac:dyDescent="0.3">
      <c r="A91" s="10">
        <f>'pesos FIA'!A91</f>
        <v>0</v>
      </c>
      <c r="B91" s="11">
        <f>'pesos FIA'!B91</f>
        <v>0</v>
      </c>
      <c r="C91" s="6"/>
    </row>
    <row r="92" spans="1:3" x14ac:dyDescent="0.3">
      <c r="A92" s="10">
        <f>'pesos FIA'!A92</f>
        <v>0</v>
      </c>
      <c r="B92" s="11">
        <f>'pesos FIA'!B92</f>
        <v>0</v>
      </c>
      <c r="C92" s="6"/>
    </row>
    <row r="93" spans="1:3" x14ac:dyDescent="0.3">
      <c r="A93" s="10">
        <f>'pesos FIA'!A93</f>
        <v>0</v>
      </c>
      <c r="B93" s="11">
        <f>'pesos FIA'!B93</f>
        <v>0</v>
      </c>
      <c r="C93" s="6"/>
    </row>
    <row r="94" spans="1:3" x14ac:dyDescent="0.3">
      <c r="A94" s="10">
        <f>'pesos FIA'!A94</f>
        <v>0</v>
      </c>
      <c r="B94" s="11">
        <f>'pesos FIA'!B94</f>
        <v>0</v>
      </c>
      <c r="C94" s="6"/>
    </row>
    <row r="95" spans="1:3" x14ac:dyDescent="0.3">
      <c r="A95" s="10"/>
      <c r="B95" s="11"/>
      <c r="C95" s="6"/>
    </row>
    <row r="96" spans="1:3" x14ac:dyDescent="0.3">
      <c r="A96" s="10"/>
      <c r="B96" s="11"/>
      <c r="C96" s="6"/>
    </row>
    <row r="97" spans="1:3" x14ac:dyDescent="0.3">
      <c r="A97" s="10"/>
      <c r="B97" s="11"/>
      <c r="C97" s="6"/>
    </row>
    <row r="98" spans="1:3" x14ac:dyDescent="0.3">
      <c r="A98" s="10"/>
      <c r="B98" s="11"/>
      <c r="C98" s="6"/>
    </row>
    <row r="99" spans="1:3" x14ac:dyDescent="0.3">
      <c r="A99" s="10"/>
      <c r="B99" s="11"/>
      <c r="C99" s="6"/>
    </row>
    <row r="100" spans="1:3" x14ac:dyDescent="0.3">
      <c r="A100" s="10"/>
      <c r="B100" s="11"/>
      <c r="C100" s="6"/>
    </row>
    <row r="101" spans="1:3" x14ac:dyDescent="0.3">
      <c r="A101" s="10"/>
      <c r="B101" s="11"/>
      <c r="C101" s="6"/>
    </row>
    <row r="102" spans="1:3" x14ac:dyDescent="0.3">
      <c r="A102" s="10"/>
      <c r="B102" s="11"/>
      <c r="C102" s="6"/>
    </row>
    <row r="103" spans="1:3" x14ac:dyDescent="0.3">
      <c r="A103" s="10"/>
      <c r="B103" s="11"/>
      <c r="C103" s="6"/>
    </row>
    <row r="104" spans="1:3" x14ac:dyDescent="0.3">
      <c r="A104" s="10"/>
      <c r="B104" s="11"/>
      <c r="C104" s="6"/>
    </row>
    <row r="105" spans="1:3" x14ac:dyDescent="0.3">
      <c r="A105" s="10"/>
      <c r="B105" s="11"/>
      <c r="C105" s="6"/>
    </row>
    <row r="106" spans="1:3" x14ac:dyDescent="0.3">
      <c r="A106" s="10"/>
      <c r="B106" s="11"/>
      <c r="C106" s="6"/>
    </row>
    <row r="107" spans="1:3" x14ac:dyDescent="0.3">
      <c r="A107" s="10"/>
      <c r="B107" s="11"/>
      <c r="C107" s="6"/>
    </row>
    <row r="108" spans="1:3" x14ac:dyDescent="0.3">
      <c r="A108" s="10"/>
      <c r="B108" s="11"/>
      <c r="C108" s="6"/>
    </row>
    <row r="109" spans="1:3" x14ac:dyDescent="0.3">
      <c r="A109" s="10"/>
      <c r="B109" s="11"/>
      <c r="C109" s="6"/>
    </row>
    <row r="110" spans="1:3" x14ac:dyDescent="0.3">
      <c r="A110" s="10"/>
      <c r="B110" s="11"/>
      <c r="C110" s="6"/>
    </row>
    <row r="111" spans="1:3" x14ac:dyDescent="0.3">
      <c r="A111" s="10"/>
      <c r="B111" s="11"/>
      <c r="C111" s="6"/>
    </row>
    <row r="112" spans="1:3" x14ac:dyDescent="0.3">
      <c r="A112" s="10"/>
      <c r="B112" s="11"/>
      <c r="C112" s="6"/>
    </row>
    <row r="113" spans="1:3" x14ac:dyDescent="0.3">
      <c r="A113" s="10"/>
      <c r="B113" s="11"/>
      <c r="C113" s="6"/>
    </row>
    <row r="114" spans="1:3" x14ac:dyDescent="0.3">
      <c r="A114" s="10"/>
      <c r="B114" s="11"/>
      <c r="C114" s="6"/>
    </row>
    <row r="115" spans="1:3" x14ac:dyDescent="0.3">
      <c r="A115" s="10"/>
      <c r="B115" s="11"/>
      <c r="C115" s="6"/>
    </row>
    <row r="116" spans="1:3" x14ac:dyDescent="0.3">
      <c r="A116" s="10"/>
      <c r="B116" s="11"/>
      <c r="C116" s="6"/>
    </row>
    <row r="117" spans="1:3" x14ac:dyDescent="0.3">
      <c r="A117" s="10"/>
      <c r="B117" s="11"/>
      <c r="C117" s="6"/>
    </row>
    <row r="118" spans="1:3" x14ac:dyDescent="0.3">
      <c r="A118" s="10"/>
      <c r="B118" s="11"/>
      <c r="C118" s="6"/>
    </row>
    <row r="119" spans="1:3" x14ac:dyDescent="0.3">
      <c r="A119" s="10"/>
      <c r="B119" s="11"/>
      <c r="C119" s="6"/>
    </row>
    <row r="120" spans="1:3" x14ac:dyDescent="0.3">
      <c r="A120" s="10"/>
      <c r="B120" s="11"/>
      <c r="C120" s="6"/>
    </row>
    <row r="121" spans="1:3" x14ac:dyDescent="0.3">
      <c r="A121" s="10"/>
      <c r="B121" s="11"/>
      <c r="C121" s="6"/>
    </row>
    <row r="122" spans="1:3" x14ac:dyDescent="0.3">
      <c r="A122" s="10"/>
      <c r="B122" s="11"/>
      <c r="C122" s="6"/>
    </row>
    <row r="123" spans="1:3" x14ac:dyDescent="0.3">
      <c r="A123" s="10"/>
      <c r="B123" s="11"/>
      <c r="C123" s="6"/>
    </row>
    <row r="124" spans="1:3" x14ac:dyDescent="0.3">
      <c r="A124" s="10"/>
      <c r="B124" s="11"/>
      <c r="C124" s="6"/>
    </row>
    <row r="125" spans="1:3" x14ac:dyDescent="0.3">
      <c r="A125" s="10"/>
      <c r="B125" s="11"/>
      <c r="C125" s="6"/>
    </row>
    <row r="126" spans="1:3" x14ac:dyDescent="0.3">
      <c r="A126" s="10"/>
      <c r="B126" s="11"/>
      <c r="C126" s="6"/>
    </row>
    <row r="127" spans="1:3" x14ac:dyDescent="0.3">
      <c r="A127" s="10"/>
      <c r="B127" s="11"/>
      <c r="C127" s="6"/>
    </row>
    <row r="128" spans="1:3" x14ac:dyDescent="0.3">
      <c r="A128" s="10"/>
      <c r="B128" s="11"/>
      <c r="C128" s="6"/>
    </row>
    <row r="129" spans="1:3" x14ac:dyDescent="0.3">
      <c r="A129" s="10"/>
      <c r="B129" s="11"/>
      <c r="C129" s="6"/>
    </row>
    <row r="130" spans="1:3" x14ac:dyDescent="0.3">
      <c r="A130" s="10"/>
      <c r="B130" s="11"/>
      <c r="C130" s="6"/>
    </row>
    <row r="131" spans="1:3" x14ac:dyDescent="0.3">
      <c r="A131" s="10"/>
      <c r="B131" s="11"/>
      <c r="C131" s="6"/>
    </row>
    <row r="132" spans="1:3" x14ac:dyDescent="0.3">
      <c r="A132" s="10"/>
      <c r="B132" s="11"/>
      <c r="C132" s="6"/>
    </row>
    <row r="133" spans="1:3" x14ac:dyDescent="0.3">
      <c r="A133" s="10"/>
      <c r="B133" s="11"/>
      <c r="C133" s="6"/>
    </row>
    <row r="134" spans="1:3" x14ac:dyDescent="0.3">
      <c r="A134" s="10"/>
      <c r="B134" s="11"/>
      <c r="C134" s="6"/>
    </row>
    <row r="135" spans="1:3" x14ac:dyDescent="0.3">
      <c r="A135" s="10"/>
      <c r="B135" s="11"/>
      <c r="C135" s="6"/>
    </row>
    <row r="136" spans="1:3" x14ac:dyDescent="0.3">
      <c r="A136" s="10"/>
      <c r="B136" s="11"/>
      <c r="C136" s="6"/>
    </row>
    <row r="137" spans="1:3" x14ac:dyDescent="0.3">
      <c r="A137" s="10"/>
      <c r="B137" s="11"/>
      <c r="C137" s="6"/>
    </row>
    <row r="138" spans="1:3" x14ac:dyDescent="0.3">
      <c r="A138" s="10"/>
      <c r="B138" s="11"/>
      <c r="C138" s="6"/>
    </row>
    <row r="139" spans="1:3" x14ac:dyDescent="0.3">
      <c r="A139" s="10"/>
      <c r="B139" s="11"/>
      <c r="C139" s="6"/>
    </row>
    <row r="140" spans="1:3" x14ac:dyDescent="0.3">
      <c r="A140" s="10"/>
      <c r="B140" s="11"/>
      <c r="C140" s="6"/>
    </row>
    <row r="141" spans="1:3" x14ac:dyDescent="0.3">
      <c r="A141" s="10"/>
      <c r="B141" s="11"/>
      <c r="C141" s="6"/>
    </row>
    <row r="142" spans="1:3" x14ac:dyDescent="0.3">
      <c r="A142" s="10"/>
      <c r="B142" s="11"/>
      <c r="C142" s="6"/>
    </row>
    <row r="143" spans="1:3" x14ac:dyDescent="0.3">
      <c r="A143" s="10"/>
      <c r="B143" s="11"/>
      <c r="C143" s="6"/>
    </row>
    <row r="144" spans="1:3" x14ac:dyDescent="0.3">
      <c r="A144" s="10"/>
      <c r="B144" s="11"/>
      <c r="C144" s="6"/>
    </row>
    <row r="145" spans="1:3" x14ac:dyDescent="0.3">
      <c r="A145" s="10"/>
      <c r="B145" s="11"/>
      <c r="C145" s="6"/>
    </row>
    <row r="146" spans="1:3" x14ac:dyDescent="0.3">
      <c r="A146" s="10"/>
      <c r="B146" s="11"/>
      <c r="C146" s="6"/>
    </row>
    <row r="147" spans="1:3" x14ac:dyDescent="0.3">
      <c r="A147" s="10"/>
      <c r="B147" s="11"/>
      <c r="C147" s="6"/>
    </row>
    <row r="148" spans="1:3" x14ac:dyDescent="0.3">
      <c r="A148" s="10"/>
      <c r="B148" s="11"/>
      <c r="C148" s="6"/>
    </row>
    <row r="149" spans="1:3" x14ac:dyDescent="0.3">
      <c r="A149" s="10"/>
      <c r="B149" s="11"/>
      <c r="C149" s="6"/>
    </row>
    <row r="150" spans="1:3" x14ac:dyDescent="0.3">
      <c r="A150" s="10"/>
      <c r="B150" s="11"/>
      <c r="C150" s="6"/>
    </row>
    <row r="151" spans="1:3" x14ac:dyDescent="0.3">
      <c r="A151" s="10"/>
      <c r="B151" s="11"/>
      <c r="C151" s="6"/>
    </row>
    <row r="152" spans="1:3" x14ac:dyDescent="0.3">
      <c r="A152" s="10"/>
      <c r="B152" s="11"/>
      <c r="C152" s="6"/>
    </row>
    <row r="153" spans="1:3" x14ac:dyDescent="0.3">
      <c r="A153" s="10"/>
      <c r="B153" s="11"/>
      <c r="C153" s="6"/>
    </row>
    <row r="154" spans="1:3" x14ac:dyDescent="0.3">
      <c r="A154" s="10"/>
      <c r="B154" s="11"/>
      <c r="C154" s="6"/>
    </row>
    <row r="155" spans="1:3" x14ac:dyDescent="0.3">
      <c r="A155" s="10"/>
      <c r="B155" s="11"/>
      <c r="C155" s="6"/>
    </row>
    <row r="156" spans="1:3" x14ac:dyDescent="0.3">
      <c r="A156" s="10"/>
      <c r="B156" s="11"/>
      <c r="C156" s="6"/>
    </row>
    <row r="157" spans="1:3" x14ac:dyDescent="0.3">
      <c r="A157" s="10"/>
      <c r="B157" s="11"/>
      <c r="C157" s="6"/>
    </row>
    <row r="158" spans="1:3" x14ac:dyDescent="0.3">
      <c r="A158" s="10"/>
      <c r="B158" s="11"/>
      <c r="C158" s="6"/>
    </row>
    <row r="159" spans="1:3" x14ac:dyDescent="0.3">
      <c r="A159" s="10"/>
      <c r="B159" s="11"/>
      <c r="C159" s="6"/>
    </row>
    <row r="160" spans="1:3" x14ac:dyDescent="0.3">
      <c r="A160" s="10"/>
      <c r="B160" s="11"/>
      <c r="C160" s="6"/>
    </row>
    <row r="161" spans="1:3" x14ac:dyDescent="0.3">
      <c r="A161" s="10"/>
      <c r="B161" s="11"/>
      <c r="C161" s="6"/>
    </row>
    <row r="162" spans="1:3" x14ac:dyDescent="0.3">
      <c r="A162" s="10"/>
      <c r="B162" s="11"/>
      <c r="C162" s="6"/>
    </row>
    <row r="163" spans="1:3" x14ac:dyDescent="0.3">
      <c r="A163" s="10"/>
      <c r="B163" s="11"/>
      <c r="C163" s="6"/>
    </row>
    <row r="164" spans="1:3" x14ac:dyDescent="0.3">
      <c r="A164" s="10"/>
      <c r="B164" s="11"/>
      <c r="C164" s="6"/>
    </row>
    <row r="165" spans="1:3" x14ac:dyDescent="0.3">
      <c r="A165" s="10"/>
      <c r="B165" s="11"/>
      <c r="C165" s="6"/>
    </row>
    <row r="166" spans="1:3" x14ac:dyDescent="0.3">
      <c r="A166" s="10"/>
      <c r="B166" s="11"/>
      <c r="C166" s="6"/>
    </row>
    <row r="167" spans="1:3" x14ac:dyDescent="0.3">
      <c r="A167" s="10"/>
      <c r="B167" s="11"/>
      <c r="C167" s="6"/>
    </row>
    <row r="168" spans="1:3" x14ac:dyDescent="0.3">
      <c r="A168" s="10"/>
      <c r="B168" s="11"/>
      <c r="C168" s="6"/>
    </row>
    <row r="169" spans="1:3" x14ac:dyDescent="0.3">
      <c r="A169" s="10"/>
      <c r="B169" s="11"/>
      <c r="C169" s="6"/>
    </row>
    <row r="170" spans="1:3" x14ac:dyDescent="0.3">
      <c r="A170" s="10"/>
      <c r="B170" s="11"/>
      <c r="C170" s="6"/>
    </row>
    <row r="171" spans="1:3" x14ac:dyDescent="0.3">
      <c r="A171" s="10"/>
      <c r="B171" s="11"/>
      <c r="C171" s="6"/>
    </row>
    <row r="172" spans="1:3" x14ac:dyDescent="0.3">
      <c r="A172" s="10"/>
      <c r="B172" s="11"/>
      <c r="C172" s="6"/>
    </row>
    <row r="173" spans="1:3" x14ac:dyDescent="0.3">
      <c r="A173" s="10"/>
      <c r="B173" s="11"/>
      <c r="C173" s="6"/>
    </row>
    <row r="174" spans="1:3" x14ac:dyDescent="0.3">
      <c r="A174" s="10"/>
      <c r="B174" s="11"/>
      <c r="C174" s="6"/>
    </row>
    <row r="175" spans="1:3" x14ac:dyDescent="0.3">
      <c r="A175" s="10"/>
      <c r="B175" s="11"/>
      <c r="C175" s="6"/>
    </row>
    <row r="176" spans="1:3" x14ac:dyDescent="0.3">
      <c r="A176" s="10"/>
      <c r="B176" s="11"/>
      <c r="C176" s="6"/>
    </row>
    <row r="177" spans="1:3" x14ac:dyDescent="0.3">
      <c r="A177" s="10"/>
      <c r="B177" s="11"/>
      <c r="C177" s="6"/>
    </row>
    <row r="178" spans="1:3" x14ac:dyDescent="0.3">
      <c r="A178" s="10"/>
      <c r="B178" s="11"/>
      <c r="C178" s="6"/>
    </row>
    <row r="179" spans="1:3" x14ac:dyDescent="0.3">
      <c r="A179" s="10"/>
      <c r="B179" s="11"/>
      <c r="C179" s="6"/>
    </row>
    <row r="180" spans="1:3" x14ac:dyDescent="0.3">
      <c r="A180" s="10"/>
      <c r="B180" s="11"/>
      <c r="C180" s="6"/>
    </row>
    <row r="181" spans="1:3" x14ac:dyDescent="0.3">
      <c r="A181" s="10"/>
      <c r="B181" s="11"/>
      <c r="C181" s="6"/>
    </row>
    <row r="182" spans="1:3" x14ac:dyDescent="0.3">
      <c r="A182" s="10"/>
      <c r="B182" s="11"/>
      <c r="C182" s="6"/>
    </row>
    <row r="183" spans="1:3" x14ac:dyDescent="0.3">
      <c r="A183" s="10"/>
      <c r="B183" s="11"/>
      <c r="C183" s="6"/>
    </row>
    <row r="184" spans="1:3" x14ac:dyDescent="0.3">
      <c r="A184" s="10"/>
      <c r="B184" s="11"/>
      <c r="C184" s="6"/>
    </row>
    <row r="185" spans="1:3" x14ac:dyDescent="0.3">
      <c r="A185" s="10"/>
      <c r="B185" s="11"/>
      <c r="C185" s="6"/>
    </row>
    <row r="186" spans="1:3" x14ac:dyDescent="0.3">
      <c r="A186" s="10"/>
      <c r="B186" s="11"/>
      <c r="C186" s="6"/>
    </row>
    <row r="187" spans="1:3" x14ac:dyDescent="0.3">
      <c r="A187" s="10"/>
      <c r="B187" s="11"/>
      <c r="C187" s="6"/>
    </row>
    <row r="188" spans="1:3" x14ac:dyDescent="0.3">
      <c r="A188" s="10"/>
      <c r="B188" s="11"/>
      <c r="C188" s="6"/>
    </row>
    <row r="189" spans="1:3" x14ac:dyDescent="0.3">
      <c r="A189" s="10"/>
      <c r="B189" s="11"/>
      <c r="C189" s="6"/>
    </row>
    <row r="190" spans="1:3" x14ac:dyDescent="0.3">
      <c r="A190" s="10"/>
      <c r="B190" s="11"/>
      <c r="C190" s="6"/>
    </row>
    <row r="191" spans="1:3" x14ac:dyDescent="0.3">
      <c r="A191" s="10"/>
      <c r="B191" s="11"/>
      <c r="C191" s="6"/>
    </row>
    <row r="192" spans="1:3" x14ac:dyDescent="0.3">
      <c r="A192" s="10"/>
      <c r="B192" s="11"/>
      <c r="C192" s="6"/>
    </row>
    <row r="193" spans="1:3" x14ac:dyDescent="0.3">
      <c r="A193" s="10"/>
      <c r="B193" s="11"/>
      <c r="C193" s="6"/>
    </row>
    <row r="194" spans="1:3" x14ac:dyDescent="0.3">
      <c r="A194" s="10"/>
      <c r="B194" s="11"/>
      <c r="C194" s="6"/>
    </row>
    <row r="195" spans="1:3" x14ac:dyDescent="0.3">
      <c r="A195" s="10"/>
      <c r="B195" s="11"/>
      <c r="C195" s="6"/>
    </row>
    <row r="196" spans="1:3" x14ac:dyDescent="0.3">
      <c r="A196" s="10"/>
      <c r="B196" s="11"/>
      <c r="C196" s="6"/>
    </row>
    <row r="197" spans="1:3" x14ac:dyDescent="0.3">
      <c r="A197" s="10"/>
      <c r="B197" s="11"/>
      <c r="C197" s="6"/>
    </row>
    <row r="198" spans="1:3" x14ac:dyDescent="0.3">
      <c r="A198" s="10"/>
      <c r="B198" s="11"/>
      <c r="C198" s="6"/>
    </row>
    <row r="199" spans="1:3" x14ac:dyDescent="0.3">
      <c r="C199" s="6"/>
    </row>
    <row r="200" spans="1:3" x14ac:dyDescent="0.3">
      <c r="C200" s="6"/>
    </row>
    <row r="201" spans="1:3" x14ac:dyDescent="0.3">
      <c r="C201" s="6"/>
    </row>
    <row r="202" spans="1:3" x14ac:dyDescent="0.3">
      <c r="C202" s="6"/>
    </row>
    <row r="203" spans="1:3" x14ac:dyDescent="0.3">
      <c r="C203" s="6"/>
    </row>
    <row r="204" spans="1:3" x14ac:dyDescent="0.3">
      <c r="C204" s="6"/>
    </row>
    <row r="205" spans="1:3" x14ac:dyDescent="0.3">
      <c r="C205" s="6"/>
    </row>
    <row r="206" spans="1:3" x14ac:dyDescent="0.3">
      <c r="C206" s="6"/>
    </row>
    <row r="207" spans="1:3" x14ac:dyDescent="0.3">
      <c r="C207" s="6"/>
    </row>
    <row r="208" spans="1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764E-1F5F-421D-A1C7-11858914C8D1}">
  <sheetPr codeName="Planilha1">
    <tabColor theme="3" tint="0.749992370372631"/>
  </sheetPr>
  <dimension ref="A1:U243"/>
  <sheetViews>
    <sheetView workbookViewId="0">
      <selection activeCell="K1" sqref="K1"/>
    </sheetView>
  </sheetViews>
  <sheetFormatPr defaultRowHeight="14.4" x14ac:dyDescent="0.3"/>
  <cols>
    <col min="1" max="1" width="8.109375" bestFit="1" customWidth="1"/>
    <col min="2" max="2" width="19.6640625" style="4" bestFit="1" customWidth="1"/>
    <col min="3" max="3" width="9" customWidth="1"/>
    <col min="5" max="6" width="9.109375" style="8"/>
    <col min="10" max="10" width="12.109375" bestFit="1" customWidth="1"/>
    <col min="13" max="13" width="12.109375" bestFit="1" customWidth="1"/>
    <col min="14" max="14" width="14.88671875" bestFit="1" customWidth="1"/>
    <col min="15" max="15" width="9.6640625" customWidth="1"/>
    <col min="17" max="17" width="8.6640625" style="3" customWidth="1"/>
  </cols>
  <sheetData>
    <row r="1" spans="1:21" ht="15" thickBot="1" x14ac:dyDescent="0.35">
      <c r="A1" s="1" t="s">
        <v>107</v>
      </c>
      <c r="B1" s="2" t="s">
        <v>1</v>
      </c>
      <c r="C1" s="4">
        <f>SUM(B2:B71)</f>
        <v>0.9995000000000005</v>
      </c>
      <c r="E1" s="8" t="s">
        <v>0</v>
      </c>
      <c r="F1" s="8" t="s">
        <v>78</v>
      </c>
      <c r="G1" s="4">
        <f>SUM(F2:F74)</f>
        <v>0.99957574999999976</v>
      </c>
      <c r="H1" s="4"/>
      <c r="K1" s="6" t="s">
        <v>117</v>
      </c>
      <c r="L1" s="6"/>
    </row>
    <row r="2" spans="1:21" x14ac:dyDescent="0.3">
      <c r="A2" s="10" t="s">
        <v>110</v>
      </c>
      <c r="B2" s="11">
        <v>0.01</v>
      </c>
      <c r="C2" s="3"/>
      <c r="E2" s="5" t="str">
        <f>A2</f>
        <v>LOGG3</v>
      </c>
      <c r="F2" s="5">
        <f t="shared" ref="F2:F33" si="0">(1-$F$72-$F$73-$F$74)*B2</f>
        <v>8.4850000000000012E-3</v>
      </c>
      <c r="H2" s="3"/>
      <c r="I2" s="7"/>
      <c r="K2" s="7">
        <f>VLOOKUP(A2,'[1]29 - FIA'!$A$9:$B$219,2,0)</f>
        <v>0.01</v>
      </c>
      <c r="L2" s="3">
        <f>B2-K2</f>
        <v>0</v>
      </c>
      <c r="N2" t="str">
        <f>CONCATENATE(A2," BZ Equity")</f>
        <v>LOGG3 BZ Equity</v>
      </c>
      <c r="O2" s="24">
        <f>B2</f>
        <v>0.01</v>
      </c>
      <c r="Q2"/>
      <c r="R2" s="22"/>
      <c r="S2" s="23"/>
      <c r="T2" s="23"/>
      <c r="U2" s="23"/>
    </row>
    <row r="3" spans="1:21" x14ac:dyDescent="0.3">
      <c r="A3" s="10" t="s">
        <v>94</v>
      </c>
      <c r="B3" s="11">
        <v>1.0999999999999999E-2</v>
      </c>
      <c r="C3" s="3"/>
      <c r="E3" s="5" t="str">
        <f t="shared" ref="E3:E66" si="1">A3</f>
        <v>FIQE3</v>
      </c>
      <c r="F3" s="5">
        <f t="shared" si="0"/>
        <v>9.3334999999999998E-3</v>
      </c>
      <c r="I3" s="7"/>
      <c r="K3" s="7">
        <f>VLOOKUP(A3,'[1]29 - FIA'!$A$9:$B$219,2,0)</f>
        <v>1.0999999999999999E-2</v>
      </c>
      <c r="L3" s="3">
        <f t="shared" ref="L3:L66" si="2">B3-K3</f>
        <v>0</v>
      </c>
      <c r="N3" t="str">
        <f t="shared" ref="N3:N66" si="3">CONCATENATE(A3," BZ Equity")</f>
        <v>FIQE3 BZ Equity</v>
      </c>
      <c r="O3" s="24">
        <f t="shared" ref="O3:O66" si="4">B3</f>
        <v>1.0999999999999999E-2</v>
      </c>
      <c r="Q3"/>
      <c r="R3" s="22"/>
      <c r="S3" s="23"/>
      <c r="T3" s="23"/>
      <c r="U3" s="23"/>
    </row>
    <row r="4" spans="1:21" x14ac:dyDescent="0.3">
      <c r="A4" s="10" t="s">
        <v>63</v>
      </c>
      <c r="B4" s="11">
        <v>1.2E-2</v>
      </c>
      <c r="C4" s="3"/>
      <c r="E4" s="5" t="str">
        <f t="shared" si="1"/>
        <v>BMGB4</v>
      </c>
      <c r="F4" s="5">
        <f t="shared" si="0"/>
        <v>1.0182E-2</v>
      </c>
      <c r="I4" s="7"/>
      <c r="K4" s="7">
        <f>VLOOKUP(A4,'[1]29 - FIA'!$A$9:$B$219,2,0)</f>
        <v>1.2E-2</v>
      </c>
      <c r="L4" s="3">
        <f t="shared" si="2"/>
        <v>0</v>
      </c>
      <c r="N4" t="str">
        <f t="shared" si="3"/>
        <v>BMGB4 BZ Equity</v>
      </c>
      <c r="O4" s="24">
        <f t="shared" si="4"/>
        <v>1.2E-2</v>
      </c>
      <c r="Q4"/>
      <c r="R4" s="22"/>
      <c r="S4" s="23"/>
      <c r="T4" s="23"/>
      <c r="U4" s="23"/>
    </row>
    <row r="5" spans="1:21" x14ac:dyDescent="0.3">
      <c r="A5" s="10" t="s">
        <v>46</v>
      </c>
      <c r="B5" s="11">
        <v>1.2999999999999999E-2</v>
      </c>
      <c r="C5" s="3"/>
      <c r="E5" s="5" t="str">
        <f t="shared" si="1"/>
        <v>WIZC3</v>
      </c>
      <c r="F5" s="5">
        <f t="shared" si="0"/>
        <v>1.10305E-2</v>
      </c>
      <c r="I5" s="7"/>
      <c r="K5" s="7">
        <f>VLOOKUP(A5,'[1]29 - FIA'!$A$9:$B$219,2,0)</f>
        <v>1.2999999999999999E-2</v>
      </c>
      <c r="L5" s="3">
        <f t="shared" si="2"/>
        <v>0</v>
      </c>
      <c r="N5" t="str">
        <f t="shared" si="3"/>
        <v>WIZC3 BZ Equity</v>
      </c>
      <c r="O5" s="24">
        <f t="shared" si="4"/>
        <v>1.2999999999999999E-2</v>
      </c>
      <c r="Q5"/>
      <c r="R5" s="22"/>
      <c r="S5" s="23"/>
      <c r="T5" s="23"/>
      <c r="U5" s="23"/>
    </row>
    <row r="6" spans="1:21" x14ac:dyDescent="0.3">
      <c r="A6" s="10" t="s">
        <v>48</v>
      </c>
      <c r="B6" s="11">
        <v>8.9999999999999993E-3</v>
      </c>
      <c r="C6" s="3"/>
      <c r="E6" s="5" t="str">
        <f t="shared" si="1"/>
        <v>JHSF3</v>
      </c>
      <c r="F6" s="5">
        <f t="shared" si="0"/>
        <v>7.6365000000000001E-3</v>
      </c>
      <c r="I6" s="7"/>
      <c r="K6" s="7">
        <f>VLOOKUP(A6,'[1]29 - FIA'!$A$9:$B$219,2,0)</f>
        <v>8.9999999999999993E-3</v>
      </c>
      <c r="L6" s="3">
        <f t="shared" si="2"/>
        <v>0</v>
      </c>
      <c r="N6" t="str">
        <f t="shared" si="3"/>
        <v>JHSF3 BZ Equity</v>
      </c>
      <c r="O6" s="24">
        <f t="shared" si="4"/>
        <v>8.9999999999999993E-3</v>
      </c>
      <c r="Q6"/>
      <c r="R6" s="22"/>
      <c r="S6" s="23"/>
      <c r="T6" s="23"/>
      <c r="U6" s="23"/>
    </row>
    <row r="7" spans="1:21" x14ac:dyDescent="0.3">
      <c r="A7" s="10" t="s">
        <v>95</v>
      </c>
      <c r="B7" s="11">
        <v>7.0000000000000001E-3</v>
      </c>
      <c r="C7" s="3"/>
      <c r="E7" s="5" t="str">
        <f t="shared" si="1"/>
        <v>ALLD3</v>
      </c>
      <c r="F7" s="5">
        <f t="shared" si="0"/>
        <v>5.9395000000000003E-3</v>
      </c>
      <c r="I7" s="7"/>
      <c r="K7" s="7">
        <f>VLOOKUP(A7,'[1]29 - FIA'!$A$9:$B$219,2,0)</f>
        <v>7.0000000000000001E-3</v>
      </c>
      <c r="L7" s="3">
        <f t="shared" si="2"/>
        <v>0</v>
      </c>
      <c r="N7" t="str">
        <f t="shared" si="3"/>
        <v>ALLD3 BZ Equity</v>
      </c>
      <c r="O7" s="24">
        <f t="shared" si="4"/>
        <v>7.0000000000000001E-3</v>
      </c>
      <c r="Q7"/>
      <c r="R7" s="22"/>
      <c r="S7" s="23"/>
      <c r="T7" s="23"/>
      <c r="U7" s="23"/>
    </row>
    <row r="8" spans="1:21" x14ac:dyDescent="0.3">
      <c r="A8" s="10" t="s">
        <v>102</v>
      </c>
      <c r="B8" s="11">
        <v>0.01</v>
      </c>
      <c r="C8" s="3"/>
      <c r="E8" s="5" t="str">
        <f t="shared" si="1"/>
        <v>RIAA3</v>
      </c>
      <c r="F8" s="5">
        <f t="shared" si="0"/>
        <v>8.4850000000000012E-3</v>
      </c>
      <c r="I8" s="7"/>
      <c r="K8" s="7">
        <f>VLOOKUP(A8,'[1]29 - FIA'!$A$9:$B$219,2,0)</f>
        <v>0.01</v>
      </c>
      <c r="L8" s="3">
        <f t="shared" si="2"/>
        <v>0</v>
      </c>
      <c r="N8" t="str">
        <f t="shared" si="3"/>
        <v>RIAA3 BZ Equity</v>
      </c>
      <c r="O8" s="24">
        <f t="shared" si="4"/>
        <v>0.01</v>
      </c>
      <c r="Q8"/>
      <c r="R8" s="22"/>
      <c r="S8" s="23"/>
      <c r="T8" s="23"/>
      <c r="U8" s="23"/>
    </row>
    <row r="9" spans="1:21" x14ac:dyDescent="0.3">
      <c r="A9" s="10" t="s">
        <v>61</v>
      </c>
      <c r="B9" s="11">
        <v>1.2E-2</v>
      </c>
      <c r="C9" s="3"/>
      <c r="E9" s="5" t="str">
        <f t="shared" si="1"/>
        <v>GRND3</v>
      </c>
      <c r="F9" s="5">
        <f t="shared" si="0"/>
        <v>1.0182E-2</v>
      </c>
      <c r="I9" s="7"/>
      <c r="K9" s="7">
        <f>VLOOKUP(A9,'[1]29 - FIA'!$A$9:$B$219,2,0)</f>
        <v>1.2E-2</v>
      </c>
      <c r="L9" s="3">
        <f t="shared" si="2"/>
        <v>0</v>
      </c>
      <c r="N9" t="str">
        <f t="shared" si="3"/>
        <v>GRND3 BZ Equity</v>
      </c>
      <c r="O9" s="24">
        <f t="shared" si="4"/>
        <v>1.2E-2</v>
      </c>
      <c r="Q9"/>
      <c r="R9" s="22"/>
      <c r="S9" s="23"/>
      <c r="T9" s="23"/>
      <c r="U9" s="23"/>
    </row>
    <row r="10" spans="1:21" x14ac:dyDescent="0.3">
      <c r="A10" s="10" t="s">
        <v>115</v>
      </c>
      <c r="B10" s="11">
        <v>8.0000000000000002E-3</v>
      </c>
      <c r="C10" s="3"/>
      <c r="E10" s="5" t="str">
        <f t="shared" si="1"/>
        <v>HBRE3</v>
      </c>
      <c r="F10" s="5">
        <f t="shared" si="0"/>
        <v>6.7880000000000006E-3</v>
      </c>
      <c r="I10" s="7"/>
      <c r="K10" s="7">
        <f>VLOOKUP(A10,'[1]29 - FIA'!$A$9:$B$219,2,0)</f>
        <v>8.0000000000000002E-3</v>
      </c>
      <c r="L10" s="3">
        <f t="shared" si="2"/>
        <v>0</v>
      </c>
      <c r="N10" t="str">
        <f t="shared" si="3"/>
        <v>HBRE3 BZ Equity</v>
      </c>
      <c r="O10" s="24">
        <f t="shared" si="4"/>
        <v>8.0000000000000002E-3</v>
      </c>
      <c r="Q10"/>
      <c r="R10" s="22"/>
      <c r="S10" s="23"/>
      <c r="T10" s="23"/>
      <c r="U10" s="23"/>
    </row>
    <row r="11" spans="1:21" x14ac:dyDescent="0.3">
      <c r="A11" s="10" t="s">
        <v>87</v>
      </c>
      <c r="B11" s="11">
        <v>8.9999999999999993E-3</v>
      </c>
      <c r="C11" s="3"/>
      <c r="E11" s="5" t="str">
        <f t="shared" si="1"/>
        <v>POMO3</v>
      </c>
      <c r="F11" s="5">
        <f t="shared" si="0"/>
        <v>7.6365000000000001E-3</v>
      </c>
      <c r="I11" s="7"/>
      <c r="K11" s="7">
        <f>VLOOKUP(A11,'[1]29 - FIA'!$A$9:$B$219,2,0)</f>
        <v>8.9999999999999993E-3</v>
      </c>
      <c r="L11" s="3">
        <f t="shared" si="2"/>
        <v>0</v>
      </c>
      <c r="N11" t="str">
        <f t="shared" si="3"/>
        <v>POMO3 BZ Equity</v>
      </c>
      <c r="O11" s="24">
        <f t="shared" si="4"/>
        <v>8.9999999999999993E-3</v>
      </c>
      <c r="Q11"/>
      <c r="R11" s="22"/>
      <c r="S11" s="23"/>
      <c r="T11" s="23"/>
      <c r="U11" s="23"/>
    </row>
    <row r="12" spans="1:21" x14ac:dyDescent="0.3">
      <c r="A12" s="10" t="s">
        <v>50</v>
      </c>
      <c r="B12" s="11">
        <v>1.7000000000000001E-2</v>
      </c>
      <c r="C12" s="3"/>
      <c r="E12" s="5" t="str">
        <f t="shared" si="1"/>
        <v>MTRE3</v>
      </c>
      <c r="F12" s="5">
        <f t="shared" si="0"/>
        <v>1.4424500000000002E-2</v>
      </c>
      <c r="I12" s="7"/>
      <c r="K12" s="7">
        <f>VLOOKUP(A12,'[1]29 - FIA'!$A$9:$B$219,2,0)</f>
        <v>1.7000000000000001E-2</v>
      </c>
      <c r="L12" s="3">
        <f t="shared" si="2"/>
        <v>0</v>
      </c>
      <c r="N12" t="str">
        <f t="shared" si="3"/>
        <v>MTRE3 BZ Equity</v>
      </c>
      <c r="O12" s="24">
        <f t="shared" si="4"/>
        <v>1.7000000000000001E-2</v>
      </c>
      <c r="Q12"/>
      <c r="R12" s="22"/>
      <c r="S12" s="23"/>
      <c r="T12" s="23"/>
      <c r="U12" s="23"/>
    </row>
    <row r="13" spans="1:21" x14ac:dyDescent="0.3">
      <c r="A13" s="10" t="s">
        <v>112</v>
      </c>
      <c r="B13" s="11">
        <v>6.0000000000000001E-3</v>
      </c>
      <c r="C13" s="3"/>
      <c r="E13" s="5" t="str">
        <f t="shared" si="1"/>
        <v>MLAS3</v>
      </c>
      <c r="F13" s="5">
        <f t="shared" si="0"/>
        <v>5.091E-3</v>
      </c>
      <c r="I13" s="7"/>
      <c r="K13" s="7">
        <f>VLOOKUP(A13,'[1]29 - FIA'!$A$9:$B$219,2,0)</f>
        <v>6.0000000000000001E-3</v>
      </c>
      <c r="L13" s="3">
        <f t="shared" si="2"/>
        <v>0</v>
      </c>
      <c r="N13" t="str">
        <f t="shared" si="3"/>
        <v>MLAS3 BZ Equity</v>
      </c>
      <c r="O13" s="24">
        <f t="shared" si="4"/>
        <v>6.0000000000000001E-3</v>
      </c>
      <c r="Q13"/>
      <c r="R13" s="22"/>
      <c r="S13" s="23"/>
      <c r="T13" s="23"/>
      <c r="U13" s="23"/>
    </row>
    <row r="14" spans="1:21" x14ac:dyDescent="0.3">
      <c r="A14" s="10" t="s">
        <v>29</v>
      </c>
      <c r="B14" s="11">
        <v>8.9999999999999993E-3</v>
      </c>
      <c r="C14" s="3"/>
      <c r="E14" s="5" t="str">
        <f t="shared" si="1"/>
        <v>SYNE3</v>
      </c>
      <c r="F14" s="5">
        <f t="shared" si="0"/>
        <v>7.6365000000000001E-3</v>
      </c>
      <c r="I14" s="7"/>
      <c r="K14" s="7">
        <f>VLOOKUP(A14,'[1]29 - FIA'!$A$9:$B$219,2,0)</f>
        <v>8.9999999999999993E-3</v>
      </c>
      <c r="L14" s="3">
        <f t="shared" si="2"/>
        <v>0</v>
      </c>
      <c r="N14" t="str">
        <f t="shared" si="3"/>
        <v>SYNE3 BZ Equity</v>
      </c>
      <c r="O14" s="24">
        <f t="shared" si="4"/>
        <v>8.9999999999999993E-3</v>
      </c>
      <c r="Q14"/>
      <c r="R14" s="22"/>
      <c r="S14" s="23"/>
      <c r="T14" s="23"/>
      <c r="U14" s="23"/>
    </row>
    <row r="15" spans="1:21" x14ac:dyDescent="0.3">
      <c r="A15" s="10" t="s">
        <v>26</v>
      </c>
      <c r="B15" s="11">
        <v>1.2E-2</v>
      </c>
      <c r="C15" s="3"/>
      <c r="E15" s="5" t="str">
        <f t="shared" si="1"/>
        <v>BRSR6</v>
      </c>
      <c r="F15" s="5">
        <f t="shared" si="0"/>
        <v>1.0182E-2</v>
      </c>
      <c r="I15" s="7"/>
      <c r="K15" s="7">
        <f>VLOOKUP(A15,'[1]29 - FIA'!$A$9:$B$219,2,0)</f>
        <v>1.2E-2</v>
      </c>
      <c r="L15" s="3">
        <f t="shared" si="2"/>
        <v>0</v>
      </c>
      <c r="N15" t="str">
        <f t="shared" si="3"/>
        <v>BRSR6 BZ Equity</v>
      </c>
      <c r="O15" s="24">
        <f t="shared" si="4"/>
        <v>1.2E-2</v>
      </c>
      <c r="Q15"/>
      <c r="R15" s="22"/>
      <c r="S15" s="23"/>
      <c r="T15" s="23"/>
      <c r="U15" s="23"/>
    </row>
    <row r="16" spans="1:21" x14ac:dyDescent="0.3">
      <c r="A16" s="10" t="s">
        <v>119</v>
      </c>
      <c r="B16" s="11">
        <v>1.4E-2</v>
      </c>
      <c r="C16" s="3"/>
      <c r="E16" s="5" t="str">
        <f t="shared" si="1"/>
        <v>MILS3</v>
      </c>
      <c r="F16" s="5">
        <f t="shared" si="0"/>
        <v>1.1879000000000001E-2</v>
      </c>
      <c r="I16" s="7"/>
      <c r="K16" s="7">
        <f>VLOOKUP(A16,'[1]29 - FIA'!$A$9:$B$219,2,0)</f>
        <v>1.4E-2</v>
      </c>
      <c r="L16" s="3">
        <f t="shared" si="2"/>
        <v>0</v>
      </c>
      <c r="N16" t="str">
        <f t="shared" si="3"/>
        <v>MILS3 BZ Equity</v>
      </c>
      <c r="O16" s="24">
        <f t="shared" si="4"/>
        <v>1.4E-2</v>
      </c>
      <c r="Q16"/>
      <c r="R16" s="22"/>
      <c r="S16" s="23"/>
      <c r="T16" s="23"/>
      <c r="U16" s="23"/>
    </row>
    <row r="17" spans="1:21" x14ac:dyDescent="0.3">
      <c r="A17" s="10" t="s">
        <v>120</v>
      </c>
      <c r="B17" s="11">
        <v>5.0000000000000001E-3</v>
      </c>
      <c r="C17" s="3"/>
      <c r="E17" s="5" t="str">
        <f t="shared" si="1"/>
        <v>AURA33</v>
      </c>
      <c r="F17" s="5">
        <f t="shared" si="0"/>
        <v>4.2425000000000006E-3</v>
      </c>
      <c r="I17" s="7"/>
      <c r="K17" s="7">
        <f>VLOOKUP(A17,'[1]29 - FIA'!$A$9:$B$219,2,0)</f>
        <v>5.0000000000000001E-3</v>
      </c>
      <c r="L17" s="3">
        <f t="shared" si="2"/>
        <v>0</v>
      </c>
      <c r="N17" t="str">
        <f t="shared" si="3"/>
        <v>AURA33 BZ Equity</v>
      </c>
      <c r="O17" s="24">
        <f t="shared" si="4"/>
        <v>5.0000000000000001E-3</v>
      </c>
      <c r="Q17"/>
      <c r="R17" s="22"/>
      <c r="S17" s="23"/>
      <c r="T17" s="23"/>
      <c r="U17" s="23"/>
    </row>
    <row r="18" spans="1:21" x14ac:dyDescent="0.3">
      <c r="A18" s="10" t="s">
        <v>27</v>
      </c>
      <c r="B18" s="11">
        <v>1.4999999999999999E-2</v>
      </c>
      <c r="C18" s="3"/>
      <c r="E18" s="5" t="str">
        <f t="shared" si="1"/>
        <v>BRAP4</v>
      </c>
      <c r="F18" s="5">
        <f t="shared" si="0"/>
        <v>1.2727499999999999E-2</v>
      </c>
      <c r="I18" s="7"/>
      <c r="K18" s="7">
        <f>VLOOKUP(A18,'[1]29 - FIA'!$A$9:$B$219,2,0)</f>
        <v>1.4999999999999999E-2</v>
      </c>
      <c r="L18" s="3">
        <f t="shared" si="2"/>
        <v>0</v>
      </c>
      <c r="N18" t="str">
        <f t="shared" si="3"/>
        <v>BRAP4 BZ Equity</v>
      </c>
      <c r="O18" s="24">
        <f t="shared" si="4"/>
        <v>1.4999999999999999E-2</v>
      </c>
      <c r="Q18"/>
      <c r="R18" s="22"/>
      <c r="S18" s="23"/>
      <c r="T18" s="23"/>
      <c r="U18" s="23"/>
    </row>
    <row r="19" spans="1:21" x14ac:dyDescent="0.3">
      <c r="A19" s="10" t="s">
        <v>111</v>
      </c>
      <c r="B19" s="11">
        <v>8.9999999999999993E-3</v>
      </c>
      <c r="C19" s="3"/>
      <c r="E19" s="5" t="str">
        <f t="shared" si="1"/>
        <v>INTB3</v>
      </c>
      <c r="F19" s="5">
        <f t="shared" si="0"/>
        <v>7.6365000000000001E-3</v>
      </c>
      <c r="I19" s="7"/>
      <c r="K19" s="7">
        <f>VLOOKUP(A19,'[1]29 - FIA'!$A$9:$B$219,2,0)</f>
        <v>8.9999999999999993E-3</v>
      </c>
      <c r="L19" s="3">
        <f t="shared" si="2"/>
        <v>0</v>
      </c>
      <c r="N19" t="str">
        <f t="shared" si="3"/>
        <v>INTB3 BZ Equity</v>
      </c>
      <c r="O19" s="24">
        <f t="shared" si="4"/>
        <v>8.9999999999999993E-3</v>
      </c>
      <c r="Q19"/>
      <c r="R19" s="22"/>
      <c r="S19" s="23"/>
      <c r="T19" s="23"/>
      <c r="U19" s="23"/>
    </row>
    <row r="20" spans="1:21" x14ac:dyDescent="0.3">
      <c r="A20" s="10" t="s">
        <v>114</v>
      </c>
      <c r="B20" s="11">
        <v>7.0000000000000001E-3</v>
      </c>
      <c r="C20" s="3"/>
      <c r="E20" s="5" t="str">
        <f t="shared" si="1"/>
        <v>SEER3</v>
      </c>
      <c r="F20" s="5">
        <f t="shared" si="0"/>
        <v>5.9395000000000003E-3</v>
      </c>
      <c r="I20" s="7"/>
      <c r="K20" s="7">
        <f>VLOOKUP(A20,'[1]29 - FIA'!$A$9:$B$219,2,0)</f>
        <v>7.0000000000000001E-3</v>
      </c>
      <c r="L20" s="3">
        <f t="shared" si="2"/>
        <v>0</v>
      </c>
      <c r="N20" t="str">
        <f t="shared" si="3"/>
        <v>SEER3 BZ Equity</v>
      </c>
      <c r="O20" s="24">
        <f t="shared" si="4"/>
        <v>7.0000000000000001E-3</v>
      </c>
      <c r="Q20"/>
      <c r="R20" s="22"/>
      <c r="S20" s="23"/>
      <c r="T20" s="23"/>
      <c r="U20" s="23"/>
    </row>
    <row r="21" spans="1:21" x14ac:dyDescent="0.3">
      <c r="A21" s="10" t="s">
        <v>3</v>
      </c>
      <c r="B21" s="11">
        <v>0.05</v>
      </c>
      <c r="C21" s="3"/>
      <c r="E21" s="5" t="str">
        <f t="shared" si="1"/>
        <v>PETR4</v>
      </c>
      <c r="F21" s="5">
        <f t="shared" si="0"/>
        <v>4.2425000000000004E-2</v>
      </c>
      <c r="I21" s="7"/>
      <c r="K21" s="7">
        <f>VLOOKUP(A21,'[1]29 - FIA'!$A$9:$B$219,2,0)</f>
        <v>0.05</v>
      </c>
      <c r="L21" s="3">
        <f t="shared" si="2"/>
        <v>0</v>
      </c>
      <c r="N21" t="str">
        <f t="shared" si="3"/>
        <v>PETR4 BZ Equity</v>
      </c>
      <c r="O21" s="24">
        <f t="shared" si="4"/>
        <v>0.05</v>
      </c>
      <c r="Q21"/>
      <c r="R21" s="22"/>
      <c r="S21" s="23"/>
      <c r="T21" s="23"/>
      <c r="U21" s="23"/>
    </row>
    <row r="22" spans="1:21" x14ac:dyDescent="0.3">
      <c r="A22" s="10" t="s">
        <v>97</v>
      </c>
      <c r="B22" s="11">
        <v>8.0000000000000002E-3</v>
      </c>
      <c r="C22" s="3"/>
      <c r="E22" s="5" t="str">
        <f t="shared" si="1"/>
        <v>PINE4</v>
      </c>
      <c r="F22" s="5">
        <f t="shared" si="0"/>
        <v>6.7880000000000006E-3</v>
      </c>
      <c r="I22" s="7"/>
      <c r="K22" s="7">
        <f>VLOOKUP(A22,'[1]29 - FIA'!$A$9:$B$219,2,0)</f>
        <v>8.0000000000000002E-3</v>
      </c>
      <c r="L22" s="3">
        <f t="shared" si="2"/>
        <v>0</v>
      </c>
      <c r="N22" t="str">
        <f t="shared" si="3"/>
        <v>PINE4 BZ Equity</v>
      </c>
      <c r="O22" s="24">
        <f t="shared" si="4"/>
        <v>8.0000000000000002E-3</v>
      </c>
      <c r="Q22"/>
      <c r="R22" s="22"/>
      <c r="S22" s="23"/>
      <c r="T22" s="23"/>
      <c r="U22" s="23"/>
    </row>
    <row r="23" spans="1:21" x14ac:dyDescent="0.3">
      <c r="A23" s="10" t="s">
        <v>16</v>
      </c>
      <c r="B23" s="11">
        <v>0.01</v>
      </c>
      <c r="C23" s="3"/>
      <c r="E23" s="5" t="str">
        <f t="shared" si="1"/>
        <v>POMO4</v>
      </c>
      <c r="F23" s="5">
        <f t="shared" si="0"/>
        <v>8.4850000000000012E-3</v>
      </c>
      <c r="I23" s="7"/>
      <c r="K23" s="7">
        <f>VLOOKUP(A23,'[1]29 - FIA'!$A$9:$B$219,2,0)</f>
        <v>0.01</v>
      </c>
      <c r="L23" s="3">
        <f t="shared" si="2"/>
        <v>0</v>
      </c>
      <c r="N23" t="str">
        <f t="shared" si="3"/>
        <v>POMO4 BZ Equity</v>
      </c>
      <c r="O23" s="24">
        <f t="shared" si="4"/>
        <v>0.01</v>
      </c>
      <c r="Q23"/>
      <c r="R23" s="22"/>
      <c r="S23" s="23"/>
      <c r="T23" s="23"/>
      <c r="U23" s="23"/>
    </row>
    <row r="24" spans="1:21" x14ac:dyDescent="0.3">
      <c r="A24" s="10" t="s">
        <v>5</v>
      </c>
      <c r="B24" s="11">
        <v>4.3999999999999997E-2</v>
      </c>
      <c r="C24" s="3"/>
      <c r="E24" s="5" t="str">
        <f t="shared" si="1"/>
        <v>PETR3</v>
      </c>
      <c r="F24" s="5">
        <f t="shared" si="0"/>
        <v>3.7333999999999999E-2</v>
      </c>
      <c r="I24" s="7"/>
      <c r="K24" s="7">
        <f>VLOOKUP(A24,'[1]29 - FIA'!$A$9:$B$219,2,0)</f>
        <v>4.3999999999999997E-2</v>
      </c>
      <c r="L24" s="3">
        <f t="shared" si="2"/>
        <v>0</v>
      </c>
      <c r="N24" t="str">
        <f t="shared" si="3"/>
        <v>PETR3 BZ Equity</v>
      </c>
      <c r="O24" s="24">
        <f t="shared" si="4"/>
        <v>4.3999999999999997E-2</v>
      </c>
      <c r="Q24"/>
      <c r="R24" s="22"/>
      <c r="S24" s="23"/>
      <c r="T24" s="23"/>
      <c r="U24" s="23"/>
    </row>
    <row r="25" spans="1:21" x14ac:dyDescent="0.3">
      <c r="A25" s="10" t="s">
        <v>85</v>
      </c>
      <c r="B25" s="11">
        <v>8.9999999999999993E-3</v>
      </c>
      <c r="C25" s="3"/>
      <c r="E25" s="5" t="str">
        <f t="shared" si="1"/>
        <v>CSED3</v>
      </c>
      <c r="F25" s="5">
        <f t="shared" si="0"/>
        <v>7.6365000000000001E-3</v>
      </c>
      <c r="I25" s="7"/>
      <c r="K25" s="7">
        <f>VLOOKUP(A25,'[1]29 - FIA'!$A$9:$B$219,2,0)</f>
        <v>8.9999999999999993E-3</v>
      </c>
      <c r="L25" s="3">
        <f t="shared" si="2"/>
        <v>0</v>
      </c>
      <c r="N25" t="str">
        <f t="shared" si="3"/>
        <v>CSED3 BZ Equity</v>
      </c>
      <c r="O25" s="24">
        <f t="shared" si="4"/>
        <v>8.9999999999999993E-3</v>
      </c>
      <c r="Q25"/>
      <c r="R25" s="22"/>
      <c r="S25" s="23"/>
      <c r="T25" s="23"/>
      <c r="U25" s="23"/>
    </row>
    <row r="26" spans="1:21" x14ac:dyDescent="0.3">
      <c r="A26" s="10" t="s">
        <v>92</v>
      </c>
      <c r="B26" s="11">
        <v>1.2999999999999999E-2</v>
      </c>
      <c r="C26" s="3"/>
      <c r="E26" s="5" t="str">
        <f t="shared" si="1"/>
        <v>OPCT3</v>
      </c>
      <c r="F26" s="5">
        <f t="shared" si="0"/>
        <v>1.10305E-2</v>
      </c>
      <c r="I26" s="7"/>
      <c r="K26" s="7">
        <f>VLOOKUP(A26,'[1]29 - FIA'!$A$9:$B$219,2,0)</f>
        <v>1.2999999999999999E-2</v>
      </c>
      <c r="L26" s="3">
        <f t="shared" si="2"/>
        <v>0</v>
      </c>
      <c r="N26" t="str">
        <f t="shared" si="3"/>
        <v>OPCT3 BZ Equity</v>
      </c>
      <c r="O26" s="24">
        <f t="shared" si="4"/>
        <v>1.2999999999999999E-2</v>
      </c>
      <c r="Q26"/>
      <c r="R26" s="22"/>
      <c r="S26" s="23"/>
      <c r="T26" s="23"/>
      <c r="U26" s="23"/>
    </row>
    <row r="27" spans="1:21" x14ac:dyDescent="0.3">
      <c r="A27" s="10" t="s">
        <v>121</v>
      </c>
      <c r="B27" s="11">
        <v>3.0000000000000001E-3</v>
      </c>
      <c r="C27" s="3"/>
      <c r="E27" s="5" t="str">
        <f t="shared" si="1"/>
        <v>ESPA3</v>
      </c>
      <c r="F27" s="5">
        <f t="shared" si="0"/>
        <v>2.5455E-3</v>
      </c>
      <c r="I27" s="7"/>
      <c r="K27" s="7">
        <f>VLOOKUP(A27,'[1]29 - FIA'!$A$9:$B$219,2,0)</f>
        <v>3.0000000000000001E-3</v>
      </c>
      <c r="L27" s="3">
        <f t="shared" si="2"/>
        <v>0</v>
      </c>
      <c r="N27" t="str">
        <f t="shared" si="3"/>
        <v>ESPA3 BZ Equity</v>
      </c>
      <c r="O27" s="24">
        <f t="shared" si="4"/>
        <v>3.0000000000000001E-3</v>
      </c>
      <c r="Q27"/>
      <c r="R27" s="22"/>
      <c r="S27" s="23"/>
      <c r="T27" s="23"/>
      <c r="U27" s="23"/>
    </row>
    <row r="28" spans="1:21" x14ac:dyDescent="0.3">
      <c r="A28" s="10" t="s">
        <v>122</v>
      </c>
      <c r="B28" s="11">
        <v>7.0000000000000001E-3</v>
      </c>
      <c r="C28" s="3"/>
      <c r="E28" s="5" t="str">
        <f t="shared" si="1"/>
        <v>VTRU3</v>
      </c>
      <c r="F28" s="5">
        <f t="shared" si="0"/>
        <v>5.9395000000000003E-3</v>
      </c>
      <c r="I28" s="7"/>
      <c r="K28" s="7">
        <f>VLOOKUP(A28,'[1]29 - FIA'!$A$9:$B$219,2,0)</f>
        <v>7.0000000000000001E-3</v>
      </c>
      <c r="L28" s="3">
        <f t="shared" si="2"/>
        <v>0</v>
      </c>
      <c r="N28" t="str">
        <f t="shared" si="3"/>
        <v>VTRU3 BZ Equity</v>
      </c>
      <c r="O28" s="24">
        <f t="shared" si="4"/>
        <v>7.0000000000000001E-3</v>
      </c>
      <c r="Q28"/>
      <c r="R28" s="22"/>
      <c r="S28" s="23"/>
      <c r="T28" s="23"/>
      <c r="U28" s="23"/>
    </row>
    <row r="29" spans="1:21" x14ac:dyDescent="0.3">
      <c r="A29" s="10" t="s">
        <v>88</v>
      </c>
      <c r="B29" s="11">
        <v>1.6E-2</v>
      </c>
      <c r="C29" s="3"/>
      <c r="E29" s="5" t="str">
        <f t="shared" si="1"/>
        <v>ABCB4</v>
      </c>
      <c r="F29" s="5">
        <f t="shared" si="0"/>
        <v>1.3576000000000001E-2</v>
      </c>
      <c r="I29" s="7"/>
      <c r="K29" s="7">
        <f>VLOOKUP(A29,'[1]29 - FIA'!$A$9:$B$219,2,0)</f>
        <v>1.6E-2</v>
      </c>
      <c r="L29" s="3">
        <f t="shared" si="2"/>
        <v>0</v>
      </c>
      <c r="N29" t="str">
        <f t="shared" si="3"/>
        <v>ABCB4 BZ Equity</v>
      </c>
      <c r="O29" s="24">
        <f t="shared" si="4"/>
        <v>1.6E-2</v>
      </c>
      <c r="Q29"/>
      <c r="R29" s="22"/>
      <c r="S29" s="23"/>
      <c r="T29" s="23"/>
      <c r="U29" s="23"/>
    </row>
    <row r="30" spans="1:21" x14ac:dyDescent="0.3">
      <c r="A30" s="10" t="s">
        <v>103</v>
      </c>
      <c r="B30" s="11">
        <v>1.4E-2</v>
      </c>
      <c r="C30" s="3"/>
      <c r="E30" s="5" t="str">
        <f t="shared" si="1"/>
        <v>MELK3</v>
      </c>
      <c r="F30" s="5">
        <f t="shared" si="0"/>
        <v>1.1879000000000001E-2</v>
      </c>
      <c r="I30" s="7"/>
      <c r="K30" s="7">
        <f>VLOOKUP(A30,'[1]29 - FIA'!$A$9:$B$219,2,0)</f>
        <v>1.4E-2</v>
      </c>
      <c r="L30" s="3">
        <f t="shared" si="2"/>
        <v>0</v>
      </c>
      <c r="N30" t="str">
        <f t="shared" si="3"/>
        <v>MELK3 BZ Equity</v>
      </c>
      <c r="O30" s="24">
        <f t="shared" si="4"/>
        <v>1.4E-2</v>
      </c>
      <c r="Q30"/>
      <c r="R30" s="22"/>
      <c r="S30" s="23"/>
      <c r="T30" s="23"/>
      <c r="U30" s="23"/>
    </row>
    <row r="31" spans="1:21" x14ac:dyDescent="0.3">
      <c r="A31" s="10" t="s">
        <v>71</v>
      </c>
      <c r="B31" s="11">
        <v>1.4E-2</v>
      </c>
      <c r="C31" s="3"/>
      <c r="E31" s="5" t="str">
        <f t="shared" si="1"/>
        <v>BMOB3</v>
      </c>
      <c r="F31" s="5">
        <f t="shared" si="0"/>
        <v>1.1879000000000001E-2</v>
      </c>
      <c r="I31" s="7"/>
      <c r="K31" s="7">
        <f>VLOOKUP(A31,'[1]29 - FIA'!$A$9:$B$219,2,0)</f>
        <v>1.4E-2</v>
      </c>
      <c r="L31" s="3">
        <f t="shared" si="2"/>
        <v>0</v>
      </c>
      <c r="N31" t="str">
        <f t="shared" si="3"/>
        <v>BMOB3 BZ Equity</v>
      </c>
      <c r="O31" s="24">
        <f t="shared" si="4"/>
        <v>1.4E-2</v>
      </c>
      <c r="Q31"/>
      <c r="R31" s="22"/>
      <c r="S31" s="23"/>
      <c r="T31" s="23"/>
      <c r="U31" s="23"/>
    </row>
    <row r="32" spans="1:21" x14ac:dyDescent="0.3">
      <c r="A32" s="10" t="s">
        <v>28</v>
      </c>
      <c r="B32" s="11">
        <v>1.2E-2</v>
      </c>
      <c r="C32" s="3"/>
      <c r="E32" s="5" t="str">
        <f t="shared" si="1"/>
        <v>LEVE3</v>
      </c>
      <c r="F32" s="5">
        <f t="shared" si="0"/>
        <v>1.0182E-2</v>
      </c>
      <c r="I32" s="7"/>
      <c r="K32" s="7">
        <f>VLOOKUP(A32,'[1]29 - FIA'!$A$9:$B$219,2,0)</f>
        <v>1.2E-2</v>
      </c>
      <c r="L32" s="3">
        <f t="shared" si="2"/>
        <v>0</v>
      </c>
      <c r="N32" t="str">
        <f t="shared" si="3"/>
        <v>LEVE3 BZ Equity</v>
      </c>
      <c r="O32" s="24">
        <f t="shared" si="4"/>
        <v>1.2E-2</v>
      </c>
      <c r="Q32"/>
      <c r="R32" s="22"/>
      <c r="S32" s="23"/>
      <c r="T32" s="23"/>
      <c r="U32" s="23"/>
    </row>
    <row r="33" spans="1:21" x14ac:dyDescent="0.3">
      <c r="A33" s="10" t="s">
        <v>123</v>
      </c>
      <c r="B33" s="11">
        <v>8.9999999999999993E-3</v>
      </c>
      <c r="C33" s="3"/>
      <c r="E33" s="5" t="str">
        <f t="shared" si="1"/>
        <v>EUCA4</v>
      </c>
      <c r="F33" s="5">
        <f t="shared" si="0"/>
        <v>7.6365000000000001E-3</v>
      </c>
      <c r="I33" s="7"/>
      <c r="K33" s="7">
        <f>VLOOKUP(A33,'[1]29 - FIA'!$A$9:$B$219,2,0)</f>
        <v>8.9999999999999993E-3</v>
      </c>
      <c r="L33" s="3">
        <f t="shared" si="2"/>
        <v>0</v>
      </c>
      <c r="N33" t="str">
        <f t="shared" si="3"/>
        <v>EUCA4 BZ Equity</v>
      </c>
      <c r="O33" s="24">
        <f t="shared" si="4"/>
        <v>8.9999999999999993E-3</v>
      </c>
      <c r="Q33"/>
      <c r="R33" s="22"/>
      <c r="S33" s="23"/>
      <c r="T33" s="23"/>
      <c r="U33" s="23"/>
    </row>
    <row r="34" spans="1:21" x14ac:dyDescent="0.3">
      <c r="A34" s="10" t="s">
        <v>124</v>
      </c>
      <c r="B34" s="11">
        <v>1.2999999999999999E-2</v>
      </c>
      <c r="C34" s="3"/>
      <c r="E34" s="5" t="str">
        <f t="shared" si="1"/>
        <v>CSUD3</v>
      </c>
      <c r="F34" s="5">
        <f t="shared" ref="F34:F65" si="5">(1-$F$72-$F$73-$F$74)*B34</f>
        <v>1.10305E-2</v>
      </c>
      <c r="I34" s="7"/>
      <c r="K34" s="7">
        <f>VLOOKUP(A34,'[1]29 - FIA'!$A$9:$B$219,2,0)</f>
        <v>1.2999999999999999E-2</v>
      </c>
      <c r="L34" s="3">
        <f t="shared" si="2"/>
        <v>0</v>
      </c>
      <c r="N34" t="str">
        <f t="shared" si="3"/>
        <v>CSUD3 BZ Equity</v>
      </c>
      <c r="O34" s="24">
        <f t="shared" si="4"/>
        <v>1.2999999999999999E-2</v>
      </c>
      <c r="Q34"/>
      <c r="R34" s="22"/>
      <c r="T34" s="23"/>
      <c r="U34" s="23"/>
    </row>
    <row r="35" spans="1:21" x14ac:dyDescent="0.3">
      <c r="A35" s="10" t="s">
        <v>105</v>
      </c>
      <c r="B35" s="11">
        <v>1.0999999999999999E-2</v>
      </c>
      <c r="C35" s="3"/>
      <c r="E35" s="5" t="str">
        <f t="shared" si="1"/>
        <v>PNVL3</v>
      </c>
      <c r="F35" s="5">
        <f t="shared" si="5"/>
        <v>9.3334999999999998E-3</v>
      </c>
      <c r="I35" s="7"/>
      <c r="K35" s="7">
        <f>VLOOKUP(A35,'[1]29 - FIA'!$A$9:$B$219,2,0)</f>
        <v>1.0999999999999999E-2</v>
      </c>
      <c r="L35" s="3">
        <f t="shared" si="2"/>
        <v>0</v>
      </c>
      <c r="N35" t="str">
        <f t="shared" si="3"/>
        <v>PNVL3 BZ Equity</v>
      </c>
      <c r="O35" s="24">
        <f t="shared" si="4"/>
        <v>1.0999999999999999E-2</v>
      </c>
      <c r="Q35"/>
      <c r="R35" s="22"/>
      <c r="T35" s="23"/>
      <c r="U35" s="23"/>
    </row>
    <row r="36" spans="1:21" x14ac:dyDescent="0.3">
      <c r="A36" s="10" t="s">
        <v>73</v>
      </c>
      <c r="B36" s="11">
        <v>7.0000000000000001E-3</v>
      </c>
      <c r="C36" s="3"/>
      <c r="E36" s="5" t="str">
        <f t="shared" si="1"/>
        <v>MDNE3</v>
      </c>
      <c r="F36" s="5">
        <f t="shared" si="5"/>
        <v>5.9395000000000003E-3</v>
      </c>
      <c r="I36" s="7"/>
      <c r="K36" s="7">
        <f>VLOOKUP(A36,'[1]29 - FIA'!$A$9:$B$219,2,0)</f>
        <v>7.0000000000000001E-3</v>
      </c>
      <c r="L36" s="3">
        <f t="shared" si="2"/>
        <v>0</v>
      </c>
      <c r="N36" t="str">
        <f t="shared" si="3"/>
        <v>MDNE3 BZ Equity</v>
      </c>
      <c r="O36" s="24">
        <f t="shared" si="4"/>
        <v>7.0000000000000001E-3</v>
      </c>
      <c r="Q36"/>
      <c r="R36" s="22"/>
      <c r="T36" s="23"/>
      <c r="U36" s="23"/>
    </row>
    <row r="37" spans="1:21" x14ac:dyDescent="0.3">
      <c r="A37" s="10" t="s">
        <v>108</v>
      </c>
      <c r="B37" s="11">
        <v>1.2E-2</v>
      </c>
      <c r="C37" s="3"/>
      <c r="E37" s="5" t="str">
        <f t="shared" si="1"/>
        <v>SHUL4</v>
      </c>
      <c r="F37" s="5">
        <f t="shared" si="5"/>
        <v>1.0182E-2</v>
      </c>
      <c r="I37" s="7"/>
      <c r="K37" s="7">
        <f>VLOOKUP(A37,'[1]29 - FIA'!$A$9:$B$219,2,0)</f>
        <v>1.2E-2</v>
      </c>
      <c r="L37" s="3">
        <f t="shared" si="2"/>
        <v>0</v>
      </c>
      <c r="N37" t="str">
        <f t="shared" si="3"/>
        <v>SHUL4 BZ Equity</v>
      </c>
      <c r="O37" s="24">
        <f t="shared" si="4"/>
        <v>1.2E-2</v>
      </c>
      <c r="Q37"/>
      <c r="R37" s="22"/>
      <c r="T37" s="23"/>
      <c r="U37" s="23"/>
    </row>
    <row r="38" spans="1:21" x14ac:dyDescent="0.3">
      <c r="A38" s="10" t="s">
        <v>113</v>
      </c>
      <c r="B38" s="11">
        <v>1.2999999999999999E-2</v>
      </c>
      <c r="C38" s="3"/>
      <c r="E38" s="5" t="str">
        <f t="shared" si="1"/>
        <v>POSI3</v>
      </c>
      <c r="F38" s="5">
        <f t="shared" si="5"/>
        <v>1.10305E-2</v>
      </c>
      <c r="I38" s="7"/>
      <c r="K38" s="7">
        <f>VLOOKUP(A38,'[1]29 - FIA'!$A$9:$B$219,2,0)</f>
        <v>1.2999999999999999E-2</v>
      </c>
      <c r="L38" s="3">
        <f t="shared" si="2"/>
        <v>0</v>
      </c>
      <c r="N38" t="str">
        <f t="shared" si="3"/>
        <v>POSI3 BZ Equity</v>
      </c>
      <c r="O38" s="24">
        <f t="shared" si="4"/>
        <v>1.2999999999999999E-2</v>
      </c>
      <c r="Q38"/>
      <c r="R38" s="22"/>
      <c r="T38" s="23"/>
      <c r="U38" s="23"/>
    </row>
    <row r="39" spans="1:21" x14ac:dyDescent="0.3">
      <c r="A39" s="10" t="s">
        <v>109</v>
      </c>
      <c r="B39" s="11">
        <v>8.9999999999999993E-3</v>
      </c>
      <c r="C39" s="3"/>
      <c r="E39" s="5" t="str">
        <f t="shared" si="1"/>
        <v>PFRM3</v>
      </c>
      <c r="F39" s="5">
        <f t="shared" si="5"/>
        <v>7.6365000000000001E-3</v>
      </c>
      <c r="I39" s="7"/>
      <c r="K39" s="7">
        <f>VLOOKUP(A39,'[1]29 - FIA'!$A$9:$B$219,2,0)</f>
        <v>8.9999999999999993E-3</v>
      </c>
      <c r="L39" s="3">
        <f t="shared" si="2"/>
        <v>0</v>
      </c>
      <c r="N39" t="str">
        <f t="shared" si="3"/>
        <v>PFRM3 BZ Equity</v>
      </c>
      <c r="O39" s="24">
        <f t="shared" si="4"/>
        <v>8.9999999999999993E-3</v>
      </c>
      <c r="Q39"/>
      <c r="R39" s="22"/>
      <c r="T39" s="23"/>
      <c r="U39" s="23"/>
    </row>
    <row r="40" spans="1:21" x14ac:dyDescent="0.3">
      <c r="A40" s="10" t="s">
        <v>22</v>
      </c>
      <c r="B40" s="11">
        <v>1.2999999999999999E-2</v>
      </c>
      <c r="C40" s="3"/>
      <c r="E40" s="5" t="str">
        <f t="shared" si="1"/>
        <v>GOAU4</v>
      </c>
      <c r="F40" s="5">
        <f t="shared" si="5"/>
        <v>1.10305E-2</v>
      </c>
      <c r="I40" s="7"/>
      <c r="K40" s="7">
        <f>VLOOKUP(A40,'[1]29 - FIA'!$A$9:$B$219,2,0)</f>
        <v>1.2999999999999999E-2</v>
      </c>
      <c r="L40" s="3">
        <f t="shared" si="2"/>
        <v>0</v>
      </c>
      <c r="N40" t="str">
        <f t="shared" si="3"/>
        <v>GOAU4 BZ Equity</v>
      </c>
      <c r="O40" s="24">
        <f t="shared" si="4"/>
        <v>1.2999999999999999E-2</v>
      </c>
      <c r="Q40"/>
      <c r="R40" s="22"/>
      <c r="T40" s="23"/>
      <c r="U40" s="23"/>
    </row>
    <row r="41" spans="1:21" x14ac:dyDescent="0.3">
      <c r="A41" s="10" t="s">
        <v>66</v>
      </c>
      <c r="B41" s="11">
        <v>4.2000000000000003E-2</v>
      </c>
      <c r="C41" s="3"/>
      <c r="E41" s="5" t="str">
        <f t="shared" si="1"/>
        <v>ITSA4</v>
      </c>
      <c r="F41" s="5">
        <f t="shared" si="5"/>
        <v>3.5637000000000002E-2</v>
      </c>
      <c r="I41" s="7"/>
      <c r="K41" s="7">
        <f>VLOOKUP(A41,'[1]29 - FIA'!$A$9:$B$219,2,0)</f>
        <v>4.2000000000000003E-2</v>
      </c>
      <c r="L41" s="3">
        <f t="shared" si="2"/>
        <v>0</v>
      </c>
      <c r="N41" t="str">
        <f t="shared" si="3"/>
        <v>ITSA4 BZ Equity</v>
      </c>
      <c r="O41" s="24">
        <f t="shared" si="4"/>
        <v>4.2000000000000003E-2</v>
      </c>
      <c r="Q41"/>
      <c r="R41" s="22"/>
      <c r="T41" s="23"/>
      <c r="U41" s="23"/>
    </row>
    <row r="42" spans="1:21" x14ac:dyDescent="0.3">
      <c r="A42" s="10" t="s">
        <v>104</v>
      </c>
      <c r="B42" s="11">
        <v>8.9999999999999993E-3</v>
      </c>
      <c r="C42" s="3"/>
      <c r="E42" s="5" t="str">
        <f t="shared" si="1"/>
        <v>ALPA4</v>
      </c>
      <c r="F42" s="5">
        <f t="shared" si="5"/>
        <v>7.6365000000000001E-3</v>
      </c>
      <c r="I42" s="7"/>
      <c r="K42" s="7">
        <f>VLOOKUP(A42,'[1]29 - FIA'!$A$9:$B$219,2,0)</f>
        <v>8.9999999999999993E-3</v>
      </c>
      <c r="L42" s="3">
        <f t="shared" si="2"/>
        <v>0</v>
      </c>
      <c r="N42" t="str">
        <f t="shared" si="3"/>
        <v>ALPA4 BZ Equity</v>
      </c>
      <c r="O42" s="24">
        <f t="shared" si="4"/>
        <v>8.9999999999999993E-3</v>
      </c>
      <c r="Q42"/>
      <c r="R42" s="22"/>
      <c r="T42" s="23"/>
      <c r="U42" s="23"/>
    </row>
    <row r="43" spans="1:21" x14ac:dyDescent="0.3">
      <c r="A43" s="10" t="s">
        <v>47</v>
      </c>
      <c r="B43" s="11">
        <v>0.02</v>
      </c>
      <c r="C43" s="3"/>
      <c r="E43" s="5" t="str">
        <f t="shared" si="1"/>
        <v>SAPR4</v>
      </c>
      <c r="F43" s="5">
        <f t="shared" si="5"/>
        <v>1.6970000000000002E-2</v>
      </c>
      <c r="I43" s="7"/>
      <c r="K43" s="7">
        <f>VLOOKUP(A43,'[1]29 - FIA'!$A$9:$B$219,2,0)</f>
        <v>0.02</v>
      </c>
      <c r="L43" s="3">
        <f t="shared" si="2"/>
        <v>0</v>
      </c>
      <c r="N43" t="str">
        <f t="shared" si="3"/>
        <v>SAPR4 BZ Equity</v>
      </c>
      <c r="O43" s="24">
        <f t="shared" si="4"/>
        <v>0.02</v>
      </c>
      <c r="Q43"/>
      <c r="R43" s="22"/>
      <c r="T43" s="23"/>
      <c r="U43" s="23"/>
    </row>
    <row r="44" spans="1:21" x14ac:dyDescent="0.3">
      <c r="A44" s="10" t="s">
        <v>23</v>
      </c>
      <c r="B44" s="11">
        <v>2.5000000000000001E-2</v>
      </c>
      <c r="C44" s="3"/>
      <c r="E44" s="5" t="str">
        <f t="shared" si="1"/>
        <v>TIMS3</v>
      </c>
      <c r="F44" s="5">
        <f t="shared" si="5"/>
        <v>2.1212500000000002E-2</v>
      </c>
      <c r="I44" s="7"/>
      <c r="K44" s="7">
        <f>VLOOKUP(A44,'[1]29 - FIA'!$A$9:$B$219,2,0)</f>
        <v>2.5000000000000001E-2</v>
      </c>
      <c r="L44" s="3">
        <f t="shared" si="2"/>
        <v>0</v>
      </c>
      <c r="N44" t="str">
        <f t="shared" si="3"/>
        <v>TIMS3 BZ Equity</v>
      </c>
      <c r="O44" s="24">
        <f t="shared" si="4"/>
        <v>2.5000000000000001E-2</v>
      </c>
      <c r="Q44"/>
      <c r="R44" s="22"/>
      <c r="T44" s="23"/>
      <c r="U44" s="23"/>
    </row>
    <row r="45" spans="1:21" x14ac:dyDescent="0.3">
      <c r="A45" s="10" t="s">
        <v>8</v>
      </c>
      <c r="B45" s="11">
        <v>2.1999999999999999E-2</v>
      </c>
      <c r="C45" s="3"/>
      <c r="E45" s="5" t="str">
        <f t="shared" si="1"/>
        <v>BBSE3</v>
      </c>
      <c r="F45" s="5">
        <f t="shared" si="5"/>
        <v>1.8667E-2</v>
      </c>
      <c r="I45" s="7"/>
      <c r="K45" s="7">
        <f>VLOOKUP(A45,'[1]29 - FIA'!$A$9:$B$219,2,0)</f>
        <v>2.1999999999999999E-2</v>
      </c>
      <c r="L45" s="3">
        <f t="shared" si="2"/>
        <v>0</v>
      </c>
      <c r="N45" t="str">
        <f t="shared" si="3"/>
        <v>BBSE3 BZ Equity</v>
      </c>
      <c r="O45" s="24">
        <f t="shared" si="4"/>
        <v>2.1999999999999999E-2</v>
      </c>
      <c r="Q45"/>
      <c r="R45" s="22"/>
      <c r="T45" s="23"/>
      <c r="U45" s="23"/>
    </row>
    <row r="46" spans="1:21" x14ac:dyDescent="0.3">
      <c r="A46" s="10" t="s">
        <v>125</v>
      </c>
      <c r="B46" s="11">
        <v>0.01</v>
      </c>
      <c r="C46" s="3"/>
      <c r="E46" s="5" t="str">
        <f t="shared" si="1"/>
        <v>EZTC3</v>
      </c>
      <c r="F46" s="5">
        <f t="shared" si="5"/>
        <v>8.4850000000000012E-3</v>
      </c>
      <c r="I46" s="7"/>
      <c r="K46" s="7">
        <f>VLOOKUP(A46,'[1]29 - FIA'!$A$9:$B$219,2,0)</f>
        <v>0.01</v>
      </c>
      <c r="L46" s="3">
        <f t="shared" si="2"/>
        <v>0</v>
      </c>
      <c r="N46" t="str">
        <f t="shared" si="3"/>
        <v>EZTC3 BZ Equity</v>
      </c>
      <c r="O46" s="24">
        <f t="shared" si="4"/>
        <v>0.01</v>
      </c>
      <c r="Q46"/>
      <c r="R46" s="22"/>
      <c r="T46" s="23"/>
      <c r="U46" s="23"/>
    </row>
    <row r="47" spans="1:21" x14ac:dyDescent="0.3">
      <c r="A47" s="10" t="s">
        <v>90</v>
      </c>
      <c r="B47" s="11">
        <v>1.4E-2</v>
      </c>
      <c r="C47" s="3"/>
      <c r="E47" s="5" t="str">
        <f t="shared" si="1"/>
        <v>IGTI11</v>
      </c>
      <c r="F47" s="5">
        <f t="shared" si="5"/>
        <v>1.1879000000000001E-2</v>
      </c>
      <c r="I47" s="7"/>
      <c r="K47" s="7">
        <f>VLOOKUP(A47,'[1]29 - FIA'!$A$9:$B$219,2,0)</f>
        <v>1.4E-2</v>
      </c>
      <c r="L47" s="3">
        <f t="shared" si="2"/>
        <v>0</v>
      </c>
      <c r="N47" t="str">
        <f t="shared" si="3"/>
        <v>IGTI11 BZ Equity</v>
      </c>
      <c r="O47" s="24">
        <f t="shared" si="4"/>
        <v>1.4E-2</v>
      </c>
      <c r="Q47"/>
      <c r="R47" s="22"/>
      <c r="T47" s="23"/>
      <c r="U47" s="23"/>
    </row>
    <row r="48" spans="1:21" x14ac:dyDescent="0.3">
      <c r="A48" s="10" t="s">
        <v>31</v>
      </c>
      <c r="B48" s="11">
        <v>1.2999999999999999E-2</v>
      </c>
      <c r="C48" s="3"/>
      <c r="E48" s="5" t="str">
        <f t="shared" si="1"/>
        <v>PSSA3</v>
      </c>
      <c r="F48" s="5">
        <f t="shared" si="5"/>
        <v>1.10305E-2</v>
      </c>
      <c r="I48" s="7"/>
      <c r="K48" s="7">
        <f>VLOOKUP(A48,'[1]29 - FIA'!$A$9:$B$219,2,0)</f>
        <v>1.2999999999999999E-2</v>
      </c>
      <c r="L48" s="3">
        <f t="shared" si="2"/>
        <v>0</v>
      </c>
      <c r="N48" t="str">
        <f t="shared" si="3"/>
        <v>PSSA3 BZ Equity</v>
      </c>
      <c r="O48" s="24">
        <f t="shared" si="4"/>
        <v>1.2999999999999999E-2</v>
      </c>
      <c r="Q48"/>
      <c r="R48" s="22"/>
      <c r="T48" s="23"/>
      <c r="U48" s="23"/>
    </row>
    <row r="49" spans="1:21" x14ac:dyDescent="0.3">
      <c r="A49" s="10" t="s">
        <v>101</v>
      </c>
      <c r="B49" s="11">
        <v>8.0000000000000002E-3</v>
      </c>
      <c r="C49" s="3"/>
      <c r="E49" s="5" t="str">
        <f t="shared" si="1"/>
        <v>BMEB4</v>
      </c>
      <c r="F49" s="5">
        <f t="shared" si="5"/>
        <v>6.7880000000000006E-3</v>
      </c>
      <c r="I49" s="7"/>
      <c r="K49" s="7">
        <f>VLOOKUP(A49,'[1]29 - FIA'!$A$9:$B$219,2,0)</f>
        <v>8.0000000000000002E-3</v>
      </c>
      <c r="L49" s="3">
        <f t="shared" si="2"/>
        <v>0</v>
      </c>
      <c r="N49" t="str">
        <f t="shared" si="3"/>
        <v>BMEB4 BZ Equity</v>
      </c>
      <c r="O49" s="24">
        <f t="shared" si="4"/>
        <v>8.0000000000000002E-3</v>
      </c>
      <c r="Q49"/>
      <c r="R49" s="22"/>
      <c r="T49" s="23"/>
      <c r="U49" s="23"/>
    </row>
    <row r="50" spans="1:21" x14ac:dyDescent="0.3">
      <c r="A50" s="10" t="s">
        <v>106</v>
      </c>
      <c r="B50" s="11">
        <v>4.0000000000000001E-3</v>
      </c>
      <c r="C50" s="3"/>
      <c r="E50" s="5" t="str">
        <f t="shared" si="1"/>
        <v>JSLG3</v>
      </c>
      <c r="F50" s="5">
        <f t="shared" si="5"/>
        <v>3.3940000000000003E-3</v>
      </c>
      <c r="I50" s="7"/>
      <c r="K50" s="7">
        <f>VLOOKUP(A50,'[1]29 - FIA'!$A$9:$B$219,2,0)</f>
        <v>4.0000000000000001E-3</v>
      </c>
      <c r="L50" s="3">
        <f t="shared" si="2"/>
        <v>0</v>
      </c>
      <c r="N50" t="str">
        <f t="shared" si="3"/>
        <v>JSLG3 BZ Equity</v>
      </c>
      <c r="O50" s="24">
        <f t="shared" si="4"/>
        <v>4.0000000000000001E-3</v>
      </c>
      <c r="Q50"/>
      <c r="R50" s="22"/>
      <c r="T50" s="23"/>
      <c r="U50" s="23"/>
    </row>
    <row r="51" spans="1:21" x14ac:dyDescent="0.3">
      <c r="A51" s="10" t="s">
        <v>76</v>
      </c>
      <c r="B51" s="11">
        <v>1.0999999999999999E-2</v>
      </c>
      <c r="C51" s="3"/>
      <c r="E51" s="5" t="str">
        <f t="shared" si="1"/>
        <v>SAPR11</v>
      </c>
      <c r="F51" s="5">
        <f t="shared" si="5"/>
        <v>9.3334999999999998E-3</v>
      </c>
      <c r="I51" s="7"/>
      <c r="K51" s="7">
        <f>VLOOKUP(A51,'[1]29 - FIA'!$A$9:$B$219,2,0)</f>
        <v>1.0999999999999999E-2</v>
      </c>
      <c r="L51" s="3">
        <f t="shared" si="2"/>
        <v>0</v>
      </c>
      <c r="N51" t="str">
        <f t="shared" si="3"/>
        <v>SAPR11 BZ Equity</v>
      </c>
      <c r="O51" s="24">
        <f t="shared" si="4"/>
        <v>1.0999999999999999E-2</v>
      </c>
      <c r="Q51"/>
      <c r="R51" s="22"/>
      <c r="T51" s="23"/>
      <c r="U51" s="23"/>
    </row>
    <row r="52" spans="1:21" x14ac:dyDescent="0.3">
      <c r="A52" s="10" t="s">
        <v>30</v>
      </c>
      <c r="B52" s="11">
        <v>8.9999999999999993E-3</v>
      </c>
      <c r="C52" s="3"/>
      <c r="E52" s="5" t="str">
        <f t="shared" si="1"/>
        <v>CURY3</v>
      </c>
      <c r="F52" s="5">
        <f t="shared" si="5"/>
        <v>7.6365000000000001E-3</v>
      </c>
      <c r="I52" s="7"/>
      <c r="K52" s="7">
        <f>VLOOKUP(A52,'[1]29 - FIA'!$A$9:$B$219,2,0)</f>
        <v>8.9999999999999993E-3</v>
      </c>
      <c r="L52" s="3">
        <f t="shared" si="2"/>
        <v>0</v>
      </c>
      <c r="N52" t="str">
        <f t="shared" si="3"/>
        <v>CURY3 BZ Equity</v>
      </c>
      <c r="O52" s="24">
        <f t="shared" si="4"/>
        <v>8.9999999999999993E-3</v>
      </c>
      <c r="Q52"/>
      <c r="R52" s="22"/>
      <c r="T52" s="23"/>
      <c r="U52" s="23"/>
    </row>
    <row r="53" spans="1:21" x14ac:dyDescent="0.3">
      <c r="A53" s="10" t="s">
        <v>100</v>
      </c>
      <c r="B53" s="11">
        <v>2.8000000000000001E-2</v>
      </c>
      <c r="C53" s="3"/>
      <c r="E53" s="5" t="str">
        <f t="shared" si="1"/>
        <v>AXIA6</v>
      </c>
      <c r="F53" s="5">
        <f t="shared" si="5"/>
        <v>2.3758000000000001E-2</v>
      </c>
      <c r="I53" s="7"/>
      <c r="K53" s="7">
        <f>VLOOKUP(A53,'[1]29 - FIA'!$A$9:$B$219,2,0)</f>
        <v>2.8000000000000001E-2</v>
      </c>
      <c r="L53" s="3">
        <f t="shared" si="2"/>
        <v>0</v>
      </c>
      <c r="N53" t="str">
        <f t="shared" si="3"/>
        <v>AXIA6 BZ Equity</v>
      </c>
      <c r="O53" s="24">
        <f t="shared" si="4"/>
        <v>2.8000000000000001E-2</v>
      </c>
      <c r="Q53"/>
      <c r="R53" s="22"/>
      <c r="T53" s="23"/>
      <c r="U53" s="23"/>
    </row>
    <row r="54" spans="1:21" x14ac:dyDescent="0.3">
      <c r="A54" s="10" t="s">
        <v>45</v>
      </c>
      <c r="B54" s="11">
        <v>1.4E-2</v>
      </c>
      <c r="C54" s="3"/>
      <c r="E54" s="5" t="str">
        <f t="shared" si="1"/>
        <v>ALOS3</v>
      </c>
      <c r="F54" s="5">
        <f t="shared" si="5"/>
        <v>1.1879000000000001E-2</v>
      </c>
      <c r="I54" s="7"/>
      <c r="K54" s="7">
        <f>VLOOKUP(A54,'[1]29 - FIA'!$A$9:$B$219,2,0)</f>
        <v>1.4E-2</v>
      </c>
      <c r="L54" s="3">
        <f t="shared" si="2"/>
        <v>0</v>
      </c>
      <c r="N54" t="str">
        <f t="shared" si="3"/>
        <v>ALOS3 BZ Equity</v>
      </c>
      <c r="O54" s="24">
        <f t="shared" si="4"/>
        <v>1.4E-2</v>
      </c>
      <c r="Q54"/>
      <c r="R54" s="22"/>
      <c r="T54" s="23"/>
      <c r="U54" s="23"/>
    </row>
    <row r="55" spans="1:21" x14ac:dyDescent="0.3">
      <c r="A55" s="10" t="s">
        <v>59</v>
      </c>
      <c r="B55" s="11">
        <v>1.6E-2</v>
      </c>
      <c r="C55" s="3"/>
      <c r="E55" s="5" t="str">
        <f t="shared" si="1"/>
        <v>RECV3</v>
      </c>
      <c r="F55" s="5">
        <f t="shared" si="5"/>
        <v>1.3576000000000001E-2</v>
      </c>
      <c r="I55" s="7"/>
      <c r="K55" s="7">
        <f>VLOOKUP(A55,'[1]29 - FIA'!$A$9:$B$219,2,0)</f>
        <v>1.6E-2</v>
      </c>
      <c r="L55" s="3">
        <f t="shared" si="2"/>
        <v>0</v>
      </c>
      <c r="N55" t="str">
        <f t="shared" si="3"/>
        <v>RECV3 BZ Equity</v>
      </c>
      <c r="O55" s="24">
        <f t="shared" si="4"/>
        <v>1.6E-2</v>
      </c>
      <c r="Q55"/>
      <c r="R55" s="22"/>
      <c r="T55" s="23"/>
      <c r="U55" s="23"/>
    </row>
    <row r="56" spans="1:21" x14ac:dyDescent="0.3">
      <c r="A56" s="10" t="s">
        <v>126</v>
      </c>
      <c r="B56" s="11">
        <v>1.2500000000000001E-2</v>
      </c>
      <c r="C56" s="3"/>
      <c r="E56" s="5" t="str">
        <f t="shared" si="1"/>
        <v>JALL3</v>
      </c>
      <c r="F56" s="5">
        <f t="shared" si="5"/>
        <v>1.0606250000000001E-2</v>
      </c>
      <c r="I56" s="7"/>
      <c r="K56" s="7">
        <f>VLOOKUP(A56,'[1]29 - FIA'!$A$9:$B$219,2,0)</f>
        <v>1.2500000000000001E-2</v>
      </c>
      <c r="L56" s="3">
        <f t="shared" si="2"/>
        <v>0</v>
      </c>
      <c r="N56" t="str">
        <f t="shared" si="3"/>
        <v>JALL3 BZ Equity</v>
      </c>
      <c r="O56" s="24">
        <f t="shared" si="4"/>
        <v>1.2500000000000001E-2</v>
      </c>
      <c r="Q56"/>
      <c r="R56" s="22"/>
      <c r="T56" s="23"/>
      <c r="U56" s="23"/>
    </row>
    <row r="57" spans="1:21" x14ac:dyDescent="0.3">
      <c r="A57" s="10" t="s">
        <v>127</v>
      </c>
      <c r="B57" s="11">
        <v>0.02</v>
      </c>
      <c r="C57" s="3"/>
      <c r="E57" s="5" t="str">
        <f t="shared" si="1"/>
        <v>B3SA3</v>
      </c>
      <c r="F57" s="5">
        <f t="shared" si="5"/>
        <v>1.6970000000000002E-2</v>
      </c>
      <c r="I57" s="7"/>
      <c r="K57" s="7">
        <f>VLOOKUP(A57,'[1]29 - FIA'!$A$9:$B$219,2,0)</f>
        <v>0.02</v>
      </c>
      <c r="L57" s="3">
        <f t="shared" si="2"/>
        <v>0</v>
      </c>
      <c r="N57" t="str">
        <f t="shared" si="3"/>
        <v>B3SA3 BZ Equity</v>
      </c>
      <c r="O57" s="24">
        <f t="shared" si="4"/>
        <v>0.02</v>
      </c>
      <c r="Q57"/>
      <c r="R57" s="22"/>
      <c r="T57" s="23"/>
      <c r="U57" s="23"/>
    </row>
    <row r="58" spans="1:21" x14ac:dyDescent="0.3">
      <c r="A58" s="10" t="s">
        <v>36</v>
      </c>
      <c r="B58" s="11">
        <v>2.1999999999999999E-2</v>
      </c>
      <c r="C58" s="3"/>
      <c r="E58" s="5" t="str">
        <f t="shared" si="1"/>
        <v>VBBR3</v>
      </c>
      <c r="F58" s="5">
        <f t="shared" si="5"/>
        <v>1.8667E-2</v>
      </c>
      <c r="I58" s="7"/>
      <c r="K58" s="7">
        <f>VLOOKUP(A58,'[1]29 - FIA'!$A$9:$B$219,2,0)</f>
        <v>2.1999999999999999E-2</v>
      </c>
      <c r="L58" s="3">
        <f t="shared" si="2"/>
        <v>0</v>
      </c>
      <c r="N58" t="str">
        <f t="shared" si="3"/>
        <v>VBBR3 BZ Equity</v>
      </c>
      <c r="O58" s="24">
        <f t="shared" si="4"/>
        <v>2.1999999999999999E-2</v>
      </c>
      <c r="Q58"/>
      <c r="R58" s="22"/>
      <c r="T58" s="23"/>
      <c r="U58" s="23"/>
    </row>
    <row r="59" spans="1:21" x14ac:dyDescent="0.3">
      <c r="A59" s="10" t="s">
        <v>128</v>
      </c>
      <c r="B59" s="11">
        <v>2.1000000000000001E-2</v>
      </c>
      <c r="C59" s="3"/>
      <c r="E59" s="5" t="str">
        <f t="shared" si="1"/>
        <v>UGPA3</v>
      </c>
      <c r="F59" s="5">
        <f t="shared" si="5"/>
        <v>1.7818500000000001E-2</v>
      </c>
      <c r="I59" s="7"/>
      <c r="K59" s="7">
        <f>VLOOKUP(A59,'[1]29 - FIA'!$A$9:$B$219,2,0)</f>
        <v>2.1000000000000001E-2</v>
      </c>
      <c r="L59" s="3">
        <f t="shared" si="2"/>
        <v>0</v>
      </c>
      <c r="N59" t="str">
        <f t="shared" si="3"/>
        <v>UGPA3 BZ Equity</v>
      </c>
      <c r="O59" s="24">
        <f t="shared" si="4"/>
        <v>2.1000000000000001E-2</v>
      </c>
      <c r="Q59"/>
      <c r="R59" s="22"/>
      <c r="T59" s="23"/>
      <c r="U59" s="23"/>
    </row>
    <row r="60" spans="1:21" x14ac:dyDescent="0.3">
      <c r="A60" s="10" t="s">
        <v>57</v>
      </c>
      <c r="B60" s="11">
        <v>7.0000000000000001E-3</v>
      </c>
      <c r="C60" s="3"/>
      <c r="E60" s="5" t="str">
        <f t="shared" si="1"/>
        <v>TEND3</v>
      </c>
      <c r="F60" s="5">
        <f t="shared" si="5"/>
        <v>5.9395000000000003E-3</v>
      </c>
      <c r="I60" s="7"/>
      <c r="K60" s="7">
        <f>VLOOKUP(A60,'[1]29 - FIA'!$A$9:$B$219,2,0)</f>
        <v>7.0000000000000001E-3</v>
      </c>
      <c r="L60" s="3">
        <f t="shared" si="2"/>
        <v>0</v>
      </c>
      <c r="N60" t="str">
        <f t="shared" si="3"/>
        <v>TEND3 BZ Equity</v>
      </c>
      <c r="O60" s="24">
        <f t="shared" si="4"/>
        <v>7.0000000000000001E-3</v>
      </c>
      <c r="Q60"/>
      <c r="R60" s="22"/>
      <c r="T60" s="23"/>
      <c r="U60" s="23"/>
    </row>
    <row r="61" spans="1:21" x14ac:dyDescent="0.3">
      <c r="A61" s="10" t="s">
        <v>18</v>
      </c>
      <c r="B61" s="11">
        <v>1.4E-2</v>
      </c>
      <c r="C61" s="3"/>
      <c r="E61" s="5" t="str">
        <f t="shared" si="1"/>
        <v>CXSE3</v>
      </c>
      <c r="F61" s="5">
        <f t="shared" si="5"/>
        <v>1.1879000000000001E-2</v>
      </c>
      <c r="I61" s="7"/>
      <c r="K61" s="7">
        <f>VLOOKUP(A61,'[1]29 - FIA'!$A$9:$B$219,2,0)</f>
        <v>1.4E-2</v>
      </c>
      <c r="L61" s="3">
        <f t="shared" si="2"/>
        <v>0</v>
      </c>
      <c r="N61" t="str">
        <f t="shared" si="3"/>
        <v>CXSE3 BZ Equity</v>
      </c>
      <c r="O61" s="24">
        <f t="shared" si="4"/>
        <v>1.4E-2</v>
      </c>
      <c r="Q61"/>
      <c r="R61" s="22"/>
      <c r="T61" s="23"/>
      <c r="U61" s="23"/>
    </row>
    <row r="62" spans="1:21" x14ac:dyDescent="0.3">
      <c r="A62" s="10" t="s">
        <v>13</v>
      </c>
      <c r="B62" s="11">
        <v>1.4999999999999999E-2</v>
      </c>
      <c r="C62" s="3"/>
      <c r="E62" s="5" t="str">
        <f t="shared" si="1"/>
        <v>VIVT3</v>
      </c>
      <c r="F62" s="5">
        <f t="shared" si="5"/>
        <v>1.2727499999999999E-2</v>
      </c>
      <c r="I62" s="7"/>
      <c r="K62" s="7">
        <f>VLOOKUP(A62,'[1]29 - FIA'!$A$9:$B$219,2,0)</f>
        <v>1.4999999999999999E-2</v>
      </c>
      <c r="L62" s="3">
        <f t="shared" si="2"/>
        <v>0</v>
      </c>
      <c r="N62" t="str">
        <f t="shared" si="3"/>
        <v>VIVT3 BZ Equity</v>
      </c>
      <c r="O62" s="24">
        <f t="shared" si="4"/>
        <v>1.4999999999999999E-2</v>
      </c>
      <c r="Q62"/>
      <c r="R62" s="22"/>
      <c r="T62" s="23"/>
      <c r="U62" s="23"/>
    </row>
    <row r="63" spans="1:21" x14ac:dyDescent="0.3">
      <c r="A63" s="10" t="s">
        <v>93</v>
      </c>
      <c r="B63" s="11">
        <v>0.01</v>
      </c>
      <c r="C63" s="3"/>
      <c r="E63" s="5" t="str">
        <f t="shared" si="1"/>
        <v>VULC3</v>
      </c>
      <c r="F63" s="5">
        <f t="shared" si="5"/>
        <v>8.4850000000000012E-3</v>
      </c>
      <c r="I63" s="7"/>
      <c r="K63" s="7">
        <f>VLOOKUP(A63,'[1]29 - FIA'!$A$9:$B$219,2,0)</f>
        <v>0.01</v>
      </c>
      <c r="L63" s="3">
        <f t="shared" si="2"/>
        <v>0</v>
      </c>
      <c r="N63" t="str">
        <f t="shared" si="3"/>
        <v>VULC3 BZ Equity</v>
      </c>
      <c r="O63" s="24">
        <f t="shared" si="4"/>
        <v>0.01</v>
      </c>
      <c r="Q63"/>
      <c r="R63" s="22"/>
      <c r="T63" s="23"/>
      <c r="U63" s="23"/>
    </row>
    <row r="64" spans="1:21" x14ac:dyDescent="0.3">
      <c r="A64" s="10" t="s">
        <v>53</v>
      </c>
      <c r="B64" s="11">
        <v>4.0000000000000001E-3</v>
      </c>
      <c r="C64" s="3"/>
      <c r="E64" s="5" t="str">
        <f t="shared" si="1"/>
        <v>TRIS3</v>
      </c>
      <c r="F64" s="5">
        <f t="shared" si="5"/>
        <v>3.3940000000000003E-3</v>
      </c>
      <c r="I64" s="7"/>
      <c r="K64" s="7">
        <f>VLOOKUP(A64,'[1]29 - FIA'!$A$9:$B$219,2,0)</f>
        <v>4.0000000000000001E-3</v>
      </c>
      <c r="L64" s="3">
        <f t="shared" si="2"/>
        <v>0</v>
      </c>
      <c r="N64" t="str">
        <f t="shared" si="3"/>
        <v>TRIS3 BZ Equity</v>
      </c>
      <c r="O64" s="24">
        <f t="shared" si="4"/>
        <v>4.0000000000000001E-3</v>
      </c>
      <c r="R64" s="22"/>
      <c r="T64" s="23"/>
      <c r="U64" s="23"/>
    </row>
    <row r="65" spans="1:21" x14ac:dyDescent="0.3">
      <c r="A65" s="10" t="s">
        <v>20</v>
      </c>
      <c r="B65" s="11">
        <v>1.7999999999999999E-2</v>
      </c>
      <c r="C65" s="3"/>
      <c r="E65" s="5" t="str">
        <f t="shared" si="1"/>
        <v>CMIG3</v>
      </c>
      <c r="F65" s="5">
        <f t="shared" si="5"/>
        <v>1.5273E-2</v>
      </c>
      <c r="I65" s="7"/>
      <c r="K65" s="7">
        <f>VLOOKUP(A65,'[1]29 - FIA'!$A$9:$B$219,2,0)</f>
        <v>1.7999999999999999E-2</v>
      </c>
      <c r="L65" s="3">
        <f t="shared" si="2"/>
        <v>0</v>
      </c>
      <c r="N65" t="str">
        <f t="shared" si="3"/>
        <v>CMIG3 BZ Equity</v>
      </c>
      <c r="O65" s="24">
        <f t="shared" si="4"/>
        <v>1.7999999999999999E-2</v>
      </c>
      <c r="R65" s="22"/>
      <c r="T65" s="23"/>
      <c r="U65" s="23"/>
    </row>
    <row r="66" spans="1:21" x14ac:dyDescent="0.3">
      <c r="A66" s="10" t="s">
        <v>91</v>
      </c>
      <c r="B66" s="11">
        <v>2.5000000000000001E-2</v>
      </c>
      <c r="C66" s="3"/>
      <c r="E66" s="5" t="str">
        <f t="shared" si="1"/>
        <v>ITUB3</v>
      </c>
      <c r="F66" s="5">
        <f t="shared" ref="F66:F71" si="6">(1-$F$72-$F$73-$F$74)*B66</f>
        <v>2.1212500000000002E-2</v>
      </c>
      <c r="I66" s="7"/>
      <c r="K66" s="7">
        <f>VLOOKUP(A66,'[1]29 - FIA'!$A$9:$B$219,2,0)</f>
        <v>2.5000000000000001E-2</v>
      </c>
      <c r="L66" s="3">
        <f t="shared" si="2"/>
        <v>0</v>
      </c>
      <c r="N66" t="str">
        <f t="shared" si="3"/>
        <v>ITUB3 BZ Equity</v>
      </c>
      <c r="O66" s="24">
        <f t="shared" si="4"/>
        <v>2.5000000000000001E-2</v>
      </c>
      <c r="R66" s="22"/>
      <c r="T66" s="23"/>
      <c r="U66" s="23"/>
    </row>
    <row r="67" spans="1:21" x14ac:dyDescent="0.3">
      <c r="A67" s="10" t="s">
        <v>129</v>
      </c>
      <c r="B67" s="11">
        <v>0.01</v>
      </c>
      <c r="E67" s="5" t="str">
        <f t="shared" ref="E67:E71" si="7">A67</f>
        <v>SAUD3</v>
      </c>
      <c r="F67" s="5">
        <f t="shared" si="6"/>
        <v>8.4850000000000012E-3</v>
      </c>
      <c r="I67" s="7"/>
      <c r="K67" s="7">
        <f>VLOOKUP(A67,'[1]29 - FIA'!$A$9:$B$219,2,0)</f>
        <v>0.01</v>
      </c>
      <c r="L67" s="3">
        <f t="shared" ref="L67:L71" si="8">B67-K67</f>
        <v>0</v>
      </c>
      <c r="N67" t="str">
        <f t="shared" ref="N67:N71" si="9">CONCATENATE(A67," BZ Equity")</f>
        <v>SAUD3 BZ Equity</v>
      </c>
      <c r="O67" s="24">
        <f t="shared" ref="O67:O71" si="10">B67</f>
        <v>0.01</v>
      </c>
      <c r="R67" s="22"/>
      <c r="T67" s="23"/>
      <c r="U67" s="23"/>
    </row>
    <row r="68" spans="1:21" x14ac:dyDescent="0.3">
      <c r="A68" s="10" t="s">
        <v>96</v>
      </c>
      <c r="B68" s="11">
        <v>5.0000000000000001E-3</v>
      </c>
      <c r="E68" s="5" t="str">
        <f t="shared" si="7"/>
        <v>TAEE4</v>
      </c>
      <c r="F68" s="5">
        <f t="shared" si="6"/>
        <v>4.2425000000000006E-3</v>
      </c>
      <c r="I68" s="7"/>
      <c r="K68" s="7">
        <f>VLOOKUP(A68,'[1]29 - FIA'!$A$9:$B$219,2,0)</f>
        <v>5.0000000000000001E-3</v>
      </c>
      <c r="L68" s="3">
        <f t="shared" si="8"/>
        <v>0</v>
      </c>
      <c r="N68" t="str">
        <f t="shared" si="9"/>
        <v>TAEE4 BZ Equity</v>
      </c>
      <c r="O68" s="24">
        <f t="shared" si="10"/>
        <v>5.0000000000000001E-3</v>
      </c>
      <c r="R68" s="22"/>
      <c r="T68" s="23"/>
      <c r="U68" s="23"/>
    </row>
    <row r="69" spans="1:21" x14ac:dyDescent="0.3">
      <c r="A69" s="10" t="s">
        <v>86</v>
      </c>
      <c r="B69" s="11">
        <v>7.0000000000000001E-3</v>
      </c>
      <c r="E69" s="5" t="str">
        <f t="shared" si="7"/>
        <v>CPLE3</v>
      </c>
      <c r="F69" s="5">
        <f t="shared" si="6"/>
        <v>5.9395000000000003E-3</v>
      </c>
      <c r="I69" s="7"/>
      <c r="K69" s="7">
        <f>VLOOKUP(A69,'[1]29 - FIA'!$A$9:$B$219,2,0)</f>
        <v>7.0000000000000001E-3</v>
      </c>
      <c r="L69" s="3">
        <f t="shared" si="8"/>
        <v>0</v>
      </c>
      <c r="N69" t="str">
        <f t="shared" si="9"/>
        <v>CPLE3 BZ Equity</v>
      </c>
      <c r="O69" s="24">
        <f t="shared" si="10"/>
        <v>7.0000000000000001E-3</v>
      </c>
      <c r="R69" s="22"/>
      <c r="T69" s="23"/>
      <c r="U69" s="23"/>
    </row>
    <row r="70" spans="1:21" x14ac:dyDescent="0.3">
      <c r="A70" s="10" t="s">
        <v>72</v>
      </c>
      <c r="B70" s="11">
        <v>2.1999999999999999E-2</v>
      </c>
      <c r="E70" s="5" t="str">
        <f t="shared" si="7"/>
        <v>ITUB4</v>
      </c>
      <c r="F70" s="5">
        <f t="shared" si="6"/>
        <v>1.8667E-2</v>
      </c>
      <c r="I70" s="7"/>
      <c r="K70" s="7">
        <f>VLOOKUP(A70,'[1]29 - FIA'!$A$9:$B$219,2,0)</f>
        <v>2.1999999999999999E-2</v>
      </c>
      <c r="L70" s="3">
        <f t="shared" si="8"/>
        <v>0</v>
      </c>
      <c r="N70" t="str">
        <f t="shared" si="9"/>
        <v>ITUB4 BZ Equity</v>
      </c>
      <c r="O70" s="24">
        <f t="shared" si="10"/>
        <v>2.1999999999999999E-2</v>
      </c>
      <c r="R70" s="22"/>
      <c r="T70" s="23"/>
      <c r="U70" s="23"/>
    </row>
    <row r="71" spans="1:21" x14ac:dyDescent="0.3">
      <c r="A71" s="10" t="s">
        <v>2</v>
      </c>
      <c r="B71" s="11">
        <v>0.06</v>
      </c>
      <c r="E71" s="5" t="str">
        <f t="shared" si="7"/>
        <v>VALE3</v>
      </c>
      <c r="F71" s="5">
        <f t="shared" si="6"/>
        <v>5.0909999999999997E-2</v>
      </c>
      <c r="I71" s="7"/>
      <c r="K71" s="7">
        <f>VLOOKUP(A71,'[1]29 - FIA'!$A$9:$B$219,2,0)</f>
        <v>0.06</v>
      </c>
      <c r="L71" s="3">
        <f t="shared" si="8"/>
        <v>0</v>
      </c>
      <c r="N71" t="str">
        <f t="shared" si="9"/>
        <v>VALE3 BZ Equity</v>
      </c>
      <c r="O71" s="24">
        <f t="shared" si="10"/>
        <v>0.06</v>
      </c>
      <c r="R71" s="22"/>
      <c r="T71" s="23"/>
      <c r="U71" s="23"/>
    </row>
    <row r="72" spans="1:21" x14ac:dyDescent="0.3">
      <c r="A72" s="10"/>
      <c r="B72" s="11"/>
      <c r="E72" s="5" t="s">
        <v>69</v>
      </c>
      <c r="F72" s="5">
        <v>0.1</v>
      </c>
      <c r="R72" s="22"/>
      <c r="T72" s="23"/>
      <c r="U72" s="23"/>
    </row>
    <row r="73" spans="1:21" x14ac:dyDescent="0.3">
      <c r="A73" s="10"/>
      <c r="B73" s="11"/>
      <c r="E73" s="5" t="s">
        <v>70</v>
      </c>
      <c r="F73" s="5">
        <v>0.05</v>
      </c>
      <c r="R73" s="22"/>
      <c r="T73" s="23"/>
      <c r="U73" s="23"/>
    </row>
    <row r="74" spans="1:21" x14ac:dyDescent="0.3">
      <c r="A74" s="10"/>
      <c r="B74" s="11"/>
      <c r="E74" s="5" t="s">
        <v>83</v>
      </c>
      <c r="F74" s="5">
        <v>1.5E-3</v>
      </c>
    </row>
    <row r="75" spans="1:21" x14ac:dyDescent="0.3">
      <c r="A75" s="10"/>
      <c r="B75" s="11"/>
    </row>
    <row r="76" spans="1:21" x14ac:dyDescent="0.3">
      <c r="A76" s="10"/>
      <c r="B76" s="11"/>
    </row>
    <row r="77" spans="1:21" x14ac:dyDescent="0.3">
      <c r="A77" s="10"/>
      <c r="B77" s="11"/>
    </row>
    <row r="78" spans="1:21" x14ac:dyDescent="0.3">
      <c r="A78" s="10"/>
      <c r="B78" s="11"/>
    </row>
    <row r="79" spans="1:21" x14ac:dyDescent="0.3">
      <c r="A79" s="10"/>
      <c r="B79" s="11"/>
    </row>
    <row r="80" spans="1:21" x14ac:dyDescent="0.3">
      <c r="A80" s="10"/>
      <c r="B80" s="11"/>
    </row>
    <row r="81" spans="1:2" x14ac:dyDescent="0.3">
      <c r="A81" s="10"/>
      <c r="B81" s="11"/>
    </row>
    <row r="82" spans="1:2" x14ac:dyDescent="0.3">
      <c r="A82" s="10"/>
      <c r="B82" s="11"/>
    </row>
    <row r="83" spans="1:2" x14ac:dyDescent="0.3">
      <c r="A83" s="10"/>
      <c r="B83" s="11"/>
    </row>
    <row r="84" spans="1:2" x14ac:dyDescent="0.3">
      <c r="A84" s="10"/>
      <c r="B84" s="11"/>
    </row>
    <row r="85" spans="1:2" x14ac:dyDescent="0.3">
      <c r="A85" s="10"/>
      <c r="B85" s="11"/>
    </row>
    <row r="86" spans="1:2" x14ac:dyDescent="0.3">
      <c r="A86" s="10"/>
      <c r="B86" s="11"/>
    </row>
    <row r="87" spans="1:2" x14ac:dyDescent="0.3">
      <c r="A87" s="10"/>
      <c r="B87" s="11"/>
    </row>
    <row r="88" spans="1:2" x14ac:dyDescent="0.3">
      <c r="A88" s="10"/>
      <c r="B88" s="11"/>
    </row>
    <row r="89" spans="1:2" x14ac:dyDescent="0.3">
      <c r="A89" s="10"/>
      <c r="B89" s="11"/>
    </row>
    <row r="90" spans="1:2" x14ac:dyDescent="0.3">
      <c r="A90" s="10"/>
      <c r="B90" s="11"/>
    </row>
    <row r="91" spans="1:2" x14ac:dyDescent="0.3">
      <c r="A91" s="10"/>
      <c r="B91" s="11"/>
    </row>
    <row r="92" spans="1:2" x14ac:dyDescent="0.3">
      <c r="A92" s="10"/>
      <c r="B92" s="11"/>
    </row>
    <row r="93" spans="1:2" x14ac:dyDescent="0.3">
      <c r="A93" s="10"/>
      <c r="B93" s="11"/>
    </row>
    <row r="94" spans="1:2" x14ac:dyDescent="0.3">
      <c r="A94" s="10"/>
      <c r="B94" s="11"/>
    </row>
    <row r="95" spans="1:2" x14ac:dyDescent="0.3">
      <c r="A95" s="10"/>
      <c r="B95" s="11"/>
    </row>
    <row r="96" spans="1:2" x14ac:dyDescent="0.3">
      <c r="A96" s="10"/>
      <c r="B96" s="11"/>
    </row>
    <row r="97" spans="1:2" x14ac:dyDescent="0.3">
      <c r="A97" s="10"/>
      <c r="B97" s="11"/>
    </row>
    <row r="98" spans="1:2" x14ac:dyDescent="0.3">
      <c r="A98" s="10"/>
      <c r="B98" s="11"/>
    </row>
    <row r="99" spans="1:2" x14ac:dyDescent="0.3">
      <c r="A99" s="10"/>
      <c r="B99" s="11"/>
    </row>
    <row r="100" spans="1:2" x14ac:dyDescent="0.3">
      <c r="A100" s="10"/>
      <c r="B100" s="11"/>
    </row>
    <row r="101" spans="1:2" x14ac:dyDescent="0.3">
      <c r="A101" s="10"/>
      <c r="B101" s="11"/>
    </row>
    <row r="102" spans="1:2" x14ac:dyDescent="0.3">
      <c r="A102" s="10"/>
      <c r="B102" s="11"/>
    </row>
    <row r="103" spans="1:2" x14ac:dyDescent="0.3">
      <c r="A103" s="10"/>
      <c r="B103" s="11"/>
    </row>
    <row r="104" spans="1:2" x14ac:dyDescent="0.3">
      <c r="A104" s="10"/>
      <c r="B104" s="11"/>
    </row>
    <row r="105" spans="1:2" x14ac:dyDescent="0.3">
      <c r="A105" s="10"/>
      <c r="B105" s="11"/>
    </row>
    <row r="106" spans="1:2" x14ac:dyDescent="0.3">
      <c r="A106" s="10"/>
      <c r="B106" s="11"/>
    </row>
    <row r="107" spans="1:2" x14ac:dyDescent="0.3">
      <c r="A107" s="10"/>
      <c r="B107" s="11"/>
    </row>
    <row r="108" spans="1:2" x14ac:dyDescent="0.3">
      <c r="A108" s="10"/>
      <c r="B108" s="11"/>
    </row>
    <row r="109" spans="1:2" x14ac:dyDescent="0.3">
      <c r="A109" s="10"/>
      <c r="B109" s="11"/>
    </row>
    <row r="110" spans="1:2" x14ac:dyDescent="0.3">
      <c r="A110" s="10"/>
      <c r="B110" s="11"/>
    </row>
    <row r="111" spans="1:2" x14ac:dyDescent="0.3">
      <c r="A111" s="10"/>
      <c r="B111" s="11"/>
    </row>
    <row r="112" spans="1:2" x14ac:dyDescent="0.3">
      <c r="A112" s="10"/>
      <c r="B112" s="11"/>
    </row>
    <row r="113" spans="1:2" x14ac:dyDescent="0.3">
      <c r="A113" s="10"/>
      <c r="B113" s="11"/>
    </row>
    <row r="114" spans="1:2" x14ac:dyDescent="0.3">
      <c r="A114" s="10"/>
      <c r="B114" s="11"/>
    </row>
    <row r="115" spans="1:2" x14ac:dyDescent="0.3">
      <c r="A115" s="10"/>
      <c r="B115" s="11"/>
    </row>
    <row r="116" spans="1:2" x14ac:dyDescent="0.3">
      <c r="A116" s="10"/>
      <c r="B116" s="11"/>
    </row>
    <row r="117" spans="1:2" x14ac:dyDescent="0.3">
      <c r="A117" s="10"/>
      <c r="B117" s="11"/>
    </row>
    <row r="118" spans="1:2" x14ac:dyDescent="0.3">
      <c r="A118" s="10"/>
      <c r="B118" s="11"/>
    </row>
    <row r="119" spans="1:2" x14ac:dyDescent="0.3">
      <c r="A119" s="10"/>
      <c r="B119" s="11"/>
    </row>
    <row r="120" spans="1:2" x14ac:dyDescent="0.3">
      <c r="A120" s="10"/>
      <c r="B120" s="11"/>
    </row>
    <row r="121" spans="1:2" x14ac:dyDescent="0.3">
      <c r="A121" s="10"/>
      <c r="B121" s="11"/>
    </row>
    <row r="122" spans="1:2" x14ac:dyDescent="0.3">
      <c r="A122" s="10"/>
      <c r="B122" s="11"/>
    </row>
    <row r="123" spans="1:2" x14ac:dyDescent="0.3">
      <c r="A123" s="10"/>
      <c r="B123" s="11"/>
    </row>
    <row r="124" spans="1:2" x14ac:dyDescent="0.3">
      <c r="A124" s="10"/>
      <c r="B124" s="11"/>
    </row>
    <row r="125" spans="1:2" x14ac:dyDescent="0.3">
      <c r="A125" s="10"/>
      <c r="B125" s="11"/>
    </row>
    <row r="126" spans="1:2" x14ac:dyDescent="0.3">
      <c r="A126" s="10"/>
      <c r="B126" s="11"/>
    </row>
    <row r="127" spans="1:2" x14ac:dyDescent="0.3">
      <c r="A127" s="10"/>
      <c r="B127" s="11"/>
    </row>
    <row r="128" spans="1:2" x14ac:dyDescent="0.3">
      <c r="A128" s="10"/>
      <c r="B128" s="11"/>
    </row>
    <row r="129" spans="1:2" x14ac:dyDescent="0.3">
      <c r="A129" s="10"/>
      <c r="B129" s="11"/>
    </row>
    <row r="130" spans="1:2" x14ac:dyDescent="0.3">
      <c r="A130" s="10"/>
      <c r="B130" s="11"/>
    </row>
    <row r="131" spans="1:2" x14ac:dyDescent="0.3">
      <c r="A131" s="10"/>
      <c r="B131" s="11"/>
    </row>
    <row r="132" spans="1:2" x14ac:dyDescent="0.3">
      <c r="A132" s="10"/>
      <c r="B132" s="11"/>
    </row>
    <row r="133" spans="1:2" x14ac:dyDescent="0.3">
      <c r="A133" s="10"/>
      <c r="B133" s="11"/>
    </row>
    <row r="134" spans="1:2" x14ac:dyDescent="0.3">
      <c r="A134" s="10"/>
      <c r="B134" s="11"/>
    </row>
    <row r="135" spans="1:2" x14ac:dyDescent="0.3">
      <c r="A135" s="10"/>
      <c r="B135" s="11"/>
    </row>
    <row r="136" spans="1:2" x14ac:dyDescent="0.3">
      <c r="A136" s="10"/>
      <c r="B136" s="11"/>
    </row>
    <row r="137" spans="1:2" x14ac:dyDescent="0.3">
      <c r="A137" s="10"/>
      <c r="B137" s="11"/>
    </row>
    <row r="138" spans="1:2" x14ac:dyDescent="0.3">
      <c r="A138" s="10"/>
      <c r="B138" s="11"/>
    </row>
    <row r="139" spans="1:2" x14ac:dyDescent="0.3">
      <c r="A139" s="10"/>
      <c r="B139" s="11"/>
    </row>
    <row r="140" spans="1:2" x14ac:dyDescent="0.3">
      <c r="A140" s="10"/>
      <c r="B140" s="11"/>
    </row>
    <row r="141" spans="1:2" x14ac:dyDescent="0.3">
      <c r="A141" s="10"/>
      <c r="B141" s="11"/>
    </row>
    <row r="142" spans="1:2" x14ac:dyDescent="0.3">
      <c r="A142" s="10"/>
      <c r="B142" s="11"/>
    </row>
    <row r="143" spans="1:2" x14ac:dyDescent="0.3">
      <c r="A143" s="10"/>
      <c r="B143" s="11"/>
    </row>
    <row r="144" spans="1:2" x14ac:dyDescent="0.3">
      <c r="A144" s="10"/>
      <c r="B144" s="11"/>
    </row>
    <row r="145" spans="1:2" x14ac:dyDescent="0.3">
      <c r="A145" s="10"/>
      <c r="B145" s="11"/>
    </row>
    <row r="146" spans="1:2" x14ac:dyDescent="0.3">
      <c r="A146" s="10"/>
      <c r="B146" s="11"/>
    </row>
    <row r="147" spans="1:2" x14ac:dyDescent="0.3">
      <c r="A147" s="10"/>
      <c r="B147" s="11"/>
    </row>
    <row r="148" spans="1:2" x14ac:dyDescent="0.3">
      <c r="A148" s="10"/>
      <c r="B148" s="11"/>
    </row>
    <row r="149" spans="1:2" x14ac:dyDescent="0.3">
      <c r="A149" s="10"/>
      <c r="B149" s="11"/>
    </row>
    <row r="150" spans="1:2" x14ac:dyDescent="0.3">
      <c r="A150" s="10"/>
      <c r="B150" s="11"/>
    </row>
    <row r="151" spans="1:2" x14ac:dyDescent="0.3">
      <c r="A151" s="10"/>
      <c r="B151" s="11"/>
    </row>
    <row r="152" spans="1:2" x14ac:dyDescent="0.3">
      <c r="A152" s="10"/>
      <c r="B152" s="11"/>
    </row>
    <row r="153" spans="1:2" x14ac:dyDescent="0.3">
      <c r="A153" s="10"/>
      <c r="B153" s="11"/>
    </row>
    <row r="154" spans="1:2" x14ac:dyDescent="0.3">
      <c r="A154" s="10"/>
      <c r="B154" s="11"/>
    </row>
    <row r="155" spans="1:2" x14ac:dyDescent="0.3">
      <c r="A155" s="10"/>
      <c r="B155" s="11"/>
    </row>
    <row r="156" spans="1:2" x14ac:dyDescent="0.3">
      <c r="A156" s="10"/>
      <c r="B156" s="11"/>
    </row>
    <row r="157" spans="1:2" x14ac:dyDescent="0.3">
      <c r="A157" s="10"/>
      <c r="B157" s="11"/>
    </row>
    <row r="158" spans="1:2" x14ac:dyDescent="0.3">
      <c r="A158" s="10"/>
      <c r="B158" s="11"/>
    </row>
    <row r="159" spans="1:2" x14ac:dyDescent="0.3">
      <c r="A159" s="10"/>
      <c r="B159" s="11"/>
    </row>
    <row r="160" spans="1:2" x14ac:dyDescent="0.3">
      <c r="A160" s="10"/>
      <c r="B160" s="11"/>
    </row>
    <row r="161" spans="1:2" x14ac:dyDescent="0.3">
      <c r="A161" s="10"/>
      <c r="B161" s="11"/>
    </row>
    <row r="162" spans="1:2" x14ac:dyDescent="0.3">
      <c r="A162" s="10"/>
      <c r="B162" s="11"/>
    </row>
    <row r="163" spans="1:2" x14ac:dyDescent="0.3">
      <c r="A163" s="10"/>
      <c r="B163" s="11"/>
    </row>
    <row r="164" spans="1:2" x14ac:dyDescent="0.3">
      <c r="A164" s="10"/>
      <c r="B164" s="11"/>
    </row>
    <row r="165" spans="1:2" x14ac:dyDescent="0.3">
      <c r="A165" s="10"/>
      <c r="B165" s="11"/>
    </row>
    <row r="166" spans="1:2" x14ac:dyDescent="0.3">
      <c r="A166" s="10"/>
      <c r="B166" s="11"/>
    </row>
    <row r="167" spans="1:2" x14ac:dyDescent="0.3">
      <c r="A167" s="10"/>
      <c r="B167" s="11"/>
    </row>
    <row r="168" spans="1:2" x14ac:dyDescent="0.3">
      <c r="A168" s="10"/>
      <c r="B168" s="11"/>
    </row>
    <row r="169" spans="1:2" x14ac:dyDescent="0.3">
      <c r="A169" s="10"/>
      <c r="B169" s="11"/>
    </row>
    <row r="170" spans="1:2" x14ac:dyDescent="0.3">
      <c r="A170" s="10"/>
      <c r="B170" s="11"/>
    </row>
    <row r="171" spans="1:2" x14ac:dyDescent="0.3">
      <c r="A171" s="10"/>
      <c r="B171" s="11"/>
    </row>
    <row r="172" spans="1:2" x14ac:dyDescent="0.3">
      <c r="A172" s="10"/>
      <c r="B172" s="11"/>
    </row>
    <row r="173" spans="1:2" x14ac:dyDescent="0.3">
      <c r="A173" s="10"/>
      <c r="B173" s="11"/>
    </row>
    <row r="174" spans="1:2" x14ac:dyDescent="0.3">
      <c r="A174" s="10"/>
      <c r="B174" s="11"/>
    </row>
    <row r="175" spans="1:2" x14ac:dyDescent="0.3">
      <c r="A175" s="10"/>
      <c r="B175" s="11"/>
    </row>
    <row r="176" spans="1:2" x14ac:dyDescent="0.3">
      <c r="A176" s="10"/>
      <c r="B176" s="11"/>
    </row>
    <row r="177" spans="1:2" x14ac:dyDescent="0.3">
      <c r="A177" s="10"/>
      <c r="B177" s="11"/>
    </row>
    <row r="178" spans="1:2" x14ac:dyDescent="0.3">
      <c r="A178" s="10"/>
      <c r="B178" s="11"/>
    </row>
    <row r="179" spans="1:2" x14ac:dyDescent="0.3">
      <c r="A179" s="10"/>
      <c r="B179" s="11"/>
    </row>
    <row r="180" spans="1:2" x14ac:dyDescent="0.3">
      <c r="A180" s="10"/>
      <c r="B180" s="11"/>
    </row>
    <row r="181" spans="1:2" x14ac:dyDescent="0.3">
      <c r="A181" s="10"/>
      <c r="B181" s="11"/>
    </row>
    <row r="182" spans="1:2" x14ac:dyDescent="0.3">
      <c r="A182" s="10"/>
      <c r="B182" s="11"/>
    </row>
    <row r="183" spans="1:2" x14ac:dyDescent="0.3">
      <c r="A183" s="10"/>
      <c r="B183" s="11"/>
    </row>
    <row r="184" spans="1:2" x14ac:dyDescent="0.3">
      <c r="A184" s="10"/>
      <c r="B184" s="11"/>
    </row>
    <row r="185" spans="1:2" x14ac:dyDescent="0.3">
      <c r="A185" s="10"/>
      <c r="B185" s="11"/>
    </row>
    <row r="186" spans="1:2" x14ac:dyDescent="0.3">
      <c r="A186" s="10"/>
      <c r="B186" s="11"/>
    </row>
    <row r="187" spans="1:2" x14ac:dyDescent="0.3">
      <c r="A187" s="10"/>
      <c r="B187" s="11"/>
    </row>
    <row r="188" spans="1:2" x14ac:dyDescent="0.3">
      <c r="A188" s="10"/>
      <c r="B188" s="11"/>
    </row>
    <row r="189" spans="1:2" x14ac:dyDescent="0.3">
      <c r="A189" s="10"/>
      <c r="B189" s="11"/>
    </row>
    <row r="190" spans="1:2" x14ac:dyDescent="0.3">
      <c r="A190" s="10"/>
      <c r="B190" s="11"/>
    </row>
    <row r="191" spans="1:2" x14ac:dyDescent="0.3">
      <c r="A191" s="10"/>
      <c r="B191" s="11"/>
    </row>
    <row r="192" spans="1:2" x14ac:dyDescent="0.3">
      <c r="A192" s="10"/>
      <c r="B192" s="11"/>
    </row>
    <row r="193" spans="1:2" x14ac:dyDescent="0.3">
      <c r="A193" s="10"/>
      <c r="B193" s="11"/>
    </row>
    <row r="194" spans="1:2" x14ac:dyDescent="0.3">
      <c r="A194" s="10"/>
      <c r="B194" s="11"/>
    </row>
    <row r="195" spans="1:2" x14ac:dyDescent="0.3">
      <c r="A195" s="10"/>
      <c r="B195" s="11"/>
    </row>
    <row r="196" spans="1:2" x14ac:dyDescent="0.3">
      <c r="A196" s="10"/>
      <c r="B196" s="11"/>
    </row>
    <row r="197" spans="1:2" x14ac:dyDescent="0.3">
      <c r="A197" s="10"/>
      <c r="B197" s="11"/>
    </row>
    <row r="198" spans="1:2" x14ac:dyDescent="0.3">
      <c r="B198" s="7"/>
    </row>
    <row r="201" spans="1:2" x14ac:dyDescent="0.3">
      <c r="B201" s="7"/>
    </row>
    <row r="207" spans="1:2" x14ac:dyDescent="0.3">
      <c r="A207" s="9"/>
      <c r="B207" s="7"/>
    </row>
    <row r="211" spans="2:2" x14ac:dyDescent="0.3">
      <c r="B211" s="7"/>
    </row>
    <row r="213" spans="2:2" x14ac:dyDescent="0.3">
      <c r="B213" s="7"/>
    </row>
    <row r="216" spans="2:2" x14ac:dyDescent="0.3">
      <c r="B216" s="7"/>
    </row>
    <row r="219" spans="2:2" x14ac:dyDescent="0.3">
      <c r="B219" s="7"/>
    </row>
    <row r="230" spans="1:2" x14ac:dyDescent="0.3">
      <c r="A230" s="9"/>
    </row>
    <row r="231" spans="1:2" x14ac:dyDescent="0.3">
      <c r="B231" s="7"/>
    </row>
    <row r="237" spans="1:2" x14ac:dyDescent="0.3">
      <c r="B237" s="7"/>
    </row>
    <row r="238" spans="1:2" x14ac:dyDescent="0.3">
      <c r="B238" s="7"/>
    </row>
    <row r="243" spans="2:2" x14ac:dyDescent="0.3">
      <c r="B243" s="7"/>
    </row>
  </sheetData>
  <conditionalFormatting sqref="L2:L7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B173-15E5-479F-A914-913B01BDA303}">
  <sheetPr codeName="Planilha3"/>
  <dimension ref="A1:Q253"/>
  <sheetViews>
    <sheetView topLeftCell="A53" workbookViewId="0">
      <selection activeCell="F67" sqref="F67"/>
    </sheetView>
  </sheetViews>
  <sheetFormatPr defaultRowHeight="14.4" x14ac:dyDescent="0.3"/>
  <cols>
    <col min="1" max="1" width="19.88671875" customWidth="1"/>
    <col min="2" max="2" width="19.6640625" style="4" bestFit="1" customWidth="1"/>
    <col min="4" max="4" width="9.109375" style="8"/>
    <col min="13" max="13" width="12.5546875" customWidth="1"/>
    <col min="15" max="15" width="20.44140625" bestFit="1" customWidth="1"/>
    <col min="17" max="17" width="20.44140625" bestFit="1" customWidth="1"/>
  </cols>
  <sheetData>
    <row r="1" spans="1:17" ht="15" thickBot="1" x14ac:dyDescent="0.35">
      <c r="A1" s="1" t="s">
        <v>0</v>
      </c>
      <c r="B1" s="2" t="s">
        <v>77</v>
      </c>
      <c r="C1" s="4">
        <f>SUM(B2:B76)</f>
        <v>1.0000312725314968</v>
      </c>
      <c r="E1" s="8" t="s">
        <v>0</v>
      </c>
      <c r="F1" s="8" t="s">
        <v>78</v>
      </c>
      <c r="G1" s="4">
        <f>SUM(F2:F68)</f>
        <v>1.0000203115092072</v>
      </c>
      <c r="H1" s="4"/>
      <c r="K1" s="6">
        <f>SUM(K2:K66)</f>
        <v>1.0002312725314968</v>
      </c>
      <c r="L1" s="6">
        <f>SUM(L2:L66)</f>
        <v>1.0000312725314968</v>
      </c>
    </row>
    <row r="2" spans="1:17" x14ac:dyDescent="0.3">
      <c r="A2" s="14" t="s">
        <v>4</v>
      </c>
      <c r="B2" s="11">
        <v>6.4000000000000001E-2</v>
      </c>
      <c r="E2" s="5" t="str">
        <f t="shared" ref="E2:E65" si="0">A2</f>
        <v>BBAS3</v>
      </c>
      <c r="F2" s="5">
        <f t="shared" ref="F2:F65" si="1">(1-0.35-0.05%)*B2</f>
        <v>4.1568000000000008E-2</v>
      </c>
      <c r="J2" t="s">
        <v>3</v>
      </c>
      <c r="K2" s="7">
        <v>5.2865620487824588E-2</v>
      </c>
      <c r="L2" s="3">
        <f>VLOOKUP(J2,$A$2:$B$66,2,0)</f>
        <v>5.2865620487824588E-2</v>
      </c>
      <c r="M2" t="b">
        <f>L2=K2</f>
        <v>1</v>
      </c>
      <c r="O2" s="15">
        <f>K2*(1-35%-0.05%)</f>
        <v>3.4336220506842076E-2</v>
      </c>
      <c r="P2">
        <f>VLOOKUP(J2,$E$2:$F$68,2,0)</f>
        <v>3.4336220506842076E-2</v>
      </c>
      <c r="Q2" s="15">
        <f>P2-O2</f>
        <v>0</v>
      </c>
    </row>
    <row r="3" spans="1:17" x14ac:dyDescent="0.3">
      <c r="A3" s="14" t="s">
        <v>2</v>
      </c>
      <c r="B3" s="11">
        <v>5.6000000000000001E-2</v>
      </c>
      <c r="E3" s="5" t="str">
        <f t="shared" si="0"/>
        <v>VALE3</v>
      </c>
      <c r="F3" s="5">
        <f t="shared" si="1"/>
        <v>3.6372000000000008E-2</v>
      </c>
      <c r="J3" t="s">
        <v>4</v>
      </c>
      <c r="K3" s="7">
        <v>6.4000000000000001E-2</v>
      </c>
      <c r="L3" s="3">
        <f t="shared" ref="L3:L66" si="2">VLOOKUP(J3,$A$2:$B$66,2,0)</f>
        <v>6.4000000000000001E-2</v>
      </c>
      <c r="M3" t="b">
        <f t="shared" ref="M3:M66" si="3">L3=K3</f>
        <v>1</v>
      </c>
      <c r="O3" s="15">
        <f t="shared" ref="O3:O66" si="4">K3*(1-35%-0.05%)</f>
        <v>4.1568000000000008E-2</v>
      </c>
      <c r="P3">
        <f t="shared" ref="P3:P66" si="5">VLOOKUP(J3,$E$2:$F$68,2,0)</f>
        <v>4.1568000000000008E-2</v>
      </c>
      <c r="Q3" s="15">
        <f t="shared" ref="Q3:Q66" si="6">P3-O3</f>
        <v>0</v>
      </c>
    </row>
    <row r="4" spans="1:17" x14ac:dyDescent="0.3">
      <c r="A4" s="14" t="s">
        <v>3</v>
      </c>
      <c r="B4" s="11">
        <v>5.2865620487824588E-2</v>
      </c>
      <c r="E4" s="5" t="str">
        <f t="shared" si="0"/>
        <v>PETR4</v>
      </c>
      <c r="F4" s="5">
        <f t="shared" si="1"/>
        <v>3.4336220506842076E-2</v>
      </c>
      <c r="J4" t="s">
        <v>5</v>
      </c>
      <c r="K4" s="7">
        <v>5.1033345696100636E-2</v>
      </c>
      <c r="L4" s="3">
        <f t="shared" si="2"/>
        <v>5.1033345696100636E-2</v>
      </c>
      <c r="M4" t="b">
        <f t="shared" si="3"/>
        <v>1</v>
      </c>
      <c r="O4" s="15">
        <f t="shared" si="4"/>
        <v>3.3146158029617366E-2</v>
      </c>
      <c r="P4">
        <f t="shared" si="5"/>
        <v>3.3146158029617366E-2</v>
      </c>
      <c r="Q4" s="15">
        <f t="shared" si="6"/>
        <v>0</v>
      </c>
    </row>
    <row r="5" spans="1:17" x14ac:dyDescent="0.3">
      <c r="A5" s="14" t="s">
        <v>5</v>
      </c>
      <c r="B5" s="11">
        <v>5.1033345696100636E-2</v>
      </c>
      <c r="E5" s="5" t="str">
        <f t="shared" si="0"/>
        <v>PETR3</v>
      </c>
      <c r="F5" s="5">
        <f t="shared" si="1"/>
        <v>3.3146158029617366E-2</v>
      </c>
      <c r="J5" t="s">
        <v>2</v>
      </c>
      <c r="K5" s="7">
        <v>5.6000000000000001E-2</v>
      </c>
      <c r="L5" s="3">
        <f t="shared" si="2"/>
        <v>5.6000000000000001E-2</v>
      </c>
      <c r="M5" t="b">
        <f t="shared" si="3"/>
        <v>1</v>
      </c>
      <c r="O5" s="15">
        <f t="shared" si="4"/>
        <v>3.6372000000000008E-2</v>
      </c>
      <c r="P5">
        <f t="shared" si="5"/>
        <v>3.6372000000000008E-2</v>
      </c>
      <c r="Q5" s="15">
        <f t="shared" si="6"/>
        <v>0</v>
      </c>
    </row>
    <row r="6" spans="1:17" x14ac:dyDescent="0.3">
      <c r="A6" s="14" t="s">
        <v>72</v>
      </c>
      <c r="B6" s="11">
        <v>0.04</v>
      </c>
      <c r="E6" s="5" t="str">
        <f t="shared" si="0"/>
        <v>ITUB4</v>
      </c>
      <c r="F6" s="5">
        <f t="shared" si="1"/>
        <v>2.5980000000000003E-2</v>
      </c>
      <c r="J6" t="s">
        <v>7</v>
      </c>
      <c r="K6" s="7">
        <v>2.0931286454782608E-2</v>
      </c>
      <c r="L6" s="3">
        <f t="shared" si="2"/>
        <v>2.0931286454782608E-2</v>
      </c>
      <c r="M6" t="b">
        <f t="shared" si="3"/>
        <v>1</v>
      </c>
      <c r="O6" s="15">
        <f t="shared" si="4"/>
        <v>1.3594870552381306E-2</v>
      </c>
      <c r="P6">
        <f t="shared" si="5"/>
        <v>1.3594870552381306E-2</v>
      </c>
      <c r="Q6" s="15">
        <f t="shared" si="6"/>
        <v>0</v>
      </c>
    </row>
    <row r="7" spans="1:17" x14ac:dyDescent="0.3">
      <c r="A7" s="14" t="s">
        <v>6</v>
      </c>
      <c r="B7" s="11">
        <v>3.2127479788210289E-2</v>
      </c>
      <c r="E7" s="5" t="str">
        <f t="shared" si="0"/>
        <v>JBSS3</v>
      </c>
      <c r="F7" s="5">
        <f t="shared" si="1"/>
        <v>2.0866798122442586E-2</v>
      </c>
      <c r="J7" t="s">
        <v>6</v>
      </c>
      <c r="K7" s="7">
        <v>3.2127479788210289E-2</v>
      </c>
      <c r="L7" s="3">
        <f t="shared" si="2"/>
        <v>3.2127479788210289E-2</v>
      </c>
      <c r="M7" t="b">
        <f t="shared" si="3"/>
        <v>1</v>
      </c>
      <c r="O7" s="15">
        <f t="shared" si="4"/>
        <v>2.0866798122442586E-2</v>
      </c>
      <c r="P7">
        <f t="shared" si="5"/>
        <v>2.0866798122442586E-2</v>
      </c>
      <c r="Q7" s="15">
        <f t="shared" si="6"/>
        <v>0</v>
      </c>
    </row>
    <row r="8" spans="1:17" x14ac:dyDescent="0.3">
      <c r="A8" s="14" t="s">
        <v>8</v>
      </c>
      <c r="B8" s="11">
        <v>2.9499999999999998E-2</v>
      </c>
      <c r="E8" s="5" t="str">
        <f t="shared" si="0"/>
        <v>BBSE3</v>
      </c>
      <c r="F8" s="5">
        <f t="shared" si="1"/>
        <v>1.916025E-2</v>
      </c>
      <c r="J8" t="s">
        <v>12</v>
      </c>
      <c r="K8" s="7">
        <v>1.9598791303445127E-2</v>
      </c>
      <c r="L8" s="3">
        <f t="shared" si="2"/>
        <v>1.9598791303445127E-2</v>
      </c>
      <c r="M8" t="b">
        <f t="shared" si="3"/>
        <v>1</v>
      </c>
      <c r="O8" s="15">
        <f t="shared" si="4"/>
        <v>1.2729414951587612E-2</v>
      </c>
      <c r="P8">
        <f t="shared" si="5"/>
        <v>1.2729414951587612E-2</v>
      </c>
      <c r="Q8" s="15">
        <f t="shared" si="6"/>
        <v>0</v>
      </c>
    </row>
    <row r="9" spans="1:17" x14ac:dyDescent="0.3">
      <c r="A9" s="14" t="s">
        <v>9</v>
      </c>
      <c r="B9" s="11">
        <v>2.3426589738220888E-2</v>
      </c>
      <c r="E9" s="5" t="str">
        <f t="shared" si="0"/>
        <v>ELET3</v>
      </c>
      <c r="F9" s="5">
        <f t="shared" si="1"/>
        <v>1.5215570034974469E-2</v>
      </c>
      <c r="J9" t="s">
        <v>15</v>
      </c>
      <c r="K9" s="7">
        <v>2.0952559686780038E-2</v>
      </c>
      <c r="L9" s="3">
        <f t="shared" si="2"/>
        <v>2.0952559686780038E-2</v>
      </c>
      <c r="M9" t="b">
        <f t="shared" si="3"/>
        <v>1</v>
      </c>
      <c r="O9" s="15">
        <f t="shared" si="4"/>
        <v>1.3608687516563637E-2</v>
      </c>
      <c r="P9">
        <f t="shared" si="5"/>
        <v>1.3608687516563637E-2</v>
      </c>
      <c r="Q9" s="15">
        <f t="shared" si="6"/>
        <v>0</v>
      </c>
    </row>
    <row r="10" spans="1:17" x14ac:dyDescent="0.3">
      <c r="A10" s="14" t="s">
        <v>10</v>
      </c>
      <c r="B10" s="11">
        <v>2.115970063067214E-2</v>
      </c>
      <c r="E10" s="5" t="str">
        <f t="shared" si="0"/>
        <v>SBSP3</v>
      </c>
      <c r="F10" s="5">
        <f t="shared" si="1"/>
        <v>1.3743225559621557E-2</v>
      </c>
      <c r="J10" t="s">
        <v>17</v>
      </c>
      <c r="K10" s="7">
        <v>1.6801848920806103E-2</v>
      </c>
      <c r="L10" s="3">
        <f t="shared" si="2"/>
        <v>1.6801848920806103E-2</v>
      </c>
      <c r="M10" t="b">
        <f t="shared" si="3"/>
        <v>1</v>
      </c>
      <c r="O10" s="15">
        <f t="shared" si="4"/>
        <v>1.0912800874063565E-2</v>
      </c>
      <c r="P10">
        <f t="shared" si="5"/>
        <v>1.0912800874063565E-2</v>
      </c>
      <c r="Q10" s="15">
        <f t="shared" si="6"/>
        <v>0</v>
      </c>
    </row>
    <row r="11" spans="1:17" x14ac:dyDescent="0.3">
      <c r="A11" s="14" t="s">
        <v>15</v>
      </c>
      <c r="B11" s="11">
        <v>2.0952559686780038E-2</v>
      </c>
      <c r="E11" s="5" t="str">
        <f t="shared" si="0"/>
        <v>CMIN3</v>
      </c>
      <c r="F11" s="5">
        <f t="shared" si="1"/>
        <v>1.3608687516563637E-2</v>
      </c>
      <c r="J11" t="s">
        <v>11</v>
      </c>
      <c r="K11" s="7">
        <v>9.3786291220952812E-3</v>
      </c>
      <c r="L11" s="3">
        <f t="shared" si="2"/>
        <v>9.3786291220952812E-3</v>
      </c>
      <c r="M11" t="b">
        <f t="shared" si="3"/>
        <v>1</v>
      </c>
      <c r="O11" s="15">
        <f t="shared" si="4"/>
        <v>6.0914196148008862E-3</v>
      </c>
      <c r="P11">
        <f t="shared" si="5"/>
        <v>6.0914196148008862E-3</v>
      </c>
      <c r="Q11" s="15">
        <f t="shared" si="6"/>
        <v>0</v>
      </c>
    </row>
    <row r="12" spans="1:17" x14ac:dyDescent="0.3">
      <c r="A12" s="14" t="s">
        <v>7</v>
      </c>
      <c r="B12" s="11">
        <v>2.0931286454782608E-2</v>
      </c>
      <c r="E12" s="5" t="str">
        <f t="shared" si="0"/>
        <v>BBDC4</v>
      </c>
      <c r="F12" s="5">
        <f t="shared" si="1"/>
        <v>1.3594870552381306E-2</v>
      </c>
      <c r="J12" t="s">
        <v>19</v>
      </c>
      <c r="K12" s="7">
        <v>2.0545216231094544E-2</v>
      </c>
      <c r="L12" s="3">
        <f t="shared" si="2"/>
        <v>2.0545216231094544E-2</v>
      </c>
      <c r="M12" t="b">
        <f t="shared" si="3"/>
        <v>1</v>
      </c>
      <c r="O12" s="15">
        <f t="shared" si="4"/>
        <v>1.3344117942095907E-2</v>
      </c>
      <c r="P12">
        <f t="shared" si="5"/>
        <v>1.3344117942095907E-2</v>
      </c>
      <c r="Q12" s="15">
        <f t="shared" si="6"/>
        <v>0</v>
      </c>
    </row>
    <row r="13" spans="1:17" x14ac:dyDescent="0.3">
      <c r="A13" s="14" t="s">
        <v>19</v>
      </c>
      <c r="B13" s="11">
        <v>2.0545216231094544E-2</v>
      </c>
      <c r="E13" s="5" t="str">
        <f t="shared" si="0"/>
        <v>MRFG3</v>
      </c>
      <c r="F13" s="5">
        <f t="shared" si="1"/>
        <v>1.3344117942095907E-2</v>
      </c>
      <c r="J13" t="s">
        <v>21</v>
      </c>
      <c r="K13" s="7">
        <v>1.029138470614523E-2</v>
      </c>
      <c r="L13" s="3">
        <f t="shared" si="2"/>
        <v>1.029138470614523E-2</v>
      </c>
      <c r="M13" t="b">
        <f t="shared" si="3"/>
        <v>1</v>
      </c>
      <c r="O13" s="15">
        <f t="shared" si="4"/>
        <v>6.6842543666413273E-3</v>
      </c>
      <c r="P13">
        <f t="shared" si="5"/>
        <v>6.6842543666413273E-3</v>
      </c>
      <c r="Q13" s="15">
        <f t="shared" si="6"/>
        <v>0</v>
      </c>
    </row>
    <row r="14" spans="1:17" x14ac:dyDescent="0.3">
      <c r="A14" s="14" t="s">
        <v>12</v>
      </c>
      <c r="B14" s="11">
        <v>1.9598791303445127E-2</v>
      </c>
      <c r="E14" s="5" t="str">
        <f t="shared" si="0"/>
        <v>BBDC3</v>
      </c>
      <c r="F14" s="5">
        <f t="shared" si="1"/>
        <v>1.2729414951587612E-2</v>
      </c>
      <c r="J14" t="s">
        <v>14</v>
      </c>
      <c r="K14" s="7">
        <v>1.5465147332778172E-2</v>
      </c>
      <c r="L14" s="3">
        <f t="shared" si="2"/>
        <v>1.5465147332778172E-2</v>
      </c>
      <c r="M14" t="b">
        <f t="shared" si="3"/>
        <v>1</v>
      </c>
      <c r="O14" s="15">
        <f t="shared" si="4"/>
        <v>1.0044613192639424E-2</v>
      </c>
      <c r="P14">
        <f t="shared" si="5"/>
        <v>1.0044613192639424E-2</v>
      </c>
      <c r="Q14" s="15">
        <f t="shared" si="6"/>
        <v>0</v>
      </c>
    </row>
    <row r="15" spans="1:17" x14ac:dyDescent="0.3">
      <c r="A15" s="14" t="s">
        <v>16</v>
      </c>
      <c r="B15" s="11">
        <v>1.7999999999999999E-2</v>
      </c>
      <c r="E15" s="5" t="str">
        <f t="shared" si="0"/>
        <v>POMO4</v>
      </c>
      <c r="F15" s="5">
        <f t="shared" si="1"/>
        <v>1.1691E-2</v>
      </c>
      <c r="J15" t="s">
        <v>22</v>
      </c>
      <c r="K15" s="7">
        <v>1.3230328368970212E-2</v>
      </c>
      <c r="L15" s="3">
        <f t="shared" si="2"/>
        <v>1.3230328368970212E-2</v>
      </c>
      <c r="M15" t="b">
        <f t="shared" si="3"/>
        <v>1</v>
      </c>
      <c r="O15" s="15">
        <f t="shared" si="4"/>
        <v>8.5930982756461539E-3</v>
      </c>
      <c r="P15">
        <f t="shared" si="5"/>
        <v>8.5930982756461539E-3</v>
      </c>
      <c r="Q15" s="15">
        <f t="shared" si="6"/>
        <v>0</v>
      </c>
    </row>
    <row r="16" spans="1:17" x14ac:dyDescent="0.3">
      <c r="A16" s="14" t="s">
        <v>74</v>
      </c>
      <c r="B16" s="11">
        <v>1.7000000000000001E-2</v>
      </c>
      <c r="E16" s="5" t="str">
        <f t="shared" si="0"/>
        <v>MGLU3</v>
      </c>
      <c r="F16" s="5">
        <f t="shared" si="1"/>
        <v>1.1041500000000003E-2</v>
      </c>
      <c r="J16" t="s">
        <v>25</v>
      </c>
      <c r="K16" s="7">
        <v>1.309122103704231E-2</v>
      </c>
      <c r="L16" s="3">
        <f t="shared" si="2"/>
        <v>1.309122103704231E-2</v>
      </c>
      <c r="M16" t="b">
        <f t="shared" si="3"/>
        <v>1</v>
      </c>
      <c r="O16" s="15">
        <f t="shared" si="4"/>
        <v>8.5027480635589819E-3</v>
      </c>
      <c r="P16">
        <f t="shared" si="5"/>
        <v>8.5027480635589819E-3</v>
      </c>
      <c r="Q16" s="15">
        <f t="shared" si="6"/>
        <v>0</v>
      </c>
    </row>
    <row r="17" spans="1:17" x14ac:dyDescent="0.3">
      <c r="A17" s="14" t="s">
        <v>17</v>
      </c>
      <c r="B17" s="11">
        <v>1.6801848920806103E-2</v>
      </c>
      <c r="E17" s="5" t="str">
        <f t="shared" si="0"/>
        <v>CPFE3</v>
      </c>
      <c r="F17" s="5">
        <f t="shared" si="1"/>
        <v>1.0912800874063565E-2</v>
      </c>
      <c r="J17" t="s">
        <v>26</v>
      </c>
      <c r="K17" s="7">
        <v>1.5615219612080561E-2</v>
      </c>
      <c r="L17" s="3">
        <f t="shared" si="2"/>
        <v>1.5615219612080561E-2</v>
      </c>
      <c r="M17" t="b">
        <f t="shared" si="3"/>
        <v>1</v>
      </c>
      <c r="O17" s="15">
        <f t="shared" si="4"/>
        <v>1.0142085138046326E-2</v>
      </c>
      <c r="P17">
        <f t="shared" si="5"/>
        <v>1.0142085138046326E-2</v>
      </c>
      <c r="Q17" s="15">
        <f t="shared" si="6"/>
        <v>0</v>
      </c>
    </row>
    <row r="18" spans="1:17" x14ac:dyDescent="0.3">
      <c r="A18" s="14" t="s">
        <v>26</v>
      </c>
      <c r="B18" s="11">
        <v>1.5615219612080561E-2</v>
      </c>
      <c r="E18" s="5" t="str">
        <f t="shared" si="0"/>
        <v>BRSR6</v>
      </c>
      <c r="F18" s="5">
        <f t="shared" si="1"/>
        <v>1.0142085138046326E-2</v>
      </c>
      <c r="J18" t="s">
        <v>29</v>
      </c>
      <c r="K18" s="7">
        <v>1.4849025118304392E-2</v>
      </c>
      <c r="L18" s="3">
        <f t="shared" si="2"/>
        <v>1.4849025118304392E-2</v>
      </c>
      <c r="M18" t="b">
        <f t="shared" si="3"/>
        <v>1</v>
      </c>
      <c r="O18" s="15">
        <f t="shared" si="4"/>
        <v>9.6444418143387042E-3</v>
      </c>
      <c r="P18">
        <f t="shared" si="5"/>
        <v>9.6444418143387042E-3</v>
      </c>
      <c r="Q18" s="15">
        <f t="shared" si="6"/>
        <v>0</v>
      </c>
    </row>
    <row r="19" spans="1:17" x14ac:dyDescent="0.3">
      <c r="A19" s="14" t="s">
        <v>14</v>
      </c>
      <c r="B19" s="11">
        <v>1.5465147332778172E-2</v>
      </c>
      <c r="E19" s="5" t="str">
        <f t="shared" si="0"/>
        <v>CSNA3</v>
      </c>
      <c r="F19" s="5">
        <f t="shared" si="1"/>
        <v>1.0044613192639424E-2</v>
      </c>
      <c r="J19" t="s">
        <v>27</v>
      </c>
      <c r="K19" s="7">
        <v>1.1273375755950599E-2</v>
      </c>
      <c r="L19" s="3">
        <f t="shared" si="2"/>
        <v>1.1273375755950599E-2</v>
      </c>
      <c r="M19" t="b">
        <f t="shared" si="3"/>
        <v>1</v>
      </c>
      <c r="O19" s="15">
        <f t="shared" si="4"/>
        <v>7.3220575534899152E-3</v>
      </c>
      <c r="P19">
        <f t="shared" si="5"/>
        <v>7.3220575534899152E-3</v>
      </c>
      <c r="Q19" s="15">
        <f t="shared" si="6"/>
        <v>0</v>
      </c>
    </row>
    <row r="20" spans="1:17" x14ac:dyDescent="0.3">
      <c r="A20" s="14" t="s">
        <v>18</v>
      </c>
      <c r="B20" s="11">
        <v>1.5462924284289446E-2</v>
      </c>
      <c r="E20" s="5" t="str">
        <f t="shared" si="0"/>
        <v>CXSE3</v>
      </c>
      <c r="F20" s="5">
        <f t="shared" si="1"/>
        <v>1.0043169322645996E-2</v>
      </c>
      <c r="J20" t="s">
        <v>34</v>
      </c>
      <c r="K20" s="7">
        <v>9.7543334669110034E-3</v>
      </c>
      <c r="L20" s="3">
        <f t="shared" si="2"/>
        <v>9.7543334669110034E-3</v>
      </c>
      <c r="M20" t="b">
        <f t="shared" si="3"/>
        <v>1</v>
      </c>
      <c r="O20" s="15">
        <f t="shared" si="4"/>
        <v>6.3354395867586972E-3</v>
      </c>
      <c r="P20">
        <f t="shared" si="5"/>
        <v>6.3354395867586972E-3</v>
      </c>
      <c r="Q20" s="15">
        <f t="shared" si="6"/>
        <v>0</v>
      </c>
    </row>
    <row r="21" spans="1:17" x14ac:dyDescent="0.3">
      <c r="A21" s="14" t="s">
        <v>29</v>
      </c>
      <c r="B21" s="11">
        <v>1.4849025118304392E-2</v>
      </c>
      <c r="E21" s="5" t="str">
        <f t="shared" si="0"/>
        <v>SYNE3</v>
      </c>
      <c r="F21" s="5">
        <f t="shared" si="1"/>
        <v>9.6444418143387042E-3</v>
      </c>
      <c r="J21" t="s">
        <v>28</v>
      </c>
      <c r="K21" s="7">
        <v>1.2856274583763105E-2</v>
      </c>
      <c r="L21" s="3">
        <f t="shared" si="2"/>
        <v>1.2856274583763105E-2</v>
      </c>
      <c r="M21" t="b">
        <f t="shared" si="3"/>
        <v>1</v>
      </c>
      <c r="O21" s="15">
        <f t="shared" si="4"/>
        <v>8.3501503421541372E-3</v>
      </c>
      <c r="P21">
        <f t="shared" si="5"/>
        <v>8.3501503421541372E-3</v>
      </c>
      <c r="Q21" s="15">
        <f t="shared" si="6"/>
        <v>0</v>
      </c>
    </row>
    <row r="22" spans="1:17" x14ac:dyDescent="0.3">
      <c r="A22" s="14" t="s">
        <v>41</v>
      </c>
      <c r="B22" s="11">
        <v>1.3703764834263336E-2</v>
      </c>
      <c r="E22" s="5" t="str">
        <f t="shared" si="0"/>
        <v>ANIM3</v>
      </c>
      <c r="F22" s="5">
        <f t="shared" si="1"/>
        <v>8.9005952598540383E-3</v>
      </c>
      <c r="J22" t="s">
        <v>36</v>
      </c>
      <c r="K22" s="7">
        <v>1.0422180432436911E-2</v>
      </c>
      <c r="L22" s="3">
        <f t="shared" si="2"/>
        <v>1.0422180432436911E-2</v>
      </c>
      <c r="M22" t="b">
        <f t="shared" si="3"/>
        <v>1</v>
      </c>
      <c r="O22" s="15">
        <f t="shared" si="4"/>
        <v>6.7692061908677745E-3</v>
      </c>
      <c r="P22">
        <f t="shared" si="5"/>
        <v>6.7692061908677745E-3</v>
      </c>
      <c r="Q22" s="15">
        <f t="shared" si="6"/>
        <v>0</v>
      </c>
    </row>
    <row r="23" spans="1:17" x14ac:dyDescent="0.3">
      <c r="A23" s="14" t="s">
        <v>38</v>
      </c>
      <c r="B23" s="11">
        <v>1.3251380427384912E-2</v>
      </c>
      <c r="E23" s="5" t="str">
        <f t="shared" si="0"/>
        <v>LAVV3</v>
      </c>
      <c r="F23" s="5">
        <f t="shared" si="1"/>
        <v>8.6067715875865012E-3</v>
      </c>
      <c r="J23" t="s">
        <v>35</v>
      </c>
      <c r="K23" s="7">
        <v>1.1554392048781167E-2</v>
      </c>
      <c r="L23" s="3">
        <f t="shared" si="2"/>
        <v>1.1554392048781167E-2</v>
      </c>
      <c r="M23" t="b">
        <f t="shared" si="3"/>
        <v>1</v>
      </c>
      <c r="O23" s="15">
        <f t="shared" si="4"/>
        <v>7.5045776356833689E-3</v>
      </c>
      <c r="P23">
        <f t="shared" si="5"/>
        <v>7.5045776356833689E-3</v>
      </c>
      <c r="Q23" s="15">
        <f t="shared" si="6"/>
        <v>0</v>
      </c>
    </row>
    <row r="24" spans="1:17" x14ac:dyDescent="0.3">
      <c r="A24" s="14" t="s">
        <v>22</v>
      </c>
      <c r="B24" s="11">
        <v>1.3230328368970212E-2</v>
      </c>
      <c r="E24" s="5" t="str">
        <f t="shared" si="0"/>
        <v>GOAU4</v>
      </c>
      <c r="F24" s="5">
        <f t="shared" si="1"/>
        <v>8.5930982756461539E-3</v>
      </c>
      <c r="J24" t="s">
        <v>20</v>
      </c>
      <c r="K24" s="7">
        <v>1.1738963718086729E-2</v>
      </c>
      <c r="L24" s="3">
        <f t="shared" si="2"/>
        <v>1.1738963718086729E-2</v>
      </c>
      <c r="M24" t="b">
        <f t="shared" si="3"/>
        <v>1</v>
      </c>
      <c r="O24" s="15">
        <f t="shared" si="4"/>
        <v>7.6244569348973314E-3</v>
      </c>
      <c r="P24">
        <f t="shared" si="5"/>
        <v>7.6244569348973314E-3</v>
      </c>
      <c r="Q24" s="15">
        <f t="shared" si="6"/>
        <v>0</v>
      </c>
    </row>
    <row r="25" spans="1:17" x14ac:dyDescent="0.3">
      <c r="A25" s="14" t="s">
        <v>25</v>
      </c>
      <c r="B25" s="11">
        <v>1.309122103704231E-2</v>
      </c>
      <c r="E25" s="5" t="str">
        <f t="shared" si="0"/>
        <v>BEEF3</v>
      </c>
      <c r="F25" s="5">
        <f t="shared" si="1"/>
        <v>8.5027480635589819E-3</v>
      </c>
      <c r="J25" t="s">
        <v>32</v>
      </c>
      <c r="K25" s="7">
        <v>1.1707687562591901E-2</v>
      </c>
      <c r="L25" s="3">
        <f t="shared" si="2"/>
        <v>1.1707687562591901E-2</v>
      </c>
      <c r="M25" t="b">
        <f t="shared" si="3"/>
        <v>1</v>
      </c>
      <c r="O25" s="15">
        <f t="shared" si="4"/>
        <v>7.6041430719034405E-3</v>
      </c>
      <c r="P25">
        <f t="shared" si="5"/>
        <v>7.6041430719034405E-3</v>
      </c>
      <c r="Q25" s="15">
        <f t="shared" si="6"/>
        <v>0</v>
      </c>
    </row>
    <row r="26" spans="1:17" x14ac:dyDescent="0.3">
      <c r="A26" s="14" t="s">
        <v>30</v>
      </c>
      <c r="B26" s="11">
        <v>1.3026542425298569E-2</v>
      </c>
      <c r="E26" s="5" t="str">
        <f t="shared" si="0"/>
        <v>CURY3</v>
      </c>
      <c r="F26" s="5">
        <f t="shared" si="1"/>
        <v>8.4607393052314218E-3</v>
      </c>
      <c r="J26" t="s">
        <v>41</v>
      </c>
      <c r="K26" s="7">
        <v>1.3703764834263336E-2</v>
      </c>
      <c r="L26" s="3">
        <f t="shared" si="2"/>
        <v>1.3703764834263336E-2</v>
      </c>
      <c r="M26" t="b">
        <f t="shared" si="3"/>
        <v>1</v>
      </c>
      <c r="O26" s="15">
        <f t="shared" si="4"/>
        <v>8.9005952598540383E-3</v>
      </c>
      <c r="P26">
        <f t="shared" si="5"/>
        <v>8.9005952598540383E-3</v>
      </c>
      <c r="Q26" s="15">
        <f t="shared" si="6"/>
        <v>0</v>
      </c>
    </row>
    <row r="27" spans="1:17" x14ac:dyDescent="0.3">
      <c r="A27" s="14" t="s">
        <v>28</v>
      </c>
      <c r="B27" s="11">
        <v>1.2856274583763105E-2</v>
      </c>
      <c r="E27" s="5" t="str">
        <f t="shared" si="0"/>
        <v>LEVE3</v>
      </c>
      <c r="F27" s="5">
        <f t="shared" si="1"/>
        <v>8.3501503421541372E-3</v>
      </c>
      <c r="J27" t="s">
        <v>46</v>
      </c>
      <c r="K27" s="7">
        <v>1.0557080893688748E-2</v>
      </c>
      <c r="L27" s="3">
        <f t="shared" si="2"/>
        <v>1.0557080893688748E-2</v>
      </c>
      <c r="M27" t="b">
        <f t="shared" si="3"/>
        <v>1</v>
      </c>
      <c r="O27" s="15">
        <f t="shared" si="4"/>
        <v>6.8568240404508424E-3</v>
      </c>
      <c r="P27">
        <f t="shared" si="5"/>
        <v>6.8568240404508424E-3</v>
      </c>
      <c r="Q27" s="15">
        <f t="shared" si="6"/>
        <v>0</v>
      </c>
    </row>
    <row r="28" spans="1:17" x14ac:dyDescent="0.3">
      <c r="A28" s="14" t="s">
        <v>43</v>
      </c>
      <c r="B28" s="11">
        <v>1.2297664399304114E-2</v>
      </c>
      <c r="E28" s="5" t="str">
        <f t="shared" si="0"/>
        <v>COGN3</v>
      </c>
      <c r="F28" s="5">
        <f t="shared" si="1"/>
        <v>7.9873330273480224E-3</v>
      </c>
      <c r="J28" t="s">
        <v>48</v>
      </c>
      <c r="K28" s="7">
        <v>1.0591518980264674E-2</v>
      </c>
      <c r="L28" s="3">
        <f t="shared" si="2"/>
        <v>1.0591518980264674E-2</v>
      </c>
      <c r="M28" t="b">
        <f t="shared" si="3"/>
        <v>1</v>
      </c>
      <c r="O28" s="15">
        <f t="shared" si="4"/>
        <v>6.8791915776819064E-3</v>
      </c>
      <c r="P28">
        <f t="shared" si="5"/>
        <v>6.8791915776819064E-3</v>
      </c>
      <c r="Q28" s="15">
        <f t="shared" si="6"/>
        <v>0</v>
      </c>
    </row>
    <row r="29" spans="1:17" x14ac:dyDescent="0.3">
      <c r="A29" s="14" t="s">
        <v>53</v>
      </c>
      <c r="B29" s="11">
        <v>1.2168011409805547E-2</v>
      </c>
      <c r="E29" s="5" t="str">
        <f t="shared" si="0"/>
        <v>TRIS3</v>
      </c>
      <c r="F29" s="5">
        <f t="shared" si="1"/>
        <v>7.9031234106687036E-3</v>
      </c>
      <c r="J29" t="s">
        <v>50</v>
      </c>
      <c r="K29" s="7">
        <v>5.0000000000000001E-3</v>
      </c>
      <c r="L29" s="3">
        <f t="shared" si="2"/>
        <v>5.0000000000000001E-3</v>
      </c>
      <c r="M29" t="b">
        <f t="shared" si="3"/>
        <v>1</v>
      </c>
      <c r="O29" s="15">
        <f t="shared" si="4"/>
        <v>3.2475000000000004E-3</v>
      </c>
      <c r="P29">
        <f t="shared" si="5"/>
        <v>3.2475000000000004E-3</v>
      </c>
      <c r="Q29" s="15">
        <f t="shared" si="6"/>
        <v>0</v>
      </c>
    </row>
    <row r="30" spans="1:17" x14ac:dyDescent="0.3">
      <c r="A30" s="14" t="s">
        <v>39</v>
      </c>
      <c r="B30" s="11">
        <v>1.2167141580245722E-2</v>
      </c>
      <c r="E30" s="5" t="str">
        <f t="shared" si="0"/>
        <v>PLPL3</v>
      </c>
      <c r="F30" s="5">
        <f t="shared" si="1"/>
        <v>7.9025584563695971E-3</v>
      </c>
      <c r="J30" t="s">
        <v>40</v>
      </c>
      <c r="K30" s="7">
        <v>1.1800578299013842E-2</v>
      </c>
      <c r="L30" s="3">
        <f t="shared" si="2"/>
        <v>1.1800578299013842E-2</v>
      </c>
      <c r="M30" t="b">
        <f t="shared" si="3"/>
        <v>1</v>
      </c>
      <c r="O30" s="15">
        <f t="shared" si="4"/>
        <v>7.6644756052094915E-3</v>
      </c>
      <c r="P30">
        <f t="shared" si="5"/>
        <v>7.6644756052094915E-3</v>
      </c>
      <c r="Q30" s="15">
        <f t="shared" si="6"/>
        <v>0</v>
      </c>
    </row>
    <row r="31" spans="1:17" x14ac:dyDescent="0.3">
      <c r="A31" s="14" t="s">
        <v>75</v>
      </c>
      <c r="B31" s="11">
        <v>1.209810943867084E-2</v>
      </c>
      <c r="E31" s="5" t="str">
        <f t="shared" si="0"/>
        <v>PRIO3</v>
      </c>
      <c r="F31" s="5">
        <f t="shared" si="1"/>
        <v>7.8577220804167125E-3</v>
      </c>
      <c r="J31" t="s">
        <v>52</v>
      </c>
      <c r="K31" s="7">
        <v>1.5E-3</v>
      </c>
      <c r="L31" s="3">
        <f t="shared" si="2"/>
        <v>2.3E-3</v>
      </c>
      <c r="M31" t="b">
        <f t="shared" si="3"/>
        <v>0</v>
      </c>
      <c r="O31" s="15">
        <f t="shared" si="4"/>
        <v>9.7425000000000018E-4</v>
      </c>
      <c r="P31">
        <f t="shared" si="5"/>
        <v>1.4938500000000001E-3</v>
      </c>
      <c r="Q31" s="15">
        <f t="shared" si="6"/>
        <v>5.1959999999999994E-4</v>
      </c>
    </row>
    <row r="32" spans="1:17" x14ac:dyDescent="0.3">
      <c r="A32" s="14" t="s">
        <v>33</v>
      </c>
      <c r="B32" s="11">
        <v>1.2097395565766994E-2</v>
      </c>
      <c r="E32" s="5" t="str">
        <f t="shared" si="0"/>
        <v>ELET6</v>
      </c>
      <c r="F32" s="5">
        <f t="shared" si="1"/>
        <v>7.8572584199656636E-3</v>
      </c>
      <c r="J32" t="s">
        <v>54</v>
      </c>
      <c r="K32" s="7">
        <v>7.4999999999999997E-3</v>
      </c>
      <c r="L32" s="3">
        <f t="shared" si="2"/>
        <v>6.4999999999999997E-3</v>
      </c>
      <c r="M32" t="b">
        <f t="shared" si="3"/>
        <v>0</v>
      </c>
      <c r="O32" s="15">
        <f t="shared" si="4"/>
        <v>4.8712500000000006E-3</v>
      </c>
      <c r="P32">
        <f t="shared" si="5"/>
        <v>4.2217500000000007E-3</v>
      </c>
      <c r="Q32" s="15">
        <f t="shared" si="6"/>
        <v>-6.494999999999999E-4</v>
      </c>
    </row>
    <row r="33" spans="1:17" x14ac:dyDescent="0.3">
      <c r="A33" s="14" t="s">
        <v>40</v>
      </c>
      <c r="B33" s="11">
        <v>1.1800578299013842E-2</v>
      </c>
      <c r="E33" s="5" t="str">
        <f t="shared" si="0"/>
        <v>UNIP6</v>
      </c>
      <c r="F33" s="5">
        <f t="shared" si="1"/>
        <v>7.6644756052094915E-3</v>
      </c>
      <c r="J33" t="s">
        <v>47</v>
      </c>
      <c r="K33" s="7">
        <v>9.8996194668131005E-3</v>
      </c>
      <c r="L33" s="3">
        <f t="shared" si="2"/>
        <v>9.8996194668131005E-3</v>
      </c>
      <c r="M33" t="b">
        <f t="shared" si="3"/>
        <v>1</v>
      </c>
      <c r="O33" s="15">
        <f t="shared" si="4"/>
        <v>6.4298028436951095E-3</v>
      </c>
      <c r="P33">
        <f t="shared" si="5"/>
        <v>6.4298028436951095E-3</v>
      </c>
      <c r="Q33" s="15">
        <f t="shared" si="6"/>
        <v>0</v>
      </c>
    </row>
    <row r="34" spans="1:17" x14ac:dyDescent="0.3">
      <c r="A34" s="14" t="s">
        <v>20</v>
      </c>
      <c r="B34" s="11">
        <v>1.1738963718086729E-2</v>
      </c>
      <c r="E34" s="5" t="str">
        <f t="shared" si="0"/>
        <v>CMIG3</v>
      </c>
      <c r="F34" s="5">
        <f t="shared" si="1"/>
        <v>7.6244569348973314E-3</v>
      </c>
      <c r="J34" t="s">
        <v>55</v>
      </c>
      <c r="K34" s="7">
        <v>9.6081346778249428E-3</v>
      </c>
      <c r="L34" s="3">
        <f t="shared" si="2"/>
        <v>9.6081346778249428E-3</v>
      </c>
      <c r="M34" t="b">
        <f t="shared" si="3"/>
        <v>1</v>
      </c>
      <c r="O34" s="15">
        <f t="shared" si="4"/>
        <v>6.2404834732473014E-3</v>
      </c>
      <c r="P34">
        <f t="shared" si="5"/>
        <v>6.2404834732473014E-3</v>
      </c>
      <c r="Q34" s="15">
        <f t="shared" si="6"/>
        <v>0</v>
      </c>
    </row>
    <row r="35" spans="1:17" x14ac:dyDescent="0.3">
      <c r="A35" s="14" t="s">
        <v>32</v>
      </c>
      <c r="B35" s="11">
        <v>1.1707687562591901E-2</v>
      </c>
      <c r="E35" s="5" t="str">
        <f t="shared" si="0"/>
        <v>CSMG3</v>
      </c>
      <c r="F35" s="5">
        <f t="shared" si="1"/>
        <v>7.6041430719034405E-3</v>
      </c>
      <c r="J35" t="s">
        <v>37</v>
      </c>
      <c r="K35" s="7">
        <v>1.0833538266213787E-2</v>
      </c>
      <c r="L35" s="3">
        <f t="shared" si="2"/>
        <v>1.0833538266213787E-2</v>
      </c>
      <c r="M35" t="b">
        <f t="shared" si="3"/>
        <v>1</v>
      </c>
      <c r="O35" s="15">
        <f t="shared" si="4"/>
        <v>7.0363831039058555E-3</v>
      </c>
      <c r="P35">
        <f t="shared" si="5"/>
        <v>7.0363831039058555E-3</v>
      </c>
      <c r="Q35" s="15">
        <f t="shared" si="6"/>
        <v>0</v>
      </c>
    </row>
    <row r="36" spans="1:17" x14ac:dyDescent="0.3">
      <c r="A36" s="14" t="s">
        <v>24</v>
      </c>
      <c r="B36" s="11">
        <v>1.1667425463849041E-2</v>
      </c>
      <c r="E36" s="5" t="str">
        <f t="shared" si="0"/>
        <v>TGMA3</v>
      </c>
      <c r="F36" s="5">
        <f t="shared" si="1"/>
        <v>7.5779928387699532E-3</v>
      </c>
      <c r="J36" t="s">
        <v>59</v>
      </c>
      <c r="K36" s="7">
        <v>1.0162856963637674E-2</v>
      </c>
      <c r="L36" s="3">
        <f t="shared" si="2"/>
        <v>1.0162856963637674E-2</v>
      </c>
      <c r="M36" t="b">
        <f t="shared" si="3"/>
        <v>1</v>
      </c>
      <c r="O36" s="15">
        <f t="shared" si="4"/>
        <v>6.6007755978826702E-3</v>
      </c>
      <c r="P36">
        <f t="shared" si="5"/>
        <v>6.6007755978826702E-3</v>
      </c>
      <c r="Q36" s="15">
        <f t="shared" si="6"/>
        <v>0</v>
      </c>
    </row>
    <row r="37" spans="1:17" x14ac:dyDescent="0.3">
      <c r="A37" s="14" t="s">
        <v>35</v>
      </c>
      <c r="B37" s="11">
        <v>1.1554392048781167E-2</v>
      </c>
      <c r="E37" s="5" t="str">
        <f t="shared" si="0"/>
        <v>AURE3</v>
      </c>
      <c r="F37" s="5">
        <f t="shared" si="1"/>
        <v>7.5045776356833689E-3</v>
      </c>
      <c r="J37" t="s">
        <v>60</v>
      </c>
      <c r="K37" s="7">
        <v>1.0013996336918553E-2</v>
      </c>
      <c r="L37" s="3">
        <f t="shared" si="2"/>
        <v>1.0013996336918553E-2</v>
      </c>
      <c r="M37" t="b">
        <f t="shared" si="3"/>
        <v>1</v>
      </c>
      <c r="O37" s="15">
        <f t="shared" si="4"/>
        <v>6.5040906208286009E-3</v>
      </c>
      <c r="P37">
        <f t="shared" si="5"/>
        <v>6.5040906208286009E-3</v>
      </c>
      <c r="Q37" s="15">
        <f t="shared" si="6"/>
        <v>0</v>
      </c>
    </row>
    <row r="38" spans="1:17" x14ac:dyDescent="0.3">
      <c r="A38" s="14" t="s">
        <v>27</v>
      </c>
      <c r="B38" s="11">
        <v>1.1273375755950599E-2</v>
      </c>
      <c r="E38" s="5" t="str">
        <f t="shared" si="0"/>
        <v>BRAP4</v>
      </c>
      <c r="F38" s="5">
        <f t="shared" si="1"/>
        <v>7.3220575534899152E-3</v>
      </c>
      <c r="J38" t="s">
        <v>61</v>
      </c>
      <c r="K38" s="7">
        <v>3.5005111223726489E-3</v>
      </c>
      <c r="L38" s="3">
        <f t="shared" si="2"/>
        <v>3.5005111223726489E-3</v>
      </c>
      <c r="M38" t="b">
        <f t="shared" si="3"/>
        <v>1</v>
      </c>
      <c r="O38" s="15">
        <f t="shared" si="4"/>
        <v>2.2735819739810358E-3</v>
      </c>
      <c r="P38">
        <f t="shared" si="5"/>
        <v>2.2735819739810358E-3</v>
      </c>
      <c r="Q38" s="15">
        <f t="shared" si="6"/>
        <v>0</v>
      </c>
    </row>
    <row r="39" spans="1:17" x14ac:dyDescent="0.3">
      <c r="A39" s="14" t="s">
        <v>44</v>
      </c>
      <c r="B39" s="11">
        <v>1.1263604390177123E-2</v>
      </c>
      <c r="E39" s="5" t="str">
        <f t="shared" si="0"/>
        <v>MULT3</v>
      </c>
      <c r="F39" s="5">
        <f t="shared" si="1"/>
        <v>7.3157110514200426E-3</v>
      </c>
      <c r="J39" t="s">
        <v>62</v>
      </c>
      <c r="K39" s="7">
        <v>9.1164293997888814E-3</v>
      </c>
      <c r="L39" s="3">
        <f t="shared" si="2"/>
        <v>9.1164293997888814E-3</v>
      </c>
      <c r="M39" t="b">
        <f t="shared" si="3"/>
        <v>1</v>
      </c>
      <c r="O39" s="15">
        <f t="shared" si="4"/>
        <v>5.9211208951628789E-3</v>
      </c>
      <c r="P39">
        <f t="shared" si="5"/>
        <v>5.9211208951628789E-3</v>
      </c>
      <c r="Q39" s="15">
        <f t="shared" si="6"/>
        <v>0</v>
      </c>
    </row>
    <row r="40" spans="1:17" x14ac:dyDescent="0.3">
      <c r="A40" s="14" t="s">
        <v>49</v>
      </c>
      <c r="B40" s="11">
        <v>1.0974031680885142E-2</v>
      </c>
      <c r="E40" s="5" t="str">
        <f t="shared" si="0"/>
        <v>FRAS3</v>
      </c>
      <c r="F40" s="5">
        <f t="shared" si="1"/>
        <v>7.1276335767349007E-3</v>
      </c>
      <c r="J40" t="s">
        <v>38</v>
      </c>
      <c r="K40" s="7">
        <v>1.3251380427384912E-2</v>
      </c>
      <c r="L40" s="3">
        <f t="shared" si="2"/>
        <v>1.3251380427384912E-2</v>
      </c>
      <c r="M40" t="b">
        <f t="shared" si="3"/>
        <v>1</v>
      </c>
      <c r="O40" s="15">
        <f t="shared" si="4"/>
        <v>8.6067715875865012E-3</v>
      </c>
      <c r="P40">
        <f t="shared" si="5"/>
        <v>8.6067715875865012E-3</v>
      </c>
      <c r="Q40" s="15">
        <f t="shared" si="6"/>
        <v>0</v>
      </c>
    </row>
    <row r="41" spans="1:17" x14ac:dyDescent="0.3">
      <c r="A41" s="14" t="s">
        <v>37</v>
      </c>
      <c r="B41" s="11">
        <v>1.0833538266213787E-2</v>
      </c>
      <c r="E41" s="5" t="str">
        <f t="shared" si="0"/>
        <v>ISAE4</v>
      </c>
      <c r="F41" s="5">
        <f t="shared" si="1"/>
        <v>7.0363831039058555E-3</v>
      </c>
      <c r="J41" t="s">
        <v>8</v>
      </c>
      <c r="K41" s="7">
        <v>2.9499999999999998E-2</v>
      </c>
      <c r="L41" s="3">
        <f t="shared" si="2"/>
        <v>2.9499999999999998E-2</v>
      </c>
      <c r="M41" t="b">
        <f t="shared" si="3"/>
        <v>1</v>
      </c>
      <c r="O41" s="15">
        <f t="shared" si="4"/>
        <v>1.916025E-2</v>
      </c>
      <c r="P41">
        <f t="shared" si="5"/>
        <v>1.916025E-2</v>
      </c>
      <c r="Q41" s="15">
        <f t="shared" si="6"/>
        <v>0</v>
      </c>
    </row>
    <row r="42" spans="1:17" x14ac:dyDescent="0.3">
      <c r="A42" s="14" t="s">
        <v>48</v>
      </c>
      <c r="B42" s="11">
        <v>1.0591518980264674E-2</v>
      </c>
      <c r="E42" s="5" t="str">
        <f t="shared" si="0"/>
        <v>JHSF3</v>
      </c>
      <c r="F42" s="5">
        <f t="shared" si="1"/>
        <v>6.8791915776819064E-3</v>
      </c>
      <c r="J42" t="s">
        <v>51</v>
      </c>
      <c r="K42" s="7">
        <v>2.5000000000000001E-3</v>
      </c>
      <c r="L42" s="3">
        <f t="shared" si="2"/>
        <v>2.5000000000000001E-3</v>
      </c>
      <c r="M42" t="b">
        <f t="shared" si="3"/>
        <v>1</v>
      </c>
      <c r="O42" s="15">
        <f t="shared" si="4"/>
        <v>1.6237500000000002E-3</v>
      </c>
      <c r="P42">
        <f t="shared" si="5"/>
        <v>1.6237500000000002E-3</v>
      </c>
      <c r="Q42" s="15">
        <f t="shared" si="6"/>
        <v>0</v>
      </c>
    </row>
    <row r="43" spans="1:17" x14ac:dyDescent="0.3">
      <c r="A43" s="14" t="s">
        <v>56</v>
      </c>
      <c r="B43" s="11">
        <v>1.0560232621886653E-2</v>
      </c>
      <c r="E43" s="5" t="str">
        <f t="shared" si="0"/>
        <v>DIRR3</v>
      </c>
      <c r="F43" s="5">
        <f t="shared" si="1"/>
        <v>6.8588710879153815E-3</v>
      </c>
      <c r="J43" t="s">
        <v>71</v>
      </c>
      <c r="K43" s="7">
        <v>6.0000000000000001E-3</v>
      </c>
      <c r="L43" s="3">
        <f t="shared" si="2"/>
        <v>6.0000000000000001E-3</v>
      </c>
      <c r="M43" t="b">
        <f t="shared" si="3"/>
        <v>1</v>
      </c>
      <c r="O43" s="15">
        <f t="shared" si="4"/>
        <v>3.8970000000000007E-3</v>
      </c>
      <c r="P43">
        <f t="shared" si="5"/>
        <v>3.8970000000000007E-3</v>
      </c>
      <c r="Q43" s="15">
        <f t="shared" si="6"/>
        <v>0</v>
      </c>
    </row>
    <row r="44" spans="1:17" x14ac:dyDescent="0.3">
      <c r="A44" s="14" t="s">
        <v>46</v>
      </c>
      <c r="B44" s="11">
        <v>1.0557080893688748E-2</v>
      </c>
      <c r="E44" s="5" t="str">
        <f t="shared" si="0"/>
        <v>WIZC3</v>
      </c>
      <c r="F44" s="5">
        <f t="shared" si="1"/>
        <v>6.8568240404508424E-3</v>
      </c>
      <c r="J44" t="s">
        <v>64</v>
      </c>
      <c r="K44" s="7">
        <v>3.389534122061535E-3</v>
      </c>
      <c r="L44" s="3">
        <f t="shared" si="2"/>
        <v>3.389534122061535E-3</v>
      </c>
      <c r="M44" t="b">
        <f t="shared" si="3"/>
        <v>1</v>
      </c>
      <c r="O44" s="15">
        <f t="shared" si="4"/>
        <v>2.2015024122789672E-3</v>
      </c>
      <c r="P44">
        <f t="shared" si="5"/>
        <v>2.2015024122789672E-3</v>
      </c>
      <c r="Q44" s="15">
        <f t="shared" si="6"/>
        <v>0</v>
      </c>
    </row>
    <row r="45" spans="1:17" x14ac:dyDescent="0.3">
      <c r="A45" s="14" t="s">
        <v>36</v>
      </c>
      <c r="B45" s="11">
        <v>1.0422180432436911E-2</v>
      </c>
      <c r="E45" s="5" t="str">
        <f t="shared" si="0"/>
        <v>VBBR3</v>
      </c>
      <c r="F45" s="5">
        <f t="shared" si="1"/>
        <v>6.7692061908677745E-3</v>
      </c>
      <c r="J45" t="s">
        <v>43</v>
      </c>
      <c r="K45" s="7">
        <v>1.2297664399304114E-2</v>
      </c>
      <c r="L45" s="3">
        <f t="shared" si="2"/>
        <v>1.2297664399304114E-2</v>
      </c>
      <c r="M45" t="b">
        <f t="shared" si="3"/>
        <v>1</v>
      </c>
      <c r="O45" s="15">
        <f t="shared" si="4"/>
        <v>7.9873330273480224E-3</v>
      </c>
      <c r="P45">
        <f t="shared" si="5"/>
        <v>7.9873330273480224E-3</v>
      </c>
      <c r="Q45" s="15">
        <f t="shared" si="6"/>
        <v>0</v>
      </c>
    </row>
    <row r="46" spans="1:17" x14ac:dyDescent="0.3">
      <c r="A46" s="14" t="s">
        <v>31</v>
      </c>
      <c r="B46" s="11">
        <v>1.0335023820433005E-2</v>
      </c>
      <c r="E46" s="5" t="str">
        <f t="shared" si="0"/>
        <v>PSSA3</v>
      </c>
      <c r="F46" s="5">
        <f t="shared" si="1"/>
        <v>6.7125979713712376E-3</v>
      </c>
      <c r="J46" t="s">
        <v>30</v>
      </c>
      <c r="K46" s="7">
        <v>1.3026542425298569E-2</v>
      </c>
      <c r="L46" s="3">
        <f t="shared" si="2"/>
        <v>1.3026542425298569E-2</v>
      </c>
      <c r="M46" t="b">
        <f t="shared" si="3"/>
        <v>1</v>
      </c>
      <c r="O46" s="15">
        <f t="shared" si="4"/>
        <v>8.4607393052314218E-3</v>
      </c>
      <c r="P46">
        <f t="shared" si="5"/>
        <v>8.4607393052314218E-3</v>
      </c>
      <c r="Q46" s="15">
        <f t="shared" si="6"/>
        <v>0</v>
      </c>
    </row>
    <row r="47" spans="1:17" x14ac:dyDescent="0.3">
      <c r="A47" s="14" t="s">
        <v>21</v>
      </c>
      <c r="B47" s="11">
        <v>1.029138470614523E-2</v>
      </c>
      <c r="E47" s="5" t="str">
        <f t="shared" si="0"/>
        <v>CMIG4</v>
      </c>
      <c r="F47" s="5">
        <f t="shared" si="1"/>
        <v>6.6842543666413273E-3</v>
      </c>
      <c r="J47" t="s">
        <v>18</v>
      </c>
      <c r="K47" s="7">
        <v>1.5462924284289446E-2</v>
      </c>
      <c r="L47" s="3">
        <f t="shared" si="2"/>
        <v>1.5462924284289446E-2</v>
      </c>
      <c r="M47" t="b">
        <f t="shared" si="3"/>
        <v>1</v>
      </c>
      <c r="O47" s="15">
        <f t="shared" si="4"/>
        <v>1.0043169322645996E-2</v>
      </c>
      <c r="P47">
        <f t="shared" si="5"/>
        <v>1.0043169322645996E-2</v>
      </c>
      <c r="Q47" s="15">
        <f t="shared" si="6"/>
        <v>0</v>
      </c>
    </row>
    <row r="48" spans="1:17" x14ac:dyDescent="0.3">
      <c r="A48" s="14" t="s">
        <v>59</v>
      </c>
      <c r="B48" s="11">
        <v>1.0162856963637674E-2</v>
      </c>
      <c r="E48" s="5" t="str">
        <f t="shared" si="0"/>
        <v>RECV3</v>
      </c>
      <c r="F48" s="5">
        <f t="shared" si="1"/>
        <v>6.6007755978826702E-3</v>
      </c>
      <c r="J48" t="s">
        <v>65</v>
      </c>
      <c r="K48" s="7">
        <v>3.6899045276269889E-3</v>
      </c>
      <c r="L48" s="3">
        <f t="shared" si="2"/>
        <v>3.6899045276269889E-3</v>
      </c>
      <c r="M48" t="b">
        <f t="shared" si="3"/>
        <v>1</v>
      </c>
      <c r="O48" s="15">
        <f t="shared" si="4"/>
        <v>2.3965929906937296E-3</v>
      </c>
      <c r="P48">
        <f t="shared" si="5"/>
        <v>2.3965929906937296E-3</v>
      </c>
      <c r="Q48" s="15">
        <f t="shared" si="6"/>
        <v>0</v>
      </c>
    </row>
    <row r="49" spans="1:17" x14ac:dyDescent="0.3">
      <c r="A49" s="14" t="s">
        <v>60</v>
      </c>
      <c r="B49" s="11">
        <v>1.0013996336918553E-2</v>
      </c>
      <c r="E49" s="5" t="str">
        <f t="shared" si="0"/>
        <v>RANI3</v>
      </c>
      <c r="F49" s="5">
        <f t="shared" si="1"/>
        <v>6.5040906208286009E-3</v>
      </c>
      <c r="J49" t="s">
        <v>56</v>
      </c>
      <c r="K49" s="7">
        <v>1.0560232621886653E-2</v>
      </c>
      <c r="L49" s="3">
        <f t="shared" si="2"/>
        <v>1.0560232621886653E-2</v>
      </c>
      <c r="M49" t="b">
        <f t="shared" si="3"/>
        <v>1</v>
      </c>
      <c r="O49" s="15">
        <f t="shared" si="4"/>
        <v>6.8588710879153815E-3</v>
      </c>
      <c r="P49">
        <f t="shared" si="5"/>
        <v>6.8588710879153815E-3</v>
      </c>
      <c r="Q49" s="15">
        <f t="shared" si="6"/>
        <v>0</v>
      </c>
    </row>
    <row r="50" spans="1:17" x14ac:dyDescent="0.3">
      <c r="A50" s="14" t="s">
        <v>47</v>
      </c>
      <c r="B50" s="11">
        <v>9.8996194668131005E-3</v>
      </c>
      <c r="E50" s="5" t="str">
        <f t="shared" si="0"/>
        <v>SAPR4</v>
      </c>
      <c r="F50" s="5">
        <f t="shared" si="1"/>
        <v>6.4298028436951095E-3</v>
      </c>
      <c r="J50" t="s">
        <v>9</v>
      </c>
      <c r="K50" s="7">
        <v>2.3426589738220888E-2</v>
      </c>
      <c r="L50" s="3">
        <f t="shared" si="2"/>
        <v>2.3426589738220888E-2</v>
      </c>
      <c r="M50" t="b">
        <f t="shared" si="3"/>
        <v>1</v>
      </c>
      <c r="O50" s="15">
        <f t="shared" si="4"/>
        <v>1.5215570034974469E-2</v>
      </c>
      <c r="P50">
        <f t="shared" si="5"/>
        <v>1.5215570034974469E-2</v>
      </c>
      <c r="Q50" s="15">
        <f t="shared" si="6"/>
        <v>0</v>
      </c>
    </row>
    <row r="51" spans="1:17" x14ac:dyDescent="0.3">
      <c r="A51" s="14" t="s">
        <v>34</v>
      </c>
      <c r="B51" s="11">
        <v>9.7543334669110034E-3</v>
      </c>
      <c r="E51" s="5" t="str">
        <f t="shared" si="0"/>
        <v>ECOR3</v>
      </c>
      <c r="F51" s="5">
        <f t="shared" si="1"/>
        <v>6.3354395867586972E-3</v>
      </c>
      <c r="J51" t="s">
        <v>33</v>
      </c>
      <c r="K51" s="7">
        <v>1.2097395565766994E-2</v>
      </c>
      <c r="L51" s="3">
        <f t="shared" si="2"/>
        <v>1.2097395565766994E-2</v>
      </c>
      <c r="M51" t="b">
        <f t="shared" si="3"/>
        <v>1</v>
      </c>
      <c r="O51" s="15">
        <f t="shared" si="4"/>
        <v>7.8572584199656636E-3</v>
      </c>
      <c r="P51">
        <f t="shared" si="5"/>
        <v>7.8572584199656636E-3</v>
      </c>
      <c r="Q51" s="15">
        <f t="shared" si="6"/>
        <v>0</v>
      </c>
    </row>
    <row r="52" spans="1:17" x14ac:dyDescent="0.3">
      <c r="A52" s="14" t="s">
        <v>42</v>
      </c>
      <c r="B52" s="11">
        <v>9.697371968731508E-3</v>
      </c>
      <c r="E52" s="5" t="str">
        <f t="shared" si="0"/>
        <v>VLID3</v>
      </c>
      <c r="F52" s="5">
        <f t="shared" si="1"/>
        <v>6.2984430936911156E-3</v>
      </c>
      <c r="J52" t="s">
        <v>49</v>
      </c>
      <c r="K52" s="7">
        <v>1.0974031680885142E-2</v>
      </c>
      <c r="L52" s="3">
        <f t="shared" si="2"/>
        <v>1.0974031680885142E-2</v>
      </c>
      <c r="M52" t="b">
        <f t="shared" si="3"/>
        <v>1</v>
      </c>
      <c r="O52" s="15">
        <f t="shared" si="4"/>
        <v>7.1276335767349007E-3</v>
      </c>
      <c r="P52">
        <f t="shared" si="5"/>
        <v>7.1276335767349007E-3</v>
      </c>
      <c r="Q52" s="15">
        <f t="shared" si="6"/>
        <v>0</v>
      </c>
    </row>
    <row r="53" spans="1:17" x14ac:dyDescent="0.3">
      <c r="A53" s="14" t="s">
        <v>55</v>
      </c>
      <c r="B53" s="11">
        <v>9.6081346778249428E-3</v>
      </c>
      <c r="E53" s="5" t="str">
        <f t="shared" si="0"/>
        <v>MYPK3</v>
      </c>
      <c r="F53" s="5">
        <f t="shared" si="1"/>
        <v>6.2404834732473014E-3</v>
      </c>
      <c r="J53" t="s">
        <v>72</v>
      </c>
      <c r="K53" s="7">
        <v>0.04</v>
      </c>
      <c r="L53" s="3">
        <f t="shared" si="2"/>
        <v>0.04</v>
      </c>
      <c r="M53" t="b">
        <f t="shared" si="3"/>
        <v>1</v>
      </c>
      <c r="O53" s="15">
        <f t="shared" si="4"/>
        <v>2.5980000000000003E-2</v>
      </c>
      <c r="P53">
        <f t="shared" si="5"/>
        <v>2.5980000000000003E-2</v>
      </c>
      <c r="Q53" s="15">
        <f t="shared" si="6"/>
        <v>0</v>
      </c>
    </row>
    <row r="54" spans="1:17" x14ac:dyDescent="0.3">
      <c r="A54" s="14" t="s">
        <v>11</v>
      </c>
      <c r="B54" s="11">
        <v>9.3786291220952812E-3</v>
      </c>
      <c r="E54" s="5" t="str">
        <f t="shared" si="0"/>
        <v>GGBR4</v>
      </c>
      <c r="F54" s="5">
        <f t="shared" si="1"/>
        <v>6.0914196148008862E-3</v>
      </c>
      <c r="J54" t="s">
        <v>74</v>
      </c>
      <c r="K54" s="7">
        <v>1.7000000000000001E-2</v>
      </c>
      <c r="L54" s="3">
        <f t="shared" si="2"/>
        <v>1.7000000000000001E-2</v>
      </c>
      <c r="M54" t="b">
        <f t="shared" si="3"/>
        <v>1</v>
      </c>
      <c r="O54" s="15">
        <f t="shared" si="4"/>
        <v>1.1041500000000003E-2</v>
      </c>
      <c r="P54">
        <f t="shared" si="5"/>
        <v>1.1041500000000003E-2</v>
      </c>
      <c r="Q54" s="15">
        <f t="shared" si="6"/>
        <v>0</v>
      </c>
    </row>
    <row r="55" spans="1:17" x14ac:dyDescent="0.3">
      <c r="A55" s="14" t="s">
        <v>62</v>
      </c>
      <c r="B55" s="11">
        <v>9.1164293997888814E-3</v>
      </c>
      <c r="E55" s="5" t="str">
        <f t="shared" si="0"/>
        <v>TAEE11</v>
      </c>
      <c r="F55" s="5">
        <f t="shared" si="1"/>
        <v>5.9211208951628789E-3</v>
      </c>
      <c r="J55" t="s">
        <v>44</v>
      </c>
      <c r="K55" s="7">
        <v>1.1263604390177123E-2</v>
      </c>
      <c r="L55" s="3">
        <f t="shared" si="2"/>
        <v>1.1263604390177123E-2</v>
      </c>
      <c r="M55" t="b">
        <f t="shared" si="3"/>
        <v>1</v>
      </c>
      <c r="O55" s="15">
        <f t="shared" si="4"/>
        <v>7.3157110514200426E-3</v>
      </c>
      <c r="P55">
        <f t="shared" si="5"/>
        <v>7.3157110514200426E-3</v>
      </c>
      <c r="Q55" s="15">
        <f t="shared" si="6"/>
        <v>0</v>
      </c>
    </row>
    <row r="56" spans="1:17" x14ac:dyDescent="0.3">
      <c r="A56" s="14" t="s">
        <v>58</v>
      </c>
      <c r="B56" s="11">
        <v>8.0000000000000002E-3</v>
      </c>
      <c r="E56" s="5" t="str">
        <f t="shared" si="0"/>
        <v>YDUQ3</v>
      </c>
      <c r="F56" s="5">
        <f t="shared" si="1"/>
        <v>5.196000000000001E-3</v>
      </c>
      <c r="J56" t="s">
        <v>39</v>
      </c>
      <c r="K56" s="7">
        <v>1.2167141580245722E-2</v>
      </c>
      <c r="L56" s="3">
        <f t="shared" si="2"/>
        <v>1.2167141580245722E-2</v>
      </c>
      <c r="M56" t="b">
        <f t="shared" si="3"/>
        <v>1</v>
      </c>
      <c r="O56" s="15">
        <f t="shared" si="4"/>
        <v>7.9025584563695971E-3</v>
      </c>
      <c r="P56">
        <f t="shared" si="5"/>
        <v>7.9025584563695971E-3</v>
      </c>
      <c r="Q56" s="15">
        <f t="shared" si="6"/>
        <v>0</v>
      </c>
    </row>
    <row r="57" spans="1:17" x14ac:dyDescent="0.3">
      <c r="A57" s="14" t="s">
        <v>63</v>
      </c>
      <c r="B57" s="11">
        <v>7.4999999999999997E-3</v>
      </c>
      <c r="E57" s="5" t="str">
        <f t="shared" si="0"/>
        <v>BMGB4</v>
      </c>
      <c r="F57" s="5">
        <f t="shared" si="1"/>
        <v>4.8712500000000006E-3</v>
      </c>
      <c r="J57" t="s">
        <v>16</v>
      </c>
      <c r="K57" s="7">
        <v>1.7999999999999999E-2</v>
      </c>
      <c r="L57" s="3">
        <f t="shared" si="2"/>
        <v>1.7999999999999999E-2</v>
      </c>
      <c r="M57" t="b">
        <f t="shared" si="3"/>
        <v>1</v>
      </c>
      <c r="O57" s="15">
        <f t="shared" si="4"/>
        <v>1.1691E-2</v>
      </c>
      <c r="P57">
        <f t="shared" si="5"/>
        <v>1.1691E-2</v>
      </c>
      <c r="Q57" s="15">
        <f t="shared" si="6"/>
        <v>0</v>
      </c>
    </row>
    <row r="58" spans="1:17" x14ac:dyDescent="0.3">
      <c r="A58" s="14" t="s">
        <v>54</v>
      </c>
      <c r="B58" s="11">
        <v>6.4999999999999997E-3</v>
      </c>
      <c r="E58" s="5" t="str">
        <f t="shared" si="0"/>
        <v>LIGT3</v>
      </c>
      <c r="F58" s="5">
        <f t="shared" si="1"/>
        <v>4.2217500000000007E-3</v>
      </c>
      <c r="J58" t="s">
        <v>75</v>
      </c>
      <c r="K58" s="7">
        <v>1.209810943867084E-2</v>
      </c>
      <c r="L58" s="3">
        <f t="shared" si="2"/>
        <v>1.209810943867084E-2</v>
      </c>
      <c r="M58" t="b">
        <f t="shared" si="3"/>
        <v>1</v>
      </c>
      <c r="O58" s="15">
        <f t="shared" si="4"/>
        <v>7.8577220804167125E-3</v>
      </c>
      <c r="P58">
        <f t="shared" si="5"/>
        <v>7.8577220804167125E-3</v>
      </c>
      <c r="Q58" s="15">
        <f t="shared" si="6"/>
        <v>0</v>
      </c>
    </row>
    <row r="59" spans="1:17" x14ac:dyDescent="0.3">
      <c r="A59" s="14" t="s">
        <v>71</v>
      </c>
      <c r="B59" s="11">
        <v>6.0000000000000001E-3</v>
      </c>
      <c r="E59" s="5" t="str">
        <f t="shared" si="0"/>
        <v>BMOB3</v>
      </c>
      <c r="F59" s="5">
        <f t="shared" si="1"/>
        <v>3.8970000000000007E-3</v>
      </c>
      <c r="J59" t="s">
        <v>31</v>
      </c>
      <c r="K59" s="7">
        <v>1.0335023820433005E-2</v>
      </c>
      <c r="L59" s="3">
        <f t="shared" si="2"/>
        <v>1.0335023820433005E-2</v>
      </c>
      <c r="M59" t="b">
        <f t="shared" si="3"/>
        <v>1</v>
      </c>
      <c r="O59" s="15">
        <f t="shared" si="4"/>
        <v>6.7125979713712376E-3</v>
      </c>
      <c r="P59">
        <f t="shared" si="5"/>
        <v>6.7125979713712376E-3</v>
      </c>
      <c r="Q59" s="15">
        <f t="shared" si="6"/>
        <v>0</v>
      </c>
    </row>
    <row r="60" spans="1:17" x14ac:dyDescent="0.3">
      <c r="A60" s="14" t="s">
        <v>50</v>
      </c>
      <c r="B60" s="11">
        <v>5.0000000000000001E-3</v>
      </c>
      <c r="E60" s="5" t="str">
        <f t="shared" si="0"/>
        <v>MTRE3</v>
      </c>
      <c r="F60" s="5">
        <f t="shared" si="1"/>
        <v>3.2475000000000004E-3</v>
      </c>
      <c r="J60" t="s">
        <v>10</v>
      </c>
      <c r="K60" s="7">
        <v>2.115970063067214E-2</v>
      </c>
      <c r="L60" s="3">
        <f t="shared" si="2"/>
        <v>2.115970063067214E-2</v>
      </c>
      <c r="M60" t="b">
        <f t="shared" si="3"/>
        <v>1</v>
      </c>
      <c r="O60" s="15">
        <f t="shared" si="4"/>
        <v>1.3743225559621557E-2</v>
      </c>
      <c r="P60">
        <f t="shared" si="5"/>
        <v>1.3743225559621557E-2</v>
      </c>
      <c r="Q60" s="15">
        <f t="shared" si="6"/>
        <v>0</v>
      </c>
    </row>
    <row r="61" spans="1:17" x14ac:dyDescent="0.3">
      <c r="A61" s="14" t="s">
        <v>65</v>
      </c>
      <c r="B61" s="11">
        <v>3.6899045276269889E-3</v>
      </c>
      <c r="E61" s="5" t="str">
        <f t="shared" si="0"/>
        <v>CYRE3</v>
      </c>
      <c r="F61" s="5">
        <f t="shared" si="1"/>
        <v>2.3965929906937296E-3</v>
      </c>
      <c r="J61" t="s">
        <v>57</v>
      </c>
      <c r="K61" s="7">
        <v>3.1263433604050411E-3</v>
      </c>
      <c r="L61" s="3">
        <f t="shared" si="2"/>
        <v>3.1263433604050411E-3</v>
      </c>
      <c r="M61" t="b">
        <f t="shared" si="3"/>
        <v>1</v>
      </c>
      <c r="O61" s="15">
        <f t="shared" si="4"/>
        <v>2.0305600125830746E-3</v>
      </c>
      <c r="P61">
        <f t="shared" si="5"/>
        <v>2.0305600125830746E-3</v>
      </c>
      <c r="Q61" s="15">
        <f t="shared" si="6"/>
        <v>0</v>
      </c>
    </row>
    <row r="62" spans="1:17" x14ac:dyDescent="0.3">
      <c r="A62" s="14" t="s">
        <v>61</v>
      </c>
      <c r="B62" s="11">
        <v>3.5005111223726489E-3</v>
      </c>
      <c r="E62" s="5" t="str">
        <f t="shared" si="0"/>
        <v>GRND3</v>
      </c>
      <c r="F62" s="5">
        <f t="shared" si="1"/>
        <v>2.2735819739810358E-3</v>
      </c>
      <c r="J62" t="s">
        <v>24</v>
      </c>
      <c r="K62" s="7">
        <v>1.1667425463849041E-2</v>
      </c>
      <c r="L62" s="3">
        <f t="shared" si="2"/>
        <v>1.1667425463849041E-2</v>
      </c>
      <c r="M62" t="b">
        <f t="shared" si="3"/>
        <v>1</v>
      </c>
      <c r="O62" s="15">
        <f t="shared" si="4"/>
        <v>7.5779928387699532E-3</v>
      </c>
      <c r="P62">
        <f t="shared" si="5"/>
        <v>7.5779928387699532E-3</v>
      </c>
      <c r="Q62" s="15">
        <f t="shared" si="6"/>
        <v>0</v>
      </c>
    </row>
    <row r="63" spans="1:17" x14ac:dyDescent="0.3">
      <c r="A63" s="14" t="s">
        <v>64</v>
      </c>
      <c r="B63" s="11">
        <v>3.389534122061535E-3</v>
      </c>
      <c r="E63" s="5" t="str">
        <f t="shared" si="0"/>
        <v>BRBI11</v>
      </c>
      <c r="F63" s="5">
        <f t="shared" si="1"/>
        <v>2.2015024122789672E-3</v>
      </c>
      <c r="J63" t="s">
        <v>53</v>
      </c>
      <c r="K63" s="7">
        <v>1.2168011409805547E-2</v>
      </c>
      <c r="L63" s="3">
        <f t="shared" si="2"/>
        <v>1.2168011409805547E-2</v>
      </c>
      <c r="M63" t="b">
        <f t="shared" si="3"/>
        <v>1</v>
      </c>
      <c r="O63" s="15">
        <f t="shared" si="4"/>
        <v>7.9031234106687036E-3</v>
      </c>
      <c r="P63">
        <f t="shared" si="5"/>
        <v>7.9031234106687036E-3</v>
      </c>
      <c r="Q63" s="15">
        <f t="shared" si="6"/>
        <v>0</v>
      </c>
    </row>
    <row r="64" spans="1:17" x14ac:dyDescent="0.3">
      <c r="A64" s="14" t="s">
        <v>57</v>
      </c>
      <c r="B64" s="11">
        <v>3.1263433604050411E-3</v>
      </c>
      <c r="E64" s="5" t="str">
        <f t="shared" si="0"/>
        <v>TEND3</v>
      </c>
      <c r="F64" s="5">
        <f t="shared" si="1"/>
        <v>2.0305600125830746E-3</v>
      </c>
      <c r="J64" t="s">
        <v>42</v>
      </c>
      <c r="K64" s="7">
        <v>9.697371968731508E-3</v>
      </c>
      <c r="L64" s="3">
        <f t="shared" si="2"/>
        <v>9.697371968731508E-3</v>
      </c>
      <c r="M64" t="b">
        <f t="shared" si="3"/>
        <v>1</v>
      </c>
      <c r="O64" s="15">
        <f t="shared" si="4"/>
        <v>6.2984430936911156E-3</v>
      </c>
      <c r="P64">
        <f t="shared" si="5"/>
        <v>6.2984430936911156E-3</v>
      </c>
      <c r="Q64" s="15">
        <f t="shared" si="6"/>
        <v>0</v>
      </c>
    </row>
    <row r="65" spans="1:17" x14ac:dyDescent="0.3">
      <c r="A65" s="14" t="s">
        <v>51</v>
      </c>
      <c r="B65" s="11">
        <v>2.5000000000000001E-3</v>
      </c>
      <c r="E65" s="5" t="str">
        <f t="shared" si="0"/>
        <v>BHIA3</v>
      </c>
      <c r="F65" s="5">
        <f t="shared" si="1"/>
        <v>1.6237500000000002E-3</v>
      </c>
      <c r="J65" t="s">
        <v>58</v>
      </c>
      <c r="K65" s="7">
        <v>8.0000000000000002E-3</v>
      </c>
      <c r="L65" s="3">
        <f t="shared" si="2"/>
        <v>8.0000000000000002E-3</v>
      </c>
      <c r="M65" t="b">
        <f t="shared" si="3"/>
        <v>1</v>
      </c>
      <c r="O65" s="15">
        <f t="shared" si="4"/>
        <v>5.196000000000001E-3</v>
      </c>
      <c r="P65">
        <f t="shared" si="5"/>
        <v>5.196000000000001E-3</v>
      </c>
      <c r="Q65" s="15">
        <f t="shared" si="6"/>
        <v>0</v>
      </c>
    </row>
    <row r="66" spans="1:17" x14ac:dyDescent="0.3">
      <c r="A66" s="14" t="s">
        <v>52</v>
      </c>
      <c r="B66" s="11">
        <v>2.3E-3</v>
      </c>
      <c r="E66" s="5" t="str">
        <f>A66</f>
        <v>AGRO3</v>
      </c>
      <c r="F66" s="5">
        <f>(1-0.35-0.05%)*B66</f>
        <v>1.4938500000000001E-3</v>
      </c>
      <c r="J66" t="s">
        <v>63</v>
      </c>
      <c r="K66" s="7">
        <v>7.4999999999999997E-3</v>
      </c>
      <c r="L66" s="3">
        <f t="shared" si="2"/>
        <v>7.4999999999999997E-3</v>
      </c>
      <c r="M66" t="b">
        <f t="shared" si="3"/>
        <v>1</v>
      </c>
      <c r="O66" s="15">
        <f t="shared" si="4"/>
        <v>4.8712500000000006E-3</v>
      </c>
      <c r="P66">
        <f t="shared" si="5"/>
        <v>4.8712500000000006E-3</v>
      </c>
      <c r="Q66" s="15">
        <f t="shared" si="6"/>
        <v>0</v>
      </c>
    </row>
    <row r="67" spans="1:17" x14ac:dyDescent="0.3">
      <c r="A67" s="14"/>
      <c r="B67" s="11"/>
      <c r="E67" s="12" t="s">
        <v>69</v>
      </c>
      <c r="F67" s="13">
        <v>0.35</v>
      </c>
      <c r="O67" s="15"/>
    </row>
    <row r="68" spans="1:17" x14ac:dyDescent="0.3">
      <c r="A68" s="14"/>
      <c r="B68" s="11"/>
      <c r="E68" s="5" t="s">
        <v>83</v>
      </c>
      <c r="F68" s="5">
        <v>5.0000000000000001E-4</v>
      </c>
      <c r="O68" s="15"/>
    </row>
    <row r="69" spans="1:17" x14ac:dyDescent="0.3">
      <c r="A69" s="14"/>
      <c r="B69" s="11"/>
      <c r="O69" s="15"/>
    </row>
    <row r="70" spans="1:17" x14ac:dyDescent="0.3">
      <c r="A70" s="14"/>
      <c r="B70" s="11"/>
      <c r="E70" s="5"/>
      <c r="F70" s="5"/>
      <c r="O70" s="15"/>
    </row>
    <row r="71" spans="1:17" x14ac:dyDescent="0.3">
      <c r="A71" s="14"/>
      <c r="B71" s="11"/>
      <c r="E71" s="5"/>
      <c r="F71" s="5"/>
      <c r="O71" s="15"/>
    </row>
    <row r="72" spans="1:17" x14ac:dyDescent="0.3">
      <c r="A72" s="14"/>
      <c r="B72" s="11"/>
      <c r="E72" s="5"/>
      <c r="F72" s="5"/>
      <c r="O72" s="15"/>
    </row>
    <row r="73" spans="1:17" x14ac:dyDescent="0.3">
      <c r="A73" s="14"/>
      <c r="B73" s="11"/>
      <c r="E73" s="5"/>
      <c r="F73" s="5"/>
      <c r="O73" s="15"/>
    </row>
    <row r="74" spans="1:17" x14ac:dyDescent="0.3">
      <c r="A74" s="14"/>
      <c r="B74" s="11"/>
      <c r="E74" s="5"/>
      <c r="F74" s="5"/>
      <c r="O74" s="15"/>
    </row>
    <row r="75" spans="1:17" x14ac:dyDescent="0.3">
      <c r="A75" s="14"/>
      <c r="B75" s="11"/>
      <c r="E75" s="5"/>
      <c r="F75" s="5"/>
      <c r="O75" s="15"/>
    </row>
    <row r="76" spans="1:17" x14ac:dyDescent="0.3">
      <c r="A76" s="14"/>
      <c r="B76" s="11"/>
      <c r="E76" s="5"/>
      <c r="F76" s="5"/>
      <c r="O76" s="15"/>
    </row>
    <row r="77" spans="1:17" x14ac:dyDescent="0.3">
      <c r="A77" s="10"/>
      <c r="B77" s="11"/>
      <c r="O77" s="15"/>
    </row>
    <row r="78" spans="1:17" x14ac:dyDescent="0.3">
      <c r="A78" s="10"/>
      <c r="B78" s="11"/>
      <c r="O78" s="15"/>
    </row>
    <row r="79" spans="1:17" x14ac:dyDescent="0.3">
      <c r="A79" s="10"/>
      <c r="B79" s="11"/>
      <c r="C79" s="6"/>
      <c r="O79" s="15"/>
    </row>
    <row r="80" spans="1:17" x14ac:dyDescent="0.3">
      <c r="A80" s="10"/>
      <c r="B80" s="11"/>
      <c r="C80" s="6"/>
      <c r="O80" s="15"/>
    </row>
    <row r="81" spans="1:15" x14ac:dyDescent="0.3">
      <c r="A81" s="10"/>
      <c r="B81" s="11"/>
      <c r="C81" s="6"/>
      <c r="O81" s="15"/>
    </row>
    <row r="82" spans="1:15" x14ac:dyDescent="0.3">
      <c r="A82" s="10"/>
      <c r="B82" s="11"/>
      <c r="C82" s="6"/>
      <c r="O82" s="15"/>
    </row>
    <row r="83" spans="1:15" x14ac:dyDescent="0.3">
      <c r="A83" s="10"/>
      <c r="B83" s="11"/>
      <c r="C83" s="6"/>
      <c r="O83" s="15"/>
    </row>
    <row r="84" spans="1:15" x14ac:dyDescent="0.3">
      <c r="A84" s="10"/>
      <c r="B84" s="11"/>
      <c r="C84" s="6"/>
      <c r="O84" s="15"/>
    </row>
    <row r="85" spans="1:15" x14ac:dyDescent="0.3">
      <c r="A85" s="10"/>
      <c r="B85" s="11"/>
      <c r="C85" s="6"/>
      <c r="O85" s="15"/>
    </row>
    <row r="86" spans="1:15" x14ac:dyDescent="0.3">
      <c r="A86" s="10"/>
      <c r="B86" s="11"/>
      <c r="C86" s="6"/>
      <c r="O86" s="15"/>
    </row>
    <row r="87" spans="1:15" x14ac:dyDescent="0.3">
      <c r="A87" s="10"/>
      <c r="B87" s="11"/>
      <c r="C87" s="6"/>
      <c r="O87" s="15"/>
    </row>
    <row r="88" spans="1:15" x14ac:dyDescent="0.3">
      <c r="A88" s="10"/>
      <c r="B88" s="11"/>
      <c r="C88" s="6"/>
      <c r="O88" s="15"/>
    </row>
    <row r="89" spans="1:15" x14ac:dyDescent="0.3">
      <c r="A89" s="10"/>
      <c r="B89" s="11"/>
      <c r="C89" s="6"/>
      <c r="O89" s="15"/>
    </row>
    <row r="90" spans="1:15" x14ac:dyDescent="0.3">
      <c r="A90" s="10"/>
      <c r="B90" s="11"/>
      <c r="C90" s="6"/>
      <c r="O90" s="15"/>
    </row>
    <row r="91" spans="1:15" x14ac:dyDescent="0.3">
      <c r="A91" s="10"/>
      <c r="B91" s="11"/>
      <c r="C91" s="6"/>
      <c r="O91" s="15"/>
    </row>
    <row r="92" spans="1:15" x14ac:dyDescent="0.3">
      <c r="A92" s="10"/>
      <c r="B92" s="11"/>
      <c r="C92" s="6"/>
      <c r="O92" s="15"/>
    </row>
    <row r="93" spans="1:15" x14ac:dyDescent="0.3">
      <c r="A93" s="10"/>
      <c r="B93" s="11"/>
      <c r="C93" s="6"/>
      <c r="O93" s="15"/>
    </row>
    <row r="94" spans="1:15" x14ac:dyDescent="0.3">
      <c r="A94" s="10"/>
      <c r="B94" s="11"/>
      <c r="C94" s="6"/>
      <c r="O94" s="15"/>
    </row>
    <row r="95" spans="1:15" x14ac:dyDescent="0.3">
      <c r="A95" s="10"/>
      <c r="B95" s="11"/>
      <c r="C95" s="6"/>
      <c r="O95" s="15"/>
    </row>
    <row r="96" spans="1:15" x14ac:dyDescent="0.3">
      <c r="A96" s="10"/>
      <c r="B96" s="11"/>
      <c r="C96" s="6"/>
      <c r="O96" s="15"/>
    </row>
    <row r="97" spans="1:15" x14ac:dyDescent="0.3">
      <c r="A97" s="10"/>
      <c r="B97" s="11"/>
      <c r="C97" s="6"/>
      <c r="O97" s="15"/>
    </row>
    <row r="98" spans="1:15" x14ac:dyDescent="0.3">
      <c r="A98" s="10"/>
      <c r="B98" s="11"/>
      <c r="C98" s="6"/>
      <c r="O98" s="15"/>
    </row>
    <row r="99" spans="1:15" x14ac:dyDescent="0.3">
      <c r="A99" s="10"/>
      <c r="B99" s="11"/>
      <c r="C99" s="6"/>
      <c r="O99" s="15"/>
    </row>
    <row r="100" spans="1:15" x14ac:dyDescent="0.3">
      <c r="A100" s="10"/>
      <c r="B100" s="11"/>
      <c r="C100" s="6"/>
      <c r="O100" s="15"/>
    </row>
    <row r="101" spans="1:15" x14ac:dyDescent="0.3">
      <c r="A101" s="10"/>
      <c r="B101" s="11"/>
      <c r="C101" s="6"/>
      <c r="O101" s="15"/>
    </row>
    <row r="102" spans="1:15" x14ac:dyDescent="0.3">
      <c r="A102" s="10"/>
      <c r="B102" s="11"/>
      <c r="C102" s="6"/>
      <c r="O102" s="15"/>
    </row>
    <row r="103" spans="1:15" x14ac:dyDescent="0.3">
      <c r="A103" s="10"/>
      <c r="B103" s="11"/>
      <c r="C103" s="6"/>
      <c r="O103" s="15"/>
    </row>
    <row r="104" spans="1:15" x14ac:dyDescent="0.3">
      <c r="A104" s="10"/>
      <c r="B104" s="11"/>
      <c r="C104" s="6"/>
      <c r="O104" s="15"/>
    </row>
    <row r="105" spans="1:15" x14ac:dyDescent="0.3">
      <c r="A105" s="10"/>
      <c r="B105" s="11"/>
      <c r="C105" s="6"/>
      <c r="O105" s="15"/>
    </row>
    <row r="106" spans="1:15" x14ac:dyDescent="0.3">
      <c r="A106" s="10"/>
      <c r="B106" s="11"/>
      <c r="C106" s="6"/>
      <c r="O106" s="15"/>
    </row>
    <row r="107" spans="1:15" x14ac:dyDescent="0.3">
      <c r="A107" s="10"/>
      <c r="B107" s="11"/>
      <c r="C107" s="6"/>
      <c r="O107" s="15"/>
    </row>
    <row r="108" spans="1:15" x14ac:dyDescent="0.3">
      <c r="A108" s="10"/>
      <c r="B108" s="11"/>
      <c r="C108" s="6"/>
      <c r="O108" s="15"/>
    </row>
    <row r="109" spans="1:15" x14ac:dyDescent="0.3">
      <c r="A109" s="10"/>
      <c r="B109" s="11"/>
      <c r="C109" s="6"/>
      <c r="O109" s="15"/>
    </row>
    <row r="110" spans="1:15" x14ac:dyDescent="0.3">
      <c r="A110" s="10"/>
      <c r="B110" s="11"/>
      <c r="C110" s="6"/>
      <c r="O110" s="15"/>
    </row>
    <row r="111" spans="1:15" x14ac:dyDescent="0.3">
      <c r="A111" s="10"/>
      <c r="B111" s="11"/>
      <c r="C111" s="6"/>
      <c r="O111" s="15"/>
    </row>
    <row r="112" spans="1:15" x14ac:dyDescent="0.3">
      <c r="A112" s="10"/>
      <c r="B112" s="11"/>
      <c r="C112" s="6"/>
      <c r="O112" s="15"/>
    </row>
    <row r="113" spans="1:15" x14ac:dyDescent="0.3">
      <c r="A113" s="10"/>
      <c r="B113" s="11"/>
      <c r="C113" s="6"/>
      <c r="O113" s="15"/>
    </row>
    <row r="114" spans="1:15" x14ac:dyDescent="0.3">
      <c r="A114" s="10"/>
      <c r="B114" s="11"/>
      <c r="C114" s="6"/>
      <c r="O114" s="15"/>
    </row>
    <row r="115" spans="1:15" x14ac:dyDescent="0.3">
      <c r="A115" s="10"/>
      <c r="B115" s="11"/>
      <c r="C115" s="6"/>
      <c r="O115" s="15"/>
    </row>
    <row r="116" spans="1:15" x14ac:dyDescent="0.3">
      <c r="A116" s="10"/>
      <c r="B116" s="11"/>
      <c r="C116" s="6"/>
      <c r="O116" s="15"/>
    </row>
    <row r="117" spans="1:15" x14ac:dyDescent="0.3">
      <c r="A117" s="10"/>
      <c r="B117" s="11"/>
      <c r="C117" s="6"/>
      <c r="O117" s="15"/>
    </row>
    <row r="118" spans="1:15" x14ac:dyDescent="0.3">
      <c r="A118" s="10"/>
      <c r="B118" s="11"/>
      <c r="C118" s="6"/>
      <c r="O118" s="15"/>
    </row>
    <row r="119" spans="1:15" x14ac:dyDescent="0.3">
      <c r="A119" s="10"/>
      <c r="B119" s="11"/>
      <c r="C119" s="6"/>
      <c r="O119" s="15"/>
    </row>
    <row r="120" spans="1:15" x14ac:dyDescent="0.3">
      <c r="A120" s="10"/>
      <c r="B120" s="11"/>
      <c r="C120" s="6"/>
      <c r="O120" s="15"/>
    </row>
    <row r="121" spans="1:15" x14ac:dyDescent="0.3">
      <c r="A121" s="10"/>
      <c r="B121" s="11"/>
      <c r="C121" s="6"/>
      <c r="O121" s="15"/>
    </row>
    <row r="122" spans="1:15" x14ac:dyDescent="0.3">
      <c r="A122" s="10"/>
      <c r="B122" s="11"/>
      <c r="C122" s="6"/>
      <c r="O122" s="15"/>
    </row>
    <row r="123" spans="1:15" x14ac:dyDescent="0.3">
      <c r="A123" s="10"/>
      <c r="B123" s="11"/>
      <c r="C123" s="6"/>
      <c r="O123" s="15"/>
    </row>
    <row r="124" spans="1:15" x14ac:dyDescent="0.3">
      <c r="A124" s="10"/>
      <c r="B124" s="11"/>
      <c r="C124" s="6"/>
      <c r="O124" s="15"/>
    </row>
    <row r="125" spans="1:15" x14ac:dyDescent="0.3">
      <c r="A125" s="10"/>
      <c r="B125" s="11"/>
      <c r="C125" s="6"/>
      <c r="O125" s="15"/>
    </row>
    <row r="126" spans="1:15" x14ac:dyDescent="0.3">
      <c r="A126" s="10"/>
      <c r="B126" s="11"/>
      <c r="C126" s="6"/>
      <c r="O126" s="15"/>
    </row>
    <row r="127" spans="1:15" x14ac:dyDescent="0.3">
      <c r="A127" s="10"/>
      <c r="B127" s="11"/>
      <c r="C127" s="6"/>
      <c r="O127" s="15"/>
    </row>
    <row r="128" spans="1:15" x14ac:dyDescent="0.3">
      <c r="A128" s="10"/>
      <c r="B128" s="11"/>
      <c r="C128" s="6"/>
      <c r="O128" s="15"/>
    </row>
    <row r="129" spans="1:15" x14ac:dyDescent="0.3">
      <c r="A129" s="10"/>
      <c r="B129" s="11"/>
      <c r="C129" s="6"/>
      <c r="O129" s="15"/>
    </row>
    <row r="130" spans="1:15" x14ac:dyDescent="0.3">
      <c r="A130" s="10"/>
      <c r="B130" s="11"/>
      <c r="C130" s="6"/>
      <c r="O130" s="15"/>
    </row>
    <row r="131" spans="1:15" x14ac:dyDescent="0.3">
      <c r="A131" s="10"/>
      <c r="B131" s="11"/>
      <c r="C131" s="6"/>
      <c r="O131" s="15"/>
    </row>
    <row r="132" spans="1:15" x14ac:dyDescent="0.3">
      <c r="A132" s="10"/>
      <c r="B132" s="11"/>
      <c r="C132" s="6"/>
      <c r="O132" s="15"/>
    </row>
    <row r="133" spans="1:15" x14ac:dyDescent="0.3">
      <c r="A133" s="10"/>
      <c r="B133" s="11"/>
      <c r="C133" s="6"/>
      <c r="O133" s="15"/>
    </row>
    <row r="134" spans="1:15" x14ac:dyDescent="0.3">
      <c r="A134" s="10"/>
      <c r="B134" s="11"/>
      <c r="C134" s="6"/>
      <c r="O134" s="15"/>
    </row>
    <row r="135" spans="1:15" x14ac:dyDescent="0.3">
      <c r="A135" s="10"/>
      <c r="B135" s="11"/>
      <c r="C135" s="6"/>
      <c r="O135" s="15"/>
    </row>
    <row r="136" spans="1:15" x14ac:dyDescent="0.3">
      <c r="A136" s="10"/>
      <c r="B136" s="11"/>
      <c r="C136" s="6"/>
      <c r="O136" s="15"/>
    </row>
    <row r="137" spans="1:15" x14ac:dyDescent="0.3">
      <c r="A137" s="10"/>
      <c r="B137" s="11"/>
      <c r="C137" s="6"/>
      <c r="O137" s="15"/>
    </row>
    <row r="138" spans="1:15" x14ac:dyDescent="0.3">
      <c r="A138" s="10"/>
      <c r="B138" s="11"/>
      <c r="C138" s="6"/>
      <c r="O138" s="15"/>
    </row>
    <row r="139" spans="1:15" x14ac:dyDescent="0.3">
      <c r="A139" s="10"/>
      <c r="B139" s="11"/>
      <c r="C139" s="6"/>
      <c r="O139" s="15"/>
    </row>
    <row r="140" spans="1:15" x14ac:dyDescent="0.3">
      <c r="A140" s="10"/>
      <c r="B140" s="11"/>
      <c r="C140" s="6"/>
      <c r="O140" s="15"/>
    </row>
    <row r="141" spans="1:15" x14ac:dyDescent="0.3">
      <c r="A141" s="10"/>
      <c r="B141" s="11"/>
      <c r="C141" s="6"/>
      <c r="O141" s="15"/>
    </row>
    <row r="142" spans="1:15" x14ac:dyDescent="0.3">
      <c r="A142" s="10"/>
      <c r="B142" s="11"/>
      <c r="C142" s="6"/>
      <c r="O142" s="15"/>
    </row>
    <row r="143" spans="1:15" x14ac:dyDescent="0.3">
      <c r="A143" s="10"/>
      <c r="B143" s="11"/>
      <c r="C143" s="6"/>
      <c r="O143" s="15"/>
    </row>
    <row r="144" spans="1:15" x14ac:dyDescent="0.3">
      <c r="A144" s="10"/>
      <c r="B144" s="11"/>
      <c r="C144" s="6"/>
      <c r="O144" s="15"/>
    </row>
    <row r="145" spans="1:15" x14ac:dyDescent="0.3">
      <c r="A145" s="10"/>
      <c r="B145" s="11"/>
      <c r="C145" s="6"/>
      <c r="O145" s="15"/>
    </row>
    <row r="146" spans="1:15" x14ac:dyDescent="0.3">
      <c r="A146" s="10"/>
      <c r="B146" s="11"/>
      <c r="C146" s="6"/>
      <c r="O146" s="15"/>
    </row>
    <row r="147" spans="1:15" x14ac:dyDescent="0.3">
      <c r="A147" s="10"/>
      <c r="B147" s="11"/>
      <c r="C147" s="6"/>
      <c r="O147" s="15"/>
    </row>
    <row r="148" spans="1:15" x14ac:dyDescent="0.3">
      <c r="A148" s="10"/>
      <c r="B148" s="11"/>
      <c r="C148" s="6"/>
      <c r="O148" s="15"/>
    </row>
    <row r="149" spans="1:15" x14ac:dyDescent="0.3">
      <c r="A149" s="10"/>
      <c r="B149" s="11"/>
      <c r="C149" s="6"/>
      <c r="O149" s="15"/>
    </row>
    <row r="150" spans="1:15" x14ac:dyDescent="0.3">
      <c r="A150" s="10"/>
      <c r="B150" s="11"/>
      <c r="C150" s="6"/>
      <c r="O150" s="15"/>
    </row>
    <row r="151" spans="1:15" x14ac:dyDescent="0.3">
      <c r="A151" s="10"/>
      <c r="B151" s="11"/>
      <c r="C151" s="6"/>
      <c r="O151" s="15"/>
    </row>
    <row r="152" spans="1:15" x14ac:dyDescent="0.3">
      <c r="A152" s="10"/>
      <c r="B152" s="11"/>
      <c r="C152" s="6"/>
      <c r="O152" s="15"/>
    </row>
    <row r="153" spans="1:15" x14ac:dyDescent="0.3">
      <c r="A153" s="10"/>
      <c r="B153" s="11"/>
      <c r="C153" s="6"/>
      <c r="O153" s="15"/>
    </row>
    <row r="154" spans="1:15" x14ac:dyDescent="0.3">
      <c r="A154" s="10"/>
      <c r="B154" s="11"/>
      <c r="C154" s="6"/>
      <c r="O154" s="15"/>
    </row>
    <row r="155" spans="1:15" x14ac:dyDescent="0.3">
      <c r="A155" s="10"/>
      <c r="B155" s="11"/>
      <c r="C155" s="6"/>
      <c r="O155" s="15"/>
    </row>
    <row r="156" spans="1:15" x14ac:dyDescent="0.3">
      <c r="A156" s="10"/>
      <c r="B156" s="11"/>
      <c r="C156" s="6"/>
      <c r="O156" s="15"/>
    </row>
    <row r="157" spans="1:15" x14ac:dyDescent="0.3">
      <c r="A157" s="10"/>
      <c r="B157" s="11"/>
      <c r="C157" s="6"/>
      <c r="O157" s="15"/>
    </row>
    <row r="158" spans="1:15" x14ac:dyDescent="0.3">
      <c r="A158" s="10"/>
      <c r="B158" s="11"/>
      <c r="C158" s="6"/>
      <c r="O158" s="15"/>
    </row>
    <row r="159" spans="1:15" x14ac:dyDescent="0.3">
      <c r="A159" s="10"/>
      <c r="B159" s="11"/>
      <c r="C159" s="6"/>
      <c r="O159" s="15"/>
    </row>
    <row r="160" spans="1:15" x14ac:dyDescent="0.3">
      <c r="A160" s="10"/>
      <c r="B160" s="11"/>
      <c r="C160" s="6"/>
      <c r="O160" s="15"/>
    </row>
    <row r="161" spans="1:15" x14ac:dyDescent="0.3">
      <c r="A161" s="10"/>
      <c r="B161" s="11"/>
      <c r="C161" s="6"/>
      <c r="O161" s="15"/>
    </row>
    <row r="162" spans="1:15" x14ac:dyDescent="0.3">
      <c r="A162" s="10"/>
      <c r="B162" s="11"/>
      <c r="C162" s="6"/>
      <c r="O162" s="15"/>
    </row>
    <row r="163" spans="1:15" x14ac:dyDescent="0.3">
      <c r="A163" s="10"/>
      <c r="B163" s="11"/>
      <c r="C163" s="6"/>
      <c r="O163" s="15"/>
    </row>
    <row r="164" spans="1:15" x14ac:dyDescent="0.3">
      <c r="A164" s="10"/>
      <c r="B164" s="11"/>
      <c r="C164" s="6"/>
      <c r="O164" s="15"/>
    </row>
    <row r="165" spans="1:15" x14ac:dyDescent="0.3">
      <c r="A165" s="10"/>
      <c r="B165" s="11"/>
      <c r="C165" s="6"/>
      <c r="O165" s="15"/>
    </row>
    <row r="166" spans="1:15" x14ac:dyDescent="0.3">
      <c r="A166" s="10"/>
      <c r="B166" s="11"/>
      <c r="C166" s="6"/>
      <c r="O166" s="15"/>
    </row>
    <row r="167" spans="1:15" x14ac:dyDescent="0.3">
      <c r="A167" s="10"/>
      <c r="B167" s="11"/>
      <c r="C167" s="6"/>
      <c r="O167" s="15"/>
    </row>
    <row r="168" spans="1:15" x14ac:dyDescent="0.3">
      <c r="A168" s="10"/>
      <c r="B168" s="11"/>
      <c r="C168" s="6"/>
      <c r="O168" s="15"/>
    </row>
    <row r="169" spans="1:15" x14ac:dyDescent="0.3">
      <c r="A169" s="10"/>
      <c r="B169" s="11"/>
      <c r="C169" s="6"/>
      <c r="O169" s="15"/>
    </row>
    <row r="170" spans="1:15" x14ac:dyDescent="0.3">
      <c r="A170" s="10"/>
      <c r="B170" s="11"/>
      <c r="C170" s="6"/>
      <c r="O170" s="15"/>
    </row>
    <row r="171" spans="1:15" x14ac:dyDescent="0.3">
      <c r="A171" s="10"/>
      <c r="B171" s="11"/>
      <c r="C171" s="6"/>
      <c r="O171" s="15"/>
    </row>
    <row r="172" spans="1:15" x14ac:dyDescent="0.3">
      <c r="A172" s="10"/>
      <c r="B172" s="11"/>
      <c r="C172" s="6"/>
      <c r="O172" s="15"/>
    </row>
    <row r="173" spans="1:15" x14ac:dyDescent="0.3">
      <c r="A173" s="10"/>
      <c r="B173" s="11"/>
      <c r="C173" s="6"/>
      <c r="O173" s="15"/>
    </row>
    <row r="174" spans="1:15" x14ac:dyDescent="0.3">
      <c r="A174" s="10"/>
      <c r="B174" s="11"/>
      <c r="C174" s="6"/>
      <c r="O174" s="15"/>
    </row>
    <row r="175" spans="1:15" x14ac:dyDescent="0.3">
      <c r="A175" s="10"/>
      <c r="B175" s="11"/>
      <c r="C175" s="6"/>
      <c r="O175" s="15"/>
    </row>
    <row r="176" spans="1:15" x14ac:dyDescent="0.3">
      <c r="A176" s="10"/>
      <c r="B176" s="11"/>
      <c r="C176" s="6"/>
      <c r="O176" s="15"/>
    </row>
    <row r="177" spans="1:15" x14ac:dyDescent="0.3">
      <c r="A177" s="10"/>
      <c r="B177" s="11"/>
      <c r="C177" s="6"/>
      <c r="O177" s="15"/>
    </row>
    <row r="178" spans="1:15" x14ac:dyDescent="0.3">
      <c r="A178" s="10"/>
      <c r="B178" s="11"/>
      <c r="C178" s="6"/>
      <c r="O178" s="15"/>
    </row>
    <row r="179" spans="1:15" x14ac:dyDescent="0.3">
      <c r="A179" s="10"/>
      <c r="B179" s="11"/>
      <c r="C179" s="6"/>
      <c r="O179" s="15"/>
    </row>
    <row r="180" spans="1:15" x14ac:dyDescent="0.3">
      <c r="A180" s="10"/>
      <c r="B180" s="11"/>
      <c r="C180" s="6"/>
      <c r="O180" s="15"/>
    </row>
    <row r="181" spans="1:15" x14ac:dyDescent="0.3">
      <c r="A181" s="10"/>
      <c r="B181" s="11"/>
      <c r="C181" s="6"/>
      <c r="O181" s="15"/>
    </row>
    <row r="182" spans="1:15" x14ac:dyDescent="0.3">
      <c r="A182" s="10"/>
      <c r="B182" s="11"/>
      <c r="C182" s="6"/>
      <c r="O182" s="15"/>
    </row>
    <row r="183" spans="1:15" x14ac:dyDescent="0.3">
      <c r="A183" s="10"/>
      <c r="B183" s="11"/>
      <c r="C183" s="6"/>
      <c r="O183" s="15"/>
    </row>
    <row r="184" spans="1:15" x14ac:dyDescent="0.3">
      <c r="A184" s="10"/>
      <c r="B184" s="11"/>
      <c r="C184" s="6"/>
      <c r="O184" s="15"/>
    </row>
    <row r="185" spans="1:15" x14ac:dyDescent="0.3">
      <c r="A185" s="10"/>
      <c r="B185" s="11"/>
      <c r="C185" s="6"/>
      <c r="O185" s="15"/>
    </row>
    <row r="186" spans="1:15" x14ac:dyDescent="0.3">
      <c r="A186" s="10"/>
      <c r="B186" s="11"/>
      <c r="C186" s="6"/>
      <c r="O186" s="15"/>
    </row>
    <row r="187" spans="1:15" x14ac:dyDescent="0.3">
      <c r="A187" s="10"/>
      <c r="B187" s="11"/>
      <c r="C187" s="6"/>
      <c r="O187" s="15"/>
    </row>
    <row r="188" spans="1:15" x14ac:dyDescent="0.3">
      <c r="A188" s="10"/>
      <c r="B188" s="11"/>
      <c r="C188" s="6"/>
      <c r="O188" s="15"/>
    </row>
    <row r="189" spans="1:15" x14ac:dyDescent="0.3">
      <c r="A189" s="10"/>
      <c r="B189" s="11"/>
      <c r="C189" s="6"/>
      <c r="O189" s="15"/>
    </row>
    <row r="190" spans="1:15" x14ac:dyDescent="0.3">
      <c r="A190" s="10"/>
      <c r="B190" s="11"/>
      <c r="C190" s="6"/>
      <c r="O190" s="15"/>
    </row>
    <row r="191" spans="1:15" x14ac:dyDescent="0.3">
      <c r="A191" s="10"/>
      <c r="B191" s="11"/>
      <c r="C191" s="6"/>
      <c r="O191" s="15"/>
    </row>
    <row r="192" spans="1:15" x14ac:dyDescent="0.3">
      <c r="A192" s="10"/>
      <c r="B192" s="11"/>
      <c r="C192" s="6"/>
      <c r="O192" s="15"/>
    </row>
    <row r="193" spans="1:15" x14ac:dyDescent="0.3">
      <c r="A193" s="10"/>
      <c r="B193" s="11"/>
      <c r="C193" s="6"/>
      <c r="O193" s="15"/>
    </row>
    <row r="194" spans="1:15" x14ac:dyDescent="0.3">
      <c r="A194" s="10"/>
      <c r="B194" s="11"/>
      <c r="C194" s="6"/>
      <c r="O194" s="15"/>
    </row>
    <row r="195" spans="1:15" x14ac:dyDescent="0.3">
      <c r="A195" s="10"/>
      <c r="B195" s="11"/>
      <c r="C195" s="6"/>
    </row>
    <row r="196" spans="1:15" x14ac:dyDescent="0.3">
      <c r="A196" s="10"/>
      <c r="B196" s="11"/>
      <c r="C196" s="6"/>
    </row>
    <row r="197" spans="1:15" x14ac:dyDescent="0.3">
      <c r="A197" s="10"/>
      <c r="B197" s="11"/>
      <c r="C197" s="6"/>
    </row>
    <row r="198" spans="1:15" x14ac:dyDescent="0.3">
      <c r="A198" s="10"/>
      <c r="B198" s="11"/>
      <c r="C198" s="6"/>
    </row>
    <row r="199" spans="1:15" x14ac:dyDescent="0.3">
      <c r="A199" s="10"/>
      <c r="B199" s="11"/>
      <c r="C199" s="6"/>
    </row>
    <row r="200" spans="1:15" x14ac:dyDescent="0.3">
      <c r="A200" s="10"/>
      <c r="B200" s="11"/>
      <c r="C200" s="6"/>
    </row>
    <row r="201" spans="1:15" x14ac:dyDescent="0.3">
      <c r="A201" s="10"/>
      <c r="B201" s="11"/>
      <c r="C201" s="6"/>
    </row>
    <row r="202" spans="1:15" x14ac:dyDescent="0.3">
      <c r="A202" s="10"/>
      <c r="B202" s="11"/>
      <c r="C202" s="6"/>
    </row>
    <row r="203" spans="1:15" x14ac:dyDescent="0.3">
      <c r="A203" s="10"/>
      <c r="B203" s="11"/>
      <c r="C203" s="6"/>
    </row>
    <row r="204" spans="1:15" x14ac:dyDescent="0.3">
      <c r="A204" s="10"/>
      <c r="B204" s="11"/>
      <c r="C204" s="6"/>
    </row>
    <row r="205" spans="1:15" x14ac:dyDescent="0.3">
      <c r="A205" s="10"/>
      <c r="B205" s="11"/>
      <c r="C205" s="6"/>
    </row>
    <row r="206" spans="1:15" x14ac:dyDescent="0.3">
      <c r="A206" s="10"/>
      <c r="B206" s="11"/>
      <c r="C206" s="6"/>
    </row>
    <row r="207" spans="1:15" x14ac:dyDescent="0.3">
      <c r="A207" s="10"/>
      <c r="B207" s="11"/>
      <c r="C207" s="6"/>
    </row>
    <row r="208" spans="1:15" x14ac:dyDescent="0.3">
      <c r="A208" s="10"/>
      <c r="B208" s="11"/>
      <c r="C208" s="6"/>
    </row>
    <row r="209" spans="1:3" x14ac:dyDescent="0.3">
      <c r="A209" s="10"/>
      <c r="B209" s="11"/>
      <c r="C209" s="6"/>
    </row>
    <row r="210" spans="1:3" x14ac:dyDescent="0.3">
      <c r="A210" s="10"/>
      <c r="B210" s="11"/>
      <c r="C210" s="6"/>
    </row>
    <row r="211" spans="1:3" x14ac:dyDescent="0.3">
      <c r="A211" s="10"/>
      <c r="B211" s="11"/>
      <c r="C211" s="6"/>
    </row>
    <row r="212" spans="1:3" x14ac:dyDescent="0.3">
      <c r="A212" s="10"/>
      <c r="B212" s="11"/>
      <c r="C212" s="6"/>
    </row>
    <row r="213" spans="1:3" x14ac:dyDescent="0.3">
      <c r="A213" s="10"/>
      <c r="B213" s="11"/>
      <c r="C213" s="6"/>
    </row>
    <row r="214" spans="1:3" x14ac:dyDescent="0.3">
      <c r="A214" s="10"/>
      <c r="B214" s="11"/>
      <c r="C214" s="6"/>
    </row>
    <row r="215" spans="1:3" x14ac:dyDescent="0.3">
      <c r="A215" s="10"/>
      <c r="B215" s="11"/>
      <c r="C215" s="6"/>
    </row>
    <row r="216" spans="1:3" x14ac:dyDescent="0.3">
      <c r="A216" s="10"/>
      <c r="B216" s="11"/>
      <c r="C216" s="6"/>
    </row>
    <row r="217" spans="1:3" x14ac:dyDescent="0.3">
      <c r="A217" s="10"/>
      <c r="B217" s="11"/>
      <c r="C217" s="6"/>
    </row>
    <row r="218" spans="1:3" x14ac:dyDescent="0.3">
      <c r="A218" s="10"/>
      <c r="B218" s="11"/>
      <c r="C218" s="6"/>
    </row>
    <row r="219" spans="1:3" x14ac:dyDescent="0.3">
      <c r="A219" s="10"/>
      <c r="B219" s="11"/>
      <c r="C219" s="6"/>
    </row>
    <row r="220" spans="1:3" x14ac:dyDescent="0.3">
      <c r="A220" s="10"/>
      <c r="B220" s="11"/>
      <c r="C220" s="6"/>
    </row>
    <row r="221" spans="1:3" x14ac:dyDescent="0.3">
      <c r="A221" s="10"/>
      <c r="B221" s="11"/>
      <c r="C221" s="6"/>
    </row>
    <row r="222" spans="1:3" x14ac:dyDescent="0.3">
      <c r="A222" s="10"/>
      <c r="B222" s="11"/>
      <c r="C222" s="6"/>
    </row>
    <row r="223" spans="1:3" x14ac:dyDescent="0.3">
      <c r="A223" s="10"/>
      <c r="B223" s="11"/>
      <c r="C223" s="6"/>
    </row>
    <row r="224" spans="1:3" x14ac:dyDescent="0.3">
      <c r="A224" s="10"/>
      <c r="B224" s="11"/>
      <c r="C224" s="6"/>
    </row>
    <row r="225" spans="1:3" x14ac:dyDescent="0.3">
      <c r="A225" s="10"/>
      <c r="B225" s="11"/>
      <c r="C225" s="6"/>
    </row>
    <row r="226" spans="1:3" x14ac:dyDescent="0.3">
      <c r="A226" s="10"/>
      <c r="B226" s="11"/>
      <c r="C226" s="6"/>
    </row>
    <row r="227" spans="1:3" x14ac:dyDescent="0.3">
      <c r="A227" s="10"/>
      <c r="B227" s="11"/>
      <c r="C227" s="6"/>
    </row>
    <row r="228" spans="1:3" x14ac:dyDescent="0.3">
      <c r="A228" s="10"/>
      <c r="B228" s="11"/>
      <c r="C228" s="6"/>
    </row>
    <row r="229" spans="1:3" x14ac:dyDescent="0.3">
      <c r="A229" s="10"/>
      <c r="B229" s="11"/>
      <c r="C229" s="6"/>
    </row>
    <row r="230" spans="1:3" x14ac:dyDescent="0.3">
      <c r="A230" s="10"/>
      <c r="B230" s="11"/>
      <c r="C230" s="6"/>
    </row>
    <row r="231" spans="1:3" x14ac:dyDescent="0.3">
      <c r="A231" s="10"/>
      <c r="B231" s="11"/>
      <c r="C231" s="6"/>
    </row>
    <row r="232" spans="1:3" x14ac:dyDescent="0.3">
      <c r="A232" s="10"/>
      <c r="B232" s="11"/>
      <c r="C232" s="6"/>
    </row>
    <row r="233" spans="1:3" x14ac:dyDescent="0.3">
      <c r="A233" s="10"/>
      <c r="B233" s="11"/>
      <c r="C233" s="6"/>
    </row>
    <row r="234" spans="1:3" x14ac:dyDescent="0.3">
      <c r="A234" s="10"/>
      <c r="B234" s="11"/>
      <c r="C234" s="6"/>
    </row>
    <row r="235" spans="1:3" x14ac:dyDescent="0.3">
      <c r="A235" s="10"/>
      <c r="B235" s="11"/>
      <c r="C235" s="6"/>
    </row>
    <row r="236" spans="1:3" x14ac:dyDescent="0.3">
      <c r="A236" s="10"/>
      <c r="B236" s="11"/>
      <c r="C236" s="6"/>
    </row>
    <row r="237" spans="1:3" x14ac:dyDescent="0.3">
      <c r="A237" s="10"/>
      <c r="B237" s="11"/>
      <c r="C237" s="6"/>
    </row>
    <row r="238" spans="1:3" x14ac:dyDescent="0.3">
      <c r="A238" s="10"/>
      <c r="B238" s="11"/>
      <c r="C238" s="6"/>
    </row>
    <row r="239" spans="1:3" x14ac:dyDescent="0.3">
      <c r="A239" s="10"/>
      <c r="B239" s="11"/>
      <c r="C239" s="6"/>
    </row>
    <row r="240" spans="1:3" x14ac:dyDescent="0.3">
      <c r="A240" s="10"/>
      <c r="B240" s="11"/>
      <c r="C240" s="6"/>
    </row>
    <row r="241" spans="1:3" x14ac:dyDescent="0.3">
      <c r="A241" s="10"/>
      <c r="B241" s="11"/>
      <c r="C241" s="6"/>
    </row>
    <row r="242" spans="1:3" x14ac:dyDescent="0.3">
      <c r="A242" s="10"/>
      <c r="B242" s="11"/>
      <c r="C242" s="6"/>
    </row>
    <row r="243" spans="1:3" x14ac:dyDescent="0.3">
      <c r="A243" s="10"/>
      <c r="B243" s="11"/>
      <c r="C243" s="6"/>
    </row>
    <row r="244" spans="1:3" x14ac:dyDescent="0.3">
      <c r="A244" s="10"/>
      <c r="B244" s="11"/>
      <c r="C244" s="6"/>
    </row>
    <row r="245" spans="1:3" x14ac:dyDescent="0.3">
      <c r="A245" s="10"/>
      <c r="B245" s="11"/>
      <c r="C245" s="6"/>
    </row>
    <row r="246" spans="1:3" x14ac:dyDescent="0.3">
      <c r="A246" s="10"/>
      <c r="B246" s="11"/>
      <c r="C246" s="6"/>
    </row>
    <row r="247" spans="1:3" x14ac:dyDescent="0.3">
      <c r="A247" s="10"/>
      <c r="B247" s="11"/>
      <c r="C247" s="6"/>
    </row>
    <row r="248" spans="1:3" x14ac:dyDescent="0.3">
      <c r="A248" s="10"/>
      <c r="B248" s="11"/>
      <c r="C248" s="6"/>
    </row>
    <row r="249" spans="1:3" x14ac:dyDescent="0.3">
      <c r="A249" s="10"/>
      <c r="B249" s="11"/>
      <c r="C249" s="6"/>
    </row>
    <row r="250" spans="1:3" x14ac:dyDescent="0.3">
      <c r="A250" s="10"/>
      <c r="B250" s="11"/>
      <c r="C250" s="6"/>
    </row>
    <row r="251" spans="1:3" x14ac:dyDescent="0.3">
      <c r="A251" s="10"/>
      <c r="B251" s="11"/>
      <c r="C251" s="6"/>
    </row>
    <row r="252" spans="1:3" x14ac:dyDescent="0.3">
      <c r="A252" s="10"/>
      <c r="B252" s="11"/>
      <c r="C252" s="6"/>
    </row>
    <row r="253" spans="1:3" x14ac:dyDescent="0.3">
      <c r="A253" s="10"/>
      <c r="B253" s="11"/>
      <c r="C253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7B2C-0F68-46B5-A5A5-362C7C6EC62E}">
  <sheetPr codeName="Planilha4"/>
  <dimension ref="A1:I253"/>
  <sheetViews>
    <sheetView zoomScaleNormal="100" workbookViewId="0">
      <selection activeCell="J8" sqref="J8"/>
    </sheetView>
  </sheetViews>
  <sheetFormatPr defaultRowHeight="14.4" x14ac:dyDescent="0.3"/>
  <cols>
    <col min="1" max="1" width="19.88671875" customWidth="1"/>
    <col min="2" max="2" width="19.6640625" style="4" bestFit="1" customWidth="1"/>
    <col min="5" max="6" width="9.109375" style="8"/>
    <col min="9" max="9" width="12.109375" bestFit="1" customWidth="1"/>
  </cols>
  <sheetData>
    <row r="1" spans="1:9" ht="15" thickBot="1" x14ac:dyDescent="0.35">
      <c r="A1" s="1" t="s">
        <v>0</v>
      </c>
      <c r="B1" s="2" t="s">
        <v>77</v>
      </c>
      <c r="C1" s="6">
        <f>SUM(B2:B74)</f>
        <v>1.0000312725314968</v>
      </c>
      <c r="E1" s="8" t="s">
        <v>0</v>
      </c>
      <c r="F1" s="8" t="s">
        <v>78</v>
      </c>
      <c r="G1" s="5">
        <v>0.99997096781222472</v>
      </c>
    </row>
    <row r="2" spans="1:9" x14ac:dyDescent="0.3">
      <c r="A2" s="14" t="s">
        <v>4</v>
      </c>
      <c r="B2" s="11">
        <v>6.4000000000000001E-2</v>
      </c>
      <c r="E2" s="8" t="str">
        <f>A2</f>
        <v>BBAS3</v>
      </c>
      <c r="F2" s="5">
        <f>(1-0.35-0.05%)*B2</f>
        <v>4.1568000000000008E-2</v>
      </c>
      <c r="H2">
        <f>VLOOKUP(E2,'pesos vgbl30'!$E$2:$F$68,2,0)</f>
        <v>4.1568000000000008E-2</v>
      </c>
      <c r="I2" t="b">
        <f>H2=F2</f>
        <v>1</v>
      </c>
    </row>
    <row r="3" spans="1:9" x14ac:dyDescent="0.3">
      <c r="A3" s="14" t="s">
        <v>2</v>
      </c>
      <c r="B3" s="11">
        <v>5.6000000000000001E-2</v>
      </c>
      <c r="E3" s="8" t="str">
        <f t="shared" ref="E3:E66" si="0">A3</f>
        <v>VALE3</v>
      </c>
      <c r="F3" s="5">
        <f t="shared" ref="F3:F66" si="1">(1-0.35-0.05%)*B3</f>
        <v>3.6372000000000008E-2</v>
      </c>
      <c r="H3">
        <f>VLOOKUP(E3,'pesos vgbl30'!$E$2:$F$68,2,0)</f>
        <v>3.6372000000000008E-2</v>
      </c>
      <c r="I3" t="b">
        <f t="shared" ref="I3:I66" si="2">H3=F3</f>
        <v>1</v>
      </c>
    </row>
    <row r="4" spans="1:9" x14ac:dyDescent="0.3">
      <c r="A4" s="14" t="s">
        <v>3</v>
      </c>
      <c r="B4" s="11">
        <v>5.2865620487824588E-2</v>
      </c>
      <c r="E4" s="8" t="str">
        <f t="shared" si="0"/>
        <v>PETR4</v>
      </c>
      <c r="F4" s="5">
        <f t="shared" si="1"/>
        <v>3.4336220506842076E-2</v>
      </c>
      <c r="H4">
        <f>VLOOKUP(E4,'pesos vgbl30'!$E$2:$F$68,2,0)</f>
        <v>3.4336220506842076E-2</v>
      </c>
      <c r="I4" t="b">
        <f t="shared" si="2"/>
        <v>1</v>
      </c>
    </row>
    <row r="5" spans="1:9" x14ac:dyDescent="0.3">
      <c r="A5" s="14" t="s">
        <v>5</v>
      </c>
      <c r="B5" s="11">
        <v>5.1033345696100636E-2</v>
      </c>
      <c r="E5" s="8" t="str">
        <f t="shared" si="0"/>
        <v>PETR3</v>
      </c>
      <c r="F5" s="5">
        <f t="shared" si="1"/>
        <v>3.3146158029617366E-2</v>
      </c>
      <c r="H5">
        <f>VLOOKUP(E5,'pesos vgbl30'!$E$2:$F$68,2,0)</f>
        <v>3.3146158029617366E-2</v>
      </c>
      <c r="I5" t="b">
        <f t="shared" si="2"/>
        <v>1</v>
      </c>
    </row>
    <row r="6" spans="1:9" x14ac:dyDescent="0.3">
      <c r="A6" s="14" t="s">
        <v>72</v>
      </c>
      <c r="B6" s="11">
        <v>0.04</v>
      </c>
      <c r="E6" s="8" t="str">
        <f t="shared" si="0"/>
        <v>ITUB4</v>
      </c>
      <c r="F6" s="5">
        <f t="shared" si="1"/>
        <v>2.5980000000000003E-2</v>
      </c>
      <c r="H6">
        <f>VLOOKUP(E6,'pesos vgbl30'!$E$2:$F$68,2,0)</f>
        <v>2.5980000000000003E-2</v>
      </c>
      <c r="I6" t="b">
        <f t="shared" si="2"/>
        <v>1</v>
      </c>
    </row>
    <row r="7" spans="1:9" x14ac:dyDescent="0.3">
      <c r="A7" s="14" t="s">
        <v>6</v>
      </c>
      <c r="B7" s="11">
        <v>3.2127479788210289E-2</v>
      </c>
      <c r="E7" s="8" t="str">
        <f t="shared" si="0"/>
        <v>JBSS3</v>
      </c>
      <c r="F7" s="5">
        <f t="shared" si="1"/>
        <v>2.0866798122442586E-2</v>
      </c>
      <c r="H7">
        <f>VLOOKUP(E7,'pesos vgbl30'!$E$2:$F$68,2,0)</f>
        <v>2.0866798122442586E-2</v>
      </c>
      <c r="I7" t="b">
        <f t="shared" si="2"/>
        <v>1</v>
      </c>
    </row>
    <row r="8" spans="1:9" x14ac:dyDescent="0.3">
      <c r="A8" s="14" t="s">
        <v>8</v>
      </c>
      <c r="B8" s="11">
        <v>2.9499999999999998E-2</v>
      </c>
      <c r="E8" s="8" t="str">
        <f t="shared" si="0"/>
        <v>BBSE3</v>
      </c>
      <c r="F8" s="5">
        <f t="shared" si="1"/>
        <v>1.916025E-2</v>
      </c>
      <c r="H8">
        <f>VLOOKUP(E8,'pesos vgbl30'!$E$2:$F$68,2,0)</f>
        <v>1.916025E-2</v>
      </c>
      <c r="I8" t="b">
        <f t="shared" si="2"/>
        <v>1</v>
      </c>
    </row>
    <row r="9" spans="1:9" x14ac:dyDescent="0.3">
      <c r="A9" s="14" t="s">
        <v>9</v>
      </c>
      <c r="B9" s="11">
        <v>2.3426589738220888E-2</v>
      </c>
      <c r="E9" s="8" t="str">
        <f t="shared" si="0"/>
        <v>ELET3</v>
      </c>
      <c r="F9" s="5">
        <f t="shared" si="1"/>
        <v>1.5215570034974469E-2</v>
      </c>
      <c r="H9">
        <f>VLOOKUP(E9,'pesos vgbl30'!$E$2:$F$68,2,0)</f>
        <v>1.5215570034974469E-2</v>
      </c>
      <c r="I9" t="b">
        <f t="shared" si="2"/>
        <v>1</v>
      </c>
    </row>
    <row r="10" spans="1:9" x14ac:dyDescent="0.3">
      <c r="A10" s="14" t="s">
        <v>10</v>
      </c>
      <c r="B10" s="11">
        <v>2.115970063067214E-2</v>
      </c>
      <c r="E10" s="8" t="str">
        <f t="shared" si="0"/>
        <v>SBSP3</v>
      </c>
      <c r="F10" s="5">
        <f t="shared" si="1"/>
        <v>1.3743225559621557E-2</v>
      </c>
      <c r="H10">
        <f>VLOOKUP(E10,'pesos vgbl30'!$E$2:$F$68,2,0)</f>
        <v>1.3743225559621557E-2</v>
      </c>
      <c r="I10" t="b">
        <f t="shared" si="2"/>
        <v>1</v>
      </c>
    </row>
    <row r="11" spans="1:9" x14ac:dyDescent="0.3">
      <c r="A11" s="14" t="s">
        <v>15</v>
      </c>
      <c r="B11" s="11">
        <v>2.0952559686780038E-2</v>
      </c>
      <c r="E11" s="8" t="str">
        <f t="shared" si="0"/>
        <v>CMIN3</v>
      </c>
      <c r="F11" s="5">
        <f t="shared" si="1"/>
        <v>1.3608687516563637E-2</v>
      </c>
      <c r="H11">
        <f>VLOOKUP(E11,'pesos vgbl30'!$E$2:$F$68,2,0)</f>
        <v>1.3608687516563637E-2</v>
      </c>
      <c r="I11" t="b">
        <f t="shared" si="2"/>
        <v>1</v>
      </c>
    </row>
    <row r="12" spans="1:9" x14ac:dyDescent="0.3">
      <c r="A12" s="14" t="s">
        <v>7</v>
      </c>
      <c r="B12" s="11">
        <v>2.0931286454782608E-2</v>
      </c>
      <c r="E12" s="8" t="str">
        <f t="shared" si="0"/>
        <v>BBDC4</v>
      </c>
      <c r="F12" s="5">
        <f t="shared" si="1"/>
        <v>1.3594870552381306E-2</v>
      </c>
      <c r="H12">
        <f>VLOOKUP(E12,'pesos vgbl30'!$E$2:$F$68,2,0)</f>
        <v>1.3594870552381306E-2</v>
      </c>
      <c r="I12" t="b">
        <f t="shared" si="2"/>
        <v>1</v>
      </c>
    </row>
    <row r="13" spans="1:9" x14ac:dyDescent="0.3">
      <c r="A13" s="14" t="s">
        <v>19</v>
      </c>
      <c r="B13" s="11">
        <v>2.0545216231094544E-2</v>
      </c>
      <c r="E13" s="8" t="str">
        <f t="shared" si="0"/>
        <v>MRFG3</v>
      </c>
      <c r="F13" s="5">
        <f t="shared" si="1"/>
        <v>1.3344117942095907E-2</v>
      </c>
      <c r="H13">
        <f>VLOOKUP(E13,'pesos vgbl30'!$E$2:$F$68,2,0)</f>
        <v>1.3344117942095907E-2</v>
      </c>
      <c r="I13" t="b">
        <f t="shared" si="2"/>
        <v>1</v>
      </c>
    </row>
    <row r="14" spans="1:9" x14ac:dyDescent="0.3">
      <c r="A14" s="14" t="s">
        <v>12</v>
      </c>
      <c r="B14" s="11">
        <v>1.9598791303445127E-2</v>
      </c>
      <c r="E14" s="8" t="str">
        <f t="shared" si="0"/>
        <v>BBDC3</v>
      </c>
      <c r="F14" s="5">
        <f t="shared" si="1"/>
        <v>1.2729414951587612E-2</v>
      </c>
      <c r="H14">
        <f>VLOOKUP(E14,'pesos vgbl30'!$E$2:$F$68,2,0)</f>
        <v>1.2729414951587612E-2</v>
      </c>
      <c r="I14" t="b">
        <f t="shared" si="2"/>
        <v>1</v>
      </c>
    </row>
    <row r="15" spans="1:9" x14ac:dyDescent="0.3">
      <c r="A15" s="14" t="s">
        <v>16</v>
      </c>
      <c r="B15" s="11">
        <v>1.7999999999999999E-2</v>
      </c>
      <c r="E15" s="8" t="str">
        <f t="shared" si="0"/>
        <v>POMO4</v>
      </c>
      <c r="F15" s="5">
        <f t="shared" si="1"/>
        <v>1.1691E-2</v>
      </c>
      <c r="H15">
        <f>VLOOKUP(E15,'pesos vgbl30'!$E$2:$F$68,2,0)</f>
        <v>1.1691E-2</v>
      </c>
      <c r="I15" t="b">
        <f t="shared" si="2"/>
        <v>1</v>
      </c>
    </row>
    <row r="16" spans="1:9" x14ac:dyDescent="0.3">
      <c r="A16" s="14" t="s">
        <v>74</v>
      </c>
      <c r="B16" s="11">
        <v>1.7000000000000001E-2</v>
      </c>
      <c r="E16" s="8" t="str">
        <f t="shared" si="0"/>
        <v>MGLU3</v>
      </c>
      <c r="F16" s="5">
        <f t="shared" si="1"/>
        <v>1.1041500000000003E-2</v>
      </c>
      <c r="H16">
        <f>VLOOKUP(E16,'pesos vgbl30'!$E$2:$F$68,2,0)</f>
        <v>1.1041500000000003E-2</v>
      </c>
      <c r="I16" t="b">
        <f t="shared" si="2"/>
        <v>1</v>
      </c>
    </row>
    <row r="17" spans="1:9" x14ac:dyDescent="0.3">
      <c r="A17" s="14" t="s">
        <v>17</v>
      </c>
      <c r="B17" s="11">
        <v>1.6801848920806103E-2</v>
      </c>
      <c r="E17" s="8" t="str">
        <f t="shared" si="0"/>
        <v>CPFE3</v>
      </c>
      <c r="F17" s="5">
        <f t="shared" si="1"/>
        <v>1.0912800874063565E-2</v>
      </c>
      <c r="H17">
        <f>VLOOKUP(E17,'pesos vgbl30'!$E$2:$F$68,2,0)</f>
        <v>1.0912800874063565E-2</v>
      </c>
      <c r="I17" t="b">
        <f t="shared" si="2"/>
        <v>1</v>
      </c>
    </row>
    <row r="18" spans="1:9" x14ac:dyDescent="0.3">
      <c r="A18" s="14" t="s">
        <v>26</v>
      </c>
      <c r="B18" s="11">
        <v>1.5615219612080561E-2</v>
      </c>
      <c r="E18" s="8" t="str">
        <f t="shared" si="0"/>
        <v>BRSR6</v>
      </c>
      <c r="F18" s="5">
        <f t="shared" si="1"/>
        <v>1.0142085138046326E-2</v>
      </c>
      <c r="H18">
        <f>VLOOKUP(E18,'pesos vgbl30'!$E$2:$F$68,2,0)</f>
        <v>1.0142085138046326E-2</v>
      </c>
      <c r="I18" t="b">
        <f t="shared" si="2"/>
        <v>1</v>
      </c>
    </row>
    <row r="19" spans="1:9" x14ac:dyDescent="0.3">
      <c r="A19" s="14" t="s">
        <v>14</v>
      </c>
      <c r="B19" s="11">
        <v>1.5465147332778172E-2</v>
      </c>
      <c r="E19" s="8" t="str">
        <f t="shared" si="0"/>
        <v>CSNA3</v>
      </c>
      <c r="F19" s="5">
        <f t="shared" si="1"/>
        <v>1.0044613192639424E-2</v>
      </c>
      <c r="H19">
        <f>VLOOKUP(E19,'pesos vgbl30'!$E$2:$F$68,2,0)</f>
        <v>1.0044613192639424E-2</v>
      </c>
      <c r="I19" t="b">
        <f t="shared" si="2"/>
        <v>1</v>
      </c>
    </row>
    <row r="20" spans="1:9" x14ac:dyDescent="0.3">
      <c r="A20" s="14" t="s">
        <v>18</v>
      </c>
      <c r="B20" s="11">
        <v>1.5462924284289446E-2</v>
      </c>
      <c r="E20" s="8" t="str">
        <f t="shared" si="0"/>
        <v>CXSE3</v>
      </c>
      <c r="F20" s="5">
        <f t="shared" si="1"/>
        <v>1.0043169322645996E-2</v>
      </c>
      <c r="H20">
        <f>VLOOKUP(E20,'pesos vgbl30'!$E$2:$F$68,2,0)</f>
        <v>1.0043169322645996E-2</v>
      </c>
      <c r="I20" t="b">
        <f t="shared" si="2"/>
        <v>1</v>
      </c>
    </row>
    <row r="21" spans="1:9" x14ac:dyDescent="0.3">
      <c r="A21" s="14" t="s">
        <v>29</v>
      </c>
      <c r="B21" s="11">
        <v>1.4849025118304392E-2</v>
      </c>
      <c r="E21" s="8" t="str">
        <f t="shared" si="0"/>
        <v>SYNE3</v>
      </c>
      <c r="F21" s="5">
        <f t="shared" si="1"/>
        <v>9.6444418143387042E-3</v>
      </c>
      <c r="H21">
        <f>VLOOKUP(E21,'pesos vgbl30'!$E$2:$F$68,2,0)</f>
        <v>9.6444418143387042E-3</v>
      </c>
      <c r="I21" t="b">
        <f t="shared" si="2"/>
        <v>1</v>
      </c>
    </row>
    <row r="22" spans="1:9" x14ac:dyDescent="0.3">
      <c r="A22" s="14" t="s">
        <v>41</v>
      </c>
      <c r="B22" s="11">
        <v>1.3703764834263336E-2</v>
      </c>
      <c r="E22" s="8" t="str">
        <f t="shared" si="0"/>
        <v>ANIM3</v>
      </c>
      <c r="F22" s="5">
        <f t="shared" si="1"/>
        <v>8.9005952598540383E-3</v>
      </c>
      <c r="H22">
        <f>VLOOKUP(E22,'pesos vgbl30'!$E$2:$F$68,2,0)</f>
        <v>8.9005952598540383E-3</v>
      </c>
      <c r="I22" t="b">
        <f t="shared" si="2"/>
        <v>1</v>
      </c>
    </row>
    <row r="23" spans="1:9" x14ac:dyDescent="0.3">
      <c r="A23" s="14" t="s">
        <v>38</v>
      </c>
      <c r="B23" s="11">
        <v>1.3251380427384912E-2</v>
      </c>
      <c r="E23" s="8" t="str">
        <f t="shared" si="0"/>
        <v>LAVV3</v>
      </c>
      <c r="F23" s="5">
        <f t="shared" si="1"/>
        <v>8.6067715875865012E-3</v>
      </c>
      <c r="H23">
        <f>VLOOKUP(E23,'pesos vgbl30'!$E$2:$F$68,2,0)</f>
        <v>8.6067715875865012E-3</v>
      </c>
      <c r="I23" t="b">
        <f t="shared" si="2"/>
        <v>1</v>
      </c>
    </row>
    <row r="24" spans="1:9" x14ac:dyDescent="0.3">
      <c r="A24" s="14" t="s">
        <v>22</v>
      </c>
      <c r="B24" s="11">
        <v>1.3230328368970212E-2</v>
      </c>
      <c r="E24" s="8" t="str">
        <f t="shared" si="0"/>
        <v>GOAU4</v>
      </c>
      <c r="F24" s="5">
        <f t="shared" si="1"/>
        <v>8.5930982756461539E-3</v>
      </c>
      <c r="H24">
        <f>VLOOKUP(E24,'pesos vgbl30'!$E$2:$F$68,2,0)</f>
        <v>8.5930982756461539E-3</v>
      </c>
      <c r="I24" t="b">
        <f t="shared" si="2"/>
        <v>1</v>
      </c>
    </row>
    <row r="25" spans="1:9" x14ac:dyDescent="0.3">
      <c r="A25" s="14" t="s">
        <v>25</v>
      </c>
      <c r="B25" s="11">
        <v>1.309122103704231E-2</v>
      </c>
      <c r="E25" s="8" t="str">
        <f t="shared" si="0"/>
        <v>BEEF3</v>
      </c>
      <c r="F25" s="5">
        <f t="shared" si="1"/>
        <v>8.5027480635589819E-3</v>
      </c>
      <c r="H25">
        <f>VLOOKUP(E25,'pesos vgbl30'!$E$2:$F$68,2,0)</f>
        <v>8.5027480635589819E-3</v>
      </c>
      <c r="I25" t="b">
        <f t="shared" si="2"/>
        <v>1</v>
      </c>
    </row>
    <row r="26" spans="1:9" x14ac:dyDescent="0.3">
      <c r="A26" s="14" t="s">
        <v>30</v>
      </c>
      <c r="B26" s="11">
        <v>1.3026542425298569E-2</v>
      </c>
      <c r="E26" s="8" t="str">
        <f t="shared" si="0"/>
        <v>CURY3</v>
      </c>
      <c r="F26" s="5">
        <f t="shared" si="1"/>
        <v>8.4607393052314218E-3</v>
      </c>
      <c r="H26">
        <f>VLOOKUP(E26,'pesos vgbl30'!$E$2:$F$68,2,0)</f>
        <v>8.4607393052314218E-3</v>
      </c>
      <c r="I26" t="b">
        <f t="shared" si="2"/>
        <v>1</v>
      </c>
    </row>
    <row r="27" spans="1:9" x14ac:dyDescent="0.3">
      <c r="A27" s="14" t="s">
        <v>28</v>
      </c>
      <c r="B27" s="11">
        <v>1.2856274583763105E-2</v>
      </c>
      <c r="E27" s="8" t="str">
        <f t="shared" si="0"/>
        <v>LEVE3</v>
      </c>
      <c r="F27" s="5">
        <f t="shared" si="1"/>
        <v>8.3501503421541372E-3</v>
      </c>
      <c r="H27">
        <f>VLOOKUP(E27,'pesos vgbl30'!$E$2:$F$68,2,0)</f>
        <v>8.3501503421541372E-3</v>
      </c>
      <c r="I27" t="b">
        <f t="shared" si="2"/>
        <v>1</v>
      </c>
    </row>
    <row r="28" spans="1:9" x14ac:dyDescent="0.3">
      <c r="A28" s="14" t="s">
        <v>43</v>
      </c>
      <c r="B28" s="11">
        <v>1.2297664399304114E-2</v>
      </c>
      <c r="E28" s="8" t="str">
        <f t="shared" si="0"/>
        <v>COGN3</v>
      </c>
      <c r="F28" s="5">
        <f t="shared" si="1"/>
        <v>7.9873330273480224E-3</v>
      </c>
      <c r="H28">
        <f>VLOOKUP(E28,'pesos vgbl30'!$E$2:$F$68,2,0)</f>
        <v>7.9873330273480224E-3</v>
      </c>
      <c r="I28" t="b">
        <f t="shared" si="2"/>
        <v>1</v>
      </c>
    </row>
    <row r="29" spans="1:9" x14ac:dyDescent="0.3">
      <c r="A29" s="14" t="s">
        <v>53</v>
      </c>
      <c r="B29" s="11">
        <v>1.2168011409805547E-2</v>
      </c>
      <c r="E29" s="8" t="str">
        <f t="shared" si="0"/>
        <v>TRIS3</v>
      </c>
      <c r="F29" s="5">
        <f t="shared" si="1"/>
        <v>7.9031234106687036E-3</v>
      </c>
      <c r="H29">
        <f>VLOOKUP(E29,'pesos vgbl30'!$E$2:$F$68,2,0)</f>
        <v>7.9031234106687036E-3</v>
      </c>
      <c r="I29" t="b">
        <f t="shared" si="2"/>
        <v>1</v>
      </c>
    </row>
    <row r="30" spans="1:9" x14ac:dyDescent="0.3">
      <c r="A30" s="14" t="s">
        <v>39</v>
      </c>
      <c r="B30" s="11">
        <v>1.2167141580245722E-2</v>
      </c>
      <c r="E30" s="8" t="str">
        <f t="shared" si="0"/>
        <v>PLPL3</v>
      </c>
      <c r="F30" s="5">
        <f t="shared" si="1"/>
        <v>7.9025584563695971E-3</v>
      </c>
      <c r="H30">
        <f>VLOOKUP(E30,'pesos vgbl30'!$E$2:$F$68,2,0)</f>
        <v>7.9025584563695971E-3</v>
      </c>
      <c r="I30" t="b">
        <f t="shared" si="2"/>
        <v>1</v>
      </c>
    </row>
    <row r="31" spans="1:9" x14ac:dyDescent="0.3">
      <c r="A31" s="14" t="s">
        <v>75</v>
      </c>
      <c r="B31" s="11">
        <v>1.209810943867084E-2</v>
      </c>
      <c r="E31" s="8" t="str">
        <f t="shared" si="0"/>
        <v>PRIO3</v>
      </c>
      <c r="F31" s="5">
        <f t="shared" si="1"/>
        <v>7.8577220804167125E-3</v>
      </c>
      <c r="H31">
        <f>VLOOKUP(E31,'pesos vgbl30'!$E$2:$F$68,2,0)</f>
        <v>7.8577220804167125E-3</v>
      </c>
      <c r="I31" t="b">
        <f t="shared" si="2"/>
        <v>1</v>
      </c>
    </row>
    <row r="32" spans="1:9" x14ac:dyDescent="0.3">
      <c r="A32" s="14" t="s">
        <v>33</v>
      </c>
      <c r="B32" s="11">
        <v>1.2097395565766994E-2</v>
      </c>
      <c r="E32" s="8" t="str">
        <f t="shared" si="0"/>
        <v>ELET6</v>
      </c>
      <c r="F32" s="5">
        <f t="shared" si="1"/>
        <v>7.8572584199656636E-3</v>
      </c>
      <c r="H32">
        <f>VLOOKUP(E32,'pesos vgbl30'!$E$2:$F$68,2,0)</f>
        <v>7.8572584199656636E-3</v>
      </c>
      <c r="I32" t="b">
        <f t="shared" si="2"/>
        <v>1</v>
      </c>
    </row>
    <row r="33" spans="1:9" x14ac:dyDescent="0.3">
      <c r="A33" s="14" t="s">
        <v>40</v>
      </c>
      <c r="B33" s="11">
        <v>1.1800578299013842E-2</v>
      </c>
      <c r="E33" s="8" t="str">
        <f t="shared" si="0"/>
        <v>UNIP6</v>
      </c>
      <c r="F33" s="5">
        <f t="shared" si="1"/>
        <v>7.6644756052094915E-3</v>
      </c>
      <c r="H33">
        <f>VLOOKUP(E33,'pesos vgbl30'!$E$2:$F$68,2,0)</f>
        <v>7.6644756052094915E-3</v>
      </c>
      <c r="I33" t="b">
        <f t="shared" si="2"/>
        <v>1</v>
      </c>
    </row>
    <row r="34" spans="1:9" x14ac:dyDescent="0.3">
      <c r="A34" s="14" t="s">
        <v>20</v>
      </c>
      <c r="B34" s="11">
        <v>1.1738963718086729E-2</v>
      </c>
      <c r="E34" s="8" t="str">
        <f t="shared" si="0"/>
        <v>CMIG3</v>
      </c>
      <c r="F34" s="5">
        <f t="shared" si="1"/>
        <v>7.6244569348973314E-3</v>
      </c>
      <c r="H34">
        <f>VLOOKUP(E34,'pesos vgbl30'!$E$2:$F$68,2,0)</f>
        <v>7.6244569348973314E-3</v>
      </c>
      <c r="I34" t="b">
        <f t="shared" si="2"/>
        <v>1</v>
      </c>
    </row>
    <row r="35" spans="1:9" x14ac:dyDescent="0.3">
      <c r="A35" s="14" t="s">
        <v>32</v>
      </c>
      <c r="B35" s="11">
        <v>1.1707687562591901E-2</v>
      </c>
      <c r="E35" s="8" t="str">
        <f t="shared" si="0"/>
        <v>CSMG3</v>
      </c>
      <c r="F35" s="5">
        <f t="shared" si="1"/>
        <v>7.6041430719034405E-3</v>
      </c>
      <c r="H35">
        <f>VLOOKUP(E35,'pesos vgbl30'!$E$2:$F$68,2,0)</f>
        <v>7.6041430719034405E-3</v>
      </c>
      <c r="I35" t="b">
        <f t="shared" si="2"/>
        <v>1</v>
      </c>
    </row>
    <row r="36" spans="1:9" x14ac:dyDescent="0.3">
      <c r="A36" s="14" t="s">
        <v>24</v>
      </c>
      <c r="B36" s="11">
        <v>1.1667425463849041E-2</v>
      </c>
      <c r="E36" s="8" t="str">
        <f t="shared" si="0"/>
        <v>TGMA3</v>
      </c>
      <c r="F36" s="5">
        <f t="shared" si="1"/>
        <v>7.5779928387699532E-3</v>
      </c>
      <c r="H36">
        <f>VLOOKUP(E36,'pesos vgbl30'!$E$2:$F$68,2,0)</f>
        <v>7.5779928387699532E-3</v>
      </c>
      <c r="I36" t="b">
        <f t="shared" si="2"/>
        <v>1</v>
      </c>
    </row>
    <row r="37" spans="1:9" x14ac:dyDescent="0.3">
      <c r="A37" s="14" t="s">
        <v>35</v>
      </c>
      <c r="B37" s="11">
        <v>1.1554392048781167E-2</v>
      </c>
      <c r="E37" s="8" t="str">
        <f t="shared" si="0"/>
        <v>AURE3</v>
      </c>
      <c r="F37" s="5">
        <f t="shared" si="1"/>
        <v>7.5045776356833689E-3</v>
      </c>
      <c r="H37">
        <f>VLOOKUP(E37,'pesos vgbl30'!$E$2:$F$68,2,0)</f>
        <v>7.5045776356833689E-3</v>
      </c>
      <c r="I37" t="b">
        <f t="shared" si="2"/>
        <v>1</v>
      </c>
    </row>
    <row r="38" spans="1:9" x14ac:dyDescent="0.3">
      <c r="A38" s="14" t="s">
        <v>27</v>
      </c>
      <c r="B38" s="11">
        <v>1.1273375755950599E-2</v>
      </c>
      <c r="E38" s="8" t="str">
        <f t="shared" si="0"/>
        <v>BRAP4</v>
      </c>
      <c r="F38" s="5">
        <f t="shared" si="1"/>
        <v>7.3220575534899152E-3</v>
      </c>
      <c r="H38">
        <f>VLOOKUP(E38,'pesos vgbl30'!$E$2:$F$68,2,0)</f>
        <v>7.3220575534899152E-3</v>
      </c>
      <c r="I38" t="b">
        <f t="shared" si="2"/>
        <v>1</v>
      </c>
    </row>
    <row r="39" spans="1:9" x14ac:dyDescent="0.3">
      <c r="A39" s="14" t="s">
        <v>44</v>
      </c>
      <c r="B39" s="11">
        <v>1.1263604390177123E-2</v>
      </c>
      <c r="E39" s="8" t="str">
        <f t="shared" si="0"/>
        <v>MULT3</v>
      </c>
      <c r="F39" s="5">
        <f t="shared" si="1"/>
        <v>7.3157110514200426E-3</v>
      </c>
      <c r="H39">
        <f>VLOOKUP(E39,'pesos vgbl30'!$E$2:$F$68,2,0)</f>
        <v>7.3157110514200426E-3</v>
      </c>
      <c r="I39" t="b">
        <f t="shared" si="2"/>
        <v>1</v>
      </c>
    </row>
    <row r="40" spans="1:9" x14ac:dyDescent="0.3">
      <c r="A40" s="14" t="s">
        <v>49</v>
      </c>
      <c r="B40" s="11">
        <v>1.0974031680885142E-2</v>
      </c>
      <c r="E40" s="8" t="str">
        <f t="shared" si="0"/>
        <v>FRAS3</v>
      </c>
      <c r="F40" s="5">
        <f t="shared" si="1"/>
        <v>7.1276335767349007E-3</v>
      </c>
      <c r="H40">
        <f>VLOOKUP(E40,'pesos vgbl30'!$E$2:$F$68,2,0)</f>
        <v>7.1276335767349007E-3</v>
      </c>
      <c r="I40" t="b">
        <f t="shared" si="2"/>
        <v>1</v>
      </c>
    </row>
    <row r="41" spans="1:9" x14ac:dyDescent="0.3">
      <c r="A41" s="14" t="s">
        <v>37</v>
      </c>
      <c r="B41" s="11">
        <v>1.0833538266213787E-2</v>
      </c>
      <c r="E41" s="8" t="str">
        <f t="shared" si="0"/>
        <v>ISAE4</v>
      </c>
      <c r="F41" s="5">
        <f t="shared" si="1"/>
        <v>7.0363831039058555E-3</v>
      </c>
      <c r="H41">
        <f>VLOOKUP(E41,'pesos vgbl30'!$E$2:$F$68,2,0)</f>
        <v>7.0363831039058555E-3</v>
      </c>
      <c r="I41" t="b">
        <f t="shared" si="2"/>
        <v>1</v>
      </c>
    </row>
    <row r="42" spans="1:9" x14ac:dyDescent="0.3">
      <c r="A42" s="14" t="s">
        <v>48</v>
      </c>
      <c r="B42" s="11">
        <v>1.0591518980264674E-2</v>
      </c>
      <c r="E42" s="8" t="str">
        <f t="shared" si="0"/>
        <v>JHSF3</v>
      </c>
      <c r="F42" s="5">
        <f t="shared" si="1"/>
        <v>6.8791915776819064E-3</v>
      </c>
      <c r="H42">
        <f>VLOOKUP(E42,'pesos vgbl30'!$E$2:$F$68,2,0)</f>
        <v>6.8791915776819064E-3</v>
      </c>
      <c r="I42" t="b">
        <f t="shared" si="2"/>
        <v>1</v>
      </c>
    </row>
    <row r="43" spans="1:9" x14ac:dyDescent="0.3">
      <c r="A43" s="14" t="s">
        <v>56</v>
      </c>
      <c r="B43" s="11">
        <v>1.0560232621886653E-2</v>
      </c>
      <c r="E43" s="8" t="str">
        <f t="shared" si="0"/>
        <v>DIRR3</v>
      </c>
      <c r="F43" s="5">
        <f t="shared" si="1"/>
        <v>6.8588710879153815E-3</v>
      </c>
      <c r="H43">
        <f>VLOOKUP(E43,'pesos vgbl30'!$E$2:$F$68,2,0)</f>
        <v>6.8588710879153815E-3</v>
      </c>
      <c r="I43" t="b">
        <f t="shared" si="2"/>
        <v>1</v>
      </c>
    </row>
    <row r="44" spans="1:9" x14ac:dyDescent="0.3">
      <c r="A44" s="14" t="s">
        <v>46</v>
      </c>
      <c r="B44" s="11">
        <v>1.0557080893688748E-2</v>
      </c>
      <c r="E44" s="8" t="str">
        <f t="shared" si="0"/>
        <v>WIZC3</v>
      </c>
      <c r="F44" s="5">
        <f t="shared" si="1"/>
        <v>6.8568240404508424E-3</v>
      </c>
      <c r="H44">
        <f>VLOOKUP(E44,'pesos vgbl30'!$E$2:$F$68,2,0)</f>
        <v>6.8568240404508424E-3</v>
      </c>
      <c r="I44" t="b">
        <f t="shared" si="2"/>
        <v>1</v>
      </c>
    </row>
    <row r="45" spans="1:9" x14ac:dyDescent="0.3">
      <c r="A45" s="14" t="s">
        <v>36</v>
      </c>
      <c r="B45" s="11">
        <v>1.0422180432436911E-2</v>
      </c>
      <c r="E45" s="8" t="str">
        <f t="shared" si="0"/>
        <v>VBBR3</v>
      </c>
      <c r="F45" s="5">
        <f t="shared" si="1"/>
        <v>6.7692061908677745E-3</v>
      </c>
      <c r="H45">
        <f>VLOOKUP(E45,'pesos vgbl30'!$E$2:$F$68,2,0)</f>
        <v>6.7692061908677745E-3</v>
      </c>
      <c r="I45" t="b">
        <f t="shared" si="2"/>
        <v>1</v>
      </c>
    </row>
    <row r="46" spans="1:9" x14ac:dyDescent="0.3">
      <c r="A46" s="14" t="s">
        <v>31</v>
      </c>
      <c r="B46" s="11">
        <v>1.0335023820433005E-2</v>
      </c>
      <c r="E46" s="8" t="str">
        <f t="shared" si="0"/>
        <v>PSSA3</v>
      </c>
      <c r="F46" s="5">
        <f t="shared" si="1"/>
        <v>6.7125979713712376E-3</v>
      </c>
      <c r="H46">
        <f>VLOOKUP(E46,'pesos vgbl30'!$E$2:$F$68,2,0)</f>
        <v>6.7125979713712376E-3</v>
      </c>
      <c r="I46" t="b">
        <f t="shared" si="2"/>
        <v>1</v>
      </c>
    </row>
    <row r="47" spans="1:9" x14ac:dyDescent="0.3">
      <c r="A47" s="14" t="s">
        <v>21</v>
      </c>
      <c r="B47" s="11">
        <v>1.029138470614523E-2</v>
      </c>
      <c r="E47" s="8" t="str">
        <f t="shared" si="0"/>
        <v>CMIG4</v>
      </c>
      <c r="F47" s="5">
        <f t="shared" si="1"/>
        <v>6.6842543666413273E-3</v>
      </c>
      <c r="H47">
        <f>VLOOKUP(E47,'pesos vgbl30'!$E$2:$F$68,2,0)</f>
        <v>6.6842543666413273E-3</v>
      </c>
      <c r="I47" t="b">
        <f t="shared" si="2"/>
        <v>1</v>
      </c>
    </row>
    <row r="48" spans="1:9" x14ac:dyDescent="0.3">
      <c r="A48" s="14" t="s">
        <v>59</v>
      </c>
      <c r="B48" s="11">
        <v>1.0162856963637674E-2</v>
      </c>
      <c r="E48" s="8" t="str">
        <f t="shared" si="0"/>
        <v>RECV3</v>
      </c>
      <c r="F48" s="5">
        <f t="shared" si="1"/>
        <v>6.6007755978826702E-3</v>
      </c>
      <c r="H48">
        <f>VLOOKUP(E48,'pesos vgbl30'!$E$2:$F$68,2,0)</f>
        <v>6.6007755978826702E-3</v>
      </c>
      <c r="I48" t="b">
        <f t="shared" si="2"/>
        <v>1</v>
      </c>
    </row>
    <row r="49" spans="1:9" x14ac:dyDescent="0.3">
      <c r="A49" s="14" t="s">
        <v>60</v>
      </c>
      <c r="B49" s="11">
        <v>1.0013996336918553E-2</v>
      </c>
      <c r="E49" s="8" t="str">
        <f t="shared" si="0"/>
        <v>RANI3</v>
      </c>
      <c r="F49" s="5">
        <f t="shared" si="1"/>
        <v>6.5040906208286009E-3</v>
      </c>
      <c r="H49">
        <f>VLOOKUP(E49,'pesos vgbl30'!$E$2:$F$68,2,0)</f>
        <v>6.5040906208286009E-3</v>
      </c>
      <c r="I49" t="b">
        <f t="shared" si="2"/>
        <v>1</v>
      </c>
    </row>
    <row r="50" spans="1:9" x14ac:dyDescent="0.3">
      <c r="A50" s="14" t="s">
        <v>47</v>
      </c>
      <c r="B50" s="11">
        <v>9.8996194668131005E-3</v>
      </c>
      <c r="E50" s="8" t="str">
        <f t="shared" si="0"/>
        <v>SAPR4</v>
      </c>
      <c r="F50" s="5">
        <f t="shared" si="1"/>
        <v>6.4298028436951095E-3</v>
      </c>
      <c r="H50">
        <f>VLOOKUP(E50,'pesos vgbl30'!$E$2:$F$68,2,0)</f>
        <v>6.4298028436951095E-3</v>
      </c>
      <c r="I50" t="b">
        <f t="shared" si="2"/>
        <v>1</v>
      </c>
    </row>
    <row r="51" spans="1:9" x14ac:dyDescent="0.3">
      <c r="A51" s="14" t="s">
        <v>34</v>
      </c>
      <c r="B51" s="11">
        <v>9.7543334669110034E-3</v>
      </c>
      <c r="E51" s="8" t="str">
        <f t="shared" si="0"/>
        <v>ECOR3</v>
      </c>
      <c r="F51" s="5">
        <f t="shared" si="1"/>
        <v>6.3354395867586972E-3</v>
      </c>
      <c r="H51">
        <f>VLOOKUP(E51,'pesos vgbl30'!$E$2:$F$68,2,0)</f>
        <v>6.3354395867586972E-3</v>
      </c>
      <c r="I51" t="b">
        <f t="shared" si="2"/>
        <v>1</v>
      </c>
    </row>
    <row r="52" spans="1:9" x14ac:dyDescent="0.3">
      <c r="A52" s="14" t="s">
        <v>42</v>
      </c>
      <c r="B52" s="11">
        <v>9.697371968731508E-3</v>
      </c>
      <c r="E52" s="8" t="str">
        <f t="shared" si="0"/>
        <v>VLID3</v>
      </c>
      <c r="F52" s="5">
        <f t="shared" si="1"/>
        <v>6.2984430936911156E-3</v>
      </c>
      <c r="H52">
        <f>VLOOKUP(E52,'pesos vgbl30'!$E$2:$F$68,2,0)</f>
        <v>6.2984430936911156E-3</v>
      </c>
      <c r="I52" t="b">
        <f t="shared" si="2"/>
        <v>1</v>
      </c>
    </row>
    <row r="53" spans="1:9" x14ac:dyDescent="0.3">
      <c r="A53" s="14" t="s">
        <v>55</v>
      </c>
      <c r="B53" s="11">
        <v>9.6081346778249428E-3</v>
      </c>
      <c r="E53" s="8" t="str">
        <f t="shared" si="0"/>
        <v>MYPK3</v>
      </c>
      <c r="F53" s="5">
        <f t="shared" si="1"/>
        <v>6.2404834732473014E-3</v>
      </c>
      <c r="H53">
        <f>VLOOKUP(E53,'pesos vgbl30'!$E$2:$F$68,2,0)</f>
        <v>6.2404834732473014E-3</v>
      </c>
      <c r="I53" t="b">
        <f t="shared" si="2"/>
        <v>1</v>
      </c>
    </row>
    <row r="54" spans="1:9" x14ac:dyDescent="0.3">
      <c r="A54" s="14" t="s">
        <v>11</v>
      </c>
      <c r="B54" s="11">
        <v>9.3786291220952812E-3</v>
      </c>
      <c r="E54" s="8" t="str">
        <f t="shared" si="0"/>
        <v>GGBR4</v>
      </c>
      <c r="F54" s="5">
        <f t="shared" si="1"/>
        <v>6.0914196148008862E-3</v>
      </c>
      <c r="H54">
        <f>VLOOKUP(E54,'pesos vgbl30'!$E$2:$F$68,2,0)</f>
        <v>6.0914196148008862E-3</v>
      </c>
      <c r="I54" t="b">
        <f t="shared" si="2"/>
        <v>1</v>
      </c>
    </row>
    <row r="55" spans="1:9" x14ac:dyDescent="0.3">
      <c r="A55" s="14" t="s">
        <v>62</v>
      </c>
      <c r="B55" s="11">
        <v>9.1164293997888814E-3</v>
      </c>
      <c r="E55" s="8" t="str">
        <f t="shared" si="0"/>
        <v>TAEE11</v>
      </c>
      <c r="F55" s="5">
        <f t="shared" si="1"/>
        <v>5.9211208951628789E-3</v>
      </c>
      <c r="H55">
        <f>VLOOKUP(E55,'pesos vgbl30'!$E$2:$F$68,2,0)</f>
        <v>5.9211208951628789E-3</v>
      </c>
      <c r="I55" t="b">
        <f t="shared" si="2"/>
        <v>1</v>
      </c>
    </row>
    <row r="56" spans="1:9" x14ac:dyDescent="0.3">
      <c r="A56" s="14" t="s">
        <v>58</v>
      </c>
      <c r="B56" s="11">
        <v>8.0000000000000002E-3</v>
      </c>
      <c r="E56" s="8" t="str">
        <f t="shared" si="0"/>
        <v>YDUQ3</v>
      </c>
      <c r="F56" s="5">
        <f t="shared" si="1"/>
        <v>5.196000000000001E-3</v>
      </c>
      <c r="H56">
        <f>VLOOKUP(E56,'pesos vgbl30'!$E$2:$F$68,2,0)</f>
        <v>5.196000000000001E-3</v>
      </c>
      <c r="I56" t="b">
        <f t="shared" si="2"/>
        <v>1</v>
      </c>
    </row>
    <row r="57" spans="1:9" x14ac:dyDescent="0.3">
      <c r="A57" s="14" t="s">
        <v>63</v>
      </c>
      <c r="B57" s="11">
        <v>7.4999999999999997E-3</v>
      </c>
      <c r="E57" s="8" t="str">
        <f t="shared" si="0"/>
        <v>BMGB4</v>
      </c>
      <c r="F57" s="5">
        <f t="shared" si="1"/>
        <v>4.8712500000000006E-3</v>
      </c>
      <c r="H57">
        <f>VLOOKUP(E57,'pesos vgbl30'!$E$2:$F$68,2,0)</f>
        <v>4.8712500000000006E-3</v>
      </c>
      <c r="I57" t="b">
        <f t="shared" si="2"/>
        <v>1</v>
      </c>
    </row>
    <row r="58" spans="1:9" x14ac:dyDescent="0.3">
      <c r="A58" s="14" t="s">
        <v>54</v>
      </c>
      <c r="B58" s="11">
        <v>6.4999999999999997E-3</v>
      </c>
      <c r="E58" s="8" t="str">
        <f t="shared" si="0"/>
        <v>LIGT3</v>
      </c>
      <c r="F58" s="5">
        <f t="shared" si="1"/>
        <v>4.2217500000000007E-3</v>
      </c>
      <c r="H58">
        <f>VLOOKUP(E58,'pesos vgbl30'!$E$2:$F$68,2,0)</f>
        <v>4.2217500000000007E-3</v>
      </c>
      <c r="I58" t="b">
        <f t="shared" si="2"/>
        <v>1</v>
      </c>
    </row>
    <row r="59" spans="1:9" x14ac:dyDescent="0.3">
      <c r="A59" s="14" t="s">
        <v>71</v>
      </c>
      <c r="B59" s="11">
        <v>6.0000000000000001E-3</v>
      </c>
      <c r="E59" s="8" t="str">
        <f t="shared" si="0"/>
        <v>BMOB3</v>
      </c>
      <c r="F59" s="5">
        <f t="shared" si="1"/>
        <v>3.8970000000000007E-3</v>
      </c>
      <c r="H59">
        <f>VLOOKUP(E59,'pesos vgbl30'!$E$2:$F$68,2,0)</f>
        <v>3.8970000000000007E-3</v>
      </c>
      <c r="I59" t="b">
        <f t="shared" si="2"/>
        <v>1</v>
      </c>
    </row>
    <row r="60" spans="1:9" x14ac:dyDescent="0.3">
      <c r="A60" s="14" t="s">
        <v>50</v>
      </c>
      <c r="B60" s="11">
        <v>5.0000000000000001E-3</v>
      </c>
      <c r="E60" s="8" t="str">
        <f t="shared" si="0"/>
        <v>MTRE3</v>
      </c>
      <c r="F60" s="5">
        <f t="shared" si="1"/>
        <v>3.2475000000000004E-3</v>
      </c>
      <c r="H60">
        <f>VLOOKUP(E60,'pesos vgbl30'!$E$2:$F$68,2,0)</f>
        <v>3.2475000000000004E-3</v>
      </c>
      <c r="I60" t="b">
        <f t="shared" si="2"/>
        <v>1</v>
      </c>
    </row>
    <row r="61" spans="1:9" x14ac:dyDescent="0.3">
      <c r="A61" s="14" t="s">
        <v>65</v>
      </c>
      <c r="B61" s="11">
        <v>3.6899045276269889E-3</v>
      </c>
      <c r="E61" s="8" t="str">
        <f t="shared" si="0"/>
        <v>CYRE3</v>
      </c>
      <c r="F61" s="5">
        <f t="shared" si="1"/>
        <v>2.3965929906937296E-3</v>
      </c>
      <c r="H61">
        <f>VLOOKUP(E61,'pesos vgbl30'!$E$2:$F$68,2,0)</f>
        <v>2.3965929906937296E-3</v>
      </c>
      <c r="I61" t="b">
        <f t="shared" si="2"/>
        <v>1</v>
      </c>
    </row>
    <row r="62" spans="1:9" x14ac:dyDescent="0.3">
      <c r="A62" s="14" t="s">
        <v>61</v>
      </c>
      <c r="B62" s="11">
        <v>3.5005111223726489E-3</v>
      </c>
      <c r="E62" s="8" t="str">
        <f t="shared" si="0"/>
        <v>GRND3</v>
      </c>
      <c r="F62" s="5">
        <f t="shared" si="1"/>
        <v>2.2735819739810358E-3</v>
      </c>
      <c r="H62">
        <f>VLOOKUP(E62,'pesos vgbl30'!$E$2:$F$68,2,0)</f>
        <v>2.2735819739810358E-3</v>
      </c>
      <c r="I62" t="b">
        <f t="shared" si="2"/>
        <v>1</v>
      </c>
    </row>
    <row r="63" spans="1:9" x14ac:dyDescent="0.3">
      <c r="A63" s="14" t="s">
        <v>64</v>
      </c>
      <c r="B63" s="11">
        <v>3.389534122061535E-3</v>
      </c>
      <c r="E63" s="8" t="str">
        <f t="shared" si="0"/>
        <v>BRBI11</v>
      </c>
      <c r="F63" s="5">
        <f t="shared" si="1"/>
        <v>2.2015024122789672E-3</v>
      </c>
      <c r="H63">
        <f>VLOOKUP(E63,'pesos vgbl30'!$E$2:$F$68,2,0)</f>
        <v>2.2015024122789672E-3</v>
      </c>
      <c r="I63" t="b">
        <f t="shared" si="2"/>
        <v>1</v>
      </c>
    </row>
    <row r="64" spans="1:9" x14ac:dyDescent="0.3">
      <c r="A64" s="14" t="s">
        <v>57</v>
      </c>
      <c r="B64" s="11">
        <v>3.1263433604050411E-3</v>
      </c>
      <c r="E64" s="8" t="str">
        <f t="shared" si="0"/>
        <v>TEND3</v>
      </c>
      <c r="F64" s="5">
        <f t="shared" si="1"/>
        <v>2.0305600125830746E-3</v>
      </c>
      <c r="H64">
        <f>VLOOKUP(E64,'pesos vgbl30'!$E$2:$F$68,2,0)</f>
        <v>2.0305600125830746E-3</v>
      </c>
      <c r="I64" t="b">
        <f t="shared" si="2"/>
        <v>1</v>
      </c>
    </row>
    <row r="65" spans="1:9" x14ac:dyDescent="0.3">
      <c r="A65" s="14" t="s">
        <v>51</v>
      </c>
      <c r="B65" s="11">
        <v>2.5000000000000001E-3</v>
      </c>
      <c r="E65" s="8" t="str">
        <f t="shared" si="0"/>
        <v>BHIA3</v>
      </c>
      <c r="F65" s="5">
        <f t="shared" si="1"/>
        <v>1.6237500000000002E-3</v>
      </c>
      <c r="H65">
        <f>VLOOKUP(E65,'pesos vgbl30'!$E$2:$F$68,2,0)</f>
        <v>1.6237500000000002E-3</v>
      </c>
      <c r="I65" t="b">
        <f t="shared" si="2"/>
        <v>1</v>
      </c>
    </row>
    <row r="66" spans="1:9" x14ac:dyDescent="0.3">
      <c r="A66" s="14" t="s">
        <v>52</v>
      </c>
      <c r="B66" s="11">
        <v>2.3E-3</v>
      </c>
      <c r="E66" s="8" t="str">
        <f t="shared" si="0"/>
        <v>AGRO3</v>
      </c>
      <c r="F66" s="5">
        <f t="shared" si="1"/>
        <v>1.4938500000000001E-3</v>
      </c>
      <c r="H66">
        <f>VLOOKUP(E66,'pesos vgbl30'!$E$2:$F$68,2,0)</f>
        <v>1.4938500000000001E-3</v>
      </c>
      <c r="I66" t="b">
        <f t="shared" si="2"/>
        <v>1</v>
      </c>
    </row>
    <row r="67" spans="1:9" x14ac:dyDescent="0.3">
      <c r="A67" s="14"/>
      <c r="B67" s="11"/>
      <c r="E67" s="8" t="s">
        <v>69</v>
      </c>
      <c r="F67" s="5">
        <v>0.35</v>
      </c>
      <c r="H67">
        <f>VLOOKUP(E67,'pesos vgbl30'!$E$2:$F$68,2,0)</f>
        <v>0.35</v>
      </c>
      <c r="I67" t="b">
        <f>H67=F67</f>
        <v>1</v>
      </c>
    </row>
    <row r="68" spans="1:9" x14ac:dyDescent="0.3">
      <c r="A68" s="14"/>
      <c r="B68" s="11"/>
      <c r="E68" s="8" t="s">
        <v>83</v>
      </c>
      <c r="F68" s="5">
        <v>5.0000000000000001E-4</v>
      </c>
      <c r="H68">
        <f>VLOOKUP(E68,'pesos vgbl30'!$E$2:$F$68,2,0)</f>
        <v>5.0000000000000001E-4</v>
      </c>
      <c r="I68" t="b">
        <f>H68=F68</f>
        <v>1</v>
      </c>
    </row>
    <row r="69" spans="1:9" x14ac:dyDescent="0.3">
      <c r="A69" s="14"/>
      <c r="B69" s="11"/>
    </row>
    <row r="70" spans="1:9" x14ac:dyDescent="0.3">
      <c r="A70" s="14"/>
      <c r="B70" s="11"/>
    </row>
    <row r="71" spans="1:9" x14ac:dyDescent="0.3">
      <c r="A71" s="14"/>
      <c r="B71" s="11"/>
    </row>
    <row r="72" spans="1:9" x14ac:dyDescent="0.3">
      <c r="A72" s="14"/>
      <c r="B72" s="11"/>
    </row>
    <row r="73" spans="1:9" x14ac:dyDescent="0.3">
      <c r="A73" s="14"/>
      <c r="B73" s="11"/>
    </row>
    <row r="74" spans="1:9" x14ac:dyDescent="0.3">
      <c r="A74" s="14"/>
      <c r="B74" s="11"/>
    </row>
    <row r="75" spans="1:9" x14ac:dyDescent="0.3">
      <c r="A75" s="14"/>
      <c r="B75" s="11"/>
    </row>
    <row r="76" spans="1:9" x14ac:dyDescent="0.3">
      <c r="A76" s="14"/>
      <c r="B76" s="11"/>
    </row>
    <row r="77" spans="1:9" x14ac:dyDescent="0.3">
      <c r="A77" s="14"/>
      <c r="B77" s="11"/>
    </row>
    <row r="78" spans="1:9" x14ac:dyDescent="0.3">
      <c r="A78" s="14"/>
      <c r="B78" s="11"/>
    </row>
    <row r="79" spans="1:9" x14ac:dyDescent="0.3">
      <c r="A79" s="14"/>
      <c r="B79" s="11"/>
    </row>
    <row r="80" spans="1:9" x14ac:dyDescent="0.3">
      <c r="A80" s="14"/>
      <c r="B80" s="11"/>
    </row>
    <row r="81" spans="1:2" x14ac:dyDescent="0.3">
      <c r="A81" s="14"/>
      <c r="B81" s="11"/>
    </row>
    <row r="82" spans="1:2" x14ac:dyDescent="0.3">
      <c r="A82" s="14"/>
      <c r="B82" s="11"/>
    </row>
    <row r="83" spans="1:2" x14ac:dyDescent="0.3">
      <c r="A83" s="14"/>
      <c r="B83" s="11"/>
    </row>
    <row r="84" spans="1:2" x14ac:dyDescent="0.3">
      <c r="A84" s="14"/>
      <c r="B84" s="11"/>
    </row>
    <row r="85" spans="1:2" x14ac:dyDescent="0.3">
      <c r="A85" s="14"/>
      <c r="B85" s="11"/>
    </row>
    <row r="86" spans="1:2" x14ac:dyDescent="0.3">
      <c r="A86" s="14"/>
      <c r="B86" s="11"/>
    </row>
    <row r="87" spans="1:2" x14ac:dyDescent="0.3">
      <c r="A87" s="14"/>
      <c r="B87" s="11"/>
    </row>
    <row r="88" spans="1:2" x14ac:dyDescent="0.3">
      <c r="A88" s="14"/>
      <c r="B88" s="11"/>
    </row>
    <row r="89" spans="1:2" x14ac:dyDescent="0.3">
      <c r="A89" s="14"/>
      <c r="B89" s="11"/>
    </row>
    <row r="90" spans="1:2" x14ac:dyDescent="0.3">
      <c r="A90" s="14"/>
      <c r="B90" s="11"/>
    </row>
    <row r="91" spans="1:2" x14ac:dyDescent="0.3">
      <c r="A91" s="14"/>
      <c r="B91" s="11"/>
    </row>
    <row r="92" spans="1:2" x14ac:dyDescent="0.3">
      <c r="A92" s="14"/>
      <c r="B92" s="11"/>
    </row>
    <row r="93" spans="1:2" x14ac:dyDescent="0.3">
      <c r="A93" s="14"/>
      <c r="B93" s="11"/>
    </row>
    <row r="94" spans="1:2" x14ac:dyDescent="0.3">
      <c r="A94" s="14"/>
      <c r="B94" s="11"/>
    </row>
    <row r="95" spans="1:2" x14ac:dyDescent="0.3">
      <c r="A95" s="14"/>
      <c r="B95" s="11"/>
    </row>
    <row r="96" spans="1:2" x14ac:dyDescent="0.3">
      <c r="A96" s="14"/>
      <c r="B96" s="11"/>
    </row>
    <row r="97" spans="1:2" x14ac:dyDescent="0.3">
      <c r="A97" s="14"/>
      <c r="B97" s="11"/>
    </row>
    <row r="98" spans="1:2" x14ac:dyDescent="0.3">
      <c r="A98" s="14"/>
      <c r="B98" s="11"/>
    </row>
    <row r="99" spans="1:2" x14ac:dyDescent="0.3">
      <c r="A99" s="14"/>
      <c r="B99" s="11"/>
    </row>
    <row r="100" spans="1:2" x14ac:dyDescent="0.3">
      <c r="A100" s="14"/>
      <c r="B100" s="11"/>
    </row>
    <row r="101" spans="1:2" x14ac:dyDescent="0.3">
      <c r="A101" s="14"/>
      <c r="B101" s="11"/>
    </row>
    <row r="102" spans="1:2" x14ac:dyDescent="0.3">
      <c r="A102" s="14"/>
      <c r="B102" s="11"/>
    </row>
    <row r="103" spans="1:2" x14ac:dyDescent="0.3">
      <c r="A103" s="14"/>
      <c r="B103" s="11"/>
    </row>
    <row r="104" spans="1:2" x14ac:dyDescent="0.3">
      <c r="A104" s="14"/>
      <c r="B104" s="11"/>
    </row>
    <row r="105" spans="1:2" x14ac:dyDescent="0.3">
      <c r="A105" s="14"/>
      <c r="B105" s="11"/>
    </row>
    <row r="106" spans="1:2" x14ac:dyDescent="0.3">
      <c r="A106" s="14"/>
      <c r="B106" s="11"/>
    </row>
    <row r="107" spans="1:2" x14ac:dyDescent="0.3">
      <c r="A107" s="14"/>
      <c r="B107" s="11"/>
    </row>
    <row r="108" spans="1:2" x14ac:dyDescent="0.3">
      <c r="A108" s="14"/>
      <c r="B108" s="11"/>
    </row>
    <row r="109" spans="1:2" x14ac:dyDescent="0.3">
      <c r="A109" s="14"/>
      <c r="B109" s="11"/>
    </row>
    <row r="110" spans="1:2" x14ac:dyDescent="0.3">
      <c r="A110" s="14"/>
      <c r="B110" s="11"/>
    </row>
    <row r="111" spans="1:2" x14ac:dyDescent="0.3">
      <c r="A111" s="14"/>
      <c r="B111" s="11"/>
    </row>
    <row r="112" spans="1:2" x14ac:dyDescent="0.3">
      <c r="A112" s="14"/>
      <c r="B112" s="11"/>
    </row>
    <row r="113" spans="1:2" x14ac:dyDescent="0.3">
      <c r="A113" s="14"/>
      <c r="B113" s="11"/>
    </row>
    <row r="114" spans="1:2" x14ac:dyDescent="0.3">
      <c r="A114" s="14"/>
      <c r="B114" s="11"/>
    </row>
    <row r="115" spans="1:2" x14ac:dyDescent="0.3">
      <c r="A115" s="14"/>
      <c r="B115" s="11"/>
    </row>
    <row r="116" spans="1:2" x14ac:dyDescent="0.3">
      <c r="A116" s="14"/>
      <c r="B116" s="11"/>
    </row>
    <row r="117" spans="1:2" x14ac:dyDescent="0.3">
      <c r="A117" s="14"/>
      <c r="B117" s="11"/>
    </row>
    <row r="118" spans="1:2" x14ac:dyDescent="0.3">
      <c r="A118" s="14"/>
      <c r="B118" s="11"/>
    </row>
    <row r="119" spans="1:2" x14ac:dyDescent="0.3">
      <c r="A119" s="14"/>
      <c r="B119" s="11"/>
    </row>
    <row r="120" spans="1:2" x14ac:dyDescent="0.3">
      <c r="A120" s="14"/>
      <c r="B120" s="11"/>
    </row>
    <row r="121" spans="1:2" x14ac:dyDescent="0.3">
      <c r="A121" s="14"/>
      <c r="B121" s="11"/>
    </row>
    <row r="122" spans="1:2" x14ac:dyDescent="0.3">
      <c r="A122" s="14"/>
      <c r="B122" s="11"/>
    </row>
    <row r="123" spans="1:2" x14ac:dyDescent="0.3">
      <c r="A123" s="14"/>
      <c r="B123" s="11"/>
    </row>
    <row r="124" spans="1:2" x14ac:dyDescent="0.3">
      <c r="A124" s="14"/>
      <c r="B124" s="11"/>
    </row>
    <row r="125" spans="1:2" x14ac:dyDescent="0.3">
      <c r="A125" s="14"/>
      <c r="B125" s="11"/>
    </row>
    <row r="126" spans="1:2" x14ac:dyDescent="0.3">
      <c r="A126" s="14"/>
      <c r="B126" s="11"/>
    </row>
    <row r="127" spans="1:2" x14ac:dyDescent="0.3">
      <c r="A127" s="14"/>
      <c r="B127" s="11"/>
    </row>
    <row r="128" spans="1:2" x14ac:dyDescent="0.3">
      <c r="A128" s="14"/>
      <c r="B128" s="11"/>
    </row>
    <row r="129" spans="1:2" x14ac:dyDescent="0.3">
      <c r="A129" s="14"/>
      <c r="B129" s="11"/>
    </row>
    <row r="130" spans="1:2" x14ac:dyDescent="0.3">
      <c r="A130" s="14"/>
      <c r="B130" s="11"/>
    </row>
    <row r="131" spans="1:2" x14ac:dyDescent="0.3">
      <c r="A131" s="14"/>
      <c r="B131" s="11"/>
    </row>
    <row r="132" spans="1:2" x14ac:dyDescent="0.3">
      <c r="A132" s="14"/>
      <c r="B132" s="11"/>
    </row>
    <row r="133" spans="1:2" x14ac:dyDescent="0.3">
      <c r="A133" s="14"/>
      <c r="B133" s="11"/>
    </row>
    <row r="134" spans="1:2" x14ac:dyDescent="0.3">
      <c r="A134" s="14"/>
      <c r="B134" s="11"/>
    </row>
    <row r="135" spans="1:2" x14ac:dyDescent="0.3">
      <c r="A135" s="14"/>
      <c r="B135" s="11"/>
    </row>
    <row r="136" spans="1:2" x14ac:dyDescent="0.3">
      <c r="A136" s="14"/>
      <c r="B136" s="11"/>
    </row>
    <row r="137" spans="1:2" x14ac:dyDescent="0.3">
      <c r="A137" s="14"/>
      <c r="B137" s="11"/>
    </row>
    <row r="138" spans="1:2" x14ac:dyDescent="0.3">
      <c r="A138" s="14"/>
      <c r="B138" s="11"/>
    </row>
    <row r="139" spans="1:2" x14ac:dyDescent="0.3">
      <c r="A139" s="14"/>
      <c r="B139" s="11"/>
    </row>
    <row r="140" spans="1:2" x14ac:dyDescent="0.3">
      <c r="A140" s="14"/>
      <c r="B140" s="11"/>
    </row>
    <row r="141" spans="1:2" x14ac:dyDescent="0.3">
      <c r="A141" s="14"/>
      <c r="B141" s="11"/>
    </row>
    <row r="142" spans="1:2" x14ac:dyDescent="0.3">
      <c r="A142" s="14"/>
      <c r="B142" s="11"/>
    </row>
    <row r="143" spans="1:2" x14ac:dyDescent="0.3">
      <c r="A143" s="14"/>
      <c r="B143" s="11"/>
    </row>
    <row r="144" spans="1:2" x14ac:dyDescent="0.3">
      <c r="A144" s="14"/>
      <c r="B144" s="11"/>
    </row>
    <row r="145" spans="1:2" x14ac:dyDescent="0.3">
      <c r="A145" s="14"/>
      <c r="B145" s="11"/>
    </row>
    <row r="146" spans="1:2" x14ac:dyDescent="0.3">
      <c r="A146" s="14"/>
      <c r="B146" s="11"/>
    </row>
    <row r="147" spans="1:2" x14ac:dyDescent="0.3">
      <c r="A147" s="14"/>
      <c r="B147" s="11"/>
    </row>
    <row r="148" spans="1:2" x14ac:dyDescent="0.3">
      <c r="A148" s="14"/>
      <c r="B148" s="11"/>
    </row>
    <row r="149" spans="1:2" x14ac:dyDescent="0.3">
      <c r="A149" s="14"/>
      <c r="B149" s="11"/>
    </row>
    <row r="150" spans="1:2" x14ac:dyDescent="0.3">
      <c r="A150" s="14"/>
      <c r="B150" s="11"/>
    </row>
    <row r="151" spans="1:2" x14ac:dyDescent="0.3">
      <c r="A151" s="14"/>
      <c r="B151" s="11"/>
    </row>
    <row r="152" spans="1:2" x14ac:dyDescent="0.3">
      <c r="A152" s="14"/>
      <c r="B152" s="11"/>
    </row>
    <row r="153" spans="1:2" x14ac:dyDescent="0.3">
      <c r="A153" s="14"/>
      <c r="B153" s="11"/>
    </row>
    <row r="154" spans="1:2" x14ac:dyDescent="0.3">
      <c r="A154" s="14"/>
      <c r="B154" s="11"/>
    </row>
    <row r="155" spans="1:2" x14ac:dyDescent="0.3">
      <c r="A155" s="14"/>
      <c r="B155" s="11"/>
    </row>
    <row r="156" spans="1:2" x14ac:dyDescent="0.3">
      <c r="A156" s="14"/>
      <c r="B156" s="11"/>
    </row>
    <row r="157" spans="1:2" x14ac:dyDescent="0.3">
      <c r="A157" s="14"/>
      <c r="B157" s="11"/>
    </row>
    <row r="158" spans="1:2" x14ac:dyDescent="0.3">
      <c r="A158" s="14"/>
      <c r="B158" s="11"/>
    </row>
    <row r="159" spans="1:2" x14ac:dyDescent="0.3">
      <c r="A159" s="14"/>
      <c r="B159" s="11"/>
    </row>
    <row r="160" spans="1:2" x14ac:dyDescent="0.3">
      <c r="A160" s="14"/>
      <c r="B160" s="11"/>
    </row>
    <row r="161" spans="1:2" x14ac:dyDescent="0.3">
      <c r="A161" s="14"/>
      <c r="B161" s="11"/>
    </row>
    <row r="162" spans="1:2" x14ac:dyDescent="0.3">
      <c r="A162" s="14"/>
      <c r="B162" s="11"/>
    </row>
    <row r="163" spans="1:2" x14ac:dyDescent="0.3">
      <c r="A163" s="14"/>
      <c r="B163" s="11"/>
    </row>
    <row r="164" spans="1:2" x14ac:dyDescent="0.3">
      <c r="A164" s="14"/>
      <c r="B164" s="11"/>
    </row>
    <row r="165" spans="1:2" x14ac:dyDescent="0.3">
      <c r="A165" s="14"/>
      <c r="B165" s="11"/>
    </row>
    <row r="166" spans="1:2" x14ac:dyDescent="0.3">
      <c r="A166" s="14"/>
      <c r="B166" s="11"/>
    </row>
    <row r="167" spans="1:2" x14ac:dyDescent="0.3">
      <c r="A167" s="14"/>
      <c r="B167" s="11"/>
    </row>
    <row r="168" spans="1:2" x14ac:dyDescent="0.3">
      <c r="A168" s="14"/>
      <c r="B168" s="11"/>
    </row>
    <row r="169" spans="1:2" x14ac:dyDescent="0.3">
      <c r="A169" s="14"/>
      <c r="B169" s="11"/>
    </row>
    <row r="170" spans="1:2" x14ac:dyDescent="0.3">
      <c r="A170" s="14"/>
      <c r="B170" s="11"/>
    </row>
    <row r="171" spans="1:2" x14ac:dyDescent="0.3">
      <c r="A171" s="14"/>
      <c r="B171" s="11"/>
    </row>
    <row r="172" spans="1:2" x14ac:dyDescent="0.3">
      <c r="A172" s="14"/>
      <c r="B172" s="11"/>
    </row>
    <row r="173" spans="1:2" x14ac:dyDescent="0.3">
      <c r="A173" s="14"/>
      <c r="B173" s="11"/>
    </row>
    <row r="174" spans="1:2" x14ac:dyDescent="0.3">
      <c r="A174" s="14"/>
      <c r="B174" s="11"/>
    </row>
    <row r="175" spans="1:2" x14ac:dyDescent="0.3">
      <c r="A175" s="14"/>
      <c r="B175" s="11"/>
    </row>
    <row r="176" spans="1:2" x14ac:dyDescent="0.3">
      <c r="A176" s="14"/>
      <c r="B176" s="11"/>
    </row>
    <row r="177" spans="1:2" x14ac:dyDescent="0.3">
      <c r="A177" s="14"/>
      <c r="B177" s="11"/>
    </row>
    <row r="178" spans="1:2" x14ac:dyDescent="0.3">
      <c r="A178" s="14"/>
      <c r="B178" s="11"/>
    </row>
    <row r="179" spans="1:2" x14ac:dyDescent="0.3">
      <c r="A179" s="14"/>
      <c r="B179" s="11"/>
    </row>
    <row r="180" spans="1:2" x14ac:dyDescent="0.3">
      <c r="A180" s="14"/>
      <c r="B180" s="11"/>
    </row>
    <row r="181" spans="1:2" x14ac:dyDescent="0.3">
      <c r="A181" s="14"/>
      <c r="B181" s="11"/>
    </row>
    <row r="182" spans="1:2" x14ac:dyDescent="0.3">
      <c r="A182" s="14"/>
      <c r="B182" s="11"/>
    </row>
    <row r="183" spans="1:2" x14ac:dyDescent="0.3">
      <c r="A183" s="14"/>
      <c r="B183" s="11"/>
    </row>
    <row r="184" spans="1:2" x14ac:dyDescent="0.3">
      <c r="A184" s="14"/>
      <c r="B184" s="11"/>
    </row>
    <row r="185" spans="1:2" x14ac:dyDescent="0.3">
      <c r="A185" s="14"/>
      <c r="B185" s="11"/>
    </row>
    <row r="186" spans="1:2" x14ac:dyDescent="0.3">
      <c r="A186" s="14"/>
      <c r="B186" s="11"/>
    </row>
    <row r="187" spans="1:2" x14ac:dyDescent="0.3">
      <c r="A187" s="14"/>
      <c r="B187" s="11"/>
    </row>
    <row r="188" spans="1:2" x14ac:dyDescent="0.3">
      <c r="A188" s="14"/>
      <c r="B188" s="11"/>
    </row>
    <row r="189" spans="1:2" x14ac:dyDescent="0.3">
      <c r="A189" s="14"/>
      <c r="B189" s="11"/>
    </row>
    <row r="190" spans="1:2" x14ac:dyDescent="0.3">
      <c r="A190" s="14"/>
      <c r="B190" s="11"/>
    </row>
    <row r="191" spans="1:2" x14ac:dyDescent="0.3">
      <c r="A191" s="14"/>
      <c r="B191" s="11"/>
    </row>
    <row r="192" spans="1:2" x14ac:dyDescent="0.3">
      <c r="A192" s="14"/>
      <c r="B192" s="11"/>
    </row>
    <row r="193" spans="1:2" x14ac:dyDescent="0.3">
      <c r="A193" s="14"/>
      <c r="B193" s="11"/>
    </row>
    <row r="194" spans="1:2" x14ac:dyDescent="0.3">
      <c r="A194" s="14"/>
      <c r="B194" s="11"/>
    </row>
    <row r="195" spans="1:2" x14ac:dyDescent="0.3">
      <c r="A195" s="14"/>
      <c r="B195" s="11"/>
    </row>
    <row r="196" spans="1:2" x14ac:dyDescent="0.3">
      <c r="A196" s="14"/>
      <c r="B196" s="11"/>
    </row>
    <row r="197" spans="1:2" x14ac:dyDescent="0.3">
      <c r="A197" s="14"/>
      <c r="B197" s="11"/>
    </row>
    <row r="198" spans="1:2" x14ac:dyDescent="0.3">
      <c r="A198" s="14"/>
      <c r="B198" s="11"/>
    </row>
    <row r="199" spans="1:2" x14ac:dyDescent="0.3">
      <c r="A199" s="14"/>
      <c r="B199" s="11"/>
    </row>
    <row r="200" spans="1:2" x14ac:dyDescent="0.3">
      <c r="A200" s="14"/>
      <c r="B200" s="11"/>
    </row>
    <row r="201" spans="1:2" x14ac:dyDescent="0.3">
      <c r="A201" s="14"/>
      <c r="B201" s="11"/>
    </row>
    <row r="202" spans="1:2" x14ac:dyDescent="0.3">
      <c r="A202" s="14"/>
      <c r="B202" s="11"/>
    </row>
    <row r="203" spans="1:2" x14ac:dyDescent="0.3">
      <c r="A203" s="14"/>
      <c r="B203" s="11"/>
    </row>
    <row r="204" spans="1:2" x14ac:dyDescent="0.3">
      <c r="A204" s="14"/>
      <c r="B204" s="11"/>
    </row>
    <row r="205" spans="1:2" x14ac:dyDescent="0.3">
      <c r="A205" s="14"/>
      <c r="B205" s="11"/>
    </row>
    <row r="206" spans="1:2" x14ac:dyDescent="0.3">
      <c r="A206" s="14"/>
      <c r="B206" s="11"/>
    </row>
    <row r="207" spans="1:2" x14ac:dyDescent="0.3">
      <c r="A207" s="14"/>
      <c r="B207" s="11"/>
    </row>
    <row r="208" spans="1:2" x14ac:dyDescent="0.3">
      <c r="A208" s="14"/>
      <c r="B208" s="11"/>
    </row>
    <row r="209" spans="1:2" x14ac:dyDescent="0.3">
      <c r="A209" s="14"/>
      <c r="B209" s="11"/>
    </row>
    <row r="210" spans="1:2" x14ac:dyDescent="0.3">
      <c r="A210" s="14"/>
      <c r="B210" s="11"/>
    </row>
    <row r="211" spans="1:2" x14ac:dyDescent="0.3">
      <c r="A211" s="14"/>
      <c r="B211" s="11"/>
    </row>
    <row r="212" spans="1:2" x14ac:dyDescent="0.3">
      <c r="A212" s="14"/>
      <c r="B212" s="11"/>
    </row>
    <row r="213" spans="1:2" x14ac:dyDescent="0.3">
      <c r="A213" s="14"/>
      <c r="B213" s="11"/>
    </row>
    <row r="214" spans="1:2" x14ac:dyDescent="0.3">
      <c r="A214" s="14"/>
      <c r="B214" s="11"/>
    </row>
    <row r="215" spans="1:2" x14ac:dyDescent="0.3">
      <c r="A215" s="14"/>
      <c r="B215" s="11"/>
    </row>
    <row r="216" spans="1:2" x14ac:dyDescent="0.3">
      <c r="A216" s="14"/>
      <c r="B216" s="11"/>
    </row>
    <row r="217" spans="1:2" x14ac:dyDescent="0.3">
      <c r="A217" s="14"/>
      <c r="B217" s="11"/>
    </row>
    <row r="218" spans="1:2" x14ac:dyDescent="0.3">
      <c r="A218" s="14"/>
      <c r="B218" s="11"/>
    </row>
    <row r="219" spans="1:2" x14ac:dyDescent="0.3">
      <c r="A219" s="14"/>
      <c r="B219" s="11"/>
    </row>
    <row r="220" spans="1:2" x14ac:dyDescent="0.3">
      <c r="A220" s="14"/>
      <c r="B220" s="11"/>
    </row>
    <row r="221" spans="1:2" x14ac:dyDescent="0.3">
      <c r="A221" s="14"/>
      <c r="B221" s="11"/>
    </row>
    <row r="222" spans="1:2" x14ac:dyDescent="0.3">
      <c r="A222" s="14"/>
      <c r="B222" s="11"/>
    </row>
    <row r="223" spans="1:2" x14ac:dyDescent="0.3">
      <c r="A223" s="14"/>
      <c r="B223" s="11"/>
    </row>
    <row r="224" spans="1:2" x14ac:dyDescent="0.3">
      <c r="A224" s="14"/>
      <c r="B224" s="11"/>
    </row>
    <row r="225" spans="1:2" x14ac:dyDescent="0.3">
      <c r="A225" s="14"/>
      <c r="B225" s="11"/>
    </row>
    <row r="226" spans="1:2" x14ac:dyDescent="0.3">
      <c r="A226" s="14"/>
      <c r="B226" s="11"/>
    </row>
    <row r="227" spans="1:2" x14ac:dyDescent="0.3">
      <c r="A227" s="14"/>
      <c r="B227" s="11"/>
    </row>
    <row r="228" spans="1:2" x14ac:dyDescent="0.3">
      <c r="A228" s="14"/>
      <c r="B228" s="11"/>
    </row>
    <row r="229" spans="1:2" x14ac:dyDescent="0.3">
      <c r="A229" s="14"/>
      <c r="B229" s="11"/>
    </row>
    <row r="230" spans="1:2" x14ac:dyDescent="0.3">
      <c r="A230" s="14"/>
      <c r="B230" s="11"/>
    </row>
    <row r="231" spans="1:2" x14ac:dyDescent="0.3">
      <c r="A231" s="14"/>
      <c r="B231" s="11"/>
    </row>
    <row r="232" spans="1:2" x14ac:dyDescent="0.3">
      <c r="A232" s="14"/>
      <c r="B232" s="11"/>
    </row>
    <row r="233" spans="1:2" x14ac:dyDescent="0.3">
      <c r="A233" s="14"/>
      <c r="B233" s="11"/>
    </row>
    <row r="234" spans="1:2" x14ac:dyDescent="0.3">
      <c r="A234" s="14"/>
      <c r="B234" s="11"/>
    </row>
    <row r="235" spans="1:2" x14ac:dyDescent="0.3">
      <c r="A235" s="14"/>
      <c r="B235" s="11"/>
    </row>
    <row r="236" spans="1:2" x14ac:dyDescent="0.3">
      <c r="A236" s="14"/>
      <c r="B236" s="11"/>
    </row>
    <row r="237" spans="1:2" x14ac:dyDescent="0.3">
      <c r="A237" s="14"/>
      <c r="B237" s="11"/>
    </row>
    <row r="238" spans="1:2" x14ac:dyDescent="0.3">
      <c r="A238" s="14"/>
      <c r="B238" s="11"/>
    </row>
    <row r="239" spans="1:2" x14ac:dyDescent="0.3">
      <c r="A239" s="14"/>
      <c r="B239" s="11"/>
    </row>
    <row r="240" spans="1:2" x14ac:dyDescent="0.3">
      <c r="A240" s="14"/>
      <c r="B240" s="11"/>
    </row>
    <row r="241" spans="1:2" x14ac:dyDescent="0.3">
      <c r="A241" s="14"/>
      <c r="B241" s="11"/>
    </row>
    <row r="242" spans="1:2" x14ac:dyDescent="0.3">
      <c r="A242" s="14"/>
      <c r="B242" s="11"/>
    </row>
    <row r="243" spans="1:2" x14ac:dyDescent="0.3">
      <c r="A243" s="14"/>
      <c r="B243" s="11"/>
    </row>
    <row r="244" spans="1:2" x14ac:dyDescent="0.3">
      <c r="A244" s="14"/>
      <c r="B244" s="11"/>
    </row>
    <row r="245" spans="1:2" x14ac:dyDescent="0.3">
      <c r="A245" s="14"/>
      <c r="B245" s="11"/>
    </row>
    <row r="246" spans="1:2" x14ac:dyDescent="0.3">
      <c r="A246" s="14"/>
      <c r="B246" s="11"/>
    </row>
    <row r="247" spans="1:2" x14ac:dyDescent="0.3">
      <c r="A247" s="14"/>
      <c r="B247" s="11"/>
    </row>
    <row r="248" spans="1:2" x14ac:dyDescent="0.3">
      <c r="A248" s="14"/>
      <c r="B248" s="11"/>
    </row>
    <row r="249" spans="1:2" x14ac:dyDescent="0.3">
      <c r="A249" s="14"/>
      <c r="B249" s="11"/>
    </row>
    <row r="250" spans="1:2" x14ac:dyDescent="0.3">
      <c r="A250" s="14"/>
      <c r="B250" s="11"/>
    </row>
    <row r="251" spans="1:2" x14ac:dyDescent="0.3">
      <c r="A251" s="14"/>
      <c r="B251" s="11"/>
    </row>
    <row r="252" spans="1:2" x14ac:dyDescent="0.3">
      <c r="A252" s="14"/>
      <c r="B252" s="11"/>
    </row>
    <row r="253" spans="1:2" x14ac:dyDescent="0.3">
      <c r="A253" s="14"/>
      <c r="B253" s="1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17EB-813F-4AE8-9444-368E2DD91819}">
  <sheetPr codeName="Planilha5">
    <tabColor theme="3" tint="0.749992370372631"/>
  </sheetPr>
  <dimension ref="A1:Q251"/>
  <sheetViews>
    <sheetView workbookViewId="0">
      <selection activeCell="H12" sqref="H12"/>
    </sheetView>
  </sheetViews>
  <sheetFormatPr defaultRowHeight="14.4" x14ac:dyDescent="0.3"/>
  <cols>
    <col min="1" max="1" width="19.88671875" customWidth="1"/>
    <col min="2" max="2" width="19.6640625" style="4" bestFit="1" customWidth="1"/>
    <col min="5" max="6" width="9.109375" style="8"/>
    <col min="10" max="10" width="12.109375" bestFit="1" customWidth="1"/>
    <col min="14" max="14" width="9.109375" style="3"/>
    <col min="15" max="15" width="12.109375" bestFit="1" customWidth="1"/>
    <col min="19" max="19" width="12.109375" bestFit="1" customWidth="1"/>
  </cols>
  <sheetData>
    <row r="1" spans="1:17" ht="15" thickBot="1" x14ac:dyDescent="0.35">
      <c r="A1" s="1" t="s">
        <v>0</v>
      </c>
      <c r="B1" s="2" t="s">
        <v>77</v>
      </c>
      <c r="C1" s="3">
        <f>SUM(B:B)</f>
        <v>0.99950000000000061</v>
      </c>
      <c r="E1" s="8" t="s">
        <v>0</v>
      </c>
      <c r="F1" s="8" t="s">
        <v>78</v>
      </c>
      <c r="G1" s="5">
        <f>SUM(F:F)</f>
        <v>0.99975099999999972</v>
      </c>
      <c r="J1" s="6" t="s">
        <v>117</v>
      </c>
    </row>
    <row r="2" spans="1:17" x14ac:dyDescent="0.3">
      <c r="A2" s="10" t="s">
        <v>48</v>
      </c>
      <c r="B2" s="11">
        <v>2.5999999999999999E-2</v>
      </c>
      <c r="E2" s="8" t="str">
        <f>A2</f>
        <v>JHSF3</v>
      </c>
      <c r="F2" s="5">
        <f t="shared" ref="F2:F33" si="0">(1-$F$66-$F$67)*B2</f>
        <v>1.2947999999999999E-2</v>
      </c>
      <c r="I2" s="3"/>
      <c r="J2" s="3">
        <f>VLOOKUP(A2,'[1]35 - SMLL'!$A$9:$B$219,2,0)</f>
        <v>2.5999999999999999E-2</v>
      </c>
      <c r="K2" s="6">
        <f>J2-B2</f>
        <v>0</v>
      </c>
      <c r="M2" s="3"/>
      <c r="Q2" s="6"/>
    </row>
    <row r="3" spans="1:17" x14ac:dyDescent="0.3">
      <c r="A3" s="10" t="s">
        <v>46</v>
      </c>
      <c r="B3" s="11">
        <v>1.4999999999999999E-2</v>
      </c>
      <c r="E3" s="8" t="str">
        <f t="shared" ref="E3:E63" si="1">A3</f>
        <v>WIZC3</v>
      </c>
      <c r="F3" s="5">
        <f t="shared" si="0"/>
        <v>7.4700000000000001E-3</v>
      </c>
      <c r="I3" s="3"/>
      <c r="J3" s="3">
        <f>VLOOKUP(A3,'[1]35 - SMLL'!$A$9:$B$219,2,0)</f>
        <v>1.4999999999999999E-2</v>
      </c>
      <c r="K3" s="6">
        <f t="shared" ref="K3:K65" si="2">J3-B3</f>
        <v>0</v>
      </c>
      <c r="M3" s="3"/>
      <c r="Q3" s="6"/>
    </row>
    <row r="4" spans="1:17" x14ac:dyDescent="0.3">
      <c r="A4" s="10" t="s">
        <v>110</v>
      </c>
      <c r="B4" s="11">
        <v>1.7999999999999999E-2</v>
      </c>
      <c r="E4" s="8" t="str">
        <f t="shared" si="1"/>
        <v>LOGG3</v>
      </c>
      <c r="F4" s="5">
        <f t="shared" si="0"/>
        <v>8.9639999999999997E-3</v>
      </c>
      <c r="I4" s="3"/>
      <c r="J4" s="3">
        <f>VLOOKUP(A4,'[1]35 - SMLL'!$A$9:$B$219,2,0)</f>
        <v>1.7999999999999999E-2</v>
      </c>
      <c r="K4" s="6">
        <f t="shared" si="2"/>
        <v>0</v>
      </c>
      <c r="M4" s="3"/>
      <c r="Q4" s="6"/>
    </row>
    <row r="5" spans="1:17" x14ac:dyDescent="0.3">
      <c r="A5" s="10" t="s">
        <v>94</v>
      </c>
      <c r="B5" s="11">
        <v>1.4999999999999999E-2</v>
      </c>
      <c r="E5" s="8" t="str">
        <f t="shared" si="1"/>
        <v>FIQE3</v>
      </c>
      <c r="F5" s="5">
        <f t="shared" si="0"/>
        <v>7.4700000000000001E-3</v>
      </c>
      <c r="I5" s="3"/>
      <c r="J5" s="3">
        <f>VLOOKUP(A5,'[1]35 - SMLL'!$A$9:$B$219,2,0)</f>
        <v>1.4999999999999999E-2</v>
      </c>
      <c r="K5" s="6">
        <f t="shared" si="2"/>
        <v>0</v>
      </c>
      <c r="M5" s="3"/>
      <c r="Q5" s="6"/>
    </row>
    <row r="6" spans="1:17" x14ac:dyDescent="0.3">
      <c r="A6" s="10" t="s">
        <v>63</v>
      </c>
      <c r="B6" s="11">
        <v>1.4E-2</v>
      </c>
      <c r="E6" s="8" t="str">
        <f t="shared" si="1"/>
        <v>BMGB4</v>
      </c>
      <c r="F6" s="5">
        <f t="shared" si="0"/>
        <v>6.9719999999999999E-3</v>
      </c>
      <c r="I6" s="3"/>
      <c r="J6" s="3">
        <f>VLOOKUP(A6,'[1]35 - SMLL'!$A$9:$B$219,2,0)</f>
        <v>1.4E-2</v>
      </c>
      <c r="K6" s="6">
        <f t="shared" si="2"/>
        <v>0</v>
      </c>
      <c r="M6" s="3"/>
      <c r="Q6" s="6"/>
    </row>
    <row r="7" spans="1:17" x14ac:dyDescent="0.3">
      <c r="A7" s="10" t="s">
        <v>95</v>
      </c>
      <c r="B7" s="11">
        <v>1.0999999999999999E-2</v>
      </c>
      <c r="E7" s="8" t="str">
        <f t="shared" si="1"/>
        <v>ALLD3</v>
      </c>
      <c r="F7" s="5">
        <f t="shared" si="0"/>
        <v>5.4779999999999994E-3</v>
      </c>
      <c r="I7" s="3"/>
      <c r="J7" s="3">
        <f>VLOOKUP(A7,'[1]35 - SMLL'!$A$9:$B$219,2,0)</f>
        <v>1.0999999999999999E-2</v>
      </c>
      <c r="K7" s="6">
        <f t="shared" si="2"/>
        <v>0</v>
      </c>
      <c r="M7" s="3"/>
      <c r="Q7" s="6"/>
    </row>
    <row r="8" spans="1:17" x14ac:dyDescent="0.3">
      <c r="A8" s="10" t="s">
        <v>102</v>
      </c>
      <c r="B8" s="11">
        <v>1.4999999999999999E-2</v>
      </c>
      <c r="E8" s="8" t="str">
        <f t="shared" si="1"/>
        <v>RIAA3</v>
      </c>
      <c r="F8" s="5">
        <f t="shared" si="0"/>
        <v>7.4700000000000001E-3</v>
      </c>
      <c r="I8" s="3"/>
      <c r="J8" s="3">
        <f>VLOOKUP(A8,'[1]35 - SMLL'!$A$9:$B$219,2,0)</f>
        <v>1.4999999999999999E-2</v>
      </c>
      <c r="K8" s="6">
        <f t="shared" si="2"/>
        <v>0</v>
      </c>
      <c r="M8" s="3"/>
      <c r="Q8" s="6"/>
    </row>
    <row r="9" spans="1:17" x14ac:dyDescent="0.3">
      <c r="A9" s="10" t="s">
        <v>61</v>
      </c>
      <c r="B9" s="11">
        <v>1.4999999999999999E-2</v>
      </c>
      <c r="E9" s="8" t="str">
        <f t="shared" si="1"/>
        <v>GRND3</v>
      </c>
      <c r="F9" s="5">
        <f t="shared" si="0"/>
        <v>7.4700000000000001E-3</v>
      </c>
      <c r="I9" s="3"/>
      <c r="J9" s="3">
        <f>VLOOKUP(A9,'[1]35 - SMLL'!$A$9:$B$219,2,0)</f>
        <v>1.4999999999999999E-2</v>
      </c>
      <c r="K9" s="6">
        <f t="shared" si="2"/>
        <v>0</v>
      </c>
      <c r="M9" s="3"/>
      <c r="Q9" s="6"/>
    </row>
    <row r="10" spans="1:17" x14ac:dyDescent="0.3">
      <c r="A10" s="10" t="s">
        <v>115</v>
      </c>
      <c r="B10" s="11">
        <v>1.4E-2</v>
      </c>
      <c r="E10" s="8" t="str">
        <f t="shared" si="1"/>
        <v>HBRE3</v>
      </c>
      <c r="F10" s="5">
        <f t="shared" si="0"/>
        <v>6.9719999999999999E-3</v>
      </c>
      <c r="I10" s="3"/>
      <c r="J10" s="3">
        <f>VLOOKUP(A10,'[1]35 - SMLL'!$A$9:$B$219,2,0)</f>
        <v>1.4E-2</v>
      </c>
      <c r="K10" s="6">
        <f t="shared" si="2"/>
        <v>0</v>
      </c>
      <c r="M10" s="3"/>
      <c r="Q10" s="6"/>
    </row>
    <row r="11" spans="1:17" x14ac:dyDescent="0.3">
      <c r="A11" s="10" t="s">
        <v>87</v>
      </c>
      <c r="B11" s="11">
        <v>1.4999999999999999E-2</v>
      </c>
      <c r="E11" s="8" t="str">
        <f t="shared" si="1"/>
        <v>POMO3</v>
      </c>
      <c r="F11" s="5">
        <f t="shared" si="0"/>
        <v>7.4700000000000001E-3</v>
      </c>
      <c r="I11" s="3"/>
      <c r="J11" s="3">
        <f>VLOOKUP(A11,'[1]35 - SMLL'!$A$9:$B$219,2,0)</f>
        <v>1.4999999999999999E-2</v>
      </c>
      <c r="K11" s="6">
        <f t="shared" si="2"/>
        <v>0</v>
      </c>
      <c r="M11" s="3"/>
      <c r="Q11" s="6"/>
    </row>
    <row r="12" spans="1:17" x14ac:dyDescent="0.3">
      <c r="A12" s="10" t="s">
        <v>50</v>
      </c>
      <c r="B12" s="11">
        <v>2.1000000000000001E-2</v>
      </c>
      <c r="E12" s="8" t="str">
        <f t="shared" si="1"/>
        <v>MTRE3</v>
      </c>
      <c r="F12" s="5">
        <f t="shared" si="0"/>
        <v>1.0458E-2</v>
      </c>
      <c r="I12" s="3"/>
      <c r="J12" s="3">
        <f>VLOOKUP(A12,'[1]35 - SMLL'!$A$9:$B$219,2,0)</f>
        <v>2.1000000000000001E-2</v>
      </c>
      <c r="K12" s="6">
        <f t="shared" si="2"/>
        <v>0</v>
      </c>
      <c r="M12" s="3"/>
      <c r="Q12" s="6"/>
    </row>
    <row r="13" spans="1:17" x14ac:dyDescent="0.3">
      <c r="A13" s="10" t="s">
        <v>112</v>
      </c>
      <c r="B13" s="11">
        <v>1.0999999999999999E-2</v>
      </c>
      <c r="E13" s="8" t="str">
        <f t="shared" si="1"/>
        <v>MLAS3</v>
      </c>
      <c r="F13" s="5">
        <f t="shared" si="0"/>
        <v>5.4779999999999994E-3</v>
      </c>
      <c r="I13" s="3"/>
      <c r="J13" s="3">
        <f>VLOOKUP(A13,'[1]35 - SMLL'!$A$9:$B$219,2,0)</f>
        <v>1.0999999999999999E-2</v>
      </c>
      <c r="K13" s="6">
        <f t="shared" si="2"/>
        <v>0</v>
      </c>
      <c r="M13" s="3"/>
      <c r="Q13" s="6"/>
    </row>
    <row r="14" spans="1:17" x14ac:dyDescent="0.3">
      <c r="A14" s="10" t="s">
        <v>29</v>
      </c>
      <c r="B14" s="11">
        <v>1.4E-2</v>
      </c>
      <c r="E14" s="8" t="str">
        <f t="shared" si="1"/>
        <v>SYNE3</v>
      </c>
      <c r="F14" s="5">
        <f t="shared" si="0"/>
        <v>6.9719999999999999E-3</v>
      </c>
      <c r="I14" s="3"/>
      <c r="J14" s="3">
        <f>VLOOKUP(A14,'[1]35 - SMLL'!$A$9:$B$219,2,0)</f>
        <v>1.4E-2</v>
      </c>
      <c r="K14" s="6">
        <f t="shared" si="2"/>
        <v>0</v>
      </c>
      <c r="M14" s="3"/>
      <c r="Q14" s="6"/>
    </row>
    <row r="15" spans="1:17" x14ac:dyDescent="0.3">
      <c r="A15" s="10" t="s">
        <v>26</v>
      </c>
      <c r="B15" s="11">
        <v>0.02</v>
      </c>
      <c r="E15" s="8" t="str">
        <f t="shared" si="1"/>
        <v>BRSR6</v>
      </c>
      <c r="F15" s="5">
        <f t="shared" si="0"/>
        <v>9.9600000000000001E-3</v>
      </c>
      <c r="I15" s="3"/>
      <c r="J15" s="3">
        <f>VLOOKUP(A15,'[1]35 - SMLL'!$A$9:$B$219,2,0)</f>
        <v>0.02</v>
      </c>
      <c r="K15" s="6">
        <f t="shared" si="2"/>
        <v>0</v>
      </c>
      <c r="M15" s="3"/>
      <c r="Q15" s="6"/>
    </row>
    <row r="16" spans="1:17" x14ac:dyDescent="0.3">
      <c r="A16" s="10" t="s">
        <v>119</v>
      </c>
      <c r="B16" s="11">
        <v>0.02</v>
      </c>
      <c r="E16" s="8" t="str">
        <f t="shared" si="1"/>
        <v>MILS3</v>
      </c>
      <c r="F16" s="5">
        <f t="shared" si="0"/>
        <v>9.9600000000000001E-3</v>
      </c>
      <c r="I16" s="3"/>
      <c r="J16" s="3">
        <f>VLOOKUP(A16,'[1]35 - SMLL'!$A$9:$B$219,2,0)</f>
        <v>0.02</v>
      </c>
      <c r="K16" s="6">
        <f t="shared" si="2"/>
        <v>0</v>
      </c>
      <c r="M16" s="3"/>
      <c r="Q16" s="6"/>
    </row>
    <row r="17" spans="1:17" x14ac:dyDescent="0.3">
      <c r="A17" s="10" t="s">
        <v>120</v>
      </c>
      <c r="B17" s="11">
        <v>8.0000000000000002E-3</v>
      </c>
      <c r="E17" s="8" t="str">
        <f t="shared" si="1"/>
        <v>AURA33</v>
      </c>
      <c r="F17" s="5">
        <f t="shared" si="0"/>
        <v>3.9839999999999997E-3</v>
      </c>
      <c r="I17" s="3"/>
      <c r="J17" s="3">
        <f>VLOOKUP(A17,'[1]35 - SMLL'!$A$9:$B$219,2,0)</f>
        <v>8.0000000000000002E-3</v>
      </c>
      <c r="K17" s="6">
        <f t="shared" si="2"/>
        <v>0</v>
      </c>
      <c r="M17" s="3"/>
      <c r="Q17" s="6"/>
    </row>
    <row r="18" spans="1:17" x14ac:dyDescent="0.3">
      <c r="A18" s="10" t="s">
        <v>27</v>
      </c>
      <c r="B18" s="11">
        <v>3.3000000000000002E-2</v>
      </c>
      <c r="E18" s="8" t="str">
        <f t="shared" si="1"/>
        <v>BRAP4</v>
      </c>
      <c r="F18" s="5">
        <f t="shared" si="0"/>
        <v>1.6434000000000001E-2</v>
      </c>
      <c r="I18" s="3"/>
      <c r="J18" s="3">
        <f>VLOOKUP(A18,'[1]35 - SMLL'!$A$9:$B$219,2,0)</f>
        <v>3.3000000000000002E-2</v>
      </c>
      <c r="K18" s="6">
        <f t="shared" si="2"/>
        <v>0</v>
      </c>
      <c r="M18" s="3"/>
      <c r="Q18" s="6"/>
    </row>
    <row r="19" spans="1:17" x14ac:dyDescent="0.3">
      <c r="A19" s="10" t="s">
        <v>111</v>
      </c>
      <c r="B19" s="11">
        <v>0.02</v>
      </c>
      <c r="E19" s="8" t="str">
        <f t="shared" si="1"/>
        <v>INTB3</v>
      </c>
      <c r="F19" s="5">
        <f t="shared" si="0"/>
        <v>9.9600000000000001E-3</v>
      </c>
      <c r="I19" s="3"/>
      <c r="J19" s="3">
        <f>VLOOKUP(A19,'[1]35 - SMLL'!$A$9:$B$219,2,0)</f>
        <v>0.02</v>
      </c>
      <c r="K19" s="6">
        <f t="shared" si="2"/>
        <v>0</v>
      </c>
      <c r="M19" s="3"/>
      <c r="Q19" s="6"/>
    </row>
    <row r="20" spans="1:17" x14ac:dyDescent="0.3">
      <c r="A20" s="10" t="s">
        <v>114</v>
      </c>
      <c r="B20" s="11">
        <v>1.2E-2</v>
      </c>
      <c r="E20" s="8" t="str">
        <f t="shared" si="1"/>
        <v>SEER3</v>
      </c>
      <c r="F20" s="5">
        <f t="shared" si="0"/>
        <v>5.9760000000000004E-3</v>
      </c>
      <c r="I20" s="3"/>
      <c r="J20" s="3">
        <f>VLOOKUP(A20,'[1]35 - SMLL'!$A$9:$B$219,2,0)</f>
        <v>1.2E-2</v>
      </c>
      <c r="K20" s="6">
        <f t="shared" si="2"/>
        <v>0</v>
      </c>
      <c r="M20" s="3"/>
      <c r="Q20" s="6"/>
    </row>
    <row r="21" spans="1:17" x14ac:dyDescent="0.3">
      <c r="A21" s="10" t="s">
        <v>97</v>
      </c>
      <c r="B21" s="11">
        <v>1.0999999999999999E-2</v>
      </c>
      <c r="E21" s="8" t="str">
        <f t="shared" si="1"/>
        <v>PINE4</v>
      </c>
      <c r="F21" s="5">
        <f t="shared" si="0"/>
        <v>5.4779999999999994E-3</v>
      </c>
      <c r="I21" s="3"/>
      <c r="J21" s="3">
        <f>VLOOKUP(A21,'[1]35 - SMLL'!$A$9:$B$219,2,0)</f>
        <v>1.0999999999999999E-2</v>
      </c>
      <c r="K21" s="6">
        <f t="shared" si="2"/>
        <v>0</v>
      </c>
      <c r="M21" s="3"/>
      <c r="Q21" s="6"/>
    </row>
    <row r="22" spans="1:17" x14ac:dyDescent="0.3">
      <c r="A22" s="10" t="s">
        <v>16</v>
      </c>
      <c r="B22" s="11">
        <v>1.7999999999999999E-2</v>
      </c>
      <c r="E22" s="8" t="str">
        <f t="shared" si="1"/>
        <v>POMO4</v>
      </c>
      <c r="F22" s="5">
        <f t="shared" si="0"/>
        <v>8.9639999999999997E-3</v>
      </c>
      <c r="I22" s="3"/>
      <c r="J22" s="3">
        <f>VLOOKUP(A22,'[1]35 - SMLL'!$A$9:$B$219,2,0)</f>
        <v>1.7999999999999999E-2</v>
      </c>
      <c r="K22" s="6">
        <f t="shared" si="2"/>
        <v>0</v>
      </c>
      <c r="M22" s="3"/>
      <c r="Q22" s="6"/>
    </row>
    <row r="23" spans="1:17" x14ac:dyDescent="0.3">
      <c r="A23" s="10" t="s">
        <v>85</v>
      </c>
      <c r="B23" s="11">
        <v>1.2999999999999999E-2</v>
      </c>
      <c r="E23" s="8" t="str">
        <f t="shared" si="1"/>
        <v>CSED3</v>
      </c>
      <c r="F23" s="5">
        <f t="shared" si="0"/>
        <v>6.4739999999999997E-3</v>
      </c>
      <c r="I23" s="3"/>
      <c r="J23" s="3">
        <f>VLOOKUP(A23,'[1]35 - SMLL'!$A$9:$B$219,2,0)</f>
        <v>1.2999999999999999E-2</v>
      </c>
      <c r="K23" s="6">
        <f t="shared" si="2"/>
        <v>0</v>
      </c>
      <c r="M23" s="3"/>
      <c r="Q23" s="6"/>
    </row>
    <row r="24" spans="1:17" x14ac:dyDescent="0.3">
      <c r="A24" s="10" t="s">
        <v>92</v>
      </c>
      <c r="B24" s="11">
        <v>1.2E-2</v>
      </c>
      <c r="E24" s="8" t="str">
        <f t="shared" si="1"/>
        <v>OPCT3</v>
      </c>
      <c r="F24" s="5">
        <f t="shared" si="0"/>
        <v>5.9760000000000004E-3</v>
      </c>
      <c r="I24" s="3"/>
      <c r="J24" s="3">
        <f>VLOOKUP(A24,'[1]35 - SMLL'!$A$9:$B$219,2,0)</f>
        <v>1.2E-2</v>
      </c>
      <c r="K24" s="6">
        <f t="shared" si="2"/>
        <v>0</v>
      </c>
      <c r="M24" s="3"/>
      <c r="Q24" s="6"/>
    </row>
    <row r="25" spans="1:17" x14ac:dyDescent="0.3">
      <c r="A25" s="10" t="s">
        <v>121</v>
      </c>
      <c r="B25" s="11">
        <v>6.0000000000000001E-3</v>
      </c>
      <c r="E25" s="8" t="str">
        <f t="shared" si="1"/>
        <v>ESPA3</v>
      </c>
      <c r="F25" s="5">
        <f t="shared" si="0"/>
        <v>2.9880000000000002E-3</v>
      </c>
      <c r="I25" s="3"/>
      <c r="J25" s="3">
        <f>VLOOKUP(A25,'[1]35 - SMLL'!$A$9:$B$219,2,0)</f>
        <v>6.0000000000000001E-3</v>
      </c>
      <c r="K25" s="6">
        <f t="shared" si="2"/>
        <v>0</v>
      </c>
      <c r="M25" s="3"/>
      <c r="Q25" s="6"/>
    </row>
    <row r="26" spans="1:17" x14ac:dyDescent="0.3">
      <c r="A26" s="10" t="s">
        <v>122</v>
      </c>
      <c r="B26" s="11">
        <v>1.4E-2</v>
      </c>
      <c r="E26" s="8" t="str">
        <f t="shared" si="1"/>
        <v>VTRU3</v>
      </c>
      <c r="F26" s="5">
        <f t="shared" si="0"/>
        <v>6.9719999999999999E-3</v>
      </c>
      <c r="I26" s="3"/>
      <c r="J26" s="3">
        <f>VLOOKUP(A26,'[1]35 - SMLL'!$A$9:$B$219,2,0)</f>
        <v>1.4E-2</v>
      </c>
      <c r="K26" s="6">
        <f t="shared" si="2"/>
        <v>0</v>
      </c>
      <c r="M26" s="3"/>
      <c r="Q26" s="6"/>
    </row>
    <row r="27" spans="1:17" x14ac:dyDescent="0.3">
      <c r="A27" s="10" t="s">
        <v>88</v>
      </c>
      <c r="B27" s="11">
        <v>1.6E-2</v>
      </c>
      <c r="E27" s="8" t="str">
        <f t="shared" si="1"/>
        <v>ABCB4</v>
      </c>
      <c r="F27" s="5">
        <f t="shared" si="0"/>
        <v>7.9679999999999994E-3</v>
      </c>
      <c r="I27" s="3"/>
      <c r="J27" s="3">
        <f>VLOOKUP(A27,'[1]35 - SMLL'!$A$9:$B$219,2,0)</f>
        <v>1.6E-2</v>
      </c>
      <c r="K27" s="6">
        <f t="shared" si="2"/>
        <v>0</v>
      </c>
      <c r="M27" s="3"/>
      <c r="Q27" s="6"/>
    </row>
    <row r="28" spans="1:17" x14ac:dyDescent="0.3">
      <c r="A28" s="10" t="s">
        <v>103</v>
      </c>
      <c r="B28" s="11">
        <v>1.4999999999999999E-2</v>
      </c>
      <c r="E28" s="8" t="str">
        <f t="shared" si="1"/>
        <v>MELK3</v>
      </c>
      <c r="F28" s="5">
        <f t="shared" si="0"/>
        <v>7.4700000000000001E-3</v>
      </c>
      <c r="I28" s="3"/>
      <c r="J28" s="3">
        <f>VLOOKUP(A28,'[1]35 - SMLL'!$A$9:$B$219,2,0)</f>
        <v>1.4999999999999999E-2</v>
      </c>
      <c r="K28" s="6">
        <f t="shared" si="2"/>
        <v>0</v>
      </c>
      <c r="M28" s="3"/>
      <c r="Q28" s="6"/>
    </row>
    <row r="29" spans="1:17" x14ac:dyDescent="0.3">
      <c r="A29" s="10" t="s">
        <v>71</v>
      </c>
      <c r="B29" s="11">
        <v>1.7000000000000001E-2</v>
      </c>
      <c r="E29" s="8" t="str">
        <f t="shared" si="1"/>
        <v>BMOB3</v>
      </c>
      <c r="F29" s="5">
        <f t="shared" si="0"/>
        <v>8.4660000000000013E-3</v>
      </c>
      <c r="I29" s="3"/>
      <c r="J29" s="3">
        <f>VLOOKUP(A29,'[1]35 - SMLL'!$A$9:$B$219,2,0)</f>
        <v>1.7000000000000001E-2</v>
      </c>
      <c r="K29" s="6">
        <f t="shared" si="2"/>
        <v>0</v>
      </c>
      <c r="M29" s="3"/>
      <c r="Q29" s="6"/>
    </row>
    <row r="30" spans="1:17" x14ac:dyDescent="0.3">
      <c r="A30" s="10" t="s">
        <v>28</v>
      </c>
      <c r="B30" s="11">
        <v>1.2999999999999999E-2</v>
      </c>
      <c r="E30" s="8" t="str">
        <f t="shared" si="1"/>
        <v>LEVE3</v>
      </c>
      <c r="F30" s="5">
        <f t="shared" si="0"/>
        <v>6.4739999999999997E-3</v>
      </c>
      <c r="I30" s="3"/>
      <c r="J30" s="3">
        <f>VLOOKUP(A30,'[1]35 - SMLL'!$A$9:$B$219,2,0)</f>
        <v>1.2999999999999999E-2</v>
      </c>
      <c r="K30" s="6">
        <f t="shared" si="2"/>
        <v>0</v>
      </c>
      <c r="M30" s="3"/>
      <c r="Q30" s="6"/>
    </row>
    <row r="31" spans="1:17" x14ac:dyDescent="0.3">
      <c r="A31" s="10" t="s">
        <v>123</v>
      </c>
      <c r="B31" s="11">
        <v>1.4E-2</v>
      </c>
      <c r="E31" s="8" t="str">
        <f t="shared" si="1"/>
        <v>EUCA4</v>
      </c>
      <c r="F31" s="5">
        <f t="shared" si="0"/>
        <v>6.9719999999999999E-3</v>
      </c>
      <c r="I31" s="3"/>
      <c r="J31" s="3">
        <f>VLOOKUP(A31,'[1]35 - SMLL'!$A$9:$B$219,2,0)</f>
        <v>1.4E-2</v>
      </c>
      <c r="K31" s="6">
        <f t="shared" si="2"/>
        <v>0</v>
      </c>
      <c r="M31" s="3"/>
      <c r="Q31" s="6"/>
    </row>
    <row r="32" spans="1:17" x14ac:dyDescent="0.3">
      <c r="A32" s="10" t="s">
        <v>124</v>
      </c>
      <c r="B32" s="11">
        <v>0.01</v>
      </c>
      <c r="E32" s="8" t="str">
        <f t="shared" si="1"/>
        <v>CSUD3</v>
      </c>
      <c r="F32" s="5">
        <f t="shared" si="0"/>
        <v>4.9800000000000001E-3</v>
      </c>
      <c r="I32" s="3"/>
      <c r="J32" s="3">
        <f>VLOOKUP(A32,'[1]35 - SMLL'!$A$9:$B$219,2,0)</f>
        <v>0.01</v>
      </c>
      <c r="K32" s="6">
        <f t="shared" si="2"/>
        <v>0</v>
      </c>
      <c r="M32" s="3"/>
      <c r="Q32" s="6"/>
    </row>
    <row r="33" spans="1:17" x14ac:dyDescent="0.3">
      <c r="A33" s="10" t="s">
        <v>105</v>
      </c>
      <c r="B33" s="11">
        <v>1.7000000000000001E-2</v>
      </c>
      <c r="E33" s="8" t="str">
        <f t="shared" si="1"/>
        <v>PNVL3</v>
      </c>
      <c r="F33" s="5">
        <f t="shared" si="0"/>
        <v>8.4660000000000013E-3</v>
      </c>
      <c r="I33" s="3"/>
      <c r="J33" s="3">
        <f>VLOOKUP(A33,'[1]35 - SMLL'!$A$9:$B$219,2,0)</f>
        <v>1.7000000000000001E-2</v>
      </c>
      <c r="K33" s="6">
        <f t="shared" si="2"/>
        <v>0</v>
      </c>
      <c r="M33" s="3"/>
      <c r="Q33" s="6"/>
    </row>
    <row r="34" spans="1:17" x14ac:dyDescent="0.3">
      <c r="A34" s="10" t="s">
        <v>73</v>
      </c>
      <c r="B34" s="11">
        <v>1.4999999999999999E-2</v>
      </c>
      <c r="E34" s="8" t="str">
        <f t="shared" si="1"/>
        <v>MDNE3</v>
      </c>
      <c r="F34" s="5">
        <f t="shared" ref="F34:F63" si="3">(1-$F$66-$F$67)*B34</f>
        <v>7.4700000000000001E-3</v>
      </c>
      <c r="I34" s="3"/>
      <c r="J34" s="3">
        <f>VLOOKUP(A34,'[1]35 - SMLL'!$A$9:$B$219,2,0)</f>
        <v>1.4999999999999999E-2</v>
      </c>
      <c r="K34" s="6">
        <f t="shared" si="2"/>
        <v>0</v>
      </c>
      <c r="M34" s="3"/>
      <c r="Q34" s="6"/>
    </row>
    <row r="35" spans="1:17" x14ac:dyDescent="0.3">
      <c r="A35" s="10" t="s">
        <v>108</v>
      </c>
      <c r="B35" s="11">
        <v>1.2E-2</v>
      </c>
      <c r="E35" s="8" t="str">
        <f t="shared" si="1"/>
        <v>SHUL4</v>
      </c>
      <c r="F35" s="5">
        <f t="shared" si="3"/>
        <v>5.9760000000000004E-3</v>
      </c>
      <c r="I35" s="3"/>
      <c r="J35" s="3">
        <f>VLOOKUP(A35,'[1]35 - SMLL'!$A$9:$B$219,2,0)</f>
        <v>1.2E-2</v>
      </c>
      <c r="K35" s="6">
        <f t="shared" si="2"/>
        <v>0</v>
      </c>
      <c r="M35" s="3"/>
      <c r="Q35" s="6"/>
    </row>
    <row r="36" spans="1:17" x14ac:dyDescent="0.3">
      <c r="A36" s="10" t="s">
        <v>113</v>
      </c>
      <c r="B36" s="11">
        <v>1.6E-2</v>
      </c>
      <c r="E36" s="8" t="str">
        <f t="shared" si="1"/>
        <v>POSI3</v>
      </c>
      <c r="F36" s="5">
        <f t="shared" si="3"/>
        <v>7.9679999999999994E-3</v>
      </c>
      <c r="I36" s="3"/>
      <c r="J36" s="3">
        <f>VLOOKUP(A36,'[1]35 - SMLL'!$A$9:$B$219,2,0)</f>
        <v>1.6E-2</v>
      </c>
      <c r="K36" s="6">
        <f t="shared" si="2"/>
        <v>0</v>
      </c>
      <c r="M36" s="3"/>
      <c r="Q36" s="6"/>
    </row>
    <row r="37" spans="1:17" x14ac:dyDescent="0.3">
      <c r="A37" s="10" t="s">
        <v>109</v>
      </c>
      <c r="B37" s="11">
        <v>1.0999999999999999E-2</v>
      </c>
      <c r="E37" s="8" t="str">
        <f t="shared" si="1"/>
        <v>PFRM3</v>
      </c>
      <c r="F37" s="5">
        <f t="shared" si="3"/>
        <v>5.4779999999999994E-3</v>
      </c>
      <c r="I37" s="3"/>
      <c r="J37" s="3">
        <f>VLOOKUP(A37,'[1]35 - SMLL'!$A$9:$B$219,2,0)</f>
        <v>1.0999999999999999E-2</v>
      </c>
      <c r="K37" s="6">
        <f t="shared" si="2"/>
        <v>0</v>
      </c>
      <c r="M37" s="3"/>
      <c r="Q37" s="6"/>
    </row>
    <row r="38" spans="1:17" x14ac:dyDescent="0.3">
      <c r="A38" s="10" t="s">
        <v>22</v>
      </c>
      <c r="B38" s="11">
        <v>3.5000000000000003E-2</v>
      </c>
      <c r="E38" s="8" t="str">
        <f t="shared" si="1"/>
        <v>GOAU4</v>
      </c>
      <c r="F38" s="5">
        <f t="shared" si="3"/>
        <v>1.7430000000000001E-2</v>
      </c>
      <c r="I38" s="3"/>
      <c r="J38" s="3">
        <f>VLOOKUP(A38,'[1]35 - SMLL'!$A$9:$B$219,2,0)</f>
        <v>3.5000000000000003E-2</v>
      </c>
      <c r="K38" s="6">
        <f t="shared" si="2"/>
        <v>0</v>
      </c>
      <c r="M38" s="3"/>
      <c r="Q38" s="6"/>
    </row>
    <row r="39" spans="1:17" x14ac:dyDescent="0.3">
      <c r="A39" s="10" t="s">
        <v>104</v>
      </c>
      <c r="B39" s="11">
        <v>1.4999999999999999E-2</v>
      </c>
      <c r="E39" s="8" t="str">
        <f t="shared" si="1"/>
        <v>ALPA4</v>
      </c>
      <c r="F39" s="5">
        <f t="shared" si="3"/>
        <v>7.4700000000000001E-3</v>
      </c>
      <c r="I39" s="3"/>
      <c r="J39" s="3">
        <f>VLOOKUP(A39,'[1]35 - SMLL'!$A$9:$B$219,2,0)</f>
        <v>1.4999999999999999E-2</v>
      </c>
      <c r="K39" s="6">
        <f t="shared" si="2"/>
        <v>0</v>
      </c>
      <c r="M39" s="3"/>
      <c r="Q39" s="6"/>
    </row>
    <row r="40" spans="1:17" x14ac:dyDescent="0.3">
      <c r="A40" s="10" t="s">
        <v>47</v>
      </c>
      <c r="B40" s="11">
        <v>1.4999999999999999E-2</v>
      </c>
      <c r="E40" s="8" t="str">
        <f t="shared" si="1"/>
        <v>SAPR4</v>
      </c>
      <c r="F40" s="5">
        <f t="shared" si="3"/>
        <v>7.4700000000000001E-3</v>
      </c>
      <c r="I40" s="3"/>
      <c r="J40" s="3">
        <f>VLOOKUP(A40,'[1]35 - SMLL'!$A$9:$B$219,2,0)</f>
        <v>1.4999999999999999E-2</v>
      </c>
      <c r="K40" s="6">
        <f t="shared" si="2"/>
        <v>0</v>
      </c>
      <c r="M40" s="3"/>
      <c r="Q40" s="6"/>
    </row>
    <row r="41" spans="1:17" x14ac:dyDescent="0.3">
      <c r="A41" s="10" t="s">
        <v>23</v>
      </c>
      <c r="B41" s="11">
        <v>1.2999999999999999E-2</v>
      </c>
      <c r="E41" s="8" t="str">
        <f t="shared" si="1"/>
        <v>TIMS3</v>
      </c>
      <c r="F41" s="5">
        <f t="shared" si="3"/>
        <v>6.4739999999999997E-3</v>
      </c>
      <c r="I41" s="3"/>
      <c r="J41" s="3">
        <f>VLOOKUP(A41,'[1]35 - SMLL'!$A$9:$B$219,2,0)</f>
        <v>1.2999999999999999E-2</v>
      </c>
      <c r="K41" s="6">
        <f t="shared" si="2"/>
        <v>0</v>
      </c>
      <c r="M41" s="3"/>
      <c r="Q41" s="6"/>
    </row>
    <row r="42" spans="1:17" x14ac:dyDescent="0.3">
      <c r="A42" s="10" t="s">
        <v>8</v>
      </c>
      <c r="B42" s="11">
        <v>1.4E-2</v>
      </c>
      <c r="E42" s="8" t="str">
        <f t="shared" si="1"/>
        <v>BBSE3</v>
      </c>
      <c r="F42" s="5">
        <f t="shared" si="3"/>
        <v>6.9719999999999999E-3</v>
      </c>
      <c r="I42" s="3"/>
      <c r="J42" s="3">
        <f>VLOOKUP(A42,'[1]35 - SMLL'!$A$9:$B$219,2,0)</f>
        <v>1.4E-2</v>
      </c>
      <c r="K42" s="6">
        <f t="shared" si="2"/>
        <v>0</v>
      </c>
      <c r="M42" s="3"/>
      <c r="Q42" s="6"/>
    </row>
    <row r="43" spans="1:17" x14ac:dyDescent="0.3">
      <c r="A43" s="10" t="s">
        <v>125</v>
      </c>
      <c r="B43" s="11">
        <v>2.5000000000000001E-2</v>
      </c>
      <c r="E43" s="8" t="str">
        <f t="shared" si="1"/>
        <v>EZTC3</v>
      </c>
      <c r="F43" s="5">
        <f t="shared" si="3"/>
        <v>1.2450000000000001E-2</v>
      </c>
      <c r="I43" s="3"/>
      <c r="J43" s="3">
        <f>VLOOKUP(A43,'[1]35 - SMLL'!$A$9:$B$219,2,0)</f>
        <v>2.5000000000000001E-2</v>
      </c>
      <c r="K43" s="6">
        <f t="shared" si="2"/>
        <v>0</v>
      </c>
      <c r="M43" s="3"/>
      <c r="Q43" s="6"/>
    </row>
    <row r="44" spans="1:17" x14ac:dyDescent="0.3">
      <c r="A44" s="10" t="s">
        <v>90</v>
      </c>
      <c r="B44" s="11">
        <v>3.1E-2</v>
      </c>
      <c r="E44" s="8" t="str">
        <f t="shared" si="1"/>
        <v>IGTI11</v>
      </c>
      <c r="F44" s="5">
        <f t="shared" si="3"/>
        <v>1.5438E-2</v>
      </c>
      <c r="I44" s="3"/>
      <c r="J44" s="3">
        <f>VLOOKUP(A44,'[1]35 - SMLL'!$A$9:$B$219,2,0)</f>
        <v>3.1E-2</v>
      </c>
      <c r="K44" s="6">
        <f t="shared" si="2"/>
        <v>0</v>
      </c>
      <c r="M44" s="3"/>
      <c r="Q44" s="6"/>
    </row>
    <row r="45" spans="1:17" x14ac:dyDescent="0.3">
      <c r="A45" s="10" t="s">
        <v>31</v>
      </c>
      <c r="B45" s="11">
        <v>1.2999999999999999E-2</v>
      </c>
      <c r="E45" s="8" t="str">
        <f t="shared" si="1"/>
        <v>PSSA3</v>
      </c>
      <c r="F45" s="5">
        <f t="shared" si="3"/>
        <v>6.4739999999999997E-3</v>
      </c>
      <c r="I45" s="3"/>
      <c r="J45" s="3">
        <f>VLOOKUP(A45,'[1]35 - SMLL'!$A$9:$B$219,2,0)</f>
        <v>1.2999999999999999E-2</v>
      </c>
      <c r="K45" s="6">
        <f t="shared" si="2"/>
        <v>0</v>
      </c>
      <c r="M45" s="3"/>
      <c r="Q45" s="6"/>
    </row>
    <row r="46" spans="1:17" x14ac:dyDescent="0.3">
      <c r="A46" s="10" t="s">
        <v>106</v>
      </c>
      <c r="B46" s="11">
        <v>1.4E-2</v>
      </c>
      <c r="E46" s="8" t="str">
        <f t="shared" si="1"/>
        <v>JSLG3</v>
      </c>
      <c r="F46" s="5">
        <f t="shared" si="3"/>
        <v>6.9719999999999999E-3</v>
      </c>
      <c r="I46" s="3"/>
      <c r="J46" s="3">
        <f>VLOOKUP(A46,'[1]35 - SMLL'!$A$9:$B$219,2,0)</f>
        <v>1.4E-2</v>
      </c>
      <c r="K46" s="6">
        <f t="shared" si="2"/>
        <v>0</v>
      </c>
      <c r="M46" s="3"/>
      <c r="Q46" s="6"/>
    </row>
    <row r="47" spans="1:17" x14ac:dyDescent="0.3">
      <c r="A47" s="10" t="s">
        <v>101</v>
      </c>
      <c r="B47" s="11">
        <v>7.0000000000000001E-3</v>
      </c>
      <c r="E47" s="8" t="str">
        <f t="shared" si="1"/>
        <v>BMEB4</v>
      </c>
      <c r="F47" s="5">
        <f t="shared" si="3"/>
        <v>3.4859999999999999E-3</v>
      </c>
      <c r="I47" s="3"/>
      <c r="J47" s="3">
        <f>VLOOKUP(A47,'[1]35 - SMLL'!$A$9:$B$219,2,0)</f>
        <v>7.0000000000000001E-3</v>
      </c>
      <c r="K47" s="6">
        <f t="shared" si="2"/>
        <v>0</v>
      </c>
      <c r="M47" s="3"/>
      <c r="Q47" s="6"/>
    </row>
    <row r="48" spans="1:17" x14ac:dyDescent="0.3">
      <c r="A48" s="10" t="s">
        <v>76</v>
      </c>
      <c r="B48" s="11">
        <v>0.03</v>
      </c>
      <c r="E48" s="8" t="str">
        <f t="shared" si="1"/>
        <v>SAPR11</v>
      </c>
      <c r="F48" s="5">
        <f t="shared" si="3"/>
        <v>1.494E-2</v>
      </c>
      <c r="I48" s="3"/>
      <c r="J48" s="3">
        <f>VLOOKUP(A48,'[1]35 - SMLL'!$A$9:$B$219,2,0)</f>
        <v>0.03</v>
      </c>
      <c r="K48" s="6">
        <f t="shared" si="2"/>
        <v>0</v>
      </c>
      <c r="M48" s="3"/>
      <c r="Q48" s="6"/>
    </row>
    <row r="49" spans="1:17" x14ac:dyDescent="0.3">
      <c r="A49" s="10" t="s">
        <v>30</v>
      </c>
      <c r="B49" s="11">
        <v>1.7000000000000001E-2</v>
      </c>
      <c r="E49" s="8" t="str">
        <f t="shared" si="1"/>
        <v>CURY3</v>
      </c>
      <c r="F49" s="5">
        <f t="shared" si="3"/>
        <v>8.4660000000000013E-3</v>
      </c>
      <c r="I49" s="3"/>
      <c r="J49" s="3">
        <f>VLOOKUP(A49,'[1]35 - SMLL'!$A$9:$B$219,2,0)</f>
        <v>1.7000000000000001E-2</v>
      </c>
      <c r="K49" s="6">
        <f t="shared" si="2"/>
        <v>0</v>
      </c>
      <c r="M49" s="3"/>
      <c r="Q49" s="6"/>
    </row>
    <row r="50" spans="1:17" x14ac:dyDescent="0.3">
      <c r="A50" s="10" t="s">
        <v>45</v>
      </c>
      <c r="B50" s="11">
        <v>0.03</v>
      </c>
      <c r="E50" s="8" t="str">
        <f t="shared" si="1"/>
        <v>ALOS3</v>
      </c>
      <c r="F50" s="5">
        <f t="shared" si="3"/>
        <v>1.494E-2</v>
      </c>
      <c r="I50" s="3"/>
      <c r="J50" s="3">
        <f>VLOOKUP(A50,'[1]35 - SMLL'!$A$9:$B$219,2,0)</f>
        <v>0.03</v>
      </c>
      <c r="K50" s="6">
        <f t="shared" si="2"/>
        <v>0</v>
      </c>
      <c r="M50" s="3"/>
      <c r="Q50" s="6"/>
    </row>
    <row r="51" spans="1:17" x14ac:dyDescent="0.3">
      <c r="A51" s="10" t="s">
        <v>59</v>
      </c>
      <c r="B51" s="11">
        <v>1.4999999999999999E-2</v>
      </c>
      <c r="E51" s="8" t="str">
        <f t="shared" si="1"/>
        <v>RECV3</v>
      </c>
      <c r="F51" s="5">
        <f t="shared" si="3"/>
        <v>7.4700000000000001E-3</v>
      </c>
      <c r="I51" s="3"/>
      <c r="J51" s="3">
        <f>VLOOKUP(A51,'[1]35 - SMLL'!$A$9:$B$219,2,0)</f>
        <v>1.4999999999999999E-2</v>
      </c>
      <c r="K51" s="6">
        <f t="shared" si="2"/>
        <v>0</v>
      </c>
      <c r="M51" s="3"/>
      <c r="Q51" s="6"/>
    </row>
    <row r="52" spans="1:17" x14ac:dyDescent="0.3">
      <c r="A52" s="10" t="s">
        <v>126</v>
      </c>
      <c r="B52" s="11">
        <v>0.01</v>
      </c>
      <c r="E52" s="8" t="str">
        <f t="shared" si="1"/>
        <v>JALL3</v>
      </c>
      <c r="F52" s="5">
        <f t="shared" si="3"/>
        <v>4.9800000000000001E-3</v>
      </c>
      <c r="I52" s="3"/>
      <c r="J52" s="3">
        <f>VLOOKUP(A52,'[1]35 - SMLL'!$A$9:$B$219,2,0)</f>
        <v>0.01</v>
      </c>
      <c r="K52" s="6">
        <f t="shared" si="2"/>
        <v>0</v>
      </c>
      <c r="M52" s="3"/>
      <c r="Q52" s="6"/>
    </row>
    <row r="53" spans="1:17" x14ac:dyDescent="0.3">
      <c r="A53" s="10" t="s">
        <v>36</v>
      </c>
      <c r="B53" s="11">
        <v>1.9E-2</v>
      </c>
      <c r="E53" s="8" t="str">
        <f t="shared" si="1"/>
        <v>VBBR3</v>
      </c>
      <c r="F53" s="5">
        <f t="shared" si="3"/>
        <v>9.4619999999999999E-3</v>
      </c>
      <c r="I53" s="3"/>
      <c r="J53" s="3">
        <f>VLOOKUP(A53,'[1]35 - SMLL'!$A$9:$B$219,2,0)</f>
        <v>1.9E-2</v>
      </c>
      <c r="K53" s="6">
        <f t="shared" si="2"/>
        <v>0</v>
      </c>
      <c r="M53" s="3"/>
      <c r="Q53" s="6"/>
    </row>
    <row r="54" spans="1:17" x14ac:dyDescent="0.3">
      <c r="A54" s="10" t="s">
        <v>128</v>
      </c>
      <c r="B54" s="11">
        <v>1.7999999999999999E-2</v>
      </c>
      <c r="E54" s="8" t="str">
        <f t="shared" si="1"/>
        <v>UGPA3</v>
      </c>
      <c r="F54" s="5">
        <f t="shared" si="3"/>
        <v>8.9639999999999997E-3</v>
      </c>
      <c r="I54" s="3"/>
      <c r="J54" s="3">
        <f>VLOOKUP(A54,'[1]35 - SMLL'!$A$9:$B$219,2,0)</f>
        <v>1.7999999999999999E-2</v>
      </c>
      <c r="K54" s="6">
        <f t="shared" si="2"/>
        <v>0</v>
      </c>
      <c r="M54" s="3"/>
      <c r="Q54" s="6"/>
    </row>
    <row r="55" spans="1:17" x14ac:dyDescent="0.3">
      <c r="A55" s="10" t="s">
        <v>57</v>
      </c>
      <c r="B55" s="11">
        <v>1.7000000000000001E-2</v>
      </c>
      <c r="E55" s="8" t="str">
        <f t="shared" si="1"/>
        <v>TEND3</v>
      </c>
      <c r="F55" s="5">
        <f t="shared" si="3"/>
        <v>8.4660000000000013E-3</v>
      </c>
      <c r="I55" s="3"/>
      <c r="J55" s="3">
        <f>VLOOKUP(A55,'[1]35 - SMLL'!$A$9:$B$219,2,0)</f>
        <v>1.7000000000000001E-2</v>
      </c>
      <c r="K55" s="6">
        <f t="shared" si="2"/>
        <v>0</v>
      </c>
      <c r="M55" s="3"/>
      <c r="Q55" s="6"/>
    </row>
    <row r="56" spans="1:17" x14ac:dyDescent="0.3">
      <c r="A56" s="10" t="s">
        <v>18</v>
      </c>
      <c r="B56" s="11">
        <v>1.4999999999999999E-2</v>
      </c>
      <c r="E56" s="8" t="str">
        <f t="shared" si="1"/>
        <v>CXSE3</v>
      </c>
      <c r="F56" s="5">
        <f t="shared" si="3"/>
        <v>7.4700000000000001E-3</v>
      </c>
      <c r="I56" s="3"/>
      <c r="J56" s="3">
        <f>VLOOKUP(A56,'[1]35 - SMLL'!$A$9:$B$219,2,0)</f>
        <v>1.4999999999999999E-2</v>
      </c>
      <c r="K56" s="6">
        <f t="shared" si="2"/>
        <v>0</v>
      </c>
      <c r="M56" s="3"/>
      <c r="Q56" s="6"/>
    </row>
    <row r="57" spans="1:17" x14ac:dyDescent="0.3">
      <c r="A57" s="10" t="s">
        <v>13</v>
      </c>
      <c r="B57" s="11">
        <v>1.6E-2</v>
      </c>
      <c r="E57" s="8" t="str">
        <f t="shared" si="1"/>
        <v>VIVT3</v>
      </c>
      <c r="F57" s="5">
        <f t="shared" si="3"/>
        <v>7.9679999999999994E-3</v>
      </c>
      <c r="I57" s="3"/>
      <c r="J57" s="3">
        <f>VLOOKUP(A57,'[1]35 - SMLL'!$A$9:$B$219,2,0)</f>
        <v>1.6E-2</v>
      </c>
      <c r="K57" s="6">
        <f t="shared" si="2"/>
        <v>0</v>
      </c>
      <c r="M57" s="3"/>
      <c r="Q57" s="6"/>
    </row>
    <row r="58" spans="1:17" x14ac:dyDescent="0.3">
      <c r="A58" s="10" t="s">
        <v>93</v>
      </c>
      <c r="B58" s="11">
        <v>2.3E-2</v>
      </c>
      <c r="E58" s="8" t="str">
        <f t="shared" si="1"/>
        <v>VULC3</v>
      </c>
      <c r="F58" s="5">
        <f t="shared" si="3"/>
        <v>1.1453999999999999E-2</v>
      </c>
      <c r="I58" s="3"/>
      <c r="J58" s="3">
        <f>VLOOKUP(A58,'[1]35 - SMLL'!$A$9:$B$219,2,0)</f>
        <v>2.3E-2</v>
      </c>
      <c r="K58" s="6">
        <f t="shared" si="2"/>
        <v>0</v>
      </c>
      <c r="M58" s="3"/>
      <c r="Q58" s="6"/>
    </row>
    <row r="59" spans="1:17" x14ac:dyDescent="0.3">
      <c r="A59" s="10" t="s">
        <v>53</v>
      </c>
      <c r="B59" s="11">
        <v>8.0000000000000002E-3</v>
      </c>
      <c r="E59" s="8" t="str">
        <f t="shared" si="1"/>
        <v>TRIS3</v>
      </c>
      <c r="F59" s="5">
        <f t="shared" si="3"/>
        <v>3.9839999999999997E-3</v>
      </c>
      <c r="I59" s="3"/>
      <c r="J59" s="3">
        <f>VLOOKUP(A59,'[1]35 - SMLL'!$A$9:$B$219,2,0)</f>
        <v>8.0000000000000002E-3</v>
      </c>
      <c r="K59" s="6">
        <f t="shared" si="2"/>
        <v>0</v>
      </c>
      <c r="M59" s="3"/>
      <c r="Q59" s="6"/>
    </row>
    <row r="60" spans="1:17" x14ac:dyDescent="0.3">
      <c r="A60" s="10" t="s">
        <v>20</v>
      </c>
      <c r="B60" s="11">
        <v>1.6E-2</v>
      </c>
      <c r="E60" s="8" t="str">
        <f t="shared" si="1"/>
        <v>CMIG3</v>
      </c>
      <c r="F60" s="5">
        <f t="shared" si="3"/>
        <v>7.9679999999999994E-3</v>
      </c>
      <c r="I60" s="3"/>
      <c r="J60" s="3">
        <f>VLOOKUP(A60,'[1]35 - SMLL'!$A$9:$B$219,2,0)</f>
        <v>1.6E-2</v>
      </c>
      <c r="K60" s="6">
        <f t="shared" si="2"/>
        <v>0</v>
      </c>
      <c r="M60" s="3"/>
      <c r="Q60" s="6"/>
    </row>
    <row r="61" spans="1:17" x14ac:dyDescent="0.3">
      <c r="A61" s="10" t="s">
        <v>129</v>
      </c>
      <c r="B61" s="11">
        <v>1.2999999999999999E-2</v>
      </c>
      <c r="E61" s="8" t="str">
        <f t="shared" si="1"/>
        <v>SAUD3</v>
      </c>
      <c r="F61" s="5">
        <f t="shared" si="3"/>
        <v>6.4739999999999997E-3</v>
      </c>
      <c r="I61" s="3"/>
      <c r="J61" s="3">
        <f>VLOOKUP(A61,'[1]35 - SMLL'!$A$9:$B$219,2,0)</f>
        <v>1.2999999999999999E-2</v>
      </c>
      <c r="K61" s="6">
        <f t="shared" si="2"/>
        <v>0</v>
      </c>
      <c r="M61" s="3"/>
      <c r="Q61" s="6"/>
    </row>
    <row r="62" spans="1:17" x14ac:dyDescent="0.3">
      <c r="A62" s="10" t="s">
        <v>130</v>
      </c>
      <c r="B62" s="11">
        <v>6.0000000000000001E-3</v>
      </c>
      <c r="E62" s="8" t="str">
        <f t="shared" si="1"/>
        <v>USIM3</v>
      </c>
      <c r="F62" s="5">
        <f t="shared" si="3"/>
        <v>2.9880000000000002E-3</v>
      </c>
      <c r="I62" s="3"/>
      <c r="J62" s="3">
        <f>VLOOKUP(A62,'[1]35 - SMLL'!$A$9:$B$219,2,0)</f>
        <v>6.0000000000000001E-3</v>
      </c>
      <c r="K62" s="6">
        <f t="shared" si="2"/>
        <v>0</v>
      </c>
      <c r="M62" s="3"/>
      <c r="Q62" s="6"/>
    </row>
    <row r="63" spans="1:17" x14ac:dyDescent="0.3">
      <c r="A63" s="10" t="s">
        <v>89</v>
      </c>
      <c r="B63" s="11">
        <v>7.4999999999999997E-3</v>
      </c>
      <c r="E63" s="8" t="str">
        <f t="shared" si="1"/>
        <v>FLRY3</v>
      </c>
      <c r="F63" s="5">
        <f t="shared" si="3"/>
        <v>3.735E-3</v>
      </c>
      <c r="I63" s="3"/>
      <c r="J63" s="3">
        <f>VLOOKUP(A63,'[1]35 - SMLL'!$A$9:$B$219,2,0)</f>
        <v>7.4999999999999997E-3</v>
      </c>
      <c r="K63" s="6">
        <f t="shared" si="2"/>
        <v>0</v>
      </c>
      <c r="M63" s="3"/>
      <c r="Q63" s="6"/>
    </row>
    <row r="64" spans="1:17" x14ac:dyDescent="0.3">
      <c r="A64" s="10" t="s">
        <v>96</v>
      </c>
      <c r="B64" s="11">
        <v>5.0000000000000001E-3</v>
      </c>
      <c r="E64" s="8" t="str">
        <f t="shared" ref="E64:E65" si="4">A64</f>
        <v>TAEE4</v>
      </c>
      <c r="F64" s="5">
        <f t="shared" ref="F64:F65" si="5">(1-$F$66-$F$67)*B64</f>
        <v>2.49E-3</v>
      </c>
      <c r="J64" s="3">
        <f>VLOOKUP(A64,'[1]35 - SMLL'!$A$9:$B$219,2,0)</f>
        <v>5.0000000000000001E-3</v>
      </c>
      <c r="K64" s="6">
        <f t="shared" si="2"/>
        <v>0</v>
      </c>
      <c r="M64" s="3"/>
      <c r="Q64" s="6"/>
    </row>
    <row r="65" spans="1:17" x14ac:dyDescent="0.3">
      <c r="A65" s="10" t="s">
        <v>86</v>
      </c>
      <c r="B65" s="11">
        <v>5.0000000000000001E-3</v>
      </c>
      <c r="E65" s="8" t="str">
        <f t="shared" si="4"/>
        <v>CPLE3</v>
      </c>
      <c r="F65" s="5">
        <f t="shared" si="5"/>
        <v>2.49E-3</v>
      </c>
      <c r="I65" s="3"/>
      <c r="J65" s="3">
        <f>VLOOKUP(A65,'[1]35 - SMLL'!$A$9:$B$219,2,0)</f>
        <v>5.0000000000000001E-3</v>
      </c>
      <c r="K65" s="6">
        <f t="shared" si="2"/>
        <v>0</v>
      </c>
      <c r="M65" s="3"/>
      <c r="Q65" s="6"/>
    </row>
    <row r="66" spans="1:17" x14ac:dyDescent="0.3">
      <c r="A66" s="10"/>
      <c r="B66" s="11"/>
      <c r="E66" s="8" t="s">
        <v>80</v>
      </c>
      <c r="F66" s="5">
        <v>0.5</v>
      </c>
      <c r="I66" s="3"/>
      <c r="J66" s="3"/>
      <c r="M66" s="3"/>
      <c r="Q66" s="6"/>
    </row>
    <row r="67" spans="1:17" x14ac:dyDescent="0.3">
      <c r="A67" s="10"/>
      <c r="B67" s="11"/>
      <c r="E67" s="8" t="s">
        <v>83</v>
      </c>
      <c r="F67" s="5">
        <v>2E-3</v>
      </c>
      <c r="J67" s="3"/>
      <c r="M67" s="3"/>
      <c r="Q67" s="6"/>
    </row>
    <row r="68" spans="1:17" x14ac:dyDescent="0.3">
      <c r="A68" s="10"/>
      <c r="B68" s="11"/>
      <c r="J68" s="3"/>
      <c r="M68" s="3"/>
      <c r="Q68" s="6"/>
    </row>
    <row r="69" spans="1:17" x14ac:dyDescent="0.3">
      <c r="A69" s="10"/>
      <c r="B69" s="11"/>
      <c r="J69" s="3"/>
      <c r="M69" s="3"/>
      <c r="Q69" s="6"/>
    </row>
    <row r="70" spans="1:17" x14ac:dyDescent="0.3">
      <c r="A70" s="10"/>
      <c r="B70" s="11"/>
      <c r="J70" s="3"/>
      <c r="M70" s="3"/>
      <c r="Q70" s="6"/>
    </row>
    <row r="71" spans="1:17" x14ac:dyDescent="0.3">
      <c r="A71" s="10"/>
      <c r="B71" s="11"/>
      <c r="J71" s="3"/>
      <c r="M71" s="3"/>
      <c r="Q71" s="6"/>
    </row>
    <row r="72" spans="1:17" x14ac:dyDescent="0.3">
      <c r="A72" s="10"/>
      <c r="B72" s="11"/>
      <c r="M72" s="3"/>
      <c r="Q72" s="6"/>
    </row>
    <row r="73" spans="1:17" x14ac:dyDescent="0.3">
      <c r="A73" s="10"/>
      <c r="B73" s="11"/>
      <c r="M73" s="3"/>
      <c r="Q73" s="6"/>
    </row>
    <row r="74" spans="1:17" x14ac:dyDescent="0.3">
      <c r="A74" s="10"/>
      <c r="B74" s="11"/>
      <c r="M74" s="3"/>
      <c r="Q74" s="6"/>
    </row>
    <row r="75" spans="1:17" x14ac:dyDescent="0.3">
      <c r="A75" s="10"/>
      <c r="B75" s="11"/>
      <c r="M75" s="3"/>
      <c r="Q75" s="6"/>
    </row>
    <row r="76" spans="1:17" x14ac:dyDescent="0.3">
      <c r="A76" s="10"/>
      <c r="B76" s="11"/>
      <c r="M76" s="3"/>
      <c r="Q76" s="6"/>
    </row>
    <row r="77" spans="1:17" x14ac:dyDescent="0.3">
      <c r="A77" s="10"/>
      <c r="B77" s="11"/>
      <c r="M77" s="3"/>
      <c r="Q77" s="6"/>
    </row>
    <row r="78" spans="1:17" x14ac:dyDescent="0.3">
      <c r="A78" s="10"/>
      <c r="B78" s="11"/>
      <c r="M78" s="3"/>
      <c r="Q78" s="6"/>
    </row>
    <row r="79" spans="1:17" x14ac:dyDescent="0.3">
      <c r="A79" s="10"/>
      <c r="B79" s="11"/>
      <c r="M79" s="3"/>
      <c r="Q79" s="6"/>
    </row>
    <row r="80" spans="1:17" x14ac:dyDescent="0.3">
      <c r="A80" s="10"/>
      <c r="B80" s="11"/>
      <c r="M80" s="3"/>
      <c r="Q80" s="6"/>
    </row>
    <row r="81" spans="1:17" x14ac:dyDescent="0.3">
      <c r="A81" s="10"/>
      <c r="B81" s="11"/>
      <c r="M81" s="3"/>
      <c r="Q81" s="6"/>
    </row>
    <row r="82" spans="1:17" x14ac:dyDescent="0.3">
      <c r="A82" s="10"/>
      <c r="B82" s="11"/>
      <c r="M82" s="3"/>
      <c r="Q82" s="6"/>
    </row>
    <row r="83" spans="1:17" x14ac:dyDescent="0.3">
      <c r="A83" s="10"/>
      <c r="B83" s="11"/>
      <c r="M83" s="3"/>
      <c r="Q83" s="6"/>
    </row>
    <row r="84" spans="1:17" x14ac:dyDescent="0.3">
      <c r="A84" s="10"/>
      <c r="B84" s="11"/>
      <c r="M84" s="3"/>
      <c r="Q84" s="6"/>
    </row>
    <row r="85" spans="1:17" x14ac:dyDescent="0.3">
      <c r="A85" s="10"/>
      <c r="B85" s="11"/>
      <c r="M85" s="3"/>
      <c r="Q85" s="6"/>
    </row>
    <row r="86" spans="1:17" x14ac:dyDescent="0.3">
      <c r="A86" s="10"/>
      <c r="B86" s="11"/>
      <c r="M86" s="3"/>
      <c r="Q86" s="6"/>
    </row>
    <row r="87" spans="1:17" x14ac:dyDescent="0.3">
      <c r="A87" s="10"/>
      <c r="B87" s="11"/>
      <c r="M87" s="3"/>
      <c r="Q87" s="6"/>
    </row>
    <row r="88" spans="1:17" x14ac:dyDescent="0.3">
      <c r="A88" s="10"/>
      <c r="B88" s="11"/>
      <c r="M88" s="3"/>
      <c r="Q88" s="6"/>
    </row>
    <row r="89" spans="1:17" x14ac:dyDescent="0.3">
      <c r="A89" s="10"/>
      <c r="B89" s="11"/>
      <c r="M89" s="3"/>
      <c r="Q89" s="6"/>
    </row>
    <row r="90" spans="1:17" x14ac:dyDescent="0.3">
      <c r="A90" s="10"/>
      <c r="B90" s="11"/>
      <c r="M90" s="3"/>
      <c r="Q90" s="6"/>
    </row>
    <row r="91" spans="1:17" x14ac:dyDescent="0.3">
      <c r="A91" s="10"/>
      <c r="B91" s="11"/>
      <c r="M91" s="3"/>
      <c r="Q91" s="6"/>
    </row>
    <row r="92" spans="1:17" x14ac:dyDescent="0.3">
      <c r="A92" s="10"/>
      <c r="B92" s="11"/>
      <c r="M92" s="3"/>
      <c r="Q92" s="6"/>
    </row>
    <row r="93" spans="1:17" x14ac:dyDescent="0.3">
      <c r="A93" s="10"/>
      <c r="B93" s="11"/>
      <c r="M93" s="3"/>
      <c r="Q93" s="6"/>
    </row>
    <row r="94" spans="1:17" x14ac:dyDescent="0.3">
      <c r="A94" s="10"/>
      <c r="B94" s="11"/>
      <c r="M94" s="3"/>
      <c r="Q94" s="6"/>
    </row>
    <row r="95" spans="1:17" x14ac:dyDescent="0.3">
      <c r="A95" s="10"/>
      <c r="B95" s="11"/>
      <c r="M95" s="3"/>
      <c r="Q95" s="6"/>
    </row>
    <row r="96" spans="1:17" x14ac:dyDescent="0.3">
      <c r="A96" s="10"/>
      <c r="B96" s="11"/>
      <c r="M96" s="3"/>
      <c r="Q96" s="6"/>
    </row>
    <row r="97" spans="1:17" x14ac:dyDescent="0.3">
      <c r="A97" s="10"/>
      <c r="B97" s="11"/>
      <c r="M97" s="3"/>
      <c r="Q97" s="6"/>
    </row>
    <row r="98" spans="1:17" x14ac:dyDescent="0.3">
      <c r="A98" s="10"/>
      <c r="B98" s="11"/>
      <c r="M98" s="3"/>
      <c r="Q98" s="6"/>
    </row>
    <row r="99" spans="1:17" x14ac:dyDescent="0.3">
      <c r="A99" s="10"/>
      <c r="B99" s="11"/>
      <c r="M99" s="3"/>
      <c r="Q99" s="6"/>
    </row>
    <row r="100" spans="1:17" x14ac:dyDescent="0.3">
      <c r="A100" s="10"/>
      <c r="B100" s="11"/>
      <c r="M100" s="3"/>
      <c r="Q100" s="6"/>
    </row>
    <row r="101" spans="1:17" x14ac:dyDescent="0.3">
      <c r="A101" s="10"/>
      <c r="B101" s="11"/>
      <c r="M101" s="3"/>
      <c r="Q101" s="6"/>
    </row>
    <row r="102" spans="1:17" x14ac:dyDescent="0.3">
      <c r="A102" s="10"/>
      <c r="B102" s="11"/>
      <c r="M102" s="3"/>
      <c r="Q102" s="6"/>
    </row>
    <row r="103" spans="1:17" x14ac:dyDescent="0.3">
      <c r="A103" s="10"/>
      <c r="B103" s="11"/>
      <c r="M103" s="3"/>
      <c r="Q103" s="6"/>
    </row>
    <row r="104" spans="1:17" x14ac:dyDescent="0.3">
      <c r="A104" s="10"/>
      <c r="B104" s="11"/>
      <c r="M104" s="3"/>
      <c r="Q104" s="6"/>
    </row>
    <row r="105" spans="1:17" x14ac:dyDescent="0.3">
      <c r="A105" s="10"/>
      <c r="B105" s="11"/>
      <c r="M105" s="3"/>
      <c r="Q105" s="6"/>
    </row>
    <row r="106" spans="1:17" x14ac:dyDescent="0.3">
      <c r="A106" s="10"/>
      <c r="B106" s="11"/>
      <c r="M106" s="3"/>
      <c r="Q106" s="6"/>
    </row>
    <row r="107" spans="1:17" x14ac:dyDescent="0.3">
      <c r="A107" s="10"/>
      <c r="B107" s="11"/>
      <c r="M107" s="3"/>
      <c r="Q107" s="6"/>
    </row>
    <row r="108" spans="1:17" x14ac:dyDescent="0.3">
      <c r="A108" s="10"/>
      <c r="B108" s="11"/>
      <c r="M108" s="3"/>
      <c r="Q108" s="6"/>
    </row>
    <row r="109" spans="1:17" x14ac:dyDescent="0.3">
      <c r="A109" s="10"/>
      <c r="B109" s="11"/>
      <c r="M109" s="3"/>
      <c r="Q109" s="6"/>
    </row>
    <row r="110" spans="1:17" x14ac:dyDescent="0.3">
      <c r="A110" s="10"/>
      <c r="B110" s="11"/>
      <c r="M110" s="3"/>
      <c r="Q110" s="6"/>
    </row>
    <row r="111" spans="1:17" x14ac:dyDescent="0.3">
      <c r="A111" s="10"/>
      <c r="B111" s="11"/>
      <c r="M111" s="3"/>
      <c r="Q111" s="6"/>
    </row>
    <row r="112" spans="1:17" x14ac:dyDescent="0.3">
      <c r="A112" s="10"/>
      <c r="B112" s="11"/>
      <c r="M112" s="3"/>
      <c r="Q112" s="6"/>
    </row>
    <row r="113" spans="1:17" x14ac:dyDescent="0.3">
      <c r="A113" s="10"/>
      <c r="B113" s="11"/>
      <c r="M113" s="3"/>
      <c r="Q113" s="6"/>
    </row>
    <row r="114" spans="1:17" x14ac:dyDescent="0.3">
      <c r="A114" s="10"/>
      <c r="B114" s="11"/>
      <c r="M114" s="3"/>
      <c r="Q114" s="6"/>
    </row>
    <row r="115" spans="1:17" x14ac:dyDescent="0.3">
      <c r="A115" s="10"/>
      <c r="B115" s="11"/>
      <c r="M115" s="3"/>
      <c r="Q115" s="6"/>
    </row>
    <row r="116" spans="1:17" x14ac:dyDescent="0.3">
      <c r="A116" s="10"/>
      <c r="B116" s="11"/>
      <c r="M116" s="3"/>
      <c r="Q116" s="6"/>
    </row>
    <row r="117" spans="1:17" x14ac:dyDescent="0.3">
      <c r="A117" s="10"/>
      <c r="B117" s="11"/>
      <c r="M117" s="3"/>
      <c r="Q117" s="6"/>
    </row>
    <row r="118" spans="1:17" x14ac:dyDescent="0.3">
      <c r="A118" s="10"/>
      <c r="B118" s="11"/>
      <c r="M118" s="3"/>
      <c r="Q118" s="6"/>
    </row>
    <row r="119" spans="1:17" x14ac:dyDescent="0.3">
      <c r="A119" s="10"/>
      <c r="B119" s="11"/>
      <c r="M119" s="3"/>
      <c r="Q119" s="6"/>
    </row>
    <row r="120" spans="1:17" x14ac:dyDescent="0.3">
      <c r="A120" s="10"/>
      <c r="B120" s="11"/>
      <c r="M120" s="3"/>
      <c r="Q120" s="6"/>
    </row>
    <row r="121" spans="1:17" x14ac:dyDescent="0.3">
      <c r="A121" s="10"/>
      <c r="B121" s="11"/>
      <c r="M121" s="3"/>
      <c r="Q121" s="6"/>
    </row>
    <row r="122" spans="1:17" x14ac:dyDescent="0.3">
      <c r="A122" s="10"/>
      <c r="B122" s="11"/>
      <c r="M122" s="3"/>
      <c r="Q122" s="6"/>
    </row>
    <row r="123" spans="1:17" x14ac:dyDescent="0.3">
      <c r="A123" s="10"/>
      <c r="B123" s="11"/>
      <c r="M123" s="3"/>
      <c r="Q123" s="6"/>
    </row>
    <row r="124" spans="1:17" x14ac:dyDescent="0.3">
      <c r="A124" s="10"/>
      <c r="B124" s="11"/>
      <c r="M124" s="3"/>
      <c r="Q124" s="6"/>
    </row>
    <row r="125" spans="1:17" x14ac:dyDescent="0.3">
      <c r="A125" s="10"/>
      <c r="B125" s="11"/>
      <c r="M125" s="3"/>
      <c r="Q125" s="6"/>
    </row>
    <row r="126" spans="1:17" x14ac:dyDescent="0.3">
      <c r="A126" s="10"/>
      <c r="B126" s="11"/>
      <c r="M126" s="3"/>
      <c r="Q126" s="6"/>
    </row>
    <row r="127" spans="1:17" x14ac:dyDescent="0.3">
      <c r="A127" s="10"/>
      <c r="B127" s="11"/>
      <c r="M127" s="3"/>
      <c r="Q127" s="6"/>
    </row>
    <row r="128" spans="1:17" x14ac:dyDescent="0.3">
      <c r="A128" s="10"/>
      <c r="B128" s="11"/>
      <c r="M128" s="3"/>
      <c r="Q128" s="6"/>
    </row>
    <row r="129" spans="1:17" x14ac:dyDescent="0.3">
      <c r="A129" s="10"/>
      <c r="B129" s="11"/>
      <c r="M129" s="3"/>
      <c r="Q129" s="6"/>
    </row>
    <row r="130" spans="1:17" x14ac:dyDescent="0.3">
      <c r="A130" s="10"/>
      <c r="B130" s="11"/>
      <c r="M130" s="3"/>
      <c r="Q130" s="6"/>
    </row>
    <row r="131" spans="1:17" x14ac:dyDescent="0.3">
      <c r="A131" s="10"/>
      <c r="B131" s="11"/>
      <c r="M131" s="3"/>
      <c r="Q131" s="6"/>
    </row>
    <row r="132" spans="1:17" x14ac:dyDescent="0.3">
      <c r="A132" s="10"/>
      <c r="B132" s="11"/>
      <c r="M132" s="3"/>
      <c r="Q132" s="6"/>
    </row>
    <row r="133" spans="1:17" x14ac:dyDescent="0.3">
      <c r="A133" s="10"/>
      <c r="B133" s="11"/>
      <c r="M133" s="3"/>
      <c r="Q133" s="6"/>
    </row>
    <row r="134" spans="1:17" x14ac:dyDescent="0.3">
      <c r="A134" s="10"/>
      <c r="B134" s="11"/>
      <c r="M134" s="3"/>
      <c r="Q134" s="6"/>
    </row>
    <row r="135" spans="1:17" x14ac:dyDescent="0.3">
      <c r="A135" s="10"/>
      <c r="B135" s="11"/>
      <c r="M135" s="3"/>
      <c r="Q135" s="6"/>
    </row>
    <row r="136" spans="1:17" x14ac:dyDescent="0.3">
      <c r="A136" s="10"/>
      <c r="B136" s="11"/>
      <c r="M136" s="3"/>
      <c r="Q136" s="6"/>
    </row>
    <row r="137" spans="1:17" x14ac:dyDescent="0.3">
      <c r="A137" s="10"/>
      <c r="B137" s="11"/>
      <c r="M137" s="3"/>
      <c r="Q137" s="6"/>
    </row>
    <row r="138" spans="1:17" x14ac:dyDescent="0.3">
      <c r="A138" s="10"/>
      <c r="B138" s="11"/>
      <c r="M138" s="3"/>
      <c r="Q138" s="6"/>
    </row>
    <row r="139" spans="1:17" x14ac:dyDescent="0.3">
      <c r="A139" s="10"/>
      <c r="B139" s="11"/>
      <c r="M139" s="3"/>
      <c r="Q139" s="6"/>
    </row>
    <row r="140" spans="1:17" x14ac:dyDescent="0.3">
      <c r="A140" s="10"/>
      <c r="B140" s="11"/>
      <c r="M140" s="3"/>
      <c r="Q140" s="6"/>
    </row>
    <row r="141" spans="1:17" x14ac:dyDescent="0.3">
      <c r="A141" s="10"/>
      <c r="B141" s="11"/>
      <c r="M141" s="3"/>
      <c r="Q141" s="6"/>
    </row>
    <row r="142" spans="1:17" x14ac:dyDescent="0.3">
      <c r="A142" s="10"/>
      <c r="B142" s="11"/>
      <c r="M142" s="3"/>
      <c r="Q142" s="6"/>
    </row>
    <row r="143" spans="1:17" x14ac:dyDescent="0.3">
      <c r="A143" s="10"/>
      <c r="B143" s="11"/>
      <c r="M143" s="3"/>
      <c r="Q143" s="6"/>
    </row>
    <row r="144" spans="1:17" x14ac:dyDescent="0.3">
      <c r="A144" s="10"/>
      <c r="B144" s="11"/>
      <c r="M144" s="3"/>
      <c r="Q144" s="6"/>
    </row>
    <row r="145" spans="1:17" x14ac:dyDescent="0.3">
      <c r="A145" s="10"/>
      <c r="B145" s="11"/>
      <c r="M145" s="3"/>
      <c r="Q145" s="6"/>
    </row>
    <row r="146" spans="1:17" x14ac:dyDescent="0.3">
      <c r="A146" s="10"/>
      <c r="B146" s="11"/>
      <c r="M146" s="3"/>
      <c r="Q146" s="6"/>
    </row>
    <row r="147" spans="1:17" x14ac:dyDescent="0.3">
      <c r="A147" s="10"/>
      <c r="B147" s="11"/>
      <c r="M147" s="3"/>
      <c r="Q147" s="6"/>
    </row>
    <row r="148" spans="1:17" x14ac:dyDescent="0.3">
      <c r="A148" s="10"/>
      <c r="B148" s="11"/>
      <c r="M148" s="3"/>
      <c r="Q148" s="6"/>
    </row>
    <row r="149" spans="1:17" x14ac:dyDescent="0.3">
      <c r="A149" s="10"/>
      <c r="B149" s="11"/>
      <c r="M149" s="3"/>
      <c r="Q149" s="6"/>
    </row>
    <row r="150" spans="1:17" x14ac:dyDescent="0.3">
      <c r="A150" s="10"/>
      <c r="B150" s="11"/>
      <c r="M150" s="3"/>
      <c r="Q150" s="6"/>
    </row>
    <row r="151" spans="1:17" x14ac:dyDescent="0.3">
      <c r="A151" s="10"/>
      <c r="B151" s="11"/>
      <c r="M151" s="3"/>
      <c r="Q151" s="6"/>
    </row>
    <row r="152" spans="1:17" x14ac:dyDescent="0.3">
      <c r="A152" s="10"/>
      <c r="B152" s="11"/>
      <c r="M152" s="3"/>
      <c r="Q152" s="6"/>
    </row>
    <row r="153" spans="1:17" x14ac:dyDescent="0.3">
      <c r="A153" s="10"/>
      <c r="B153" s="11"/>
      <c r="M153" s="3"/>
      <c r="Q153" s="6"/>
    </row>
    <row r="154" spans="1:17" x14ac:dyDescent="0.3">
      <c r="A154" s="10"/>
      <c r="B154" s="11"/>
      <c r="M154" s="3"/>
      <c r="Q154" s="6"/>
    </row>
    <row r="155" spans="1:17" x14ac:dyDescent="0.3">
      <c r="A155" s="10"/>
      <c r="B155" s="11"/>
      <c r="M155" s="3"/>
      <c r="Q155" s="6"/>
    </row>
    <row r="156" spans="1:17" x14ac:dyDescent="0.3">
      <c r="A156" s="10"/>
      <c r="B156" s="11"/>
      <c r="M156" s="3"/>
      <c r="Q156" s="6"/>
    </row>
    <row r="157" spans="1:17" x14ac:dyDescent="0.3">
      <c r="A157" s="10"/>
      <c r="B157" s="11"/>
      <c r="M157" s="3"/>
      <c r="Q157" s="6"/>
    </row>
    <row r="158" spans="1:17" x14ac:dyDescent="0.3">
      <c r="A158" s="10"/>
      <c r="B158" s="11"/>
      <c r="M158" s="3"/>
      <c r="Q158" s="6"/>
    </row>
    <row r="159" spans="1:17" x14ac:dyDescent="0.3">
      <c r="A159" s="10"/>
      <c r="B159" s="11"/>
      <c r="M159" s="3"/>
      <c r="Q159" s="6"/>
    </row>
    <row r="160" spans="1:17" x14ac:dyDescent="0.3">
      <c r="A160" s="10"/>
      <c r="B160" s="11"/>
      <c r="M160" s="3"/>
      <c r="Q160" s="6"/>
    </row>
    <row r="161" spans="1:17" x14ac:dyDescent="0.3">
      <c r="A161" s="10"/>
      <c r="B161" s="11"/>
      <c r="M161" s="3"/>
      <c r="Q161" s="6"/>
    </row>
    <row r="162" spans="1:17" x14ac:dyDescent="0.3">
      <c r="A162" s="10"/>
      <c r="B162" s="11"/>
      <c r="M162" s="3"/>
      <c r="Q162" s="6"/>
    </row>
    <row r="163" spans="1:17" x14ac:dyDescent="0.3">
      <c r="A163" s="10"/>
      <c r="B163" s="11"/>
      <c r="M163" s="3"/>
      <c r="Q163" s="6"/>
    </row>
    <row r="164" spans="1:17" x14ac:dyDescent="0.3">
      <c r="A164" s="10"/>
      <c r="B164" s="11"/>
      <c r="M164" s="3"/>
      <c r="Q164" s="6"/>
    </row>
    <row r="165" spans="1:17" x14ac:dyDescent="0.3">
      <c r="A165" s="10"/>
      <c r="B165" s="11"/>
      <c r="M165" s="3"/>
      <c r="Q165" s="6"/>
    </row>
    <row r="166" spans="1:17" x14ac:dyDescent="0.3">
      <c r="A166" s="10"/>
      <c r="B166" s="11"/>
      <c r="M166" s="3"/>
      <c r="Q166" s="6"/>
    </row>
    <row r="167" spans="1:17" x14ac:dyDescent="0.3">
      <c r="A167" s="10"/>
      <c r="B167" s="11"/>
      <c r="M167" s="3"/>
      <c r="Q167" s="6"/>
    </row>
    <row r="168" spans="1:17" x14ac:dyDescent="0.3">
      <c r="A168" s="10"/>
      <c r="B168" s="11"/>
      <c r="M168" s="3"/>
      <c r="Q168" s="6"/>
    </row>
    <row r="169" spans="1:17" x14ac:dyDescent="0.3">
      <c r="A169" s="10"/>
      <c r="B169" s="11"/>
      <c r="M169" s="3"/>
      <c r="Q169" s="6"/>
    </row>
    <row r="170" spans="1:17" x14ac:dyDescent="0.3">
      <c r="A170" s="10"/>
      <c r="B170" s="11"/>
      <c r="M170" s="3"/>
      <c r="Q170" s="6"/>
    </row>
    <row r="171" spans="1:17" x14ac:dyDescent="0.3">
      <c r="A171" s="10"/>
      <c r="B171" s="11"/>
      <c r="M171" s="3"/>
      <c r="Q171" s="6"/>
    </row>
    <row r="172" spans="1:17" x14ac:dyDescent="0.3">
      <c r="A172" s="10"/>
      <c r="B172" s="11"/>
      <c r="M172" s="3"/>
      <c r="Q172" s="6"/>
    </row>
    <row r="173" spans="1:17" x14ac:dyDescent="0.3">
      <c r="A173" s="10"/>
      <c r="B173" s="11"/>
      <c r="M173" s="3"/>
      <c r="Q173" s="6"/>
    </row>
    <row r="174" spans="1:17" x14ac:dyDescent="0.3">
      <c r="A174" s="10"/>
      <c r="B174" s="11"/>
      <c r="M174" s="3"/>
      <c r="Q174" s="6"/>
    </row>
    <row r="175" spans="1:17" x14ac:dyDescent="0.3">
      <c r="A175" s="10"/>
      <c r="B175" s="11"/>
      <c r="M175" s="3"/>
      <c r="Q175" s="6"/>
    </row>
    <row r="176" spans="1:17" x14ac:dyDescent="0.3">
      <c r="A176" s="10"/>
      <c r="B176" s="11"/>
      <c r="M176" s="3"/>
      <c r="Q176" s="6"/>
    </row>
    <row r="177" spans="1:17" x14ac:dyDescent="0.3">
      <c r="A177" s="10"/>
      <c r="B177" s="11"/>
      <c r="M177" s="3"/>
      <c r="Q177" s="6"/>
    </row>
    <row r="178" spans="1:17" x14ac:dyDescent="0.3">
      <c r="A178" s="10"/>
      <c r="B178" s="11"/>
      <c r="M178" s="3"/>
      <c r="Q178" s="6"/>
    </row>
    <row r="179" spans="1:17" x14ac:dyDescent="0.3">
      <c r="A179" s="10"/>
      <c r="B179" s="11"/>
      <c r="M179" s="3"/>
      <c r="Q179" s="6"/>
    </row>
    <row r="180" spans="1:17" x14ac:dyDescent="0.3">
      <c r="A180" s="10"/>
      <c r="B180" s="11"/>
      <c r="M180" s="3"/>
      <c r="Q180" s="6"/>
    </row>
    <row r="181" spans="1:17" x14ac:dyDescent="0.3">
      <c r="A181" s="10"/>
      <c r="B181" s="11"/>
      <c r="M181" s="3"/>
      <c r="Q181" s="6"/>
    </row>
    <row r="182" spans="1:17" x14ac:dyDescent="0.3">
      <c r="A182" s="10"/>
      <c r="B182" s="11"/>
      <c r="M182" s="3"/>
      <c r="Q182" s="6"/>
    </row>
    <row r="183" spans="1:17" x14ac:dyDescent="0.3">
      <c r="A183" s="10"/>
      <c r="B183" s="11"/>
      <c r="M183" s="3"/>
      <c r="Q183" s="6"/>
    </row>
    <row r="184" spans="1:17" x14ac:dyDescent="0.3">
      <c r="A184" s="10"/>
      <c r="B184" s="11"/>
      <c r="M184" s="3"/>
      <c r="Q184" s="6"/>
    </row>
    <row r="185" spans="1:17" x14ac:dyDescent="0.3">
      <c r="A185" s="10"/>
      <c r="B185" s="11"/>
      <c r="M185" s="3"/>
      <c r="Q185" s="6"/>
    </row>
    <row r="186" spans="1:17" x14ac:dyDescent="0.3">
      <c r="A186" s="10"/>
      <c r="B186" s="11"/>
      <c r="M186" s="3"/>
      <c r="Q186" s="6"/>
    </row>
    <row r="187" spans="1:17" x14ac:dyDescent="0.3">
      <c r="A187" s="10"/>
      <c r="B187" s="11"/>
      <c r="M187" s="3"/>
      <c r="Q187" s="6"/>
    </row>
    <row r="188" spans="1:17" x14ac:dyDescent="0.3">
      <c r="A188" s="10"/>
      <c r="B188" s="11"/>
      <c r="M188" s="3"/>
      <c r="Q188" s="6"/>
    </row>
    <row r="189" spans="1:17" x14ac:dyDescent="0.3">
      <c r="A189" s="10"/>
      <c r="B189" s="11"/>
      <c r="M189" s="3"/>
      <c r="Q189" s="6"/>
    </row>
    <row r="190" spans="1:17" x14ac:dyDescent="0.3">
      <c r="A190" s="10"/>
      <c r="B190" s="11"/>
      <c r="M190" s="3"/>
      <c r="Q190" s="6"/>
    </row>
    <row r="191" spans="1:17" x14ac:dyDescent="0.3">
      <c r="A191" s="10"/>
      <c r="B191" s="11"/>
      <c r="M191" s="3"/>
      <c r="Q191" s="6"/>
    </row>
    <row r="192" spans="1:17" x14ac:dyDescent="0.3">
      <c r="A192" s="10"/>
      <c r="B192" s="11"/>
      <c r="M192" s="3"/>
      <c r="Q192" s="6"/>
    </row>
    <row r="193" spans="1:17" x14ac:dyDescent="0.3">
      <c r="A193" s="10"/>
      <c r="B193" s="11"/>
      <c r="M193" s="3"/>
      <c r="Q193" s="6"/>
    </row>
    <row r="194" spans="1:17" x14ac:dyDescent="0.3">
      <c r="A194" s="10"/>
      <c r="B194" s="11"/>
      <c r="M194" s="3"/>
      <c r="Q194" s="6"/>
    </row>
    <row r="195" spans="1:17" x14ac:dyDescent="0.3">
      <c r="A195" s="10"/>
      <c r="B195" s="11"/>
      <c r="M195" s="3"/>
      <c r="Q195" s="6"/>
    </row>
    <row r="196" spans="1:17" x14ac:dyDescent="0.3">
      <c r="A196" s="10"/>
      <c r="B196" s="11"/>
      <c r="M196" s="3"/>
      <c r="Q196" s="6"/>
    </row>
    <row r="197" spans="1:17" x14ac:dyDescent="0.3">
      <c r="A197" s="10"/>
      <c r="B197" s="11"/>
      <c r="M197" s="3"/>
      <c r="Q197" s="6"/>
    </row>
    <row r="198" spans="1:17" x14ac:dyDescent="0.3">
      <c r="A198" s="10"/>
      <c r="B198" s="11"/>
      <c r="M198" s="3"/>
      <c r="Q198" s="6"/>
    </row>
    <row r="199" spans="1:17" x14ac:dyDescent="0.3">
      <c r="A199" s="10"/>
      <c r="B199" s="11"/>
      <c r="M199" s="3"/>
      <c r="Q199" s="6"/>
    </row>
    <row r="200" spans="1:17" x14ac:dyDescent="0.3">
      <c r="A200" s="10"/>
      <c r="B200" s="11"/>
      <c r="M200" s="3"/>
      <c r="Q200" s="6"/>
    </row>
    <row r="201" spans="1:17" x14ac:dyDescent="0.3">
      <c r="A201" s="10"/>
      <c r="B201" s="11"/>
      <c r="M201" s="3"/>
      <c r="Q201" s="6"/>
    </row>
    <row r="202" spans="1:17" x14ac:dyDescent="0.3">
      <c r="A202" s="10"/>
      <c r="B202" s="11"/>
      <c r="M202" s="3"/>
      <c r="Q202" s="6"/>
    </row>
    <row r="203" spans="1:17" x14ac:dyDescent="0.3">
      <c r="A203" s="10"/>
      <c r="B203" s="11"/>
      <c r="M203" s="3"/>
      <c r="Q203" s="6"/>
    </row>
    <row r="204" spans="1:17" x14ac:dyDescent="0.3">
      <c r="A204" s="10"/>
      <c r="B204" s="11"/>
    </row>
    <row r="205" spans="1:17" x14ac:dyDescent="0.3">
      <c r="A205" s="10"/>
      <c r="B205" s="11"/>
    </row>
    <row r="206" spans="1:17" x14ac:dyDescent="0.3">
      <c r="A206" s="10"/>
      <c r="B206" s="11"/>
    </row>
    <row r="207" spans="1:17" x14ac:dyDescent="0.3">
      <c r="A207" s="10"/>
      <c r="B207" s="11"/>
    </row>
    <row r="208" spans="1:17" x14ac:dyDescent="0.3">
      <c r="A208" s="10"/>
      <c r="B208" s="11"/>
    </row>
    <row r="209" spans="1:2" x14ac:dyDescent="0.3">
      <c r="A209" s="10"/>
      <c r="B209" s="11"/>
    </row>
    <row r="210" spans="1:2" x14ac:dyDescent="0.3">
      <c r="A210" s="10"/>
      <c r="B210" s="11"/>
    </row>
    <row r="211" spans="1:2" x14ac:dyDescent="0.3">
      <c r="A211" s="10"/>
      <c r="B211" s="11"/>
    </row>
    <row r="212" spans="1:2" x14ac:dyDescent="0.3">
      <c r="A212" s="10"/>
      <c r="B212" s="11"/>
    </row>
    <row r="213" spans="1:2" x14ac:dyDescent="0.3">
      <c r="A213" s="10"/>
      <c r="B213" s="11"/>
    </row>
    <row r="214" spans="1:2" x14ac:dyDescent="0.3">
      <c r="A214" s="10"/>
      <c r="B214" s="11"/>
    </row>
    <row r="215" spans="1:2" x14ac:dyDescent="0.3">
      <c r="A215" s="10"/>
      <c r="B215" s="11"/>
    </row>
    <row r="216" spans="1:2" x14ac:dyDescent="0.3">
      <c r="A216" s="10"/>
      <c r="B216" s="11"/>
    </row>
    <row r="217" spans="1:2" x14ac:dyDescent="0.3">
      <c r="A217" s="10"/>
      <c r="B217" s="11"/>
    </row>
    <row r="218" spans="1:2" x14ac:dyDescent="0.3">
      <c r="A218" s="10"/>
      <c r="B218" s="11"/>
    </row>
    <row r="219" spans="1:2" x14ac:dyDescent="0.3">
      <c r="A219" s="10"/>
      <c r="B219" s="11"/>
    </row>
    <row r="220" spans="1:2" x14ac:dyDescent="0.3">
      <c r="A220" s="10"/>
      <c r="B220" s="11"/>
    </row>
    <row r="221" spans="1:2" x14ac:dyDescent="0.3">
      <c r="A221" s="10"/>
      <c r="B221" s="11"/>
    </row>
    <row r="222" spans="1:2" x14ac:dyDescent="0.3">
      <c r="A222" s="10"/>
      <c r="B222" s="11"/>
    </row>
    <row r="223" spans="1:2" x14ac:dyDescent="0.3">
      <c r="A223" s="10"/>
      <c r="B223" s="11"/>
    </row>
    <row r="224" spans="1:2" x14ac:dyDescent="0.3">
      <c r="A224" s="10"/>
      <c r="B224" s="11"/>
    </row>
    <row r="225" spans="1:2" x14ac:dyDescent="0.3">
      <c r="A225" s="10"/>
      <c r="B225" s="11"/>
    </row>
    <row r="226" spans="1:2" x14ac:dyDescent="0.3">
      <c r="A226" s="10"/>
      <c r="B226" s="11"/>
    </row>
    <row r="227" spans="1:2" x14ac:dyDescent="0.3">
      <c r="A227" s="10"/>
      <c r="B227" s="11"/>
    </row>
    <row r="228" spans="1:2" x14ac:dyDescent="0.3">
      <c r="A228" s="10"/>
      <c r="B228" s="11"/>
    </row>
    <row r="229" spans="1:2" x14ac:dyDescent="0.3">
      <c r="A229" s="10"/>
      <c r="B229" s="11"/>
    </row>
    <row r="230" spans="1:2" x14ac:dyDescent="0.3">
      <c r="A230" s="10"/>
      <c r="B230" s="11"/>
    </row>
    <row r="231" spans="1:2" x14ac:dyDescent="0.3">
      <c r="A231" s="10"/>
      <c r="B231" s="11"/>
    </row>
    <row r="232" spans="1:2" x14ac:dyDescent="0.3">
      <c r="A232" s="10"/>
      <c r="B232" s="11"/>
    </row>
    <row r="233" spans="1:2" x14ac:dyDescent="0.3">
      <c r="A233" s="10"/>
      <c r="B233" s="11"/>
    </row>
    <row r="234" spans="1:2" x14ac:dyDescent="0.3">
      <c r="A234" s="10"/>
      <c r="B234" s="11"/>
    </row>
    <row r="235" spans="1:2" x14ac:dyDescent="0.3">
      <c r="A235" s="10"/>
      <c r="B235" s="11"/>
    </row>
    <row r="236" spans="1:2" x14ac:dyDescent="0.3">
      <c r="A236" s="10"/>
      <c r="B236" s="11"/>
    </row>
    <row r="237" spans="1:2" x14ac:dyDescent="0.3">
      <c r="A237" s="10"/>
      <c r="B237" s="11"/>
    </row>
    <row r="238" spans="1:2" x14ac:dyDescent="0.3">
      <c r="A238" s="10"/>
      <c r="B238" s="11"/>
    </row>
    <row r="239" spans="1:2" x14ac:dyDescent="0.3">
      <c r="A239" s="10"/>
      <c r="B239" s="11"/>
    </row>
    <row r="240" spans="1:2" x14ac:dyDescent="0.3">
      <c r="A240" s="10"/>
      <c r="B240" s="11"/>
    </row>
    <row r="241" spans="1:2" x14ac:dyDescent="0.3">
      <c r="A241" s="10"/>
      <c r="B241" s="11"/>
    </row>
    <row r="242" spans="1:2" x14ac:dyDescent="0.3">
      <c r="A242" s="10"/>
      <c r="B242" s="11"/>
    </row>
    <row r="243" spans="1:2" x14ac:dyDescent="0.3">
      <c r="A243" s="10"/>
      <c r="B243" s="11"/>
    </row>
    <row r="244" spans="1:2" x14ac:dyDescent="0.3">
      <c r="A244" s="10"/>
      <c r="B244" s="11"/>
    </row>
    <row r="245" spans="1:2" x14ac:dyDescent="0.3">
      <c r="A245" s="10"/>
      <c r="B245" s="11"/>
    </row>
    <row r="246" spans="1:2" x14ac:dyDescent="0.3">
      <c r="A246" s="10"/>
      <c r="B246" s="11"/>
    </row>
    <row r="247" spans="1:2" x14ac:dyDescent="0.3">
      <c r="A247" s="10"/>
      <c r="B247" s="11"/>
    </row>
    <row r="248" spans="1:2" x14ac:dyDescent="0.3">
      <c r="A248" s="10"/>
      <c r="B248" s="11"/>
    </row>
    <row r="249" spans="1:2" x14ac:dyDescent="0.3">
      <c r="A249" s="10"/>
      <c r="B249" s="11"/>
    </row>
    <row r="250" spans="1:2" x14ac:dyDescent="0.3">
      <c r="A250" s="10"/>
      <c r="B250" s="11"/>
    </row>
    <row r="251" spans="1:2" x14ac:dyDescent="0.3">
      <c r="A251" s="10"/>
      <c r="B251" s="11"/>
    </row>
  </sheetData>
  <conditionalFormatting sqref="J2:J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C110-B8F2-4AE2-B665-998F4795C114}">
  <sheetPr codeName="Planilha6">
    <tabColor theme="3" tint="0.749992370372631"/>
  </sheetPr>
  <dimension ref="A1:K204"/>
  <sheetViews>
    <sheetView workbookViewId="0">
      <selection activeCell="G38" sqref="G38"/>
    </sheetView>
  </sheetViews>
  <sheetFormatPr defaultRowHeight="14.4" x14ac:dyDescent="0.3"/>
  <cols>
    <col min="1" max="1" width="19.88671875" customWidth="1"/>
    <col min="2" max="2" width="19.6640625" style="4" bestFit="1" customWidth="1"/>
    <col min="5" max="5" width="9.109375" style="8"/>
    <col min="6" max="6" width="9.109375" style="5"/>
    <col min="10" max="10" width="12.109375" bestFit="1" customWidth="1"/>
    <col min="11" max="11" width="20.44140625" bestFit="1" customWidth="1"/>
    <col min="13" max="13" width="12.109375" bestFit="1" customWidth="1"/>
  </cols>
  <sheetData>
    <row r="1" spans="1:11" ht="15" thickBot="1" x14ac:dyDescent="0.35">
      <c r="A1" s="1" t="s">
        <v>0</v>
      </c>
      <c r="B1" s="2" t="s">
        <v>77</v>
      </c>
      <c r="C1" s="3">
        <f>SUM(B:B)</f>
        <v>1.0000000000000004</v>
      </c>
      <c r="E1" s="8" t="s">
        <v>0</v>
      </c>
      <c r="F1" s="5" t="s">
        <v>78</v>
      </c>
      <c r="G1" s="5">
        <f>SUM(F:F)</f>
        <v>0.99999999999999978</v>
      </c>
    </row>
    <row r="2" spans="1:11" x14ac:dyDescent="0.3">
      <c r="A2" s="14" t="s">
        <v>46</v>
      </c>
      <c r="B2" s="11">
        <v>1.2E-2</v>
      </c>
      <c r="E2" s="8" t="str">
        <f>A2</f>
        <v>WIZC3</v>
      </c>
      <c r="F2" s="5">
        <f>(1-$F$73-$F$74-$F$75)*B2</f>
        <v>5.9759999999999995E-3</v>
      </c>
      <c r="I2" s="3">
        <f>VLOOKUP(A2,'[1]36 - LP'!$A$9:$B$219,2,0)</f>
        <v>1.2E-2</v>
      </c>
      <c r="J2" s="3">
        <f>B2-I2</f>
        <v>0</v>
      </c>
      <c r="K2" s="15"/>
    </row>
    <row r="3" spans="1:11" x14ac:dyDescent="0.3">
      <c r="A3" s="14" t="s">
        <v>63</v>
      </c>
      <c r="B3" s="11">
        <v>1.2E-2</v>
      </c>
      <c r="E3" s="8" t="str">
        <f t="shared" ref="E3:E66" si="0">A3</f>
        <v>BMGB4</v>
      </c>
      <c r="F3" s="5">
        <f t="shared" ref="F3:F66" si="1">(1-$F$73-$F$74-$F$75)*B3</f>
        <v>5.9759999999999995E-3</v>
      </c>
      <c r="I3" s="3">
        <f>VLOOKUP(A3,'[1]36 - LP'!$A$9:$B$219,2,0)</f>
        <v>1.2E-2</v>
      </c>
      <c r="J3" s="3">
        <f t="shared" ref="J3:J66" si="2">B3-I3</f>
        <v>0</v>
      </c>
      <c r="K3" s="15"/>
    </row>
    <row r="4" spans="1:11" x14ac:dyDescent="0.3">
      <c r="A4" s="14" t="s">
        <v>110</v>
      </c>
      <c r="B4" s="11">
        <v>0.01</v>
      </c>
      <c r="E4" s="8" t="str">
        <f t="shared" si="0"/>
        <v>LOGG3</v>
      </c>
      <c r="F4" s="5">
        <f t="shared" si="1"/>
        <v>4.9799999999999992E-3</v>
      </c>
      <c r="I4" s="3">
        <f>VLOOKUP(A4,'[1]36 - LP'!$A$9:$B$219,2,0)</f>
        <v>0.01</v>
      </c>
      <c r="J4" s="3">
        <f t="shared" si="2"/>
        <v>0</v>
      </c>
      <c r="K4" s="15"/>
    </row>
    <row r="5" spans="1:11" x14ac:dyDescent="0.3">
      <c r="A5" s="14" t="s">
        <v>94</v>
      </c>
      <c r="B5" s="11">
        <v>8.9999999999999993E-3</v>
      </c>
      <c r="E5" s="8" t="str">
        <f t="shared" si="0"/>
        <v>FIQE3</v>
      </c>
      <c r="F5" s="5">
        <f t="shared" si="1"/>
        <v>4.481999999999999E-3</v>
      </c>
      <c r="I5" s="3">
        <f>VLOOKUP(A5,'[1]36 - LP'!$A$9:$B$219,2,0)</f>
        <v>8.9999999999999993E-3</v>
      </c>
      <c r="J5" s="3">
        <f t="shared" si="2"/>
        <v>0</v>
      </c>
      <c r="K5" s="15"/>
    </row>
    <row r="6" spans="1:11" x14ac:dyDescent="0.3">
      <c r="A6" s="14" t="s">
        <v>48</v>
      </c>
      <c r="B6" s="11">
        <v>1.2500000000000001E-2</v>
      </c>
      <c r="E6" s="8" t="str">
        <f t="shared" si="0"/>
        <v>JHSF3</v>
      </c>
      <c r="F6" s="5">
        <f t="shared" si="1"/>
        <v>6.2249999999999996E-3</v>
      </c>
      <c r="I6" s="3">
        <f>VLOOKUP(A6,'[1]36 - LP'!$A$9:$B$219,2,0)</f>
        <v>1.2500000000000001E-2</v>
      </c>
      <c r="J6" s="3">
        <f t="shared" si="2"/>
        <v>0</v>
      </c>
      <c r="K6" s="15"/>
    </row>
    <row r="7" spans="1:11" x14ac:dyDescent="0.3">
      <c r="A7" s="14" t="s">
        <v>95</v>
      </c>
      <c r="B7" s="11">
        <v>0.01</v>
      </c>
      <c r="E7" s="8" t="str">
        <f t="shared" si="0"/>
        <v>ALLD3</v>
      </c>
      <c r="F7" s="5">
        <f t="shared" si="1"/>
        <v>4.9799999999999992E-3</v>
      </c>
      <c r="I7" s="3">
        <f>VLOOKUP(A7,'[1]36 - LP'!$A$9:$B$219,2,0)</f>
        <v>0.01</v>
      </c>
      <c r="J7" s="3">
        <f t="shared" si="2"/>
        <v>0</v>
      </c>
      <c r="K7" s="15"/>
    </row>
    <row r="8" spans="1:11" x14ac:dyDescent="0.3">
      <c r="A8" s="14" t="s">
        <v>102</v>
      </c>
      <c r="B8" s="11">
        <v>8.0000000000000002E-3</v>
      </c>
      <c r="E8" s="8" t="str">
        <f t="shared" si="0"/>
        <v>RIAA3</v>
      </c>
      <c r="F8" s="5">
        <f t="shared" si="1"/>
        <v>3.9839999999999997E-3</v>
      </c>
      <c r="I8" s="3">
        <f>VLOOKUP(A8,'[1]36 - LP'!$A$9:$B$219,2,0)</f>
        <v>8.0000000000000002E-3</v>
      </c>
      <c r="J8" s="3">
        <f t="shared" si="2"/>
        <v>0</v>
      </c>
      <c r="K8" s="15"/>
    </row>
    <row r="9" spans="1:11" x14ac:dyDescent="0.3">
      <c r="A9" s="14" t="s">
        <v>61</v>
      </c>
      <c r="B9" s="11">
        <v>1.2E-2</v>
      </c>
      <c r="E9" s="8" t="str">
        <f t="shared" si="0"/>
        <v>GRND3</v>
      </c>
      <c r="F9" s="5">
        <f t="shared" si="1"/>
        <v>5.9759999999999995E-3</v>
      </c>
      <c r="I9" s="3">
        <f>VLOOKUP(A9,'[1]36 - LP'!$A$9:$B$219,2,0)</f>
        <v>1.2E-2</v>
      </c>
      <c r="J9" s="3">
        <f t="shared" si="2"/>
        <v>0</v>
      </c>
      <c r="K9" s="15"/>
    </row>
    <row r="10" spans="1:11" x14ac:dyDescent="0.3">
      <c r="A10" s="14" t="s">
        <v>115</v>
      </c>
      <c r="B10" s="11">
        <v>7.0000000000000001E-3</v>
      </c>
      <c r="E10" s="8" t="str">
        <f t="shared" si="0"/>
        <v>HBRE3</v>
      </c>
      <c r="F10" s="5">
        <f t="shared" si="1"/>
        <v>3.4859999999999995E-3</v>
      </c>
      <c r="I10" s="3">
        <f>VLOOKUP(A10,'[1]36 - LP'!$A$9:$B$219,2,0)</f>
        <v>7.0000000000000001E-3</v>
      </c>
      <c r="J10" s="3">
        <f t="shared" si="2"/>
        <v>0</v>
      </c>
      <c r="K10" s="15"/>
    </row>
    <row r="11" spans="1:11" x14ac:dyDescent="0.3">
      <c r="A11" s="14" t="s">
        <v>87</v>
      </c>
      <c r="B11" s="11">
        <v>0.01</v>
      </c>
      <c r="E11" s="8" t="str">
        <f t="shared" si="0"/>
        <v>POMO3</v>
      </c>
      <c r="F11" s="5">
        <f t="shared" si="1"/>
        <v>4.9799999999999992E-3</v>
      </c>
      <c r="I11" s="3">
        <f>VLOOKUP(A11,'[1]36 - LP'!$A$9:$B$219,2,0)</f>
        <v>0.01</v>
      </c>
      <c r="J11" s="3">
        <f t="shared" si="2"/>
        <v>0</v>
      </c>
      <c r="K11" s="15"/>
    </row>
    <row r="12" spans="1:11" x14ac:dyDescent="0.3">
      <c r="A12" s="14" t="s">
        <v>50</v>
      </c>
      <c r="B12" s="11">
        <v>1.4999999999999999E-2</v>
      </c>
      <c r="E12" s="8" t="str">
        <f t="shared" si="0"/>
        <v>MTRE3</v>
      </c>
      <c r="F12" s="5">
        <f t="shared" si="1"/>
        <v>7.4699999999999992E-3</v>
      </c>
      <c r="I12" s="3">
        <f>VLOOKUP(A12,'[1]36 - LP'!$A$9:$B$219,2,0)</f>
        <v>1.4999999999999999E-2</v>
      </c>
      <c r="J12" s="3">
        <f t="shared" si="2"/>
        <v>0</v>
      </c>
      <c r="K12" s="15"/>
    </row>
    <row r="13" spans="1:11" x14ac:dyDescent="0.3">
      <c r="A13" s="14" t="s">
        <v>112</v>
      </c>
      <c r="B13" s="11">
        <v>5.0000000000000001E-3</v>
      </c>
      <c r="E13" s="8" t="str">
        <f t="shared" si="0"/>
        <v>MLAS3</v>
      </c>
      <c r="F13" s="5">
        <f t="shared" si="1"/>
        <v>2.4899999999999996E-3</v>
      </c>
      <c r="I13" s="3">
        <f>VLOOKUP(A13,'[1]36 - LP'!$A$9:$B$219,2,0)</f>
        <v>5.0000000000000001E-3</v>
      </c>
      <c r="J13" s="3">
        <f t="shared" si="2"/>
        <v>0</v>
      </c>
      <c r="K13" s="15"/>
    </row>
    <row r="14" spans="1:11" x14ac:dyDescent="0.3">
      <c r="A14" s="14" t="s">
        <v>29</v>
      </c>
      <c r="B14" s="11">
        <v>8.9999999999999993E-3</v>
      </c>
      <c r="E14" s="8" t="str">
        <f t="shared" si="0"/>
        <v>SYNE3</v>
      </c>
      <c r="F14" s="5">
        <f t="shared" si="1"/>
        <v>4.481999999999999E-3</v>
      </c>
      <c r="I14" s="3">
        <f>VLOOKUP(A14,'[1]36 - LP'!$A$9:$B$219,2,0)</f>
        <v>8.9999999999999993E-3</v>
      </c>
      <c r="J14" s="3">
        <f t="shared" si="2"/>
        <v>0</v>
      </c>
      <c r="K14" s="15"/>
    </row>
    <row r="15" spans="1:11" x14ac:dyDescent="0.3">
      <c r="A15" s="14" t="s">
        <v>26</v>
      </c>
      <c r="B15" s="11">
        <v>1.2E-2</v>
      </c>
      <c r="E15" s="8" t="str">
        <f t="shared" si="0"/>
        <v>BRSR6</v>
      </c>
      <c r="F15" s="5">
        <f t="shared" si="1"/>
        <v>5.9759999999999995E-3</v>
      </c>
      <c r="I15" s="3">
        <f>VLOOKUP(A15,'[1]36 - LP'!$A$9:$B$219,2,0)</f>
        <v>1.2E-2</v>
      </c>
      <c r="J15" s="3">
        <f t="shared" si="2"/>
        <v>0</v>
      </c>
      <c r="K15" s="15"/>
    </row>
    <row r="16" spans="1:11" x14ac:dyDescent="0.3">
      <c r="A16" s="14" t="s">
        <v>119</v>
      </c>
      <c r="B16" s="11">
        <v>1.2999999999999999E-2</v>
      </c>
      <c r="E16" s="8" t="str">
        <f t="shared" si="0"/>
        <v>MILS3</v>
      </c>
      <c r="F16" s="5">
        <f t="shared" si="1"/>
        <v>6.4739999999999989E-3</v>
      </c>
      <c r="I16" s="3">
        <f>VLOOKUP(A16,'[1]36 - LP'!$A$9:$B$219,2,0)</f>
        <v>1.2999999999999999E-2</v>
      </c>
      <c r="J16" s="3">
        <f t="shared" si="2"/>
        <v>0</v>
      </c>
      <c r="K16" s="15"/>
    </row>
    <row r="17" spans="1:11" x14ac:dyDescent="0.3">
      <c r="A17" s="14" t="s">
        <v>120</v>
      </c>
      <c r="B17" s="11">
        <v>5.0000000000000001E-3</v>
      </c>
      <c r="E17" s="8" t="str">
        <f t="shared" si="0"/>
        <v>AURA33</v>
      </c>
      <c r="F17" s="5">
        <f t="shared" si="1"/>
        <v>2.4899999999999996E-3</v>
      </c>
      <c r="I17" s="3">
        <f>VLOOKUP(A17,'[1]36 - LP'!$A$9:$B$219,2,0)</f>
        <v>5.0000000000000001E-3</v>
      </c>
      <c r="J17" s="3">
        <f t="shared" si="2"/>
        <v>0</v>
      </c>
      <c r="K17" s="15"/>
    </row>
    <row r="18" spans="1:11" x14ac:dyDescent="0.3">
      <c r="A18" s="14" t="s">
        <v>27</v>
      </c>
      <c r="B18" s="11">
        <v>4.4999999999999998E-2</v>
      </c>
      <c r="E18" s="8" t="str">
        <f t="shared" si="0"/>
        <v>BRAP4</v>
      </c>
      <c r="F18" s="5">
        <f t="shared" si="1"/>
        <v>2.2409999999999996E-2</v>
      </c>
      <c r="I18" s="3">
        <f>VLOOKUP(A18,'[1]36 - LP'!$A$9:$B$219,2,0)</f>
        <v>4.4999999999999998E-2</v>
      </c>
      <c r="J18" s="3">
        <f t="shared" si="2"/>
        <v>0</v>
      </c>
      <c r="K18" s="15"/>
    </row>
    <row r="19" spans="1:11" x14ac:dyDescent="0.3">
      <c r="A19" s="14" t="s">
        <v>111</v>
      </c>
      <c r="B19" s="11">
        <v>8.0000000000000002E-3</v>
      </c>
      <c r="E19" s="8" t="str">
        <f t="shared" si="0"/>
        <v>INTB3</v>
      </c>
      <c r="F19" s="5">
        <f t="shared" si="1"/>
        <v>3.9839999999999997E-3</v>
      </c>
      <c r="I19" s="3">
        <f>VLOOKUP(A19,'[1]36 - LP'!$A$9:$B$219,2,0)</f>
        <v>8.0000000000000002E-3</v>
      </c>
      <c r="J19" s="3">
        <f t="shared" si="2"/>
        <v>0</v>
      </c>
      <c r="K19" s="15"/>
    </row>
    <row r="20" spans="1:11" x14ac:dyDescent="0.3">
      <c r="A20" s="14" t="s">
        <v>114</v>
      </c>
      <c r="B20" s="11">
        <v>5.0000000000000001E-3</v>
      </c>
      <c r="E20" s="8" t="str">
        <f t="shared" si="0"/>
        <v>SEER3</v>
      </c>
      <c r="F20" s="5">
        <f t="shared" si="1"/>
        <v>2.4899999999999996E-3</v>
      </c>
      <c r="I20" s="3">
        <f>VLOOKUP(A20,'[1]36 - LP'!$A$9:$B$219,2,0)</f>
        <v>5.0000000000000001E-3</v>
      </c>
      <c r="J20" s="3">
        <f t="shared" si="2"/>
        <v>0</v>
      </c>
      <c r="K20" s="15"/>
    </row>
    <row r="21" spans="1:11" x14ac:dyDescent="0.3">
      <c r="A21" s="14" t="s">
        <v>3</v>
      </c>
      <c r="B21" s="11">
        <v>0.05</v>
      </c>
      <c r="E21" s="8" t="str">
        <f t="shared" si="0"/>
        <v>PETR4</v>
      </c>
      <c r="F21" s="5">
        <f t="shared" si="1"/>
        <v>2.4899999999999999E-2</v>
      </c>
      <c r="I21" s="3">
        <f>VLOOKUP(A21,'[1]36 - LP'!$A$9:$B$219,2,0)</f>
        <v>0.05</v>
      </c>
      <c r="J21" s="3">
        <f t="shared" si="2"/>
        <v>0</v>
      </c>
      <c r="K21" s="15"/>
    </row>
    <row r="22" spans="1:11" x14ac:dyDescent="0.3">
      <c r="A22" s="14" t="s">
        <v>97</v>
      </c>
      <c r="B22" s="11">
        <v>0.01</v>
      </c>
      <c r="E22" s="8" t="str">
        <f t="shared" si="0"/>
        <v>PINE4</v>
      </c>
      <c r="F22" s="5">
        <f t="shared" si="1"/>
        <v>4.9799999999999992E-3</v>
      </c>
      <c r="I22" s="3">
        <f>VLOOKUP(A22,'[1]36 - LP'!$A$9:$B$219,2,0)</f>
        <v>0.01</v>
      </c>
      <c r="J22" s="3">
        <f t="shared" si="2"/>
        <v>0</v>
      </c>
      <c r="K22" s="15"/>
    </row>
    <row r="23" spans="1:11" x14ac:dyDescent="0.3">
      <c r="A23" s="14" t="s">
        <v>16</v>
      </c>
      <c r="B23" s="11">
        <v>0.01</v>
      </c>
      <c r="E23" s="8" t="str">
        <f t="shared" si="0"/>
        <v>POMO4</v>
      </c>
      <c r="F23" s="5">
        <f t="shared" si="1"/>
        <v>4.9799999999999992E-3</v>
      </c>
      <c r="I23" s="3">
        <f>VLOOKUP(A23,'[1]36 - LP'!$A$9:$B$219,2,0)</f>
        <v>0.01</v>
      </c>
      <c r="J23" s="3">
        <f t="shared" si="2"/>
        <v>0</v>
      </c>
      <c r="K23" s="15"/>
    </row>
    <row r="24" spans="1:11" x14ac:dyDescent="0.3">
      <c r="A24" s="14" t="s">
        <v>5</v>
      </c>
      <c r="B24" s="11">
        <v>4.4999999999999998E-2</v>
      </c>
      <c r="E24" s="8" t="str">
        <f t="shared" si="0"/>
        <v>PETR3</v>
      </c>
      <c r="F24" s="5">
        <f t="shared" si="1"/>
        <v>2.2409999999999996E-2</v>
      </c>
      <c r="I24" s="3">
        <f>VLOOKUP(A24,'[1]36 - LP'!$A$9:$B$219,2,0)</f>
        <v>4.4999999999999998E-2</v>
      </c>
      <c r="J24" s="3">
        <f t="shared" si="2"/>
        <v>0</v>
      </c>
      <c r="K24" s="15"/>
    </row>
    <row r="25" spans="1:11" x14ac:dyDescent="0.3">
      <c r="A25" s="14" t="s">
        <v>85</v>
      </c>
      <c r="B25" s="11">
        <v>6.0000000000000001E-3</v>
      </c>
      <c r="E25" s="8" t="str">
        <f t="shared" si="0"/>
        <v>CSED3</v>
      </c>
      <c r="F25" s="5">
        <f t="shared" si="1"/>
        <v>2.9879999999999998E-3</v>
      </c>
      <c r="I25" s="3">
        <f>VLOOKUP(A25,'[1]36 - LP'!$A$9:$B$219,2,0)</f>
        <v>6.0000000000000001E-3</v>
      </c>
      <c r="J25" s="3">
        <f t="shared" si="2"/>
        <v>0</v>
      </c>
      <c r="K25" s="15"/>
    </row>
    <row r="26" spans="1:11" x14ac:dyDescent="0.3">
      <c r="A26" s="14" t="s">
        <v>92</v>
      </c>
      <c r="B26" s="11">
        <v>1.2E-2</v>
      </c>
      <c r="E26" s="8" t="str">
        <f t="shared" si="0"/>
        <v>OPCT3</v>
      </c>
      <c r="F26" s="5">
        <f t="shared" si="1"/>
        <v>5.9759999999999995E-3</v>
      </c>
      <c r="I26" s="3">
        <f>VLOOKUP(A26,'[1]36 - LP'!$A$9:$B$219,2,0)</f>
        <v>1.2E-2</v>
      </c>
      <c r="J26" s="3">
        <f t="shared" si="2"/>
        <v>0</v>
      </c>
      <c r="K26" s="15"/>
    </row>
    <row r="27" spans="1:11" x14ac:dyDescent="0.3">
      <c r="A27" s="14" t="s">
        <v>121</v>
      </c>
      <c r="B27" s="11">
        <v>5.0000000000000001E-3</v>
      </c>
      <c r="E27" s="8" t="str">
        <f t="shared" si="0"/>
        <v>ESPA3</v>
      </c>
      <c r="F27" s="5">
        <f t="shared" si="1"/>
        <v>2.4899999999999996E-3</v>
      </c>
      <c r="I27" s="3">
        <f>VLOOKUP(A27,'[1]36 - LP'!$A$9:$B$219,2,0)</f>
        <v>5.0000000000000001E-3</v>
      </c>
      <c r="J27" s="3">
        <f t="shared" si="2"/>
        <v>0</v>
      </c>
      <c r="K27" s="15"/>
    </row>
    <row r="28" spans="1:11" x14ac:dyDescent="0.3">
      <c r="A28" s="14" t="s">
        <v>122</v>
      </c>
      <c r="B28" s="11">
        <v>6.0000000000000001E-3</v>
      </c>
      <c r="E28" s="8" t="str">
        <f t="shared" si="0"/>
        <v>VTRU3</v>
      </c>
      <c r="F28" s="5">
        <f t="shared" si="1"/>
        <v>2.9879999999999998E-3</v>
      </c>
      <c r="I28" s="3">
        <f>VLOOKUP(A28,'[1]36 - LP'!$A$9:$B$219,2,0)</f>
        <v>6.0000000000000001E-3</v>
      </c>
      <c r="J28" s="3">
        <f t="shared" si="2"/>
        <v>0</v>
      </c>
      <c r="K28" s="15"/>
    </row>
    <row r="29" spans="1:11" x14ac:dyDescent="0.3">
      <c r="A29" s="14" t="s">
        <v>88</v>
      </c>
      <c r="B29" s="11">
        <v>1.6E-2</v>
      </c>
      <c r="E29" s="8" t="str">
        <f t="shared" si="0"/>
        <v>ABCB4</v>
      </c>
      <c r="F29" s="5">
        <f t="shared" si="1"/>
        <v>7.9679999999999994E-3</v>
      </c>
      <c r="I29" s="3">
        <f>VLOOKUP(A29,'[1]36 - LP'!$A$9:$B$219,2,0)</f>
        <v>1.6E-2</v>
      </c>
      <c r="J29" s="3">
        <f t="shared" si="2"/>
        <v>0</v>
      </c>
      <c r="K29" s="15"/>
    </row>
    <row r="30" spans="1:11" x14ac:dyDescent="0.3">
      <c r="A30" s="14" t="s">
        <v>103</v>
      </c>
      <c r="B30" s="11">
        <v>1.2999999999999999E-2</v>
      </c>
      <c r="E30" s="8" t="str">
        <f t="shared" si="0"/>
        <v>MELK3</v>
      </c>
      <c r="F30" s="5">
        <f t="shared" si="1"/>
        <v>6.4739999999999989E-3</v>
      </c>
      <c r="I30" s="3">
        <f>VLOOKUP(A30,'[1]36 - LP'!$A$9:$B$219,2,0)</f>
        <v>1.2999999999999999E-2</v>
      </c>
      <c r="J30" s="3">
        <f t="shared" si="2"/>
        <v>0</v>
      </c>
      <c r="K30" s="15"/>
    </row>
    <row r="31" spans="1:11" x14ac:dyDescent="0.3">
      <c r="A31" s="14" t="s">
        <v>71</v>
      </c>
      <c r="B31" s="11">
        <v>1.2E-2</v>
      </c>
      <c r="E31" s="8" t="str">
        <f t="shared" si="0"/>
        <v>BMOB3</v>
      </c>
      <c r="F31" s="5">
        <f t="shared" si="1"/>
        <v>5.9759999999999995E-3</v>
      </c>
      <c r="I31" s="3">
        <f>VLOOKUP(A31,'[1]36 - LP'!$A$9:$B$219,2,0)</f>
        <v>1.2E-2</v>
      </c>
      <c r="J31" s="3">
        <f t="shared" si="2"/>
        <v>0</v>
      </c>
      <c r="K31" s="15"/>
    </row>
    <row r="32" spans="1:11" x14ac:dyDescent="0.3">
      <c r="A32" s="14" t="s">
        <v>28</v>
      </c>
      <c r="B32" s="11">
        <v>1.2999999999999999E-2</v>
      </c>
      <c r="E32" s="8" t="str">
        <f t="shared" si="0"/>
        <v>LEVE3</v>
      </c>
      <c r="F32" s="5">
        <f t="shared" si="1"/>
        <v>6.4739999999999989E-3</v>
      </c>
      <c r="I32" s="3">
        <f>VLOOKUP(A32,'[1]36 - LP'!$A$9:$B$219,2,0)</f>
        <v>1.2999999999999999E-2</v>
      </c>
      <c r="J32" s="3">
        <f t="shared" si="2"/>
        <v>0</v>
      </c>
      <c r="K32" s="15"/>
    </row>
    <row r="33" spans="1:11" x14ac:dyDescent="0.3">
      <c r="A33" s="14" t="s">
        <v>123</v>
      </c>
      <c r="B33" s="11">
        <v>0.01</v>
      </c>
      <c r="E33" s="8" t="str">
        <f t="shared" si="0"/>
        <v>EUCA4</v>
      </c>
      <c r="F33" s="5">
        <f t="shared" si="1"/>
        <v>4.9799999999999992E-3</v>
      </c>
      <c r="I33" s="3">
        <f>VLOOKUP(A33,'[1]36 - LP'!$A$9:$B$219,2,0)</f>
        <v>0.01</v>
      </c>
      <c r="J33" s="3">
        <f t="shared" si="2"/>
        <v>0</v>
      </c>
      <c r="K33" s="15"/>
    </row>
    <row r="34" spans="1:11" x14ac:dyDescent="0.3">
      <c r="A34" s="14" t="s">
        <v>124</v>
      </c>
      <c r="B34" s="11">
        <v>1.2999999999999999E-2</v>
      </c>
      <c r="E34" s="8" t="str">
        <f t="shared" si="0"/>
        <v>CSUD3</v>
      </c>
      <c r="F34" s="5">
        <f t="shared" si="1"/>
        <v>6.4739999999999989E-3</v>
      </c>
      <c r="I34" s="3">
        <f>VLOOKUP(A34,'[1]36 - LP'!$A$9:$B$219,2,0)</f>
        <v>1.2999999999999999E-2</v>
      </c>
      <c r="J34" s="3">
        <f t="shared" si="2"/>
        <v>0</v>
      </c>
      <c r="K34" s="15"/>
    </row>
    <row r="35" spans="1:11" x14ac:dyDescent="0.3">
      <c r="A35" s="14" t="s">
        <v>105</v>
      </c>
      <c r="B35" s="11">
        <v>8.9999999999999993E-3</v>
      </c>
      <c r="E35" s="8" t="str">
        <f t="shared" si="0"/>
        <v>PNVL3</v>
      </c>
      <c r="F35" s="5">
        <f t="shared" si="1"/>
        <v>4.481999999999999E-3</v>
      </c>
      <c r="I35" s="3">
        <f>VLOOKUP(A35,'[1]36 - LP'!$A$9:$B$219,2,0)</f>
        <v>8.9999999999999993E-3</v>
      </c>
      <c r="J35" s="3">
        <f t="shared" si="2"/>
        <v>0</v>
      </c>
      <c r="K35" s="15"/>
    </row>
    <row r="36" spans="1:11" x14ac:dyDescent="0.3">
      <c r="A36" s="14" t="s">
        <v>73</v>
      </c>
      <c r="B36" s="11">
        <v>6.0000000000000001E-3</v>
      </c>
      <c r="E36" s="8" t="str">
        <f t="shared" si="0"/>
        <v>MDNE3</v>
      </c>
      <c r="F36" s="5">
        <f t="shared" si="1"/>
        <v>2.9879999999999998E-3</v>
      </c>
      <c r="I36" s="3">
        <f>VLOOKUP(A36,'[1]36 - LP'!$A$9:$B$219,2,0)</f>
        <v>6.0000000000000001E-3</v>
      </c>
      <c r="J36" s="3">
        <f t="shared" si="2"/>
        <v>0</v>
      </c>
      <c r="K36" s="15"/>
    </row>
    <row r="37" spans="1:11" x14ac:dyDescent="0.3">
      <c r="A37" s="14" t="s">
        <v>108</v>
      </c>
      <c r="B37" s="11">
        <v>1.2999999999999999E-2</v>
      </c>
      <c r="E37" s="8" t="str">
        <f t="shared" si="0"/>
        <v>SHUL4</v>
      </c>
      <c r="F37" s="5">
        <f t="shared" si="1"/>
        <v>6.4739999999999989E-3</v>
      </c>
      <c r="I37" s="3">
        <f>VLOOKUP(A37,'[1]36 - LP'!$A$9:$B$219,2,0)</f>
        <v>1.2999999999999999E-2</v>
      </c>
      <c r="J37" s="3">
        <f t="shared" si="2"/>
        <v>0</v>
      </c>
      <c r="K37" s="15"/>
    </row>
    <row r="38" spans="1:11" x14ac:dyDescent="0.3">
      <c r="A38" s="14" t="s">
        <v>113</v>
      </c>
      <c r="B38" s="11">
        <v>1.0999999999999999E-2</v>
      </c>
      <c r="E38" s="8" t="str">
        <f t="shared" si="0"/>
        <v>POSI3</v>
      </c>
      <c r="F38" s="5">
        <f t="shared" si="1"/>
        <v>5.4779999999999994E-3</v>
      </c>
      <c r="I38" s="3">
        <f>VLOOKUP(A38,'[1]36 - LP'!$A$9:$B$219,2,0)</f>
        <v>1.0999999999999999E-2</v>
      </c>
      <c r="J38" s="3">
        <f t="shared" si="2"/>
        <v>0</v>
      </c>
      <c r="K38" s="15"/>
    </row>
    <row r="39" spans="1:11" x14ac:dyDescent="0.3">
      <c r="A39" s="14" t="s">
        <v>109</v>
      </c>
      <c r="B39" s="11">
        <v>8.9999999999999993E-3</v>
      </c>
      <c r="E39" s="8" t="str">
        <f t="shared" si="0"/>
        <v>PFRM3</v>
      </c>
      <c r="F39" s="5">
        <f t="shared" si="1"/>
        <v>4.481999999999999E-3</v>
      </c>
      <c r="I39" s="3">
        <f>VLOOKUP(A39,'[1]36 - LP'!$A$9:$B$219,2,0)</f>
        <v>8.9999999999999993E-3</v>
      </c>
      <c r="J39" s="3">
        <f t="shared" si="2"/>
        <v>0</v>
      </c>
      <c r="K39" s="15"/>
    </row>
    <row r="40" spans="1:11" x14ac:dyDescent="0.3">
      <c r="A40" s="14" t="s">
        <v>22</v>
      </c>
      <c r="B40" s="11">
        <v>1.6E-2</v>
      </c>
      <c r="E40" s="8" t="str">
        <f t="shared" si="0"/>
        <v>GOAU4</v>
      </c>
      <c r="F40" s="5">
        <f t="shared" si="1"/>
        <v>7.9679999999999994E-3</v>
      </c>
      <c r="I40" s="3">
        <f>VLOOKUP(A40,'[1]36 - LP'!$A$9:$B$219,2,0)</f>
        <v>1.6E-2</v>
      </c>
      <c r="J40" s="3">
        <f t="shared" si="2"/>
        <v>0</v>
      </c>
      <c r="K40" s="15"/>
    </row>
    <row r="41" spans="1:11" x14ac:dyDescent="0.3">
      <c r="A41" s="14" t="s">
        <v>66</v>
      </c>
      <c r="B41" s="11">
        <v>3.4000000000000002E-2</v>
      </c>
      <c r="E41" s="8" t="str">
        <f t="shared" si="0"/>
        <v>ITSA4</v>
      </c>
      <c r="F41" s="5">
        <f t="shared" si="1"/>
        <v>1.6931999999999999E-2</v>
      </c>
      <c r="I41" s="3">
        <f>VLOOKUP(A41,'[1]36 - LP'!$A$9:$B$219,2,0)</f>
        <v>3.4000000000000002E-2</v>
      </c>
      <c r="J41" s="3">
        <f t="shared" si="2"/>
        <v>0</v>
      </c>
      <c r="K41" s="15"/>
    </row>
    <row r="42" spans="1:11" x14ac:dyDescent="0.3">
      <c r="A42" s="14" t="s">
        <v>104</v>
      </c>
      <c r="B42" s="11">
        <v>8.9999999999999993E-3</v>
      </c>
      <c r="E42" s="8" t="str">
        <f t="shared" si="0"/>
        <v>ALPA4</v>
      </c>
      <c r="F42" s="5">
        <f t="shared" si="1"/>
        <v>4.481999999999999E-3</v>
      </c>
      <c r="I42" s="3">
        <f>VLOOKUP(A42,'[1]36 - LP'!$A$9:$B$219,2,0)</f>
        <v>8.9999999999999993E-3</v>
      </c>
      <c r="J42" s="3">
        <f t="shared" si="2"/>
        <v>0</v>
      </c>
      <c r="K42" s="15"/>
    </row>
    <row r="43" spans="1:11" x14ac:dyDescent="0.3">
      <c r="A43" s="14" t="s">
        <v>47</v>
      </c>
      <c r="B43" s="11">
        <v>1.2500000000000001E-2</v>
      </c>
      <c r="E43" s="8" t="str">
        <f t="shared" si="0"/>
        <v>SAPR4</v>
      </c>
      <c r="F43" s="5">
        <f t="shared" si="1"/>
        <v>6.2249999999999996E-3</v>
      </c>
      <c r="I43" s="3">
        <f>VLOOKUP(A43,'[1]36 - LP'!$A$9:$B$219,2,0)</f>
        <v>1.2500000000000001E-2</v>
      </c>
      <c r="J43" s="3">
        <f t="shared" si="2"/>
        <v>0</v>
      </c>
      <c r="K43" s="15"/>
    </row>
    <row r="44" spans="1:11" x14ac:dyDescent="0.3">
      <c r="A44" s="14" t="s">
        <v>23</v>
      </c>
      <c r="B44" s="11">
        <v>0.03</v>
      </c>
      <c r="E44" s="8" t="str">
        <f t="shared" si="0"/>
        <v>TIMS3</v>
      </c>
      <c r="F44" s="5">
        <f t="shared" si="1"/>
        <v>1.4939999999999998E-2</v>
      </c>
      <c r="I44" s="3">
        <f>VLOOKUP(A44,'[1]36 - LP'!$A$9:$B$219,2,0)</f>
        <v>0.03</v>
      </c>
      <c r="J44" s="3">
        <f t="shared" si="2"/>
        <v>0</v>
      </c>
      <c r="K44" s="15"/>
    </row>
    <row r="45" spans="1:11" x14ac:dyDescent="0.3">
      <c r="A45" s="14" t="s">
        <v>8</v>
      </c>
      <c r="B45" s="11">
        <v>3.2000000000000001E-2</v>
      </c>
      <c r="E45" s="8" t="str">
        <f t="shared" si="0"/>
        <v>BBSE3</v>
      </c>
      <c r="F45" s="5">
        <f t="shared" si="1"/>
        <v>1.5935999999999999E-2</v>
      </c>
      <c r="I45" s="3">
        <f>VLOOKUP(A45,'[1]36 - LP'!$A$9:$B$219,2,0)</f>
        <v>3.2000000000000001E-2</v>
      </c>
      <c r="J45" s="3">
        <f t="shared" si="2"/>
        <v>0</v>
      </c>
      <c r="K45" s="15"/>
    </row>
    <row r="46" spans="1:11" x14ac:dyDescent="0.3">
      <c r="A46" s="14" t="s">
        <v>125</v>
      </c>
      <c r="B46" s="11">
        <v>8.9999999999999993E-3</v>
      </c>
      <c r="E46" s="8" t="str">
        <f t="shared" si="0"/>
        <v>EZTC3</v>
      </c>
      <c r="F46" s="5">
        <f t="shared" si="1"/>
        <v>4.481999999999999E-3</v>
      </c>
      <c r="I46" s="3">
        <f>VLOOKUP(A46,'[1]36 - LP'!$A$9:$B$219,2,0)</f>
        <v>8.9999999999999993E-3</v>
      </c>
      <c r="J46" s="3">
        <f t="shared" si="2"/>
        <v>0</v>
      </c>
      <c r="K46" s="15"/>
    </row>
    <row r="47" spans="1:11" x14ac:dyDescent="0.3">
      <c r="A47" s="14" t="s">
        <v>90</v>
      </c>
      <c r="B47" s="11">
        <v>1.2E-2</v>
      </c>
      <c r="E47" s="8" t="str">
        <f t="shared" si="0"/>
        <v>IGTI11</v>
      </c>
      <c r="F47" s="5">
        <f t="shared" si="1"/>
        <v>5.9759999999999995E-3</v>
      </c>
      <c r="I47" s="3">
        <f>VLOOKUP(A47,'[1]36 - LP'!$A$9:$B$219,2,0)</f>
        <v>1.2E-2</v>
      </c>
      <c r="J47" s="3">
        <f t="shared" si="2"/>
        <v>0</v>
      </c>
      <c r="K47" s="15"/>
    </row>
    <row r="48" spans="1:11" x14ac:dyDescent="0.3">
      <c r="A48" s="14" t="s">
        <v>31</v>
      </c>
      <c r="B48" s="11">
        <v>1.2999999999999999E-2</v>
      </c>
      <c r="E48" s="8" t="str">
        <f t="shared" si="0"/>
        <v>PSSA3</v>
      </c>
      <c r="F48" s="5">
        <f t="shared" si="1"/>
        <v>6.4739999999999989E-3</v>
      </c>
      <c r="I48" s="3">
        <f>VLOOKUP(A48,'[1]36 - LP'!$A$9:$B$219,2,0)</f>
        <v>1.2999999999999999E-2</v>
      </c>
      <c r="J48" s="3">
        <f t="shared" si="2"/>
        <v>0</v>
      </c>
      <c r="K48" s="15"/>
    </row>
    <row r="49" spans="1:11" x14ac:dyDescent="0.3">
      <c r="A49" s="14" t="s">
        <v>101</v>
      </c>
      <c r="B49" s="11">
        <v>7.0000000000000001E-3</v>
      </c>
      <c r="E49" s="8" t="str">
        <f t="shared" si="0"/>
        <v>BMEB4</v>
      </c>
      <c r="F49" s="5">
        <f t="shared" si="1"/>
        <v>3.4859999999999995E-3</v>
      </c>
      <c r="I49" s="3">
        <f>VLOOKUP(A49,'[1]36 - LP'!$A$9:$B$219,2,0)</f>
        <v>7.0000000000000001E-3</v>
      </c>
      <c r="J49" s="3">
        <f t="shared" si="2"/>
        <v>0</v>
      </c>
      <c r="K49" s="15"/>
    </row>
    <row r="50" spans="1:11" x14ac:dyDescent="0.3">
      <c r="A50" s="14" t="s">
        <v>106</v>
      </c>
      <c r="B50" s="11">
        <v>4.0000000000000001E-3</v>
      </c>
      <c r="E50" s="8" t="str">
        <f t="shared" si="0"/>
        <v>JSLG3</v>
      </c>
      <c r="F50" s="5">
        <f t="shared" si="1"/>
        <v>1.9919999999999998E-3</v>
      </c>
      <c r="I50" s="3">
        <f>VLOOKUP(A50,'[1]36 - LP'!$A$9:$B$219,2,0)</f>
        <v>4.0000000000000001E-3</v>
      </c>
      <c r="J50" s="3">
        <f t="shared" si="2"/>
        <v>0</v>
      </c>
      <c r="K50" s="15"/>
    </row>
    <row r="51" spans="1:11" x14ac:dyDescent="0.3">
      <c r="A51" s="14" t="s">
        <v>76</v>
      </c>
      <c r="B51" s="11">
        <v>1.2500000000000001E-2</v>
      </c>
      <c r="E51" s="8" t="str">
        <f t="shared" si="0"/>
        <v>SAPR11</v>
      </c>
      <c r="F51" s="5">
        <f t="shared" si="1"/>
        <v>6.2249999999999996E-3</v>
      </c>
      <c r="I51" s="3">
        <f>VLOOKUP(A51,'[1]36 - LP'!$A$9:$B$219,2,0)</f>
        <v>1.2500000000000001E-2</v>
      </c>
      <c r="J51" s="3">
        <f t="shared" si="2"/>
        <v>0</v>
      </c>
      <c r="K51" s="15"/>
    </row>
    <row r="52" spans="1:11" x14ac:dyDescent="0.3">
      <c r="A52" s="14" t="s">
        <v>30</v>
      </c>
      <c r="B52" s="11">
        <v>8.0000000000000002E-3</v>
      </c>
      <c r="E52" s="8" t="str">
        <f t="shared" si="0"/>
        <v>CURY3</v>
      </c>
      <c r="F52" s="5">
        <f t="shared" si="1"/>
        <v>3.9839999999999997E-3</v>
      </c>
      <c r="I52" s="3">
        <f>VLOOKUP(A52,'[1]36 - LP'!$A$9:$B$219,2,0)</f>
        <v>8.0000000000000002E-3</v>
      </c>
      <c r="J52" s="3">
        <f t="shared" si="2"/>
        <v>0</v>
      </c>
      <c r="K52" s="15"/>
    </row>
    <row r="53" spans="1:11" x14ac:dyDescent="0.3">
      <c r="A53" s="14" t="s">
        <v>100</v>
      </c>
      <c r="B53" s="11">
        <v>2.2499999999999999E-2</v>
      </c>
      <c r="E53" s="8" t="str">
        <f t="shared" si="0"/>
        <v>AXIA6</v>
      </c>
      <c r="F53" s="5">
        <f t="shared" si="1"/>
        <v>1.1204999999999998E-2</v>
      </c>
      <c r="I53" s="3">
        <f>VLOOKUP(A53,'[1]36 - LP'!$A$9:$B$219,2,0)</f>
        <v>2.2499999999999999E-2</v>
      </c>
      <c r="J53" s="3">
        <f t="shared" si="2"/>
        <v>0</v>
      </c>
      <c r="K53" s="15"/>
    </row>
    <row r="54" spans="1:11" x14ac:dyDescent="0.3">
      <c r="A54" s="14" t="s">
        <v>45</v>
      </c>
      <c r="B54" s="11">
        <v>1.4E-2</v>
      </c>
      <c r="E54" s="8" t="str">
        <f t="shared" si="0"/>
        <v>ALOS3</v>
      </c>
      <c r="F54" s="5">
        <f t="shared" si="1"/>
        <v>6.971999999999999E-3</v>
      </c>
      <c r="I54" s="3">
        <f>VLOOKUP(A54,'[1]36 - LP'!$A$9:$B$219,2,0)</f>
        <v>1.4E-2</v>
      </c>
      <c r="J54" s="3">
        <f t="shared" si="2"/>
        <v>0</v>
      </c>
      <c r="K54" s="15"/>
    </row>
    <row r="55" spans="1:11" x14ac:dyDescent="0.3">
      <c r="A55" s="14" t="s">
        <v>59</v>
      </c>
      <c r="B55" s="11">
        <v>1.6E-2</v>
      </c>
      <c r="E55" s="8" t="str">
        <f t="shared" si="0"/>
        <v>RECV3</v>
      </c>
      <c r="F55" s="5">
        <f t="shared" si="1"/>
        <v>7.9679999999999994E-3</v>
      </c>
      <c r="I55" s="3">
        <f>VLOOKUP(A55,'[1]36 - LP'!$A$9:$B$219,2,0)</f>
        <v>1.6E-2</v>
      </c>
      <c r="J55" s="3">
        <f t="shared" si="2"/>
        <v>0</v>
      </c>
      <c r="K55" s="15"/>
    </row>
    <row r="56" spans="1:11" x14ac:dyDescent="0.3">
      <c r="A56" s="14" t="s">
        <v>126</v>
      </c>
      <c r="B56" s="11">
        <v>1.2999999999999999E-2</v>
      </c>
      <c r="E56" s="8" t="str">
        <f t="shared" si="0"/>
        <v>JALL3</v>
      </c>
      <c r="F56" s="5">
        <f t="shared" si="1"/>
        <v>6.4739999999999989E-3</v>
      </c>
      <c r="I56" s="3">
        <f>VLOOKUP(A56,'[1]36 - LP'!$A$9:$B$219,2,0)</f>
        <v>1.2999999999999999E-2</v>
      </c>
      <c r="J56" s="3">
        <f t="shared" si="2"/>
        <v>0</v>
      </c>
      <c r="K56" s="15"/>
    </row>
    <row r="57" spans="1:11" x14ac:dyDescent="0.3">
      <c r="A57" s="14" t="s">
        <v>127</v>
      </c>
      <c r="B57" s="11">
        <v>1.2E-2</v>
      </c>
      <c r="E57" s="8" t="str">
        <f t="shared" si="0"/>
        <v>B3SA3</v>
      </c>
      <c r="F57" s="5">
        <f t="shared" si="1"/>
        <v>5.9759999999999995E-3</v>
      </c>
      <c r="I57" s="3">
        <f>VLOOKUP(A57,'[1]36 - LP'!$A$9:$B$219,2,0)</f>
        <v>1.2E-2</v>
      </c>
      <c r="J57" s="3">
        <f t="shared" si="2"/>
        <v>0</v>
      </c>
      <c r="K57" s="15"/>
    </row>
    <row r="58" spans="1:11" x14ac:dyDescent="0.3">
      <c r="A58" s="14" t="s">
        <v>36</v>
      </c>
      <c r="B58" s="11">
        <v>2.1000000000000001E-2</v>
      </c>
      <c r="E58" s="8" t="str">
        <f t="shared" si="0"/>
        <v>VBBR3</v>
      </c>
      <c r="F58" s="5">
        <f t="shared" si="1"/>
        <v>1.0458E-2</v>
      </c>
      <c r="I58" s="3">
        <f>VLOOKUP(A58,'[1]36 - LP'!$A$9:$B$219,2,0)</f>
        <v>2.1000000000000001E-2</v>
      </c>
      <c r="J58" s="3">
        <f t="shared" si="2"/>
        <v>0</v>
      </c>
      <c r="K58" s="15"/>
    </row>
    <row r="59" spans="1:11" x14ac:dyDescent="0.3">
      <c r="A59" s="14" t="s">
        <v>128</v>
      </c>
      <c r="B59" s="11">
        <v>1.7999999999999999E-2</v>
      </c>
      <c r="E59" s="8" t="str">
        <f t="shared" si="0"/>
        <v>UGPA3</v>
      </c>
      <c r="F59" s="5">
        <f t="shared" si="1"/>
        <v>8.963999999999998E-3</v>
      </c>
      <c r="I59" s="3">
        <f>VLOOKUP(A59,'[1]36 - LP'!$A$9:$B$219,2,0)</f>
        <v>1.7999999999999999E-2</v>
      </c>
      <c r="J59" s="3">
        <f t="shared" si="2"/>
        <v>0</v>
      </c>
      <c r="K59" s="15"/>
    </row>
    <row r="60" spans="1:11" x14ac:dyDescent="0.3">
      <c r="A60" s="14" t="s">
        <v>57</v>
      </c>
      <c r="B60" s="11">
        <v>8.0000000000000002E-3</v>
      </c>
      <c r="E60" s="8" t="str">
        <f t="shared" si="0"/>
        <v>TEND3</v>
      </c>
      <c r="F60" s="5">
        <f t="shared" si="1"/>
        <v>3.9839999999999997E-3</v>
      </c>
      <c r="I60" s="3">
        <f>VLOOKUP(A60,'[1]36 - LP'!$A$9:$B$219,2,0)</f>
        <v>8.0000000000000002E-3</v>
      </c>
      <c r="J60" s="3">
        <f t="shared" si="2"/>
        <v>0</v>
      </c>
      <c r="K60" s="15"/>
    </row>
    <row r="61" spans="1:11" x14ac:dyDescent="0.3">
      <c r="A61" s="14" t="s">
        <v>18</v>
      </c>
      <c r="B61" s="11">
        <v>2.1999999999999999E-2</v>
      </c>
      <c r="E61" s="8" t="str">
        <f t="shared" si="0"/>
        <v>CXSE3</v>
      </c>
      <c r="F61" s="5">
        <f t="shared" si="1"/>
        <v>1.0955999999999999E-2</v>
      </c>
      <c r="I61" s="3">
        <f>VLOOKUP(A61,'[1]36 - LP'!$A$9:$B$219,2,0)</f>
        <v>2.1999999999999999E-2</v>
      </c>
      <c r="J61" s="3">
        <f t="shared" si="2"/>
        <v>0</v>
      </c>
      <c r="K61" s="15"/>
    </row>
    <row r="62" spans="1:11" x14ac:dyDescent="0.3">
      <c r="A62" s="14" t="s">
        <v>13</v>
      </c>
      <c r="B62" s="11">
        <v>1.4999999999999999E-2</v>
      </c>
      <c r="E62" s="8" t="str">
        <f t="shared" si="0"/>
        <v>VIVT3</v>
      </c>
      <c r="F62" s="5">
        <f t="shared" si="1"/>
        <v>7.4699999999999992E-3</v>
      </c>
      <c r="I62" s="3">
        <f>VLOOKUP(A62,'[1]36 - LP'!$A$9:$B$219,2,0)</f>
        <v>1.4999999999999999E-2</v>
      </c>
      <c r="J62" s="3">
        <f t="shared" si="2"/>
        <v>0</v>
      </c>
      <c r="K62" s="15"/>
    </row>
    <row r="63" spans="1:11" x14ac:dyDescent="0.3">
      <c r="A63" s="14" t="s">
        <v>93</v>
      </c>
      <c r="B63" s="11">
        <v>1.2999999999999999E-2</v>
      </c>
      <c r="E63" s="8" t="str">
        <f t="shared" si="0"/>
        <v>VULC3</v>
      </c>
      <c r="F63" s="5">
        <f t="shared" si="1"/>
        <v>6.4739999999999989E-3</v>
      </c>
      <c r="I63" s="3">
        <f>VLOOKUP(A63,'[1]36 - LP'!$A$9:$B$219,2,0)</f>
        <v>1.2999999999999999E-2</v>
      </c>
      <c r="J63" s="3">
        <f t="shared" si="2"/>
        <v>0</v>
      </c>
      <c r="K63" s="15"/>
    </row>
    <row r="64" spans="1:11" x14ac:dyDescent="0.3">
      <c r="A64" s="14" t="s">
        <v>53</v>
      </c>
      <c r="B64" s="11">
        <v>5.0000000000000001E-3</v>
      </c>
      <c r="E64" s="8" t="str">
        <f t="shared" si="0"/>
        <v>TRIS3</v>
      </c>
      <c r="F64" s="5">
        <f t="shared" si="1"/>
        <v>2.4899999999999996E-3</v>
      </c>
      <c r="I64" s="3">
        <f>VLOOKUP(A64,'[1]36 - LP'!$A$9:$B$219,2,0)</f>
        <v>5.0000000000000001E-3</v>
      </c>
      <c r="J64" s="3">
        <f t="shared" si="2"/>
        <v>0</v>
      </c>
      <c r="K64" s="15"/>
    </row>
    <row r="65" spans="1:11" x14ac:dyDescent="0.3">
      <c r="A65" s="14" t="s">
        <v>20</v>
      </c>
      <c r="B65" s="11">
        <v>2.5000000000000001E-2</v>
      </c>
      <c r="E65" s="8" t="str">
        <f t="shared" si="0"/>
        <v>CMIG3</v>
      </c>
      <c r="F65" s="5">
        <f t="shared" si="1"/>
        <v>1.2449999999999999E-2</v>
      </c>
      <c r="I65" s="3">
        <f>VLOOKUP(A65,'[1]36 - LP'!$A$9:$B$219,2,0)</f>
        <v>2.5000000000000001E-2</v>
      </c>
      <c r="J65" s="3">
        <f t="shared" si="2"/>
        <v>0</v>
      </c>
      <c r="K65" s="15"/>
    </row>
    <row r="66" spans="1:11" x14ac:dyDescent="0.3">
      <c r="A66" s="14" t="s">
        <v>91</v>
      </c>
      <c r="B66" s="11">
        <v>2.5000000000000001E-2</v>
      </c>
      <c r="E66" s="8" t="str">
        <f t="shared" si="0"/>
        <v>ITUB3</v>
      </c>
      <c r="F66" s="5">
        <f t="shared" si="1"/>
        <v>1.2449999999999999E-2</v>
      </c>
      <c r="I66" s="3">
        <f>VLOOKUP(A66,'[1]36 - LP'!$A$9:$B$219,2,0)</f>
        <v>2.5000000000000001E-2</v>
      </c>
      <c r="J66" s="3">
        <f t="shared" si="2"/>
        <v>0</v>
      </c>
      <c r="K66" s="15"/>
    </row>
    <row r="67" spans="1:11" x14ac:dyDescent="0.3">
      <c r="A67" s="14" t="s">
        <v>129</v>
      </c>
      <c r="B67" s="11">
        <v>1.2999999999999999E-2</v>
      </c>
      <c r="E67" s="8" t="str">
        <f t="shared" ref="E67:E72" si="3">A67</f>
        <v>SAUD3</v>
      </c>
      <c r="F67" s="5">
        <f t="shared" ref="F67:F72" si="4">(1-$F$73-$F$74-$F$75)*B67</f>
        <v>6.4739999999999989E-3</v>
      </c>
      <c r="I67" s="3">
        <f>VLOOKUP(A67,'[1]36 - LP'!$A$9:$B$219,2,0)</f>
        <v>1.2999999999999999E-2</v>
      </c>
      <c r="J67" s="3">
        <f t="shared" ref="J67:J72" si="5">B67-I67</f>
        <v>0</v>
      </c>
      <c r="K67" s="15"/>
    </row>
    <row r="68" spans="1:11" x14ac:dyDescent="0.3">
      <c r="A68" s="14" t="s">
        <v>130</v>
      </c>
      <c r="B68" s="11">
        <v>5.0000000000000001E-3</v>
      </c>
      <c r="E68" s="8" t="str">
        <f t="shared" si="3"/>
        <v>USIM3</v>
      </c>
      <c r="F68" s="5">
        <f t="shared" si="4"/>
        <v>2.4899999999999996E-3</v>
      </c>
      <c r="I68" s="3">
        <f>VLOOKUP(A68,'[1]36 - LP'!$A$9:$B$219,2,0)</f>
        <v>5.0000000000000001E-3</v>
      </c>
      <c r="J68" s="3">
        <f t="shared" si="5"/>
        <v>0</v>
      </c>
      <c r="K68" s="15"/>
    </row>
    <row r="69" spans="1:11" x14ac:dyDescent="0.3">
      <c r="A69" s="14" t="s">
        <v>96</v>
      </c>
      <c r="B69" s="11">
        <v>0.01</v>
      </c>
      <c r="E69" s="8" t="str">
        <f t="shared" si="3"/>
        <v>TAEE4</v>
      </c>
      <c r="F69" s="5">
        <f t="shared" si="4"/>
        <v>4.9799999999999992E-3</v>
      </c>
      <c r="I69" s="3">
        <f>VLOOKUP(A69,'[1]36 - LP'!$A$9:$B$219,2,0)</f>
        <v>0.01</v>
      </c>
      <c r="J69" s="3">
        <f t="shared" si="5"/>
        <v>0</v>
      </c>
      <c r="K69" s="15"/>
    </row>
    <row r="70" spans="1:11" x14ac:dyDescent="0.3">
      <c r="A70" s="14" t="s">
        <v>86</v>
      </c>
      <c r="B70" s="11">
        <v>5.0000000000000001E-3</v>
      </c>
      <c r="E70" s="8" t="str">
        <f t="shared" si="3"/>
        <v>CPLE3</v>
      </c>
      <c r="F70" s="5">
        <f t="shared" si="4"/>
        <v>2.4899999999999996E-3</v>
      </c>
      <c r="I70" s="3">
        <f>VLOOKUP(A70,'[1]36 - LP'!$A$9:$B$219,2,0)</f>
        <v>5.0000000000000001E-3</v>
      </c>
      <c r="J70" s="3">
        <f t="shared" si="5"/>
        <v>0</v>
      </c>
      <c r="K70" s="15"/>
    </row>
    <row r="71" spans="1:11" x14ac:dyDescent="0.3">
      <c r="A71" s="14" t="s">
        <v>72</v>
      </c>
      <c r="B71" s="11">
        <v>2.5000000000000001E-2</v>
      </c>
      <c r="E71" s="8" t="str">
        <f t="shared" si="3"/>
        <v>ITUB4</v>
      </c>
      <c r="F71" s="5">
        <f t="shared" si="4"/>
        <v>1.2449999999999999E-2</v>
      </c>
      <c r="I71" s="3">
        <f>VLOOKUP(A71,'[1]36 - LP'!$A$9:$B$219,2,0)</f>
        <v>2.5000000000000001E-2</v>
      </c>
      <c r="J71" s="3">
        <f t="shared" si="5"/>
        <v>0</v>
      </c>
      <c r="K71" s="15"/>
    </row>
    <row r="72" spans="1:11" x14ac:dyDescent="0.3">
      <c r="A72" s="14" t="s">
        <v>2</v>
      </c>
      <c r="B72" s="11">
        <v>2.5000000000000001E-2</v>
      </c>
      <c r="E72" s="8" t="str">
        <f t="shared" si="3"/>
        <v>VALE3</v>
      </c>
      <c r="F72" s="5">
        <f t="shared" si="4"/>
        <v>1.2449999999999999E-2</v>
      </c>
      <c r="I72" s="3">
        <f>VLOOKUP(A72,'[1]36 - LP'!$A$9:$B$219,2,0)</f>
        <v>2.5000000000000001E-2</v>
      </c>
      <c r="J72" s="3">
        <f t="shared" si="5"/>
        <v>0</v>
      </c>
      <c r="K72" s="15"/>
    </row>
    <row r="73" spans="1:11" x14ac:dyDescent="0.3">
      <c r="A73" s="14"/>
      <c r="B73" s="11"/>
      <c r="E73" s="8" t="s">
        <v>79</v>
      </c>
      <c r="F73" s="5">
        <v>0.3</v>
      </c>
      <c r="I73" s="3"/>
      <c r="J73" s="3"/>
      <c r="K73" s="15"/>
    </row>
    <row r="74" spans="1:11" x14ac:dyDescent="0.3">
      <c r="A74" s="14"/>
      <c r="B74" s="11"/>
      <c r="E74" s="8" t="s">
        <v>69</v>
      </c>
      <c r="F74" s="5">
        <v>0.2</v>
      </c>
      <c r="I74" s="3"/>
      <c r="J74" s="3"/>
      <c r="K74" s="15"/>
    </row>
    <row r="75" spans="1:11" x14ac:dyDescent="0.3">
      <c r="A75" s="14"/>
      <c r="B75" s="11"/>
      <c r="E75" s="8" t="s">
        <v>83</v>
      </c>
      <c r="F75" s="5">
        <v>2E-3</v>
      </c>
      <c r="I75" s="3"/>
      <c r="J75" s="3"/>
      <c r="K75" s="15"/>
    </row>
    <row r="76" spans="1:11" x14ac:dyDescent="0.3">
      <c r="A76" s="14"/>
      <c r="B76" s="11"/>
      <c r="K76" s="15"/>
    </row>
    <row r="77" spans="1:11" x14ac:dyDescent="0.3">
      <c r="A77" s="14"/>
      <c r="B77" s="11"/>
      <c r="K77" s="15"/>
    </row>
    <row r="78" spans="1:11" x14ac:dyDescent="0.3">
      <c r="A78" s="14"/>
      <c r="B78" s="11"/>
      <c r="K78" s="15"/>
    </row>
    <row r="79" spans="1:11" x14ac:dyDescent="0.3">
      <c r="A79" s="14"/>
      <c r="B79" s="11"/>
      <c r="K79" s="15"/>
    </row>
    <row r="80" spans="1:11" x14ac:dyDescent="0.3">
      <c r="A80" s="14"/>
      <c r="B80" s="11"/>
      <c r="K80" s="15"/>
    </row>
    <row r="81" spans="1:11" x14ac:dyDescent="0.3">
      <c r="A81" s="14"/>
      <c r="B81" s="11"/>
      <c r="K81" s="15"/>
    </row>
    <row r="82" spans="1:11" x14ac:dyDescent="0.3">
      <c r="A82" s="14"/>
      <c r="B82" s="11"/>
      <c r="K82" s="15"/>
    </row>
    <row r="83" spans="1:11" x14ac:dyDescent="0.3">
      <c r="A83" s="14"/>
      <c r="B83" s="11"/>
      <c r="K83" s="15"/>
    </row>
    <row r="84" spans="1:11" x14ac:dyDescent="0.3">
      <c r="A84" s="14"/>
      <c r="B84" s="11"/>
      <c r="K84" s="15"/>
    </row>
    <row r="85" spans="1:11" x14ac:dyDescent="0.3">
      <c r="A85" s="14"/>
      <c r="B85" s="11"/>
      <c r="K85" s="15"/>
    </row>
    <row r="86" spans="1:11" x14ac:dyDescent="0.3">
      <c r="A86" s="14"/>
      <c r="B86" s="11"/>
      <c r="K86" s="15"/>
    </row>
    <row r="87" spans="1:11" x14ac:dyDescent="0.3">
      <c r="A87" s="14"/>
      <c r="B87" s="11"/>
      <c r="K87" s="15"/>
    </row>
    <row r="88" spans="1:11" x14ac:dyDescent="0.3">
      <c r="A88" s="14"/>
      <c r="B88" s="11"/>
      <c r="K88" s="15"/>
    </row>
    <row r="89" spans="1:11" x14ac:dyDescent="0.3">
      <c r="A89" s="14"/>
      <c r="B89" s="11"/>
      <c r="K89" s="15"/>
    </row>
    <row r="90" spans="1:11" x14ac:dyDescent="0.3">
      <c r="A90" s="14"/>
      <c r="B90" s="11"/>
      <c r="K90" s="15"/>
    </row>
    <row r="91" spans="1:11" x14ac:dyDescent="0.3">
      <c r="A91" s="14"/>
      <c r="B91" s="11"/>
      <c r="K91" s="15"/>
    </row>
    <row r="92" spans="1:11" x14ac:dyDescent="0.3">
      <c r="A92" s="14"/>
      <c r="B92" s="11"/>
      <c r="K92" s="15"/>
    </row>
    <row r="93" spans="1:11" x14ac:dyDescent="0.3">
      <c r="A93" s="14"/>
      <c r="B93" s="11"/>
      <c r="K93" s="15"/>
    </row>
    <row r="94" spans="1:11" x14ac:dyDescent="0.3">
      <c r="A94" s="14"/>
      <c r="B94" s="11"/>
      <c r="K94" s="15"/>
    </row>
    <row r="95" spans="1:11" x14ac:dyDescent="0.3">
      <c r="A95" s="14"/>
      <c r="B95" s="11"/>
      <c r="K95" s="15"/>
    </row>
    <row r="96" spans="1:11" x14ac:dyDescent="0.3">
      <c r="A96" s="14"/>
      <c r="B96" s="11"/>
      <c r="K96" s="15"/>
    </row>
    <row r="97" spans="1:11" x14ac:dyDescent="0.3">
      <c r="A97" s="14"/>
      <c r="B97" s="11"/>
      <c r="K97" s="15"/>
    </row>
    <row r="98" spans="1:11" x14ac:dyDescent="0.3">
      <c r="A98" s="14"/>
      <c r="B98" s="11"/>
      <c r="K98" s="15"/>
    </row>
    <row r="99" spans="1:11" x14ac:dyDescent="0.3">
      <c r="A99" s="14"/>
      <c r="B99" s="11"/>
      <c r="K99" s="15"/>
    </row>
    <row r="100" spans="1:11" x14ac:dyDescent="0.3">
      <c r="A100" s="14"/>
      <c r="B100" s="11"/>
      <c r="K100" s="15"/>
    </row>
    <row r="101" spans="1:11" x14ac:dyDescent="0.3">
      <c r="A101" s="14"/>
      <c r="B101" s="11"/>
      <c r="K101" s="15"/>
    </row>
    <row r="102" spans="1:11" x14ac:dyDescent="0.3">
      <c r="A102" s="14"/>
      <c r="B102" s="11"/>
      <c r="K102" s="15"/>
    </row>
    <row r="103" spans="1:11" x14ac:dyDescent="0.3">
      <c r="A103" s="14"/>
      <c r="B103" s="11"/>
      <c r="K103" s="15"/>
    </row>
    <row r="104" spans="1:11" x14ac:dyDescent="0.3">
      <c r="A104" s="14"/>
      <c r="B104" s="11"/>
      <c r="K104" s="15"/>
    </row>
    <row r="105" spans="1:11" x14ac:dyDescent="0.3">
      <c r="A105" s="14"/>
      <c r="B105" s="11"/>
      <c r="K105" s="15"/>
    </row>
    <row r="106" spans="1:11" x14ac:dyDescent="0.3">
      <c r="A106" s="14"/>
      <c r="B106" s="11"/>
      <c r="K106" s="15"/>
    </row>
    <row r="107" spans="1:11" x14ac:dyDescent="0.3">
      <c r="A107" s="14"/>
      <c r="B107" s="11"/>
      <c r="K107" s="15"/>
    </row>
    <row r="108" spans="1:11" x14ac:dyDescent="0.3">
      <c r="A108" s="14"/>
      <c r="B108" s="11"/>
      <c r="K108" s="15"/>
    </row>
    <row r="109" spans="1:11" x14ac:dyDescent="0.3">
      <c r="A109" s="14"/>
      <c r="B109" s="11"/>
      <c r="K109" s="15"/>
    </row>
    <row r="110" spans="1:11" x14ac:dyDescent="0.3">
      <c r="A110" s="14"/>
      <c r="B110" s="11"/>
      <c r="K110" s="15"/>
    </row>
    <row r="111" spans="1:11" x14ac:dyDescent="0.3">
      <c r="A111" s="14"/>
      <c r="B111" s="11"/>
      <c r="K111" s="15"/>
    </row>
    <row r="112" spans="1:11" x14ac:dyDescent="0.3">
      <c r="A112" s="14"/>
      <c r="B112" s="11"/>
      <c r="K112" s="15"/>
    </row>
    <row r="113" spans="1:11" x14ac:dyDescent="0.3">
      <c r="A113" s="14"/>
      <c r="B113" s="11"/>
      <c r="K113" s="15"/>
    </row>
    <row r="114" spans="1:11" x14ac:dyDescent="0.3">
      <c r="A114" s="14"/>
      <c r="B114" s="11"/>
      <c r="K114" s="15"/>
    </row>
    <row r="115" spans="1:11" x14ac:dyDescent="0.3">
      <c r="A115" s="14"/>
      <c r="B115" s="11"/>
      <c r="K115" s="15"/>
    </row>
    <row r="116" spans="1:11" x14ac:dyDescent="0.3">
      <c r="A116" s="14"/>
      <c r="B116" s="11"/>
      <c r="K116" s="15"/>
    </row>
    <row r="117" spans="1:11" x14ac:dyDescent="0.3">
      <c r="A117" s="14"/>
      <c r="B117" s="11"/>
      <c r="K117" s="15"/>
    </row>
    <row r="118" spans="1:11" x14ac:dyDescent="0.3">
      <c r="A118" s="14"/>
      <c r="B118" s="11"/>
      <c r="K118" s="15"/>
    </row>
    <row r="119" spans="1:11" x14ac:dyDescent="0.3">
      <c r="A119" s="14"/>
      <c r="B119" s="11"/>
      <c r="K119" s="15"/>
    </row>
    <row r="120" spans="1:11" x14ac:dyDescent="0.3">
      <c r="A120" s="14"/>
      <c r="B120" s="11"/>
      <c r="K120" s="15"/>
    </row>
    <row r="121" spans="1:11" x14ac:dyDescent="0.3">
      <c r="A121" s="14"/>
      <c r="B121" s="11"/>
      <c r="K121" s="15"/>
    </row>
    <row r="122" spans="1:11" x14ac:dyDescent="0.3">
      <c r="A122" s="14"/>
      <c r="B122" s="11"/>
      <c r="K122" s="15"/>
    </row>
    <row r="123" spans="1:11" x14ac:dyDescent="0.3">
      <c r="A123" s="14"/>
      <c r="B123" s="11"/>
      <c r="K123" s="15"/>
    </row>
    <row r="124" spans="1:11" x14ac:dyDescent="0.3">
      <c r="A124" s="14"/>
      <c r="B124" s="11"/>
      <c r="K124" s="15"/>
    </row>
    <row r="125" spans="1:11" x14ac:dyDescent="0.3">
      <c r="A125" s="14"/>
      <c r="B125" s="11"/>
      <c r="K125" s="15"/>
    </row>
    <row r="126" spans="1:11" x14ac:dyDescent="0.3">
      <c r="A126" s="14"/>
      <c r="B126" s="11"/>
      <c r="K126" s="15"/>
    </row>
    <row r="127" spans="1:11" x14ac:dyDescent="0.3">
      <c r="A127" s="14"/>
      <c r="B127" s="11"/>
      <c r="K127" s="15"/>
    </row>
    <row r="128" spans="1:11" x14ac:dyDescent="0.3">
      <c r="A128" s="14"/>
      <c r="B128" s="11"/>
      <c r="K128" s="15"/>
    </row>
    <row r="129" spans="1:11" x14ac:dyDescent="0.3">
      <c r="A129" s="14"/>
      <c r="B129" s="11"/>
      <c r="K129" s="15"/>
    </row>
    <row r="130" spans="1:11" x14ac:dyDescent="0.3">
      <c r="A130" s="14"/>
      <c r="B130" s="11"/>
      <c r="K130" s="15"/>
    </row>
    <row r="131" spans="1:11" x14ac:dyDescent="0.3">
      <c r="A131" s="14"/>
      <c r="B131" s="11"/>
      <c r="K131" s="15"/>
    </row>
    <row r="132" spans="1:11" x14ac:dyDescent="0.3">
      <c r="A132" s="14"/>
      <c r="B132" s="11"/>
      <c r="K132" s="15"/>
    </row>
    <row r="133" spans="1:11" x14ac:dyDescent="0.3">
      <c r="A133" s="14"/>
      <c r="B133" s="11"/>
      <c r="K133" s="15"/>
    </row>
    <row r="134" spans="1:11" x14ac:dyDescent="0.3">
      <c r="A134" s="14"/>
      <c r="B134" s="11"/>
      <c r="K134" s="15"/>
    </row>
    <row r="135" spans="1:11" x14ac:dyDescent="0.3">
      <c r="A135" s="14"/>
      <c r="B135" s="11"/>
      <c r="K135" s="15"/>
    </row>
    <row r="136" spans="1:11" x14ac:dyDescent="0.3">
      <c r="A136" s="14"/>
      <c r="B136" s="11"/>
      <c r="K136" s="15"/>
    </row>
    <row r="137" spans="1:11" x14ac:dyDescent="0.3">
      <c r="A137" s="14"/>
      <c r="B137" s="11"/>
      <c r="K137" s="15"/>
    </row>
    <row r="138" spans="1:11" x14ac:dyDescent="0.3">
      <c r="A138" s="14"/>
      <c r="B138" s="11"/>
      <c r="K138" s="15"/>
    </row>
    <row r="139" spans="1:11" x14ac:dyDescent="0.3">
      <c r="A139" s="14"/>
      <c r="B139" s="11"/>
      <c r="K139" s="15"/>
    </row>
    <row r="140" spans="1:11" x14ac:dyDescent="0.3">
      <c r="A140" s="14"/>
      <c r="B140" s="11"/>
      <c r="K140" s="15"/>
    </row>
    <row r="141" spans="1:11" x14ac:dyDescent="0.3">
      <c r="A141" s="14"/>
      <c r="B141" s="11"/>
      <c r="K141" s="15"/>
    </row>
    <row r="142" spans="1:11" x14ac:dyDescent="0.3">
      <c r="A142" s="14"/>
      <c r="B142" s="11"/>
      <c r="K142" s="15"/>
    </row>
    <row r="143" spans="1:11" x14ac:dyDescent="0.3">
      <c r="A143" s="14"/>
      <c r="B143" s="11"/>
      <c r="K143" s="15"/>
    </row>
    <row r="144" spans="1:11" x14ac:dyDescent="0.3">
      <c r="A144" s="14"/>
      <c r="B144" s="11"/>
      <c r="K144" s="15"/>
    </row>
    <row r="145" spans="1:11" x14ac:dyDescent="0.3">
      <c r="A145" s="14"/>
      <c r="B145" s="11"/>
      <c r="K145" s="15"/>
    </row>
    <row r="146" spans="1:11" x14ac:dyDescent="0.3">
      <c r="A146" s="14"/>
      <c r="B146" s="11"/>
      <c r="K146" s="15"/>
    </row>
    <row r="147" spans="1:11" x14ac:dyDescent="0.3">
      <c r="A147" s="14"/>
      <c r="B147" s="11"/>
      <c r="K147" s="15"/>
    </row>
    <row r="148" spans="1:11" x14ac:dyDescent="0.3">
      <c r="A148" s="14"/>
      <c r="B148" s="11"/>
      <c r="K148" s="15"/>
    </row>
    <row r="149" spans="1:11" x14ac:dyDescent="0.3">
      <c r="A149" s="14"/>
      <c r="B149" s="11"/>
      <c r="K149" s="15"/>
    </row>
    <row r="150" spans="1:11" x14ac:dyDescent="0.3">
      <c r="A150" s="14"/>
      <c r="B150" s="11"/>
      <c r="K150" s="15"/>
    </row>
    <row r="151" spans="1:11" x14ac:dyDescent="0.3">
      <c r="A151" s="14"/>
      <c r="B151" s="11"/>
      <c r="K151" s="15"/>
    </row>
    <row r="152" spans="1:11" x14ac:dyDescent="0.3">
      <c r="A152" s="14"/>
      <c r="B152" s="11"/>
      <c r="K152" s="15"/>
    </row>
    <row r="153" spans="1:11" x14ac:dyDescent="0.3">
      <c r="A153" s="14"/>
      <c r="B153" s="11"/>
      <c r="K153" s="15"/>
    </row>
    <row r="154" spans="1:11" x14ac:dyDescent="0.3">
      <c r="A154" s="14"/>
      <c r="B154" s="11"/>
      <c r="K154" s="15"/>
    </row>
    <row r="155" spans="1:11" x14ac:dyDescent="0.3">
      <c r="A155" s="14"/>
      <c r="B155" s="11"/>
      <c r="K155" s="15"/>
    </row>
    <row r="156" spans="1:11" x14ac:dyDescent="0.3">
      <c r="A156" s="14"/>
      <c r="B156" s="11"/>
      <c r="K156" s="15"/>
    </row>
    <row r="157" spans="1:11" x14ac:dyDescent="0.3">
      <c r="A157" s="14"/>
      <c r="B157" s="11"/>
      <c r="K157" s="15"/>
    </row>
    <row r="158" spans="1:11" x14ac:dyDescent="0.3">
      <c r="A158" s="14"/>
      <c r="B158" s="11"/>
      <c r="K158" s="15"/>
    </row>
    <row r="159" spans="1:11" x14ac:dyDescent="0.3">
      <c r="A159" s="14"/>
      <c r="B159" s="11"/>
      <c r="K159" s="15"/>
    </row>
    <row r="160" spans="1:11" x14ac:dyDescent="0.3">
      <c r="A160" s="14"/>
      <c r="B160" s="11"/>
      <c r="K160" s="15"/>
    </row>
    <row r="161" spans="1:11" x14ac:dyDescent="0.3">
      <c r="A161" s="14"/>
      <c r="B161" s="11"/>
      <c r="K161" s="15"/>
    </row>
    <row r="162" spans="1:11" x14ac:dyDescent="0.3">
      <c r="A162" s="14"/>
      <c r="B162" s="11"/>
      <c r="K162" s="15"/>
    </row>
    <row r="163" spans="1:11" x14ac:dyDescent="0.3">
      <c r="A163" s="14"/>
      <c r="B163" s="11"/>
      <c r="K163" s="15"/>
    </row>
    <row r="164" spans="1:11" x14ac:dyDescent="0.3">
      <c r="A164" s="14"/>
      <c r="B164" s="11"/>
      <c r="K164" s="15"/>
    </row>
    <row r="165" spans="1:11" x14ac:dyDescent="0.3">
      <c r="A165" s="14"/>
      <c r="B165" s="11"/>
      <c r="K165" s="15"/>
    </row>
    <row r="166" spans="1:11" x14ac:dyDescent="0.3">
      <c r="A166" s="14"/>
      <c r="B166" s="11"/>
      <c r="K166" s="15"/>
    </row>
    <row r="167" spans="1:11" x14ac:dyDescent="0.3">
      <c r="A167" s="14"/>
      <c r="B167" s="11"/>
      <c r="K167" s="15"/>
    </row>
    <row r="168" spans="1:11" x14ac:dyDescent="0.3">
      <c r="A168" s="14"/>
      <c r="B168" s="11"/>
      <c r="K168" s="15"/>
    </row>
    <row r="169" spans="1:11" x14ac:dyDescent="0.3">
      <c r="A169" s="14"/>
      <c r="B169" s="11"/>
      <c r="K169" s="15"/>
    </row>
    <row r="170" spans="1:11" x14ac:dyDescent="0.3">
      <c r="A170" s="14"/>
      <c r="B170" s="11"/>
      <c r="K170" s="15"/>
    </row>
    <row r="171" spans="1:11" x14ac:dyDescent="0.3">
      <c r="A171" s="14"/>
      <c r="B171" s="11"/>
      <c r="K171" s="15"/>
    </row>
    <row r="172" spans="1:11" x14ac:dyDescent="0.3">
      <c r="A172" s="14"/>
      <c r="B172" s="11"/>
      <c r="K172" s="15"/>
    </row>
    <row r="173" spans="1:11" x14ac:dyDescent="0.3">
      <c r="A173" s="14"/>
      <c r="B173" s="11"/>
      <c r="K173" s="15"/>
    </row>
    <row r="174" spans="1:11" x14ac:dyDescent="0.3">
      <c r="A174" s="14"/>
      <c r="B174" s="11"/>
      <c r="K174" s="15"/>
    </row>
    <row r="175" spans="1:11" x14ac:dyDescent="0.3">
      <c r="A175" s="14"/>
      <c r="B175" s="11"/>
      <c r="K175" s="15"/>
    </row>
    <row r="176" spans="1:11" x14ac:dyDescent="0.3">
      <c r="A176" s="14"/>
      <c r="B176" s="11"/>
      <c r="K176" s="15"/>
    </row>
    <row r="177" spans="1:11" x14ac:dyDescent="0.3">
      <c r="A177" s="14"/>
      <c r="B177" s="11"/>
      <c r="K177" s="15"/>
    </row>
    <row r="178" spans="1:11" x14ac:dyDescent="0.3">
      <c r="A178" s="14"/>
      <c r="B178" s="11"/>
      <c r="K178" s="15"/>
    </row>
    <row r="179" spans="1:11" x14ac:dyDescent="0.3">
      <c r="A179" s="14"/>
      <c r="B179" s="11"/>
      <c r="K179" s="15"/>
    </row>
    <row r="180" spans="1:11" x14ac:dyDescent="0.3">
      <c r="A180" s="14"/>
      <c r="B180" s="11"/>
      <c r="K180" s="15"/>
    </row>
    <row r="181" spans="1:11" x14ac:dyDescent="0.3">
      <c r="A181" s="14"/>
      <c r="B181" s="11"/>
      <c r="K181" s="15"/>
    </row>
    <row r="182" spans="1:11" x14ac:dyDescent="0.3">
      <c r="A182" s="14"/>
      <c r="B182" s="11"/>
      <c r="K182" s="15"/>
    </row>
    <row r="183" spans="1:11" x14ac:dyDescent="0.3">
      <c r="A183" s="14"/>
      <c r="B183" s="11"/>
      <c r="K183" s="15"/>
    </row>
    <row r="184" spans="1:11" x14ac:dyDescent="0.3">
      <c r="A184" s="14"/>
      <c r="B184" s="11"/>
      <c r="K184" s="15"/>
    </row>
    <row r="185" spans="1:11" x14ac:dyDescent="0.3">
      <c r="A185" s="14"/>
      <c r="B185" s="11"/>
      <c r="K185" s="15"/>
    </row>
    <row r="186" spans="1:11" x14ac:dyDescent="0.3">
      <c r="A186" s="14"/>
      <c r="B186" s="11"/>
      <c r="K186" s="15"/>
    </row>
    <row r="187" spans="1:11" x14ac:dyDescent="0.3">
      <c r="A187" s="14"/>
      <c r="B187" s="11"/>
      <c r="K187" s="15"/>
    </row>
    <row r="188" spans="1:11" x14ac:dyDescent="0.3">
      <c r="A188" s="14"/>
      <c r="B188" s="11"/>
      <c r="K188" s="15"/>
    </row>
    <row r="189" spans="1:11" x14ac:dyDescent="0.3">
      <c r="A189" s="14"/>
      <c r="B189" s="11"/>
      <c r="K189" s="15"/>
    </row>
    <row r="190" spans="1:11" x14ac:dyDescent="0.3">
      <c r="A190" s="14"/>
      <c r="B190" s="11"/>
      <c r="K190" s="15"/>
    </row>
    <row r="191" spans="1:11" x14ac:dyDescent="0.3">
      <c r="A191" s="14"/>
      <c r="B191" s="11"/>
      <c r="K191" s="15"/>
    </row>
    <row r="192" spans="1:11" x14ac:dyDescent="0.3">
      <c r="A192" s="14"/>
      <c r="B192" s="11"/>
      <c r="K192" s="15"/>
    </row>
    <row r="193" spans="1:11" x14ac:dyDescent="0.3">
      <c r="A193" s="14"/>
      <c r="B193" s="11"/>
      <c r="K193" s="15"/>
    </row>
    <row r="194" spans="1:11" x14ac:dyDescent="0.3">
      <c r="A194" s="14"/>
      <c r="B194" s="11"/>
      <c r="K194" s="15"/>
    </row>
    <row r="195" spans="1:11" x14ac:dyDescent="0.3">
      <c r="A195" s="14"/>
      <c r="B195" s="11"/>
      <c r="K195" s="15"/>
    </row>
    <row r="196" spans="1:11" x14ac:dyDescent="0.3">
      <c r="A196" s="14"/>
      <c r="B196" s="11"/>
      <c r="K196" s="15"/>
    </row>
    <row r="197" spans="1:11" x14ac:dyDescent="0.3">
      <c r="A197" s="14"/>
      <c r="B197" s="11"/>
      <c r="K197" s="15"/>
    </row>
    <row r="198" spans="1:11" x14ac:dyDescent="0.3">
      <c r="A198" s="14"/>
      <c r="B198" s="11"/>
      <c r="K198" s="15"/>
    </row>
    <row r="199" spans="1:11" x14ac:dyDescent="0.3">
      <c r="A199" s="14"/>
      <c r="B199" s="11"/>
      <c r="K199" s="15"/>
    </row>
    <row r="200" spans="1:11" x14ac:dyDescent="0.3">
      <c r="A200" s="14"/>
      <c r="B200" s="11"/>
      <c r="K200" s="15"/>
    </row>
    <row r="201" spans="1:11" x14ac:dyDescent="0.3">
      <c r="A201" s="14"/>
      <c r="B201" s="11"/>
      <c r="K201" s="15"/>
    </row>
    <row r="202" spans="1:11" x14ac:dyDescent="0.3">
      <c r="A202" s="14"/>
      <c r="B202" s="11"/>
      <c r="K202" s="15"/>
    </row>
    <row r="203" spans="1:11" x14ac:dyDescent="0.3">
      <c r="A203" s="14"/>
      <c r="B203" s="11"/>
      <c r="K203" s="15"/>
    </row>
    <row r="204" spans="1:11" x14ac:dyDescent="0.3">
      <c r="A204" s="14"/>
      <c r="B204" s="11"/>
      <c r="K204" s="15"/>
    </row>
  </sheetData>
  <sortState xmlns:xlrd2="http://schemas.microsoft.com/office/spreadsheetml/2017/richdata2" ref="A2:B205">
    <sortCondition descending="1" ref="B2:B205"/>
  </sortState>
  <conditionalFormatting sqref="J2:J7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3C86-1269-4C05-9358-58AAC1D35CD8}">
  <sheetPr codeName="Planilha7">
    <tabColor theme="3" tint="0.749992370372631"/>
  </sheetPr>
  <dimension ref="A1:K202"/>
  <sheetViews>
    <sheetView workbookViewId="0">
      <selection activeCell="L36" sqref="L36"/>
    </sheetView>
  </sheetViews>
  <sheetFormatPr defaultRowHeight="14.4" x14ac:dyDescent="0.3"/>
  <cols>
    <col min="1" max="1" width="19.88671875" customWidth="1"/>
    <col min="2" max="2" width="19.6640625" style="4" bestFit="1" customWidth="1"/>
    <col min="5" max="6" width="9.109375" style="8"/>
    <col min="10" max="10" width="12.109375" bestFit="1" customWidth="1"/>
    <col min="13" max="13" width="12.109375" bestFit="1" customWidth="1"/>
  </cols>
  <sheetData>
    <row r="1" spans="1:11" ht="15" thickBot="1" x14ac:dyDescent="0.35">
      <c r="A1" s="1" t="s">
        <v>0</v>
      </c>
      <c r="B1" s="2" t="s">
        <v>77</v>
      </c>
      <c r="C1" s="3">
        <f>SUM(B:B)</f>
        <v>1.0000000000000004</v>
      </c>
      <c r="E1" s="8" t="s">
        <v>0</v>
      </c>
      <c r="F1" s="8" t="s">
        <v>78</v>
      </c>
      <c r="G1" s="3">
        <f>SUM(F:F)</f>
        <v>1</v>
      </c>
    </row>
    <row r="2" spans="1:11" x14ac:dyDescent="0.3">
      <c r="A2" s="14" t="s">
        <v>48</v>
      </c>
      <c r="B2" s="11">
        <v>5.0000000000000001E-3</v>
      </c>
      <c r="E2" s="8" t="str">
        <f>A2</f>
        <v>JHSF3</v>
      </c>
      <c r="F2" s="5">
        <f t="shared" ref="F2:F39" si="0">(1-$F$40-$F$41)*B2</f>
        <v>2.4850000000000002E-3</v>
      </c>
      <c r="I2" s="3">
        <f>VLOOKUP(A2,'[1]37 - ISEE'!$A$9:$B$219,2,0)</f>
        <v>5.0000000000000001E-3</v>
      </c>
      <c r="J2" s="3" t="b">
        <f>I2=B2</f>
        <v>1</v>
      </c>
      <c r="K2" s="6"/>
    </row>
    <row r="3" spans="1:11" x14ac:dyDescent="0.3">
      <c r="A3" s="14" t="s">
        <v>102</v>
      </c>
      <c r="B3" s="11">
        <v>1.6E-2</v>
      </c>
      <c r="E3" s="8" t="str">
        <f t="shared" ref="E3:E38" si="1">A3</f>
        <v>RIAA3</v>
      </c>
      <c r="F3" s="5">
        <f t="shared" si="0"/>
        <v>7.9520000000000007E-3</v>
      </c>
      <c r="I3" s="3">
        <f>VLOOKUP(A3,'[1]37 - ISEE'!$A$9:$B$219,2,0)</f>
        <v>1.6E-2</v>
      </c>
      <c r="J3" s="3" t="b">
        <f t="shared" ref="J3:J41" si="2">I3=B3</f>
        <v>1</v>
      </c>
      <c r="K3" s="6"/>
    </row>
    <row r="4" spans="1:11" x14ac:dyDescent="0.3">
      <c r="A4" s="14" t="s">
        <v>61</v>
      </c>
      <c r="B4" s="11">
        <v>5.0000000000000001E-3</v>
      </c>
      <c r="E4" s="8" t="str">
        <f t="shared" si="1"/>
        <v>GRND3</v>
      </c>
      <c r="F4" s="5">
        <f t="shared" si="0"/>
        <v>2.4850000000000002E-3</v>
      </c>
      <c r="I4" s="3">
        <f>VLOOKUP(A4,'[1]37 - ISEE'!$A$9:$B$219,2,0)</f>
        <v>5.0000000000000001E-3</v>
      </c>
      <c r="J4" s="3" t="b">
        <f t="shared" si="2"/>
        <v>1</v>
      </c>
      <c r="K4" s="6"/>
    </row>
    <row r="5" spans="1:11" x14ac:dyDescent="0.3">
      <c r="A5" s="14" t="s">
        <v>50</v>
      </c>
      <c r="B5" s="11">
        <v>3.4000000000000002E-2</v>
      </c>
      <c r="E5" s="8" t="str">
        <f t="shared" si="1"/>
        <v>MTRE3</v>
      </c>
      <c r="F5" s="5">
        <f t="shared" si="0"/>
        <v>1.6898E-2</v>
      </c>
      <c r="I5" s="3">
        <f>VLOOKUP(A5,'[1]37 - ISEE'!$A$9:$B$219,2,0)</f>
        <v>3.4000000000000002E-2</v>
      </c>
      <c r="J5" s="3" t="b">
        <f t="shared" si="2"/>
        <v>1</v>
      </c>
      <c r="K5" s="6"/>
    </row>
    <row r="6" spans="1:11" x14ac:dyDescent="0.3">
      <c r="A6" s="14" t="s">
        <v>26</v>
      </c>
      <c r="B6" s="11">
        <v>5.0000000000000001E-3</v>
      </c>
      <c r="E6" s="8" t="str">
        <f t="shared" si="1"/>
        <v>BRSR6</v>
      </c>
      <c r="F6" s="5">
        <f t="shared" si="0"/>
        <v>2.4850000000000002E-3</v>
      </c>
      <c r="I6" s="3">
        <f>VLOOKUP(A6,'[1]37 - ISEE'!$A$9:$B$219,2,0)</f>
        <v>5.0000000000000001E-3</v>
      </c>
      <c r="J6" s="3" t="b">
        <f t="shared" si="2"/>
        <v>1</v>
      </c>
      <c r="K6" s="6"/>
    </row>
    <row r="7" spans="1:11" x14ac:dyDescent="0.3">
      <c r="A7" s="14" t="s">
        <v>119</v>
      </c>
      <c r="B7" s="11">
        <v>2.7E-2</v>
      </c>
      <c r="E7" s="8" t="str">
        <f t="shared" si="1"/>
        <v>MILS3</v>
      </c>
      <c r="F7" s="5">
        <f t="shared" si="0"/>
        <v>1.3419E-2</v>
      </c>
      <c r="I7" s="3">
        <f>VLOOKUP(A7,'[1]37 - ISEE'!$A$9:$B$219,2,0)</f>
        <v>2.7E-2</v>
      </c>
      <c r="J7" s="3" t="b">
        <f t="shared" si="2"/>
        <v>1</v>
      </c>
      <c r="K7" s="6"/>
    </row>
    <row r="8" spans="1:11" x14ac:dyDescent="0.3">
      <c r="A8" s="14" t="s">
        <v>111</v>
      </c>
      <c r="B8" s="11">
        <v>5.0000000000000001E-3</v>
      </c>
      <c r="E8" s="8" t="str">
        <f t="shared" si="1"/>
        <v>INTB3</v>
      </c>
      <c r="F8" s="5">
        <f t="shared" si="0"/>
        <v>2.4850000000000002E-3</v>
      </c>
      <c r="I8" s="3">
        <f>VLOOKUP(A8,'[1]37 - ISEE'!$A$9:$B$219,2,0)</f>
        <v>5.0000000000000001E-3</v>
      </c>
      <c r="J8" s="3" t="b">
        <f t="shared" si="2"/>
        <v>1</v>
      </c>
      <c r="K8" s="6"/>
    </row>
    <row r="9" spans="1:11" x14ac:dyDescent="0.3">
      <c r="A9" s="14" t="s">
        <v>16</v>
      </c>
      <c r="B9" s="11">
        <v>5.0000000000000001E-3</v>
      </c>
      <c r="E9" s="8" t="str">
        <f t="shared" si="1"/>
        <v>POMO4</v>
      </c>
      <c r="F9" s="5">
        <f t="shared" si="0"/>
        <v>2.4850000000000002E-3</v>
      </c>
      <c r="I9" s="3">
        <f>VLOOKUP(A9,'[1]37 - ISEE'!$A$9:$B$219,2,0)</f>
        <v>5.0000000000000001E-3</v>
      </c>
      <c r="J9" s="3" t="b">
        <f t="shared" si="2"/>
        <v>1</v>
      </c>
      <c r="K9" s="6"/>
    </row>
    <row r="10" spans="1:11" x14ac:dyDescent="0.3">
      <c r="A10" s="14" t="s">
        <v>92</v>
      </c>
      <c r="B10" s="11">
        <v>2.5000000000000001E-2</v>
      </c>
      <c r="E10" s="8" t="str">
        <f t="shared" si="1"/>
        <v>OPCT3</v>
      </c>
      <c r="F10" s="5">
        <f t="shared" si="0"/>
        <v>1.2425E-2</v>
      </c>
      <c r="I10" s="3">
        <f>VLOOKUP(A10,'[1]37 - ISEE'!$A$9:$B$219,2,0)</f>
        <v>2.5000000000000001E-2</v>
      </c>
      <c r="J10" s="3" t="b">
        <f t="shared" si="2"/>
        <v>1</v>
      </c>
      <c r="K10" s="6"/>
    </row>
    <row r="11" spans="1:11" x14ac:dyDescent="0.3">
      <c r="A11" s="14" t="s">
        <v>88</v>
      </c>
      <c r="B11" s="11">
        <v>5.0000000000000001E-3</v>
      </c>
      <c r="E11" s="8" t="str">
        <f t="shared" si="1"/>
        <v>ABCB4</v>
      </c>
      <c r="F11" s="5">
        <f t="shared" si="0"/>
        <v>2.4850000000000002E-3</v>
      </c>
      <c r="I11" s="3">
        <f>VLOOKUP(A11,'[1]37 - ISEE'!$A$9:$B$219,2,0)</f>
        <v>5.0000000000000001E-3</v>
      </c>
      <c r="J11" s="3" t="b">
        <f t="shared" si="2"/>
        <v>1</v>
      </c>
      <c r="K11" s="6"/>
    </row>
    <row r="12" spans="1:11" x14ac:dyDescent="0.3">
      <c r="A12" s="14" t="s">
        <v>28</v>
      </c>
      <c r="B12" s="11">
        <v>5.0000000000000001E-3</v>
      </c>
      <c r="E12" s="8" t="str">
        <f t="shared" si="1"/>
        <v>LEVE3</v>
      </c>
      <c r="F12" s="5">
        <f t="shared" si="0"/>
        <v>2.4850000000000002E-3</v>
      </c>
      <c r="I12" s="3">
        <f>VLOOKUP(A12,'[1]37 - ISEE'!$A$9:$B$219,2,0)</f>
        <v>5.0000000000000001E-3</v>
      </c>
      <c r="J12" s="3" t="b">
        <f t="shared" si="2"/>
        <v>1</v>
      </c>
      <c r="K12" s="6"/>
    </row>
    <row r="13" spans="1:11" x14ac:dyDescent="0.3">
      <c r="A13" s="14" t="s">
        <v>66</v>
      </c>
      <c r="B13" s="11">
        <v>5.5E-2</v>
      </c>
      <c r="E13" s="8" t="str">
        <f t="shared" si="1"/>
        <v>ITSA4</v>
      </c>
      <c r="F13" s="5">
        <f t="shared" si="0"/>
        <v>2.7335000000000002E-2</v>
      </c>
      <c r="I13" s="3">
        <f>VLOOKUP(A13,'[1]37 - ISEE'!$A$9:$B$219,2,0)</f>
        <v>5.5E-2</v>
      </c>
      <c r="J13" s="3" t="b">
        <f t="shared" si="2"/>
        <v>1</v>
      </c>
      <c r="K13" s="6"/>
    </row>
    <row r="14" spans="1:11" x14ac:dyDescent="0.3">
      <c r="A14" s="14" t="s">
        <v>23</v>
      </c>
      <c r="B14" s="11">
        <v>3.2000000000000001E-2</v>
      </c>
      <c r="E14" s="8" t="str">
        <f t="shared" si="1"/>
        <v>TIMS3</v>
      </c>
      <c r="F14" s="5">
        <f t="shared" si="0"/>
        <v>1.5904000000000001E-2</v>
      </c>
      <c r="I14" s="3">
        <f>VLOOKUP(A14,'[1]37 - ISEE'!$A$9:$B$219,2,0)</f>
        <v>3.2000000000000001E-2</v>
      </c>
      <c r="J14" s="3" t="b">
        <f t="shared" si="2"/>
        <v>1</v>
      </c>
      <c r="K14" s="6"/>
    </row>
    <row r="15" spans="1:11" x14ac:dyDescent="0.3">
      <c r="A15" s="14" t="s">
        <v>90</v>
      </c>
      <c r="B15" s="11">
        <v>4.1000000000000002E-2</v>
      </c>
      <c r="E15" s="8" t="str">
        <f t="shared" si="1"/>
        <v>IGTI11</v>
      </c>
      <c r="F15" s="5">
        <f t="shared" si="0"/>
        <v>2.0376999999999999E-2</v>
      </c>
      <c r="I15" s="3">
        <f>VLOOKUP(A15,'[1]37 - ISEE'!$A$9:$B$219,2,0)</f>
        <v>4.1000000000000002E-2</v>
      </c>
      <c r="J15" s="3" t="b">
        <f t="shared" si="2"/>
        <v>1</v>
      </c>
      <c r="K15" s="6"/>
    </row>
    <row r="16" spans="1:11" x14ac:dyDescent="0.3">
      <c r="A16" s="14" t="s">
        <v>31</v>
      </c>
      <c r="B16" s="11">
        <v>2.7E-2</v>
      </c>
      <c r="E16" s="8" t="str">
        <f t="shared" si="1"/>
        <v>PSSA3</v>
      </c>
      <c r="F16" s="5">
        <f t="shared" si="0"/>
        <v>1.3419E-2</v>
      </c>
      <c r="I16" s="3">
        <f>VLOOKUP(A16,'[1]37 - ISEE'!$A$9:$B$219,2,0)</f>
        <v>2.7E-2</v>
      </c>
      <c r="J16" s="3" t="b">
        <f t="shared" si="2"/>
        <v>1</v>
      </c>
      <c r="K16" s="6"/>
    </row>
    <row r="17" spans="1:11" x14ac:dyDescent="0.3">
      <c r="A17" s="14" t="s">
        <v>106</v>
      </c>
      <c r="B17" s="11">
        <v>1.2E-2</v>
      </c>
      <c r="E17" s="8" t="str">
        <f t="shared" si="1"/>
        <v>JSLG3</v>
      </c>
      <c r="F17" s="5">
        <f t="shared" si="0"/>
        <v>5.9639999999999997E-3</v>
      </c>
      <c r="I17" s="3">
        <f>VLOOKUP(A17,'[1]37 - ISEE'!$A$9:$B$219,2,0)</f>
        <v>1.2E-2</v>
      </c>
      <c r="J17" s="3" t="b">
        <f t="shared" si="2"/>
        <v>1</v>
      </c>
      <c r="K17" s="6"/>
    </row>
    <row r="18" spans="1:11" x14ac:dyDescent="0.3">
      <c r="A18" s="14" t="s">
        <v>76</v>
      </c>
      <c r="B18" s="11">
        <v>2.4E-2</v>
      </c>
      <c r="E18" s="8" t="str">
        <f t="shared" si="1"/>
        <v>SAPR11</v>
      </c>
      <c r="F18" s="5">
        <f t="shared" si="0"/>
        <v>1.1927999999999999E-2</v>
      </c>
      <c r="I18" s="3">
        <f>VLOOKUP(A18,'[1]37 - ISEE'!$A$9:$B$219,2,0)</f>
        <v>2.4E-2</v>
      </c>
      <c r="J18" s="3" t="b">
        <f t="shared" si="2"/>
        <v>1</v>
      </c>
      <c r="K18" s="6"/>
    </row>
    <row r="19" spans="1:11" x14ac:dyDescent="0.3">
      <c r="A19" s="14" t="s">
        <v>45</v>
      </c>
      <c r="B19" s="11">
        <v>4.4999999999999998E-2</v>
      </c>
      <c r="E19" s="8" t="str">
        <f t="shared" si="1"/>
        <v>ALOS3</v>
      </c>
      <c r="F19" s="5">
        <f t="shared" si="0"/>
        <v>2.2364999999999999E-2</v>
      </c>
      <c r="I19" s="3">
        <f>VLOOKUP(A19,'[1]37 - ISEE'!$A$9:$B$219,2,0)</f>
        <v>4.4999999999999998E-2</v>
      </c>
      <c r="J19" s="3" t="b">
        <f t="shared" si="2"/>
        <v>1</v>
      </c>
      <c r="K19" s="6"/>
    </row>
    <row r="20" spans="1:11" x14ac:dyDescent="0.3">
      <c r="A20" s="14" t="s">
        <v>127</v>
      </c>
      <c r="B20" s="11">
        <v>3.7999999999999999E-2</v>
      </c>
      <c r="E20" s="8" t="str">
        <f t="shared" si="1"/>
        <v>B3SA3</v>
      </c>
      <c r="F20" s="5">
        <f t="shared" si="0"/>
        <v>1.8886E-2</v>
      </c>
      <c r="I20" s="3">
        <f>VLOOKUP(A20,'[1]37 - ISEE'!$A$9:$B$219,2,0)</f>
        <v>3.7999999999999999E-2</v>
      </c>
      <c r="J20" s="3" t="b">
        <f t="shared" si="2"/>
        <v>1</v>
      </c>
      <c r="K20" s="6"/>
    </row>
    <row r="21" spans="1:11" x14ac:dyDescent="0.3">
      <c r="A21" s="14" t="s">
        <v>36</v>
      </c>
      <c r="B21" s="11">
        <v>3.3000000000000002E-2</v>
      </c>
      <c r="E21" s="8" t="str">
        <f t="shared" si="1"/>
        <v>VBBR3</v>
      </c>
      <c r="F21" s="5">
        <f t="shared" si="0"/>
        <v>1.6401000000000002E-2</v>
      </c>
      <c r="I21" s="3">
        <f>VLOOKUP(A21,'[1]37 - ISEE'!$A$9:$B$219,2,0)</f>
        <v>3.3000000000000002E-2</v>
      </c>
      <c r="J21" s="3" t="b">
        <f t="shared" si="2"/>
        <v>1</v>
      </c>
      <c r="K21" s="6"/>
    </row>
    <row r="22" spans="1:11" x14ac:dyDescent="0.3">
      <c r="A22" s="14" t="s">
        <v>128</v>
      </c>
      <c r="B22" s="11">
        <v>3.5000000000000003E-2</v>
      </c>
      <c r="E22" s="8" t="str">
        <f t="shared" si="1"/>
        <v>UGPA3</v>
      </c>
      <c r="F22" s="5">
        <f t="shared" si="0"/>
        <v>1.7395000000000001E-2</v>
      </c>
      <c r="I22" s="3">
        <f>VLOOKUP(A22,'[1]37 - ISEE'!$A$9:$B$219,2,0)</f>
        <v>3.5000000000000003E-2</v>
      </c>
      <c r="J22" s="3" t="b">
        <f t="shared" si="2"/>
        <v>1</v>
      </c>
      <c r="K22" s="6"/>
    </row>
    <row r="23" spans="1:11" x14ac:dyDescent="0.3">
      <c r="A23" s="14" t="s">
        <v>13</v>
      </c>
      <c r="B23" s="11">
        <v>3.7999999999999999E-2</v>
      </c>
      <c r="E23" s="8" t="str">
        <f t="shared" si="1"/>
        <v>VIVT3</v>
      </c>
      <c r="F23" s="5">
        <f t="shared" si="0"/>
        <v>1.8886E-2</v>
      </c>
      <c r="I23" s="3">
        <f>VLOOKUP(A23,'[1]37 - ISEE'!$A$9:$B$219,2,0)</f>
        <v>3.7999999999999999E-2</v>
      </c>
      <c r="J23" s="3" t="b">
        <f t="shared" si="2"/>
        <v>1</v>
      </c>
      <c r="K23" s="6"/>
    </row>
    <row r="24" spans="1:11" x14ac:dyDescent="0.3">
      <c r="A24" s="14" t="s">
        <v>129</v>
      </c>
      <c r="B24" s="11">
        <v>2.1000000000000001E-2</v>
      </c>
      <c r="E24" s="8" t="str">
        <f t="shared" si="1"/>
        <v>SAUD3</v>
      </c>
      <c r="F24" s="5">
        <f t="shared" si="0"/>
        <v>1.0437E-2</v>
      </c>
      <c r="I24" s="3">
        <f>VLOOKUP(A24,'[1]37 - ISEE'!$A$9:$B$219,2,0)</f>
        <v>2.1000000000000001E-2</v>
      </c>
      <c r="J24" s="3" t="b">
        <f t="shared" si="2"/>
        <v>1</v>
      </c>
      <c r="K24" s="6"/>
    </row>
    <row r="25" spans="1:11" x14ac:dyDescent="0.3">
      <c r="A25" s="14" t="s">
        <v>55</v>
      </c>
      <c r="B25" s="11">
        <v>2.7E-2</v>
      </c>
      <c r="E25" s="8" t="str">
        <f t="shared" si="1"/>
        <v>MYPK3</v>
      </c>
      <c r="F25" s="5">
        <f t="shared" si="0"/>
        <v>1.3419E-2</v>
      </c>
      <c r="I25" s="3">
        <f>VLOOKUP(A25,'[1]37 - ISEE'!$A$9:$B$219,2,0)</f>
        <v>2.7E-2</v>
      </c>
      <c r="J25" s="3" t="b">
        <f t="shared" si="2"/>
        <v>1</v>
      </c>
      <c r="K25" s="6"/>
    </row>
    <row r="26" spans="1:11" x14ac:dyDescent="0.3">
      <c r="A26" s="14" t="s">
        <v>89</v>
      </c>
      <c r="B26" s="11">
        <v>3.5000000000000003E-2</v>
      </c>
      <c r="E26" s="8" t="str">
        <f t="shared" si="1"/>
        <v>FLRY3</v>
      </c>
      <c r="F26" s="5">
        <f t="shared" si="0"/>
        <v>1.7395000000000001E-2</v>
      </c>
      <c r="I26" s="3">
        <f>VLOOKUP(A26,'[1]37 - ISEE'!$A$9:$B$219,2,0)</f>
        <v>3.5000000000000003E-2</v>
      </c>
      <c r="J26" s="3" t="b">
        <f t="shared" si="2"/>
        <v>1</v>
      </c>
      <c r="K26" s="6"/>
    </row>
    <row r="27" spans="1:11" x14ac:dyDescent="0.3">
      <c r="A27" s="14" t="s">
        <v>131</v>
      </c>
      <c r="B27" s="11">
        <v>0.02</v>
      </c>
      <c r="E27" s="8" t="str">
        <f t="shared" si="1"/>
        <v>PGMN3</v>
      </c>
      <c r="F27" s="5">
        <f t="shared" si="0"/>
        <v>9.9400000000000009E-3</v>
      </c>
      <c r="I27" s="3">
        <f>VLOOKUP(A27,'[1]37 - ISEE'!$A$9:$B$219,2,0)</f>
        <v>0.02</v>
      </c>
      <c r="J27" s="3" t="b">
        <f t="shared" si="2"/>
        <v>1</v>
      </c>
      <c r="K27" s="6"/>
    </row>
    <row r="28" spans="1:11" x14ac:dyDescent="0.3">
      <c r="A28" s="14" t="s">
        <v>24</v>
      </c>
      <c r="B28" s="11">
        <v>1.7999999999999999E-2</v>
      </c>
      <c r="E28" s="8" t="str">
        <f t="shared" si="1"/>
        <v>TGMA3</v>
      </c>
      <c r="F28" s="5">
        <f t="shared" si="0"/>
        <v>8.9459999999999991E-3</v>
      </c>
      <c r="I28" s="3">
        <f>VLOOKUP(A28,'[1]37 - ISEE'!$A$9:$B$219,2,0)</f>
        <v>1.7999999999999999E-2</v>
      </c>
      <c r="J28" s="3" t="b">
        <f t="shared" si="2"/>
        <v>1</v>
      </c>
      <c r="K28" s="6"/>
    </row>
    <row r="29" spans="1:11" x14ac:dyDescent="0.3">
      <c r="A29" s="14" t="s">
        <v>118</v>
      </c>
      <c r="B29" s="11">
        <v>1.9E-2</v>
      </c>
      <c r="E29" s="8" t="str">
        <f t="shared" si="1"/>
        <v>MDIA3</v>
      </c>
      <c r="F29" s="5">
        <f t="shared" si="0"/>
        <v>9.443E-3</v>
      </c>
      <c r="I29" s="3">
        <f>VLOOKUP(A29,'[1]37 - ISEE'!$A$9:$B$219,2,0)</f>
        <v>1.9E-2</v>
      </c>
      <c r="J29" s="3" t="b">
        <f t="shared" si="2"/>
        <v>1</v>
      </c>
      <c r="K29" s="6"/>
    </row>
    <row r="30" spans="1:11" x14ac:dyDescent="0.3">
      <c r="A30" s="14" t="s">
        <v>86</v>
      </c>
      <c r="B30" s="11">
        <v>4.4999999999999998E-2</v>
      </c>
      <c r="E30" s="8" t="str">
        <f t="shared" si="1"/>
        <v>CPLE3</v>
      </c>
      <c r="F30" s="5">
        <f t="shared" si="0"/>
        <v>2.2364999999999999E-2</v>
      </c>
      <c r="I30" s="3">
        <f>VLOOKUP(A30,'[1]37 - ISEE'!$A$9:$B$219,2,0)</f>
        <v>4.4999999999999998E-2</v>
      </c>
      <c r="J30" s="3" t="b">
        <f t="shared" si="2"/>
        <v>1</v>
      </c>
      <c r="K30" s="6"/>
    </row>
    <row r="31" spans="1:11" x14ac:dyDescent="0.3">
      <c r="A31" s="14" t="s">
        <v>21</v>
      </c>
      <c r="B31" s="11">
        <v>0.04</v>
      </c>
      <c r="E31" s="8" t="str">
        <f t="shared" si="1"/>
        <v>CMIG4</v>
      </c>
      <c r="F31" s="5">
        <f t="shared" si="0"/>
        <v>1.9880000000000002E-2</v>
      </c>
      <c r="I31" s="3">
        <f>VLOOKUP(A31,'[1]37 - ISEE'!$A$9:$B$219,2,0)</f>
        <v>0.04</v>
      </c>
      <c r="J31" s="3" t="b">
        <f t="shared" si="2"/>
        <v>1</v>
      </c>
      <c r="K31" s="6"/>
    </row>
    <row r="32" spans="1:11" x14ac:dyDescent="0.3">
      <c r="A32" s="14" t="s">
        <v>99</v>
      </c>
      <c r="B32" s="11">
        <v>0.04</v>
      </c>
      <c r="E32" s="8" t="str">
        <f t="shared" si="1"/>
        <v>AXIA3</v>
      </c>
      <c r="F32" s="5">
        <f t="shared" si="0"/>
        <v>1.9880000000000002E-2</v>
      </c>
      <c r="I32" s="3">
        <f>VLOOKUP(A32,'[1]37 - ISEE'!$A$9:$B$219,2,0)</f>
        <v>0.04</v>
      </c>
      <c r="J32" s="3" t="b">
        <f t="shared" si="2"/>
        <v>1</v>
      </c>
      <c r="K32" s="6"/>
    </row>
    <row r="33" spans="1:11" x14ac:dyDescent="0.3">
      <c r="A33" s="14" t="s">
        <v>17</v>
      </c>
      <c r="B33" s="11">
        <v>0.04</v>
      </c>
      <c r="E33" s="8" t="str">
        <f t="shared" si="1"/>
        <v>CPFE3</v>
      </c>
      <c r="F33" s="5">
        <f t="shared" si="0"/>
        <v>1.9880000000000002E-2</v>
      </c>
      <c r="I33" s="3">
        <f>VLOOKUP(A33,'[1]37 - ISEE'!$A$9:$B$219,2,0)</f>
        <v>0.04</v>
      </c>
      <c r="J33" s="3" t="b">
        <f t="shared" si="2"/>
        <v>1</v>
      </c>
      <c r="K33" s="6"/>
    </row>
    <row r="34" spans="1:11" x14ac:dyDescent="0.3">
      <c r="A34" s="14" t="s">
        <v>72</v>
      </c>
      <c r="B34" s="11">
        <v>4.8000000000000001E-2</v>
      </c>
      <c r="E34" s="8" t="str">
        <f t="shared" si="1"/>
        <v>ITUB4</v>
      </c>
      <c r="F34" s="5">
        <f t="shared" si="0"/>
        <v>2.3855999999999999E-2</v>
      </c>
      <c r="I34" s="3">
        <f>VLOOKUP(A34,'[1]37 - ISEE'!$A$9:$B$219,2,0)</f>
        <v>4.8000000000000001E-2</v>
      </c>
      <c r="J34" s="3" t="b">
        <f t="shared" si="2"/>
        <v>1</v>
      </c>
      <c r="K34" s="6"/>
    </row>
    <row r="35" spans="1:11" x14ac:dyDescent="0.3">
      <c r="A35" s="14" t="s">
        <v>132</v>
      </c>
      <c r="B35" s="11">
        <v>1.7000000000000001E-2</v>
      </c>
      <c r="E35" s="8" t="str">
        <f t="shared" si="1"/>
        <v>USIM5</v>
      </c>
      <c r="F35" s="5">
        <f t="shared" si="0"/>
        <v>8.4489999999999999E-3</v>
      </c>
      <c r="I35" s="3">
        <f>VLOOKUP(A35,'[1]37 - ISEE'!$A$9:$B$219,2,0)</f>
        <v>1.7000000000000001E-2</v>
      </c>
      <c r="J35" s="3" t="b">
        <f t="shared" si="2"/>
        <v>1</v>
      </c>
      <c r="K35" s="6"/>
    </row>
    <row r="36" spans="1:11" x14ac:dyDescent="0.3">
      <c r="A36" s="14" t="s">
        <v>60</v>
      </c>
      <c r="B36" s="11">
        <v>0.03</v>
      </c>
      <c r="E36" s="8" t="str">
        <f t="shared" si="1"/>
        <v>RANI3</v>
      </c>
      <c r="F36" s="5">
        <f t="shared" si="0"/>
        <v>1.491E-2</v>
      </c>
      <c r="I36" s="3">
        <f>VLOOKUP(A36,'[1]37 - ISEE'!$A$9:$B$219,2,0)</f>
        <v>0.03</v>
      </c>
      <c r="J36" s="3" t="b">
        <f t="shared" si="2"/>
        <v>1</v>
      </c>
      <c r="K36" s="6"/>
    </row>
    <row r="37" spans="1:11" x14ac:dyDescent="0.3">
      <c r="A37" s="14" t="s">
        <v>43</v>
      </c>
      <c r="B37" s="11">
        <v>1.9E-2</v>
      </c>
      <c r="E37" s="8" t="str">
        <f t="shared" si="1"/>
        <v>COGN3</v>
      </c>
      <c r="F37" s="5">
        <f t="shared" si="0"/>
        <v>9.443E-3</v>
      </c>
      <c r="I37" s="3">
        <f>VLOOKUP(A37,'[1]37 - ISEE'!$A$9:$B$219,2,0)</f>
        <v>1.9E-2</v>
      </c>
      <c r="J37" s="3" t="b">
        <f t="shared" si="2"/>
        <v>1</v>
      </c>
      <c r="K37" s="6"/>
    </row>
    <row r="38" spans="1:11" x14ac:dyDescent="0.3">
      <c r="A38" s="14" t="s">
        <v>32</v>
      </c>
      <c r="B38" s="11">
        <v>0.03</v>
      </c>
      <c r="E38" s="8" t="str">
        <f t="shared" si="1"/>
        <v>CSMG3</v>
      </c>
      <c r="F38" s="5">
        <f t="shared" si="0"/>
        <v>1.491E-2</v>
      </c>
      <c r="I38" s="3">
        <f>VLOOKUP(A38,'[1]37 - ISEE'!$A$9:$B$219,2,0)</f>
        <v>0.03</v>
      </c>
      <c r="J38" s="3" t="b">
        <f t="shared" si="2"/>
        <v>1</v>
      </c>
      <c r="K38" s="6"/>
    </row>
    <row r="39" spans="1:11" x14ac:dyDescent="0.3">
      <c r="A39" s="14" t="s">
        <v>116</v>
      </c>
      <c r="B39" s="11">
        <v>3.4000000000000002E-2</v>
      </c>
      <c r="E39" s="8" t="str">
        <f t="shared" ref="E39" si="3">A39</f>
        <v>LREN3</v>
      </c>
      <c r="F39" s="5">
        <f t="shared" si="0"/>
        <v>1.6898E-2</v>
      </c>
      <c r="I39" s="3">
        <f>VLOOKUP(A39,'[1]37 - ISEE'!$A$9:$B$219,2,0)</f>
        <v>3.4000000000000002E-2</v>
      </c>
      <c r="J39" s="3" t="b">
        <f t="shared" si="2"/>
        <v>1</v>
      </c>
      <c r="K39" s="6"/>
    </row>
    <row r="40" spans="1:11" x14ac:dyDescent="0.3">
      <c r="A40" s="14"/>
      <c r="B40" s="11"/>
      <c r="E40" s="8" t="s">
        <v>81</v>
      </c>
      <c r="F40" s="12">
        <v>0.5</v>
      </c>
      <c r="I40" s="3" t="e">
        <f>VLOOKUP(A40,'[1]37 - ISEE'!$A$9:$B$219,2,0)</f>
        <v>#N/A</v>
      </c>
      <c r="J40" s="3" t="e">
        <f t="shared" si="2"/>
        <v>#N/A</v>
      </c>
      <c r="K40" s="6"/>
    </row>
    <row r="41" spans="1:11" x14ac:dyDescent="0.3">
      <c r="A41" s="14"/>
      <c r="B41" s="11"/>
      <c r="E41" s="8" t="s">
        <v>83</v>
      </c>
      <c r="F41" s="5">
        <v>3.0000000000000001E-3</v>
      </c>
      <c r="I41" s="3" t="e">
        <f>VLOOKUP(A41,'[1]37 - ISEE'!$A$9:$B$219,2,0)</f>
        <v>#N/A</v>
      </c>
      <c r="J41" s="3" t="e">
        <f t="shared" si="2"/>
        <v>#N/A</v>
      </c>
      <c r="K41" s="6"/>
    </row>
    <row r="42" spans="1:11" x14ac:dyDescent="0.3">
      <c r="A42" s="14"/>
      <c r="B42" s="11"/>
      <c r="F42" s="5"/>
      <c r="J42" s="3"/>
      <c r="K42" s="6"/>
    </row>
    <row r="43" spans="1:11" x14ac:dyDescent="0.3">
      <c r="A43" s="14"/>
      <c r="B43" s="11"/>
      <c r="F43" s="5"/>
      <c r="J43" s="3"/>
      <c r="K43" s="6"/>
    </row>
    <row r="44" spans="1:11" x14ac:dyDescent="0.3">
      <c r="A44" s="14"/>
      <c r="B44" s="11"/>
      <c r="F44" s="5"/>
      <c r="J44" s="3"/>
      <c r="K44" s="6"/>
    </row>
    <row r="45" spans="1:11" x14ac:dyDescent="0.3">
      <c r="A45" s="14"/>
      <c r="B45" s="11"/>
      <c r="F45" s="5"/>
      <c r="J45" s="3"/>
      <c r="K45" s="6"/>
    </row>
    <row r="46" spans="1:11" x14ac:dyDescent="0.3">
      <c r="A46" s="14"/>
      <c r="B46" s="11"/>
      <c r="F46" s="5"/>
      <c r="J46" s="3"/>
      <c r="K46" s="6"/>
    </row>
    <row r="47" spans="1:11" x14ac:dyDescent="0.3">
      <c r="A47" s="14"/>
      <c r="B47" s="11"/>
      <c r="F47" s="5"/>
      <c r="J47" s="3"/>
      <c r="K47" s="6"/>
    </row>
    <row r="48" spans="1:11" x14ac:dyDescent="0.3">
      <c r="A48" s="14"/>
      <c r="B48" s="11"/>
      <c r="F48" s="5"/>
      <c r="J48" s="3"/>
      <c r="K48" s="6"/>
    </row>
    <row r="49" spans="1:11" x14ac:dyDescent="0.3">
      <c r="A49" s="14"/>
      <c r="B49" s="11"/>
      <c r="F49" s="5"/>
      <c r="J49" s="3"/>
      <c r="K49" s="6"/>
    </row>
    <row r="50" spans="1:11" x14ac:dyDescent="0.3">
      <c r="A50" s="14"/>
      <c r="B50" s="11"/>
      <c r="F50" s="5"/>
      <c r="J50" s="3"/>
      <c r="K50" s="6"/>
    </row>
    <row r="51" spans="1:11" x14ac:dyDescent="0.3">
      <c r="A51" s="14"/>
      <c r="B51" s="11"/>
      <c r="F51" s="5"/>
      <c r="J51" s="3"/>
      <c r="K51" s="6"/>
    </row>
    <row r="52" spans="1:11" x14ac:dyDescent="0.3">
      <c r="A52" s="14"/>
      <c r="B52" s="11"/>
      <c r="F52" s="5"/>
      <c r="J52" s="3"/>
      <c r="K52" s="6"/>
    </row>
    <row r="53" spans="1:11" x14ac:dyDescent="0.3">
      <c r="A53" s="14"/>
      <c r="B53" s="11"/>
      <c r="F53" s="5"/>
      <c r="J53" s="3"/>
      <c r="K53" s="6"/>
    </row>
    <row r="54" spans="1:11" x14ac:dyDescent="0.3">
      <c r="A54" s="14"/>
      <c r="B54" s="11"/>
      <c r="F54" s="5"/>
      <c r="J54" s="3"/>
      <c r="K54" s="6"/>
    </row>
    <row r="55" spans="1:11" x14ac:dyDescent="0.3">
      <c r="A55" s="14"/>
      <c r="B55" s="11"/>
      <c r="F55" s="5"/>
      <c r="J55" s="3"/>
      <c r="K55" s="6"/>
    </row>
    <row r="56" spans="1:11" x14ac:dyDescent="0.3">
      <c r="A56" s="14"/>
      <c r="B56" s="11"/>
      <c r="F56" s="5"/>
      <c r="J56" s="3"/>
      <c r="K56" s="6"/>
    </row>
    <row r="57" spans="1:11" x14ac:dyDescent="0.3">
      <c r="A57" s="14"/>
      <c r="B57" s="11"/>
      <c r="F57" s="5"/>
      <c r="J57" s="3"/>
      <c r="K57" s="6"/>
    </row>
    <row r="58" spans="1:11" x14ac:dyDescent="0.3">
      <c r="A58" s="14"/>
      <c r="B58" s="11"/>
      <c r="F58" s="5"/>
      <c r="J58" s="3"/>
      <c r="K58" s="6"/>
    </row>
    <row r="59" spans="1:11" x14ac:dyDescent="0.3">
      <c r="A59" s="14"/>
      <c r="B59" s="11"/>
      <c r="F59" s="5"/>
      <c r="J59" s="3"/>
      <c r="K59" s="6"/>
    </row>
    <row r="60" spans="1:11" x14ac:dyDescent="0.3">
      <c r="A60" s="14"/>
      <c r="B60" s="11"/>
      <c r="F60" s="5"/>
      <c r="J60" s="3"/>
      <c r="K60" s="6"/>
    </row>
    <row r="61" spans="1:11" x14ac:dyDescent="0.3">
      <c r="A61" s="14"/>
      <c r="B61" s="11"/>
      <c r="F61" s="5"/>
      <c r="J61" s="3"/>
      <c r="K61" s="6"/>
    </row>
    <row r="62" spans="1:11" x14ac:dyDescent="0.3">
      <c r="A62" s="14"/>
      <c r="B62" s="11"/>
      <c r="F62" s="5"/>
      <c r="J62" s="3"/>
      <c r="K62" s="6"/>
    </row>
    <row r="63" spans="1:11" x14ac:dyDescent="0.3">
      <c r="A63" s="14"/>
      <c r="B63" s="11"/>
      <c r="F63" s="5"/>
      <c r="J63" s="3"/>
      <c r="K63" s="6"/>
    </row>
    <row r="64" spans="1:11" x14ac:dyDescent="0.3">
      <c r="A64" s="14"/>
      <c r="B64" s="11"/>
      <c r="F64" s="5"/>
      <c r="J64" s="3"/>
      <c r="K64" s="6"/>
    </row>
    <row r="65" spans="1:11" x14ac:dyDescent="0.3">
      <c r="A65" s="14"/>
      <c r="B65" s="11"/>
      <c r="F65" s="5"/>
      <c r="J65" s="3"/>
      <c r="K65" s="6"/>
    </row>
    <row r="66" spans="1:11" x14ac:dyDescent="0.3">
      <c r="A66" s="14"/>
      <c r="B66" s="11"/>
      <c r="F66" s="5"/>
      <c r="J66" s="3"/>
      <c r="K66" s="6"/>
    </row>
    <row r="67" spans="1:11" x14ac:dyDescent="0.3">
      <c r="A67" s="14"/>
      <c r="B67" s="11"/>
      <c r="F67" s="5"/>
      <c r="J67" s="3"/>
      <c r="K67" s="6"/>
    </row>
    <row r="68" spans="1:11" x14ac:dyDescent="0.3">
      <c r="A68" s="14"/>
      <c r="B68" s="11"/>
      <c r="F68" s="5"/>
      <c r="J68" s="3"/>
      <c r="K68" s="6"/>
    </row>
    <row r="69" spans="1:11" x14ac:dyDescent="0.3">
      <c r="A69" s="14"/>
      <c r="B69" s="11"/>
      <c r="F69" s="5"/>
      <c r="J69" s="3"/>
      <c r="K69" s="6"/>
    </row>
    <row r="70" spans="1:11" x14ac:dyDescent="0.3">
      <c r="A70" s="14"/>
      <c r="B70" s="11"/>
      <c r="F70" s="5"/>
      <c r="J70" s="3"/>
      <c r="K70" s="6"/>
    </row>
    <row r="71" spans="1:11" x14ac:dyDescent="0.3">
      <c r="A71" s="14"/>
      <c r="B71" s="11"/>
      <c r="F71" s="5"/>
      <c r="K71" s="6"/>
    </row>
    <row r="72" spans="1:11" x14ac:dyDescent="0.3">
      <c r="A72" s="14"/>
      <c r="B72" s="11"/>
      <c r="K72" s="6"/>
    </row>
    <row r="73" spans="1:11" x14ac:dyDescent="0.3">
      <c r="A73" s="14"/>
      <c r="B73" s="11"/>
      <c r="K73" s="6"/>
    </row>
    <row r="74" spans="1:11" x14ac:dyDescent="0.3">
      <c r="A74" s="14"/>
      <c r="B74" s="11"/>
      <c r="K74" s="6"/>
    </row>
    <row r="75" spans="1:11" x14ac:dyDescent="0.3">
      <c r="A75" s="14"/>
      <c r="B75" s="11"/>
      <c r="K75" s="6"/>
    </row>
    <row r="76" spans="1:11" x14ac:dyDescent="0.3">
      <c r="A76" s="14"/>
      <c r="B76" s="11"/>
      <c r="K76" s="6"/>
    </row>
    <row r="77" spans="1:11" x14ac:dyDescent="0.3">
      <c r="A77" s="14"/>
      <c r="B77" s="11"/>
      <c r="K77" s="6"/>
    </row>
    <row r="78" spans="1:11" x14ac:dyDescent="0.3">
      <c r="A78" s="14"/>
      <c r="B78" s="11"/>
      <c r="K78" s="6"/>
    </row>
    <row r="79" spans="1:11" x14ac:dyDescent="0.3">
      <c r="A79" s="14"/>
      <c r="B79" s="11"/>
      <c r="K79" s="6"/>
    </row>
    <row r="80" spans="1:11" x14ac:dyDescent="0.3">
      <c r="A80" s="14"/>
      <c r="B80" s="11"/>
      <c r="K80" s="6"/>
    </row>
    <row r="81" spans="1:11" x14ac:dyDescent="0.3">
      <c r="A81" s="14"/>
      <c r="B81" s="11"/>
      <c r="K81" s="6"/>
    </row>
    <row r="82" spans="1:11" x14ac:dyDescent="0.3">
      <c r="A82" s="14"/>
      <c r="B82" s="11"/>
      <c r="K82" s="6"/>
    </row>
    <row r="83" spans="1:11" x14ac:dyDescent="0.3">
      <c r="A83" s="14"/>
      <c r="B83" s="11"/>
      <c r="K83" s="6"/>
    </row>
    <row r="84" spans="1:11" x14ac:dyDescent="0.3">
      <c r="A84" s="14"/>
      <c r="B84" s="11"/>
      <c r="K84" s="6"/>
    </row>
    <row r="85" spans="1:11" x14ac:dyDescent="0.3">
      <c r="A85" s="14"/>
      <c r="B85" s="11"/>
      <c r="K85" s="6"/>
    </row>
    <row r="86" spans="1:11" x14ac:dyDescent="0.3">
      <c r="A86" s="14"/>
      <c r="B86" s="11"/>
      <c r="K86" s="6"/>
    </row>
    <row r="87" spans="1:11" x14ac:dyDescent="0.3">
      <c r="A87" s="14"/>
      <c r="B87" s="11"/>
      <c r="K87" s="6"/>
    </row>
    <row r="88" spans="1:11" x14ac:dyDescent="0.3">
      <c r="A88" s="14"/>
      <c r="B88" s="11"/>
      <c r="K88" s="6"/>
    </row>
    <row r="89" spans="1:11" x14ac:dyDescent="0.3">
      <c r="A89" s="14"/>
      <c r="B89" s="11"/>
      <c r="K89" s="6"/>
    </row>
    <row r="90" spans="1:11" x14ac:dyDescent="0.3">
      <c r="A90" s="14"/>
      <c r="B90" s="11"/>
      <c r="K90" s="6"/>
    </row>
    <row r="91" spans="1:11" x14ac:dyDescent="0.3">
      <c r="A91" s="14"/>
      <c r="B91" s="11"/>
      <c r="K91" s="6"/>
    </row>
    <row r="92" spans="1:11" x14ac:dyDescent="0.3">
      <c r="A92" s="14"/>
      <c r="B92" s="11"/>
      <c r="K92" s="6"/>
    </row>
    <row r="93" spans="1:11" x14ac:dyDescent="0.3">
      <c r="A93" s="14"/>
      <c r="B93" s="11"/>
      <c r="K93" s="6"/>
    </row>
    <row r="94" spans="1:11" x14ac:dyDescent="0.3">
      <c r="A94" s="14"/>
      <c r="B94" s="11"/>
      <c r="K94" s="6"/>
    </row>
    <row r="95" spans="1:11" x14ac:dyDescent="0.3">
      <c r="A95" s="14"/>
      <c r="B95" s="11"/>
      <c r="K95" s="6"/>
    </row>
    <row r="96" spans="1:11" x14ac:dyDescent="0.3">
      <c r="A96" s="14"/>
      <c r="B96" s="11"/>
      <c r="K96" s="6"/>
    </row>
    <row r="97" spans="1:11" x14ac:dyDescent="0.3">
      <c r="A97" s="14"/>
      <c r="B97" s="11"/>
      <c r="K97" s="6"/>
    </row>
    <row r="98" spans="1:11" x14ac:dyDescent="0.3">
      <c r="A98" s="14"/>
      <c r="B98" s="11"/>
      <c r="K98" s="6"/>
    </row>
    <row r="99" spans="1:11" x14ac:dyDescent="0.3">
      <c r="A99" s="14"/>
      <c r="B99" s="11"/>
      <c r="K99" s="6"/>
    </row>
    <row r="100" spans="1:11" x14ac:dyDescent="0.3">
      <c r="A100" s="14"/>
      <c r="B100" s="11"/>
      <c r="K100" s="6"/>
    </row>
    <row r="101" spans="1:11" x14ac:dyDescent="0.3">
      <c r="A101" s="14"/>
      <c r="B101" s="11"/>
      <c r="K101" s="6"/>
    </row>
    <row r="102" spans="1:11" x14ac:dyDescent="0.3">
      <c r="A102" s="14"/>
      <c r="B102" s="11"/>
      <c r="K102" s="6"/>
    </row>
    <row r="103" spans="1:11" x14ac:dyDescent="0.3">
      <c r="A103" s="14"/>
      <c r="B103" s="11"/>
      <c r="K103" s="6"/>
    </row>
    <row r="104" spans="1:11" x14ac:dyDescent="0.3">
      <c r="A104" s="14"/>
      <c r="B104" s="11"/>
      <c r="K104" s="6"/>
    </row>
    <row r="105" spans="1:11" x14ac:dyDescent="0.3">
      <c r="A105" s="14"/>
      <c r="B105" s="11"/>
      <c r="K105" s="6"/>
    </row>
    <row r="106" spans="1:11" x14ac:dyDescent="0.3">
      <c r="A106" s="14"/>
      <c r="B106" s="11"/>
      <c r="K106" s="6"/>
    </row>
    <row r="107" spans="1:11" x14ac:dyDescent="0.3">
      <c r="A107" s="14"/>
      <c r="B107" s="11"/>
      <c r="K107" s="6"/>
    </row>
    <row r="108" spans="1:11" x14ac:dyDescent="0.3">
      <c r="A108" s="14"/>
      <c r="B108" s="11"/>
      <c r="K108" s="6"/>
    </row>
    <row r="109" spans="1:11" x14ac:dyDescent="0.3">
      <c r="A109" s="14"/>
      <c r="B109" s="11"/>
      <c r="K109" s="6"/>
    </row>
    <row r="110" spans="1:11" x14ac:dyDescent="0.3">
      <c r="A110" s="14"/>
      <c r="B110" s="11"/>
      <c r="K110" s="6"/>
    </row>
    <row r="111" spans="1:11" x14ac:dyDescent="0.3">
      <c r="A111" s="14"/>
      <c r="B111" s="11"/>
      <c r="K111" s="6"/>
    </row>
    <row r="112" spans="1:11" x14ac:dyDescent="0.3">
      <c r="A112" s="14"/>
      <c r="B112" s="11"/>
      <c r="K112" s="6"/>
    </row>
    <row r="113" spans="1:11" x14ac:dyDescent="0.3">
      <c r="A113" s="14"/>
      <c r="B113" s="11"/>
      <c r="K113" s="6"/>
    </row>
    <row r="114" spans="1:11" x14ac:dyDescent="0.3">
      <c r="A114" s="14"/>
      <c r="B114" s="11"/>
      <c r="K114" s="6"/>
    </row>
    <row r="115" spans="1:11" x14ac:dyDescent="0.3">
      <c r="A115" s="14"/>
      <c r="B115" s="11"/>
      <c r="K115" s="6"/>
    </row>
    <row r="116" spans="1:11" x14ac:dyDescent="0.3">
      <c r="A116" s="14"/>
      <c r="B116" s="11"/>
      <c r="K116" s="6"/>
    </row>
    <row r="117" spans="1:11" x14ac:dyDescent="0.3">
      <c r="A117" s="14"/>
      <c r="B117" s="11"/>
      <c r="K117" s="6"/>
    </row>
    <row r="118" spans="1:11" x14ac:dyDescent="0.3">
      <c r="A118" s="14"/>
      <c r="B118" s="11"/>
      <c r="K118" s="6"/>
    </row>
    <row r="119" spans="1:11" x14ac:dyDescent="0.3">
      <c r="A119" s="14"/>
      <c r="B119" s="11"/>
      <c r="K119" s="6"/>
    </row>
    <row r="120" spans="1:11" x14ac:dyDescent="0.3">
      <c r="A120" s="14"/>
      <c r="B120" s="11"/>
      <c r="K120" s="6"/>
    </row>
    <row r="121" spans="1:11" x14ac:dyDescent="0.3">
      <c r="A121" s="14"/>
      <c r="B121" s="11"/>
      <c r="K121" s="6"/>
    </row>
    <row r="122" spans="1:11" x14ac:dyDescent="0.3">
      <c r="A122" s="14"/>
      <c r="B122" s="11"/>
      <c r="K122" s="6"/>
    </row>
    <row r="123" spans="1:11" x14ac:dyDescent="0.3">
      <c r="A123" s="14"/>
      <c r="B123" s="11"/>
      <c r="K123" s="6"/>
    </row>
    <row r="124" spans="1:11" x14ac:dyDescent="0.3">
      <c r="A124" s="14"/>
      <c r="B124" s="11"/>
      <c r="K124" s="6"/>
    </row>
    <row r="125" spans="1:11" x14ac:dyDescent="0.3">
      <c r="A125" s="14"/>
      <c r="B125" s="11"/>
      <c r="K125" s="6"/>
    </row>
    <row r="126" spans="1:11" x14ac:dyDescent="0.3">
      <c r="A126" s="14"/>
      <c r="B126" s="11"/>
      <c r="K126" s="6"/>
    </row>
    <row r="127" spans="1:11" x14ac:dyDescent="0.3">
      <c r="A127" s="14"/>
      <c r="B127" s="11"/>
      <c r="K127" s="6"/>
    </row>
    <row r="128" spans="1:11" x14ac:dyDescent="0.3">
      <c r="A128" s="14"/>
      <c r="B128" s="11"/>
      <c r="K128" s="6"/>
    </row>
    <row r="129" spans="1:11" x14ac:dyDescent="0.3">
      <c r="A129" s="14"/>
      <c r="B129" s="11"/>
      <c r="K129" s="6"/>
    </row>
    <row r="130" spans="1:11" x14ac:dyDescent="0.3">
      <c r="A130" s="14"/>
      <c r="B130" s="11"/>
      <c r="K130" s="6"/>
    </row>
    <row r="131" spans="1:11" x14ac:dyDescent="0.3">
      <c r="A131" s="14"/>
      <c r="B131" s="11"/>
      <c r="K131" s="6"/>
    </row>
    <row r="132" spans="1:11" x14ac:dyDescent="0.3">
      <c r="A132" s="14"/>
      <c r="B132" s="11"/>
      <c r="K132" s="6"/>
    </row>
    <row r="133" spans="1:11" x14ac:dyDescent="0.3">
      <c r="A133" s="14"/>
      <c r="B133" s="11"/>
      <c r="K133" s="6"/>
    </row>
    <row r="134" spans="1:11" x14ac:dyDescent="0.3">
      <c r="A134" s="14"/>
      <c r="B134" s="11"/>
      <c r="K134" s="6"/>
    </row>
    <row r="135" spans="1:11" x14ac:dyDescent="0.3">
      <c r="A135" s="14"/>
      <c r="B135" s="11"/>
      <c r="K135" s="6"/>
    </row>
    <row r="136" spans="1:11" x14ac:dyDescent="0.3">
      <c r="A136" s="14"/>
      <c r="B136" s="11"/>
      <c r="K136" s="6"/>
    </row>
    <row r="137" spans="1:11" x14ac:dyDescent="0.3">
      <c r="A137" s="14"/>
      <c r="B137" s="11"/>
      <c r="K137" s="6"/>
    </row>
    <row r="138" spans="1:11" x14ac:dyDescent="0.3">
      <c r="A138" s="14"/>
      <c r="B138" s="11"/>
      <c r="K138" s="6"/>
    </row>
    <row r="139" spans="1:11" x14ac:dyDescent="0.3">
      <c r="A139" s="14"/>
      <c r="B139" s="11"/>
      <c r="K139" s="6"/>
    </row>
    <row r="140" spans="1:11" x14ac:dyDescent="0.3">
      <c r="A140" s="14"/>
      <c r="B140" s="11"/>
      <c r="K140" s="6"/>
    </row>
    <row r="141" spans="1:11" x14ac:dyDescent="0.3">
      <c r="A141" s="14"/>
      <c r="B141" s="11"/>
      <c r="K141" s="6"/>
    </row>
    <row r="142" spans="1:11" x14ac:dyDescent="0.3">
      <c r="A142" s="14"/>
      <c r="B142" s="11"/>
      <c r="K142" s="6"/>
    </row>
    <row r="143" spans="1:11" x14ac:dyDescent="0.3">
      <c r="A143" s="14"/>
      <c r="B143" s="11"/>
      <c r="K143" s="6"/>
    </row>
    <row r="144" spans="1:11" x14ac:dyDescent="0.3">
      <c r="A144" s="14"/>
      <c r="B144" s="11"/>
      <c r="K144" s="6"/>
    </row>
    <row r="145" spans="1:11" x14ac:dyDescent="0.3">
      <c r="A145" s="14"/>
      <c r="B145" s="11"/>
      <c r="K145" s="6"/>
    </row>
    <row r="146" spans="1:11" x14ac:dyDescent="0.3">
      <c r="A146" s="14"/>
      <c r="B146" s="11"/>
      <c r="K146" s="6"/>
    </row>
    <row r="147" spans="1:11" x14ac:dyDescent="0.3">
      <c r="A147" s="14"/>
      <c r="B147" s="11"/>
      <c r="K147" s="6"/>
    </row>
    <row r="148" spans="1:11" x14ac:dyDescent="0.3">
      <c r="A148" s="14"/>
      <c r="B148" s="11"/>
      <c r="K148" s="6"/>
    </row>
    <row r="149" spans="1:11" x14ac:dyDescent="0.3">
      <c r="A149" s="14"/>
      <c r="B149" s="11"/>
      <c r="K149" s="6"/>
    </row>
    <row r="150" spans="1:11" x14ac:dyDescent="0.3">
      <c r="A150" s="14"/>
      <c r="B150" s="11"/>
      <c r="K150" s="6"/>
    </row>
    <row r="151" spans="1:11" x14ac:dyDescent="0.3">
      <c r="A151" s="14"/>
      <c r="B151" s="11"/>
      <c r="K151" s="6"/>
    </row>
    <row r="152" spans="1:11" x14ac:dyDescent="0.3">
      <c r="A152" s="14"/>
      <c r="B152" s="11"/>
      <c r="K152" s="6"/>
    </row>
    <row r="153" spans="1:11" x14ac:dyDescent="0.3">
      <c r="A153" s="14"/>
      <c r="B153" s="11"/>
      <c r="K153" s="6"/>
    </row>
    <row r="154" spans="1:11" x14ac:dyDescent="0.3">
      <c r="A154" s="14"/>
      <c r="B154" s="11"/>
      <c r="K154" s="6"/>
    </row>
    <row r="155" spans="1:11" x14ac:dyDescent="0.3">
      <c r="A155" s="14"/>
      <c r="B155" s="11"/>
      <c r="K155" s="6"/>
    </row>
    <row r="156" spans="1:11" x14ac:dyDescent="0.3">
      <c r="A156" s="14"/>
      <c r="B156" s="11"/>
      <c r="K156" s="6"/>
    </row>
    <row r="157" spans="1:11" x14ac:dyDescent="0.3">
      <c r="A157" s="14"/>
      <c r="B157" s="11"/>
      <c r="K157" s="6"/>
    </row>
    <row r="158" spans="1:11" x14ac:dyDescent="0.3">
      <c r="A158" s="14"/>
      <c r="B158" s="11"/>
      <c r="K158" s="6"/>
    </row>
    <row r="159" spans="1:11" x14ac:dyDescent="0.3">
      <c r="A159" s="14"/>
      <c r="B159" s="11"/>
      <c r="K159" s="6"/>
    </row>
    <row r="160" spans="1:11" x14ac:dyDescent="0.3">
      <c r="A160" s="14"/>
      <c r="B160" s="11"/>
      <c r="K160" s="6"/>
    </row>
    <row r="161" spans="1:11" x14ac:dyDescent="0.3">
      <c r="A161" s="14"/>
      <c r="B161" s="11"/>
      <c r="K161" s="6"/>
    </row>
    <row r="162" spans="1:11" x14ac:dyDescent="0.3">
      <c r="A162" s="14"/>
      <c r="B162" s="11"/>
      <c r="K162" s="6"/>
    </row>
    <row r="163" spans="1:11" x14ac:dyDescent="0.3">
      <c r="A163" s="14"/>
      <c r="B163" s="11"/>
      <c r="K163" s="6"/>
    </row>
    <row r="164" spans="1:11" x14ac:dyDescent="0.3">
      <c r="A164" s="14"/>
      <c r="B164" s="11"/>
      <c r="K164" s="6"/>
    </row>
    <row r="165" spans="1:11" x14ac:dyDescent="0.3">
      <c r="A165" s="14"/>
      <c r="B165" s="11"/>
      <c r="K165" s="6"/>
    </row>
    <row r="166" spans="1:11" x14ac:dyDescent="0.3">
      <c r="A166" s="14"/>
      <c r="B166" s="11"/>
      <c r="K166" s="6"/>
    </row>
    <row r="167" spans="1:11" x14ac:dyDescent="0.3">
      <c r="A167" s="14"/>
      <c r="B167" s="11"/>
      <c r="K167" s="6"/>
    </row>
    <row r="168" spans="1:11" x14ac:dyDescent="0.3">
      <c r="A168" s="14"/>
      <c r="B168" s="11"/>
      <c r="K168" s="6"/>
    </row>
    <row r="169" spans="1:11" x14ac:dyDescent="0.3">
      <c r="A169" s="14"/>
      <c r="B169" s="11"/>
      <c r="K169" s="6"/>
    </row>
    <row r="170" spans="1:11" x14ac:dyDescent="0.3">
      <c r="A170" s="14"/>
      <c r="B170" s="11"/>
      <c r="K170" s="6"/>
    </row>
    <row r="171" spans="1:11" x14ac:dyDescent="0.3">
      <c r="A171" s="14"/>
      <c r="B171" s="11"/>
      <c r="K171" s="6"/>
    </row>
    <row r="172" spans="1:11" x14ac:dyDescent="0.3">
      <c r="A172" s="14"/>
      <c r="B172" s="11"/>
      <c r="K172" s="6"/>
    </row>
    <row r="173" spans="1:11" x14ac:dyDescent="0.3">
      <c r="A173" s="14"/>
      <c r="B173" s="11"/>
      <c r="K173" s="6"/>
    </row>
    <row r="174" spans="1:11" x14ac:dyDescent="0.3">
      <c r="A174" s="14"/>
      <c r="B174" s="11"/>
      <c r="K174" s="6"/>
    </row>
    <row r="175" spans="1:11" x14ac:dyDescent="0.3">
      <c r="A175" s="14"/>
      <c r="B175" s="11"/>
      <c r="K175" s="6"/>
    </row>
    <row r="176" spans="1:11" x14ac:dyDescent="0.3">
      <c r="A176" s="14"/>
      <c r="B176" s="11"/>
      <c r="K176" s="6"/>
    </row>
    <row r="177" spans="1:11" x14ac:dyDescent="0.3">
      <c r="A177" s="14"/>
      <c r="B177" s="11"/>
      <c r="K177" s="6"/>
    </row>
    <row r="178" spans="1:11" x14ac:dyDescent="0.3">
      <c r="A178" s="14"/>
      <c r="B178" s="11"/>
      <c r="K178" s="6"/>
    </row>
    <row r="179" spans="1:11" x14ac:dyDescent="0.3">
      <c r="A179" s="14"/>
      <c r="B179" s="11"/>
      <c r="K179" s="6"/>
    </row>
    <row r="180" spans="1:11" x14ac:dyDescent="0.3">
      <c r="A180" s="14"/>
      <c r="B180" s="11"/>
      <c r="K180" s="6"/>
    </row>
    <row r="181" spans="1:11" x14ac:dyDescent="0.3">
      <c r="A181" s="14"/>
      <c r="B181" s="11"/>
      <c r="K181" s="6"/>
    </row>
    <row r="182" spans="1:11" x14ac:dyDescent="0.3">
      <c r="A182" s="14"/>
      <c r="B182" s="11"/>
      <c r="K182" s="6"/>
    </row>
    <row r="183" spans="1:11" x14ac:dyDescent="0.3">
      <c r="A183" s="14"/>
      <c r="B183" s="11"/>
      <c r="K183" s="6"/>
    </row>
    <row r="184" spans="1:11" x14ac:dyDescent="0.3">
      <c r="A184" s="14"/>
      <c r="B184" s="11"/>
      <c r="K184" s="6"/>
    </row>
    <row r="185" spans="1:11" x14ac:dyDescent="0.3">
      <c r="A185" s="14"/>
      <c r="B185" s="11"/>
      <c r="K185" s="6"/>
    </row>
    <row r="186" spans="1:11" x14ac:dyDescent="0.3">
      <c r="A186" s="14"/>
      <c r="B186" s="11"/>
      <c r="K186" s="6"/>
    </row>
    <row r="187" spans="1:11" x14ac:dyDescent="0.3">
      <c r="A187" s="14"/>
      <c r="B187" s="11"/>
      <c r="K187" s="6"/>
    </row>
    <row r="188" spans="1:11" x14ac:dyDescent="0.3">
      <c r="A188" s="14"/>
      <c r="B188" s="11"/>
      <c r="K188" s="6"/>
    </row>
    <row r="189" spans="1:11" x14ac:dyDescent="0.3">
      <c r="A189" s="14"/>
      <c r="B189" s="11"/>
      <c r="K189" s="6"/>
    </row>
    <row r="190" spans="1:11" x14ac:dyDescent="0.3">
      <c r="A190" s="14"/>
      <c r="B190" s="11"/>
      <c r="K190" s="6"/>
    </row>
    <row r="191" spans="1:11" x14ac:dyDescent="0.3">
      <c r="A191" s="14"/>
      <c r="B191" s="11"/>
      <c r="K191" s="6"/>
    </row>
    <row r="192" spans="1:11" x14ac:dyDescent="0.3">
      <c r="A192" s="14"/>
      <c r="B192" s="11"/>
      <c r="K192" s="6"/>
    </row>
    <row r="193" spans="1:11" x14ac:dyDescent="0.3">
      <c r="A193" s="14"/>
      <c r="B193" s="11"/>
      <c r="K193" s="6"/>
    </row>
    <row r="194" spans="1:11" x14ac:dyDescent="0.3">
      <c r="A194" s="14"/>
      <c r="B194" s="11"/>
      <c r="K194" s="6"/>
    </row>
    <row r="195" spans="1:11" x14ac:dyDescent="0.3">
      <c r="A195" s="14"/>
      <c r="B195" s="11"/>
      <c r="K195" s="6"/>
    </row>
    <row r="196" spans="1:11" x14ac:dyDescent="0.3">
      <c r="A196" s="14"/>
      <c r="B196" s="11"/>
      <c r="K196" s="6"/>
    </row>
    <row r="197" spans="1:11" x14ac:dyDescent="0.3">
      <c r="A197" s="14"/>
      <c r="B197" s="11"/>
      <c r="K197" s="6"/>
    </row>
    <row r="198" spans="1:11" x14ac:dyDescent="0.3">
      <c r="A198" s="14"/>
      <c r="B198" s="11"/>
      <c r="K198" s="6"/>
    </row>
    <row r="199" spans="1:11" x14ac:dyDescent="0.3">
      <c r="A199" s="14"/>
      <c r="B199" s="11"/>
      <c r="K199" s="6"/>
    </row>
    <row r="200" spans="1:11" x14ac:dyDescent="0.3">
      <c r="A200" s="14"/>
      <c r="B200" s="11"/>
      <c r="K200" s="6"/>
    </row>
    <row r="201" spans="1:11" x14ac:dyDescent="0.3">
      <c r="A201" s="14"/>
      <c r="B201" s="11"/>
      <c r="K201" s="6"/>
    </row>
    <row r="202" spans="1:11" x14ac:dyDescent="0.3">
      <c r="A202" s="14"/>
      <c r="B202" s="11"/>
      <c r="K202" s="6"/>
    </row>
  </sheetData>
  <conditionalFormatting sqref="J2:J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41D7-3359-448C-9B75-691516AC397F}">
  <sheetPr codeName="Planilha2">
    <tabColor theme="3" tint="0.749992370372631"/>
  </sheetPr>
  <dimension ref="A1:Z245"/>
  <sheetViews>
    <sheetView tabSelected="1" topLeftCell="A42" workbookViewId="0">
      <selection activeCell="F65" sqref="F65"/>
    </sheetView>
  </sheetViews>
  <sheetFormatPr defaultRowHeight="14.4" x14ac:dyDescent="0.3"/>
  <cols>
    <col min="1" max="1" width="19.88671875" customWidth="1"/>
    <col min="2" max="2" width="19.6640625" style="4" bestFit="1" customWidth="1"/>
    <col min="4" max="4" width="9.109375" style="8"/>
    <col min="5" max="5" width="15.6640625" customWidth="1"/>
    <col min="10" max="10" width="9.33203125" customWidth="1"/>
    <col min="13" max="13" width="13" customWidth="1"/>
    <col min="14" max="14" width="11.6640625" bestFit="1" customWidth="1"/>
    <col min="17" max="18" width="20.44140625" bestFit="1" customWidth="1"/>
    <col min="20" max="20" width="9.109375" style="3"/>
    <col min="21" max="21" width="12.6640625" customWidth="1"/>
    <col min="23" max="23" width="12.109375" bestFit="1" customWidth="1"/>
    <col min="24" max="24" width="20.44140625" bestFit="1" customWidth="1"/>
    <col min="25" max="25" width="9.109375" style="7"/>
    <col min="26" max="26" width="22.5546875" bestFit="1" customWidth="1"/>
  </cols>
  <sheetData>
    <row r="1" spans="1:26" ht="15" thickBot="1" x14ac:dyDescent="0.35">
      <c r="A1" s="1" t="s">
        <v>0</v>
      </c>
      <c r="B1" s="2" t="s">
        <v>77</v>
      </c>
      <c r="C1" s="4">
        <f>SUM(B2:B68)</f>
        <v>0.91050000000000053</v>
      </c>
      <c r="E1" s="8" t="s">
        <v>0</v>
      </c>
      <c r="F1" s="8" t="s">
        <v>84</v>
      </c>
      <c r="G1" s="16">
        <f>SUM(F2:F74)</f>
        <v>0.89977525000000003</v>
      </c>
      <c r="I1" s="19" t="s">
        <v>0</v>
      </c>
      <c r="J1" s="19" t="s">
        <v>78</v>
      </c>
      <c r="K1" s="4">
        <f>SUM(J2:J74)</f>
        <v>0.99994430567522308</v>
      </c>
      <c r="T1" s="6"/>
      <c r="U1" s="6"/>
    </row>
    <row r="2" spans="1:26" x14ac:dyDescent="0.3">
      <c r="A2" s="10" t="str">
        <f>'pesos FIA'!A2</f>
        <v>LOGG3</v>
      </c>
      <c r="B2" s="11">
        <f>'pesos FIA'!B2</f>
        <v>0.01</v>
      </c>
      <c r="E2" s="5" t="str">
        <f t="shared" ref="E2:E65" si="0">A2</f>
        <v>LOGG3</v>
      </c>
      <c r="F2" s="5">
        <f t="shared" ref="F2:F33" si="1">(1-$F$72-$F$73-$F$74-$F$75)*B2</f>
        <v>4.4950000000000016E-3</v>
      </c>
      <c r="G2" s="5"/>
      <c r="I2" s="17" t="str">
        <f t="shared" ref="I2:I33" si="2">E2</f>
        <v>LOGG3</v>
      </c>
      <c r="J2" s="17">
        <f t="shared" ref="J2:J33" si="3">F2/$G$1</f>
        <v>4.9956919797471662E-3</v>
      </c>
      <c r="M2" s="21">
        <f>VLOOKUP(A2,'[1]29 - FIA'!$A$9:$B$219,2,0)</f>
        <v>0.01</v>
      </c>
      <c r="N2" t="b">
        <f>M2=B2</f>
        <v>1</v>
      </c>
      <c r="U2" s="7"/>
      <c r="V2" s="7"/>
      <c r="X2" s="15"/>
      <c r="Z2" s="3"/>
    </row>
    <row r="3" spans="1:26" x14ac:dyDescent="0.3">
      <c r="A3" s="10" t="str">
        <f>'pesos FIA'!A3</f>
        <v>FIQE3</v>
      </c>
      <c r="B3" s="11">
        <f>'pesos FIA'!B3</f>
        <v>1.0999999999999999E-2</v>
      </c>
      <c r="E3" s="5" t="str">
        <f t="shared" si="0"/>
        <v>FIQE3</v>
      </c>
      <c r="F3" s="5">
        <f t="shared" si="1"/>
        <v>4.944500000000001E-3</v>
      </c>
      <c r="G3" s="5"/>
      <c r="I3" s="17" t="str">
        <f t="shared" si="2"/>
        <v>FIQE3</v>
      </c>
      <c r="J3" s="17">
        <f t="shared" si="3"/>
        <v>5.4952611777218819E-3</v>
      </c>
      <c r="M3" s="21">
        <f>VLOOKUP(A3,'[1]29 - FIA'!$A$9:$B$219,2,0)</f>
        <v>1.0999999999999999E-2</v>
      </c>
      <c r="N3" t="b">
        <f t="shared" ref="N3:N66" si="4">M3=B3</f>
        <v>1</v>
      </c>
      <c r="U3" s="7"/>
      <c r="V3" s="7"/>
      <c r="X3" s="15"/>
      <c r="Z3" s="3"/>
    </row>
    <row r="4" spans="1:26" x14ac:dyDescent="0.3">
      <c r="A4" s="10" t="str">
        <f>'pesos FIA'!A4</f>
        <v>BMGB4</v>
      </c>
      <c r="B4" s="11">
        <f>'pesos FIA'!B4</f>
        <v>1.2E-2</v>
      </c>
      <c r="E4" s="5" t="str">
        <f t="shared" si="0"/>
        <v>BMGB4</v>
      </c>
      <c r="F4" s="5">
        <f t="shared" si="1"/>
        <v>5.3940000000000012E-3</v>
      </c>
      <c r="G4" s="5"/>
      <c r="I4" s="17" t="str">
        <f t="shared" si="2"/>
        <v>BMGB4</v>
      </c>
      <c r="J4" s="17">
        <f t="shared" si="3"/>
        <v>5.9948303756965984E-3</v>
      </c>
      <c r="M4" s="21">
        <f>VLOOKUP(A4,'[1]29 - FIA'!$A$9:$B$219,2,0)</f>
        <v>1.2E-2</v>
      </c>
      <c r="N4" t="b">
        <f t="shared" si="4"/>
        <v>1</v>
      </c>
      <c r="U4" s="7"/>
      <c r="V4" s="7"/>
      <c r="X4" s="15"/>
      <c r="Z4" s="3"/>
    </row>
    <row r="5" spans="1:26" x14ac:dyDescent="0.3">
      <c r="A5" s="10" t="str">
        <f>'pesos FIA'!A5</f>
        <v>WIZC3</v>
      </c>
      <c r="B5" s="11">
        <f>'pesos FIA'!B5</f>
        <v>1.2999999999999999E-2</v>
      </c>
      <c r="E5" s="5" t="str">
        <f t="shared" si="0"/>
        <v>WIZC3</v>
      </c>
      <c r="F5" s="5">
        <f t="shared" si="1"/>
        <v>5.8435000000000015E-3</v>
      </c>
      <c r="G5" s="5"/>
      <c r="I5" s="17" t="str">
        <f t="shared" si="2"/>
        <v>WIZC3</v>
      </c>
      <c r="J5" s="17">
        <f t="shared" si="3"/>
        <v>6.4943995736713158E-3</v>
      </c>
      <c r="M5" s="21">
        <f>VLOOKUP(A5,'[1]29 - FIA'!$A$9:$B$219,2,0)</f>
        <v>1.2999999999999999E-2</v>
      </c>
      <c r="N5" t="b">
        <f t="shared" si="4"/>
        <v>1</v>
      </c>
      <c r="U5" s="7"/>
      <c r="V5" s="7"/>
      <c r="X5" s="15"/>
      <c r="Z5" s="3"/>
    </row>
    <row r="6" spans="1:26" x14ac:dyDescent="0.3">
      <c r="A6" s="10" t="str">
        <f>'pesos FIA'!A6</f>
        <v>JHSF3</v>
      </c>
      <c r="B6" s="11">
        <f>'pesos FIA'!B6</f>
        <v>8.9999999999999993E-3</v>
      </c>
      <c r="E6" s="5" t="str">
        <f t="shared" si="0"/>
        <v>JHSF3</v>
      </c>
      <c r="F6" s="5">
        <f t="shared" si="1"/>
        <v>4.0455000000000005E-3</v>
      </c>
      <c r="G6" s="5"/>
      <c r="I6" s="17" t="str">
        <f t="shared" si="2"/>
        <v>JHSF3</v>
      </c>
      <c r="J6" s="17">
        <f t="shared" si="3"/>
        <v>4.4961227817724488E-3</v>
      </c>
      <c r="M6" s="21">
        <f>VLOOKUP(A6,'[1]29 - FIA'!$A$9:$B$219,2,0)</f>
        <v>8.9999999999999993E-3</v>
      </c>
      <c r="N6" t="b">
        <f t="shared" si="4"/>
        <v>1</v>
      </c>
      <c r="U6" s="7"/>
      <c r="V6" s="7"/>
      <c r="X6" s="15"/>
      <c r="Z6" s="3"/>
    </row>
    <row r="7" spans="1:26" x14ac:dyDescent="0.3">
      <c r="A7" s="10" t="str">
        <f>'pesos FIA'!A7</f>
        <v>ALLD3</v>
      </c>
      <c r="B7" s="11">
        <f>'pesos FIA'!B7</f>
        <v>7.0000000000000001E-3</v>
      </c>
      <c r="E7" s="5" t="str">
        <f t="shared" si="0"/>
        <v>ALLD3</v>
      </c>
      <c r="F7" s="5">
        <f t="shared" si="1"/>
        <v>3.1465000000000009E-3</v>
      </c>
      <c r="G7" s="5"/>
      <c r="I7" s="17" t="str">
        <f t="shared" si="2"/>
        <v>ALLD3</v>
      </c>
      <c r="J7" s="17">
        <f t="shared" si="3"/>
        <v>3.4969843858230162E-3</v>
      </c>
      <c r="M7" s="21">
        <f>VLOOKUP(A7,'[1]29 - FIA'!$A$9:$B$219,2,0)</f>
        <v>7.0000000000000001E-3</v>
      </c>
      <c r="N7" t="b">
        <f t="shared" si="4"/>
        <v>1</v>
      </c>
      <c r="U7" s="7"/>
      <c r="V7" s="7"/>
      <c r="X7" s="15"/>
      <c r="Z7" s="3"/>
    </row>
    <row r="8" spans="1:26" x14ac:dyDescent="0.3">
      <c r="A8" s="10" t="str">
        <f>'pesos FIA'!A8</f>
        <v>RIAA3</v>
      </c>
      <c r="B8" s="11">
        <f>'pesos FIA'!B8</f>
        <v>0.01</v>
      </c>
      <c r="E8" s="5" t="str">
        <f t="shared" si="0"/>
        <v>RIAA3</v>
      </c>
      <c r="F8" s="5">
        <f t="shared" si="1"/>
        <v>4.4950000000000016E-3</v>
      </c>
      <c r="G8" s="5"/>
      <c r="I8" s="17" t="str">
        <f t="shared" si="2"/>
        <v>RIAA3</v>
      </c>
      <c r="J8" s="17">
        <f t="shared" si="3"/>
        <v>4.9956919797471662E-3</v>
      </c>
      <c r="M8" s="21">
        <f>VLOOKUP(A8,'[1]29 - FIA'!$A$9:$B$219,2,0)</f>
        <v>0.01</v>
      </c>
      <c r="N8" t="b">
        <f t="shared" si="4"/>
        <v>1</v>
      </c>
      <c r="U8" s="7"/>
      <c r="V8" s="7"/>
      <c r="X8" s="15"/>
      <c r="Z8" s="3"/>
    </row>
    <row r="9" spans="1:26" x14ac:dyDescent="0.3">
      <c r="A9" s="10" t="str">
        <f>'pesos FIA'!A9</f>
        <v>GRND3</v>
      </c>
      <c r="B9" s="11">
        <f>'pesos FIA'!B9</f>
        <v>1.2E-2</v>
      </c>
      <c r="E9" s="5" t="str">
        <f t="shared" si="0"/>
        <v>GRND3</v>
      </c>
      <c r="F9" s="5">
        <f t="shared" si="1"/>
        <v>5.3940000000000012E-3</v>
      </c>
      <c r="G9" s="5"/>
      <c r="I9" s="17" t="str">
        <f t="shared" si="2"/>
        <v>GRND3</v>
      </c>
      <c r="J9" s="17">
        <f t="shared" si="3"/>
        <v>5.9948303756965984E-3</v>
      </c>
      <c r="M9" s="21">
        <f>VLOOKUP(A9,'[1]29 - FIA'!$A$9:$B$219,2,0)</f>
        <v>1.2E-2</v>
      </c>
      <c r="N9" t="b">
        <f t="shared" si="4"/>
        <v>1</v>
      </c>
      <c r="U9" s="7"/>
      <c r="V9" s="7"/>
      <c r="X9" s="15"/>
      <c r="Z9" s="3"/>
    </row>
    <row r="10" spans="1:26" x14ac:dyDescent="0.3">
      <c r="A10" s="10" t="str">
        <f>'pesos FIA'!A10</f>
        <v>HBRE3</v>
      </c>
      <c r="B10" s="11">
        <f>'pesos FIA'!B10</f>
        <v>8.0000000000000002E-3</v>
      </c>
      <c r="E10" s="5" t="str">
        <f t="shared" si="0"/>
        <v>HBRE3</v>
      </c>
      <c r="F10" s="5">
        <f t="shared" si="1"/>
        <v>3.5960000000000011E-3</v>
      </c>
      <c r="G10" s="5"/>
      <c r="I10" s="17" t="str">
        <f t="shared" si="2"/>
        <v>HBRE3</v>
      </c>
      <c r="J10" s="17">
        <f t="shared" si="3"/>
        <v>3.9965535837977332E-3</v>
      </c>
      <c r="M10" s="21">
        <f>VLOOKUP(A10,'[1]29 - FIA'!$A$9:$B$219,2,0)</f>
        <v>8.0000000000000002E-3</v>
      </c>
      <c r="N10" t="b">
        <f t="shared" si="4"/>
        <v>1</v>
      </c>
      <c r="U10" s="7"/>
      <c r="V10" s="7"/>
      <c r="X10" s="15"/>
      <c r="Z10" s="3"/>
    </row>
    <row r="11" spans="1:26" x14ac:dyDescent="0.3">
      <c r="A11" s="10" t="str">
        <f>'pesos FIA'!A11</f>
        <v>POMO3</v>
      </c>
      <c r="B11" s="11">
        <f>'pesos FIA'!B11</f>
        <v>8.9999999999999993E-3</v>
      </c>
      <c r="E11" s="5" t="str">
        <f t="shared" si="0"/>
        <v>POMO3</v>
      </c>
      <c r="F11" s="5">
        <f t="shared" si="1"/>
        <v>4.0455000000000005E-3</v>
      </c>
      <c r="G11" s="5"/>
      <c r="I11" s="17" t="str">
        <f t="shared" si="2"/>
        <v>POMO3</v>
      </c>
      <c r="J11" s="17">
        <f t="shared" si="3"/>
        <v>4.4961227817724488E-3</v>
      </c>
      <c r="M11" s="21">
        <f>VLOOKUP(A11,'[1]29 - FIA'!$A$9:$B$219,2,0)</f>
        <v>8.9999999999999993E-3</v>
      </c>
      <c r="N11" t="b">
        <f t="shared" si="4"/>
        <v>1</v>
      </c>
      <c r="U11" s="7"/>
      <c r="V11" s="7"/>
      <c r="X11" s="15"/>
      <c r="Z11" s="3"/>
    </row>
    <row r="12" spans="1:26" x14ac:dyDescent="0.3">
      <c r="A12" s="10" t="str">
        <f>'pesos FIA'!A12</f>
        <v>MTRE3</v>
      </c>
      <c r="B12" s="11">
        <f>'pesos FIA'!B12</f>
        <v>1.7000000000000001E-2</v>
      </c>
      <c r="E12" s="5" t="str">
        <f t="shared" si="0"/>
        <v>MTRE3</v>
      </c>
      <c r="F12" s="5">
        <f t="shared" si="1"/>
        <v>7.6415000000000025E-3</v>
      </c>
      <c r="G12" s="5"/>
      <c r="I12" s="17" t="str">
        <f t="shared" si="2"/>
        <v>MTRE3</v>
      </c>
      <c r="J12" s="17">
        <f t="shared" si="3"/>
        <v>8.4926763655701829E-3</v>
      </c>
      <c r="M12" s="21">
        <f>VLOOKUP(A12,'[1]29 - FIA'!$A$9:$B$219,2,0)</f>
        <v>1.7000000000000001E-2</v>
      </c>
      <c r="N12" t="b">
        <f t="shared" si="4"/>
        <v>1</v>
      </c>
      <c r="U12" s="7"/>
      <c r="V12" s="7"/>
      <c r="X12" s="15"/>
      <c r="Z12" s="3"/>
    </row>
    <row r="13" spans="1:26" x14ac:dyDescent="0.3">
      <c r="A13" s="10" t="str">
        <f>'pesos FIA'!A13</f>
        <v>MLAS3</v>
      </c>
      <c r="B13" s="11">
        <f>'pesos FIA'!B13</f>
        <v>6.0000000000000001E-3</v>
      </c>
      <c r="E13" s="5" t="str">
        <f t="shared" si="0"/>
        <v>MLAS3</v>
      </c>
      <c r="F13" s="5">
        <f t="shared" si="1"/>
        <v>2.6970000000000006E-3</v>
      </c>
      <c r="G13" s="5"/>
      <c r="I13" s="17" t="str">
        <f t="shared" si="2"/>
        <v>MLAS3</v>
      </c>
      <c r="J13" s="17">
        <f t="shared" si="3"/>
        <v>2.9974151878482992E-3</v>
      </c>
      <c r="M13" s="21">
        <f>VLOOKUP(A13,'[1]29 - FIA'!$A$9:$B$219,2,0)</f>
        <v>6.0000000000000001E-3</v>
      </c>
      <c r="N13" t="b">
        <f t="shared" si="4"/>
        <v>1</v>
      </c>
      <c r="U13" s="7"/>
      <c r="V13" s="7"/>
      <c r="X13" s="15"/>
      <c r="Z13" s="3"/>
    </row>
    <row r="14" spans="1:26" x14ac:dyDescent="0.3">
      <c r="A14" s="10" t="str">
        <f>'pesos FIA'!A14</f>
        <v>SYNE3</v>
      </c>
      <c r="B14" s="11">
        <f>'pesos FIA'!B14</f>
        <v>8.9999999999999993E-3</v>
      </c>
      <c r="E14" s="5" t="str">
        <f t="shared" si="0"/>
        <v>SYNE3</v>
      </c>
      <c r="F14" s="5">
        <f t="shared" si="1"/>
        <v>4.0455000000000005E-3</v>
      </c>
      <c r="G14" s="5"/>
      <c r="I14" s="17" t="str">
        <f t="shared" si="2"/>
        <v>SYNE3</v>
      </c>
      <c r="J14" s="17">
        <f t="shared" si="3"/>
        <v>4.4961227817724488E-3</v>
      </c>
      <c r="M14" s="21">
        <f>VLOOKUP(A14,'[1]29 - FIA'!$A$9:$B$219,2,0)</f>
        <v>8.9999999999999993E-3</v>
      </c>
      <c r="N14" t="b">
        <f t="shared" si="4"/>
        <v>1</v>
      </c>
      <c r="U14" s="7"/>
      <c r="V14" s="7"/>
      <c r="X14" s="15"/>
      <c r="Z14" s="3"/>
    </row>
    <row r="15" spans="1:26" x14ac:dyDescent="0.3">
      <c r="A15" s="10" t="str">
        <f>'pesos FIA'!A15</f>
        <v>BRSR6</v>
      </c>
      <c r="B15" s="11">
        <f>'pesos FIA'!B15</f>
        <v>1.2E-2</v>
      </c>
      <c r="E15" s="5" t="str">
        <f t="shared" si="0"/>
        <v>BRSR6</v>
      </c>
      <c r="F15" s="5">
        <f t="shared" si="1"/>
        <v>5.3940000000000012E-3</v>
      </c>
      <c r="G15" s="5"/>
      <c r="I15" s="17" t="str">
        <f t="shared" si="2"/>
        <v>BRSR6</v>
      </c>
      <c r="J15" s="17">
        <f t="shared" si="3"/>
        <v>5.9948303756965984E-3</v>
      </c>
      <c r="M15" s="21">
        <f>VLOOKUP(A15,'[1]29 - FIA'!$A$9:$B$219,2,0)</f>
        <v>1.2E-2</v>
      </c>
      <c r="N15" t="b">
        <f t="shared" si="4"/>
        <v>1</v>
      </c>
      <c r="U15" s="7"/>
      <c r="V15" s="7"/>
      <c r="X15" s="15"/>
      <c r="Z15" s="3"/>
    </row>
    <row r="16" spans="1:26" x14ac:dyDescent="0.3">
      <c r="A16" s="10" t="str">
        <f>'pesos FIA'!A16</f>
        <v>MILS3</v>
      </c>
      <c r="B16" s="11">
        <f>'pesos FIA'!B16</f>
        <v>1.4E-2</v>
      </c>
      <c r="E16" s="5" t="str">
        <f t="shared" si="0"/>
        <v>MILS3</v>
      </c>
      <c r="F16" s="5">
        <f t="shared" si="1"/>
        <v>6.2930000000000017E-3</v>
      </c>
      <c r="G16" s="5"/>
      <c r="I16" s="17" t="str">
        <f t="shared" si="2"/>
        <v>MILS3</v>
      </c>
      <c r="J16" s="17">
        <f t="shared" si="3"/>
        <v>6.9939687716460324E-3</v>
      </c>
      <c r="M16" s="21">
        <f>VLOOKUP(A16,'[1]29 - FIA'!$A$9:$B$219,2,0)</f>
        <v>1.4E-2</v>
      </c>
      <c r="N16" t="b">
        <f t="shared" si="4"/>
        <v>1</v>
      </c>
      <c r="U16" s="7"/>
      <c r="V16" s="7"/>
      <c r="X16" s="15"/>
      <c r="Z16" s="3"/>
    </row>
    <row r="17" spans="1:26" x14ac:dyDescent="0.3">
      <c r="A17" s="10" t="str">
        <f>'pesos FIA'!A17</f>
        <v>AURA33</v>
      </c>
      <c r="B17" s="11">
        <f>'pesos FIA'!B17</f>
        <v>5.0000000000000001E-3</v>
      </c>
      <c r="E17" s="5" t="str">
        <f t="shared" si="0"/>
        <v>AURA33</v>
      </c>
      <c r="F17" s="5">
        <f t="shared" si="1"/>
        <v>2.2475000000000008E-3</v>
      </c>
      <c r="G17" s="5"/>
      <c r="I17" s="17" t="str">
        <f t="shared" si="2"/>
        <v>AURA33</v>
      </c>
      <c r="J17" s="17">
        <f t="shared" si="3"/>
        <v>2.4978459898735831E-3</v>
      </c>
      <c r="M17" s="21">
        <f>VLOOKUP(A17,'[1]29 - FIA'!$A$9:$B$219,2,0)</f>
        <v>5.0000000000000001E-3</v>
      </c>
      <c r="N17" t="b">
        <f t="shared" si="4"/>
        <v>1</v>
      </c>
      <c r="U17" s="7"/>
      <c r="V17" s="7"/>
      <c r="X17" s="15"/>
      <c r="Z17" s="3"/>
    </row>
    <row r="18" spans="1:26" x14ac:dyDescent="0.3">
      <c r="A18" s="10" t="str">
        <f>'pesos FIA'!A18</f>
        <v>BRAP4</v>
      </c>
      <c r="B18" s="11">
        <f>'pesos FIA'!B18</f>
        <v>1.4999999999999999E-2</v>
      </c>
      <c r="E18" s="5" t="str">
        <f t="shared" si="0"/>
        <v>BRAP4</v>
      </c>
      <c r="F18" s="5">
        <f t="shared" si="1"/>
        <v>6.742500000000002E-3</v>
      </c>
      <c r="G18" s="5"/>
      <c r="I18" s="17" t="str">
        <f t="shared" si="2"/>
        <v>BRAP4</v>
      </c>
      <c r="J18" s="17">
        <f t="shared" si="3"/>
        <v>7.4935379696207489E-3</v>
      </c>
      <c r="M18" s="21">
        <f>VLOOKUP(A18,'[1]29 - FIA'!$A$9:$B$219,2,0)</f>
        <v>1.4999999999999999E-2</v>
      </c>
      <c r="N18" t="b">
        <f t="shared" si="4"/>
        <v>1</v>
      </c>
      <c r="U18" s="7"/>
      <c r="V18" s="7"/>
      <c r="X18" s="15"/>
      <c r="Z18" s="3"/>
    </row>
    <row r="19" spans="1:26" x14ac:dyDescent="0.3">
      <c r="A19" s="10" t="str">
        <f>'pesos FIA'!A19</f>
        <v>INTB3</v>
      </c>
      <c r="B19" s="11">
        <f>'pesos FIA'!B19</f>
        <v>8.9999999999999993E-3</v>
      </c>
      <c r="E19" s="5" t="str">
        <f t="shared" si="0"/>
        <v>INTB3</v>
      </c>
      <c r="F19" s="5">
        <f t="shared" si="1"/>
        <v>4.0455000000000005E-3</v>
      </c>
      <c r="G19" s="5"/>
      <c r="I19" s="17" t="str">
        <f t="shared" si="2"/>
        <v>INTB3</v>
      </c>
      <c r="J19" s="17">
        <f t="shared" si="3"/>
        <v>4.4961227817724488E-3</v>
      </c>
      <c r="M19" s="21">
        <f>VLOOKUP(A19,'[1]29 - FIA'!$A$9:$B$219,2,0)</f>
        <v>8.9999999999999993E-3</v>
      </c>
      <c r="N19" t="b">
        <f t="shared" si="4"/>
        <v>1</v>
      </c>
      <c r="U19" s="7"/>
      <c r="V19" s="7"/>
      <c r="X19" s="15"/>
      <c r="Z19" s="3"/>
    </row>
    <row r="20" spans="1:26" x14ac:dyDescent="0.3">
      <c r="A20" s="10" t="str">
        <f>'pesos FIA'!A20</f>
        <v>SEER3</v>
      </c>
      <c r="B20" s="11">
        <f>'pesos FIA'!B20</f>
        <v>7.0000000000000001E-3</v>
      </c>
      <c r="E20" s="5" t="str">
        <f t="shared" si="0"/>
        <v>SEER3</v>
      </c>
      <c r="F20" s="5">
        <f t="shared" si="1"/>
        <v>3.1465000000000009E-3</v>
      </c>
      <c r="G20" s="5"/>
      <c r="I20" s="17" t="str">
        <f t="shared" si="2"/>
        <v>SEER3</v>
      </c>
      <c r="J20" s="17">
        <f t="shared" si="3"/>
        <v>3.4969843858230162E-3</v>
      </c>
      <c r="M20" s="21">
        <f>VLOOKUP(A20,'[1]29 - FIA'!$A$9:$B$219,2,0)</f>
        <v>7.0000000000000001E-3</v>
      </c>
      <c r="N20" t="b">
        <f t="shared" si="4"/>
        <v>1</v>
      </c>
      <c r="U20" s="7"/>
      <c r="V20" s="7"/>
      <c r="X20" s="15"/>
      <c r="Z20" s="3"/>
    </row>
    <row r="21" spans="1:26" x14ac:dyDescent="0.3">
      <c r="A21" s="10" t="str">
        <f>'pesos FIA'!A21</f>
        <v>PETR4</v>
      </c>
      <c r="B21" s="11">
        <f>'pesos FIA'!B21</f>
        <v>0.05</v>
      </c>
      <c r="E21" s="5" t="str">
        <f t="shared" si="0"/>
        <v>PETR4</v>
      </c>
      <c r="F21" s="5">
        <f t="shared" si="1"/>
        <v>2.2475000000000009E-2</v>
      </c>
      <c r="G21" s="5"/>
      <c r="I21" s="17" t="str">
        <f t="shared" si="2"/>
        <v>PETR4</v>
      </c>
      <c r="J21" s="17">
        <f t="shared" si="3"/>
        <v>2.4978459898735834E-2</v>
      </c>
      <c r="M21" s="21">
        <f>VLOOKUP(A21,'[1]29 - FIA'!$A$9:$B$219,2,0)</f>
        <v>0.05</v>
      </c>
      <c r="N21" t="b">
        <f t="shared" si="4"/>
        <v>1</v>
      </c>
      <c r="U21" s="7"/>
      <c r="V21" s="7"/>
      <c r="X21" s="15"/>
      <c r="Z21" s="3"/>
    </row>
    <row r="22" spans="1:26" x14ac:dyDescent="0.3">
      <c r="A22" s="10" t="str">
        <f>'pesos FIA'!A22</f>
        <v>PINE4</v>
      </c>
      <c r="B22" s="11">
        <f>'pesos FIA'!B22</f>
        <v>8.0000000000000002E-3</v>
      </c>
      <c r="E22" s="5" t="str">
        <f t="shared" si="0"/>
        <v>PINE4</v>
      </c>
      <c r="F22" s="5">
        <f t="shared" si="1"/>
        <v>3.5960000000000011E-3</v>
      </c>
      <c r="G22" s="5"/>
      <c r="I22" s="17" t="str">
        <f t="shared" si="2"/>
        <v>PINE4</v>
      </c>
      <c r="J22" s="17">
        <f t="shared" si="3"/>
        <v>3.9965535837977332E-3</v>
      </c>
      <c r="M22" s="21">
        <f>VLOOKUP(A22,'[1]29 - FIA'!$A$9:$B$219,2,0)</f>
        <v>8.0000000000000002E-3</v>
      </c>
      <c r="N22" t="b">
        <f t="shared" si="4"/>
        <v>1</v>
      </c>
      <c r="U22" s="7"/>
      <c r="V22" s="7"/>
      <c r="X22" s="15"/>
      <c r="Z22" s="3"/>
    </row>
    <row r="23" spans="1:26" x14ac:dyDescent="0.3">
      <c r="A23" s="10" t="str">
        <f>'pesos FIA'!A23</f>
        <v>POMO4</v>
      </c>
      <c r="B23" s="11">
        <f>'pesos FIA'!B23</f>
        <v>0.01</v>
      </c>
      <c r="E23" s="5" t="str">
        <f t="shared" si="0"/>
        <v>POMO4</v>
      </c>
      <c r="F23" s="5">
        <f t="shared" si="1"/>
        <v>4.4950000000000016E-3</v>
      </c>
      <c r="G23" s="5"/>
      <c r="I23" s="17" t="str">
        <f t="shared" si="2"/>
        <v>POMO4</v>
      </c>
      <c r="J23" s="17">
        <f t="shared" si="3"/>
        <v>4.9956919797471662E-3</v>
      </c>
      <c r="M23" s="21">
        <f>VLOOKUP(A23,'[1]29 - FIA'!$A$9:$B$219,2,0)</f>
        <v>0.01</v>
      </c>
      <c r="N23" t="b">
        <f t="shared" si="4"/>
        <v>1</v>
      </c>
      <c r="U23" s="7"/>
      <c r="V23" s="7"/>
      <c r="X23" s="15"/>
      <c r="Z23" s="3"/>
    </row>
    <row r="24" spans="1:26" x14ac:dyDescent="0.3">
      <c r="A24" s="10" t="str">
        <f>'pesos FIA'!A24</f>
        <v>PETR3</v>
      </c>
      <c r="B24" s="11">
        <f>'pesos FIA'!B24</f>
        <v>4.3999999999999997E-2</v>
      </c>
      <c r="E24" s="5" t="str">
        <f t="shared" si="0"/>
        <v>PETR3</v>
      </c>
      <c r="F24" s="5">
        <f t="shared" si="1"/>
        <v>1.9778000000000004E-2</v>
      </c>
      <c r="G24" s="5"/>
      <c r="I24" s="17" t="str">
        <f t="shared" si="2"/>
        <v>PETR3</v>
      </c>
      <c r="J24" s="17">
        <f t="shared" si="3"/>
        <v>2.1981044710887528E-2</v>
      </c>
      <c r="M24" s="21">
        <f>VLOOKUP(A24,'[1]29 - FIA'!$A$9:$B$219,2,0)</f>
        <v>4.3999999999999997E-2</v>
      </c>
      <c r="N24" t="b">
        <f t="shared" si="4"/>
        <v>1</v>
      </c>
      <c r="U24" s="7"/>
      <c r="V24" s="7"/>
      <c r="X24" s="15"/>
      <c r="Z24" s="3"/>
    </row>
    <row r="25" spans="1:26" x14ac:dyDescent="0.3">
      <c r="A25" s="10" t="str">
        <f>'pesos FIA'!A25</f>
        <v>CSED3</v>
      </c>
      <c r="B25" s="11">
        <f>'pesos FIA'!B25</f>
        <v>8.9999999999999993E-3</v>
      </c>
      <c r="E25" s="5" t="str">
        <f t="shared" si="0"/>
        <v>CSED3</v>
      </c>
      <c r="F25" s="5">
        <f t="shared" si="1"/>
        <v>4.0455000000000005E-3</v>
      </c>
      <c r="G25" s="5"/>
      <c r="I25" s="17" t="str">
        <f t="shared" si="2"/>
        <v>CSED3</v>
      </c>
      <c r="J25" s="17">
        <f t="shared" si="3"/>
        <v>4.4961227817724488E-3</v>
      </c>
      <c r="M25" s="21">
        <f>VLOOKUP(A25,'[1]29 - FIA'!$A$9:$B$219,2,0)</f>
        <v>8.9999999999999993E-3</v>
      </c>
      <c r="N25" t="b">
        <f t="shared" si="4"/>
        <v>1</v>
      </c>
      <c r="U25" s="7"/>
      <c r="V25" s="7"/>
      <c r="X25" s="15"/>
      <c r="Z25" s="3"/>
    </row>
    <row r="26" spans="1:26" x14ac:dyDescent="0.3">
      <c r="A26" s="10" t="str">
        <f>'pesos FIA'!A26</f>
        <v>OPCT3</v>
      </c>
      <c r="B26" s="11">
        <f>'pesos FIA'!B26</f>
        <v>1.2999999999999999E-2</v>
      </c>
      <c r="E26" s="5" t="str">
        <f t="shared" si="0"/>
        <v>OPCT3</v>
      </c>
      <c r="F26" s="5">
        <f t="shared" si="1"/>
        <v>5.8435000000000015E-3</v>
      </c>
      <c r="G26" s="5"/>
      <c r="I26" s="17" t="str">
        <f t="shared" si="2"/>
        <v>OPCT3</v>
      </c>
      <c r="J26" s="17">
        <f t="shared" si="3"/>
        <v>6.4943995736713158E-3</v>
      </c>
      <c r="M26" s="21">
        <f>VLOOKUP(A26,'[1]29 - FIA'!$A$9:$B$219,2,0)</f>
        <v>1.2999999999999999E-2</v>
      </c>
      <c r="N26" t="b">
        <f t="shared" si="4"/>
        <v>1</v>
      </c>
      <c r="U26" s="7"/>
      <c r="V26" s="7"/>
      <c r="X26" s="15"/>
      <c r="Z26" s="3"/>
    </row>
    <row r="27" spans="1:26" x14ac:dyDescent="0.3">
      <c r="A27" s="10" t="str">
        <f>'pesos FIA'!A27</f>
        <v>ESPA3</v>
      </c>
      <c r="B27" s="11">
        <f>'pesos FIA'!B27</f>
        <v>3.0000000000000001E-3</v>
      </c>
      <c r="E27" s="5" t="str">
        <f t="shared" si="0"/>
        <v>ESPA3</v>
      </c>
      <c r="F27" s="5">
        <f t="shared" si="1"/>
        <v>1.3485000000000003E-3</v>
      </c>
      <c r="G27" s="5"/>
      <c r="I27" s="17" t="str">
        <f t="shared" si="2"/>
        <v>ESPA3</v>
      </c>
      <c r="J27" s="17">
        <f t="shared" si="3"/>
        <v>1.4987075939241496E-3</v>
      </c>
      <c r="M27" s="21">
        <f>VLOOKUP(A27,'[1]29 - FIA'!$A$9:$B$219,2,0)</f>
        <v>3.0000000000000001E-3</v>
      </c>
      <c r="N27" t="b">
        <f t="shared" si="4"/>
        <v>1</v>
      </c>
      <c r="U27" s="7"/>
      <c r="V27" s="7"/>
      <c r="X27" s="15"/>
      <c r="Z27" s="3"/>
    </row>
    <row r="28" spans="1:26" x14ac:dyDescent="0.3">
      <c r="A28" s="10" t="str">
        <f>'pesos FIA'!A28</f>
        <v>VTRU3</v>
      </c>
      <c r="B28" s="11">
        <f>'pesos FIA'!B28</f>
        <v>7.0000000000000001E-3</v>
      </c>
      <c r="E28" s="5" t="str">
        <f t="shared" si="0"/>
        <v>VTRU3</v>
      </c>
      <c r="F28" s="5">
        <f t="shared" si="1"/>
        <v>3.1465000000000009E-3</v>
      </c>
      <c r="G28" s="5"/>
      <c r="I28" s="17" t="str">
        <f t="shared" si="2"/>
        <v>VTRU3</v>
      </c>
      <c r="J28" s="17">
        <f t="shared" si="3"/>
        <v>3.4969843858230162E-3</v>
      </c>
      <c r="M28" s="21">
        <f>VLOOKUP(A28,'[1]29 - FIA'!$A$9:$B$219,2,0)</f>
        <v>7.0000000000000001E-3</v>
      </c>
      <c r="N28" t="b">
        <f t="shared" si="4"/>
        <v>1</v>
      </c>
      <c r="U28" s="7"/>
      <c r="V28" s="7"/>
      <c r="X28" s="15"/>
      <c r="Z28" s="3"/>
    </row>
    <row r="29" spans="1:26" x14ac:dyDescent="0.3">
      <c r="A29" s="10" t="str">
        <f>'pesos FIA'!A29</f>
        <v>ABCB4</v>
      </c>
      <c r="B29" s="11">
        <f>'pesos FIA'!B29</f>
        <v>1.6E-2</v>
      </c>
      <c r="E29" s="5" t="str">
        <f t="shared" si="0"/>
        <v>ABCB4</v>
      </c>
      <c r="F29" s="5">
        <f t="shared" si="1"/>
        <v>7.1920000000000022E-3</v>
      </c>
      <c r="G29" s="5"/>
      <c r="I29" s="17" t="str">
        <f t="shared" si="2"/>
        <v>ABCB4</v>
      </c>
      <c r="J29" s="17">
        <f t="shared" si="3"/>
        <v>7.9931071675954663E-3</v>
      </c>
      <c r="M29" s="21">
        <f>VLOOKUP(A29,'[1]29 - FIA'!$A$9:$B$219,2,0)</f>
        <v>1.6E-2</v>
      </c>
      <c r="N29" t="b">
        <f t="shared" si="4"/>
        <v>1</v>
      </c>
      <c r="U29" s="7"/>
      <c r="V29" s="7"/>
      <c r="X29" s="15"/>
      <c r="Z29" s="3"/>
    </row>
    <row r="30" spans="1:26" x14ac:dyDescent="0.3">
      <c r="A30" s="10" t="str">
        <f>'pesos FIA'!A30</f>
        <v>MELK3</v>
      </c>
      <c r="B30" s="11">
        <f>'pesos FIA'!B30</f>
        <v>1.4E-2</v>
      </c>
      <c r="E30" s="5" t="str">
        <f t="shared" si="0"/>
        <v>MELK3</v>
      </c>
      <c r="F30" s="5">
        <f t="shared" si="1"/>
        <v>6.2930000000000017E-3</v>
      </c>
      <c r="G30" s="5"/>
      <c r="I30" s="17" t="str">
        <f t="shared" si="2"/>
        <v>MELK3</v>
      </c>
      <c r="J30" s="17">
        <f t="shared" si="3"/>
        <v>6.9939687716460324E-3</v>
      </c>
      <c r="M30" s="21">
        <f>VLOOKUP(A30,'[1]29 - FIA'!$A$9:$B$219,2,0)</f>
        <v>1.4E-2</v>
      </c>
      <c r="N30" t="b">
        <f t="shared" si="4"/>
        <v>1</v>
      </c>
      <c r="U30" s="7"/>
      <c r="V30" s="7"/>
      <c r="X30" s="15"/>
      <c r="Z30" s="3"/>
    </row>
    <row r="31" spans="1:26" x14ac:dyDescent="0.3">
      <c r="A31" s="10" t="str">
        <f>'pesos FIA'!A31</f>
        <v>BMOB3</v>
      </c>
      <c r="B31" s="11">
        <f>'pesos FIA'!B31</f>
        <v>1.4E-2</v>
      </c>
      <c r="E31" s="5" t="str">
        <f t="shared" si="0"/>
        <v>BMOB3</v>
      </c>
      <c r="F31" s="5">
        <f t="shared" si="1"/>
        <v>6.2930000000000017E-3</v>
      </c>
      <c r="G31" s="5"/>
      <c r="I31" s="17" t="str">
        <f t="shared" si="2"/>
        <v>BMOB3</v>
      </c>
      <c r="J31" s="17">
        <f t="shared" si="3"/>
        <v>6.9939687716460324E-3</v>
      </c>
      <c r="M31" s="21">
        <f>VLOOKUP(A31,'[1]29 - FIA'!$A$9:$B$219,2,0)</f>
        <v>1.4E-2</v>
      </c>
      <c r="N31" t="b">
        <f t="shared" si="4"/>
        <v>1</v>
      </c>
      <c r="U31" s="7"/>
      <c r="V31" s="7"/>
      <c r="X31" s="15"/>
      <c r="Z31" s="3"/>
    </row>
    <row r="32" spans="1:26" x14ac:dyDescent="0.3">
      <c r="A32" s="10" t="str">
        <f>'pesos FIA'!A32</f>
        <v>LEVE3</v>
      </c>
      <c r="B32" s="11">
        <f>'pesos FIA'!B32</f>
        <v>1.2E-2</v>
      </c>
      <c r="E32" s="5" t="str">
        <f t="shared" si="0"/>
        <v>LEVE3</v>
      </c>
      <c r="F32" s="5">
        <f t="shared" si="1"/>
        <v>5.3940000000000012E-3</v>
      </c>
      <c r="G32" s="5"/>
      <c r="I32" s="17" t="str">
        <f t="shared" si="2"/>
        <v>LEVE3</v>
      </c>
      <c r="J32" s="17">
        <f t="shared" si="3"/>
        <v>5.9948303756965984E-3</v>
      </c>
      <c r="M32" s="21">
        <f>VLOOKUP(A32,'[1]29 - FIA'!$A$9:$B$219,2,0)</f>
        <v>1.2E-2</v>
      </c>
      <c r="N32" t="b">
        <f t="shared" si="4"/>
        <v>1</v>
      </c>
      <c r="U32" s="7"/>
      <c r="V32" s="7"/>
      <c r="X32" s="15"/>
      <c r="Z32" s="3"/>
    </row>
    <row r="33" spans="1:26" x14ac:dyDescent="0.3">
      <c r="A33" s="10" t="str">
        <f>'pesos FIA'!A33</f>
        <v>EUCA4</v>
      </c>
      <c r="B33" s="11">
        <f>'pesos FIA'!B33</f>
        <v>8.9999999999999993E-3</v>
      </c>
      <c r="E33" s="5" t="str">
        <f t="shared" si="0"/>
        <v>EUCA4</v>
      </c>
      <c r="F33" s="5">
        <f t="shared" si="1"/>
        <v>4.0455000000000005E-3</v>
      </c>
      <c r="G33" s="5"/>
      <c r="I33" s="17" t="str">
        <f t="shared" si="2"/>
        <v>EUCA4</v>
      </c>
      <c r="J33" s="17">
        <f t="shared" si="3"/>
        <v>4.4961227817724488E-3</v>
      </c>
      <c r="M33" s="21">
        <f>VLOOKUP(A33,'[1]29 - FIA'!$A$9:$B$219,2,0)</f>
        <v>8.9999999999999993E-3</v>
      </c>
      <c r="N33" t="b">
        <f t="shared" si="4"/>
        <v>1</v>
      </c>
      <c r="U33" s="7"/>
      <c r="V33" s="7"/>
      <c r="X33" s="15"/>
      <c r="Z33" s="3"/>
    </row>
    <row r="34" spans="1:26" x14ac:dyDescent="0.3">
      <c r="A34" s="10" t="str">
        <f>'pesos FIA'!A34</f>
        <v>CSUD3</v>
      </c>
      <c r="B34" s="11">
        <f>'pesos FIA'!B34</f>
        <v>1.2999999999999999E-2</v>
      </c>
      <c r="E34" s="5" t="str">
        <f t="shared" si="0"/>
        <v>CSUD3</v>
      </c>
      <c r="F34" s="5">
        <f t="shared" ref="F34:F66" si="5">(1-$F$72-$F$73-$F$74-$F$75)*B34</f>
        <v>5.8435000000000015E-3</v>
      </c>
      <c r="G34" s="5"/>
      <c r="I34" s="17" t="str">
        <f t="shared" ref="I34:I66" si="6">E34</f>
        <v>CSUD3</v>
      </c>
      <c r="J34" s="17">
        <f t="shared" ref="J34:J66" si="7">F34/$G$1</f>
        <v>6.4943995736713158E-3</v>
      </c>
      <c r="M34" s="21">
        <f>VLOOKUP(A34,'[1]29 - FIA'!$A$9:$B$219,2,0)</f>
        <v>1.2999999999999999E-2</v>
      </c>
      <c r="N34" t="b">
        <f t="shared" si="4"/>
        <v>1</v>
      </c>
      <c r="U34" s="7"/>
      <c r="V34" s="7"/>
      <c r="X34" s="15"/>
      <c r="Z34" s="3"/>
    </row>
    <row r="35" spans="1:26" x14ac:dyDescent="0.3">
      <c r="A35" s="10" t="str">
        <f>'pesos FIA'!A35</f>
        <v>PNVL3</v>
      </c>
      <c r="B35" s="11">
        <f>'pesos FIA'!B35</f>
        <v>1.0999999999999999E-2</v>
      </c>
      <c r="E35" s="5" t="str">
        <f t="shared" si="0"/>
        <v>PNVL3</v>
      </c>
      <c r="F35" s="5">
        <f t="shared" si="5"/>
        <v>4.944500000000001E-3</v>
      </c>
      <c r="G35" s="5"/>
      <c r="I35" s="17" t="str">
        <f t="shared" si="6"/>
        <v>PNVL3</v>
      </c>
      <c r="J35" s="17">
        <f t="shared" si="7"/>
        <v>5.4952611777218819E-3</v>
      </c>
      <c r="M35" s="21">
        <f>VLOOKUP(A35,'[1]29 - FIA'!$A$9:$B$219,2,0)</f>
        <v>1.0999999999999999E-2</v>
      </c>
      <c r="N35" t="b">
        <f t="shared" si="4"/>
        <v>1</v>
      </c>
      <c r="U35" s="7"/>
      <c r="V35" s="7"/>
      <c r="X35" s="15"/>
      <c r="Z35" s="3"/>
    </row>
    <row r="36" spans="1:26" x14ac:dyDescent="0.3">
      <c r="A36" s="10" t="str">
        <f>'pesos FIA'!A36</f>
        <v>MDNE3</v>
      </c>
      <c r="B36" s="11">
        <f>'pesos FIA'!B36</f>
        <v>7.0000000000000001E-3</v>
      </c>
      <c r="E36" s="5" t="str">
        <f t="shared" si="0"/>
        <v>MDNE3</v>
      </c>
      <c r="F36" s="5">
        <f t="shared" si="5"/>
        <v>3.1465000000000009E-3</v>
      </c>
      <c r="G36" s="5"/>
      <c r="I36" s="17" t="str">
        <f t="shared" si="6"/>
        <v>MDNE3</v>
      </c>
      <c r="J36" s="17">
        <f t="shared" si="7"/>
        <v>3.4969843858230162E-3</v>
      </c>
      <c r="M36" s="21">
        <f>VLOOKUP(A36,'[1]29 - FIA'!$A$9:$B$219,2,0)</f>
        <v>7.0000000000000001E-3</v>
      </c>
      <c r="N36" t="b">
        <f t="shared" si="4"/>
        <v>1</v>
      </c>
      <c r="U36" s="7"/>
      <c r="V36" s="7"/>
      <c r="X36" s="15"/>
      <c r="Z36" s="3"/>
    </row>
    <row r="37" spans="1:26" x14ac:dyDescent="0.3">
      <c r="A37" s="10" t="str">
        <f>'pesos FIA'!A37</f>
        <v>SHUL4</v>
      </c>
      <c r="B37" s="11">
        <f>'pesos FIA'!B37</f>
        <v>1.2E-2</v>
      </c>
      <c r="E37" s="5" t="str">
        <f t="shared" si="0"/>
        <v>SHUL4</v>
      </c>
      <c r="F37" s="5">
        <f t="shared" si="5"/>
        <v>5.3940000000000012E-3</v>
      </c>
      <c r="G37" s="5"/>
      <c r="I37" s="17" t="str">
        <f t="shared" si="6"/>
        <v>SHUL4</v>
      </c>
      <c r="J37" s="17">
        <f t="shared" si="7"/>
        <v>5.9948303756965984E-3</v>
      </c>
      <c r="M37" s="21">
        <f>VLOOKUP(A37,'[1]29 - FIA'!$A$9:$B$219,2,0)</f>
        <v>1.2E-2</v>
      </c>
      <c r="N37" t="b">
        <f t="shared" si="4"/>
        <v>1</v>
      </c>
      <c r="U37" s="7"/>
      <c r="V37" s="7"/>
      <c r="X37" s="15"/>
      <c r="Z37" s="3"/>
    </row>
    <row r="38" spans="1:26" x14ac:dyDescent="0.3">
      <c r="A38" s="10" t="str">
        <f>'pesos FIA'!A38</f>
        <v>POSI3</v>
      </c>
      <c r="B38" s="11">
        <f>'pesos FIA'!B38</f>
        <v>1.2999999999999999E-2</v>
      </c>
      <c r="E38" s="5" t="str">
        <f t="shared" si="0"/>
        <v>POSI3</v>
      </c>
      <c r="F38" s="5">
        <f t="shared" si="5"/>
        <v>5.8435000000000015E-3</v>
      </c>
      <c r="G38" s="5"/>
      <c r="I38" s="17" t="str">
        <f t="shared" si="6"/>
        <v>POSI3</v>
      </c>
      <c r="J38" s="17">
        <f t="shared" si="7"/>
        <v>6.4943995736713158E-3</v>
      </c>
      <c r="M38" s="21">
        <f>VLOOKUP(A38,'[1]29 - FIA'!$A$9:$B$219,2,0)</f>
        <v>1.2999999999999999E-2</v>
      </c>
      <c r="N38" t="b">
        <f t="shared" si="4"/>
        <v>1</v>
      </c>
      <c r="U38" s="7"/>
      <c r="V38" s="7"/>
      <c r="X38" s="15"/>
      <c r="Z38" s="3"/>
    </row>
    <row r="39" spans="1:26" x14ac:dyDescent="0.3">
      <c r="A39" s="10" t="str">
        <f>'pesos FIA'!A39</f>
        <v>PFRM3</v>
      </c>
      <c r="B39" s="11">
        <f>'pesos FIA'!B39</f>
        <v>8.9999999999999993E-3</v>
      </c>
      <c r="E39" s="5" t="str">
        <f t="shared" si="0"/>
        <v>PFRM3</v>
      </c>
      <c r="F39" s="5">
        <f t="shared" si="5"/>
        <v>4.0455000000000005E-3</v>
      </c>
      <c r="G39" s="5"/>
      <c r="I39" s="17" t="str">
        <f t="shared" si="6"/>
        <v>PFRM3</v>
      </c>
      <c r="J39" s="17">
        <f t="shared" si="7"/>
        <v>4.4961227817724488E-3</v>
      </c>
      <c r="M39" s="21">
        <f>VLOOKUP(A39,'[1]29 - FIA'!$A$9:$B$219,2,0)</f>
        <v>8.9999999999999993E-3</v>
      </c>
      <c r="N39" t="b">
        <f t="shared" si="4"/>
        <v>1</v>
      </c>
      <c r="U39" s="7"/>
      <c r="V39" s="7"/>
      <c r="X39" s="15"/>
      <c r="Z39" s="3"/>
    </row>
    <row r="40" spans="1:26" x14ac:dyDescent="0.3">
      <c r="A40" s="10" t="str">
        <f>'pesos FIA'!A40</f>
        <v>GOAU4</v>
      </c>
      <c r="B40" s="11">
        <f>'pesos FIA'!B40</f>
        <v>1.2999999999999999E-2</v>
      </c>
      <c r="E40" s="5" t="str">
        <f t="shared" si="0"/>
        <v>GOAU4</v>
      </c>
      <c r="F40" s="5">
        <f t="shared" si="5"/>
        <v>5.8435000000000015E-3</v>
      </c>
      <c r="G40" s="5"/>
      <c r="I40" s="17" t="str">
        <f t="shared" si="6"/>
        <v>GOAU4</v>
      </c>
      <c r="J40" s="17">
        <f t="shared" si="7"/>
        <v>6.4943995736713158E-3</v>
      </c>
      <c r="M40" s="21">
        <f>VLOOKUP(A40,'[1]29 - FIA'!$A$9:$B$219,2,0)</f>
        <v>1.2999999999999999E-2</v>
      </c>
      <c r="N40" t="b">
        <f t="shared" si="4"/>
        <v>1</v>
      </c>
      <c r="U40" s="7"/>
      <c r="V40" s="7"/>
      <c r="X40" s="15"/>
      <c r="Z40" s="3"/>
    </row>
    <row r="41" spans="1:26" x14ac:dyDescent="0.3">
      <c r="A41" s="10" t="str">
        <f>'pesos FIA'!A41</f>
        <v>ITSA4</v>
      </c>
      <c r="B41" s="11">
        <f>'pesos FIA'!B41</f>
        <v>4.2000000000000003E-2</v>
      </c>
      <c r="E41" s="5" t="str">
        <f t="shared" si="0"/>
        <v>ITSA4</v>
      </c>
      <c r="F41" s="5">
        <f t="shared" si="5"/>
        <v>1.8879000000000007E-2</v>
      </c>
      <c r="G41" s="5"/>
      <c r="I41" s="17" t="str">
        <f t="shared" si="6"/>
        <v>ITSA4</v>
      </c>
      <c r="J41" s="17">
        <f t="shared" si="7"/>
        <v>2.0981906314938098E-2</v>
      </c>
      <c r="M41" s="21">
        <f>VLOOKUP(A41,'[1]29 - FIA'!$A$9:$B$219,2,0)</f>
        <v>4.2000000000000003E-2</v>
      </c>
      <c r="N41" t="b">
        <f t="shared" si="4"/>
        <v>1</v>
      </c>
      <c r="U41" s="7"/>
      <c r="V41" s="7"/>
      <c r="X41" s="15"/>
      <c r="Z41" s="3"/>
    </row>
    <row r="42" spans="1:26" x14ac:dyDescent="0.3">
      <c r="A42" s="10" t="str">
        <f>'pesos FIA'!A42</f>
        <v>ALPA4</v>
      </c>
      <c r="B42" s="11">
        <f>'pesos FIA'!B42</f>
        <v>8.9999999999999993E-3</v>
      </c>
      <c r="E42" s="5" t="str">
        <f t="shared" si="0"/>
        <v>ALPA4</v>
      </c>
      <c r="F42" s="5">
        <f t="shared" si="5"/>
        <v>4.0455000000000005E-3</v>
      </c>
      <c r="G42" s="5"/>
      <c r="I42" s="17" t="str">
        <f t="shared" si="6"/>
        <v>ALPA4</v>
      </c>
      <c r="J42" s="17">
        <f t="shared" si="7"/>
        <v>4.4961227817724488E-3</v>
      </c>
      <c r="M42" s="21">
        <f>VLOOKUP(A42,'[1]29 - FIA'!$A$9:$B$219,2,0)</f>
        <v>8.9999999999999993E-3</v>
      </c>
      <c r="N42" t="b">
        <f t="shared" si="4"/>
        <v>1</v>
      </c>
      <c r="U42" s="7"/>
      <c r="V42" s="7"/>
      <c r="X42" s="15"/>
      <c r="Z42" s="3"/>
    </row>
    <row r="43" spans="1:26" x14ac:dyDescent="0.3">
      <c r="A43" s="10" t="str">
        <f>'pesos FIA'!A43</f>
        <v>SAPR4</v>
      </c>
      <c r="B43" s="11">
        <f>'pesos FIA'!B43</f>
        <v>0.02</v>
      </c>
      <c r="E43" s="5" t="str">
        <f t="shared" si="0"/>
        <v>SAPR4</v>
      </c>
      <c r="F43" s="5">
        <f t="shared" si="5"/>
        <v>8.9900000000000032E-3</v>
      </c>
      <c r="G43" s="5"/>
      <c r="I43" s="17" t="str">
        <f t="shared" si="6"/>
        <v>SAPR4</v>
      </c>
      <c r="J43" s="17">
        <f t="shared" si="7"/>
        <v>9.9913839594943325E-3</v>
      </c>
      <c r="M43" s="21">
        <f>VLOOKUP(A43,'[1]29 - FIA'!$A$9:$B$219,2,0)</f>
        <v>0.02</v>
      </c>
      <c r="N43" t="b">
        <f t="shared" si="4"/>
        <v>1</v>
      </c>
      <c r="U43" s="7"/>
      <c r="V43" s="7"/>
      <c r="X43" s="15"/>
      <c r="Z43" s="3"/>
    </row>
    <row r="44" spans="1:26" x14ac:dyDescent="0.3">
      <c r="A44" s="10" t="str">
        <f>'pesos FIA'!A44</f>
        <v>TIMS3</v>
      </c>
      <c r="B44" s="11">
        <f>'pesos FIA'!B44</f>
        <v>2.5000000000000001E-2</v>
      </c>
      <c r="E44" s="5" t="str">
        <f t="shared" si="0"/>
        <v>TIMS3</v>
      </c>
      <c r="F44" s="5">
        <f t="shared" si="5"/>
        <v>1.1237500000000004E-2</v>
      </c>
      <c r="G44" s="5"/>
      <c r="I44" s="17" t="str">
        <f t="shared" si="6"/>
        <v>TIMS3</v>
      </c>
      <c r="J44" s="17">
        <f t="shared" si="7"/>
        <v>1.2489229949367917E-2</v>
      </c>
      <c r="M44" s="21">
        <f>VLOOKUP(A44,'[1]29 - FIA'!$A$9:$B$219,2,0)</f>
        <v>2.5000000000000001E-2</v>
      </c>
      <c r="N44" t="b">
        <f t="shared" si="4"/>
        <v>1</v>
      </c>
      <c r="U44" s="7"/>
      <c r="V44" s="7"/>
      <c r="X44" s="15"/>
      <c r="Z44" s="3"/>
    </row>
    <row r="45" spans="1:26" x14ac:dyDescent="0.3">
      <c r="A45" s="10" t="str">
        <f>'pesos FIA'!A45</f>
        <v>BBSE3</v>
      </c>
      <c r="B45" s="11">
        <f>'pesos FIA'!B45</f>
        <v>2.1999999999999999E-2</v>
      </c>
      <c r="E45" s="5" t="str">
        <f t="shared" si="0"/>
        <v>BBSE3</v>
      </c>
      <c r="F45" s="5">
        <f t="shared" si="5"/>
        <v>9.889000000000002E-3</v>
      </c>
      <c r="G45" s="5"/>
      <c r="I45" s="17" t="str">
        <f t="shared" si="6"/>
        <v>BBSE3</v>
      </c>
      <c r="J45" s="17">
        <f t="shared" si="7"/>
        <v>1.0990522355443764E-2</v>
      </c>
      <c r="M45" s="21">
        <f>VLOOKUP(A45,'[1]29 - FIA'!$A$9:$B$219,2,0)</f>
        <v>2.1999999999999999E-2</v>
      </c>
      <c r="N45" t="b">
        <f t="shared" si="4"/>
        <v>1</v>
      </c>
      <c r="U45" s="7"/>
      <c r="V45" s="7"/>
      <c r="X45" s="15"/>
      <c r="Z45" s="3"/>
    </row>
    <row r="46" spans="1:26" x14ac:dyDescent="0.3">
      <c r="A46" s="10" t="str">
        <f>'pesos FIA'!A46</f>
        <v>EZTC3</v>
      </c>
      <c r="B46" s="11">
        <f>'pesos FIA'!B46</f>
        <v>0.01</v>
      </c>
      <c r="E46" s="5" t="str">
        <f t="shared" si="0"/>
        <v>EZTC3</v>
      </c>
      <c r="F46" s="5">
        <f t="shared" si="5"/>
        <v>4.4950000000000016E-3</v>
      </c>
      <c r="G46" s="5"/>
      <c r="I46" s="17" t="str">
        <f t="shared" si="6"/>
        <v>EZTC3</v>
      </c>
      <c r="J46" s="17">
        <f t="shared" si="7"/>
        <v>4.9956919797471662E-3</v>
      </c>
      <c r="M46" s="21">
        <f>VLOOKUP(A46,'[1]29 - FIA'!$A$9:$B$219,2,0)</f>
        <v>0.01</v>
      </c>
      <c r="N46" t="b">
        <f t="shared" si="4"/>
        <v>1</v>
      </c>
      <c r="U46" s="7"/>
      <c r="V46" s="7"/>
      <c r="X46" s="15"/>
      <c r="Z46" s="3"/>
    </row>
    <row r="47" spans="1:26" x14ac:dyDescent="0.3">
      <c r="A47" s="10" t="str">
        <f>'pesos FIA'!A47</f>
        <v>IGTI11</v>
      </c>
      <c r="B47" s="11">
        <f>'pesos FIA'!B47</f>
        <v>1.4E-2</v>
      </c>
      <c r="E47" s="5" t="str">
        <f t="shared" si="0"/>
        <v>IGTI11</v>
      </c>
      <c r="F47" s="5">
        <f t="shared" si="5"/>
        <v>6.2930000000000017E-3</v>
      </c>
      <c r="G47" s="5"/>
      <c r="I47" s="17" t="str">
        <f t="shared" si="6"/>
        <v>IGTI11</v>
      </c>
      <c r="J47" s="17">
        <f t="shared" si="7"/>
        <v>6.9939687716460324E-3</v>
      </c>
      <c r="M47" s="21">
        <f>VLOOKUP(A47,'[1]29 - FIA'!$A$9:$B$219,2,0)</f>
        <v>1.4E-2</v>
      </c>
      <c r="N47" t="b">
        <f t="shared" si="4"/>
        <v>1</v>
      </c>
      <c r="U47" s="7"/>
      <c r="V47" s="7"/>
      <c r="X47" s="15"/>
      <c r="Z47" s="3"/>
    </row>
    <row r="48" spans="1:26" x14ac:dyDescent="0.3">
      <c r="A48" s="10" t="str">
        <f>'pesos FIA'!A48</f>
        <v>PSSA3</v>
      </c>
      <c r="B48" s="11">
        <f>'pesos FIA'!B48</f>
        <v>1.2999999999999999E-2</v>
      </c>
      <c r="E48" s="5" t="str">
        <f t="shared" si="0"/>
        <v>PSSA3</v>
      </c>
      <c r="F48" s="5">
        <f t="shared" si="5"/>
        <v>5.8435000000000015E-3</v>
      </c>
      <c r="G48" s="5"/>
      <c r="I48" s="17" t="str">
        <f t="shared" si="6"/>
        <v>PSSA3</v>
      </c>
      <c r="J48" s="17">
        <f t="shared" si="7"/>
        <v>6.4943995736713158E-3</v>
      </c>
      <c r="M48" s="21">
        <f>VLOOKUP(A48,'[1]29 - FIA'!$A$9:$B$219,2,0)</f>
        <v>1.2999999999999999E-2</v>
      </c>
      <c r="N48" t="b">
        <f t="shared" si="4"/>
        <v>1</v>
      </c>
      <c r="U48" s="7"/>
      <c r="V48" s="7"/>
      <c r="X48" s="15"/>
      <c r="Z48" s="3"/>
    </row>
    <row r="49" spans="1:26" x14ac:dyDescent="0.3">
      <c r="A49" s="10" t="str">
        <f>'pesos FIA'!A49</f>
        <v>BMEB4</v>
      </c>
      <c r="B49" s="11">
        <f>'pesos FIA'!B49</f>
        <v>8.0000000000000002E-3</v>
      </c>
      <c r="E49" s="5" t="str">
        <f t="shared" si="0"/>
        <v>BMEB4</v>
      </c>
      <c r="F49" s="5">
        <f t="shared" si="5"/>
        <v>3.5960000000000011E-3</v>
      </c>
      <c r="G49" s="5"/>
      <c r="I49" s="17" t="str">
        <f t="shared" si="6"/>
        <v>BMEB4</v>
      </c>
      <c r="J49" s="17">
        <f t="shared" si="7"/>
        <v>3.9965535837977332E-3</v>
      </c>
      <c r="M49" s="21">
        <f>VLOOKUP(A49,'[1]29 - FIA'!$A$9:$B$219,2,0)</f>
        <v>8.0000000000000002E-3</v>
      </c>
      <c r="N49" t="b">
        <f t="shared" si="4"/>
        <v>1</v>
      </c>
      <c r="U49" s="7"/>
      <c r="V49" s="7"/>
      <c r="X49" s="15"/>
      <c r="Z49" s="3"/>
    </row>
    <row r="50" spans="1:26" x14ac:dyDescent="0.3">
      <c r="A50" s="10" t="str">
        <f>'pesos FIA'!A50</f>
        <v>JSLG3</v>
      </c>
      <c r="B50" s="11">
        <f>'pesos FIA'!B50</f>
        <v>4.0000000000000001E-3</v>
      </c>
      <c r="E50" s="5" t="str">
        <f t="shared" si="0"/>
        <v>JSLG3</v>
      </c>
      <c r="F50" s="5">
        <f t="shared" si="5"/>
        <v>1.7980000000000006E-3</v>
      </c>
      <c r="G50" s="5"/>
      <c r="I50" s="17" t="str">
        <f t="shared" si="6"/>
        <v>JSLG3</v>
      </c>
      <c r="J50" s="17">
        <f t="shared" si="7"/>
        <v>1.9982767918988666E-3</v>
      </c>
      <c r="M50" s="21">
        <f>VLOOKUP(A50,'[1]29 - FIA'!$A$9:$B$219,2,0)</f>
        <v>4.0000000000000001E-3</v>
      </c>
      <c r="N50" t="b">
        <f t="shared" si="4"/>
        <v>1</v>
      </c>
      <c r="U50" s="7"/>
      <c r="V50" s="7"/>
      <c r="X50" s="15"/>
      <c r="Z50" s="3"/>
    </row>
    <row r="51" spans="1:26" x14ac:dyDescent="0.3">
      <c r="A51" s="10" t="str">
        <f>'pesos FIA'!A51</f>
        <v>SAPR11</v>
      </c>
      <c r="B51" s="11">
        <f>'pesos FIA'!B51</f>
        <v>1.0999999999999999E-2</v>
      </c>
      <c r="E51" s="5" t="str">
        <f t="shared" si="0"/>
        <v>SAPR11</v>
      </c>
      <c r="F51" s="5">
        <f t="shared" si="5"/>
        <v>4.944500000000001E-3</v>
      </c>
      <c r="G51" s="5"/>
      <c r="I51" s="17" t="str">
        <f t="shared" si="6"/>
        <v>SAPR11</v>
      </c>
      <c r="J51" s="17">
        <f t="shared" si="7"/>
        <v>5.4952611777218819E-3</v>
      </c>
      <c r="M51" s="21">
        <f>VLOOKUP(A51,'[1]29 - FIA'!$A$9:$B$219,2,0)</f>
        <v>1.0999999999999999E-2</v>
      </c>
      <c r="N51" t="b">
        <f t="shared" si="4"/>
        <v>1</v>
      </c>
      <c r="U51" s="7"/>
      <c r="V51" s="7"/>
      <c r="X51" s="15"/>
      <c r="Z51" s="3"/>
    </row>
    <row r="52" spans="1:26" x14ac:dyDescent="0.3">
      <c r="A52" s="10" t="str">
        <f>'pesos FIA'!A52</f>
        <v>CURY3</v>
      </c>
      <c r="B52" s="11">
        <f>'pesos FIA'!B52</f>
        <v>8.9999999999999993E-3</v>
      </c>
      <c r="E52" s="5" t="str">
        <f t="shared" si="0"/>
        <v>CURY3</v>
      </c>
      <c r="F52" s="5">
        <f t="shared" si="5"/>
        <v>4.0455000000000005E-3</v>
      </c>
      <c r="G52" s="5"/>
      <c r="I52" s="17" t="str">
        <f t="shared" si="6"/>
        <v>CURY3</v>
      </c>
      <c r="J52" s="17">
        <f t="shared" si="7"/>
        <v>4.4961227817724488E-3</v>
      </c>
      <c r="M52" s="21">
        <f>VLOOKUP(A52,'[1]29 - FIA'!$A$9:$B$219,2,0)</f>
        <v>8.9999999999999993E-3</v>
      </c>
      <c r="N52" t="b">
        <f t="shared" si="4"/>
        <v>1</v>
      </c>
      <c r="U52" s="7"/>
      <c r="V52" s="7"/>
      <c r="X52" s="15"/>
      <c r="Z52" s="3"/>
    </row>
    <row r="53" spans="1:26" x14ac:dyDescent="0.3">
      <c r="A53" s="10" t="str">
        <f>'pesos FIA'!A53</f>
        <v>AXIA6</v>
      </c>
      <c r="B53" s="11">
        <f>'pesos FIA'!B53</f>
        <v>2.8000000000000001E-2</v>
      </c>
      <c r="E53" s="5" t="str">
        <f t="shared" si="0"/>
        <v>AXIA6</v>
      </c>
      <c r="F53" s="5">
        <f t="shared" si="5"/>
        <v>1.2586000000000003E-2</v>
      </c>
      <c r="G53" s="5"/>
      <c r="I53" s="17" t="str">
        <f t="shared" si="6"/>
        <v>AXIA6</v>
      </c>
      <c r="J53" s="17">
        <f t="shared" si="7"/>
        <v>1.3987937543292065E-2</v>
      </c>
      <c r="M53" s="21">
        <f>VLOOKUP(A53,'[1]29 - FIA'!$A$9:$B$219,2,0)</f>
        <v>2.8000000000000001E-2</v>
      </c>
      <c r="N53" t="b">
        <f t="shared" si="4"/>
        <v>1</v>
      </c>
      <c r="U53" s="7"/>
      <c r="V53" s="7"/>
      <c r="X53" s="15"/>
      <c r="Z53" s="3"/>
    </row>
    <row r="54" spans="1:26" x14ac:dyDescent="0.3">
      <c r="A54" s="10" t="str">
        <f>'pesos FIA'!A54</f>
        <v>ALOS3</v>
      </c>
      <c r="B54" s="11">
        <f>'pesos FIA'!B54</f>
        <v>1.4E-2</v>
      </c>
      <c r="E54" s="5" t="str">
        <f t="shared" si="0"/>
        <v>ALOS3</v>
      </c>
      <c r="F54" s="5">
        <f t="shared" si="5"/>
        <v>6.2930000000000017E-3</v>
      </c>
      <c r="G54" s="5"/>
      <c r="I54" s="17" t="str">
        <f t="shared" si="6"/>
        <v>ALOS3</v>
      </c>
      <c r="J54" s="17">
        <f t="shared" si="7"/>
        <v>6.9939687716460324E-3</v>
      </c>
      <c r="M54" s="21">
        <f>VLOOKUP(A54,'[1]29 - FIA'!$A$9:$B$219,2,0)</f>
        <v>1.4E-2</v>
      </c>
      <c r="N54" t="b">
        <f t="shared" si="4"/>
        <v>1</v>
      </c>
      <c r="U54" s="7"/>
      <c r="V54" s="7"/>
      <c r="X54" s="15"/>
      <c r="Z54" s="3"/>
    </row>
    <row r="55" spans="1:26" x14ac:dyDescent="0.3">
      <c r="A55" s="10" t="str">
        <f>'pesos FIA'!A55</f>
        <v>RECV3</v>
      </c>
      <c r="B55" s="11">
        <f>'pesos FIA'!B55</f>
        <v>1.6E-2</v>
      </c>
      <c r="E55" s="5" t="str">
        <f t="shared" si="0"/>
        <v>RECV3</v>
      </c>
      <c r="F55" s="5">
        <f t="shared" si="5"/>
        <v>7.1920000000000022E-3</v>
      </c>
      <c r="G55" s="5"/>
      <c r="I55" s="17" t="str">
        <f t="shared" si="6"/>
        <v>RECV3</v>
      </c>
      <c r="J55" s="17">
        <f t="shared" si="7"/>
        <v>7.9931071675954663E-3</v>
      </c>
      <c r="M55" s="21">
        <f>VLOOKUP(A55,'[1]29 - FIA'!$A$9:$B$219,2,0)</f>
        <v>1.6E-2</v>
      </c>
      <c r="N55" t="b">
        <f t="shared" si="4"/>
        <v>1</v>
      </c>
      <c r="U55" s="7"/>
      <c r="V55" s="7"/>
      <c r="X55" s="15"/>
      <c r="Z55" s="3"/>
    </row>
    <row r="56" spans="1:26" x14ac:dyDescent="0.3">
      <c r="A56" s="10" t="str">
        <f>'pesos FIA'!A56</f>
        <v>JALL3</v>
      </c>
      <c r="B56" s="11">
        <f>'pesos FIA'!B56</f>
        <v>1.2500000000000001E-2</v>
      </c>
      <c r="E56" s="5" t="str">
        <f t="shared" si="0"/>
        <v>JALL3</v>
      </c>
      <c r="F56" s="5">
        <f t="shared" si="5"/>
        <v>5.6187500000000022E-3</v>
      </c>
      <c r="G56" s="5"/>
      <c r="I56" s="17" t="str">
        <f t="shared" si="6"/>
        <v>JALL3</v>
      </c>
      <c r="J56" s="17">
        <f t="shared" si="7"/>
        <v>6.2446149746839584E-3</v>
      </c>
      <c r="M56" s="21">
        <f>VLOOKUP(A56,'[1]29 - FIA'!$A$9:$B$219,2,0)</f>
        <v>1.2500000000000001E-2</v>
      </c>
      <c r="N56" t="b">
        <f t="shared" si="4"/>
        <v>1</v>
      </c>
      <c r="U56" s="7"/>
      <c r="V56" s="7"/>
      <c r="X56" s="15"/>
      <c r="Z56" s="3"/>
    </row>
    <row r="57" spans="1:26" x14ac:dyDescent="0.3">
      <c r="A57" s="10" t="str">
        <f>'pesos FIA'!A57</f>
        <v>B3SA3</v>
      </c>
      <c r="B57" s="11">
        <f>'pesos FIA'!B57</f>
        <v>0.02</v>
      </c>
      <c r="E57" s="5" t="str">
        <f t="shared" si="0"/>
        <v>B3SA3</v>
      </c>
      <c r="F57" s="5">
        <f t="shared" si="5"/>
        <v>8.9900000000000032E-3</v>
      </c>
      <c r="G57" s="5"/>
      <c r="I57" s="17" t="str">
        <f t="shared" si="6"/>
        <v>B3SA3</v>
      </c>
      <c r="J57" s="17">
        <f t="shared" si="7"/>
        <v>9.9913839594943325E-3</v>
      </c>
      <c r="M57" s="21">
        <f>VLOOKUP(A57,'[1]29 - FIA'!$A$9:$B$219,2,0)</f>
        <v>0.02</v>
      </c>
      <c r="N57" t="b">
        <f t="shared" si="4"/>
        <v>1</v>
      </c>
      <c r="U57" s="7"/>
      <c r="V57" s="7"/>
      <c r="X57" s="15"/>
      <c r="Z57" s="3"/>
    </row>
    <row r="58" spans="1:26" x14ac:dyDescent="0.3">
      <c r="A58" s="10" t="str">
        <f>'pesos FIA'!A58</f>
        <v>VBBR3</v>
      </c>
      <c r="B58" s="11">
        <f>'pesos FIA'!B58</f>
        <v>2.1999999999999999E-2</v>
      </c>
      <c r="E58" s="5" t="str">
        <f t="shared" si="0"/>
        <v>VBBR3</v>
      </c>
      <c r="F58" s="5">
        <f t="shared" si="5"/>
        <v>9.889000000000002E-3</v>
      </c>
      <c r="G58" s="5"/>
      <c r="I58" s="17" t="str">
        <f t="shared" si="6"/>
        <v>VBBR3</v>
      </c>
      <c r="J58" s="17">
        <f t="shared" si="7"/>
        <v>1.0990522355443764E-2</v>
      </c>
      <c r="M58" s="21">
        <f>VLOOKUP(A58,'[1]29 - FIA'!$A$9:$B$219,2,0)</f>
        <v>2.1999999999999999E-2</v>
      </c>
      <c r="N58" t="b">
        <f t="shared" si="4"/>
        <v>1</v>
      </c>
      <c r="U58" s="7"/>
      <c r="V58" s="7"/>
      <c r="X58" s="15"/>
      <c r="Z58" s="3"/>
    </row>
    <row r="59" spans="1:26" x14ac:dyDescent="0.3">
      <c r="A59" s="10" t="str">
        <f>'pesos FIA'!A59</f>
        <v>UGPA3</v>
      </c>
      <c r="B59" s="11">
        <f>'pesos FIA'!B59</f>
        <v>2.1000000000000001E-2</v>
      </c>
      <c r="E59" s="5" t="str">
        <f t="shared" si="0"/>
        <v>UGPA3</v>
      </c>
      <c r="F59" s="5">
        <f t="shared" si="5"/>
        <v>9.4395000000000034E-3</v>
      </c>
      <c r="G59" s="5"/>
      <c r="I59" s="17" t="str">
        <f t="shared" si="6"/>
        <v>UGPA3</v>
      </c>
      <c r="J59" s="17">
        <f t="shared" si="7"/>
        <v>1.0490953157469049E-2</v>
      </c>
      <c r="M59" s="21">
        <f>VLOOKUP(A59,'[1]29 - FIA'!$A$9:$B$219,2,0)</f>
        <v>2.1000000000000001E-2</v>
      </c>
      <c r="N59" t="b">
        <f t="shared" si="4"/>
        <v>1</v>
      </c>
      <c r="U59" s="7"/>
      <c r="V59" s="7"/>
      <c r="X59" s="15"/>
      <c r="Z59" s="3"/>
    </row>
    <row r="60" spans="1:26" x14ac:dyDescent="0.3">
      <c r="A60" s="10" t="str">
        <f>'pesos FIA'!A60</f>
        <v>TEND3</v>
      </c>
      <c r="B60" s="11">
        <f>'pesos FIA'!B60</f>
        <v>7.0000000000000001E-3</v>
      </c>
      <c r="E60" s="5" t="str">
        <f t="shared" si="0"/>
        <v>TEND3</v>
      </c>
      <c r="F60" s="5">
        <f t="shared" si="5"/>
        <v>3.1465000000000009E-3</v>
      </c>
      <c r="G60" s="5"/>
      <c r="I60" s="17" t="str">
        <f t="shared" si="6"/>
        <v>TEND3</v>
      </c>
      <c r="J60" s="17">
        <f t="shared" si="7"/>
        <v>3.4969843858230162E-3</v>
      </c>
      <c r="M60" s="21">
        <f>VLOOKUP(A60,'[1]29 - FIA'!$A$9:$B$219,2,0)</f>
        <v>7.0000000000000001E-3</v>
      </c>
      <c r="N60" t="b">
        <f t="shared" si="4"/>
        <v>1</v>
      </c>
      <c r="U60" s="7"/>
      <c r="V60" s="7"/>
      <c r="X60" s="15"/>
      <c r="Z60" s="3"/>
    </row>
    <row r="61" spans="1:26" x14ac:dyDescent="0.3">
      <c r="A61" s="10" t="str">
        <f>'pesos FIA'!A61</f>
        <v>CXSE3</v>
      </c>
      <c r="B61" s="11">
        <f>'pesos FIA'!B61</f>
        <v>1.4E-2</v>
      </c>
      <c r="E61" s="5" t="str">
        <f t="shared" si="0"/>
        <v>CXSE3</v>
      </c>
      <c r="F61" s="5">
        <f t="shared" si="5"/>
        <v>6.2930000000000017E-3</v>
      </c>
      <c r="G61" s="5"/>
      <c r="I61" s="17" t="str">
        <f t="shared" si="6"/>
        <v>CXSE3</v>
      </c>
      <c r="J61" s="17">
        <f t="shared" si="7"/>
        <v>6.9939687716460324E-3</v>
      </c>
      <c r="M61" s="21">
        <f>VLOOKUP(A61,'[1]29 - FIA'!$A$9:$B$219,2,0)</f>
        <v>1.4E-2</v>
      </c>
      <c r="N61" t="b">
        <f t="shared" si="4"/>
        <v>1</v>
      </c>
      <c r="U61" s="7"/>
      <c r="V61" s="7"/>
      <c r="X61" s="15"/>
      <c r="Z61" s="3"/>
    </row>
    <row r="62" spans="1:26" x14ac:dyDescent="0.3">
      <c r="A62" s="10" t="str">
        <f>'pesos FIA'!A62</f>
        <v>VIVT3</v>
      </c>
      <c r="B62" s="11">
        <f>'pesos FIA'!B62</f>
        <v>1.4999999999999999E-2</v>
      </c>
      <c r="E62" s="5" t="str">
        <f t="shared" si="0"/>
        <v>VIVT3</v>
      </c>
      <c r="F62" s="5">
        <f t="shared" si="5"/>
        <v>6.742500000000002E-3</v>
      </c>
      <c r="G62" s="5"/>
      <c r="I62" s="17" t="str">
        <f t="shared" si="6"/>
        <v>VIVT3</v>
      </c>
      <c r="J62" s="17">
        <f t="shared" si="7"/>
        <v>7.4935379696207489E-3</v>
      </c>
      <c r="M62" s="21">
        <f>VLOOKUP(A62,'[1]29 - FIA'!$A$9:$B$219,2,0)</f>
        <v>1.4999999999999999E-2</v>
      </c>
      <c r="N62" t="b">
        <f t="shared" si="4"/>
        <v>1</v>
      </c>
      <c r="U62" s="7"/>
      <c r="V62" s="7"/>
      <c r="X62" s="15"/>
      <c r="Z62" s="3"/>
    </row>
    <row r="63" spans="1:26" x14ac:dyDescent="0.3">
      <c r="A63" s="10" t="str">
        <f>'pesos FIA'!A63</f>
        <v>VULC3</v>
      </c>
      <c r="B63" s="11">
        <f>'pesos FIA'!B63</f>
        <v>0.01</v>
      </c>
      <c r="E63" s="5" t="str">
        <f t="shared" si="0"/>
        <v>VULC3</v>
      </c>
      <c r="F63" s="5">
        <f t="shared" si="5"/>
        <v>4.4950000000000016E-3</v>
      </c>
      <c r="G63" s="5"/>
      <c r="I63" s="17" t="str">
        <f t="shared" si="6"/>
        <v>VULC3</v>
      </c>
      <c r="J63" s="17">
        <f t="shared" si="7"/>
        <v>4.9956919797471662E-3</v>
      </c>
      <c r="M63" s="21">
        <f>VLOOKUP(A63,'[1]29 - FIA'!$A$9:$B$219,2,0)</f>
        <v>0.01</v>
      </c>
      <c r="N63" t="b">
        <f t="shared" si="4"/>
        <v>1</v>
      </c>
      <c r="U63" s="7"/>
      <c r="V63" s="7"/>
      <c r="X63" s="15"/>
      <c r="Z63" s="3"/>
    </row>
    <row r="64" spans="1:26" x14ac:dyDescent="0.3">
      <c r="A64" s="10" t="str">
        <f>'pesos FIA'!A64</f>
        <v>TRIS3</v>
      </c>
      <c r="B64" s="11">
        <f>'pesos FIA'!B64</f>
        <v>4.0000000000000001E-3</v>
      </c>
      <c r="E64" s="5" t="str">
        <f t="shared" si="0"/>
        <v>TRIS3</v>
      </c>
      <c r="F64" s="5">
        <f t="shared" si="5"/>
        <v>1.7980000000000006E-3</v>
      </c>
      <c r="G64" s="5"/>
      <c r="I64" s="17" t="str">
        <f t="shared" si="6"/>
        <v>TRIS3</v>
      </c>
      <c r="J64" s="17">
        <f t="shared" si="7"/>
        <v>1.9982767918988666E-3</v>
      </c>
      <c r="M64" s="21">
        <f>VLOOKUP(A64,'[1]29 - FIA'!$A$9:$B$219,2,0)</f>
        <v>4.0000000000000001E-3</v>
      </c>
      <c r="N64" t="b">
        <f t="shared" si="4"/>
        <v>1</v>
      </c>
      <c r="U64" s="7"/>
      <c r="V64" s="7"/>
      <c r="X64" s="15"/>
      <c r="Z64" s="3"/>
    </row>
    <row r="65" spans="1:26" x14ac:dyDescent="0.3">
      <c r="A65" s="10" t="s">
        <v>21</v>
      </c>
      <c r="B65" s="11">
        <f>'pesos FIA'!B65</f>
        <v>1.7999999999999999E-2</v>
      </c>
      <c r="E65" s="5" t="str">
        <f t="shared" si="0"/>
        <v>CMIG4</v>
      </c>
      <c r="F65" s="5">
        <f t="shared" si="5"/>
        <v>8.091000000000001E-3</v>
      </c>
      <c r="G65" s="5"/>
      <c r="I65" s="17" t="str">
        <f t="shared" si="6"/>
        <v>CMIG4</v>
      </c>
      <c r="J65" s="17">
        <f t="shared" si="7"/>
        <v>8.9922455635448977E-3</v>
      </c>
      <c r="M65" s="21">
        <f>VLOOKUP(A65,'[1]29 - FIA'!$A$9:$B$219,2,0)</f>
        <v>0</v>
      </c>
      <c r="N65" t="b">
        <f t="shared" si="4"/>
        <v>0</v>
      </c>
      <c r="U65" s="7"/>
      <c r="V65" s="7"/>
      <c r="X65" s="15"/>
      <c r="Z65" s="3"/>
    </row>
    <row r="66" spans="1:26" x14ac:dyDescent="0.3">
      <c r="A66" s="10" t="str">
        <f>'pesos FIA'!A66</f>
        <v>ITUB3</v>
      </c>
      <c r="B66" s="11">
        <f>'pesos FIA'!B66</f>
        <v>2.5000000000000001E-2</v>
      </c>
      <c r="E66" s="5" t="str">
        <f>A66</f>
        <v>ITUB3</v>
      </c>
      <c r="F66" s="5">
        <f t="shared" si="5"/>
        <v>1.1237500000000004E-2</v>
      </c>
      <c r="G66" s="5"/>
      <c r="I66" s="17" t="str">
        <f t="shared" si="6"/>
        <v>ITUB3</v>
      </c>
      <c r="J66" s="17">
        <f t="shared" si="7"/>
        <v>1.2489229949367917E-2</v>
      </c>
      <c r="M66" s="21">
        <f>VLOOKUP(A66,'[1]29 - FIA'!$A$9:$B$219,2,0)</f>
        <v>2.5000000000000001E-2</v>
      </c>
      <c r="N66" t="b">
        <f t="shared" si="4"/>
        <v>1</v>
      </c>
      <c r="U66" s="7"/>
      <c r="V66" s="7"/>
      <c r="X66" s="15"/>
      <c r="Z66" s="3"/>
    </row>
    <row r="67" spans="1:26" x14ac:dyDescent="0.3">
      <c r="A67" s="10" t="str">
        <f>'pesos FIA'!A67</f>
        <v>SAUD3</v>
      </c>
      <c r="B67" s="11">
        <f>'pesos FIA'!B67</f>
        <v>0.01</v>
      </c>
      <c r="E67" s="5" t="str">
        <f t="shared" ref="E67:E71" si="8">A67</f>
        <v>SAUD3</v>
      </c>
      <c r="F67" s="5">
        <f t="shared" ref="F67:F71" si="9">(1-$F$72-$F$73-$F$74-$F$75)*B67</f>
        <v>4.4950000000000016E-3</v>
      </c>
      <c r="G67" s="5"/>
      <c r="I67" s="17" t="str">
        <f t="shared" ref="I67:I71" si="10">E67</f>
        <v>SAUD3</v>
      </c>
      <c r="J67" s="17">
        <f t="shared" ref="J67:J71" si="11">F67/$G$1</f>
        <v>4.9956919797471662E-3</v>
      </c>
      <c r="M67" s="21">
        <f>VLOOKUP(A67,'[1]29 - FIA'!$A$9:$B$219,2,0)</f>
        <v>0.01</v>
      </c>
      <c r="N67" t="b">
        <f t="shared" ref="N67:N71" si="12">M67=B67</f>
        <v>1</v>
      </c>
    </row>
    <row r="68" spans="1:26" x14ac:dyDescent="0.3">
      <c r="A68" s="10" t="str">
        <f>'pesos FIA'!A68</f>
        <v>TAEE4</v>
      </c>
      <c r="B68" s="11">
        <f>'pesos FIA'!B68</f>
        <v>5.0000000000000001E-3</v>
      </c>
      <c r="E68" s="5" t="str">
        <f t="shared" si="8"/>
        <v>TAEE4</v>
      </c>
      <c r="F68" s="5">
        <f t="shared" si="9"/>
        <v>2.2475000000000008E-3</v>
      </c>
      <c r="G68" s="5"/>
      <c r="I68" s="17" t="str">
        <f t="shared" si="10"/>
        <v>TAEE4</v>
      </c>
      <c r="J68" s="17">
        <f t="shared" si="11"/>
        <v>2.4978459898735831E-3</v>
      </c>
      <c r="M68" s="21">
        <f>VLOOKUP(A68,'[1]29 - FIA'!$A$9:$B$219,2,0)</f>
        <v>5.0000000000000001E-3</v>
      </c>
      <c r="N68" t="b">
        <f t="shared" si="12"/>
        <v>1</v>
      </c>
    </row>
    <row r="69" spans="1:26" x14ac:dyDescent="0.3">
      <c r="A69" s="10" t="str">
        <f>'pesos FIA'!A69</f>
        <v>CPLE3</v>
      </c>
      <c r="B69" s="11">
        <f>'pesos FIA'!B69</f>
        <v>7.0000000000000001E-3</v>
      </c>
      <c r="E69" s="5" t="str">
        <f t="shared" si="8"/>
        <v>CPLE3</v>
      </c>
      <c r="F69" s="5">
        <f t="shared" si="9"/>
        <v>3.1465000000000009E-3</v>
      </c>
      <c r="I69" s="17" t="str">
        <f t="shared" si="10"/>
        <v>CPLE3</v>
      </c>
      <c r="J69" s="17">
        <f t="shared" si="11"/>
        <v>3.4969843858230162E-3</v>
      </c>
      <c r="M69" s="21">
        <f>VLOOKUP(A69,'[1]29 - FIA'!$A$9:$B$219,2,0)</f>
        <v>7.0000000000000001E-3</v>
      </c>
      <c r="N69" t="b">
        <f t="shared" si="12"/>
        <v>1</v>
      </c>
    </row>
    <row r="70" spans="1:26" x14ac:dyDescent="0.3">
      <c r="A70" s="10" t="str">
        <f>'pesos FIA'!A70</f>
        <v>ITUB4</v>
      </c>
      <c r="B70" s="11">
        <f>'pesos FIA'!B70</f>
        <v>2.1999999999999999E-2</v>
      </c>
      <c r="E70" s="5" t="str">
        <f t="shared" si="8"/>
        <v>ITUB4</v>
      </c>
      <c r="F70" s="5">
        <f t="shared" si="9"/>
        <v>9.889000000000002E-3</v>
      </c>
      <c r="I70" s="17" t="str">
        <f t="shared" si="10"/>
        <v>ITUB4</v>
      </c>
      <c r="J70" s="17">
        <f t="shared" si="11"/>
        <v>1.0990522355443764E-2</v>
      </c>
      <c r="M70" s="21">
        <f>VLOOKUP(A70,'[1]29 - FIA'!$A$9:$B$219,2,0)</f>
        <v>2.1999999999999999E-2</v>
      </c>
      <c r="N70" t="b">
        <f t="shared" si="12"/>
        <v>1</v>
      </c>
    </row>
    <row r="71" spans="1:26" x14ac:dyDescent="0.3">
      <c r="A71" s="10" t="str">
        <f>'pesos FIA'!A71</f>
        <v>VALE3</v>
      </c>
      <c r="B71" s="11">
        <f>'pesos FIA'!B71</f>
        <v>0.06</v>
      </c>
      <c r="C71" s="6"/>
      <c r="E71" s="5" t="str">
        <f t="shared" si="8"/>
        <v>VALE3</v>
      </c>
      <c r="F71" s="5">
        <f t="shared" si="9"/>
        <v>2.6970000000000008E-2</v>
      </c>
      <c r="I71" s="17" t="str">
        <f t="shared" si="10"/>
        <v>VALE3</v>
      </c>
      <c r="J71" s="17">
        <f t="shared" si="11"/>
        <v>2.9974151878482996E-2</v>
      </c>
      <c r="M71" s="21">
        <f>VLOOKUP(A71,'[1]29 - FIA'!$A$9:$B$219,2,0)</f>
        <v>0.06</v>
      </c>
      <c r="N71" t="b">
        <f t="shared" si="12"/>
        <v>1</v>
      </c>
    </row>
    <row r="72" spans="1:26" x14ac:dyDescent="0.3">
      <c r="A72" s="10">
        <f>'pesos FIA'!A72</f>
        <v>0</v>
      </c>
      <c r="B72" s="11">
        <f>'pesos FIA'!B72</f>
        <v>0</v>
      </c>
      <c r="C72" s="6"/>
      <c r="E72" s="12" t="s">
        <v>69</v>
      </c>
      <c r="F72" s="13">
        <v>0.375</v>
      </c>
      <c r="I72" s="17" t="str">
        <f>E72</f>
        <v>BOVA11</v>
      </c>
      <c r="J72" s="17">
        <f>F72/$G$1</f>
        <v>0.41677074358291138</v>
      </c>
      <c r="M72" s="21"/>
    </row>
    <row r="73" spans="1:26" x14ac:dyDescent="0.3">
      <c r="A73" s="10">
        <f>'pesos FIA'!A73</f>
        <v>0</v>
      </c>
      <c r="B73" s="11">
        <f>'pesos FIA'!B73</f>
        <v>0</v>
      </c>
      <c r="C73" s="6"/>
      <c r="E73" s="12" t="s">
        <v>79</v>
      </c>
      <c r="F73" s="13">
        <v>7.4999999999999997E-2</v>
      </c>
      <c r="I73" s="17" t="str">
        <f>E73</f>
        <v>DIVO11</v>
      </c>
      <c r="J73" s="17">
        <f>F73/$G$1</f>
        <v>8.3354148716582269E-2</v>
      </c>
      <c r="M73" s="21"/>
    </row>
    <row r="74" spans="1:26" x14ac:dyDescent="0.3">
      <c r="A74" s="10">
        <f>'pesos FIA'!A74</f>
        <v>0</v>
      </c>
      <c r="B74" s="11">
        <f>'pesos FIA'!B74</f>
        <v>0</v>
      </c>
      <c r="C74" s="6"/>
      <c r="E74" s="5" t="s">
        <v>83</v>
      </c>
      <c r="F74" s="5">
        <v>5.0000000000000001E-4</v>
      </c>
      <c r="I74" s="17" t="str">
        <f>E74</f>
        <v>BRL Curncy</v>
      </c>
      <c r="J74" s="17">
        <f>F74</f>
        <v>5.0000000000000001E-4</v>
      </c>
      <c r="M74" s="21"/>
    </row>
    <row r="75" spans="1:26" x14ac:dyDescent="0.3">
      <c r="A75" s="10">
        <f>'pesos FIA'!A75</f>
        <v>0</v>
      </c>
      <c r="B75" s="11">
        <f>'pesos FIA'!B75</f>
        <v>0</v>
      </c>
      <c r="C75" s="6"/>
      <c r="E75" s="20" t="s">
        <v>98</v>
      </c>
      <c r="F75" s="18">
        <v>0.1</v>
      </c>
    </row>
    <row r="76" spans="1:26" x14ac:dyDescent="0.3">
      <c r="A76" s="10">
        <f>'pesos FIA'!A76</f>
        <v>0</v>
      </c>
      <c r="B76" s="11">
        <f>'pesos FIA'!B76</f>
        <v>0</v>
      </c>
      <c r="C76" s="6"/>
    </row>
    <row r="77" spans="1:26" x14ac:dyDescent="0.3">
      <c r="A77" s="10">
        <f>'pesos FIA'!A77</f>
        <v>0</v>
      </c>
      <c r="B77" s="11">
        <f>'pesos FIA'!B77</f>
        <v>0</v>
      </c>
      <c r="C77" s="6"/>
    </row>
    <row r="78" spans="1:26" x14ac:dyDescent="0.3">
      <c r="A78" s="10">
        <f>'pesos FIA'!A78</f>
        <v>0</v>
      </c>
      <c r="B78" s="11">
        <f>'pesos FIA'!B78</f>
        <v>0</v>
      </c>
      <c r="C78" s="6"/>
    </row>
    <row r="79" spans="1:26" x14ac:dyDescent="0.3">
      <c r="A79" s="10">
        <f>'pesos FIA'!A79</f>
        <v>0</v>
      </c>
      <c r="B79" s="11">
        <f>'pesos FIA'!B79</f>
        <v>0</v>
      </c>
      <c r="C79" s="6"/>
    </row>
    <row r="80" spans="1:26" x14ac:dyDescent="0.3">
      <c r="A80" s="10">
        <f>'pesos FIA'!A80</f>
        <v>0</v>
      </c>
      <c r="B80" s="11">
        <f>'pesos FIA'!B80</f>
        <v>0</v>
      </c>
      <c r="C80" s="6"/>
    </row>
    <row r="81" spans="1:3" x14ac:dyDescent="0.3">
      <c r="A81" s="10">
        <f>'pesos FIA'!A81</f>
        <v>0</v>
      </c>
      <c r="B81" s="11">
        <f>'pesos FIA'!B81</f>
        <v>0</v>
      </c>
      <c r="C81" s="6"/>
    </row>
    <row r="82" spans="1:3" x14ac:dyDescent="0.3">
      <c r="A82" s="10">
        <f>'pesos FIA'!A82</f>
        <v>0</v>
      </c>
      <c r="B82" s="11">
        <f>'pesos FIA'!B82</f>
        <v>0</v>
      </c>
      <c r="C82" s="6"/>
    </row>
    <row r="83" spans="1:3" x14ac:dyDescent="0.3">
      <c r="A83" s="10">
        <f>'pesos FIA'!A83</f>
        <v>0</v>
      </c>
      <c r="B83" s="11">
        <f>'pesos FIA'!B83</f>
        <v>0</v>
      </c>
      <c r="C83" s="6"/>
    </row>
    <row r="84" spans="1:3" x14ac:dyDescent="0.3">
      <c r="A84" s="10">
        <f>'pesos FIA'!A84</f>
        <v>0</v>
      </c>
      <c r="B84" s="11">
        <f>'pesos FIA'!B84</f>
        <v>0</v>
      </c>
      <c r="C84" s="6"/>
    </row>
    <row r="85" spans="1:3" x14ac:dyDescent="0.3">
      <c r="A85" s="10">
        <f>'pesos FIA'!A85</f>
        <v>0</v>
      </c>
      <c r="B85" s="11">
        <f>'pesos FIA'!B85</f>
        <v>0</v>
      </c>
      <c r="C85" s="6"/>
    </row>
    <row r="86" spans="1:3" x14ac:dyDescent="0.3">
      <c r="A86" s="10">
        <f>'pesos FIA'!A86</f>
        <v>0</v>
      </c>
      <c r="B86" s="11">
        <f>'pesos FIA'!B86</f>
        <v>0</v>
      </c>
      <c r="C86" s="6"/>
    </row>
    <row r="87" spans="1:3" x14ac:dyDescent="0.3">
      <c r="A87" s="10">
        <f>'pesos FIA'!A87</f>
        <v>0</v>
      </c>
      <c r="B87" s="11">
        <f>'pesos FIA'!B87</f>
        <v>0</v>
      </c>
      <c r="C87" s="6"/>
    </row>
    <row r="88" spans="1:3" x14ac:dyDescent="0.3">
      <c r="A88" s="10">
        <f>'pesos FIA'!A88</f>
        <v>0</v>
      </c>
      <c r="B88" s="11">
        <f>'pesos FIA'!B88</f>
        <v>0</v>
      </c>
      <c r="C88" s="6"/>
    </row>
    <row r="89" spans="1:3" x14ac:dyDescent="0.3">
      <c r="A89" s="10">
        <f>'pesos FIA'!A89</f>
        <v>0</v>
      </c>
      <c r="B89" s="11">
        <f>'pesos FIA'!B89</f>
        <v>0</v>
      </c>
      <c r="C89" s="6"/>
    </row>
    <row r="90" spans="1:3" x14ac:dyDescent="0.3">
      <c r="A90" s="10">
        <f>'pesos FIA'!A90</f>
        <v>0</v>
      </c>
      <c r="B90" s="11">
        <f>'pesos FIA'!B90</f>
        <v>0</v>
      </c>
      <c r="C90" s="6"/>
    </row>
    <row r="91" spans="1:3" x14ac:dyDescent="0.3">
      <c r="A91" s="10">
        <f>'pesos FIA'!A91</f>
        <v>0</v>
      </c>
      <c r="B91" s="11">
        <f>'pesos FIA'!B91</f>
        <v>0</v>
      </c>
      <c r="C91" s="6"/>
    </row>
    <row r="92" spans="1:3" x14ac:dyDescent="0.3">
      <c r="A92" s="10">
        <f>'pesos FIA'!A92</f>
        <v>0</v>
      </c>
      <c r="B92" s="11">
        <f>'pesos FIA'!B92</f>
        <v>0</v>
      </c>
      <c r="C92" s="6"/>
    </row>
    <row r="93" spans="1:3" x14ac:dyDescent="0.3">
      <c r="A93" s="10">
        <f>'pesos FIA'!A93</f>
        <v>0</v>
      </c>
      <c r="B93" s="11">
        <f>'pesos FIA'!B93</f>
        <v>0</v>
      </c>
      <c r="C93" s="6"/>
    </row>
    <row r="94" spans="1:3" x14ac:dyDescent="0.3">
      <c r="A94" s="10">
        <f>'pesos FIA'!A94</f>
        <v>0</v>
      </c>
      <c r="B94" s="11">
        <f>'pesos FIA'!B94</f>
        <v>0</v>
      </c>
      <c r="C94" s="6"/>
    </row>
    <row r="95" spans="1:3" x14ac:dyDescent="0.3">
      <c r="A95" s="10">
        <f>'pesos FIA'!A95</f>
        <v>0</v>
      </c>
      <c r="B95" s="11">
        <f>'pesos FIA'!B95</f>
        <v>0</v>
      </c>
      <c r="C95" s="6"/>
    </row>
    <row r="96" spans="1:3" x14ac:dyDescent="0.3">
      <c r="A96" s="10">
        <f>'pesos FIA'!A96</f>
        <v>0</v>
      </c>
      <c r="B96" s="11">
        <f>'pesos FIA'!B96</f>
        <v>0</v>
      </c>
      <c r="C96" s="6"/>
    </row>
    <row r="97" spans="1:3" x14ac:dyDescent="0.3">
      <c r="A97" s="10">
        <f>'pesos FIA'!A97</f>
        <v>0</v>
      </c>
      <c r="B97" s="11">
        <f>'pesos FIA'!B97</f>
        <v>0</v>
      </c>
      <c r="C97" s="6"/>
    </row>
    <row r="98" spans="1:3" x14ac:dyDescent="0.3">
      <c r="A98" s="10">
        <f>'pesos FIA'!A98</f>
        <v>0</v>
      </c>
      <c r="B98" s="11">
        <f>'pesos FIA'!B98</f>
        <v>0</v>
      </c>
      <c r="C98" s="6"/>
    </row>
    <row r="99" spans="1:3" x14ac:dyDescent="0.3">
      <c r="A99" s="10">
        <f>'pesos FIA'!A99</f>
        <v>0</v>
      </c>
      <c r="B99" s="11">
        <f>'pesos FIA'!B99</f>
        <v>0</v>
      </c>
      <c r="C99" s="6"/>
    </row>
    <row r="100" spans="1:3" x14ac:dyDescent="0.3">
      <c r="A100" s="10">
        <f>'pesos FIA'!A100</f>
        <v>0</v>
      </c>
      <c r="B100" s="11">
        <f>'pesos FIA'!B100</f>
        <v>0</v>
      </c>
      <c r="C100" s="6"/>
    </row>
    <row r="101" spans="1:3" x14ac:dyDescent="0.3">
      <c r="A101" s="10">
        <f>'pesos FIA'!A101</f>
        <v>0</v>
      </c>
      <c r="B101" s="11">
        <f>'pesos FIA'!B101</f>
        <v>0</v>
      </c>
      <c r="C101" s="6"/>
    </row>
    <row r="102" spans="1:3" x14ac:dyDescent="0.3">
      <c r="A102" s="10">
        <f>'pesos FIA'!A102</f>
        <v>0</v>
      </c>
      <c r="B102" s="11">
        <f>'pesos FIA'!B102</f>
        <v>0</v>
      </c>
      <c r="C102" s="6"/>
    </row>
    <row r="103" spans="1:3" x14ac:dyDescent="0.3">
      <c r="A103" s="10">
        <f>'pesos FIA'!A103</f>
        <v>0</v>
      </c>
      <c r="B103" s="11">
        <f>'pesos FIA'!B103</f>
        <v>0</v>
      </c>
      <c r="C103" s="6"/>
    </row>
    <row r="104" spans="1:3" x14ac:dyDescent="0.3">
      <c r="A104" s="10">
        <f>'pesos FIA'!A104</f>
        <v>0</v>
      </c>
      <c r="B104" s="11">
        <f>'pesos FIA'!B104</f>
        <v>0</v>
      </c>
      <c r="C104" s="6"/>
    </row>
    <row r="105" spans="1:3" x14ac:dyDescent="0.3">
      <c r="A105" s="10">
        <f>'pesos FIA'!A105</f>
        <v>0</v>
      </c>
      <c r="B105" s="11">
        <f>'pesos FIA'!B105</f>
        <v>0</v>
      </c>
      <c r="C105" s="6"/>
    </row>
    <row r="106" spans="1:3" x14ac:dyDescent="0.3">
      <c r="A106" s="10">
        <f>'pesos FIA'!A106</f>
        <v>0</v>
      </c>
      <c r="B106" s="11">
        <f>'pesos FIA'!B106</f>
        <v>0</v>
      </c>
      <c r="C106" s="6"/>
    </row>
    <row r="107" spans="1:3" x14ac:dyDescent="0.3">
      <c r="A107" s="10">
        <f>'pesos FIA'!A107</f>
        <v>0</v>
      </c>
      <c r="B107" s="11">
        <f>'pesos FIA'!B107</f>
        <v>0</v>
      </c>
      <c r="C107" s="6"/>
    </row>
    <row r="108" spans="1:3" x14ac:dyDescent="0.3">
      <c r="A108" s="10">
        <f>'pesos FIA'!A108</f>
        <v>0</v>
      </c>
      <c r="B108" s="11">
        <f>'pesos FIA'!B108</f>
        <v>0</v>
      </c>
      <c r="C108" s="6"/>
    </row>
    <row r="109" spans="1:3" x14ac:dyDescent="0.3">
      <c r="A109" s="10">
        <f>'pesos FIA'!A109</f>
        <v>0</v>
      </c>
      <c r="B109" s="11">
        <f>'pesos FIA'!B109</f>
        <v>0</v>
      </c>
      <c r="C109" s="6"/>
    </row>
    <row r="110" spans="1:3" x14ac:dyDescent="0.3">
      <c r="A110" s="10">
        <f>'pesos FIA'!A110</f>
        <v>0</v>
      </c>
      <c r="B110" s="11">
        <f>'pesos FIA'!B110</f>
        <v>0</v>
      </c>
      <c r="C110" s="6"/>
    </row>
    <row r="111" spans="1:3" x14ac:dyDescent="0.3">
      <c r="A111" s="10">
        <f>'pesos FIA'!A111</f>
        <v>0</v>
      </c>
      <c r="B111" s="11">
        <f>'pesos FIA'!B111</f>
        <v>0</v>
      </c>
      <c r="C111" s="6"/>
    </row>
    <row r="112" spans="1:3" x14ac:dyDescent="0.3">
      <c r="A112" s="10">
        <f>'pesos FIA'!A112</f>
        <v>0</v>
      </c>
      <c r="B112" s="11">
        <f>'pesos FIA'!B112</f>
        <v>0</v>
      </c>
      <c r="C112" s="6"/>
    </row>
    <row r="113" spans="1:3" x14ac:dyDescent="0.3">
      <c r="A113" s="10">
        <f>'pesos FIA'!A113</f>
        <v>0</v>
      </c>
      <c r="B113" s="11">
        <f>'pesos FIA'!B113</f>
        <v>0</v>
      </c>
      <c r="C113" s="6"/>
    </row>
    <row r="114" spans="1:3" x14ac:dyDescent="0.3">
      <c r="A114" s="10">
        <f>'pesos FIA'!A114</f>
        <v>0</v>
      </c>
      <c r="B114" s="11">
        <f>'pesos FIA'!B114</f>
        <v>0</v>
      </c>
      <c r="C114" s="6"/>
    </row>
    <row r="115" spans="1:3" x14ac:dyDescent="0.3">
      <c r="A115" s="10">
        <f>'pesos FIA'!A115</f>
        <v>0</v>
      </c>
      <c r="B115" s="11">
        <f>'pesos FIA'!B115</f>
        <v>0</v>
      </c>
      <c r="C115" s="6"/>
    </row>
    <row r="116" spans="1:3" x14ac:dyDescent="0.3">
      <c r="A116" s="10">
        <f>'pesos FIA'!A116</f>
        <v>0</v>
      </c>
      <c r="B116" s="11">
        <f>'pesos FIA'!B116</f>
        <v>0</v>
      </c>
      <c r="C116" s="6"/>
    </row>
    <row r="117" spans="1:3" x14ac:dyDescent="0.3">
      <c r="A117" s="10">
        <f>'pesos FIA'!A117</f>
        <v>0</v>
      </c>
      <c r="B117" s="11">
        <f>'pesos FIA'!B117</f>
        <v>0</v>
      </c>
      <c r="C117" s="6"/>
    </row>
    <row r="118" spans="1:3" x14ac:dyDescent="0.3">
      <c r="A118" s="10">
        <f>'pesos FIA'!A118</f>
        <v>0</v>
      </c>
      <c r="B118" s="11">
        <f>'pesos FIA'!B118</f>
        <v>0</v>
      </c>
      <c r="C118" s="6"/>
    </row>
    <row r="119" spans="1:3" x14ac:dyDescent="0.3">
      <c r="A119" s="10">
        <f>'pesos FIA'!A119</f>
        <v>0</v>
      </c>
      <c r="B119" s="11">
        <f>'pesos FIA'!B119</f>
        <v>0</v>
      </c>
      <c r="C119" s="6"/>
    </row>
    <row r="120" spans="1:3" x14ac:dyDescent="0.3">
      <c r="A120" s="10">
        <f>'pesos FIA'!A120</f>
        <v>0</v>
      </c>
      <c r="B120" s="11">
        <f>'pesos FIA'!B120</f>
        <v>0</v>
      </c>
      <c r="C120" s="6"/>
    </row>
    <row r="121" spans="1:3" x14ac:dyDescent="0.3">
      <c r="A121" s="10">
        <f>'pesos FIA'!A121</f>
        <v>0</v>
      </c>
      <c r="B121" s="11">
        <f>'pesos FIA'!B121</f>
        <v>0</v>
      </c>
      <c r="C121" s="6"/>
    </row>
    <row r="122" spans="1:3" x14ac:dyDescent="0.3">
      <c r="A122" s="10">
        <f>'pesos FIA'!A122</f>
        <v>0</v>
      </c>
      <c r="B122" s="11">
        <f>'pesos FIA'!B122</f>
        <v>0</v>
      </c>
      <c r="C122" s="6"/>
    </row>
    <row r="123" spans="1:3" x14ac:dyDescent="0.3">
      <c r="A123" s="10">
        <f>'pesos FIA'!A123</f>
        <v>0</v>
      </c>
      <c r="B123" s="11">
        <f>'pesos FIA'!B123</f>
        <v>0</v>
      </c>
      <c r="C123" s="6"/>
    </row>
    <row r="124" spans="1:3" x14ac:dyDescent="0.3">
      <c r="A124" s="10">
        <f>'pesos FIA'!A124</f>
        <v>0</v>
      </c>
      <c r="B124" s="11">
        <f>'pesos FIA'!B124</f>
        <v>0</v>
      </c>
      <c r="C124" s="6"/>
    </row>
    <row r="125" spans="1:3" x14ac:dyDescent="0.3">
      <c r="A125" s="10">
        <f>'pesos FIA'!A125</f>
        <v>0</v>
      </c>
      <c r="B125" s="11">
        <f>'pesos FIA'!B125</f>
        <v>0</v>
      </c>
      <c r="C125" s="6"/>
    </row>
    <row r="126" spans="1:3" x14ac:dyDescent="0.3">
      <c r="A126" s="10">
        <f>'pesos FIA'!A126</f>
        <v>0</v>
      </c>
      <c r="B126" s="11">
        <f>'pesos FIA'!B126</f>
        <v>0</v>
      </c>
      <c r="C126" s="6"/>
    </row>
    <row r="127" spans="1:3" x14ac:dyDescent="0.3">
      <c r="A127" s="10">
        <f>'pesos FIA'!A127</f>
        <v>0</v>
      </c>
      <c r="B127" s="11">
        <f>'pesos FIA'!B127</f>
        <v>0</v>
      </c>
      <c r="C127" s="6"/>
    </row>
    <row r="128" spans="1:3" x14ac:dyDescent="0.3">
      <c r="A128" s="10">
        <f>'pesos FIA'!A128</f>
        <v>0</v>
      </c>
      <c r="B128" s="11">
        <f>'pesos FIA'!B128</f>
        <v>0</v>
      </c>
      <c r="C128" s="6"/>
    </row>
    <row r="129" spans="1:3" x14ac:dyDescent="0.3">
      <c r="A129" s="10">
        <f>'pesos FIA'!A129</f>
        <v>0</v>
      </c>
      <c r="B129" s="11">
        <f>'pesos FIA'!B129</f>
        <v>0</v>
      </c>
      <c r="C129" s="6"/>
    </row>
    <row r="130" spans="1:3" x14ac:dyDescent="0.3">
      <c r="A130" s="10">
        <f>'pesos FIA'!A130</f>
        <v>0</v>
      </c>
      <c r="B130" s="11">
        <f>'pesos FIA'!B130</f>
        <v>0</v>
      </c>
      <c r="C130" s="6"/>
    </row>
    <row r="131" spans="1:3" x14ac:dyDescent="0.3">
      <c r="A131" s="10">
        <f>'pesos FIA'!A131</f>
        <v>0</v>
      </c>
      <c r="B131" s="11">
        <f>'pesos FIA'!B131</f>
        <v>0</v>
      </c>
      <c r="C131" s="6"/>
    </row>
    <row r="132" spans="1:3" x14ac:dyDescent="0.3">
      <c r="A132" s="10">
        <f>'pesos FIA'!A132</f>
        <v>0</v>
      </c>
      <c r="B132" s="11">
        <f>'pesos FIA'!B132</f>
        <v>0</v>
      </c>
      <c r="C132" s="6"/>
    </row>
    <row r="133" spans="1:3" x14ac:dyDescent="0.3">
      <c r="A133" s="10">
        <f>'pesos FIA'!A133</f>
        <v>0</v>
      </c>
      <c r="B133" s="11">
        <f>'pesos FIA'!B133</f>
        <v>0</v>
      </c>
      <c r="C133" s="6"/>
    </row>
    <row r="134" spans="1:3" x14ac:dyDescent="0.3">
      <c r="A134" s="10">
        <f>'pesos FIA'!A134</f>
        <v>0</v>
      </c>
      <c r="B134" s="11">
        <f>'pesos FIA'!B134</f>
        <v>0</v>
      </c>
      <c r="C134" s="6"/>
    </row>
    <row r="135" spans="1:3" x14ac:dyDescent="0.3">
      <c r="A135" s="10">
        <f>'pesos FIA'!A135</f>
        <v>0</v>
      </c>
      <c r="B135" s="11">
        <f>'pesos FIA'!B135</f>
        <v>0</v>
      </c>
      <c r="C135" s="6"/>
    </row>
    <row r="136" spans="1:3" x14ac:dyDescent="0.3">
      <c r="A136" s="10">
        <f>'pesos FIA'!A136</f>
        <v>0</v>
      </c>
      <c r="B136" s="11">
        <f>'pesos FIA'!B136</f>
        <v>0</v>
      </c>
      <c r="C136" s="6"/>
    </row>
    <row r="137" spans="1:3" x14ac:dyDescent="0.3">
      <c r="A137" s="10">
        <f>'pesos FIA'!A137</f>
        <v>0</v>
      </c>
      <c r="B137" s="11">
        <f>'pesos FIA'!B137</f>
        <v>0</v>
      </c>
      <c r="C137" s="6"/>
    </row>
    <row r="138" spans="1:3" x14ac:dyDescent="0.3">
      <c r="A138" s="10">
        <f>'pesos FIA'!A138</f>
        <v>0</v>
      </c>
      <c r="B138" s="11">
        <f>'pesos FIA'!B138</f>
        <v>0</v>
      </c>
      <c r="C138" s="6"/>
    </row>
    <row r="139" spans="1:3" x14ac:dyDescent="0.3">
      <c r="A139" s="10">
        <f>'pesos FIA'!A139</f>
        <v>0</v>
      </c>
      <c r="B139" s="11">
        <f>'pesos FIA'!B139</f>
        <v>0</v>
      </c>
      <c r="C139" s="6"/>
    </row>
    <row r="140" spans="1:3" x14ac:dyDescent="0.3">
      <c r="A140" s="10">
        <f>'pesos FIA'!A140</f>
        <v>0</v>
      </c>
      <c r="B140" s="11">
        <f>'pesos FIA'!B140</f>
        <v>0</v>
      </c>
      <c r="C140" s="6"/>
    </row>
    <row r="141" spans="1:3" x14ac:dyDescent="0.3">
      <c r="A141" s="10">
        <f>'pesos FIA'!A141</f>
        <v>0</v>
      </c>
      <c r="B141" s="11">
        <f>'pesos FIA'!B141</f>
        <v>0</v>
      </c>
      <c r="C141" s="6"/>
    </row>
    <row r="142" spans="1:3" x14ac:dyDescent="0.3">
      <c r="A142" s="10">
        <f>'pesos FIA'!A142</f>
        <v>0</v>
      </c>
      <c r="B142" s="11">
        <f>'pesos FIA'!B142</f>
        <v>0</v>
      </c>
      <c r="C142" s="6"/>
    </row>
    <row r="143" spans="1:3" x14ac:dyDescent="0.3">
      <c r="A143" s="10">
        <f>'pesos FIA'!A143</f>
        <v>0</v>
      </c>
      <c r="B143" s="11">
        <f>'pesos FIA'!B143</f>
        <v>0</v>
      </c>
      <c r="C143" s="6"/>
    </row>
    <row r="144" spans="1:3" x14ac:dyDescent="0.3">
      <c r="A144" s="10">
        <f>'pesos FIA'!A144</f>
        <v>0</v>
      </c>
      <c r="B144" s="11">
        <f>'pesos FIA'!B144</f>
        <v>0</v>
      </c>
      <c r="C144" s="6"/>
    </row>
    <row r="145" spans="1:3" x14ac:dyDescent="0.3">
      <c r="A145" s="10">
        <f>'pesos FIA'!A145</f>
        <v>0</v>
      </c>
      <c r="B145" s="11">
        <f>'pesos FIA'!B145</f>
        <v>0</v>
      </c>
      <c r="C145" s="6"/>
    </row>
    <row r="146" spans="1:3" x14ac:dyDescent="0.3">
      <c r="A146" s="10">
        <f>'pesos FIA'!A146</f>
        <v>0</v>
      </c>
      <c r="B146" s="11">
        <f>'pesos FIA'!B146</f>
        <v>0</v>
      </c>
      <c r="C146" s="6"/>
    </row>
    <row r="147" spans="1:3" x14ac:dyDescent="0.3">
      <c r="A147" s="10">
        <f>'pesos FIA'!A147</f>
        <v>0</v>
      </c>
      <c r="B147" s="11">
        <f>'pesos FIA'!B147</f>
        <v>0</v>
      </c>
      <c r="C147" s="6"/>
    </row>
    <row r="148" spans="1:3" x14ac:dyDescent="0.3">
      <c r="A148" s="10">
        <f>'pesos FIA'!A148</f>
        <v>0</v>
      </c>
      <c r="B148" s="11">
        <f>'pesos FIA'!B148</f>
        <v>0</v>
      </c>
      <c r="C148" s="6"/>
    </row>
    <row r="149" spans="1:3" x14ac:dyDescent="0.3">
      <c r="A149" s="10">
        <f>'pesos FIA'!A149</f>
        <v>0</v>
      </c>
      <c r="B149" s="11">
        <f>'pesos FIA'!B149</f>
        <v>0</v>
      </c>
      <c r="C149" s="6"/>
    </row>
    <row r="150" spans="1:3" x14ac:dyDescent="0.3">
      <c r="A150" s="10">
        <f>'pesos FIA'!A150</f>
        <v>0</v>
      </c>
      <c r="B150" s="11">
        <f>'pesos FIA'!B150</f>
        <v>0</v>
      </c>
      <c r="C150" s="6"/>
    </row>
    <row r="151" spans="1:3" x14ac:dyDescent="0.3">
      <c r="A151" s="10">
        <f>'pesos FIA'!A151</f>
        <v>0</v>
      </c>
      <c r="B151" s="11">
        <f>'pesos FIA'!B151</f>
        <v>0</v>
      </c>
      <c r="C151" s="6"/>
    </row>
    <row r="152" spans="1:3" x14ac:dyDescent="0.3">
      <c r="A152" s="10">
        <f>'pesos FIA'!A152</f>
        <v>0</v>
      </c>
      <c r="B152" s="11">
        <f>'pesos FIA'!B152</f>
        <v>0</v>
      </c>
      <c r="C152" s="6"/>
    </row>
    <row r="153" spans="1:3" x14ac:dyDescent="0.3">
      <c r="A153" s="10">
        <f>'pesos FIA'!A153</f>
        <v>0</v>
      </c>
      <c r="B153" s="11">
        <f>'pesos FIA'!B153</f>
        <v>0</v>
      </c>
      <c r="C153" s="6"/>
    </row>
    <row r="154" spans="1:3" x14ac:dyDescent="0.3">
      <c r="A154" s="10">
        <f>'pesos FIA'!A154</f>
        <v>0</v>
      </c>
      <c r="B154" s="11">
        <f>'pesos FIA'!B154</f>
        <v>0</v>
      </c>
      <c r="C154" s="6"/>
    </row>
    <row r="155" spans="1:3" x14ac:dyDescent="0.3">
      <c r="A155" s="10">
        <f>'pesos FIA'!A155</f>
        <v>0</v>
      </c>
      <c r="B155" s="11">
        <f>'pesos FIA'!B155</f>
        <v>0</v>
      </c>
      <c r="C155" s="6"/>
    </row>
    <row r="156" spans="1:3" x14ac:dyDescent="0.3">
      <c r="A156" s="10">
        <f>'pesos FIA'!A156</f>
        <v>0</v>
      </c>
      <c r="B156" s="11">
        <f>'pesos FIA'!B156</f>
        <v>0</v>
      </c>
      <c r="C156" s="6"/>
    </row>
    <row r="157" spans="1:3" x14ac:dyDescent="0.3">
      <c r="A157" s="10">
        <f>'pesos FIA'!A157</f>
        <v>0</v>
      </c>
      <c r="B157" s="11">
        <f>'pesos FIA'!B157</f>
        <v>0</v>
      </c>
      <c r="C157" s="6"/>
    </row>
    <row r="158" spans="1:3" x14ac:dyDescent="0.3">
      <c r="A158" s="10">
        <f>'pesos FIA'!A158</f>
        <v>0</v>
      </c>
      <c r="B158" s="11">
        <f>'pesos FIA'!B158</f>
        <v>0</v>
      </c>
      <c r="C158" s="6"/>
    </row>
    <row r="159" spans="1:3" x14ac:dyDescent="0.3">
      <c r="A159" s="10">
        <f>'pesos FIA'!A159</f>
        <v>0</v>
      </c>
      <c r="B159" s="11">
        <f>'pesos FIA'!B159</f>
        <v>0</v>
      </c>
      <c r="C159" s="6"/>
    </row>
    <row r="160" spans="1:3" x14ac:dyDescent="0.3">
      <c r="A160" s="10">
        <f>'pesos FIA'!A160</f>
        <v>0</v>
      </c>
      <c r="B160" s="11">
        <f>'pesos FIA'!B160</f>
        <v>0</v>
      </c>
      <c r="C160" s="6"/>
    </row>
    <row r="161" spans="1:3" x14ac:dyDescent="0.3">
      <c r="A161" s="10">
        <f>'pesos FIA'!A161</f>
        <v>0</v>
      </c>
      <c r="B161" s="11">
        <f>'pesos FIA'!B161</f>
        <v>0</v>
      </c>
      <c r="C161" s="6"/>
    </row>
    <row r="162" spans="1:3" x14ac:dyDescent="0.3">
      <c r="A162" s="10">
        <f>'pesos FIA'!A162</f>
        <v>0</v>
      </c>
      <c r="B162" s="11">
        <f>'pesos FIA'!B162</f>
        <v>0</v>
      </c>
      <c r="C162" s="6"/>
    </row>
    <row r="163" spans="1:3" x14ac:dyDescent="0.3">
      <c r="A163" s="10">
        <f>'pesos FIA'!A163</f>
        <v>0</v>
      </c>
      <c r="B163" s="11">
        <f>'pesos FIA'!B163</f>
        <v>0</v>
      </c>
      <c r="C163" s="6"/>
    </row>
    <row r="164" spans="1:3" x14ac:dyDescent="0.3">
      <c r="A164" s="10">
        <f>'pesos FIA'!A164</f>
        <v>0</v>
      </c>
      <c r="B164" s="11">
        <f>'pesos FIA'!B164</f>
        <v>0</v>
      </c>
      <c r="C164" s="6"/>
    </row>
    <row r="165" spans="1:3" x14ac:dyDescent="0.3">
      <c r="A165" s="10">
        <f>'pesos FIA'!A165</f>
        <v>0</v>
      </c>
      <c r="B165" s="11">
        <f>'pesos FIA'!B165</f>
        <v>0</v>
      </c>
      <c r="C165" s="6"/>
    </row>
    <row r="166" spans="1:3" x14ac:dyDescent="0.3">
      <c r="A166" s="10">
        <f>'pesos FIA'!A166</f>
        <v>0</v>
      </c>
      <c r="B166" s="11">
        <f>'pesos FIA'!B166</f>
        <v>0</v>
      </c>
      <c r="C166" s="6"/>
    </row>
    <row r="167" spans="1:3" x14ac:dyDescent="0.3">
      <c r="A167" s="10">
        <f>'pesos FIA'!A167</f>
        <v>0</v>
      </c>
      <c r="B167" s="11">
        <f>'pesos FIA'!B167</f>
        <v>0</v>
      </c>
      <c r="C167" s="6"/>
    </row>
    <row r="168" spans="1:3" x14ac:dyDescent="0.3">
      <c r="A168" s="10">
        <f>'pesos FIA'!A168</f>
        <v>0</v>
      </c>
      <c r="B168" s="11">
        <f>'pesos FIA'!B168</f>
        <v>0</v>
      </c>
      <c r="C168" s="6"/>
    </row>
    <row r="169" spans="1:3" x14ac:dyDescent="0.3">
      <c r="A169" s="10">
        <f>'pesos FIA'!A169</f>
        <v>0</v>
      </c>
      <c r="B169" s="11">
        <f>'pesos FIA'!B169</f>
        <v>0</v>
      </c>
      <c r="C169" s="6"/>
    </row>
    <row r="170" spans="1:3" x14ac:dyDescent="0.3">
      <c r="A170" s="10">
        <f>'pesos FIA'!A170</f>
        <v>0</v>
      </c>
      <c r="B170" s="11">
        <f>'pesos FIA'!B170</f>
        <v>0</v>
      </c>
      <c r="C170" s="6"/>
    </row>
    <row r="171" spans="1:3" x14ac:dyDescent="0.3">
      <c r="A171" s="10">
        <f>'pesos FIA'!A171</f>
        <v>0</v>
      </c>
      <c r="B171" s="11">
        <f>'pesos FIA'!B171</f>
        <v>0</v>
      </c>
      <c r="C171" s="6"/>
    </row>
    <row r="172" spans="1:3" x14ac:dyDescent="0.3">
      <c r="A172" s="10">
        <f>'pesos FIA'!A172</f>
        <v>0</v>
      </c>
      <c r="B172" s="11">
        <f>'pesos FIA'!B172</f>
        <v>0</v>
      </c>
      <c r="C172" s="6"/>
    </row>
    <row r="173" spans="1:3" x14ac:dyDescent="0.3">
      <c r="A173" s="10">
        <f>'pesos FIA'!A173</f>
        <v>0</v>
      </c>
      <c r="B173" s="11">
        <f>'pesos FIA'!B173</f>
        <v>0</v>
      </c>
      <c r="C173" s="6"/>
    </row>
    <row r="174" spans="1:3" x14ac:dyDescent="0.3">
      <c r="A174" s="10">
        <f>'pesos FIA'!A174</f>
        <v>0</v>
      </c>
      <c r="B174" s="11">
        <f>'pesos FIA'!B174</f>
        <v>0</v>
      </c>
      <c r="C174" s="6"/>
    </row>
    <row r="175" spans="1:3" x14ac:dyDescent="0.3">
      <c r="A175" s="10">
        <f>'pesos FIA'!A175</f>
        <v>0</v>
      </c>
      <c r="B175" s="11">
        <f>'pesos FIA'!B175</f>
        <v>0</v>
      </c>
      <c r="C175" s="6"/>
    </row>
    <row r="176" spans="1:3" x14ac:dyDescent="0.3">
      <c r="A176" s="10">
        <f>'pesos FIA'!A176</f>
        <v>0</v>
      </c>
      <c r="B176" s="11">
        <f>'pesos FIA'!B176</f>
        <v>0</v>
      </c>
      <c r="C176" s="6"/>
    </row>
    <row r="177" spans="1:3" x14ac:dyDescent="0.3">
      <c r="A177" s="10">
        <f>'pesos FIA'!A177</f>
        <v>0</v>
      </c>
      <c r="B177" s="11">
        <f>'pesos FIA'!B177</f>
        <v>0</v>
      </c>
      <c r="C177" s="6"/>
    </row>
    <row r="178" spans="1:3" x14ac:dyDescent="0.3">
      <c r="A178" s="10">
        <f>'pesos FIA'!A178</f>
        <v>0</v>
      </c>
      <c r="B178" s="11">
        <f>'pesos FIA'!B178</f>
        <v>0</v>
      </c>
      <c r="C178" s="6"/>
    </row>
    <row r="179" spans="1:3" x14ac:dyDescent="0.3">
      <c r="A179" s="10">
        <f>'pesos FIA'!A179</f>
        <v>0</v>
      </c>
      <c r="B179" s="11">
        <f>'pesos FIA'!B179</f>
        <v>0</v>
      </c>
      <c r="C179" s="6"/>
    </row>
    <row r="180" spans="1:3" x14ac:dyDescent="0.3">
      <c r="A180" s="10">
        <f>'pesos FIA'!A180</f>
        <v>0</v>
      </c>
      <c r="B180" s="11">
        <f>'pesos FIA'!B180</f>
        <v>0</v>
      </c>
      <c r="C180" s="6"/>
    </row>
    <row r="181" spans="1:3" x14ac:dyDescent="0.3">
      <c r="A181" s="10">
        <f>'pesos FIA'!A181</f>
        <v>0</v>
      </c>
      <c r="B181" s="11">
        <f>'pesos FIA'!B181</f>
        <v>0</v>
      </c>
      <c r="C181" s="6"/>
    </row>
    <row r="182" spans="1:3" x14ac:dyDescent="0.3">
      <c r="A182" s="10">
        <f>'pesos FIA'!A182</f>
        <v>0</v>
      </c>
      <c r="B182" s="11">
        <f>'pesos FIA'!B182</f>
        <v>0</v>
      </c>
      <c r="C182" s="6"/>
    </row>
    <row r="183" spans="1:3" x14ac:dyDescent="0.3">
      <c r="A183" s="10">
        <f>'pesos FIA'!A183</f>
        <v>0</v>
      </c>
      <c r="B183" s="11">
        <f>'pesos FIA'!B183</f>
        <v>0</v>
      </c>
      <c r="C183" s="6"/>
    </row>
    <row r="184" spans="1:3" x14ac:dyDescent="0.3">
      <c r="A184" s="10">
        <f>'pesos FIA'!A184</f>
        <v>0</v>
      </c>
      <c r="B184" s="11">
        <f>'pesos FIA'!B184</f>
        <v>0</v>
      </c>
      <c r="C184" s="6"/>
    </row>
    <row r="185" spans="1:3" x14ac:dyDescent="0.3">
      <c r="A185" s="10">
        <f>'pesos FIA'!A185</f>
        <v>0</v>
      </c>
      <c r="B185" s="11">
        <f>'pesos FIA'!B185</f>
        <v>0</v>
      </c>
      <c r="C185" s="6"/>
    </row>
    <row r="186" spans="1:3" x14ac:dyDescent="0.3">
      <c r="A186" s="10">
        <f>'pesos FIA'!A186</f>
        <v>0</v>
      </c>
      <c r="B186" s="11">
        <f>'pesos FIA'!B186</f>
        <v>0</v>
      </c>
      <c r="C186" s="6"/>
    </row>
    <row r="187" spans="1:3" x14ac:dyDescent="0.3">
      <c r="A187" s="10">
        <f>'pesos FIA'!A187</f>
        <v>0</v>
      </c>
      <c r="B187" s="11">
        <f>'pesos FIA'!B187</f>
        <v>0</v>
      </c>
      <c r="C187" s="6"/>
    </row>
    <row r="188" spans="1:3" x14ac:dyDescent="0.3">
      <c r="A188" s="10">
        <f>'pesos FIA'!A188</f>
        <v>0</v>
      </c>
      <c r="B188" s="11">
        <f>'pesos FIA'!B188</f>
        <v>0</v>
      </c>
      <c r="C188" s="6"/>
    </row>
    <row r="189" spans="1:3" x14ac:dyDescent="0.3">
      <c r="A189" s="10">
        <f>'pesos FIA'!A189</f>
        <v>0</v>
      </c>
      <c r="B189" s="11">
        <f>'pesos FIA'!B189</f>
        <v>0</v>
      </c>
      <c r="C189" s="6"/>
    </row>
    <row r="190" spans="1:3" x14ac:dyDescent="0.3">
      <c r="A190" s="10">
        <f>'pesos FIA'!A190</f>
        <v>0</v>
      </c>
      <c r="B190" s="11">
        <f>'pesos FIA'!B190</f>
        <v>0</v>
      </c>
      <c r="C190" s="6"/>
    </row>
    <row r="191" spans="1:3" x14ac:dyDescent="0.3">
      <c r="A191" s="10">
        <f>'pesos FIA'!A191</f>
        <v>0</v>
      </c>
      <c r="B191" s="11">
        <f>'pesos FIA'!B191</f>
        <v>0</v>
      </c>
      <c r="C191" s="6"/>
    </row>
    <row r="192" spans="1:3" x14ac:dyDescent="0.3">
      <c r="A192" s="10">
        <f>'pesos FIA'!A192</f>
        <v>0</v>
      </c>
      <c r="B192" s="11">
        <f>'pesos FIA'!B192</f>
        <v>0</v>
      </c>
      <c r="C192" s="6"/>
    </row>
    <row r="193" spans="1:3" x14ac:dyDescent="0.3">
      <c r="A193" s="10">
        <f>'pesos FIA'!A193</f>
        <v>0</v>
      </c>
      <c r="B193" s="11">
        <f>'pesos FIA'!B193</f>
        <v>0</v>
      </c>
      <c r="C193" s="6"/>
    </row>
    <row r="194" spans="1:3" x14ac:dyDescent="0.3">
      <c r="A194" s="10">
        <f>'pesos FIA'!A194</f>
        <v>0</v>
      </c>
      <c r="B194" s="11">
        <f>'pesos FIA'!B194</f>
        <v>0</v>
      </c>
      <c r="C194" s="6"/>
    </row>
    <row r="195" spans="1:3" x14ac:dyDescent="0.3">
      <c r="A195" s="10">
        <f>'pesos FIA'!A195</f>
        <v>0</v>
      </c>
      <c r="B195" s="11">
        <f>'pesos FIA'!B195</f>
        <v>0</v>
      </c>
      <c r="C195" s="6"/>
    </row>
    <row r="196" spans="1:3" x14ac:dyDescent="0.3">
      <c r="A196" s="10">
        <f>'pesos FIA'!A196</f>
        <v>0</v>
      </c>
      <c r="B196" s="11">
        <f>'pesos FIA'!B196</f>
        <v>0</v>
      </c>
      <c r="C196" s="6"/>
    </row>
    <row r="197" spans="1:3" x14ac:dyDescent="0.3">
      <c r="A197" s="10">
        <f>'pesos FIA'!A197</f>
        <v>0</v>
      </c>
      <c r="B197" s="11">
        <f>'pesos FIA'!B197</f>
        <v>0</v>
      </c>
      <c r="C197" s="6"/>
    </row>
    <row r="198" spans="1:3" x14ac:dyDescent="0.3">
      <c r="A198" s="10">
        <f>'pesos FIA'!A198</f>
        <v>0</v>
      </c>
      <c r="B198" s="11">
        <f>'pesos FIA'!B198</f>
        <v>0</v>
      </c>
      <c r="C198" s="6"/>
    </row>
    <row r="199" spans="1:3" x14ac:dyDescent="0.3">
      <c r="A199" s="10">
        <f>'pesos FIA'!A199</f>
        <v>0</v>
      </c>
      <c r="B199" s="11">
        <f>'pesos FIA'!B199</f>
        <v>0</v>
      </c>
      <c r="C199" s="6"/>
    </row>
    <row r="200" spans="1:3" x14ac:dyDescent="0.3">
      <c r="A200" s="10">
        <f>'pesos FIA'!A200</f>
        <v>0</v>
      </c>
      <c r="B200" s="11">
        <f>'pesos FIA'!B200</f>
        <v>0</v>
      </c>
      <c r="C200" s="6"/>
    </row>
    <row r="201" spans="1:3" x14ac:dyDescent="0.3">
      <c r="A201" s="10">
        <f>'pesos FIA'!A201</f>
        <v>0</v>
      </c>
      <c r="B201" s="11">
        <f>'pesos FIA'!B201</f>
        <v>0</v>
      </c>
      <c r="C201" s="6"/>
    </row>
    <row r="202" spans="1:3" x14ac:dyDescent="0.3">
      <c r="A202" s="10">
        <f>'pesos FIA'!A202</f>
        <v>0</v>
      </c>
      <c r="B202" s="11">
        <f>'pesos FIA'!B202</f>
        <v>0</v>
      </c>
      <c r="C202" s="6"/>
    </row>
    <row r="203" spans="1:3" x14ac:dyDescent="0.3">
      <c r="A203" s="10">
        <f>'pesos FIA'!A203</f>
        <v>0</v>
      </c>
      <c r="B203" s="11">
        <f>'pesos FIA'!B203</f>
        <v>0</v>
      </c>
      <c r="C203" s="6"/>
    </row>
    <row r="204" spans="1:3" x14ac:dyDescent="0.3">
      <c r="A204" s="10">
        <f>'pesos FIA'!A204</f>
        <v>0</v>
      </c>
      <c r="B204" s="11">
        <f>'pesos FIA'!B204</f>
        <v>0</v>
      </c>
      <c r="C204" s="6"/>
    </row>
    <row r="205" spans="1:3" x14ac:dyDescent="0.3">
      <c r="A205" s="10">
        <f>'pesos FIA'!A205</f>
        <v>0</v>
      </c>
      <c r="B205" s="11">
        <f>'pesos FIA'!B205</f>
        <v>0</v>
      </c>
      <c r="C205" s="6"/>
    </row>
    <row r="206" spans="1:3" x14ac:dyDescent="0.3">
      <c r="A206" s="10">
        <f>'pesos FIA'!A206</f>
        <v>0</v>
      </c>
      <c r="B206" s="11">
        <f>'pesos FIA'!B206</f>
        <v>0</v>
      </c>
      <c r="C206" s="6"/>
    </row>
    <row r="207" spans="1:3" x14ac:dyDescent="0.3">
      <c r="A207" s="10">
        <f>'pesos FIA'!A207</f>
        <v>0</v>
      </c>
      <c r="B207" s="11">
        <f>'pesos FIA'!B207</f>
        <v>0</v>
      </c>
      <c r="C207" s="6"/>
    </row>
    <row r="208" spans="1:3" x14ac:dyDescent="0.3">
      <c r="A208" s="10">
        <f>'pesos FIA'!A208</f>
        <v>0</v>
      </c>
      <c r="B208" s="11">
        <f>'pesos FIA'!B208</f>
        <v>0</v>
      </c>
      <c r="C208" s="6"/>
    </row>
    <row r="209" spans="1:3" x14ac:dyDescent="0.3">
      <c r="A209" s="10">
        <f>'pesos FIA'!A209</f>
        <v>0</v>
      </c>
      <c r="B209" s="11">
        <f>'pesos FIA'!B209</f>
        <v>0</v>
      </c>
      <c r="C209" s="6"/>
    </row>
    <row r="210" spans="1:3" x14ac:dyDescent="0.3">
      <c r="A210" s="10">
        <f>'pesos FIA'!A210</f>
        <v>0</v>
      </c>
      <c r="B210" s="11">
        <f>'pesos FIA'!B210</f>
        <v>0</v>
      </c>
      <c r="C210" s="6"/>
    </row>
    <row r="211" spans="1:3" x14ac:dyDescent="0.3">
      <c r="A211" s="10">
        <f>'pesos FIA'!A211</f>
        <v>0</v>
      </c>
      <c r="B211" s="11">
        <f>'pesos FIA'!B211</f>
        <v>0</v>
      </c>
      <c r="C211" s="6"/>
    </row>
    <row r="212" spans="1:3" x14ac:dyDescent="0.3">
      <c r="C212" s="6"/>
    </row>
    <row r="213" spans="1:3" x14ac:dyDescent="0.3">
      <c r="C213" s="6"/>
    </row>
    <row r="214" spans="1:3" x14ac:dyDescent="0.3">
      <c r="C214" s="6"/>
    </row>
    <row r="215" spans="1:3" x14ac:dyDescent="0.3">
      <c r="C215" s="6"/>
    </row>
    <row r="216" spans="1:3" x14ac:dyDescent="0.3">
      <c r="C216" s="6"/>
    </row>
    <row r="217" spans="1:3" x14ac:dyDescent="0.3">
      <c r="C217" s="6"/>
    </row>
    <row r="218" spans="1:3" x14ac:dyDescent="0.3">
      <c r="C218" s="6"/>
    </row>
    <row r="219" spans="1:3" x14ac:dyDescent="0.3">
      <c r="C219" s="6"/>
    </row>
    <row r="220" spans="1:3" x14ac:dyDescent="0.3">
      <c r="C220" s="6"/>
    </row>
    <row r="221" spans="1:3" x14ac:dyDescent="0.3">
      <c r="C221" s="6"/>
    </row>
    <row r="222" spans="1:3" x14ac:dyDescent="0.3">
      <c r="C222" s="6"/>
    </row>
    <row r="223" spans="1:3" x14ac:dyDescent="0.3">
      <c r="C223" s="6"/>
    </row>
    <row r="224" spans="1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D5AE-BDC5-40CC-81A9-36AE51996E82}">
  <sheetPr codeName="Planilha8"/>
  <dimension ref="A1:M253"/>
  <sheetViews>
    <sheetView workbookViewId="0">
      <selection activeCell="G1" sqref="G1"/>
    </sheetView>
  </sheetViews>
  <sheetFormatPr defaultRowHeight="14.4" x14ac:dyDescent="0.3"/>
  <cols>
    <col min="1" max="1" width="19.88671875" customWidth="1"/>
    <col min="2" max="2" width="19.6640625" style="4" bestFit="1" customWidth="1"/>
    <col min="4" max="4" width="9.109375" style="8"/>
    <col min="10" max="10" width="9.33203125" customWidth="1"/>
    <col min="13" max="13" width="12.109375" bestFit="1" customWidth="1"/>
  </cols>
  <sheetData>
    <row r="1" spans="1:13" ht="15" thickBot="1" x14ac:dyDescent="0.35">
      <c r="A1" s="1" t="s">
        <v>0</v>
      </c>
      <c r="B1" s="2" t="s">
        <v>82</v>
      </c>
      <c r="C1" s="4">
        <f>SUM(B2:B76)</f>
        <v>1.0050312725314967</v>
      </c>
      <c r="E1" s="8" t="s">
        <v>0</v>
      </c>
      <c r="F1" s="8" t="s">
        <v>84</v>
      </c>
      <c r="G1" s="4">
        <f>SUM(F2:F69)</f>
        <v>0.95001404136664203</v>
      </c>
      <c r="H1" s="4"/>
      <c r="I1" s="8" t="s">
        <v>0</v>
      </c>
      <c r="J1" s="8" t="s">
        <v>78</v>
      </c>
      <c r="K1" s="4">
        <f>SUM(J2:J69)</f>
        <v>1</v>
      </c>
    </row>
    <row r="2" spans="1:13" x14ac:dyDescent="0.3">
      <c r="A2" s="10" t="s">
        <v>4</v>
      </c>
      <c r="B2" s="11">
        <v>6.4000000000000001E-2</v>
      </c>
      <c r="E2" s="5" t="str">
        <f t="shared" ref="E2:E65" si="0">A2</f>
        <v>BBAS3</v>
      </c>
      <c r="F2" s="5">
        <f>(1-0.55-0.1%)*B2</f>
        <v>2.8735999999999998E-2</v>
      </c>
      <c r="I2" s="5" t="str">
        <f t="shared" ref="I2:I33" si="1">E2</f>
        <v>BBAS3</v>
      </c>
      <c r="J2" s="5">
        <f t="shared" ref="J2:J33" si="2">F2/$G$1</f>
        <v>3.0247973975902339E-2</v>
      </c>
      <c r="M2" t="b">
        <f>J2='pesos PREVI'!J2</f>
        <v>0</v>
      </c>
    </row>
    <row r="3" spans="1:13" x14ac:dyDescent="0.3">
      <c r="A3" s="14" t="s">
        <v>2</v>
      </c>
      <c r="B3" s="11">
        <v>5.6000000000000001E-2</v>
      </c>
      <c r="E3" s="5" t="str">
        <f t="shared" si="0"/>
        <v>VALE3</v>
      </c>
      <c r="F3" s="5">
        <f t="shared" ref="F3:F66" si="3">(1-0.55-0.1%)*B3</f>
        <v>2.5144E-2</v>
      </c>
      <c r="I3" s="5" t="str">
        <f t="shared" si="1"/>
        <v>VALE3</v>
      </c>
      <c r="J3" s="5">
        <f t="shared" si="2"/>
        <v>2.646697722891455E-2</v>
      </c>
      <c r="M3" t="b">
        <f>J3='pesos PREVI'!J3</f>
        <v>0</v>
      </c>
    </row>
    <row r="4" spans="1:13" x14ac:dyDescent="0.3">
      <c r="A4" s="14" t="s">
        <v>3</v>
      </c>
      <c r="B4" s="11">
        <v>5.2865620487824588E-2</v>
      </c>
      <c r="E4" s="5" t="str">
        <f t="shared" si="0"/>
        <v>PETR4</v>
      </c>
      <c r="F4" s="5">
        <f t="shared" si="3"/>
        <v>2.3736663599033238E-2</v>
      </c>
      <c r="I4" s="5" t="str">
        <f t="shared" si="1"/>
        <v>PETR4</v>
      </c>
      <c r="J4" s="5">
        <f t="shared" si="2"/>
        <v>2.4985592386494497E-2</v>
      </c>
      <c r="M4" t="b">
        <f>J4='pesos PREVI'!J4</f>
        <v>0</v>
      </c>
    </row>
    <row r="5" spans="1:13" x14ac:dyDescent="0.3">
      <c r="A5" s="14" t="s">
        <v>5</v>
      </c>
      <c r="B5" s="11">
        <v>5.1033345696100636E-2</v>
      </c>
      <c r="E5" s="5" t="str">
        <f t="shared" si="0"/>
        <v>PETR3</v>
      </c>
      <c r="F5" s="5">
        <f t="shared" si="3"/>
        <v>2.2913972217549185E-2</v>
      </c>
      <c r="I5" s="5" t="str">
        <f t="shared" si="1"/>
        <v>PETR3</v>
      </c>
      <c r="J5" s="5">
        <f t="shared" si="2"/>
        <v>2.4119614258107498E-2</v>
      </c>
      <c r="M5" t="b">
        <f>J5='pesos PREVI'!J5</f>
        <v>0</v>
      </c>
    </row>
    <row r="6" spans="1:13" x14ac:dyDescent="0.3">
      <c r="A6" s="14" t="s">
        <v>72</v>
      </c>
      <c r="B6" s="11">
        <v>0.04</v>
      </c>
      <c r="E6" s="5" t="str">
        <f t="shared" si="0"/>
        <v>ITUB4</v>
      </c>
      <c r="F6" s="5">
        <f t="shared" si="3"/>
        <v>1.796E-2</v>
      </c>
      <c r="I6" s="5" t="str">
        <f t="shared" si="1"/>
        <v>ITUB4</v>
      </c>
      <c r="J6" s="5">
        <f t="shared" si="2"/>
        <v>1.8904983734938964E-2</v>
      </c>
      <c r="M6" t="b">
        <f>J6='pesos PREVI'!J6</f>
        <v>0</v>
      </c>
    </row>
    <row r="7" spans="1:13" x14ac:dyDescent="0.3">
      <c r="A7" s="14" t="s">
        <v>6</v>
      </c>
      <c r="B7" s="11">
        <v>3.2127479788210289E-2</v>
      </c>
      <c r="E7" s="5" t="str">
        <f t="shared" si="0"/>
        <v>JBSS3</v>
      </c>
      <c r="F7" s="5">
        <f t="shared" si="3"/>
        <v>1.4425238424906419E-2</v>
      </c>
      <c r="I7" s="5" t="str">
        <f t="shared" si="1"/>
        <v>JBSS3</v>
      </c>
      <c r="J7" s="5">
        <f t="shared" si="2"/>
        <v>1.5184237071017395E-2</v>
      </c>
      <c r="M7" t="b">
        <f>J7='pesos PREVI'!J7</f>
        <v>0</v>
      </c>
    </row>
    <row r="8" spans="1:13" x14ac:dyDescent="0.3">
      <c r="A8" s="14" t="s">
        <v>8</v>
      </c>
      <c r="B8" s="11">
        <v>2.9499999999999998E-2</v>
      </c>
      <c r="E8" s="5" t="str">
        <f t="shared" si="0"/>
        <v>BBSE3</v>
      </c>
      <c r="F8" s="5">
        <f t="shared" si="3"/>
        <v>1.3245499999999999E-2</v>
      </c>
      <c r="I8" s="5" t="str">
        <f t="shared" si="1"/>
        <v>BBSE3</v>
      </c>
      <c r="J8" s="5">
        <f t="shared" si="2"/>
        <v>1.3942425504517485E-2</v>
      </c>
      <c r="M8" t="b">
        <f>J8='pesos PREVI'!J8</f>
        <v>0</v>
      </c>
    </row>
    <row r="9" spans="1:13" x14ac:dyDescent="0.3">
      <c r="A9" s="14" t="s">
        <v>9</v>
      </c>
      <c r="B9" s="11">
        <v>2.3426589738220888E-2</v>
      </c>
      <c r="E9" s="5" t="str">
        <f t="shared" si="0"/>
        <v>ELET3</v>
      </c>
      <c r="F9" s="5">
        <f t="shared" si="3"/>
        <v>1.0518538792461177E-2</v>
      </c>
      <c r="I9" s="5" t="str">
        <f t="shared" si="1"/>
        <v>ELET3</v>
      </c>
      <c r="J9" s="5">
        <f t="shared" si="2"/>
        <v>1.1071982449153847E-2</v>
      </c>
      <c r="M9" t="b">
        <f>J9='pesos PREVI'!J9</f>
        <v>0</v>
      </c>
    </row>
    <row r="10" spans="1:13" x14ac:dyDescent="0.3">
      <c r="A10" s="14" t="s">
        <v>10</v>
      </c>
      <c r="B10" s="11">
        <v>2.115970063067214E-2</v>
      </c>
      <c r="E10" s="5" t="str">
        <f t="shared" si="0"/>
        <v>SBSP3</v>
      </c>
      <c r="F10" s="5">
        <f t="shared" si="3"/>
        <v>9.5007055831717903E-3</v>
      </c>
      <c r="I10" s="5" t="str">
        <f t="shared" si="1"/>
        <v>SBSP3</v>
      </c>
      <c r="J10" s="5">
        <f t="shared" si="2"/>
        <v>1.0000594906475863E-2</v>
      </c>
      <c r="M10" t="b">
        <f>J10='pesos PREVI'!J10</f>
        <v>0</v>
      </c>
    </row>
    <row r="11" spans="1:13" x14ac:dyDescent="0.3">
      <c r="A11" s="14" t="s">
        <v>15</v>
      </c>
      <c r="B11" s="11">
        <v>2.0952559686780038E-2</v>
      </c>
      <c r="E11" s="5" t="str">
        <f t="shared" si="0"/>
        <v>CMIN3</v>
      </c>
      <c r="F11" s="5">
        <f t="shared" si="3"/>
        <v>9.4076992993642368E-3</v>
      </c>
      <c r="I11" s="5" t="str">
        <f t="shared" si="1"/>
        <v>CMIN3</v>
      </c>
      <c r="J11" s="5">
        <f t="shared" si="2"/>
        <v>9.9026950020978614E-3</v>
      </c>
      <c r="M11" t="b">
        <f>J11='pesos PREVI'!J11</f>
        <v>0</v>
      </c>
    </row>
    <row r="12" spans="1:13" x14ac:dyDescent="0.3">
      <c r="A12" s="14" t="s">
        <v>7</v>
      </c>
      <c r="B12" s="11">
        <v>2.0931286454782608E-2</v>
      </c>
      <c r="E12" s="5" t="str">
        <f t="shared" si="0"/>
        <v>BBDC4</v>
      </c>
      <c r="F12" s="5">
        <f t="shared" si="3"/>
        <v>9.3981476181973899E-3</v>
      </c>
      <c r="I12" s="5" t="str">
        <f t="shared" si="1"/>
        <v>BBDC4</v>
      </c>
      <c r="J12" s="5">
        <f t="shared" si="2"/>
        <v>9.8926407494753354E-3</v>
      </c>
      <c r="M12" t="b">
        <f>J12='pesos PREVI'!J12</f>
        <v>0</v>
      </c>
    </row>
    <row r="13" spans="1:13" x14ac:dyDescent="0.3">
      <c r="A13" s="14" t="s">
        <v>19</v>
      </c>
      <c r="B13" s="11">
        <v>2.0545216231094544E-2</v>
      </c>
      <c r="E13" s="5" t="str">
        <f t="shared" si="0"/>
        <v>MRFG3</v>
      </c>
      <c r="F13" s="5">
        <f t="shared" si="3"/>
        <v>9.2248020877614498E-3</v>
      </c>
      <c r="I13" s="5" t="str">
        <f t="shared" si="1"/>
        <v>MRFG3</v>
      </c>
      <c r="J13" s="5">
        <f t="shared" si="2"/>
        <v>9.7101744669911595E-3</v>
      </c>
      <c r="M13" t="b">
        <f>J13='pesos PREVI'!J13</f>
        <v>0</v>
      </c>
    </row>
    <row r="14" spans="1:13" x14ac:dyDescent="0.3">
      <c r="A14" s="14" t="s">
        <v>12</v>
      </c>
      <c r="B14" s="11">
        <v>1.9598791303445127E-2</v>
      </c>
      <c r="E14" s="5" t="str">
        <f t="shared" si="0"/>
        <v>BBDC3</v>
      </c>
      <c r="F14" s="5">
        <f t="shared" si="3"/>
        <v>8.7998572952468612E-3</v>
      </c>
      <c r="I14" s="5" t="str">
        <f t="shared" si="1"/>
        <v>BBDC3</v>
      </c>
      <c r="J14" s="5">
        <f t="shared" si="2"/>
        <v>9.2628707704023334E-3</v>
      </c>
      <c r="M14" t="b">
        <f>J14='pesos PREVI'!J14</f>
        <v>0</v>
      </c>
    </row>
    <row r="15" spans="1:13" x14ac:dyDescent="0.3">
      <c r="A15" s="14" t="s">
        <v>16</v>
      </c>
      <c r="B15" s="11">
        <v>1.7999999999999999E-2</v>
      </c>
      <c r="E15" s="5" t="str">
        <f t="shared" si="0"/>
        <v>POMO4</v>
      </c>
      <c r="F15" s="5">
        <f t="shared" si="3"/>
        <v>8.0819999999999989E-3</v>
      </c>
      <c r="I15" s="5" t="str">
        <f t="shared" si="1"/>
        <v>POMO4</v>
      </c>
      <c r="J15" s="5">
        <f t="shared" si="2"/>
        <v>8.5072426807225321E-3</v>
      </c>
      <c r="M15" t="b">
        <f>J15='pesos PREVI'!J15</f>
        <v>0</v>
      </c>
    </row>
    <row r="16" spans="1:13" x14ac:dyDescent="0.3">
      <c r="A16" s="14" t="s">
        <v>74</v>
      </c>
      <c r="B16" s="11">
        <v>1.7000000000000001E-2</v>
      </c>
      <c r="E16" s="5" t="str">
        <f t="shared" si="0"/>
        <v>MGLU3</v>
      </c>
      <c r="F16" s="5">
        <f t="shared" si="3"/>
        <v>7.633E-3</v>
      </c>
      <c r="I16" s="5" t="str">
        <f t="shared" si="1"/>
        <v>MGLU3</v>
      </c>
      <c r="J16" s="5">
        <f t="shared" si="2"/>
        <v>8.0346180873490606E-3</v>
      </c>
      <c r="M16" t="b">
        <f>J16='pesos PREVI'!J16</f>
        <v>0</v>
      </c>
    </row>
    <row r="17" spans="1:13" x14ac:dyDescent="0.3">
      <c r="A17" s="14" t="s">
        <v>17</v>
      </c>
      <c r="B17" s="11">
        <v>1.6801848920806103E-2</v>
      </c>
      <c r="E17" s="5" t="str">
        <f t="shared" si="0"/>
        <v>CPFE3</v>
      </c>
      <c r="F17" s="5">
        <f t="shared" si="3"/>
        <v>7.544030165441939E-3</v>
      </c>
      <c r="I17" s="5" t="str">
        <f t="shared" si="1"/>
        <v>CPFE3</v>
      </c>
      <c r="J17" s="5">
        <f t="shared" si="2"/>
        <v>7.9409670141185277E-3</v>
      </c>
      <c r="M17" t="b">
        <f>J17='pesos PREVI'!J17</f>
        <v>0</v>
      </c>
    </row>
    <row r="18" spans="1:13" x14ac:dyDescent="0.3">
      <c r="A18" s="14" t="s">
        <v>26</v>
      </c>
      <c r="B18" s="11">
        <v>1.5615219612080561E-2</v>
      </c>
      <c r="E18" s="5" t="str">
        <f t="shared" si="0"/>
        <v>BRSR6</v>
      </c>
      <c r="F18" s="5">
        <f t="shared" si="3"/>
        <v>7.0112336058241716E-3</v>
      </c>
      <c r="I18" s="5" t="str">
        <f t="shared" si="1"/>
        <v>BRSR6</v>
      </c>
      <c r="J18" s="5">
        <f t="shared" si="2"/>
        <v>7.3801368195970732E-3</v>
      </c>
      <c r="M18" t="b">
        <f>J18='pesos PREVI'!J18</f>
        <v>0</v>
      </c>
    </row>
    <row r="19" spans="1:13" x14ac:dyDescent="0.3">
      <c r="A19" s="14" t="s">
        <v>14</v>
      </c>
      <c r="B19" s="11">
        <v>1.5465147332778172E-2</v>
      </c>
      <c r="E19" s="5" t="str">
        <f t="shared" si="0"/>
        <v>CSNA3</v>
      </c>
      <c r="F19" s="5">
        <f t="shared" si="3"/>
        <v>6.9438511524173982E-3</v>
      </c>
      <c r="I19" s="5" t="str">
        <f t="shared" si="1"/>
        <v>CSNA3</v>
      </c>
      <c r="J19" s="5">
        <f t="shared" si="2"/>
        <v>7.3092089696151505E-3</v>
      </c>
      <c r="M19" t="b">
        <f>J19='pesos PREVI'!J19</f>
        <v>0</v>
      </c>
    </row>
    <row r="20" spans="1:13" x14ac:dyDescent="0.3">
      <c r="A20" s="14" t="s">
        <v>18</v>
      </c>
      <c r="B20" s="11">
        <v>1.5462924284289446E-2</v>
      </c>
      <c r="E20" s="5" t="str">
        <f t="shared" si="0"/>
        <v>CXSE3</v>
      </c>
      <c r="F20" s="5">
        <f t="shared" si="3"/>
        <v>6.94285300364596E-3</v>
      </c>
      <c r="I20" s="5" t="str">
        <f t="shared" si="1"/>
        <v>CXSE3</v>
      </c>
      <c r="J20" s="5">
        <f t="shared" si="2"/>
        <v>7.3081583022271161E-3</v>
      </c>
      <c r="M20" t="b">
        <f>J20='pesos PREVI'!J20</f>
        <v>0</v>
      </c>
    </row>
    <row r="21" spans="1:13" x14ac:dyDescent="0.3">
      <c r="A21" s="14" t="s">
        <v>29</v>
      </c>
      <c r="B21" s="11">
        <v>1.4849025118304392E-2</v>
      </c>
      <c r="E21" s="5" t="str">
        <f t="shared" si="0"/>
        <v>SYNE3</v>
      </c>
      <c r="F21" s="5">
        <f t="shared" si="3"/>
        <v>6.6672122781186718E-3</v>
      </c>
      <c r="I21" s="5" t="str">
        <f t="shared" si="1"/>
        <v>SYNE3</v>
      </c>
      <c r="J21" s="5">
        <f t="shared" si="2"/>
        <v>7.0180144585311162E-3</v>
      </c>
      <c r="M21" t="b">
        <f>J21='pesos PREVI'!J21</f>
        <v>0</v>
      </c>
    </row>
    <row r="22" spans="1:13" x14ac:dyDescent="0.3">
      <c r="A22" s="14" t="s">
        <v>41</v>
      </c>
      <c r="B22" s="11">
        <v>1.3703764834263336E-2</v>
      </c>
      <c r="E22" s="5" t="str">
        <f t="shared" si="0"/>
        <v>ANIM3</v>
      </c>
      <c r="F22" s="5">
        <f t="shared" si="3"/>
        <v>6.1529904105842373E-3</v>
      </c>
      <c r="I22" s="5" t="str">
        <f t="shared" si="1"/>
        <v>ANIM3</v>
      </c>
      <c r="J22" s="5">
        <f t="shared" si="2"/>
        <v>6.4767362824794221E-3</v>
      </c>
      <c r="M22" t="b">
        <f>J22='pesos PREVI'!J22</f>
        <v>0</v>
      </c>
    </row>
    <row r="23" spans="1:13" x14ac:dyDescent="0.3">
      <c r="A23" s="14" t="s">
        <v>38</v>
      </c>
      <c r="B23" s="11">
        <v>1.3251380427384912E-2</v>
      </c>
      <c r="E23" s="5" t="str">
        <f t="shared" si="0"/>
        <v>LAVV3</v>
      </c>
      <c r="F23" s="5">
        <f t="shared" si="3"/>
        <v>5.9498698118958249E-3</v>
      </c>
      <c r="I23" s="5" t="str">
        <f t="shared" si="1"/>
        <v>LAVV3</v>
      </c>
      <c r="J23" s="5">
        <f t="shared" si="2"/>
        <v>6.2629282861300069E-3</v>
      </c>
      <c r="M23" t="b">
        <f>J23='pesos PREVI'!J23</f>
        <v>0</v>
      </c>
    </row>
    <row r="24" spans="1:13" x14ac:dyDescent="0.3">
      <c r="A24" s="14" t="s">
        <v>22</v>
      </c>
      <c r="B24" s="11">
        <v>1.3230328368970212E-2</v>
      </c>
      <c r="E24" s="5" t="str">
        <f t="shared" si="0"/>
        <v>GOAU4</v>
      </c>
      <c r="F24" s="5">
        <f t="shared" si="3"/>
        <v>5.9404174376676243E-3</v>
      </c>
      <c r="I24" s="5" t="str">
        <f t="shared" si="1"/>
        <v>GOAU4</v>
      </c>
      <c r="J24" s="5">
        <f t="shared" si="2"/>
        <v>6.2529785655820848E-3</v>
      </c>
      <c r="M24" t="b">
        <f>J24='pesos PREVI'!J24</f>
        <v>0</v>
      </c>
    </row>
    <row r="25" spans="1:13" x14ac:dyDescent="0.3">
      <c r="A25" s="14" t="s">
        <v>25</v>
      </c>
      <c r="B25" s="11">
        <v>1.309122103704231E-2</v>
      </c>
      <c r="E25" s="5" t="str">
        <f t="shared" si="0"/>
        <v>BEEF3</v>
      </c>
      <c r="F25" s="5">
        <f t="shared" si="3"/>
        <v>5.8779582456319965E-3</v>
      </c>
      <c r="I25" s="5" t="str">
        <f t="shared" si="1"/>
        <v>BEEF3</v>
      </c>
      <c r="J25" s="5">
        <f t="shared" si="2"/>
        <v>6.1872330193943909E-3</v>
      </c>
      <c r="M25" t="b">
        <f>J25='pesos PREVI'!J25</f>
        <v>0</v>
      </c>
    </row>
    <row r="26" spans="1:13" x14ac:dyDescent="0.3">
      <c r="A26" s="14" t="s">
        <v>30</v>
      </c>
      <c r="B26" s="11">
        <v>1.3026542425298569E-2</v>
      </c>
      <c r="E26" s="5" t="str">
        <f t="shared" si="0"/>
        <v>CURY3</v>
      </c>
      <c r="F26" s="5">
        <f t="shared" si="3"/>
        <v>5.8489175489590574E-3</v>
      </c>
      <c r="I26" s="5" t="str">
        <f t="shared" si="1"/>
        <v>CURY3</v>
      </c>
      <c r="J26" s="5">
        <f t="shared" si="2"/>
        <v>6.156664316819045E-3</v>
      </c>
      <c r="M26" t="b">
        <f>J26='pesos PREVI'!J26</f>
        <v>0</v>
      </c>
    </row>
    <row r="27" spans="1:13" x14ac:dyDescent="0.3">
      <c r="A27" s="14" t="s">
        <v>28</v>
      </c>
      <c r="B27" s="11">
        <v>1.2856274583763105E-2</v>
      </c>
      <c r="E27" s="5" t="str">
        <f t="shared" si="0"/>
        <v>LEVE3</v>
      </c>
      <c r="F27" s="5">
        <f t="shared" si="3"/>
        <v>5.7724672881096332E-3</v>
      </c>
      <c r="I27" s="5" t="str">
        <f t="shared" si="1"/>
        <v>LEVE3</v>
      </c>
      <c r="J27" s="5">
        <f t="shared" si="2"/>
        <v>6.0761915474487668E-3</v>
      </c>
      <c r="M27" t="b">
        <f>J27='pesos PREVI'!J27</f>
        <v>0</v>
      </c>
    </row>
    <row r="28" spans="1:13" x14ac:dyDescent="0.3">
      <c r="A28" s="14" t="s">
        <v>43</v>
      </c>
      <c r="B28" s="11">
        <v>1.2297664399304114E-2</v>
      </c>
      <c r="E28" s="5" t="str">
        <f t="shared" si="0"/>
        <v>COGN3</v>
      </c>
      <c r="F28" s="5">
        <f t="shared" si="3"/>
        <v>5.5216513152875468E-3</v>
      </c>
      <c r="I28" s="5" t="str">
        <f t="shared" si="1"/>
        <v>COGN3</v>
      </c>
      <c r="J28" s="5">
        <f t="shared" si="2"/>
        <v>5.8121786361645554E-3</v>
      </c>
      <c r="M28" t="b">
        <f>J28='pesos PREVI'!J28</f>
        <v>0</v>
      </c>
    </row>
    <row r="29" spans="1:13" x14ac:dyDescent="0.3">
      <c r="A29" s="14" t="s">
        <v>53</v>
      </c>
      <c r="B29" s="11">
        <v>1.2168011409805547E-2</v>
      </c>
      <c r="E29" s="5" t="str">
        <f t="shared" si="0"/>
        <v>TRIS3</v>
      </c>
      <c r="F29" s="5">
        <f t="shared" si="3"/>
        <v>5.4634371230026894E-3</v>
      </c>
      <c r="I29" s="5" t="str">
        <f t="shared" si="1"/>
        <v>TRIS3</v>
      </c>
      <c r="J29" s="5">
        <f t="shared" si="2"/>
        <v>5.7509014447231386E-3</v>
      </c>
      <c r="M29" t="b">
        <f>J29='pesos PREVI'!J29</f>
        <v>0</v>
      </c>
    </row>
    <row r="30" spans="1:13" x14ac:dyDescent="0.3">
      <c r="A30" s="14" t="s">
        <v>39</v>
      </c>
      <c r="B30" s="11">
        <v>1.2167141580245722E-2</v>
      </c>
      <c r="E30" s="5" t="str">
        <f t="shared" si="0"/>
        <v>PLPL3</v>
      </c>
      <c r="F30" s="5">
        <f t="shared" si="3"/>
        <v>5.4630465695303292E-3</v>
      </c>
      <c r="I30" s="5" t="str">
        <f t="shared" si="1"/>
        <v>PLPL3</v>
      </c>
      <c r="J30" s="5">
        <f t="shared" si="2"/>
        <v>5.7504903418811237E-3</v>
      </c>
      <c r="M30" t="b">
        <f>J30='pesos PREVI'!J30</f>
        <v>0</v>
      </c>
    </row>
    <row r="31" spans="1:13" x14ac:dyDescent="0.3">
      <c r="A31" s="14" t="s">
        <v>75</v>
      </c>
      <c r="B31" s="11">
        <v>1.209810943867084E-2</v>
      </c>
      <c r="E31" s="5" t="str">
        <f t="shared" si="0"/>
        <v>PRIO3</v>
      </c>
      <c r="F31" s="5">
        <f t="shared" si="3"/>
        <v>5.4320511379632071E-3</v>
      </c>
      <c r="I31" s="5" t="str">
        <f t="shared" si="1"/>
        <v>PRIO3</v>
      </c>
      <c r="J31" s="5">
        <f t="shared" si="2"/>
        <v>5.7178640540395944E-3</v>
      </c>
      <c r="M31" t="b">
        <f>J31='pesos PREVI'!J31</f>
        <v>0</v>
      </c>
    </row>
    <row r="32" spans="1:13" x14ac:dyDescent="0.3">
      <c r="A32" s="14" t="s">
        <v>33</v>
      </c>
      <c r="B32" s="11">
        <v>1.2097395565766994E-2</v>
      </c>
      <c r="E32" s="5" t="str">
        <f t="shared" si="0"/>
        <v>ELET6</v>
      </c>
      <c r="F32" s="5">
        <f t="shared" si="3"/>
        <v>5.4317306090293799E-3</v>
      </c>
      <c r="I32" s="5" t="str">
        <f t="shared" si="1"/>
        <v>ELET6</v>
      </c>
      <c r="J32" s="5">
        <f t="shared" si="2"/>
        <v>5.7175266601486941E-3</v>
      </c>
      <c r="M32" t="b">
        <f>J32='pesos PREVI'!J32</f>
        <v>0</v>
      </c>
    </row>
    <row r="33" spans="1:13" x14ac:dyDescent="0.3">
      <c r="A33" s="14" t="s">
        <v>40</v>
      </c>
      <c r="B33" s="11">
        <v>1.1800578299013842E-2</v>
      </c>
      <c r="E33" s="5" t="str">
        <f t="shared" si="0"/>
        <v>UNIP6</v>
      </c>
      <c r="F33" s="5">
        <f t="shared" si="3"/>
        <v>5.2984596562572145E-3</v>
      </c>
      <c r="I33" s="5" t="str">
        <f t="shared" si="1"/>
        <v>UNIP6</v>
      </c>
      <c r="J33" s="5">
        <f t="shared" si="2"/>
        <v>5.5772435201432592E-3</v>
      </c>
      <c r="M33" t="b">
        <f>J33='pesos PREVI'!J33</f>
        <v>0</v>
      </c>
    </row>
    <row r="34" spans="1:13" x14ac:dyDescent="0.3">
      <c r="A34" s="14" t="s">
        <v>20</v>
      </c>
      <c r="B34" s="11">
        <v>1.1738963718086729E-2</v>
      </c>
      <c r="E34" s="5" t="str">
        <f t="shared" si="0"/>
        <v>CMIG3</v>
      </c>
      <c r="F34" s="5">
        <f t="shared" si="3"/>
        <v>5.2707947094209409E-3</v>
      </c>
      <c r="I34" s="5" t="str">
        <f t="shared" ref="I34:I69" si="4">E34</f>
        <v>CMIG3</v>
      </c>
      <c r="J34" s="5">
        <f t="shared" ref="J34:J69" si="5">F34/$G$1</f>
        <v>5.5481229538867057E-3</v>
      </c>
      <c r="M34" t="b">
        <f>J34='pesos PREVI'!J34</f>
        <v>0</v>
      </c>
    </row>
    <row r="35" spans="1:13" x14ac:dyDescent="0.3">
      <c r="A35" s="14" t="s">
        <v>32</v>
      </c>
      <c r="B35" s="11">
        <v>1.1707687562591901E-2</v>
      </c>
      <c r="E35" s="5" t="str">
        <f t="shared" si="0"/>
        <v>CSMG3</v>
      </c>
      <c r="F35" s="5">
        <f t="shared" si="3"/>
        <v>5.2567517156037634E-3</v>
      </c>
      <c r="I35" s="5" t="str">
        <f t="shared" si="4"/>
        <v>CSMG3</v>
      </c>
      <c r="J35" s="5">
        <f t="shared" si="5"/>
        <v>5.5333410736136774E-3</v>
      </c>
      <c r="M35" t="b">
        <f>J35='pesos PREVI'!J35</f>
        <v>0</v>
      </c>
    </row>
    <row r="36" spans="1:13" x14ac:dyDescent="0.3">
      <c r="A36" s="14" t="s">
        <v>24</v>
      </c>
      <c r="B36" s="11">
        <v>1.1667425463849041E-2</v>
      </c>
      <c r="E36" s="5" t="str">
        <f t="shared" si="0"/>
        <v>TGMA3</v>
      </c>
      <c r="F36" s="5">
        <f t="shared" si="3"/>
        <v>5.2386740332682194E-3</v>
      </c>
      <c r="I36" s="5" t="str">
        <f t="shared" si="4"/>
        <v>TGMA3</v>
      </c>
      <c r="J36" s="5">
        <f t="shared" si="5"/>
        <v>5.5143122155669709E-3</v>
      </c>
      <c r="M36" t="b">
        <f>J36='pesos PREVI'!J36</f>
        <v>0</v>
      </c>
    </row>
    <row r="37" spans="1:13" x14ac:dyDescent="0.3">
      <c r="A37" s="14" t="s">
        <v>35</v>
      </c>
      <c r="B37" s="11">
        <v>1.1554392048781167E-2</v>
      </c>
      <c r="E37" s="5" t="str">
        <f t="shared" si="0"/>
        <v>AURE3</v>
      </c>
      <c r="F37" s="5">
        <f t="shared" si="3"/>
        <v>5.1879220299027437E-3</v>
      </c>
      <c r="I37" s="5" t="str">
        <f t="shared" si="4"/>
        <v>AURE3</v>
      </c>
      <c r="J37" s="5">
        <f t="shared" si="5"/>
        <v>5.4608898437329013E-3</v>
      </c>
      <c r="M37" t="b">
        <f>J37='pesos PREVI'!J37</f>
        <v>0</v>
      </c>
    </row>
    <row r="38" spans="1:13" x14ac:dyDescent="0.3">
      <c r="A38" s="14" t="s">
        <v>27</v>
      </c>
      <c r="B38" s="11">
        <v>1.1273375755950599E-2</v>
      </c>
      <c r="E38" s="5" t="str">
        <f t="shared" si="0"/>
        <v>BRAP4</v>
      </c>
      <c r="F38" s="5">
        <f t="shared" si="3"/>
        <v>5.0617457144218189E-3</v>
      </c>
      <c r="I38" s="5" t="str">
        <f t="shared" si="4"/>
        <v>BRAP4</v>
      </c>
      <c r="J38" s="5">
        <f t="shared" si="5"/>
        <v>5.3280746326025332E-3</v>
      </c>
      <c r="M38" t="b">
        <f>J38='pesos PREVI'!J38</f>
        <v>0</v>
      </c>
    </row>
    <row r="39" spans="1:13" x14ac:dyDescent="0.3">
      <c r="A39" s="14" t="s">
        <v>44</v>
      </c>
      <c r="B39" s="11">
        <v>1.1263604390177123E-2</v>
      </c>
      <c r="E39" s="5" t="str">
        <f t="shared" si="0"/>
        <v>MULT3</v>
      </c>
      <c r="F39" s="5">
        <f t="shared" si="3"/>
        <v>5.0573583711895275E-3</v>
      </c>
      <c r="I39" s="5" t="str">
        <f t="shared" si="4"/>
        <v>MULT3</v>
      </c>
      <c r="J39" s="5">
        <f t="shared" si="5"/>
        <v>5.3234564448271402E-3</v>
      </c>
      <c r="M39" t="b">
        <f>J39='pesos PREVI'!J39</f>
        <v>0</v>
      </c>
    </row>
    <row r="40" spans="1:13" x14ac:dyDescent="0.3">
      <c r="A40" s="14" t="s">
        <v>49</v>
      </c>
      <c r="B40" s="11">
        <v>1.0974031680885142E-2</v>
      </c>
      <c r="E40" s="5" t="str">
        <f t="shared" si="0"/>
        <v>FRAS3</v>
      </c>
      <c r="F40" s="5">
        <f t="shared" si="3"/>
        <v>4.9273402247174284E-3</v>
      </c>
      <c r="I40" s="5" t="str">
        <f t="shared" si="4"/>
        <v>FRAS3</v>
      </c>
      <c r="J40" s="5">
        <f t="shared" si="5"/>
        <v>5.1865972608459623E-3</v>
      </c>
      <c r="M40" t="b">
        <f>J40='pesos PREVI'!J40</f>
        <v>0</v>
      </c>
    </row>
    <row r="41" spans="1:13" x14ac:dyDescent="0.3">
      <c r="A41" s="14" t="s">
        <v>37</v>
      </c>
      <c r="B41" s="11">
        <v>1.0833538266213787E-2</v>
      </c>
      <c r="E41" s="5" t="str">
        <f t="shared" si="0"/>
        <v>ISAE4</v>
      </c>
      <c r="F41" s="5">
        <f t="shared" si="3"/>
        <v>4.8642586815299902E-3</v>
      </c>
      <c r="I41" s="5" t="str">
        <f t="shared" si="4"/>
        <v>ISAE4</v>
      </c>
      <c r="J41" s="5">
        <f t="shared" si="5"/>
        <v>5.1201966178652629E-3</v>
      </c>
      <c r="M41" t="b">
        <f>J41='pesos PREVI'!J41</f>
        <v>0</v>
      </c>
    </row>
    <row r="42" spans="1:13" x14ac:dyDescent="0.3">
      <c r="A42" s="14" t="s">
        <v>48</v>
      </c>
      <c r="B42" s="11">
        <v>1.0591518980264674E-2</v>
      </c>
      <c r="E42" s="5" t="str">
        <f t="shared" si="0"/>
        <v>JHSF3</v>
      </c>
      <c r="F42" s="5">
        <f t="shared" si="3"/>
        <v>4.755592022138838E-3</v>
      </c>
      <c r="I42" s="5" t="str">
        <f t="shared" si="4"/>
        <v>JHSF3</v>
      </c>
      <c r="J42" s="5">
        <f t="shared" si="5"/>
        <v>5.0058123512550243E-3</v>
      </c>
      <c r="M42" t="b">
        <f>J42='pesos PREVI'!J42</f>
        <v>0</v>
      </c>
    </row>
    <row r="43" spans="1:13" x14ac:dyDescent="0.3">
      <c r="A43" s="14" t="s">
        <v>56</v>
      </c>
      <c r="B43" s="11">
        <v>1.0560232621886653E-2</v>
      </c>
      <c r="E43" s="5" t="str">
        <f t="shared" si="0"/>
        <v>DIRR3</v>
      </c>
      <c r="F43" s="5">
        <f t="shared" si="3"/>
        <v>4.7415444472271064E-3</v>
      </c>
      <c r="I43" s="5" t="str">
        <f t="shared" si="4"/>
        <v>DIRR3</v>
      </c>
      <c r="J43" s="5">
        <f t="shared" si="5"/>
        <v>4.9910256488484746E-3</v>
      </c>
      <c r="M43" t="b">
        <f>J43='pesos PREVI'!J43</f>
        <v>0</v>
      </c>
    </row>
    <row r="44" spans="1:13" x14ac:dyDescent="0.3">
      <c r="A44" s="14" t="s">
        <v>46</v>
      </c>
      <c r="B44" s="11">
        <v>1.0557080893688748E-2</v>
      </c>
      <c r="E44" s="5" t="str">
        <f t="shared" si="0"/>
        <v>WIZC3</v>
      </c>
      <c r="F44" s="5">
        <f t="shared" si="3"/>
        <v>4.7401293212662472E-3</v>
      </c>
      <c r="I44" s="5" t="str">
        <f t="shared" si="4"/>
        <v>WIZC3</v>
      </c>
      <c r="J44" s="5">
        <f t="shared" si="5"/>
        <v>4.9895360645905162E-3</v>
      </c>
      <c r="M44" t="b">
        <f>J44='pesos PREVI'!J44</f>
        <v>0</v>
      </c>
    </row>
    <row r="45" spans="1:13" x14ac:dyDescent="0.3">
      <c r="A45" s="14" t="s">
        <v>36</v>
      </c>
      <c r="B45" s="11">
        <v>1.0422180432436911E-2</v>
      </c>
      <c r="E45" s="5" t="str">
        <f t="shared" si="0"/>
        <v>VBBR3</v>
      </c>
      <c r="F45" s="5">
        <f t="shared" si="3"/>
        <v>4.6795590141641722E-3</v>
      </c>
      <c r="I45" s="5" t="str">
        <f t="shared" si="4"/>
        <v>VBBR3</v>
      </c>
      <c r="J45" s="5">
        <f t="shared" si="5"/>
        <v>4.9257787889454728E-3</v>
      </c>
      <c r="M45" t="b">
        <f>J45='pesos PREVI'!J45</f>
        <v>0</v>
      </c>
    </row>
    <row r="46" spans="1:13" x14ac:dyDescent="0.3">
      <c r="A46" s="14" t="s">
        <v>31</v>
      </c>
      <c r="B46" s="11">
        <v>1.0335023820433005E-2</v>
      </c>
      <c r="E46" s="5" t="str">
        <f t="shared" si="0"/>
        <v>PSSA3</v>
      </c>
      <c r="F46" s="5">
        <f t="shared" si="3"/>
        <v>4.6404256953744187E-3</v>
      </c>
      <c r="I46" s="5" t="str">
        <f t="shared" si="4"/>
        <v>PSSA3</v>
      </c>
      <c r="J46" s="5">
        <f t="shared" si="5"/>
        <v>4.8845864306373173E-3</v>
      </c>
      <c r="M46" t="b">
        <f>J46='pesos PREVI'!J46</f>
        <v>0</v>
      </c>
    </row>
    <row r="47" spans="1:13" x14ac:dyDescent="0.3">
      <c r="A47" s="14" t="s">
        <v>21</v>
      </c>
      <c r="B47" s="11">
        <v>1.029138470614523E-2</v>
      </c>
      <c r="E47" s="5" t="str">
        <f t="shared" si="0"/>
        <v>CMIG4</v>
      </c>
      <c r="F47" s="5">
        <f t="shared" si="3"/>
        <v>4.6208317330592077E-3</v>
      </c>
      <c r="I47" s="5" t="str">
        <f t="shared" si="4"/>
        <v>CMIG4</v>
      </c>
      <c r="J47" s="5">
        <f t="shared" si="5"/>
        <v>4.8639615119918794E-3</v>
      </c>
      <c r="M47" t="b">
        <f>J47='pesos PREVI'!J47</f>
        <v>0</v>
      </c>
    </row>
    <row r="48" spans="1:13" x14ac:dyDescent="0.3">
      <c r="A48" s="14" t="s">
        <v>59</v>
      </c>
      <c r="B48" s="11">
        <v>1.0162856963637674E-2</v>
      </c>
      <c r="E48" s="5" t="str">
        <f t="shared" si="0"/>
        <v>RECV3</v>
      </c>
      <c r="F48" s="5">
        <f t="shared" si="3"/>
        <v>4.5631227766733153E-3</v>
      </c>
      <c r="I48" s="5" t="str">
        <f t="shared" si="4"/>
        <v>RECV3</v>
      </c>
      <c r="J48" s="5">
        <f t="shared" si="5"/>
        <v>4.8032161399520351E-3</v>
      </c>
      <c r="M48" t="b">
        <f>J48='pesos PREVI'!J48</f>
        <v>0</v>
      </c>
    </row>
    <row r="49" spans="1:13" x14ac:dyDescent="0.3">
      <c r="A49" s="14" t="s">
        <v>60</v>
      </c>
      <c r="B49" s="11">
        <v>1.0013996336918553E-2</v>
      </c>
      <c r="E49" s="5" t="str">
        <f t="shared" si="0"/>
        <v>RANI3</v>
      </c>
      <c r="F49" s="5">
        <f t="shared" si="3"/>
        <v>4.4962843552764295E-3</v>
      </c>
      <c r="I49" s="5" t="str">
        <f t="shared" si="4"/>
        <v>RANI3</v>
      </c>
      <c r="J49" s="5">
        <f t="shared" si="5"/>
        <v>4.7328609467795898E-3</v>
      </c>
      <c r="M49" t="b">
        <f>J49='pesos PREVI'!J49</f>
        <v>0</v>
      </c>
    </row>
    <row r="50" spans="1:13" x14ac:dyDescent="0.3">
      <c r="A50" s="14" t="s">
        <v>47</v>
      </c>
      <c r="B50" s="11">
        <v>9.8996194668131005E-3</v>
      </c>
      <c r="E50" s="5" t="str">
        <f t="shared" si="0"/>
        <v>SAPR4</v>
      </c>
      <c r="F50" s="5">
        <f t="shared" si="3"/>
        <v>4.4449291405990812E-3</v>
      </c>
      <c r="I50" s="5" t="str">
        <f t="shared" si="4"/>
        <v>SAPR4</v>
      </c>
      <c r="J50" s="5">
        <f t="shared" si="5"/>
        <v>4.6788036250546691E-3</v>
      </c>
      <c r="M50" t="b">
        <f>J50='pesos PREVI'!J50</f>
        <v>0</v>
      </c>
    </row>
    <row r="51" spans="1:13" x14ac:dyDescent="0.3">
      <c r="A51" s="14" t="s">
        <v>34</v>
      </c>
      <c r="B51" s="11">
        <v>9.7543334669110034E-3</v>
      </c>
      <c r="E51" s="5" t="str">
        <f t="shared" si="0"/>
        <v>ECOR3</v>
      </c>
      <c r="F51" s="5">
        <f t="shared" si="3"/>
        <v>4.3796957266430403E-3</v>
      </c>
      <c r="I51" s="5" t="str">
        <f t="shared" si="4"/>
        <v>ECOR3</v>
      </c>
      <c r="J51" s="5">
        <f t="shared" si="5"/>
        <v>4.6101378884280831E-3</v>
      </c>
      <c r="M51" t="b">
        <f>J51='pesos PREVI'!J51</f>
        <v>0</v>
      </c>
    </row>
    <row r="52" spans="1:13" x14ac:dyDescent="0.3">
      <c r="A52" s="14" t="s">
        <v>42</v>
      </c>
      <c r="B52" s="11">
        <v>9.697371968731508E-3</v>
      </c>
      <c r="E52" s="5" t="str">
        <f t="shared" si="0"/>
        <v>VLID3</v>
      </c>
      <c r="F52" s="5">
        <f t="shared" si="3"/>
        <v>4.3541200139604469E-3</v>
      </c>
      <c r="I52" s="5" t="str">
        <f t="shared" si="4"/>
        <v>VLID3</v>
      </c>
      <c r="J52" s="5">
        <f t="shared" si="5"/>
        <v>4.5832164835130544E-3</v>
      </c>
      <c r="M52" t="b">
        <f>J52='pesos PREVI'!J52</f>
        <v>0</v>
      </c>
    </row>
    <row r="53" spans="1:13" x14ac:dyDescent="0.3">
      <c r="A53" s="14" t="s">
        <v>55</v>
      </c>
      <c r="B53" s="11">
        <v>9.6081346778249428E-3</v>
      </c>
      <c r="E53" s="5" t="str">
        <f t="shared" si="0"/>
        <v>MYPK3</v>
      </c>
      <c r="F53" s="5">
        <f t="shared" si="3"/>
        <v>4.3140524703433993E-3</v>
      </c>
      <c r="I53" s="5" t="str">
        <f t="shared" si="4"/>
        <v>MYPK3</v>
      </c>
      <c r="J53" s="5">
        <f t="shared" si="5"/>
        <v>4.541040745184589E-3</v>
      </c>
      <c r="M53" t="b">
        <f>J53='pesos PREVI'!J53</f>
        <v>0</v>
      </c>
    </row>
    <row r="54" spans="1:13" x14ac:dyDescent="0.3">
      <c r="A54" s="14" t="s">
        <v>11</v>
      </c>
      <c r="B54" s="11">
        <v>9.3786291220952812E-3</v>
      </c>
      <c r="E54" s="5" t="str">
        <f t="shared" si="0"/>
        <v>GGBR4</v>
      </c>
      <c r="F54" s="5">
        <f t="shared" si="3"/>
        <v>4.2110044758207812E-3</v>
      </c>
      <c r="I54" s="5" t="str">
        <f t="shared" si="4"/>
        <v>GGBR4</v>
      </c>
      <c r="J54" s="5">
        <f t="shared" si="5"/>
        <v>4.4325707752309049E-3</v>
      </c>
      <c r="M54" t="b">
        <f>J54='pesos PREVI'!J54</f>
        <v>0</v>
      </c>
    </row>
    <row r="55" spans="1:13" x14ac:dyDescent="0.3">
      <c r="A55" s="14" t="s">
        <v>62</v>
      </c>
      <c r="B55" s="11">
        <v>9.1164293997888814E-3</v>
      </c>
      <c r="E55" s="5" t="str">
        <f t="shared" si="0"/>
        <v>TAEE11</v>
      </c>
      <c r="F55" s="5">
        <f t="shared" si="3"/>
        <v>4.0932768005052071E-3</v>
      </c>
      <c r="I55" s="5" t="str">
        <f t="shared" si="4"/>
        <v>TAEE11</v>
      </c>
      <c r="J55" s="5">
        <f t="shared" si="5"/>
        <v>4.3086487380932037E-3</v>
      </c>
      <c r="M55" t="b">
        <f>J55='pesos PREVI'!J55</f>
        <v>0</v>
      </c>
    </row>
    <row r="56" spans="1:13" x14ac:dyDescent="0.3">
      <c r="A56" s="14" t="s">
        <v>58</v>
      </c>
      <c r="B56" s="11">
        <v>8.0000000000000002E-3</v>
      </c>
      <c r="E56" s="5" t="str">
        <f t="shared" si="0"/>
        <v>YDUQ3</v>
      </c>
      <c r="F56" s="5">
        <f t="shared" si="3"/>
        <v>3.5919999999999997E-3</v>
      </c>
      <c r="I56" s="5" t="str">
        <f t="shared" si="4"/>
        <v>YDUQ3</v>
      </c>
      <c r="J56" s="5">
        <f t="shared" si="5"/>
        <v>3.7809967469877924E-3</v>
      </c>
      <c r="M56" t="b">
        <f>J56='pesos PREVI'!J56</f>
        <v>0</v>
      </c>
    </row>
    <row r="57" spans="1:13" x14ac:dyDescent="0.3">
      <c r="A57" s="14" t="s">
        <v>63</v>
      </c>
      <c r="B57" s="11">
        <v>7.4999999999999997E-3</v>
      </c>
      <c r="E57" s="5" t="str">
        <f t="shared" si="0"/>
        <v>BMGB4</v>
      </c>
      <c r="F57" s="5">
        <f t="shared" si="3"/>
        <v>3.3674999999999994E-3</v>
      </c>
      <c r="I57" s="5" t="str">
        <f t="shared" si="4"/>
        <v>BMGB4</v>
      </c>
      <c r="J57" s="5">
        <f t="shared" si="5"/>
        <v>3.5446844503010553E-3</v>
      </c>
      <c r="M57" t="b">
        <f>J57='pesos PREVI'!J57</f>
        <v>0</v>
      </c>
    </row>
    <row r="58" spans="1:13" x14ac:dyDescent="0.3">
      <c r="A58" s="14" t="s">
        <v>54</v>
      </c>
      <c r="B58" s="11">
        <v>6.4999999999999997E-3</v>
      </c>
      <c r="E58" s="5" t="str">
        <f t="shared" si="0"/>
        <v>LIGT3</v>
      </c>
      <c r="F58" s="5">
        <f t="shared" si="3"/>
        <v>2.9184999999999997E-3</v>
      </c>
      <c r="I58" s="5" t="str">
        <f t="shared" si="4"/>
        <v>LIGT3</v>
      </c>
      <c r="J58" s="5">
        <f t="shared" si="5"/>
        <v>3.0720598569275812E-3</v>
      </c>
      <c r="M58" t="b">
        <f>J58='pesos PREVI'!J58</f>
        <v>0</v>
      </c>
    </row>
    <row r="59" spans="1:13" x14ac:dyDescent="0.3">
      <c r="A59" s="14" t="s">
        <v>71</v>
      </c>
      <c r="B59" s="11">
        <v>6.0000000000000001E-3</v>
      </c>
      <c r="E59" s="5" t="str">
        <f t="shared" si="0"/>
        <v>BMOB3</v>
      </c>
      <c r="F59" s="5">
        <f t="shared" si="3"/>
        <v>2.6939999999999998E-3</v>
      </c>
      <c r="I59" s="5" t="str">
        <f t="shared" si="4"/>
        <v>BMOB3</v>
      </c>
      <c r="J59" s="5">
        <f t="shared" si="5"/>
        <v>2.8357475602408446E-3</v>
      </c>
      <c r="M59" t="b">
        <f>J59='pesos PREVI'!J59</f>
        <v>0</v>
      </c>
    </row>
    <row r="60" spans="1:13" x14ac:dyDescent="0.3">
      <c r="A60" s="14" t="s">
        <v>50</v>
      </c>
      <c r="B60" s="11">
        <v>5.0000000000000001E-3</v>
      </c>
      <c r="E60" s="5" t="str">
        <f t="shared" si="0"/>
        <v>MTRE3</v>
      </c>
      <c r="F60" s="5">
        <f t="shared" si="3"/>
        <v>2.245E-3</v>
      </c>
      <c r="I60" s="5" t="str">
        <f t="shared" si="4"/>
        <v>MTRE3</v>
      </c>
      <c r="J60" s="5">
        <f t="shared" si="5"/>
        <v>2.3631229668673705E-3</v>
      </c>
      <c r="M60" t="b">
        <f>J60='pesos PREVI'!J60</f>
        <v>0</v>
      </c>
    </row>
    <row r="61" spans="1:13" x14ac:dyDescent="0.3">
      <c r="A61" s="14" t="s">
        <v>65</v>
      </c>
      <c r="B61" s="11">
        <v>3.6899045276269889E-3</v>
      </c>
      <c r="E61" s="5" t="str">
        <f t="shared" si="0"/>
        <v>CYRE3</v>
      </c>
      <c r="F61" s="5">
        <f t="shared" si="3"/>
        <v>1.6567671329045179E-3</v>
      </c>
      <c r="I61" s="5" t="str">
        <f t="shared" si="4"/>
        <v>CYRE3</v>
      </c>
      <c r="J61" s="5">
        <f t="shared" si="5"/>
        <v>1.7439396269566464E-3</v>
      </c>
      <c r="M61" t="b">
        <f>J61='pesos PREVI'!J61</f>
        <v>0</v>
      </c>
    </row>
    <row r="62" spans="1:13" x14ac:dyDescent="0.3">
      <c r="A62" s="14" t="s">
        <v>61</v>
      </c>
      <c r="B62" s="11">
        <v>3.5005111223726489E-3</v>
      </c>
      <c r="E62" s="5" t="str">
        <f t="shared" si="0"/>
        <v>GRND3</v>
      </c>
      <c r="F62" s="5">
        <f t="shared" si="3"/>
        <v>1.5717294939453191E-3</v>
      </c>
      <c r="I62" s="5" t="str">
        <f t="shared" si="4"/>
        <v>GRND3</v>
      </c>
      <c r="J62" s="5">
        <f t="shared" si="5"/>
        <v>1.6544276458106964E-3</v>
      </c>
      <c r="M62" t="b">
        <f>J62='pesos PREVI'!J62</f>
        <v>0</v>
      </c>
    </row>
    <row r="63" spans="1:13" x14ac:dyDescent="0.3">
      <c r="A63" s="14" t="s">
        <v>64</v>
      </c>
      <c r="B63" s="11">
        <v>3.389534122061535E-3</v>
      </c>
      <c r="E63" s="5" t="str">
        <f t="shared" si="0"/>
        <v>BRBI11</v>
      </c>
      <c r="F63" s="5">
        <f t="shared" si="3"/>
        <v>1.5219008208056291E-3</v>
      </c>
      <c r="I63" s="5" t="str">
        <f t="shared" si="4"/>
        <v>BRBI11</v>
      </c>
      <c r="J63" s="5">
        <f t="shared" si="5"/>
        <v>1.6019771861648484E-3</v>
      </c>
      <c r="M63" t="b">
        <f>J63='pesos PREVI'!J63</f>
        <v>0</v>
      </c>
    </row>
    <row r="64" spans="1:13" x14ac:dyDescent="0.3">
      <c r="A64" s="14" t="s">
        <v>57</v>
      </c>
      <c r="B64" s="11">
        <v>3.1263433604050411E-3</v>
      </c>
      <c r="E64" s="5" t="str">
        <f t="shared" si="0"/>
        <v>TEND3</v>
      </c>
      <c r="F64" s="5">
        <f t="shared" si="3"/>
        <v>1.4037281688218633E-3</v>
      </c>
      <c r="I64" s="5" t="str">
        <f t="shared" si="4"/>
        <v>TEND3</v>
      </c>
      <c r="J64" s="5">
        <f t="shared" si="5"/>
        <v>1.477586759457293E-3</v>
      </c>
      <c r="M64" t="b">
        <f>J64='pesos PREVI'!J64</f>
        <v>0</v>
      </c>
    </row>
    <row r="65" spans="1:13" x14ac:dyDescent="0.3">
      <c r="A65" s="14" t="s">
        <v>51</v>
      </c>
      <c r="B65" s="11">
        <v>2.5000000000000001E-3</v>
      </c>
      <c r="E65" s="5" t="str">
        <f t="shared" si="0"/>
        <v>BHIA3</v>
      </c>
      <c r="F65" s="5">
        <f t="shared" si="3"/>
        <v>1.1225E-3</v>
      </c>
      <c r="I65" s="5" t="str">
        <f t="shared" si="4"/>
        <v>BHIA3</v>
      </c>
      <c r="J65" s="5">
        <f t="shared" si="5"/>
        <v>1.1815614834336853E-3</v>
      </c>
      <c r="M65" t="b">
        <f>J65='pesos PREVI'!J65</f>
        <v>0</v>
      </c>
    </row>
    <row r="66" spans="1:13" x14ac:dyDescent="0.3">
      <c r="A66" s="14" t="s">
        <v>52</v>
      </c>
      <c r="B66" s="11">
        <v>2.3E-3</v>
      </c>
      <c r="E66" s="5" t="str">
        <f>A66</f>
        <v>AGRO3</v>
      </c>
      <c r="F66" s="5">
        <f t="shared" si="3"/>
        <v>1.0326999999999999E-3</v>
      </c>
      <c r="I66" s="5" t="str">
        <f t="shared" si="4"/>
        <v>AGRO3</v>
      </c>
      <c r="J66" s="5">
        <f t="shared" si="5"/>
        <v>1.0870365647589904E-3</v>
      </c>
      <c r="M66" t="b">
        <f>J66='pesos PREVI'!J66</f>
        <v>0</v>
      </c>
    </row>
    <row r="67" spans="1:13" x14ac:dyDescent="0.3">
      <c r="A67" s="14" t="s">
        <v>67</v>
      </c>
      <c r="B67" s="11">
        <v>2.5000000000000001E-3</v>
      </c>
      <c r="E67" s="12" t="s">
        <v>69</v>
      </c>
      <c r="F67" s="13">
        <v>0.4</v>
      </c>
      <c r="I67" s="5" t="str">
        <f t="shared" si="4"/>
        <v>BOVA11</v>
      </c>
      <c r="J67" s="5">
        <f t="shared" si="5"/>
        <v>0.42104640835053375</v>
      </c>
      <c r="M67" t="b">
        <f>J67='pesos PREVI'!J72</f>
        <v>0</v>
      </c>
    </row>
    <row r="68" spans="1:13" x14ac:dyDescent="0.3">
      <c r="A68" s="14" t="s">
        <v>68</v>
      </c>
      <c r="B68" s="11">
        <v>2.5000000000000001E-3</v>
      </c>
      <c r="E68" s="12" t="s">
        <v>79</v>
      </c>
      <c r="F68" s="13">
        <v>0.1</v>
      </c>
      <c r="I68" s="5" t="str">
        <f t="shared" si="4"/>
        <v>DIVO11</v>
      </c>
      <c r="J68" s="5">
        <f t="shared" si="5"/>
        <v>0.10526160208763344</v>
      </c>
      <c r="M68" t="b">
        <f>J68='pesos PREVI'!J73</f>
        <v>0</v>
      </c>
    </row>
    <row r="69" spans="1:13" x14ac:dyDescent="0.3">
      <c r="A69" s="14"/>
      <c r="B69" s="11"/>
      <c r="E69" s="5" t="s">
        <v>83</v>
      </c>
      <c r="F69" s="5">
        <v>1E-3</v>
      </c>
      <c r="I69" s="5" t="str">
        <f t="shared" si="4"/>
        <v>BRL Curncy</v>
      </c>
      <c r="J69" s="5">
        <f t="shared" si="5"/>
        <v>1.0526160208763344E-3</v>
      </c>
      <c r="M69" t="b">
        <f>J69='pesos PREVI'!J74</f>
        <v>0</v>
      </c>
    </row>
    <row r="70" spans="1:13" x14ac:dyDescent="0.3">
      <c r="A70" s="14"/>
      <c r="B70" s="11"/>
    </row>
    <row r="71" spans="1:13" x14ac:dyDescent="0.3">
      <c r="A71" s="14"/>
      <c r="B71" s="11"/>
      <c r="E71" s="5"/>
      <c r="F71" s="5"/>
      <c r="I71" s="5"/>
    </row>
    <row r="72" spans="1:13" x14ac:dyDescent="0.3">
      <c r="A72" s="14"/>
      <c r="B72" s="11"/>
      <c r="E72" s="5"/>
      <c r="F72" s="5"/>
      <c r="I72" s="5"/>
    </row>
    <row r="73" spans="1:13" x14ac:dyDescent="0.3">
      <c r="A73" s="14"/>
      <c r="B73" s="11"/>
      <c r="E73" s="5"/>
      <c r="F73" s="5"/>
      <c r="I73" s="5"/>
    </row>
    <row r="74" spans="1:13" x14ac:dyDescent="0.3">
      <c r="A74" s="14"/>
      <c r="B74" s="11"/>
      <c r="E74" s="5"/>
      <c r="F74" s="5"/>
      <c r="I74" s="5"/>
    </row>
    <row r="75" spans="1:13" x14ac:dyDescent="0.3">
      <c r="A75" s="14"/>
      <c r="B75" s="11"/>
      <c r="E75" s="5"/>
      <c r="F75" s="5"/>
      <c r="I75" s="5"/>
    </row>
    <row r="76" spans="1:13" x14ac:dyDescent="0.3">
      <c r="A76" s="14"/>
      <c r="B76" s="11"/>
      <c r="E76" s="5"/>
      <c r="F76" s="5"/>
      <c r="I76" s="5"/>
    </row>
    <row r="77" spans="1:13" x14ac:dyDescent="0.3">
      <c r="A77" s="14"/>
      <c r="B77" s="11"/>
    </row>
    <row r="78" spans="1:13" x14ac:dyDescent="0.3">
      <c r="A78" s="14"/>
      <c r="B78" s="11"/>
    </row>
    <row r="79" spans="1:13" x14ac:dyDescent="0.3">
      <c r="A79" s="14"/>
      <c r="B79" s="11"/>
      <c r="C79" s="6"/>
    </row>
    <row r="80" spans="1:13" x14ac:dyDescent="0.3">
      <c r="A80" s="14"/>
      <c r="B80" s="11"/>
      <c r="C80" s="6"/>
    </row>
    <row r="81" spans="1:3" x14ac:dyDescent="0.3">
      <c r="A81" s="14"/>
      <c r="B81" s="11"/>
      <c r="C81" s="6"/>
    </row>
    <row r="82" spans="1:3" x14ac:dyDescent="0.3">
      <c r="A82" s="14"/>
      <c r="B82" s="11"/>
      <c r="C82" s="6"/>
    </row>
    <row r="83" spans="1:3" x14ac:dyDescent="0.3">
      <c r="A83" s="14"/>
      <c r="B83" s="11"/>
      <c r="C83" s="6"/>
    </row>
    <row r="84" spans="1:3" x14ac:dyDescent="0.3">
      <c r="A84" s="14"/>
      <c r="B84" s="11"/>
      <c r="C84" s="6"/>
    </row>
    <row r="85" spans="1:3" x14ac:dyDescent="0.3">
      <c r="A85" s="14"/>
      <c r="B85" s="11"/>
      <c r="C85" s="6"/>
    </row>
    <row r="86" spans="1:3" x14ac:dyDescent="0.3">
      <c r="A86" s="14"/>
      <c r="B86" s="11"/>
      <c r="C86" s="6"/>
    </row>
    <row r="87" spans="1:3" x14ac:dyDescent="0.3">
      <c r="A87" s="14"/>
      <c r="B87" s="11"/>
      <c r="C87" s="6"/>
    </row>
    <row r="88" spans="1:3" x14ac:dyDescent="0.3">
      <c r="A88" s="14"/>
      <c r="B88" s="11"/>
      <c r="C88" s="6"/>
    </row>
    <row r="89" spans="1:3" x14ac:dyDescent="0.3">
      <c r="A89" s="14"/>
      <c r="B89" s="11"/>
      <c r="C89" s="6"/>
    </row>
    <row r="90" spans="1:3" x14ac:dyDescent="0.3">
      <c r="A90" s="14"/>
      <c r="B90" s="11"/>
      <c r="C90" s="6"/>
    </row>
    <row r="91" spans="1:3" x14ac:dyDescent="0.3">
      <c r="A91" s="14"/>
      <c r="B91" s="11"/>
      <c r="C91" s="6"/>
    </row>
    <row r="92" spans="1:3" x14ac:dyDescent="0.3">
      <c r="A92" s="14"/>
      <c r="B92" s="11"/>
      <c r="C92" s="6"/>
    </row>
    <row r="93" spans="1:3" x14ac:dyDescent="0.3">
      <c r="A93" s="14"/>
      <c r="B93" s="11"/>
      <c r="C93" s="6"/>
    </row>
    <row r="94" spans="1:3" x14ac:dyDescent="0.3">
      <c r="A94" s="14"/>
      <c r="B94" s="11"/>
      <c r="C94" s="6"/>
    </row>
    <row r="95" spans="1:3" x14ac:dyDescent="0.3">
      <c r="A95" s="14"/>
      <c r="B95" s="11"/>
      <c r="C95" s="6"/>
    </row>
    <row r="96" spans="1:3" x14ac:dyDescent="0.3">
      <c r="A96" s="14"/>
      <c r="B96" s="11"/>
      <c r="C96" s="6"/>
    </row>
    <row r="97" spans="1:3" x14ac:dyDescent="0.3">
      <c r="A97" s="14"/>
      <c r="B97" s="11"/>
      <c r="C97" s="6"/>
    </row>
    <row r="98" spans="1:3" x14ac:dyDescent="0.3">
      <c r="A98" s="14"/>
      <c r="B98" s="11"/>
      <c r="C98" s="6"/>
    </row>
    <row r="99" spans="1:3" x14ac:dyDescent="0.3">
      <c r="A99" s="14"/>
      <c r="B99" s="11"/>
      <c r="C99" s="6"/>
    </row>
    <row r="100" spans="1:3" x14ac:dyDescent="0.3">
      <c r="A100" s="14"/>
      <c r="B100" s="11"/>
      <c r="C100" s="6"/>
    </row>
    <row r="101" spans="1:3" x14ac:dyDescent="0.3">
      <c r="A101" s="14"/>
      <c r="B101" s="11"/>
      <c r="C101" s="6"/>
    </row>
    <row r="102" spans="1:3" x14ac:dyDescent="0.3">
      <c r="A102" s="14"/>
      <c r="B102" s="11"/>
      <c r="C102" s="6"/>
    </row>
    <row r="103" spans="1:3" x14ac:dyDescent="0.3">
      <c r="A103" s="14"/>
      <c r="B103" s="11"/>
      <c r="C103" s="6"/>
    </row>
    <row r="104" spans="1:3" x14ac:dyDescent="0.3">
      <c r="A104" s="14"/>
      <c r="B104" s="11"/>
      <c r="C104" s="6"/>
    </row>
    <row r="105" spans="1:3" x14ac:dyDescent="0.3">
      <c r="A105" s="14"/>
      <c r="B105" s="11"/>
      <c r="C105" s="6"/>
    </row>
    <row r="106" spans="1:3" x14ac:dyDescent="0.3">
      <c r="A106" s="14"/>
      <c r="B106" s="11"/>
      <c r="C106" s="6"/>
    </row>
    <row r="107" spans="1:3" x14ac:dyDescent="0.3">
      <c r="A107" s="14"/>
      <c r="B107" s="11"/>
      <c r="C107" s="6"/>
    </row>
    <row r="108" spans="1:3" x14ac:dyDescent="0.3">
      <c r="A108" s="14"/>
      <c r="B108" s="11"/>
      <c r="C108" s="6"/>
    </row>
    <row r="109" spans="1:3" x14ac:dyDescent="0.3">
      <c r="A109" s="14"/>
      <c r="B109" s="11"/>
      <c r="C109" s="6"/>
    </row>
    <row r="110" spans="1:3" x14ac:dyDescent="0.3">
      <c r="A110" s="14"/>
      <c r="B110" s="11"/>
      <c r="C110" s="6"/>
    </row>
    <row r="111" spans="1:3" x14ac:dyDescent="0.3">
      <c r="A111" s="14"/>
      <c r="B111" s="11"/>
      <c r="C111" s="6"/>
    </row>
    <row r="112" spans="1:3" x14ac:dyDescent="0.3">
      <c r="A112" s="14"/>
      <c r="B112" s="11"/>
      <c r="C112" s="6"/>
    </row>
    <row r="113" spans="1:3" x14ac:dyDescent="0.3">
      <c r="A113" s="14"/>
      <c r="B113" s="11"/>
      <c r="C113" s="6"/>
    </row>
    <row r="114" spans="1:3" x14ac:dyDescent="0.3">
      <c r="A114" s="14"/>
      <c r="B114" s="11"/>
      <c r="C114" s="6"/>
    </row>
    <row r="115" spans="1:3" x14ac:dyDescent="0.3">
      <c r="A115" s="14"/>
      <c r="B115" s="11"/>
      <c r="C115" s="6"/>
    </row>
    <row r="116" spans="1:3" x14ac:dyDescent="0.3">
      <c r="A116" s="14"/>
      <c r="B116" s="11"/>
      <c r="C116" s="6"/>
    </row>
    <row r="117" spans="1:3" x14ac:dyDescent="0.3">
      <c r="A117" s="14"/>
      <c r="B117" s="11"/>
      <c r="C117" s="6"/>
    </row>
    <row r="118" spans="1:3" x14ac:dyDescent="0.3">
      <c r="A118" s="14"/>
      <c r="B118" s="11"/>
      <c r="C118" s="6"/>
    </row>
    <row r="119" spans="1:3" x14ac:dyDescent="0.3">
      <c r="A119" s="14"/>
      <c r="B119" s="11"/>
      <c r="C119" s="6"/>
    </row>
    <row r="120" spans="1:3" x14ac:dyDescent="0.3">
      <c r="A120" s="14"/>
      <c r="B120" s="11"/>
      <c r="C120" s="6"/>
    </row>
    <row r="121" spans="1:3" x14ac:dyDescent="0.3">
      <c r="A121" s="14"/>
      <c r="B121" s="11"/>
      <c r="C121" s="6"/>
    </row>
    <row r="122" spans="1:3" x14ac:dyDescent="0.3">
      <c r="A122" s="14"/>
      <c r="B122" s="11"/>
      <c r="C122" s="6"/>
    </row>
    <row r="123" spans="1:3" x14ac:dyDescent="0.3">
      <c r="A123" s="14"/>
      <c r="B123" s="11"/>
      <c r="C123" s="6"/>
    </row>
    <row r="124" spans="1:3" x14ac:dyDescent="0.3">
      <c r="A124" s="14"/>
      <c r="B124" s="11"/>
      <c r="C124" s="6"/>
    </row>
    <row r="125" spans="1:3" x14ac:dyDescent="0.3">
      <c r="A125" s="14"/>
      <c r="B125" s="11"/>
      <c r="C125" s="6"/>
    </row>
    <row r="126" spans="1:3" x14ac:dyDescent="0.3">
      <c r="A126" s="14"/>
      <c r="B126" s="11"/>
      <c r="C126" s="6"/>
    </row>
    <row r="127" spans="1:3" x14ac:dyDescent="0.3">
      <c r="A127" s="14"/>
      <c r="B127" s="11"/>
      <c r="C127" s="6"/>
    </row>
    <row r="128" spans="1:3" x14ac:dyDescent="0.3">
      <c r="A128" s="14"/>
      <c r="B128" s="11"/>
      <c r="C128" s="6"/>
    </row>
    <row r="129" spans="1:3" x14ac:dyDescent="0.3">
      <c r="A129" s="14"/>
      <c r="B129" s="11"/>
      <c r="C129" s="6"/>
    </row>
    <row r="130" spans="1:3" x14ac:dyDescent="0.3">
      <c r="A130" s="14"/>
      <c r="B130" s="11"/>
      <c r="C130" s="6"/>
    </row>
    <row r="131" spans="1:3" x14ac:dyDescent="0.3">
      <c r="A131" s="14"/>
      <c r="B131" s="11"/>
      <c r="C131" s="6"/>
    </row>
    <row r="132" spans="1:3" x14ac:dyDescent="0.3">
      <c r="A132" s="14"/>
      <c r="B132" s="11"/>
      <c r="C132" s="6"/>
    </row>
    <row r="133" spans="1:3" x14ac:dyDescent="0.3">
      <c r="A133" s="14"/>
      <c r="B133" s="11"/>
      <c r="C133" s="6"/>
    </row>
    <row r="134" spans="1:3" x14ac:dyDescent="0.3">
      <c r="A134" s="14"/>
      <c r="B134" s="11"/>
      <c r="C134" s="6"/>
    </row>
    <row r="135" spans="1:3" x14ac:dyDescent="0.3">
      <c r="A135" s="14"/>
      <c r="B135" s="11"/>
      <c r="C135" s="6"/>
    </row>
    <row r="136" spans="1:3" x14ac:dyDescent="0.3">
      <c r="A136" s="14"/>
      <c r="B136" s="11"/>
      <c r="C136" s="6"/>
    </row>
    <row r="137" spans="1:3" x14ac:dyDescent="0.3">
      <c r="A137" s="14"/>
      <c r="B137" s="11"/>
      <c r="C137" s="6"/>
    </row>
    <row r="138" spans="1:3" x14ac:dyDescent="0.3">
      <c r="A138" s="14"/>
      <c r="B138" s="11"/>
      <c r="C138" s="6"/>
    </row>
    <row r="139" spans="1:3" x14ac:dyDescent="0.3">
      <c r="A139" s="14"/>
      <c r="B139" s="11"/>
      <c r="C139" s="6"/>
    </row>
    <row r="140" spans="1:3" x14ac:dyDescent="0.3">
      <c r="A140" s="14"/>
      <c r="B140" s="11"/>
      <c r="C140" s="6"/>
    </row>
    <row r="141" spans="1:3" x14ac:dyDescent="0.3">
      <c r="A141" s="14"/>
      <c r="B141" s="11"/>
      <c r="C141" s="6"/>
    </row>
    <row r="142" spans="1:3" x14ac:dyDescent="0.3">
      <c r="A142" s="14"/>
      <c r="B142" s="11"/>
      <c r="C142" s="6"/>
    </row>
    <row r="143" spans="1:3" x14ac:dyDescent="0.3">
      <c r="A143" s="14"/>
      <c r="B143" s="11"/>
      <c r="C143" s="6"/>
    </row>
    <row r="144" spans="1:3" x14ac:dyDescent="0.3">
      <c r="A144" s="14"/>
      <c r="B144" s="11"/>
      <c r="C144" s="6"/>
    </row>
    <row r="145" spans="1:3" x14ac:dyDescent="0.3">
      <c r="A145" s="14"/>
      <c r="B145" s="11"/>
      <c r="C145" s="6"/>
    </row>
    <row r="146" spans="1:3" x14ac:dyDescent="0.3">
      <c r="A146" s="14"/>
      <c r="B146" s="11"/>
      <c r="C146" s="6"/>
    </row>
    <row r="147" spans="1:3" x14ac:dyDescent="0.3">
      <c r="A147" s="14"/>
      <c r="B147" s="11"/>
      <c r="C147" s="6"/>
    </row>
    <row r="148" spans="1:3" x14ac:dyDescent="0.3">
      <c r="A148" s="14"/>
      <c r="B148" s="11"/>
      <c r="C148" s="6"/>
    </row>
    <row r="149" spans="1:3" x14ac:dyDescent="0.3">
      <c r="A149" s="14"/>
      <c r="B149" s="11"/>
      <c r="C149" s="6"/>
    </row>
    <row r="150" spans="1:3" x14ac:dyDescent="0.3">
      <c r="A150" s="14"/>
      <c r="B150" s="11"/>
      <c r="C150" s="6"/>
    </row>
    <row r="151" spans="1:3" x14ac:dyDescent="0.3">
      <c r="A151" s="14"/>
      <c r="B151" s="11"/>
      <c r="C151" s="6"/>
    </row>
    <row r="152" spans="1:3" x14ac:dyDescent="0.3">
      <c r="A152" s="14"/>
      <c r="B152" s="11"/>
      <c r="C152" s="6"/>
    </row>
    <row r="153" spans="1:3" x14ac:dyDescent="0.3">
      <c r="A153" s="14"/>
      <c r="B153" s="11"/>
      <c r="C153" s="6"/>
    </row>
    <row r="154" spans="1:3" x14ac:dyDescent="0.3">
      <c r="A154" s="14"/>
      <c r="B154" s="11"/>
      <c r="C154" s="6"/>
    </row>
    <row r="155" spans="1:3" x14ac:dyDescent="0.3">
      <c r="A155" s="14"/>
      <c r="B155" s="11"/>
      <c r="C155" s="6"/>
    </row>
    <row r="156" spans="1:3" x14ac:dyDescent="0.3">
      <c r="A156" s="14"/>
      <c r="B156" s="11"/>
      <c r="C156" s="6"/>
    </row>
    <row r="157" spans="1:3" x14ac:dyDescent="0.3">
      <c r="A157" s="14"/>
      <c r="B157" s="11"/>
      <c r="C157" s="6"/>
    </row>
    <row r="158" spans="1:3" x14ac:dyDescent="0.3">
      <c r="A158" s="14"/>
      <c r="B158" s="11"/>
      <c r="C158" s="6"/>
    </row>
    <row r="159" spans="1:3" x14ac:dyDescent="0.3">
      <c r="A159" s="14"/>
      <c r="B159" s="11"/>
      <c r="C159" s="6"/>
    </row>
    <row r="160" spans="1:3" x14ac:dyDescent="0.3">
      <c r="A160" s="14"/>
      <c r="B160" s="11"/>
      <c r="C160" s="6"/>
    </row>
    <row r="161" spans="1:3" x14ac:dyDescent="0.3">
      <c r="A161" s="14"/>
      <c r="B161" s="11"/>
      <c r="C161" s="6"/>
    </row>
    <row r="162" spans="1:3" x14ac:dyDescent="0.3">
      <c r="A162" s="14"/>
      <c r="B162" s="11"/>
      <c r="C162" s="6"/>
    </row>
    <row r="163" spans="1:3" x14ac:dyDescent="0.3">
      <c r="A163" s="14"/>
      <c r="B163" s="11"/>
      <c r="C163" s="6"/>
    </row>
    <row r="164" spans="1:3" x14ac:dyDescent="0.3">
      <c r="A164" s="14"/>
      <c r="B164" s="11"/>
      <c r="C164" s="6"/>
    </row>
    <row r="165" spans="1:3" x14ac:dyDescent="0.3">
      <c r="A165" s="14"/>
      <c r="B165" s="11"/>
      <c r="C165" s="6"/>
    </row>
    <row r="166" spans="1:3" x14ac:dyDescent="0.3">
      <c r="A166" s="14"/>
      <c r="B166" s="11"/>
      <c r="C166" s="6"/>
    </row>
    <row r="167" spans="1:3" x14ac:dyDescent="0.3">
      <c r="A167" s="14"/>
      <c r="B167" s="11"/>
      <c r="C167" s="6"/>
    </row>
    <row r="168" spans="1:3" x14ac:dyDescent="0.3">
      <c r="A168" s="14"/>
      <c r="B168" s="11"/>
      <c r="C168" s="6"/>
    </row>
    <row r="169" spans="1:3" x14ac:dyDescent="0.3">
      <c r="A169" s="14"/>
      <c r="B169" s="11"/>
      <c r="C169" s="6"/>
    </row>
    <row r="170" spans="1:3" x14ac:dyDescent="0.3">
      <c r="A170" s="14"/>
      <c r="B170" s="11"/>
      <c r="C170" s="6"/>
    </row>
    <row r="171" spans="1:3" x14ac:dyDescent="0.3">
      <c r="A171" s="14"/>
      <c r="B171" s="11"/>
      <c r="C171" s="6"/>
    </row>
    <row r="172" spans="1:3" x14ac:dyDescent="0.3">
      <c r="A172" s="14"/>
      <c r="B172" s="11"/>
      <c r="C172" s="6"/>
    </row>
    <row r="173" spans="1:3" x14ac:dyDescent="0.3">
      <c r="A173" s="14"/>
      <c r="B173" s="11"/>
      <c r="C173" s="6"/>
    </row>
    <row r="174" spans="1:3" x14ac:dyDescent="0.3">
      <c r="A174" s="14"/>
      <c r="B174" s="11"/>
      <c r="C174" s="6"/>
    </row>
    <row r="175" spans="1:3" x14ac:dyDescent="0.3">
      <c r="A175" s="14"/>
      <c r="B175" s="11"/>
      <c r="C175" s="6"/>
    </row>
    <row r="176" spans="1:3" x14ac:dyDescent="0.3">
      <c r="A176" s="14"/>
      <c r="B176" s="11"/>
      <c r="C176" s="6"/>
    </row>
    <row r="177" spans="1:3" x14ac:dyDescent="0.3">
      <c r="A177" s="14"/>
      <c r="B177" s="11"/>
      <c r="C177" s="6"/>
    </row>
    <row r="178" spans="1:3" x14ac:dyDescent="0.3">
      <c r="A178" s="14"/>
      <c r="B178" s="11"/>
      <c r="C178" s="6"/>
    </row>
    <row r="179" spans="1:3" x14ac:dyDescent="0.3">
      <c r="A179" s="14"/>
      <c r="B179" s="11"/>
      <c r="C179" s="6"/>
    </row>
    <row r="180" spans="1:3" x14ac:dyDescent="0.3">
      <c r="A180" s="14"/>
      <c r="B180" s="11"/>
      <c r="C180" s="6"/>
    </row>
    <row r="181" spans="1:3" x14ac:dyDescent="0.3">
      <c r="A181" s="14"/>
      <c r="B181" s="11"/>
      <c r="C181" s="6"/>
    </row>
    <row r="182" spans="1:3" x14ac:dyDescent="0.3">
      <c r="A182" s="14"/>
      <c r="B182" s="11"/>
      <c r="C182" s="6"/>
    </row>
    <row r="183" spans="1:3" x14ac:dyDescent="0.3">
      <c r="A183" s="14"/>
      <c r="B183" s="11"/>
      <c r="C183" s="6"/>
    </row>
    <row r="184" spans="1:3" x14ac:dyDescent="0.3">
      <c r="A184" s="14"/>
      <c r="B184" s="11"/>
      <c r="C184" s="6"/>
    </row>
    <row r="185" spans="1:3" x14ac:dyDescent="0.3">
      <c r="A185" s="14"/>
      <c r="B185" s="11"/>
      <c r="C185" s="6"/>
    </row>
    <row r="186" spans="1:3" x14ac:dyDescent="0.3">
      <c r="A186" s="14"/>
      <c r="B186" s="11"/>
      <c r="C186" s="6"/>
    </row>
    <row r="187" spans="1:3" x14ac:dyDescent="0.3">
      <c r="A187" s="14"/>
      <c r="B187" s="11"/>
      <c r="C187" s="6"/>
    </row>
    <row r="188" spans="1:3" x14ac:dyDescent="0.3">
      <c r="A188" s="14"/>
      <c r="B188" s="11"/>
      <c r="C188" s="6"/>
    </row>
    <row r="189" spans="1:3" x14ac:dyDescent="0.3">
      <c r="A189" s="14"/>
      <c r="B189" s="11"/>
      <c r="C189" s="6"/>
    </row>
    <row r="190" spans="1:3" x14ac:dyDescent="0.3">
      <c r="A190" s="14"/>
      <c r="B190" s="11"/>
      <c r="C190" s="6"/>
    </row>
    <row r="191" spans="1:3" x14ac:dyDescent="0.3">
      <c r="A191" s="14"/>
      <c r="B191" s="11"/>
      <c r="C191" s="6"/>
    </row>
    <row r="192" spans="1:3" x14ac:dyDescent="0.3">
      <c r="A192" s="14"/>
      <c r="B192" s="11"/>
      <c r="C192" s="6"/>
    </row>
    <row r="193" spans="1:3" x14ac:dyDescent="0.3">
      <c r="A193" s="14"/>
      <c r="B193" s="11"/>
      <c r="C193" s="6"/>
    </row>
    <row r="194" spans="1:3" x14ac:dyDescent="0.3">
      <c r="A194" s="14"/>
      <c r="B194" s="11"/>
      <c r="C194" s="6"/>
    </row>
    <row r="195" spans="1:3" x14ac:dyDescent="0.3">
      <c r="A195" s="14"/>
      <c r="B195" s="11"/>
      <c r="C195" s="6"/>
    </row>
    <row r="196" spans="1:3" x14ac:dyDescent="0.3">
      <c r="A196" s="14"/>
      <c r="B196" s="11"/>
      <c r="C196" s="6"/>
    </row>
    <row r="197" spans="1:3" x14ac:dyDescent="0.3">
      <c r="A197" s="14"/>
      <c r="B197" s="11"/>
      <c r="C197" s="6"/>
    </row>
    <row r="198" spans="1:3" x14ac:dyDescent="0.3">
      <c r="A198" s="14"/>
      <c r="B198" s="11"/>
      <c r="C198" s="6"/>
    </row>
    <row r="199" spans="1:3" x14ac:dyDescent="0.3">
      <c r="A199" s="14"/>
      <c r="B199" s="11"/>
      <c r="C199" s="6"/>
    </row>
    <row r="200" spans="1:3" x14ac:dyDescent="0.3">
      <c r="A200" s="14"/>
      <c r="B200" s="11"/>
      <c r="C200" s="6"/>
    </row>
    <row r="201" spans="1:3" x14ac:dyDescent="0.3">
      <c r="A201" s="14"/>
      <c r="B201" s="11"/>
      <c r="C201" s="6"/>
    </row>
    <row r="202" spans="1:3" x14ac:dyDescent="0.3">
      <c r="A202" s="14"/>
      <c r="B202" s="11"/>
      <c r="C202" s="6"/>
    </row>
    <row r="203" spans="1:3" x14ac:dyDescent="0.3">
      <c r="A203" s="14"/>
      <c r="B203" s="11"/>
      <c r="C203" s="6"/>
    </row>
    <row r="204" spans="1:3" x14ac:dyDescent="0.3">
      <c r="A204" s="14"/>
      <c r="B204" s="11"/>
      <c r="C204" s="6"/>
    </row>
    <row r="205" spans="1:3" x14ac:dyDescent="0.3">
      <c r="A205" s="14"/>
      <c r="B205" s="11"/>
      <c r="C205" s="6"/>
    </row>
    <row r="206" spans="1:3" x14ac:dyDescent="0.3">
      <c r="A206" s="14"/>
      <c r="B206" s="11"/>
      <c r="C206" s="6"/>
    </row>
    <row r="207" spans="1:3" x14ac:dyDescent="0.3">
      <c r="C207" s="6"/>
    </row>
    <row r="208" spans="1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pesos VGBLs</vt:lpstr>
      <vt:lpstr>pesos FIA</vt:lpstr>
      <vt:lpstr>pesos vgbl30</vt:lpstr>
      <vt:lpstr>pesos vgbl65</vt:lpstr>
      <vt:lpstr>pesos smal</vt:lpstr>
      <vt:lpstr>pesos dividendos</vt:lpstr>
      <vt:lpstr>pesos ASG</vt:lpstr>
      <vt:lpstr>pesos PREVI</vt:lpstr>
      <vt:lpstr>pesos 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Paiva Reis</dc:creator>
  <cp:lastModifiedBy>Paulo Roberto Fonteles Guimaraes</cp:lastModifiedBy>
  <dcterms:created xsi:type="dcterms:W3CDTF">2025-02-26T13:42:10Z</dcterms:created>
  <dcterms:modified xsi:type="dcterms:W3CDTF">2026-05-20T18:08:43Z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2025-02-26T13:47:49Z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daea202d-4493-4567-9cdd-0a85a1760a79</vt:lpwstr>
  </property>
  <property fmtid="{D5CDD505-2E9C-101B-9397-08002B2CF9AE}" pid="8" name="MSIP_Label_6459b2e0-2ec4-47e6-afc1-6e3f8b684f6a_ContentBits">
    <vt:lpwstr>0</vt:lpwstr>
  </property>
  <property fmtid="{D5CDD505-2E9C-101B-9397-08002B2CF9AE}" pid="9" name="MSIP_Label_6459b2e0-2ec4-47e6-afc1-6e3f8b684f6a_Tag">
    <vt:lpwstr>10, 0, 1, 1</vt:lpwstr>
  </property>
</Properties>
</file>